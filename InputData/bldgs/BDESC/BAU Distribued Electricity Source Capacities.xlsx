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665" yWindow="0" windowWidth="12615" windowHeight="10155" tabRatio="600" firstSheet="0" activeTab="0" autoFilterDateGrouping="1"/>
  </bookViews>
  <sheets>
    <sheet name="About" sheetId="1" state="visible" r:id="rId1"/>
    <sheet name="Source Data&gt;" sheetId="2" state="visible" r:id="rId2"/>
    <sheet name="AEO23_Table_21._Residential" sheetId="3" state="visible" r:id="rId3"/>
    <sheet name="AEO25_Table_21._Residential" sheetId="4" state="visible" r:id="rId4"/>
    <sheet name="AEO23_table_22._Comm" sheetId="5" state="visible" r:id="rId5"/>
    <sheet name="AEO25_Table_22._Commercial" sheetId="6" state="visible" r:id="rId6"/>
    <sheet name="RECS HC2.1" sheetId="7" state="visible" r:id="rId7"/>
    <sheet name="Calcs&gt;" sheetId="8" state="visible" r:id="rId8"/>
    <sheet name="Calculations" sheetId="9" state="visible" r:id="rId9"/>
    <sheet name="Inflation Reduction Act" sheetId="10" state="visible" r:id="rId10"/>
    <sheet name="BDESC-urban-residential" sheetId="11" state="visible" r:id="rId11"/>
    <sheet name="BDESC-rural-residential" sheetId="12" state="visible" r:id="rId12"/>
    <sheet name="BDESC-commercial" sheetId="13" state="visible" r:id="rId13"/>
    <sheet name="AEO26_Table_21._Residential" sheetId="14" state="visible" r:id="rId14"/>
    <sheet name="AEO26_Table_22._Commercial" sheetId="15" state="visible" r:id="rId15"/>
  </sheets>
  <definedNames>
    <definedName name="billion_kw_to_MW">About!$B$28</definedName>
    <definedName name="gigwatt_to_megawatt">About!$B$29</definedName>
    <definedName name="Percent_rural">About!$A$26</definedName>
    <definedName name="Percent_Urban">About!$A$25</definedName>
  </definedNames>
  <calcPr calcId="191029" fullCalcOnLoad="1"/>
</workbook>
</file>

<file path=xl/styles.xml><?xml version="1.0" encoding="utf-8"?>
<styleSheet xmlns="http://schemas.openxmlformats.org/spreadsheetml/2006/main">
  <numFmts count="4">
    <numFmt numFmtId="164" formatCode="0.0"/>
    <numFmt numFmtId="165" formatCode="0.0%"/>
    <numFmt numFmtId="166" formatCode="0.000E+00"/>
    <numFmt numFmtId="167" formatCode="_(* #,##0_);_(* \(#,##0\);_(* &quot;-&quot;??_);_(@_)"/>
  </numFmts>
  <fonts count="38">
    <font>
      <name val="Calibri"/>
      <family val="2"/>
      <color theme="1"/>
      <sz val="11"/>
      <scheme val="minor"/>
    </font>
    <font>
      <name val="Calibri"/>
      <family val="2"/>
      <b val="1"/>
      <color theme="1"/>
      <sz val="11"/>
      <scheme val="minor"/>
    </font>
    <font>
      <name val="Calibri"/>
      <family val="2"/>
      <color indexed="8"/>
      <sz val="9"/>
    </font>
    <font>
      <name val="Calibri"/>
      <family val="2"/>
      <b val="1"/>
      <color indexed="8"/>
      <sz val="9"/>
    </font>
    <font>
      <name val="Calibri"/>
      <family val="2"/>
      <b val="1"/>
      <color indexed="30"/>
      <sz val="12"/>
    </font>
    <font>
      <name val="Calibri"/>
      <family val="2"/>
      <color theme="1"/>
      <sz val="11"/>
      <scheme val="minor"/>
    </font>
    <font>
      <name val="Calibri"/>
      <family val="2"/>
      <color theme="0" tint="-0.499984740745262"/>
      <sz val="11"/>
      <scheme val="minor"/>
    </font>
    <font>
      <name val="Calibri"/>
      <family val="2"/>
      <b val="1"/>
      <color theme="1"/>
      <sz val="10"/>
      <scheme val="minor"/>
    </font>
    <font>
      <name val="Calibri"/>
      <family val="2"/>
      <b val="1"/>
      <color theme="1"/>
      <sz val="9"/>
      <scheme val="minor"/>
    </font>
    <font>
      <name val="Calibri"/>
      <family val="2"/>
      <b val="1"/>
      <color theme="1"/>
      <sz val="10"/>
      <vertAlign val="superscript"/>
      <scheme val="minor"/>
    </font>
    <font>
      <name val="Calibri"/>
      <family val="2"/>
      <color theme="1"/>
      <sz val="9"/>
      <scheme val="minor"/>
    </font>
    <font>
      <name val="Calibri"/>
      <family val="2"/>
      <color theme="1"/>
      <sz val="10"/>
      <scheme val="minor"/>
    </font>
    <font>
      <name val="Calibri"/>
      <family val="2"/>
      <color theme="1"/>
      <sz val="9"/>
      <vertAlign val="superscript"/>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color rgb="FF9C6500"/>
      <sz val="11"/>
      <scheme val="minor"/>
    </font>
    <font>
      <name val="Calibri"/>
      <family val="2"/>
      <b val="1"/>
      <color theme="1"/>
      <sz val="14"/>
      <scheme val="minor"/>
    </font>
    <font>
      <name val="Calibri"/>
      <family val="2"/>
      <color theme="10"/>
      <sz val="11"/>
      <u val="single"/>
      <scheme val="minor"/>
    </font>
    <font>
      <name val="Calibri"/>
      <family val="2"/>
      <b val="1"/>
      <sz val="12"/>
      <scheme val="minor"/>
    </font>
    <font>
      <name val="Calibri"/>
      <family val="2"/>
      <i val="1"/>
      <color theme="1"/>
      <sz val="9"/>
      <scheme val="minor"/>
    </font>
    <font>
      <name val="Calibri"/>
      <family val="2"/>
      <color rgb="FF000000"/>
      <sz val="10"/>
      <scheme val="minor"/>
    </font>
    <font>
      <name val="Calibri"/>
      <family val="2"/>
      <b val="1"/>
      <color rgb="FF000000"/>
      <sz val="11"/>
    </font>
    <font>
      <name val="Calibri"/>
      <family val="2"/>
      <color rgb="FF000000"/>
      <sz val="11"/>
    </font>
    <font>
      <name val="Calibri"/>
      <family val="2"/>
      <color indexed="8"/>
      <sz val="11"/>
      <scheme val="minor"/>
    </font>
    <font>
      <name val="Calibri"/>
      <family val="2"/>
      <color rgb="FF000000"/>
      <sz val="11"/>
      <scheme val="minor"/>
    </font>
    <font>
      <name val="Calibri"/>
      <family val="2"/>
      <b val="1"/>
      <color theme="0"/>
      <sz val="14"/>
      <scheme val="minor"/>
    </font>
  </fonts>
  <fills count="41">
    <fill>
      <patternFill/>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9" tint="0.7999816888943144"/>
        <bgColor indexed="64"/>
      </patternFill>
    </fill>
    <fill>
      <patternFill patternType="solid">
        <fgColor theme="0" tint="-0.0499893185216834"/>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
        <bgColor indexed="64"/>
      </patternFill>
    </fill>
    <fill>
      <patternFill patternType="solid">
        <fgColor theme="0" tint="-0.1499984740745262"/>
        <bgColor indexed="64"/>
      </patternFill>
    </fill>
    <fill>
      <patternFill patternType="solid">
        <fgColor theme="3"/>
        <bgColor indexed="64"/>
      </patternFill>
    </fill>
  </fills>
  <borders count="22">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
      </bottom>
      <diagonal/>
    </border>
    <border>
      <left style="thick">
        <color theme="0"/>
      </left>
      <right style="thick">
        <color theme="0"/>
      </right>
      <top/>
      <bottom style="thin">
        <color theme="0" tint="-0.249946592608417"/>
      </bottom>
      <diagonal/>
    </border>
    <border>
      <left/>
      <right/>
      <top style="thick">
        <color theme="4"/>
      </top>
      <bottom style="dashed">
        <color theme="0" tint="-0.249946592608417"/>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
      </top>
      <bottom style="thin">
        <color theme="0" tint="-0.249946592608417"/>
      </bottom>
      <diagonal/>
    </border>
    <border>
      <left/>
      <right/>
      <top style="thick">
        <color theme="0" tint="-0.249946592608417"/>
      </top>
      <bottom/>
      <diagonal/>
    </border>
    <border>
      <left/>
      <right style="thick">
        <color theme="0"/>
      </right>
      <top style="thick">
        <color theme="0" tint="-0.249946592608417"/>
      </top>
      <bottom/>
      <diagonal/>
    </border>
    <border>
      <left/>
      <right/>
      <top style="thick">
        <color theme="0" tint="-0.249946592608417"/>
      </top>
      <bottom style="thin">
        <color theme="0" tint="-0.249946592608417"/>
      </bottom>
      <diagonal/>
    </border>
    <border>
      <left/>
      <right style="thick">
        <color theme="0"/>
      </right>
      <top style="thick">
        <color theme="0" tint="-0.249946592608417"/>
      </top>
      <bottom style="thin">
        <color theme="0" tint="-0.249946592608417"/>
      </bottom>
      <diagonal/>
    </border>
  </borders>
  <cellStyleXfs count="54">
    <xf numFmtId="0" fontId="5" fillId="0" borderId="0"/>
    <xf numFmtId="0" fontId="2" fillId="0" borderId="0"/>
    <xf numFmtId="0" fontId="3" fillId="0" borderId="1" applyAlignment="1">
      <alignment wrapText="1"/>
    </xf>
    <xf numFmtId="0" fontId="4" fillId="0" borderId="0" applyAlignment="1">
      <alignment horizontal="left"/>
    </xf>
    <xf numFmtId="0" fontId="3" fillId="0" borderId="2" applyAlignment="1">
      <alignment wrapText="1"/>
    </xf>
    <xf numFmtId="0" fontId="2" fillId="0" borderId="3" applyAlignment="1">
      <alignment wrapText="1"/>
    </xf>
    <xf numFmtId="0" fontId="2" fillId="0" borderId="4" applyAlignment="1">
      <alignment wrapText="1"/>
    </xf>
    <xf numFmtId="0" fontId="2" fillId="0" borderId="0"/>
    <xf numFmtId="9" fontId="5" fillId="0" borderId="0"/>
    <xf numFmtId="0" fontId="8" fillId="0" borderId="7" applyAlignment="1">
      <alignment horizontal="left" wrapText="1"/>
    </xf>
    <xf numFmtId="43" fontId="5" fillId="0" borderId="0"/>
    <xf numFmtId="0" fontId="13" fillId="0" borderId="0"/>
    <xf numFmtId="0" fontId="14" fillId="0" borderId="5"/>
    <xf numFmtId="0" fontId="15" fillId="0" borderId="9"/>
    <xf numFmtId="0" fontId="16" fillId="0" borderId="10"/>
    <xf numFmtId="0" fontId="16" fillId="0" borderId="0"/>
    <xf numFmtId="0" fontId="17" fillId="3" borderId="0"/>
    <xf numFmtId="0" fontId="18" fillId="4" borderId="0"/>
    <xf numFmtId="0" fontId="19" fillId="6" borderId="11"/>
    <xf numFmtId="0" fontId="20" fillId="7" borderId="12"/>
    <xf numFmtId="0" fontId="21" fillId="7" borderId="11"/>
    <xf numFmtId="0" fontId="22" fillId="0" borderId="13"/>
    <xf numFmtId="0" fontId="23" fillId="8" borderId="14"/>
    <xf numFmtId="0" fontId="24" fillId="0" borderId="0"/>
    <xf numFmtId="0" fontId="5" fillId="9" borderId="15"/>
    <xf numFmtId="0" fontId="25" fillId="0" borderId="0"/>
    <xf numFmtId="0" fontId="1" fillId="0" borderId="16"/>
    <xf numFmtId="0" fontId="26" fillId="10" borderId="0"/>
    <xf numFmtId="0" fontId="5" fillId="11" borderId="0"/>
    <xf numFmtId="0" fontId="5" fillId="12" borderId="0"/>
    <xf numFmtId="0" fontId="26" fillId="14" borderId="0"/>
    <xf numFmtId="0" fontId="5" fillId="15" borderId="0"/>
    <xf numFmtId="0" fontId="5" fillId="16" borderId="0"/>
    <xf numFmtId="0" fontId="26" fillId="18" borderId="0"/>
    <xf numFmtId="0" fontId="5" fillId="19" borderId="0"/>
    <xf numFmtId="0" fontId="5" fillId="20" borderId="0"/>
    <xf numFmtId="0" fontId="26" fillId="22" borderId="0"/>
    <xf numFmtId="0" fontId="5" fillId="23" borderId="0"/>
    <xf numFmtId="0" fontId="5" fillId="24" borderId="0"/>
    <xf numFmtId="0" fontId="26" fillId="26" borderId="0"/>
    <xf numFmtId="0" fontId="5" fillId="27" borderId="0"/>
    <xf numFmtId="0" fontId="5" fillId="28" borderId="0"/>
    <xf numFmtId="0" fontId="26" fillId="30" borderId="0"/>
    <xf numFmtId="0" fontId="5" fillId="31" borderId="0"/>
    <xf numFmtId="0" fontId="5" fillId="32" borderId="0"/>
    <xf numFmtId="0" fontId="27" fillId="5" borderId="0"/>
    <xf numFmtId="0" fontId="26" fillId="13" borderId="0"/>
    <xf numFmtId="0" fontId="26" fillId="17" borderId="0"/>
    <xf numFmtId="0" fontId="26" fillId="21" borderId="0"/>
    <xf numFmtId="0" fontId="26" fillId="25" borderId="0"/>
    <xf numFmtId="0" fontId="26" fillId="29" borderId="0"/>
    <xf numFmtId="0" fontId="26" fillId="33" borderId="0"/>
    <xf numFmtId="0" fontId="29" fillId="0" borderId="0"/>
    <xf numFmtId="0" fontId="32" fillId="0" borderId="0"/>
  </cellStyleXfs>
  <cellXfs count="72">
    <xf numFmtId="0" fontId="0" fillId="0" borderId="0" pivotButton="0" quotePrefix="0" xfId="0"/>
    <xf numFmtId="0" fontId="1" fillId="0" borderId="0" pivotButton="0" quotePrefix="0" xfId="0"/>
    <xf numFmtId="0" fontId="0" fillId="0" borderId="0" applyAlignment="1" pivotButton="0" quotePrefix="0" xfId="0">
      <alignment horizontal="left"/>
    </xf>
    <xf numFmtId="0" fontId="1" fillId="2" borderId="0" pivotButton="0" quotePrefix="0" xfId="0"/>
    <xf numFmtId="3" fontId="7" fillId="0" borderId="5" applyAlignment="1" pivotButton="0" quotePrefix="0" xfId="2">
      <alignment horizontal="right" wrapText="1"/>
    </xf>
    <xf numFmtId="164" fontId="11" fillId="0" borderId="3" applyAlignment="1" pivotButton="0" quotePrefix="0" xfId="5">
      <alignment horizontal="right" wrapText="1"/>
    </xf>
    <xf numFmtId="0" fontId="0" fillId="0" borderId="0" applyAlignment="1" pivotButton="0" quotePrefix="0" xfId="0">
      <alignment horizontal="left" indent="1"/>
    </xf>
    <xf numFmtId="0" fontId="11" fillId="0" borderId="3" applyAlignment="1" pivotButton="0" quotePrefix="0" xfId="5">
      <alignment wrapText="1"/>
    </xf>
    <xf numFmtId="165" fontId="0" fillId="0" borderId="0" pivotButton="0" quotePrefix="0" xfId="8"/>
    <xf numFmtId="166" fontId="0" fillId="0" borderId="0" pivotButton="0" quotePrefix="0" xfId="0"/>
    <xf numFmtId="0" fontId="0" fillId="0" borderId="0" applyAlignment="1" pivotButton="0" quotePrefix="0" xfId="0">
      <alignment wrapText="1"/>
    </xf>
    <xf numFmtId="3" fontId="0" fillId="0" borderId="0" pivotButton="0" quotePrefix="0" xfId="0"/>
    <xf numFmtId="167" fontId="0" fillId="0" borderId="0" pivotButton="0" quotePrefix="0" xfId="10"/>
    <xf numFmtId="167" fontId="0" fillId="0" borderId="0" pivotButton="0" quotePrefix="0" xfId="0"/>
    <xf numFmtId="0" fontId="28" fillId="0" borderId="0" pivotButton="0" quotePrefix="0" xfId="0"/>
    <xf numFmtId="0" fontId="1" fillId="35" borderId="0" pivotButton="0" quotePrefix="0" xfId="0"/>
    <xf numFmtId="10" fontId="0" fillId="0" borderId="0" pivotButton="0" quotePrefix="0" xfId="0"/>
    <xf numFmtId="0" fontId="4" fillId="0" borderId="0" applyAlignment="1" pivotButton="0" quotePrefix="0" xfId="3">
      <alignment horizontal="left" wrapText="1"/>
    </xf>
    <xf numFmtId="0" fontId="29" fillId="0" borderId="0" pivotButton="0" quotePrefix="0" xfId="52"/>
    <xf numFmtId="3" fontId="7" fillId="0" borderId="0" applyAlignment="1" pivotButton="0" quotePrefix="0" xfId="0">
      <alignment horizontal="left" wrapText="1"/>
    </xf>
    <xf numFmtId="0" fontId="7" fillId="0" borderId="1" applyAlignment="1" pivotButton="0" quotePrefix="0" xfId="2">
      <alignment wrapText="1"/>
    </xf>
    <xf numFmtId="0" fontId="7" fillId="0" borderId="8" applyAlignment="1" pivotButton="0" quotePrefix="0" xfId="5">
      <alignment wrapText="1"/>
    </xf>
    <xf numFmtId="2" fontId="11" fillId="0" borderId="8" applyAlignment="1" pivotButton="0" quotePrefix="0" xfId="5">
      <alignment horizontal="right" wrapText="1"/>
    </xf>
    <xf numFmtId="0" fontId="7" fillId="0" borderId="2" applyAlignment="1" pivotButton="0" quotePrefix="0" xfId="4">
      <alignment wrapText="1"/>
    </xf>
    <xf numFmtId="2" fontId="7" fillId="0" borderId="2" applyAlignment="1" pivotButton="0" quotePrefix="0" xfId="4">
      <alignment horizontal="right" wrapText="1"/>
    </xf>
    <xf numFmtId="2" fontId="11" fillId="0" borderId="3" applyAlignment="1" pivotButton="0" quotePrefix="0" xfId="5">
      <alignment horizontal="right" wrapText="1"/>
    </xf>
    <xf numFmtId="0" fontId="11" fillId="0" borderId="3" applyAlignment="1" pivotButton="0" quotePrefix="0" xfId="5">
      <alignment horizontal="left" wrapText="1" indent="1"/>
    </xf>
    <xf numFmtId="0" fontId="11" fillId="0" borderId="3" applyAlignment="1" pivotButton="0" quotePrefix="0" xfId="5">
      <alignment horizontal="left" wrapText="1" indent="2"/>
    </xf>
    <xf numFmtId="0" fontId="11" fillId="0" borderId="3" applyAlignment="1" pivotButton="0" quotePrefix="0" xfId="5">
      <alignment horizontal="left" wrapText="1"/>
    </xf>
    <xf numFmtId="0" fontId="11" fillId="0" borderId="3" applyAlignment="1" pivotButton="0" quotePrefix="1" xfId="5">
      <alignment wrapText="1"/>
    </xf>
    <xf numFmtId="0" fontId="11" fillId="0" borderId="3" applyAlignment="1" pivotButton="0" quotePrefix="0" xfId="5">
      <alignment horizontal="right" wrapText="1"/>
    </xf>
    <xf numFmtId="0" fontId="7" fillId="0" borderId="2" applyAlignment="1" pivotButton="0" quotePrefix="0" xfId="4">
      <alignment horizontal="left" wrapText="1" indent="1"/>
    </xf>
    <xf numFmtId="0" fontId="33" fillId="36" borderId="0" pivotButton="0" quotePrefix="0" xfId="53"/>
    <xf numFmtId="0" fontId="34" fillId="36" borderId="0" applyAlignment="1" pivotButton="0" quotePrefix="0" xfId="53">
      <alignment horizontal="right"/>
    </xf>
    <xf numFmtId="0" fontId="32" fillId="0" borderId="0" pivotButton="0" quotePrefix="0" xfId="53"/>
    <xf numFmtId="0" fontId="11" fillId="0" borderId="0" pivotButton="0" quotePrefix="0" xfId="53"/>
    <xf numFmtId="0" fontId="7" fillId="0" borderId="0" pivotButton="0" quotePrefix="0" xfId="53"/>
    <xf numFmtId="10" fontId="11" fillId="0" borderId="0" pivotButton="0" quotePrefix="0" xfId="53"/>
    <xf numFmtId="0" fontId="33" fillId="0" borderId="0" applyAlignment="1" pivotButton="0" quotePrefix="0" xfId="53">
      <alignment horizontal="right"/>
    </xf>
    <xf numFmtId="0" fontId="34" fillId="0" borderId="0" applyAlignment="1" pivotButton="0" quotePrefix="0" xfId="53">
      <alignment horizontal="left"/>
    </xf>
    <xf numFmtId="0" fontId="11" fillId="0" borderId="0" applyAlignment="1" pivotButton="0" quotePrefix="0" xfId="53">
      <alignment wrapText="1"/>
    </xf>
    <xf numFmtId="1" fontId="32" fillId="0" borderId="0" pivotButton="0" quotePrefix="0" xfId="53"/>
    <xf numFmtId="9" fontId="0" fillId="0" borderId="0" pivotButton="0" quotePrefix="0" xfId="8"/>
    <xf numFmtId="0" fontId="1" fillId="37" borderId="0" pivotButton="0" quotePrefix="0" xfId="0"/>
    <xf numFmtId="0" fontId="0" fillId="37" borderId="0" pivotButton="0" quotePrefix="0" xfId="0"/>
    <xf numFmtId="0" fontId="0" fillId="37" borderId="0" applyAlignment="1" pivotButton="0" quotePrefix="0" xfId="0">
      <alignment wrapText="1"/>
    </xf>
    <xf numFmtId="0" fontId="32" fillId="37" borderId="0" pivotButton="0" quotePrefix="0" xfId="53"/>
    <xf numFmtId="0" fontId="0" fillId="34" borderId="0" pivotButton="0" quotePrefix="0" xfId="0"/>
    <xf numFmtId="10" fontId="1" fillId="0" borderId="0" pivotButton="0" quotePrefix="0" xfId="0"/>
    <xf numFmtId="0" fontId="0" fillId="39" borderId="0" pivotButton="0" quotePrefix="0" xfId="0"/>
    <xf numFmtId="0" fontId="1" fillId="39" borderId="0" pivotButton="0" quotePrefix="0" xfId="0"/>
    <xf numFmtId="0" fontId="37" fillId="40" borderId="0" pivotButton="0" quotePrefix="0" xfId="0"/>
    <xf numFmtId="0" fontId="23" fillId="40" borderId="0" pivotButton="0" quotePrefix="0" xfId="0"/>
    <xf numFmtId="0" fontId="26" fillId="40" borderId="0" pivotButton="0" quotePrefix="0" xfId="0"/>
    <xf numFmtId="0" fontId="0" fillId="38" borderId="0" pivotButton="0" quotePrefix="0" xfId="0"/>
    <xf numFmtId="0" fontId="35" fillId="0" borderId="0" pivotButton="0" quotePrefix="0" xfId="0"/>
    <xf numFmtId="0" fontId="36" fillId="0" borderId="0" applyAlignment="1" pivotButton="0" quotePrefix="0" xfId="0">
      <alignment vertical="center"/>
    </xf>
    <xf numFmtId="1" fontId="0" fillId="38" borderId="0" pivotButton="0" quotePrefix="0" xfId="0"/>
    <xf numFmtId="1" fontId="0" fillId="0" borderId="0" pivotButton="0" quotePrefix="0" xfId="0"/>
    <xf numFmtId="0" fontId="30" fillId="0" borderId="0" applyAlignment="1" pivotButton="0" quotePrefix="0" xfId="3">
      <alignment horizontal="left" wrapText="1"/>
    </xf>
    <xf numFmtId="0" fontId="0" fillId="0" borderId="0" applyAlignment="1" pivotButton="0" quotePrefix="0" xfId="0">
      <alignment wrapText="1"/>
    </xf>
    <xf numFmtId="3" fontId="7" fillId="0" borderId="6" applyAlignment="1" pivotButton="0" quotePrefix="0" xfId="0">
      <alignment horizontal="left" wrapText="1"/>
    </xf>
    <xf numFmtId="0" fontId="0" fillId="0" borderId="6" applyAlignment="1" pivotButton="0" quotePrefix="0" xfId="0">
      <alignment horizontal="left"/>
    </xf>
    <xf numFmtId="3" fontId="7" fillId="0" borderId="17" applyAlignment="1" pivotButton="0" quotePrefix="0" xfId="9">
      <alignment horizontal="left" wrapText="1"/>
    </xf>
    <xf numFmtId="0" fontId="2" fillId="0" borderId="4" applyAlignment="1" pivotButton="0" quotePrefix="0" xfId="6">
      <alignment wrapText="1"/>
    </xf>
    <xf numFmtId="0" fontId="6" fillId="0" borderId="0" applyAlignment="1" pivotButton="0" quotePrefix="0" xfId="0">
      <alignment horizontal="left" wrapText="1"/>
    </xf>
    <xf numFmtId="165" fontId="0" fillId="0" borderId="0" pivotButton="0" quotePrefix="0" xfId="8"/>
    <xf numFmtId="0" fontId="0" fillId="0" borderId="6" pivotButton="0" quotePrefix="0" xfId="0"/>
    <xf numFmtId="0" fontId="0" fillId="0" borderId="20" pivotButton="0" quotePrefix="0" xfId="0"/>
    <xf numFmtId="0" fontId="0" fillId="0" borderId="21" pivotButton="0" quotePrefix="0" xfId="0"/>
    <xf numFmtId="164" fontId="11" fillId="0" borderId="3" applyAlignment="1" pivotButton="0" quotePrefix="0" xfId="5">
      <alignment horizontal="right" wrapText="1"/>
    </xf>
    <xf numFmtId="0" fontId="0" fillId="0" borderId="4" pivotButton="0" quotePrefix="0" xfId="0"/>
  </cellXfs>
  <cellStyles count="54">
    <cellStyle name="Normal" xfId="0" builtinId="0"/>
    <cellStyle name="Font: Calibri, 9pt regular" xfId="1"/>
    <cellStyle name="Header: bottom row" xfId="2"/>
    <cellStyle name="Table title" xfId="3"/>
    <cellStyle name="Parent row" xfId="4"/>
    <cellStyle name="Body: normal cell" xfId="5"/>
    <cellStyle name="Footnotes: top row" xfId="6"/>
    <cellStyle name="Normal 2" xfId="7"/>
    <cellStyle name="Percent" xfId="8" builtinId="5"/>
    <cellStyle name="Header: top rows" xfId="9"/>
    <cellStyle name="Comma" xfId="10" builtinId="3"/>
    <cellStyle name="Title" xfId="11" builtinId="15"/>
    <cellStyle name="Heading 1" xfId="12" builtinId="16"/>
    <cellStyle name="Heading 2" xfId="13" builtinId="17"/>
    <cellStyle name="Heading 3" xfId="14" builtinId="18"/>
    <cellStyle name="Heading 4" xfId="15" builtinId="19"/>
    <cellStyle name="Good" xfId="16" builtinId="26"/>
    <cellStyle name="Bad" xfId="17" builtinId="27"/>
    <cellStyle name="Input" xfId="18" builtinId="20"/>
    <cellStyle name="Output" xfId="19" builtinId="21"/>
    <cellStyle name="Calculation" xfId="20" builtinId="22"/>
    <cellStyle name="Linked Cell" xfId="21" builtinId="24"/>
    <cellStyle name="Check Cell" xfId="22" builtinId="23"/>
    <cellStyle name="Warning Text" xfId="23" builtinId="11"/>
    <cellStyle name="Note" xfId="24" builtinId="10"/>
    <cellStyle name="Explanatory Text" xfId="25" builtinId="53"/>
    <cellStyle name="Total" xfId="26" builtinId="25"/>
    <cellStyle name="Accent1" xfId="27" builtinId="29"/>
    <cellStyle name="20% - Accent1" xfId="28" builtinId="30"/>
    <cellStyle name="40% - Accent1" xfId="29" builtinId="31"/>
    <cellStyle name="Accent2" xfId="30" builtinId="33"/>
    <cellStyle name="20% - Accent2" xfId="31" builtinId="34"/>
    <cellStyle name="40% - Accent2" xfId="32" builtinId="35"/>
    <cellStyle name="Accent3" xfId="33" builtinId="37"/>
    <cellStyle name="20% - Accent3" xfId="34" builtinId="38"/>
    <cellStyle name="40% - Accent3" xfId="35" builtinId="39"/>
    <cellStyle name="Accent4" xfId="36" builtinId="41"/>
    <cellStyle name="20% - Accent4" xfId="37" builtinId="42"/>
    <cellStyle name="40% - Accent4" xfId="38" builtinId="43"/>
    <cellStyle name="Accent5" xfId="39" builtinId="45"/>
    <cellStyle name="20% - Accent5" xfId="40" builtinId="46"/>
    <cellStyle name="40% - Accent5" xfId="41" builtinId="47"/>
    <cellStyle name="Accent6" xfId="42" builtinId="49"/>
    <cellStyle name="20% - Accent6" xfId="43" builtinId="50"/>
    <cellStyle name="40% - Accent6" xfId="44" builtinId="51"/>
    <cellStyle name="Neutral 2" xfId="45"/>
    <cellStyle name="60% - Accent1 2" xfId="46"/>
    <cellStyle name="60% - Accent2 2" xfId="47"/>
    <cellStyle name="60% - Accent3 2" xfId="48"/>
    <cellStyle name="60% - Accent4 2" xfId="49"/>
    <cellStyle name="60% - Accent5 2" xfId="50"/>
    <cellStyle name="60% - Accent6 2" xfId="51"/>
    <cellStyle name="Hyperlink" xfId="52" builtinId="8"/>
    <cellStyle name="Normal 3" xf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scatterChart>
        <scatterStyle val="smoothMarker"/>
        <varyColors val="0"/>
        <ser>
          <idx val="0"/>
          <order val="0"/>
          <tx>
            <strRef>
              <f>Calculations!$C$83</f>
              <strCache>
                <ptCount val="1"/>
                <pt idx="0">
                  <v>hard coal</v>
                </pt>
              </strCache>
            </strRef>
          </tx>
          <spPr>
            <a:ln w="19050" cap="rnd">
              <a:solidFill>
                <a:schemeClr val="accent1"/>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Calculations!$D$83:$AE$83</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
          <order val="1"/>
          <tx>
            <strRef>
              <f>Calculations!$C$84</f>
              <strCache>
                <ptCount val="1"/>
                <pt idx="0">
                  <v>natural gas nonpeaker</v>
                </pt>
              </strCache>
            </strRef>
          </tx>
          <spPr>
            <a:ln w="19050" cap="rnd">
              <a:solidFill>
                <a:schemeClr val="accent2"/>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Calculations!$D$84:$AE$84</f>
              <numCache>
                <formatCode>General</formatCode>
                <ptCount val="28"/>
                <pt idx="0">
                  <v>1394.019</v>
                </pt>
                <pt idx="1">
                  <v>1468.725</v>
                </pt>
                <pt idx="2">
                  <v>1491.927</v>
                </pt>
                <pt idx="3">
                  <v>1513.03</v>
                </pt>
                <pt idx="4">
                  <v>1537.755</v>
                </pt>
                <pt idx="5">
                  <v>1566.026</v>
                </pt>
                <pt idx="6">
                  <v>1595.875</v>
                </pt>
                <pt idx="7">
                  <v>1625.34</v>
                </pt>
                <pt idx="8">
                  <v>1656.078</v>
                </pt>
                <pt idx="9">
                  <v>1684.031</v>
                </pt>
                <pt idx="10">
                  <v>1715.831</v>
                </pt>
                <pt idx="11">
                  <v>1743.984</v>
                </pt>
                <pt idx="12">
                  <v>1769.621</v>
                </pt>
                <pt idx="13">
                  <v>1794.761</v>
                </pt>
                <pt idx="14">
                  <v>1818.971</v>
                </pt>
                <pt idx="15">
                  <v>1844.858</v>
                </pt>
                <pt idx="16">
                  <v>1867.743</v>
                </pt>
                <pt idx="17">
                  <v>1890.473</v>
                </pt>
                <pt idx="18">
                  <v>1913.854</v>
                </pt>
                <pt idx="19">
                  <v>1937.492</v>
                </pt>
                <pt idx="20">
                  <v>1960.683</v>
                </pt>
                <pt idx="21">
                  <v>1984.5</v>
                </pt>
                <pt idx="22">
                  <v>2007.75</v>
                </pt>
                <pt idx="23">
                  <v>2030.395</v>
                </pt>
                <pt idx="24">
                  <v>2054.643</v>
                </pt>
                <pt idx="25">
                  <v>2079.596</v>
                </pt>
                <pt idx="26">
                  <v>2104.159</v>
                </pt>
                <pt idx="27">
                  <v>2128.86</v>
                </pt>
              </numCache>
            </numRef>
          </yVal>
          <smooth val="1"/>
        </ser>
        <ser>
          <idx val="2"/>
          <order val="2"/>
          <tx>
            <strRef>
              <f>Calculations!$C$85</f>
              <strCache>
                <ptCount val="1"/>
                <pt idx="0">
                  <v>nuclear</v>
                </pt>
              </strCache>
            </strRef>
          </tx>
          <spPr>
            <a:ln w="19050" cap="rnd">
              <a:solidFill>
                <a:schemeClr val="accent3"/>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Calculations!$D$85:$AE$85</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3"/>
          <order val="3"/>
          <tx>
            <strRef>
              <f>Calculations!$C$86</f>
              <strCache>
                <ptCount val="1"/>
                <pt idx="0">
                  <v>hydro</v>
                </pt>
              </strCache>
            </strRef>
          </tx>
          <spPr>
            <a:ln w="19050" cap="rnd">
              <a:solidFill>
                <a:schemeClr val="accent4"/>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Calculations!$D$86:$AE$86</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4"/>
          <order val="4"/>
          <tx>
            <strRef>
              <f>Calculations!$C$87</f>
              <strCache>
                <ptCount val="1"/>
                <pt idx="0">
                  <v>onshore wind</v>
                </pt>
              </strCache>
            </strRef>
          </tx>
          <spPr>
            <a:ln w="19050" cap="rnd">
              <a:solidFill>
                <a:schemeClr val="accent5"/>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Calculations!$D$87:$AE$87</f>
              <numCache>
                <formatCode>General</formatCode>
                <ptCount val="28"/>
                <pt idx="0">
                  <v>559.7370000000001</v>
                </pt>
                <pt idx="1">
                  <v>585.6400000000001</v>
                </pt>
                <pt idx="2">
                  <v>586.14</v>
                </pt>
                <pt idx="3">
                  <v>585.976</v>
                </pt>
                <pt idx="4">
                  <v>585.812</v>
                </pt>
                <pt idx="5">
                  <v>585.966</v>
                </pt>
                <pt idx="6">
                  <v>587.707</v>
                </pt>
                <pt idx="7">
                  <v>589.139</v>
                </pt>
                <pt idx="8">
                  <v>591.231</v>
                </pt>
                <pt idx="9">
                  <v>594.0849999999999</v>
                </pt>
                <pt idx="10">
                  <v>598.3960000000001</v>
                </pt>
                <pt idx="11">
                  <v>599.722</v>
                </pt>
                <pt idx="12">
                  <v>600.02</v>
                </pt>
                <pt idx="13">
                  <v>600.294</v>
                </pt>
                <pt idx="14">
                  <v>600.514</v>
                </pt>
                <pt idx="15">
                  <v>601.311</v>
                </pt>
                <pt idx="16">
                  <v>602.011</v>
                </pt>
                <pt idx="17">
                  <v>602.796</v>
                </pt>
                <pt idx="18">
                  <v>603.841</v>
                </pt>
                <pt idx="19">
                  <v>604.634</v>
                </pt>
                <pt idx="20">
                  <v>605.307</v>
                </pt>
                <pt idx="21">
                  <v>606.4340000000001</v>
                </pt>
                <pt idx="22">
                  <v>607.621</v>
                </pt>
                <pt idx="23">
                  <v>608.561</v>
                </pt>
                <pt idx="24">
                  <v>609.7040000000001</v>
                </pt>
                <pt idx="25">
                  <v>610.8869999999999</v>
                </pt>
                <pt idx="26">
                  <v>611.9369999999999</v>
                </pt>
                <pt idx="27">
                  <v>613.521</v>
                </pt>
              </numCache>
            </numRef>
          </yVal>
          <smooth val="1"/>
        </ser>
        <ser>
          <idx val="5"/>
          <order val="5"/>
          <tx>
            <strRef>
              <f>Calculations!$C$88</f>
              <strCache>
                <ptCount val="1"/>
                <pt idx="0">
                  <v>solar PV</v>
                </pt>
              </strCache>
            </strRef>
          </tx>
          <spPr>
            <a:ln w="19050" cap="rnd">
              <a:solidFill>
                <a:schemeClr val="accent6"/>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Calculations!$D$88:$AE$88</f>
              <numCache>
                <formatCode>General</formatCode>
                <ptCount val="28"/>
                <pt idx="0">
                  <v>26815.535</v>
                </pt>
                <pt idx="1">
                  <v>29403.9</v>
                </pt>
                <pt idx="2">
                  <v>33142.555</v>
                </pt>
                <pt idx="3">
                  <v>36800.396</v>
                </pt>
                <pt idx="4">
                  <v>38358.521</v>
                </pt>
                <pt idx="5">
                  <v>39891.655</v>
                </pt>
                <pt idx="6">
                  <v>42091.751</v>
                </pt>
                <pt idx="7">
                  <v>44706.081</v>
                </pt>
                <pt idx="8">
                  <v>48084.167</v>
                </pt>
                <pt idx="9">
                  <v>51117.046</v>
                </pt>
                <pt idx="10">
                  <v>54807.766</v>
                </pt>
                <pt idx="11">
                  <v>57239.326</v>
                </pt>
                <pt idx="12">
                  <v>58673.073</v>
                </pt>
                <pt idx="13">
                  <v>59890.533</v>
                </pt>
                <pt idx="14">
                  <v>61188.202</v>
                </pt>
                <pt idx="15">
                  <v>63243.031</v>
                </pt>
                <pt idx="16">
                  <v>64339.18</v>
                </pt>
                <pt idx="17">
                  <v>65586.02899999999</v>
                </pt>
                <pt idx="18">
                  <v>67469.231</v>
                </pt>
                <pt idx="19">
                  <v>69360.33600000001</v>
                </pt>
                <pt idx="20">
                  <v>71423.912</v>
                </pt>
                <pt idx="21">
                  <v>73477.11200000001</v>
                </pt>
                <pt idx="22">
                  <v>75590.88900000001</v>
                </pt>
                <pt idx="23">
                  <v>77521.83499999999</v>
                </pt>
                <pt idx="24">
                  <v>79788.01699999999</v>
                </pt>
                <pt idx="25">
                  <v>82122.704</v>
                </pt>
                <pt idx="26">
                  <v>84375.61</v>
                </pt>
                <pt idx="27">
                  <v>86847.68699999999</v>
                </pt>
              </numCache>
            </numRef>
          </yVal>
          <smooth val="1"/>
        </ser>
        <ser>
          <idx val="6"/>
          <order val="6"/>
          <tx>
            <strRef>
              <f>Calculations!$C$89</f>
              <strCache>
                <ptCount val="1"/>
                <pt idx="0">
                  <v>solar thermal</v>
                </pt>
              </strCache>
            </strRef>
          </tx>
          <spPr>
            <a:ln w="19050" cap="rnd">
              <a:solidFill>
                <a:schemeClr val="accent1">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Calculations!$D$89:$AE$89</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7"/>
          <order val="7"/>
          <tx>
            <strRef>
              <f>Calculations!$C$90</f>
              <strCache>
                <ptCount val="1"/>
                <pt idx="0">
                  <v>biomass</v>
                </pt>
              </strCache>
            </strRef>
          </tx>
          <spPr>
            <a:ln w="19050" cap="rnd">
              <a:solidFill>
                <a:schemeClr val="accent2">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Calculations!$D$90:$AE$90</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8"/>
          <order val="8"/>
          <tx>
            <strRef>
              <f>Calculations!$C$91</f>
              <strCache>
                <ptCount val="1"/>
                <pt idx="0">
                  <v>geothermal</v>
                </pt>
              </strCache>
            </strRef>
          </tx>
          <spPr>
            <a:ln w="19050" cap="rnd">
              <a:solidFill>
                <a:schemeClr val="accent3">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Calculations!$D$91:$AE$91</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9"/>
          <order val="9"/>
          <tx>
            <strRef>
              <f>Calculations!$C$92</f>
              <strCache>
                <ptCount val="1"/>
                <pt idx="0">
                  <v>petroleum</v>
                </pt>
              </strCache>
            </strRef>
          </tx>
          <spPr>
            <a:ln w="19050" cap="rnd">
              <a:solidFill>
                <a:schemeClr val="accent4">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Calculations!$D$92:$AE$92</f>
              <numCache>
                <formatCode>General</formatCode>
                <ptCount val="28"/>
                <pt idx="0">
                  <v>13.98</v>
                </pt>
                <pt idx="1">
                  <v>20.507</v>
                </pt>
                <pt idx="2">
                  <v>20.507</v>
                </pt>
                <pt idx="3">
                  <v>20.507</v>
                </pt>
                <pt idx="4">
                  <v>20.507</v>
                </pt>
                <pt idx="5">
                  <v>20.507</v>
                </pt>
                <pt idx="6">
                  <v>20.507</v>
                </pt>
                <pt idx="7">
                  <v>20.507</v>
                </pt>
                <pt idx="8">
                  <v>20.507</v>
                </pt>
                <pt idx="9">
                  <v>20.507</v>
                </pt>
                <pt idx="10">
                  <v>20.507</v>
                </pt>
                <pt idx="11">
                  <v>20.507</v>
                </pt>
                <pt idx="12">
                  <v>20.507</v>
                </pt>
                <pt idx="13">
                  <v>20.507</v>
                </pt>
                <pt idx="14">
                  <v>20.507</v>
                </pt>
                <pt idx="15">
                  <v>20.507</v>
                </pt>
                <pt idx="16">
                  <v>20.507</v>
                </pt>
                <pt idx="17">
                  <v>20.507</v>
                </pt>
                <pt idx="18">
                  <v>20.507</v>
                </pt>
                <pt idx="19">
                  <v>20.507</v>
                </pt>
                <pt idx="20">
                  <v>20.507</v>
                </pt>
                <pt idx="21">
                  <v>20.507</v>
                </pt>
                <pt idx="22">
                  <v>20.507</v>
                </pt>
                <pt idx="23">
                  <v>20.507</v>
                </pt>
                <pt idx="24">
                  <v>20.507</v>
                </pt>
                <pt idx="25">
                  <v>20.507</v>
                </pt>
                <pt idx="26">
                  <v>20.507</v>
                </pt>
                <pt idx="27">
                  <v>20.507</v>
                </pt>
              </numCache>
            </numRef>
          </yVal>
          <smooth val="1"/>
        </ser>
        <ser>
          <idx val="10"/>
          <order val="10"/>
          <tx>
            <strRef>
              <f>Calculations!$C$93</f>
              <strCache>
                <ptCount val="1"/>
                <pt idx="0">
                  <v>natural gas peaker</v>
                </pt>
              </strCache>
            </strRef>
          </tx>
          <spPr>
            <a:ln w="19050" cap="rnd">
              <a:solidFill>
                <a:schemeClr val="accent5">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Calculations!$D$93:$AE$93</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1"/>
          <order val="11"/>
          <tx>
            <strRef>
              <f>Calculations!$C$94</f>
              <strCache>
                <ptCount val="1"/>
                <pt idx="0">
                  <v>lignite</v>
                </pt>
              </strCache>
            </strRef>
          </tx>
          <spPr>
            <a:ln w="19050" cap="rnd">
              <a:solidFill>
                <a:schemeClr val="accent6">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Calculations!$D$94:$AE$94</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2"/>
          <order val="12"/>
          <tx>
            <strRef>
              <f>Calculations!$C$95</f>
              <strCache>
                <ptCount val="1"/>
                <pt idx="0">
                  <v>offshore wind</v>
                </pt>
              </strCache>
            </strRef>
          </tx>
          <spPr>
            <a:ln w="19050" cap="rnd">
              <a:solidFill>
                <a:schemeClr val="accent1">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Calculations!$D$95:$AE$95</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3"/>
          <order val="13"/>
          <tx>
            <strRef>
              <f>Calculations!$C$96</f>
              <strCache>
                <ptCount val="1"/>
                <pt idx="0">
                  <v>crude oil</v>
                </pt>
              </strCache>
            </strRef>
          </tx>
          <spPr>
            <a:ln w="19050" cap="rnd">
              <a:solidFill>
                <a:schemeClr val="accent2">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Calculations!$D$96:$AE$96</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4"/>
          <order val="14"/>
          <tx>
            <strRef>
              <f>Calculations!$C$97</f>
              <strCache>
                <ptCount val="1"/>
                <pt idx="0">
                  <v>heavy or residual fuel oil</v>
                </pt>
              </strCache>
            </strRef>
          </tx>
          <spPr>
            <a:ln w="19050" cap="rnd">
              <a:solidFill>
                <a:schemeClr val="accent3">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Calculations!$D$97:$AE$97</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5"/>
          <order val="15"/>
          <tx>
            <strRef>
              <f>Calculations!$C$98</f>
              <strCache>
                <ptCount val="1"/>
                <pt idx="0">
                  <v>municipal solid waste</v>
                </pt>
              </strCache>
            </strRef>
          </tx>
          <spPr>
            <a:ln w="19050" cap="rnd">
              <a:solidFill>
                <a:schemeClr val="accent4">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Calculations!$D$98:$AE$98</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dLbls>
          <showLegendKey val="0"/>
          <showVal val="0"/>
          <showCatName val="0"/>
          <showSerName val="0"/>
          <showPercent val="0"/>
          <showBubbleSize val="0"/>
        </dLbls>
        <axId val="324266336"/>
        <axId val="324265376"/>
      </scatterChart>
      <valAx>
        <axId val="324266336"/>
        <scaling>
          <orientation val="minMax"/>
        </scaling>
        <delete val="0"/>
        <axPos val="b"/>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w="9525" cap="flat" cmpd="sng" algn="ctr">
            <a:solidFill>
              <a:schemeClr val="tx1">
                <a:lumMod val="25000"/>
                <a:lumOff val="7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24265376"/>
        <crosses val="autoZero"/>
        <crossBetween val="midCat"/>
      </valAx>
      <valAx>
        <axId val="324265376"/>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w="9525" cap="flat" cmpd="sng" algn="ctr">
            <a:solidFill>
              <a:schemeClr val="tx1">
                <a:lumMod val="25000"/>
                <a:lumOff val="7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24266336"/>
        <crosses val="autoZero"/>
        <crossBetween val="midCat"/>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scatterChart>
        <scatterStyle val="smoothMarker"/>
        <varyColors val="0"/>
        <ser>
          <idx val="0"/>
          <order val="0"/>
          <tx>
            <strRef>
              <f>Calculations!$C$103</f>
              <strCache>
                <ptCount val="1"/>
                <pt idx="0">
                  <v>hard coal</v>
                </pt>
              </strCache>
            </strRef>
          </tx>
          <spPr>
            <a:ln w="19050" cap="rnd">
              <a:solidFill>
                <a:schemeClr val="accent1"/>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Calculations!$D$103:$AE$103</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
          <order val="1"/>
          <tx>
            <strRef>
              <f>Calculations!$C$104</f>
              <strCache>
                <ptCount val="1"/>
                <pt idx="0">
                  <v>natural gas nonpeaker</v>
                </pt>
              </strCache>
            </strRef>
          </tx>
          <spPr>
            <a:ln w="19050" cap="rnd">
              <a:solidFill>
                <a:schemeClr val="accent2"/>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Calculations!$D$104:$AE$104</f>
              <numCache>
                <formatCode>General</formatCode>
                <ptCount val="28"/>
                <pt idx="0">
                  <v>9723283</v>
                </pt>
                <pt idx="1">
                  <v>8774793</v>
                </pt>
                <pt idx="2">
                  <v>8913601</v>
                </pt>
                <pt idx="3">
                  <v>9042305</v>
                </pt>
                <pt idx="4">
                  <v>9192992</v>
                </pt>
                <pt idx="5">
                  <v>9363314</v>
                </pt>
                <pt idx="6">
                  <v>9541547</v>
                </pt>
                <pt idx="7">
                  <v>9716731</v>
                </pt>
                <pt idx="8">
                  <v>9897564</v>
                </pt>
                <pt idx="9">
                  <v>10064680</v>
                </pt>
                <pt idx="10">
                  <v>10251438</v>
                </pt>
                <pt idx="11">
                  <v>10419797</v>
                </pt>
                <pt idx="12">
                  <v>10575310</v>
                </pt>
                <pt idx="13">
                  <v>10727733</v>
                </pt>
                <pt idx="14">
                  <v>10874772</v>
                </pt>
                <pt idx="15">
                  <v>11029309</v>
                </pt>
                <pt idx="16">
                  <v>11168316</v>
                </pt>
                <pt idx="17">
                  <v>11306188</v>
                </pt>
                <pt idx="18">
                  <v>11446854</v>
                </pt>
                <pt idx="19">
                  <v>11588435</v>
                </pt>
                <pt idx="20">
                  <v>11727713</v>
                </pt>
                <pt idx="21">
                  <v>11869937</v>
                </pt>
                <pt idx="22">
                  <v>12009144</v>
                </pt>
                <pt idx="23">
                  <v>12145295</v>
                </pt>
                <pt idx="24">
                  <v>12289522</v>
                </pt>
                <pt idx="25">
                  <v>12437376</v>
                </pt>
                <pt idx="26">
                  <v>12583395</v>
                </pt>
                <pt idx="27">
                  <v>12730259</v>
                </pt>
              </numCache>
            </numRef>
          </yVal>
          <smooth val="1"/>
        </ser>
        <ser>
          <idx val="2"/>
          <order val="2"/>
          <tx>
            <strRef>
              <f>Calculations!$C$105</f>
              <strCache>
                <ptCount val="1"/>
                <pt idx="0">
                  <v>nuclear</v>
                </pt>
              </strCache>
            </strRef>
          </tx>
          <spPr>
            <a:ln w="19050" cap="rnd">
              <a:solidFill>
                <a:schemeClr val="accent3"/>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Calculations!$D$105:$AE$105</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3"/>
          <order val="3"/>
          <tx>
            <strRef>
              <f>Calculations!$C$106</f>
              <strCache>
                <ptCount val="1"/>
                <pt idx="0">
                  <v>hydro</v>
                </pt>
              </strCache>
            </strRef>
          </tx>
          <spPr>
            <a:ln w="19050" cap="rnd">
              <a:solidFill>
                <a:schemeClr val="accent4"/>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Calculations!$D$106:$AE$106</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4"/>
          <order val="4"/>
          <tx>
            <strRef>
              <f>Calculations!$C$107</f>
              <strCache>
                <ptCount val="1"/>
                <pt idx="0">
                  <v>onshore wind</v>
                </pt>
              </strCache>
            </strRef>
          </tx>
          <spPr>
            <a:ln w="19050" cap="rnd">
              <a:solidFill>
                <a:schemeClr val="accent5"/>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Calculations!$D$107:$AE$107</f>
              <numCache>
                <formatCode>General</formatCode>
                <ptCount val="28"/>
                <pt idx="0">
                  <v>763439</v>
                </pt>
                <pt idx="1">
                  <v>741164</v>
                </pt>
                <pt idx="2">
                  <v>741862</v>
                </pt>
                <pt idx="3">
                  <v>741634</v>
                </pt>
                <pt idx="4">
                  <v>741405</v>
                </pt>
                <pt idx="5">
                  <v>741585</v>
                </pt>
                <pt idx="6">
                  <v>743387</v>
                </pt>
                <pt idx="7">
                  <v>744916</v>
                </pt>
                <pt idx="8">
                  <v>747153</v>
                </pt>
                <pt idx="9">
                  <v>750224</v>
                </pt>
                <pt idx="10">
                  <v>754975</v>
                </pt>
                <pt idx="11">
                  <v>756600</v>
                </pt>
                <pt idx="12">
                  <v>756915</v>
                </pt>
                <pt idx="13">
                  <v>757258</v>
                </pt>
                <pt idx="14">
                  <v>757475</v>
                </pt>
                <pt idx="15">
                  <v>758398</v>
                </pt>
                <pt idx="16">
                  <v>759129</v>
                </pt>
                <pt idx="17">
                  <v>759939</v>
                </pt>
                <pt idx="18">
                  <v>761029</v>
                </pt>
                <pt idx="19">
                  <v>761872</v>
                </pt>
                <pt idx="20">
                  <v>762598</v>
                </pt>
                <pt idx="21">
                  <v>763846</v>
                </pt>
                <pt idx="22">
                  <v>765101</v>
                </pt>
                <pt idx="23">
                  <v>766083</v>
                </pt>
                <pt idx="24">
                  <v>767297</v>
                </pt>
                <pt idx="25">
                  <v>768562</v>
                </pt>
                <pt idx="26">
                  <v>769681</v>
                </pt>
                <pt idx="27">
                  <v>771365</v>
                </pt>
              </numCache>
            </numRef>
          </yVal>
          <smooth val="1"/>
        </ser>
        <ser>
          <idx val="5"/>
          <order val="5"/>
          <tx>
            <strRef>
              <f>Calculations!$C$108</f>
              <strCache>
                <ptCount val="1"/>
                <pt idx="0">
                  <v>solar PV</v>
                </pt>
              </strCache>
            </strRef>
          </tx>
          <spPr>
            <a:ln w="19050" cap="rnd">
              <a:solidFill>
                <a:schemeClr val="accent6"/>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Calculations!$D$108:$AE$108</f>
              <numCache>
                <formatCode>General</formatCode>
                <ptCount val="28"/>
                <pt idx="0">
                  <v>37878464</v>
                </pt>
                <pt idx="1">
                  <v>40940166</v>
                </pt>
                <pt idx="2">
                  <v>45887695</v>
                </pt>
                <pt idx="3">
                  <v>50716282</v>
                </pt>
                <pt idx="4">
                  <v>52765446</v>
                </pt>
                <pt idx="5">
                  <v>54753529</v>
                </pt>
                <pt idx="6">
                  <v>57639774</v>
                </pt>
                <pt idx="7">
                  <v>61061390</v>
                </pt>
                <pt idx="8">
                  <v>65406250</v>
                </pt>
                <pt idx="9">
                  <v>69372765</v>
                </pt>
                <pt idx="10">
                  <v>74072678</v>
                </pt>
                <pt idx="11">
                  <v>77172493</v>
                </pt>
                <pt idx="12">
                  <v>79025940</v>
                </pt>
                <pt idx="13">
                  <v>80611717</v>
                </pt>
                <pt idx="14">
                  <v>82329025</v>
                </pt>
                <pt idx="15">
                  <v>84916397</v>
                </pt>
                <pt idx="16">
                  <v>86386360</v>
                </pt>
                <pt idx="17">
                  <v>88048470</v>
                </pt>
                <pt idx="18">
                  <v>90493286</v>
                </pt>
                <pt idx="19">
                  <v>92879173</v>
                </pt>
                <pt idx="20">
                  <v>95495697</v>
                </pt>
                <pt idx="21">
                  <v>98128258</v>
                </pt>
                <pt idx="22">
                  <v>100852867</v>
                </pt>
                <pt idx="23">
                  <v>103325272</v>
                </pt>
                <pt idx="24">
                  <v>106200821</v>
                </pt>
                <pt idx="25">
                  <v>109171265</v>
                </pt>
                <pt idx="26">
                  <v>112048836</v>
                </pt>
                <pt idx="27">
                  <v>115190025</v>
                </pt>
              </numCache>
            </numRef>
          </yVal>
          <smooth val="1"/>
        </ser>
        <ser>
          <idx val="6"/>
          <order val="6"/>
          <tx>
            <strRef>
              <f>Calculations!$C$109</f>
              <strCache>
                <ptCount val="1"/>
                <pt idx="0">
                  <v>solar thermal</v>
                </pt>
              </strCache>
            </strRef>
          </tx>
          <spPr>
            <a:ln w="19050" cap="rnd">
              <a:solidFill>
                <a:schemeClr val="accent1">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Calculations!$D$109:$AE$109</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7"/>
          <order val="7"/>
          <tx>
            <strRef>
              <f>Calculations!$C$110</f>
              <strCache>
                <ptCount val="1"/>
                <pt idx="0">
                  <v>biomass</v>
                </pt>
              </strCache>
            </strRef>
          </tx>
          <spPr>
            <a:ln w="19050" cap="rnd">
              <a:solidFill>
                <a:schemeClr val="accent2">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Calculations!$D$110:$AE$110</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8"/>
          <order val="8"/>
          <tx>
            <strRef>
              <f>Calculations!$C$111</f>
              <strCache>
                <ptCount val="1"/>
                <pt idx="0">
                  <v>geothermal</v>
                </pt>
              </strCache>
            </strRef>
          </tx>
          <spPr>
            <a:ln w="19050" cap="rnd">
              <a:solidFill>
                <a:schemeClr val="accent3">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Calculations!$D$111:$AE$111</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9"/>
          <order val="9"/>
          <tx>
            <strRef>
              <f>Calculations!$C$112</f>
              <strCache>
                <ptCount val="1"/>
                <pt idx="0">
                  <v>petroleum</v>
                </pt>
              </strCache>
            </strRef>
          </tx>
          <spPr>
            <a:ln w="19050" cap="rnd">
              <a:solidFill>
                <a:schemeClr val="accent4">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Calculations!$D$112:$AE$112</f>
              <numCache>
                <formatCode>General</formatCode>
                <ptCount val="28"/>
                <pt idx="0">
                  <v>97511</v>
                </pt>
                <pt idx="1">
                  <v>81209</v>
                </pt>
                <pt idx="2">
                  <v>81209</v>
                </pt>
                <pt idx="3">
                  <v>81209</v>
                </pt>
                <pt idx="4">
                  <v>81209</v>
                </pt>
                <pt idx="5">
                  <v>81209</v>
                </pt>
                <pt idx="6">
                  <v>81209</v>
                </pt>
                <pt idx="7">
                  <v>81209</v>
                </pt>
                <pt idx="8">
                  <v>81209</v>
                </pt>
                <pt idx="9">
                  <v>81209</v>
                </pt>
                <pt idx="10">
                  <v>81209</v>
                </pt>
                <pt idx="11">
                  <v>81209</v>
                </pt>
                <pt idx="12">
                  <v>81209</v>
                </pt>
                <pt idx="13">
                  <v>81209</v>
                </pt>
                <pt idx="14">
                  <v>81209</v>
                </pt>
                <pt idx="15">
                  <v>81209</v>
                </pt>
                <pt idx="16">
                  <v>81209</v>
                </pt>
                <pt idx="17">
                  <v>81209</v>
                </pt>
                <pt idx="18">
                  <v>81209</v>
                </pt>
                <pt idx="19">
                  <v>81209</v>
                </pt>
                <pt idx="20">
                  <v>81209</v>
                </pt>
                <pt idx="21">
                  <v>81209</v>
                </pt>
                <pt idx="22">
                  <v>81209</v>
                </pt>
                <pt idx="23">
                  <v>81209</v>
                </pt>
                <pt idx="24">
                  <v>81209</v>
                </pt>
                <pt idx="25">
                  <v>81209</v>
                </pt>
                <pt idx="26">
                  <v>81209</v>
                </pt>
                <pt idx="27">
                  <v>81209</v>
                </pt>
              </numCache>
            </numRef>
          </yVal>
          <smooth val="1"/>
        </ser>
        <ser>
          <idx val="10"/>
          <order val="10"/>
          <tx>
            <strRef>
              <f>Calculations!$C$113</f>
              <strCache>
                <ptCount val="1"/>
                <pt idx="0">
                  <v>natural gas peaker</v>
                </pt>
              </strCache>
            </strRef>
          </tx>
          <spPr>
            <a:ln w="19050" cap="rnd">
              <a:solidFill>
                <a:schemeClr val="accent5">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Calculations!$D$113:$AE$113</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1"/>
          <order val="11"/>
          <tx>
            <strRef>
              <f>Calculations!$C$114</f>
              <strCache>
                <ptCount val="1"/>
                <pt idx="0">
                  <v>lignite</v>
                </pt>
              </strCache>
            </strRef>
          </tx>
          <spPr>
            <a:ln w="19050" cap="rnd">
              <a:solidFill>
                <a:schemeClr val="accent6">
                  <a:lumMod val="6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Calculations!$D$114:$AE$114</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2"/>
          <order val="12"/>
          <tx>
            <strRef>
              <f>Calculations!$C$115</f>
              <strCache>
                <ptCount val="1"/>
                <pt idx="0">
                  <v>offshore wind</v>
                </pt>
              </strCache>
            </strRef>
          </tx>
          <spPr>
            <a:ln w="19050" cap="rnd">
              <a:solidFill>
                <a:schemeClr val="accent1">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Calculations!$D$115:$AE$115</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3"/>
          <order val="13"/>
          <tx>
            <strRef>
              <f>Calculations!$C$116</f>
              <strCache>
                <ptCount val="1"/>
                <pt idx="0">
                  <v>crude oil</v>
                </pt>
              </strCache>
            </strRef>
          </tx>
          <spPr>
            <a:ln w="19050" cap="rnd">
              <a:solidFill>
                <a:schemeClr val="accent2">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Calculations!$D$116:$AE$116</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4"/>
          <order val="14"/>
          <tx>
            <strRef>
              <f>Calculations!$C$117</f>
              <strCache>
                <ptCount val="1"/>
                <pt idx="0">
                  <v>heavy or residual fuel oil</v>
                </pt>
              </strCache>
            </strRef>
          </tx>
          <spPr>
            <a:ln w="19050" cap="rnd">
              <a:solidFill>
                <a:schemeClr val="accent3">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Calculations!$D$117:$AE$117</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ser>
          <idx val="15"/>
          <order val="15"/>
          <tx>
            <strRef>
              <f>Calculations!$C$118</f>
              <strCache>
                <ptCount val="1"/>
                <pt idx="0">
                  <v>municipal solid waste</v>
                </pt>
              </strCache>
            </strRef>
          </tx>
          <spPr>
            <a:ln w="19050" cap="rnd">
              <a:solidFill>
                <a:schemeClr val="accent4">
                  <a:lumMod val="80000"/>
                  <a:lumOff val="20000"/>
                </a:schemeClr>
              </a:solidFill>
              <a:prstDash val="solid"/>
              <a:round/>
            </a:ln>
          </spPr>
          <marker>
            <symbol val="none"/>
            <spPr>
              <a:ln>
                <a:prstDash val="solid"/>
              </a:ln>
            </spPr>
          </marker>
          <xVal>
            <numRef>
              <f>Calculations!$D$82:$AE$82</f>
              <numCache>
                <formatCode>General</formatCode>
                <ptCount val="28"/>
                <pt idx="0">
                  <v>2023</v>
                </pt>
                <pt idx="1">
                  <v>2024</v>
                </pt>
                <pt idx="2">
                  <v>2025</v>
                </pt>
                <pt idx="3">
                  <v>2026</v>
                </pt>
                <pt idx="4">
                  <v>2027</v>
                </pt>
                <pt idx="5">
                  <v>2028</v>
                </pt>
                <pt idx="6">
                  <v>2029</v>
                </pt>
                <pt idx="7">
                  <v>2030</v>
                </pt>
                <pt idx="8">
                  <v>2031</v>
                </pt>
                <pt idx="9">
                  <v>2032</v>
                </pt>
                <pt idx="10">
                  <v>2033</v>
                </pt>
                <pt idx="11">
                  <v>2034</v>
                </pt>
                <pt idx="12">
                  <v>2035</v>
                </pt>
                <pt idx="13">
                  <v>2036</v>
                </pt>
                <pt idx="14">
                  <v>2037</v>
                </pt>
                <pt idx="15">
                  <v>2038</v>
                </pt>
                <pt idx="16">
                  <v>2039</v>
                </pt>
                <pt idx="17">
                  <v>2040</v>
                </pt>
                <pt idx="18">
                  <v>2041</v>
                </pt>
                <pt idx="19">
                  <v>2042</v>
                </pt>
                <pt idx="20">
                  <v>2043</v>
                </pt>
                <pt idx="21">
                  <v>2044</v>
                </pt>
                <pt idx="22">
                  <v>2045</v>
                </pt>
                <pt idx="23">
                  <v>2046</v>
                </pt>
                <pt idx="24">
                  <v>2047</v>
                </pt>
                <pt idx="25">
                  <v>2048</v>
                </pt>
                <pt idx="26">
                  <v>2049</v>
                </pt>
                <pt idx="27">
                  <v>2050</v>
                </pt>
              </numCache>
            </numRef>
          </xVal>
          <yVal>
            <numRef>
              <f>Calculations!$D$118:$AE$118</f>
              <numCache>
                <formatCode>General</formatCode>
                <ptCount val="28"/>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numCache>
            </numRef>
          </yVal>
          <smooth val="1"/>
        </ser>
        <dLbls>
          <showLegendKey val="0"/>
          <showVal val="0"/>
          <showCatName val="0"/>
          <showSerName val="0"/>
          <showPercent val="0"/>
          <showBubbleSize val="0"/>
        </dLbls>
        <axId val="324266336"/>
        <axId val="324265376"/>
      </scatterChart>
      <valAx>
        <axId val="324266336"/>
        <scaling>
          <orientation val="minMax"/>
        </scaling>
        <delete val="0"/>
        <axPos val="b"/>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w="9525" cap="flat" cmpd="sng" algn="ctr">
            <a:solidFill>
              <a:schemeClr val="tx1">
                <a:lumMod val="25000"/>
                <a:lumOff val="7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24265376"/>
        <crosses val="autoZero"/>
        <crossBetween val="midCat"/>
      </valAx>
      <valAx>
        <axId val="324265376"/>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w="9525" cap="flat" cmpd="sng" algn="ctr">
            <a:solidFill>
              <a:schemeClr val="tx1">
                <a:lumMod val="25000"/>
                <a:lumOff val="7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24266336"/>
        <crosses val="autoZero"/>
        <crossBetween val="midCat"/>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232170</colOff>
      <row>121</row>
      <rowOff>158352</rowOff>
    </from>
    <to>
      <col>12</col>
      <colOff>559593</colOff>
      <row>156</row>
      <rowOff>178594</rowOff>
    </to>
    <graphicFrame>
      <nvGraphicFramePr>
        <cNvPr id="1" name="Chart 1"/>
        <cNvGraphicFramePr/>
      </nvGraphicFramePr>
      <xfrm/>
      <a:graphic>
        <a:graphicData uri="http://schemas.openxmlformats.org/drawingml/2006/chart">
          <c:chart r:id="rId1"/>
        </a:graphicData>
      </a:graphic>
    </graphicFrame>
    <clientData/>
  </twoCellAnchor>
  <twoCellAnchor>
    <from>
      <col>14</col>
      <colOff>0</colOff>
      <row>122</row>
      <rowOff>0</rowOff>
    </from>
    <to>
      <col>26</col>
      <colOff>77392</colOff>
      <row>157</row>
      <rowOff>20242</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consumption/residential/data/2020/?src=%E2%80%B9%20Consumption%20%20%20%20%20%20Residential%20Energy%20Consumption%20Survey%20(RECS)-f1" TargetMode="External" Id="rId1" /><Relationship Type="http://schemas.openxmlformats.org/officeDocument/2006/relationships/hyperlink" Target="https://www.eia.gov/consumption/residential/data/2020/hc/xls/HC%202.1.xlsx" TargetMode="External" Id="rId2"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29"/>
  <sheetViews>
    <sheetView tabSelected="1" workbookViewId="0">
      <selection activeCell="B8" sqref="B8"/>
    </sheetView>
  </sheetViews>
  <sheetFormatPr baseColWidth="8" defaultRowHeight="14.75"/>
  <cols>
    <col width="51.86328125" customWidth="1" min="1" max="1"/>
    <col width="51" customWidth="1" min="2" max="2"/>
    <col width="14.40625" bestFit="1" customWidth="1" min="4" max="4"/>
    <col width="10.86328125" bestFit="1" customWidth="1" min="5" max="5"/>
  </cols>
  <sheetData>
    <row r="1">
      <c r="A1" s="1" t="inlineStr">
        <is>
          <t>BDESC BAU Distributed Electricity Source Capacity</t>
        </is>
      </c>
    </row>
    <row r="3">
      <c r="A3" s="1" t="inlineStr">
        <is>
          <t>Sources:</t>
        </is>
      </c>
      <c r="B3" s="3" t="inlineStr">
        <is>
          <t>Distributed Generation and Capacity - 2021-2050</t>
        </is>
      </c>
    </row>
    <row r="4">
      <c r="B4" t="inlineStr">
        <is>
          <t>Energy Information Administration</t>
        </is>
      </c>
    </row>
    <row r="5">
      <c r="B5" s="2" t="inlineStr">
        <is>
          <t>2023, 2025</t>
        </is>
      </c>
    </row>
    <row r="6">
      <c r="B6" t="inlineStr">
        <is>
          <t>Annual Energy Outlook 2023</t>
        </is>
      </c>
    </row>
    <row r="7">
      <c r="B7" t="inlineStr">
        <is>
          <t>Annual Energy Outlook 2025</t>
        </is>
      </c>
    </row>
    <row r="8">
      <c r="B8" t="inlineStr">
        <is>
          <t>Scenario: High zero-carbon technology cost</t>
        </is>
      </c>
    </row>
    <row r="9">
      <c r="B9" t="inlineStr">
        <is>
          <t>https://www.eia.gov/outlooks/aeo/tables_side_xls.php</t>
        </is>
      </c>
    </row>
    <row r="10">
      <c r="B10" t="inlineStr">
        <is>
          <t>Table 21 and Table 22</t>
        </is>
      </c>
    </row>
    <row r="12">
      <c r="B12" s="3" t="inlineStr">
        <is>
          <t>Urban vs. Rural Residential Households</t>
        </is>
      </c>
    </row>
    <row r="13">
      <c r="B13" t="inlineStr">
        <is>
          <t>Energy Information Administration</t>
        </is>
      </c>
    </row>
    <row r="14">
      <c r="B14" s="2" t="n">
        <v>2020</v>
      </c>
    </row>
    <row r="15">
      <c r="B15" t="inlineStr">
        <is>
          <t>Residential Energy Consumption Survey (RECS)</t>
        </is>
      </c>
    </row>
    <row r="16">
      <c r="B16" s="18" t="inlineStr">
        <is>
          <t>https://www.eia.gov/consumption/residential/data/2020/?src=%E2%80%B9%20Consumption%20%20%20%20%20%20Residential%20Energy%20Consumption%20Survey%20(RECS)-f1</t>
        </is>
      </c>
    </row>
    <row r="17">
      <c r="B17" s="18" t="inlineStr">
        <is>
          <t>https://www.eia.gov/consumption/residential/data/2020/hc/xls/HC%202.1.xlsx</t>
        </is>
      </c>
    </row>
    <row r="18">
      <c r="B18" t="inlineStr">
        <is>
          <t>Table HC2.1</t>
        </is>
      </c>
    </row>
    <row r="20">
      <c r="A20" s="1" t="inlineStr">
        <is>
          <t>Notes</t>
        </is>
      </c>
    </row>
    <row r="21">
      <c r="A21" t="inlineStr">
        <is>
          <t>We adjust EIA's projections by the amount of distributed solar we expect to be deployed</t>
        </is>
      </c>
    </row>
    <row r="22">
      <c r="A22" t="inlineStr">
        <is>
          <t>due to the Inflation Reduction Act (see tab for methodology).</t>
        </is>
      </c>
    </row>
    <row r="23">
      <c r="A23" t="inlineStr">
        <is>
          <t>Tax credit ends in 2026</t>
        </is>
      </c>
    </row>
    <row r="24">
      <c r="A24" s="1" t="inlineStr">
        <is>
          <t>Urban Rural Split</t>
        </is>
      </c>
    </row>
    <row r="25">
      <c r="A25" s="66">
        <f>'RECS HC2.1'!B24/SUM('RECS HC2.1'!B24,'RECS HC2.1'!B27)</f>
        <v/>
      </c>
      <c r="B25" t="inlineStr">
        <is>
          <t>Urban</t>
        </is>
      </c>
    </row>
    <row r="26">
      <c r="A26" s="66">
        <f>'RECS HC2.1'!B27/SUM('RECS HC2.1'!B24,'RECS HC2.1'!B27)</f>
        <v/>
      </c>
      <c r="B26" t="inlineStr">
        <is>
          <t>Rural</t>
        </is>
      </c>
    </row>
    <row r="28">
      <c r="A28" s="60" t="inlineStr">
        <is>
          <t>Conversion from billion kilowatthours to megawatthours</t>
        </is>
      </c>
      <c r="B28">
        <f>10^6</f>
        <v/>
      </c>
      <c r="C28" s="11" t="n"/>
      <c r="D28" s="12" t="n"/>
      <c r="E28" s="13" t="n"/>
    </row>
    <row r="29">
      <c r="A29" t="inlineStr">
        <is>
          <t>Conversion from gigawatts to megawatts</t>
        </is>
      </c>
      <c r="B29" t="n">
        <v>1000</v>
      </c>
      <c r="F29" s="13" t="n"/>
    </row>
  </sheetData>
  <hyperlinks>
    <hyperlink xmlns:r="http://schemas.openxmlformats.org/officeDocument/2006/relationships" ref="B16" r:id="rId1"/>
    <hyperlink xmlns:r="http://schemas.openxmlformats.org/officeDocument/2006/relationships" ref="B17" r:id="rId2"/>
  </hyperlinks>
  <pageMargins left="0.7" right="0.7" top="0.75" bottom="0.75" header="0.3" footer="0.3"/>
  <pageSetup orientation="portrait" horizontalDpi="1200" verticalDpi="1200"/>
</worksheet>
</file>

<file path=xl/worksheets/sheet2.xml><?xml version="1.0" encoding="utf-8"?>
<worksheet xmlns="http://schemas.openxmlformats.org/spreadsheetml/2006/main">
  <sheetPr>
    <tabColor theme="0" tint="-0.3499862666707358"/>
    <outlinePr summaryBelow="1" summaryRight="1"/>
    <pageSetUpPr/>
  </sheetPr>
  <dimension ref="A1:A1"/>
  <sheetViews>
    <sheetView workbookViewId="0">
      <selection activeCell="A1" sqref="A1"/>
    </sheetView>
  </sheetViews>
  <sheetFormatPr baseColWidth="8" defaultRowHeight="14.75"/>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I93"/>
  <sheetViews>
    <sheetView workbookViewId="0">
      <selection activeCell="A1" sqref="A1"/>
    </sheetView>
  </sheetViews>
  <sheetFormatPr baseColWidth="8" defaultRowHeight="14.75"/>
  <cols>
    <col width="27.40625" customWidth="1" min="1" max="1"/>
    <col width="102" bestFit="1" customWidth="1" min="2" max="2"/>
  </cols>
  <sheetData>
    <row r="1">
      <c r="A1" t="inlineStr">
        <is>
          <t>Table 21.  Residential Sector Equipment Stock and Efficiency, and Distributed Generation</t>
        </is>
      </c>
    </row>
    <row r="2">
      <c r="A2" t="inlineStr">
        <is>
          <t>https://www.eia.gov/outlooks/aeo/data/browser/#/?id=30-AEO2023&amp;sourcekey=0</t>
        </is>
      </c>
    </row>
    <row r="3">
      <c r="A3" t="inlineStr">
        <is>
          <t>Sun May 04 2025 20:12:23 GMT-0700 (Pacific Daylight Time)</t>
        </is>
      </c>
    </row>
    <row r="4">
      <c r="A4" t="inlineStr">
        <is>
          <t>Source: U.S. Energy Information Administration</t>
        </is>
      </c>
    </row>
    <row r="5">
      <c r="B5" t="inlineStr">
        <is>
          <t>full name</t>
        </is>
      </c>
      <c r="C5" t="inlineStr">
        <is>
          <t>api key</t>
        </is>
      </c>
      <c r="D5" t="inlineStr">
        <is>
          <t>units</t>
        </is>
      </c>
      <c r="E5" t="n">
        <v>2021</v>
      </c>
      <c r="F5" t="n">
        <v>2022</v>
      </c>
      <c r="G5" t="n">
        <v>2023</v>
      </c>
      <c r="H5" t="n">
        <v>2024</v>
      </c>
      <c r="I5" t="n">
        <v>2025</v>
      </c>
      <c r="J5" t="n">
        <v>2026</v>
      </c>
      <c r="K5" t="n">
        <v>2027</v>
      </c>
      <c r="L5" t="n">
        <v>2028</v>
      </c>
      <c r="M5" t="n">
        <v>2029</v>
      </c>
      <c r="N5" t="n">
        <v>2030</v>
      </c>
      <c r="O5" t="n">
        <v>2031</v>
      </c>
      <c r="P5" t="n">
        <v>2032</v>
      </c>
      <c r="Q5" t="n">
        <v>2033</v>
      </c>
      <c r="R5" t="n">
        <v>2034</v>
      </c>
      <c r="S5" t="n">
        <v>2035</v>
      </c>
      <c r="T5" t="n">
        <v>2036</v>
      </c>
      <c r="U5" t="n">
        <v>2037</v>
      </c>
      <c r="V5" t="n">
        <v>2038</v>
      </c>
      <c r="W5" t="n">
        <v>2039</v>
      </c>
      <c r="X5" t="n">
        <v>2040</v>
      </c>
      <c r="Y5" t="n">
        <v>2041</v>
      </c>
      <c r="Z5" t="n">
        <v>2042</v>
      </c>
      <c r="AA5" t="n">
        <v>2043</v>
      </c>
      <c r="AB5" t="n">
        <v>2044</v>
      </c>
      <c r="AC5" t="n">
        <v>2045</v>
      </c>
      <c r="AD5" t="n">
        <v>2046</v>
      </c>
      <c r="AE5" t="n">
        <v>2047</v>
      </c>
      <c r="AF5" t="n">
        <v>2048</v>
      </c>
      <c r="AG5" t="n">
        <v>2049</v>
      </c>
      <c r="AH5" t="n">
        <v>2050</v>
      </c>
      <c r="AI5" t="inlineStr">
        <is>
          <t>Growth (2022-2050)</t>
        </is>
      </c>
    </row>
    <row r="6">
      <c r="A6" t="inlineStr">
        <is>
          <t>Equipment Stock (million units)</t>
        </is>
      </c>
    </row>
    <row r="7">
      <c r="A7" t="inlineStr">
        <is>
          <t>Main Space Heaters</t>
        </is>
      </c>
    </row>
    <row r="8">
      <c r="A8" t="inlineStr">
        <is>
          <t>Electric Heat Pumps</t>
        </is>
      </c>
      <c r="B8" t="inlineStr">
        <is>
          <t>Residential Equipment: Equipment Stock: Main Space Heaters: Electric Heat Pumps: Reference case</t>
        </is>
      </c>
      <c r="C8" t="inlineStr">
        <is>
          <t>AEO.2023.REF2023.EQNR_STK_RESD_MSHR_EHP_NA_NA_MILL.A</t>
        </is>
      </c>
      <c r="D8" t="inlineStr">
        <is>
          <t>millions</t>
        </is>
      </c>
      <c r="F8" t="n">
        <v>13.315578</v>
      </c>
      <c r="G8" t="n">
        <v>13.570746</v>
      </c>
      <c r="H8" t="n">
        <v>13.822851</v>
      </c>
      <c r="I8" t="n">
        <v>14.081017</v>
      </c>
      <c r="J8" t="n">
        <v>14.338543</v>
      </c>
      <c r="K8" t="n">
        <v>14.596683</v>
      </c>
      <c r="L8" t="n">
        <v>14.856007</v>
      </c>
      <c r="M8" t="n">
        <v>15.113205</v>
      </c>
      <c r="N8" t="n">
        <v>15.364176</v>
      </c>
      <c r="O8" t="n">
        <v>15.610795</v>
      </c>
      <c r="P8" t="n">
        <v>15.855648</v>
      </c>
      <c r="Q8" t="n">
        <v>16.095499</v>
      </c>
      <c r="R8" t="n">
        <v>16.328896</v>
      </c>
      <c r="S8" t="n">
        <v>16.560501</v>
      </c>
      <c r="T8" t="n">
        <v>16.79364</v>
      </c>
      <c r="U8" t="n">
        <v>17.026976</v>
      </c>
      <c r="V8" t="n">
        <v>17.2586</v>
      </c>
      <c r="W8" t="n">
        <v>17.487827</v>
      </c>
      <c r="X8" t="n">
        <v>17.718792</v>
      </c>
      <c r="Y8" t="n">
        <v>17.949728</v>
      </c>
      <c r="Z8" t="n">
        <v>18.178337</v>
      </c>
      <c r="AA8" t="n">
        <v>18.406141</v>
      </c>
      <c r="AB8" t="n">
        <v>18.633221</v>
      </c>
      <c r="AC8" t="n">
        <v>18.859972</v>
      </c>
      <c r="AD8" t="n">
        <v>19.086086</v>
      </c>
      <c r="AE8" t="n">
        <v>19.312725</v>
      </c>
      <c r="AF8" t="n">
        <v>19.538191</v>
      </c>
      <c r="AG8" t="n">
        <v>19.762444</v>
      </c>
      <c r="AH8" t="n">
        <v>19.985924</v>
      </c>
      <c r="AI8" s="16" t="n">
        <v>0.015</v>
      </c>
    </row>
    <row r="9">
      <c r="A9" t="inlineStr">
        <is>
          <t>Electric Other</t>
        </is>
      </c>
      <c r="B9" t="inlineStr">
        <is>
          <t>Residential Equipment: Equipment Stock: Main Space Heaters: Electric Other: Reference case</t>
        </is>
      </c>
      <c r="C9" t="inlineStr">
        <is>
          <t>AEO.2023.REF2023.EQNR_STK_RESD_MSHR_ELO_NA_NA_MILL.A</t>
        </is>
      </c>
      <c r="D9" t="inlineStr">
        <is>
          <t>millions</t>
        </is>
      </c>
      <c r="F9" t="n">
        <v>31.010973</v>
      </c>
      <c r="G9" t="n">
        <v>31.191193</v>
      </c>
      <c r="H9" t="n">
        <v>31.367004</v>
      </c>
      <c r="I9" t="n">
        <v>31.545937</v>
      </c>
      <c r="J9" t="n">
        <v>31.728054</v>
      </c>
      <c r="K9" t="n">
        <v>31.914146</v>
      </c>
      <c r="L9" t="n">
        <v>32.103336</v>
      </c>
      <c r="M9" t="n">
        <v>32.291443</v>
      </c>
      <c r="N9" t="n">
        <v>32.472885</v>
      </c>
      <c r="O9" t="n">
        <v>32.650379</v>
      </c>
      <c r="P9" t="n">
        <v>32.828148</v>
      </c>
      <c r="Q9" t="n">
        <v>33.003277</v>
      </c>
      <c r="R9" t="n">
        <v>33.172894</v>
      </c>
      <c r="S9" t="n">
        <v>33.339802</v>
      </c>
      <c r="T9" t="n">
        <v>33.508488</v>
      </c>
      <c r="U9" t="n">
        <v>33.676701</v>
      </c>
      <c r="V9" t="n">
        <v>33.844833</v>
      </c>
      <c r="W9" t="n">
        <v>34.012619</v>
      </c>
      <c r="X9" t="n">
        <v>34.183968</v>
      </c>
      <c r="Y9" t="n">
        <v>34.355839</v>
      </c>
      <c r="Z9" t="n">
        <v>34.525658</v>
      </c>
      <c r="AA9" t="n">
        <v>34.694195</v>
      </c>
      <c r="AB9" t="n">
        <v>34.861164</v>
      </c>
      <c r="AC9" t="n">
        <v>35.026974</v>
      </c>
      <c r="AD9" t="n">
        <v>35.191212</v>
      </c>
      <c r="AE9" t="n">
        <v>35.356567</v>
      </c>
      <c r="AF9" t="n">
        <v>35.521111</v>
      </c>
      <c r="AG9" t="n">
        <v>35.685036</v>
      </c>
      <c r="AH9" t="n">
        <v>35.849113</v>
      </c>
      <c r="AI9" s="16" t="n">
        <v>0.005</v>
      </c>
    </row>
    <row r="10">
      <c r="A10" t="inlineStr">
        <is>
          <t>Natural Gas Heat Pumps</t>
        </is>
      </c>
      <c r="B10" t="inlineStr">
        <is>
          <t>Residential Equipment: Equipment Stock: Main Space Heaters: Natural Gas Heat Pumps: Reference case</t>
        </is>
      </c>
      <c r="C10" t="inlineStr">
        <is>
          <t>AEO.2023.REF2023.EQNR_STK_RESD_MSHR_NHU_NA_NA_MILL.A</t>
        </is>
      </c>
      <c r="D10" t="inlineStr">
        <is>
          <t>millions</t>
        </is>
      </c>
      <c r="F10" t="n">
        <v>1.321198</v>
      </c>
      <c r="G10" t="n">
        <v>1.319243</v>
      </c>
      <c r="H10" t="n">
        <v>1.317296</v>
      </c>
      <c r="I10" t="n">
        <v>1.315357</v>
      </c>
      <c r="J10" t="n">
        <v>1.313426</v>
      </c>
      <c r="K10" t="n">
        <v>1.311503</v>
      </c>
      <c r="L10" t="n">
        <v>1.309587</v>
      </c>
      <c r="M10" t="n">
        <v>1.307679</v>
      </c>
      <c r="N10" t="n">
        <v>1.30578</v>
      </c>
      <c r="O10" t="n">
        <v>1.303886</v>
      </c>
      <c r="P10" t="n">
        <v>1.302001</v>
      </c>
      <c r="Q10" t="n">
        <v>1.300122</v>
      </c>
      <c r="R10" t="n">
        <v>1.298251</v>
      </c>
      <c r="S10" t="n">
        <v>1.296387</v>
      </c>
      <c r="T10" t="n">
        <v>1.29453</v>
      </c>
      <c r="U10" t="n">
        <v>1.29268</v>
      </c>
      <c r="V10" t="n">
        <v>1.290837</v>
      </c>
      <c r="W10" t="n">
        <v>1.289001</v>
      </c>
      <c r="X10" t="n">
        <v>1.287171</v>
      </c>
      <c r="Y10" t="n">
        <v>1.285348</v>
      </c>
      <c r="Z10" t="n">
        <v>1.283531</v>
      </c>
      <c r="AA10" t="n">
        <v>1.281721</v>
      </c>
      <c r="AB10" t="n">
        <v>1.279918</v>
      </c>
      <c r="AC10" t="n">
        <v>1.27812</v>
      </c>
      <c r="AD10" t="n">
        <v>1.27633</v>
      </c>
      <c r="AE10" t="n">
        <v>1.274545</v>
      </c>
      <c r="AF10" t="n">
        <v>1.272766</v>
      </c>
      <c r="AG10" t="n">
        <v>1.270993</v>
      </c>
      <c r="AH10" t="n">
        <v>1.269227</v>
      </c>
      <c r="AI10" s="16" t="n">
        <v>-0.001</v>
      </c>
    </row>
    <row r="11">
      <c r="A11" t="inlineStr">
        <is>
          <t>Natural Gas Other</t>
        </is>
      </c>
      <c r="B11" t="inlineStr">
        <is>
          <t>Residential Equipment: Equipment Stock: Main Space Heaters: Natural Gas Other: Reference case</t>
        </is>
      </c>
      <c r="C11" t="inlineStr">
        <is>
          <t>AEO.2023.REF2023.EQNR_STK_RESD_MSHR_NGO_NA_NA_MILL.A</t>
        </is>
      </c>
      <c r="D11" t="inlineStr">
        <is>
          <t>millions</t>
        </is>
      </c>
      <c r="F11" t="n">
        <v>62.066788</v>
      </c>
      <c r="G11" t="n">
        <v>62.86874</v>
      </c>
      <c r="H11" t="n">
        <v>63.678131</v>
      </c>
      <c r="I11" t="n">
        <v>64.50329600000001</v>
      </c>
      <c r="J11" t="n">
        <v>65.32177</v>
      </c>
      <c r="K11" t="n">
        <v>66.136948</v>
      </c>
      <c r="L11" t="n">
        <v>66.951584</v>
      </c>
      <c r="M11" t="n">
        <v>67.756226</v>
      </c>
      <c r="N11" t="n">
        <v>68.54117599999999</v>
      </c>
      <c r="O11" t="n">
        <v>69.310356</v>
      </c>
      <c r="P11" t="n">
        <v>70.070587</v>
      </c>
      <c r="Q11" t="n">
        <v>70.81253100000001</v>
      </c>
      <c r="R11" t="n">
        <v>71.531357</v>
      </c>
      <c r="S11" t="n">
        <v>72.23944899999999</v>
      </c>
      <c r="T11" t="n">
        <v>72.944847</v>
      </c>
      <c r="U11" t="n">
        <v>73.64324999999999</v>
      </c>
      <c r="V11" t="n">
        <v>74.33869900000001</v>
      </c>
      <c r="W11" t="n">
        <v>75.029205</v>
      </c>
      <c r="X11" t="n">
        <v>75.724937</v>
      </c>
      <c r="Y11" t="n">
        <v>76.420006</v>
      </c>
      <c r="Z11" t="n">
        <v>77.106728</v>
      </c>
      <c r="AA11" t="n">
        <v>77.789856</v>
      </c>
      <c r="AB11" t="n">
        <v>78.469795</v>
      </c>
      <c r="AC11" t="n">
        <v>79.14640799999999</v>
      </c>
      <c r="AD11" t="n">
        <v>79.81635300000001</v>
      </c>
      <c r="AE11" t="n">
        <v>80.48245199999999</v>
      </c>
      <c r="AF11" t="n">
        <v>81.14099899999999</v>
      </c>
      <c r="AG11" t="n">
        <v>81.790314</v>
      </c>
      <c r="AH11" t="n">
        <v>82.431442</v>
      </c>
      <c r="AI11" s="16" t="n">
        <v>0.01</v>
      </c>
    </row>
    <row r="12">
      <c r="A12" t="inlineStr">
        <is>
          <t>Distillate Fuel Oil</t>
        </is>
      </c>
      <c r="B12" t="inlineStr">
        <is>
          <t>Residential Equipment: Equipment Stock: Main Space Heaters: Distillate Fuel Oil: Reference case</t>
        </is>
      </c>
      <c r="C12" t="inlineStr">
        <is>
          <t>AEO.2023.REF2023.EQNR_STK_RESD_MSHR_DFO_NA_NA_MILL.A</t>
        </is>
      </c>
      <c r="D12" t="inlineStr">
        <is>
          <t>millions</t>
        </is>
      </c>
      <c r="F12" t="n">
        <v>5.454962</v>
      </c>
      <c r="G12" t="n">
        <v>5.405786</v>
      </c>
      <c r="H12" t="n">
        <v>5.357452</v>
      </c>
      <c r="I12" t="n">
        <v>5.309505</v>
      </c>
      <c r="J12" t="n">
        <v>5.261883</v>
      </c>
      <c r="K12" t="n">
        <v>5.215992</v>
      </c>
      <c r="L12" t="n">
        <v>5.1721</v>
      </c>
      <c r="M12" t="n">
        <v>5.130489</v>
      </c>
      <c r="N12" t="n">
        <v>5.09118</v>
      </c>
      <c r="O12" t="n">
        <v>5.053465</v>
      </c>
      <c r="P12" t="n">
        <v>5.01742</v>
      </c>
      <c r="Q12" t="n">
        <v>4.982733</v>
      </c>
      <c r="R12" t="n">
        <v>4.949076</v>
      </c>
      <c r="S12" t="n">
        <v>4.916341</v>
      </c>
      <c r="T12" t="n">
        <v>4.884336</v>
      </c>
      <c r="U12" t="n">
        <v>4.853684</v>
      </c>
      <c r="V12" t="n">
        <v>4.824137</v>
      </c>
      <c r="W12" t="n">
        <v>4.795379</v>
      </c>
      <c r="X12" t="n">
        <v>4.767413</v>
      </c>
      <c r="Y12" t="n">
        <v>4.739604</v>
      </c>
      <c r="Z12" t="n">
        <v>4.710267</v>
      </c>
      <c r="AA12" t="n">
        <v>4.679461</v>
      </c>
      <c r="AB12" t="n">
        <v>4.647407</v>
      </c>
      <c r="AC12" t="n">
        <v>4.614363</v>
      </c>
      <c r="AD12" t="n">
        <v>4.580481</v>
      </c>
      <c r="AE12" t="n">
        <v>4.545176</v>
      </c>
      <c r="AF12" t="n">
        <v>4.508846</v>
      </c>
      <c r="AG12" t="n">
        <v>4.471894</v>
      </c>
      <c r="AH12" t="n">
        <v>4.43473</v>
      </c>
      <c r="AI12" s="16" t="n">
        <v>-0.007</v>
      </c>
    </row>
    <row r="13">
      <c r="A13" t="inlineStr">
        <is>
          <t>Propane</t>
        </is>
      </c>
      <c r="B13" t="inlineStr">
        <is>
          <t>Residential Equipment: Equipment Stock: Main Space Heaters: Propane: Reference case</t>
        </is>
      </c>
      <c r="C13" t="inlineStr">
        <is>
          <t>AEO.2023.REF2023.EQNR_STK_RESD_MSHR_PROP_NA_NA_MILL.A</t>
        </is>
      </c>
      <c r="D13" t="inlineStr">
        <is>
          <t>millions</t>
        </is>
      </c>
      <c r="F13" t="n">
        <v>5.292898</v>
      </c>
      <c r="G13" t="n">
        <v>5.283106</v>
      </c>
      <c r="H13" t="n">
        <v>5.272407</v>
      </c>
      <c r="I13" t="n">
        <v>5.26181</v>
      </c>
      <c r="J13" t="n">
        <v>5.251935</v>
      </c>
      <c r="K13" t="n">
        <v>5.245102</v>
      </c>
      <c r="L13" t="n">
        <v>5.240705</v>
      </c>
      <c r="M13" t="n">
        <v>5.238044</v>
      </c>
      <c r="N13" t="n">
        <v>5.235492</v>
      </c>
      <c r="O13" t="n">
        <v>5.233078</v>
      </c>
      <c r="P13" t="n">
        <v>5.23132</v>
      </c>
      <c r="Q13" t="n">
        <v>5.229799</v>
      </c>
      <c r="R13" t="n">
        <v>5.228008</v>
      </c>
      <c r="S13" t="n">
        <v>5.225996</v>
      </c>
      <c r="T13" t="n">
        <v>5.224109</v>
      </c>
      <c r="U13" t="n">
        <v>5.221475</v>
      </c>
      <c r="V13" t="n">
        <v>5.218017</v>
      </c>
      <c r="W13" t="n">
        <v>5.213948</v>
      </c>
      <c r="X13" t="n">
        <v>5.210232</v>
      </c>
      <c r="Y13" t="n">
        <v>5.207039</v>
      </c>
      <c r="Z13" t="n">
        <v>5.202483</v>
      </c>
      <c r="AA13" t="n">
        <v>5.196987</v>
      </c>
      <c r="AB13" t="n">
        <v>5.190924</v>
      </c>
      <c r="AC13" t="n">
        <v>5.184589</v>
      </c>
      <c r="AD13" t="n">
        <v>5.177998</v>
      </c>
      <c r="AE13" t="n">
        <v>5.171618</v>
      </c>
      <c r="AF13" t="n">
        <v>5.165352</v>
      </c>
      <c r="AG13" t="n">
        <v>5.159314</v>
      </c>
      <c r="AH13" t="n">
        <v>5.153788</v>
      </c>
      <c r="AI13" s="16" t="n">
        <v>-0.001</v>
      </c>
    </row>
    <row r="14">
      <c r="A14" t="inlineStr">
        <is>
          <t>Kerosene</t>
        </is>
      </c>
      <c r="B14" t="inlineStr">
        <is>
          <t>Residential Equipment: Equipment Stock: Main Space Heaters: Kerosene: Reference case</t>
        </is>
      </c>
      <c r="C14" t="inlineStr">
        <is>
          <t>AEO.2023.REF2023.EQNR_STK_RESD_MSHR_KRS_NA_NA_MILL.A</t>
        </is>
      </c>
      <c r="D14" t="inlineStr">
        <is>
          <t>millions</t>
        </is>
      </c>
      <c r="F14" t="n">
        <v>0.003901</v>
      </c>
      <c r="G14" t="n">
        <v>0.00709</v>
      </c>
      <c r="H14" t="n">
        <v>0.009997000000000001</v>
      </c>
      <c r="I14" t="n">
        <v>0.012783</v>
      </c>
      <c r="J14" t="n">
        <v>0.015616</v>
      </c>
      <c r="K14" t="n">
        <v>0.01846</v>
      </c>
      <c r="L14" t="n">
        <v>0.021282</v>
      </c>
      <c r="M14" t="n">
        <v>0.024013</v>
      </c>
      <c r="N14" t="n">
        <v>0.026531</v>
      </c>
      <c r="O14" t="n">
        <v>0.028897</v>
      </c>
      <c r="P14" t="n">
        <v>0.031215</v>
      </c>
      <c r="Q14" t="n">
        <v>0.033522</v>
      </c>
      <c r="R14" t="n">
        <v>0.035761</v>
      </c>
      <c r="S14" t="n">
        <v>0.037892</v>
      </c>
      <c r="T14" t="n">
        <v>0.039987</v>
      </c>
      <c r="U14" t="n">
        <v>0.041972</v>
      </c>
      <c r="V14" t="n">
        <v>0.043841</v>
      </c>
      <c r="W14" t="n">
        <v>0.045631</v>
      </c>
      <c r="X14" t="n">
        <v>0.047425</v>
      </c>
      <c r="Y14" t="n">
        <v>0.049189</v>
      </c>
      <c r="Z14" t="n">
        <v>0.050905</v>
      </c>
      <c r="AA14" t="n">
        <v>0.052555</v>
      </c>
      <c r="AB14" t="n">
        <v>0.05413</v>
      </c>
      <c r="AC14" t="n">
        <v>0.055631</v>
      </c>
      <c r="AD14" t="n">
        <v>0.057045</v>
      </c>
      <c r="AE14" t="n">
        <v>0.058409</v>
      </c>
      <c r="AF14" t="n">
        <v>0.059716</v>
      </c>
      <c r="AG14" t="n">
        <v>0.060958</v>
      </c>
      <c r="AH14" t="n">
        <v>0.062151</v>
      </c>
      <c r="AI14" s="16" t="n">
        <v>0.104</v>
      </c>
    </row>
    <row r="15">
      <c r="A15" t="inlineStr">
        <is>
          <t>Wood Stoves</t>
        </is>
      </c>
      <c r="B15" t="inlineStr">
        <is>
          <t>Residential Equipment: Equipment Stock: Main Space Heaters: Wood Stoves: Reference case</t>
        </is>
      </c>
      <c r="C15" t="inlineStr">
        <is>
          <t>AEO.2023.REF2023.EQNR_STK_RESD_MSHR_WDS_NA_NA_MILL.A</t>
        </is>
      </c>
      <c r="D15" t="inlineStr">
        <is>
          <t>millions</t>
        </is>
      </c>
      <c r="F15" t="n">
        <v>3.297239</v>
      </c>
      <c r="G15" t="n">
        <v>3.265615</v>
      </c>
      <c r="H15" t="n">
        <v>3.237753</v>
      </c>
      <c r="I15" t="n">
        <v>3.211385</v>
      </c>
      <c r="J15" t="n">
        <v>3.186906</v>
      </c>
      <c r="K15" t="n">
        <v>3.163538</v>
      </c>
      <c r="L15" t="n">
        <v>3.140653</v>
      </c>
      <c r="M15" t="n">
        <v>3.117714</v>
      </c>
      <c r="N15" t="n">
        <v>3.094777</v>
      </c>
      <c r="O15" t="n">
        <v>3.071414</v>
      </c>
      <c r="P15" t="n">
        <v>3.047546</v>
      </c>
      <c r="Q15" t="n">
        <v>3.023053</v>
      </c>
      <c r="R15" t="n">
        <v>2.997959</v>
      </c>
      <c r="S15" t="n">
        <v>2.972195</v>
      </c>
      <c r="T15" t="n">
        <v>2.94591</v>
      </c>
      <c r="U15" t="n">
        <v>2.920416</v>
      </c>
      <c r="V15" t="n">
        <v>2.895695</v>
      </c>
      <c r="W15" t="n">
        <v>2.871994</v>
      </c>
      <c r="X15" t="n">
        <v>2.848303</v>
      </c>
      <c r="Y15" t="n">
        <v>2.825649</v>
      </c>
      <c r="Z15" t="n">
        <v>2.804177</v>
      </c>
      <c r="AA15" t="n">
        <v>2.783932</v>
      </c>
      <c r="AB15" t="n">
        <v>2.765052</v>
      </c>
      <c r="AC15" t="n">
        <v>2.747301</v>
      </c>
      <c r="AD15" t="n">
        <v>2.730428</v>
      </c>
      <c r="AE15" t="n">
        <v>2.713511</v>
      </c>
      <c r="AF15" t="n">
        <v>2.69659</v>
      </c>
      <c r="AG15" t="n">
        <v>2.679538</v>
      </c>
      <c r="AH15" t="n">
        <v>2.662318</v>
      </c>
      <c r="AI15" s="16" t="n">
        <v>-0.008</v>
      </c>
    </row>
    <row r="16">
      <c r="A16" t="inlineStr">
        <is>
          <t>Geothermal Heat Pumps</t>
        </is>
      </c>
      <c r="B16" t="inlineStr">
        <is>
          <t>Residential Equipment: Equipment Stock: Main Space Heaters: Geothermal Heat Pumps: Reference case</t>
        </is>
      </c>
      <c r="C16" t="inlineStr">
        <is>
          <t>AEO.2023.REF2023.EQNR_STK_RESD_MSHR_GEHP_NA_NA_MILL.A</t>
        </is>
      </c>
      <c r="D16" t="inlineStr">
        <is>
          <t>millions</t>
        </is>
      </c>
      <c r="F16" t="n">
        <v>0.716036</v>
      </c>
      <c r="G16" t="n">
        <v>0.778759</v>
      </c>
      <c r="H16" t="n">
        <v>0.840134</v>
      </c>
      <c r="I16" t="n">
        <v>0.901506</v>
      </c>
      <c r="J16" t="n">
        <v>0.9604549999999999</v>
      </c>
      <c r="K16" t="n">
        <v>1.018172</v>
      </c>
      <c r="L16" t="n">
        <v>1.07555</v>
      </c>
      <c r="M16" t="n">
        <v>1.132757</v>
      </c>
      <c r="N16" t="n">
        <v>1.189252</v>
      </c>
      <c r="O16" t="n">
        <v>1.245527</v>
      </c>
      <c r="P16" t="n">
        <v>1.301907</v>
      </c>
      <c r="Q16" t="n">
        <v>1.358019</v>
      </c>
      <c r="R16" t="n">
        <v>1.41364</v>
      </c>
      <c r="S16" t="n">
        <v>1.469565</v>
      </c>
      <c r="T16" t="n">
        <v>1.525942</v>
      </c>
      <c r="U16" t="n">
        <v>1.581249</v>
      </c>
      <c r="V16" t="n">
        <v>1.635567</v>
      </c>
      <c r="W16" t="n">
        <v>1.68851</v>
      </c>
      <c r="X16" t="n">
        <v>1.741698</v>
      </c>
      <c r="Y16" t="n">
        <v>1.793962</v>
      </c>
      <c r="Z16" t="n">
        <v>1.844503</v>
      </c>
      <c r="AA16" t="n">
        <v>1.893613</v>
      </c>
      <c r="AB16" t="n">
        <v>1.941229</v>
      </c>
      <c r="AC16" t="n">
        <v>1.987597</v>
      </c>
      <c r="AD16" t="n">
        <v>2.03283</v>
      </c>
      <c r="AE16" t="n">
        <v>2.077793</v>
      </c>
      <c r="AF16" t="n">
        <v>2.122324</v>
      </c>
      <c r="AG16" t="n">
        <v>2.166456</v>
      </c>
      <c r="AH16" t="n">
        <v>2.210309</v>
      </c>
      <c r="AI16" s="16" t="n">
        <v>0.041</v>
      </c>
    </row>
    <row r="17">
      <c r="A17" t="inlineStr">
        <is>
          <t>Total</t>
        </is>
      </c>
      <c r="B17" t="inlineStr">
        <is>
          <t>Residential Equipment: Equipment Stock: Main Space Heaters: Total: Reference case</t>
        </is>
      </c>
      <c r="C17" t="inlineStr">
        <is>
          <t>AEO.2023.REF2023.EQNR_STK_RESD_MSHR_TOT_NA_NA_MILL.A</t>
        </is>
      </c>
      <c r="D17" t="inlineStr">
        <is>
          <t>millions</t>
        </is>
      </c>
      <c r="F17" t="n">
        <v>122.479576</v>
      </c>
      <c r="G17" t="n">
        <v>123.690269</v>
      </c>
      <c r="H17" t="n">
        <v>124.90303</v>
      </c>
      <c r="I17" t="n">
        <v>126.142586</v>
      </c>
      <c r="J17" t="n">
        <v>127.378601</v>
      </c>
      <c r="K17" t="n">
        <v>128.620544</v>
      </c>
      <c r="L17" t="n">
        <v>129.870789</v>
      </c>
      <c r="M17" t="n">
        <v>131.111557</v>
      </c>
      <c r="N17" t="n">
        <v>132.321243</v>
      </c>
      <c r="O17" t="n">
        <v>133.507797</v>
      </c>
      <c r="P17" t="n">
        <v>134.685791</v>
      </c>
      <c r="Q17" t="n">
        <v>135.838562</v>
      </c>
      <c r="R17" t="n">
        <v>136.955841</v>
      </c>
      <c r="S17" t="n">
        <v>138.058121</v>
      </c>
      <c r="T17" t="n">
        <v>139.161789</v>
      </c>
      <c r="U17" t="n">
        <v>140.258408</v>
      </c>
      <c r="V17" t="n">
        <v>141.350235</v>
      </c>
      <c r="W17" t="n">
        <v>142.434097</v>
      </c>
      <c r="X17" t="n">
        <v>143.529938</v>
      </c>
      <c r="Y17" t="n">
        <v>144.626389</v>
      </c>
      <c r="Z17" t="n">
        <v>145.706589</v>
      </c>
      <c r="AA17" t="n">
        <v>146.778458</v>
      </c>
      <c r="AB17" t="n">
        <v>147.842804</v>
      </c>
      <c r="AC17" t="n">
        <v>148.900955</v>
      </c>
      <c r="AD17" t="n">
        <v>149.948746</v>
      </c>
      <c r="AE17" t="n">
        <v>150.992798</v>
      </c>
      <c r="AF17" t="n">
        <v>152.025925</v>
      </c>
      <c r="AG17" t="n">
        <v>153.046951</v>
      </c>
      <c r="AH17" t="n">
        <v>154.059006</v>
      </c>
      <c r="AI17" s="16" t="n">
        <v>0.008</v>
      </c>
    </row>
    <row r="18">
      <c r="A18" t="inlineStr">
        <is>
          <t>Space Cooling (million units)</t>
        </is>
      </c>
    </row>
    <row r="19">
      <c r="A19" t="inlineStr">
        <is>
          <t>Electric Heat Pumps</t>
        </is>
      </c>
      <c r="B19" t="inlineStr">
        <is>
          <t>Residential Equipment: Equipment Stock: Space Cooling: Electric Heat Pumps: Reference case</t>
        </is>
      </c>
      <c r="C19" t="inlineStr">
        <is>
          <t>AEO.2023.REF2023.EQNR_STK_RESD_SPC_EHP_NA_NA_MILL.A</t>
        </is>
      </c>
      <c r="D19" t="inlineStr">
        <is>
          <t>millions</t>
        </is>
      </c>
      <c r="F19" t="n">
        <v>13.315581</v>
      </c>
      <c r="G19" t="n">
        <v>13.570746</v>
      </c>
      <c r="H19" t="n">
        <v>13.82285</v>
      </c>
      <c r="I19" t="n">
        <v>14.081021</v>
      </c>
      <c r="J19" t="n">
        <v>14.338547</v>
      </c>
      <c r="K19" t="n">
        <v>14.596686</v>
      </c>
      <c r="L19" t="n">
        <v>14.856006</v>
      </c>
      <c r="M19" t="n">
        <v>15.113201</v>
      </c>
      <c r="N19" t="n">
        <v>15.364179</v>
      </c>
      <c r="O19" t="n">
        <v>15.610802</v>
      </c>
      <c r="P19" t="n">
        <v>15.855643</v>
      </c>
      <c r="Q19" t="n">
        <v>16.095505</v>
      </c>
      <c r="R19" t="n">
        <v>16.328897</v>
      </c>
      <c r="S19" t="n">
        <v>16.560503</v>
      </c>
      <c r="T19" t="n">
        <v>16.793638</v>
      </c>
      <c r="U19" t="n">
        <v>17.026976</v>
      </c>
      <c r="V19" t="n">
        <v>17.258608</v>
      </c>
      <c r="W19" t="n">
        <v>17.487829</v>
      </c>
      <c r="X19" t="n">
        <v>17.718796</v>
      </c>
      <c r="Y19" t="n">
        <v>17.949732</v>
      </c>
      <c r="Z19" t="n">
        <v>18.178335</v>
      </c>
      <c r="AA19" t="n">
        <v>18.406145</v>
      </c>
      <c r="AB19" t="n">
        <v>18.633224</v>
      </c>
      <c r="AC19" t="n">
        <v>18.859974</v>
      </c>
      <c r="AD19" t="n">
        <v>19.086088</v>
      </c>
      <c r="AE19" t="n">
        <v>19.312731</v>
      </c>
      <c r="AF19" t="n">
        <v>19.538191</v>
      </c>
      <c r="AG19" t="n">
        <v>19.762447</v>
      </c>
      <c r="AH19" t="n">
        <v>19.985924</v>
      </c>
      <c r="AI19" s="16" t="n">
        <v>0.015</v>
      </c>
    </row>
    <row r="20">
      <c r="A20" t="inlineStr">
        <is>
          <t>Natural Gas Heat Pumps</t>
        </is>
      </c>
      <c r="B20" t="inlineStr">
        <is>
          <t>Residential Equipment: Equipment Stock: Space Cooling: Natural Gas Heat Pumps: Reference case</t>
        </is>
      </c>
      <c r="C20" t="inlineStr">
        <is>
          <t>AEO.2023.REF2023.EQNR_STK_RESD_SPC_NHU_NA_NA_MILL.A</t>
        </is>
      </c>
      <c r="D20" t="inlineStr">
        <is>
          <t>millions</t>
        </is>
      </c>
      <c r="F20" t="n">
        <v>1.321198</v>
      </c>
      <c r="G20" t="n">
        <v>1.319242</v>
      </c>
      <c r="H20" t="n">
        <v>1.317296</v>
      </c>
      <c r="I20" t="n">
        <v>1.315357</v>
      </c>
      <c r="J20" t="n">
        <v>1.313426</v>
      </c>
      <c r="K20" t="n">
        <v>1.311503</v>
      </c>
      <c r="L20" t="n">
        <v>1.309587</v>
      </c>
      <c r="M20" t="n">
        <v>1.307679</v>
      </c>
      <c r="N20" t="n">
        <v>1.305779</v>
      </c>
      <c r="O20" t="n">
        <v>1.303886</v>
      </c>
      <c r="P20" t="n">
        <v>1.302001</v>
      </c>
      <c r="Q20" t="n">
        <v>1.300122</v>
      </c>
      <c r="R20" t="n">
        <v>1.298251</v>
      </c>
      <c r="S20" t="n">
        <v>1.296387</v>
      </c>
      <c r="T20" t="n">
        <v>1.29453</v>
      </c>
      <c r="U20" t="n">
        <v>1.29268</v>
      </c>
      <c r="V20" t="n">
        <v>1.290837</v>
      </c>
      <c r="W20" t="n">
        <v>1.289001</v>
      </c>
      <c r="X20" t="n">
        <v>1.287171</v>
      </c>
      <c r="Y20" t="n">
        <v>1.285348</v>
      </c>
      <c r="Z20" t="n">
        <v>1.283531</v>
      </c>
      <c r="AA20" t="n">
        <v>1.281721</v>
      </c>
      <c r="AB20" t="n">
        <v>1.279918</v>
      </c>
      <c r="AC20" t="n">
        <v>1.27812</v>
      </c>
      <c r="AD20" t="n">
        <v>1.276329</v>
      </c>
      <c r="AE20" t="n">
        <v>1.274545</v>
      </c>
      <c r="AF20" t="n">
        <v>1.272766</v>
      </c>
      <c r="AG20" t="n">
        <v>1.270993</v>
      </c>
      <c r="AH20" t="n">
        <v>1.269227</v>
      </c>
      <c r="AI20" s="16" t="n">
        <v>-0.001</v>
      </c>
    </row>
    <row r="21">
      <c r="A21" t="inlineStr">
        <is>
          <t>Geothermal Heat Pumps</t>
        </is>
      </c>
      <c r="B21" t="inlineStr">
        <is>
          <t>Residential Equipment: Equipment Stock: Space Cooling: Geothermal Heat Pumps: Reference case</t>
        </is>
      </c>
      <c r="C21" t="inlineStr">
        <is>
          <t>AEO.2023.REF2023.EQNR_STK_RESD_SPC_GEHP_NA_NA_MILL.A</t>
        </is>
      </c>
      <c r="D21" t="inlineStr">
        <is>
          <t>millions</t>
        </is>
      </c>
      <c r="F21" t="n">
        <v>0.716036</v>
      </c>
      <c r="G21" t="n">
        <v>0.778759</v>
      </c>
      <c r="H21" t="n">
        <v>0.840134</v>
      </c>
      <c r="I21" t="n">
        <v>0.901506</v>
      </c>
      <c r="J21" t="n">
        <v>0.960454</v>
      </c>
      <c r="K21" t="n">
        <v>1.018172</v>
      </c>
      <c r="L21" t="n">
        <v>1.075549</v>
      </c>
      <c r="M21" t="n">
        <v>1.132756</v>
      </c>
      <c r="N21" t="n">
        <v>1.189252</v>
      </c>
      <c r="O21" t="n">
        <v>1.245526</v>
      </c>
      <c r="P21" t="n">
        <v>1.301908</v>
      </c>
      <c r="Q21" t="n">
        <v>1.35802</v>
      </c>
      <c r="R21" t="n">
        <v>1.41364</v>
      </c>
      <c r="S21" t="n">
        <v>1.469566</v>
      </c>
      <c r="T21" t="n">
        <v>1.525942</v>
      </c>
      <c r="U21" t="n">
        <v>1.581248</v>
      </c>
      <c r="V21" t="n">
        <v>1.635567</v>
      </c>
      <c r="W21" t="n">
        <v>1.688511</v>
      </c>
      <c r="X21" t="n">
        <v>1.741697</v>
      </c>
      <c r="Y21" t="n">
        <v>1.793962</v>
      </c>
      <c r="Z21" t="n">
        <v>1.844503</v>
      </c>
      <c r="AA21" t="n">
        <v>1.893613</v>
      </c>
      <c r="AB21" t="n">
        <v>1.941229</v>
      </c>
      <c r="AC21" t="n">
        <v>1.987596</v>
      </c>
      <c r="AD21" t="n">
        <v>2.03283</v>
      </c>
      <c r="AE21" t="n">
        <v>2.077794</v>
      </c>
      <c r="AF21" t="n">
        <v>2.122325</v>
      </c>
      <c r="AG21" t="n">
        <v>2.166455</v>
      </c>
      <c r="AH21" t="n">
        <v>2.210309</v>
      </c>
      <c r="AI21" s="16" t="n">
        <v>0.041</v>
      </c>
    </row>
    <row r="22">
      <c r="A22" t="inlineStr">
        <is>
          <t>Central Air Conditioners</t>
        </is>
      </c>
      <c r="B22" t="inlineStr">
        <is>
          <t>Residential Equipment: Equipment Stock: Space Cooling: Central Air Conditioners: Reference case</t>
        </is>
      </c>
      <c r="C22" t="inlineStr">
        <is>
          <t>AEO.2023.REF2023.EQNR_STK_RESD_SPC_CAC_NA_NA_MILL.A</t>
        </is>
      </c>
      <c r="D22" t="inlineStr">
        <is>
          <t>millions</t>
        </is>
      </c>
      <c r="F22" t="n">
        <v>65.952873</v>
      </c>
      <c r="G22" t="n">
        <v>67.531487</v>
      </c>
      <c r="H22" t="n">
        <v>69.112846</v>
      </c>
      <c r="I22" t="n">
        <v>70.71012899999999</v>
      </c>
      <c r="J22" t="n">
        <v>72.30307000000001</v>
      </c>
      <c r="K22" t="n">
        <v>73.89785000000001</v>
      </c>
      <c r="L22" t="n">
        <v>75.49625399999999</v>
      </c>
      <c r="M22" t="n">
        <v>77.087234</v>
      </c>
      <c r="N22" t="n">
        <v>78.657112</v>
      </c>
      <c r="O22" t="n">
        <v>80.210655</v>
      </c>
      <c r="P22" t="n">
        <v>81.756866</v>
      </c>
      <c r="Q22" t="n">
        <v>83.285324</v>
      </c>
      <c r="R22" t="n">
        <v>84.789772</v>
      </c>
      <c r="S22" t="n">
        <v>86.282951</v>
      </c>
      <c r="T22" t="n">
        <v>87.774986</v>
      </c>
      <c r="U22" t="n">
        <v>89.260513</v>
      </c>
      <c r="V22" t="n">
        <v>90.740982</v>
      </c>
      <c r="W22" t="n">
        <v>92.21444700000001</v>
      </c>
      <c r="X22" t="n">
        <v>93.69358800000001</v>
      </c>
      <c r="Y22" t="n">
        <v>95.171677</v>
      </c>
      <c r="Z22" t="n">
        <v>96.63768</v>
      </c>
      <c r="AA22" t="n">
        <v>98.09683200000001</v>
      </c>
      <c r="AB22" t="n">
        <v>99.549744</v>
      </c>
      <c r="AC22" t="n">
        <v>100.997017</v>
      </c>
      <c r="AD22" t="n">
        <v>102.436249</v>
      </c>
      <c r="AE22" t="n">
        <v>103.871086</v>
      </c>
      <c r="AF22" t="n">
        <v>105.297241</v>
      </c>
      <c r="AG22" t="n">
        <v>106.713791</v>
      </c>
      <c r="AH22" t="n">
        <v>108.122772</v>
      </c>
      <c r="AI22" s="16" t="n">
        <v>0.018</v>
      </c>
    </row>
    <row r="23">
      <c r="A23" t="inlineStr">
        <is>
          <t>Room Air Conditioners</t>
        </is>
      </c>
      <c r="B23" t="inlineStr">
        <is>
          <t>Residential Equipment: Equipment Stock: Space Cooling: Room Air Conditioners: Reference case</t>
        </is>
      </c>
      <c r="C23" t="inlineStr">
        <is>
          <t>AEO.2023.REF2023.EQNR_STK_RESD_SPC_RAC_NA_NA_MILL.A</t>
        </is>
      </c>
      <c r="D23" t="inlineStr">
        <is>
          <t>millions</t>
        </is>
      </c>
      <c r="F23" t="n">
        <v>58.086197</v>
      </c>
      <c r="G23" t="n">
        <v>58.099602</v>
      </c>
      <c r="H23" t="n">
        <v>58.113243</v>
      </c>
      <c r="I23" t="n">
        <v>58.130096</v>
      </c>
      <c r="J23" t="n">
        <v>58.148983</v>
      </c>
      <c r="K23" t="n">
        <v>58.170322</v>
      </c>
      <c r="L23" t="n">
        <v>58.193909</v>
      </c>
      <c r="M23" t="n">
        <v>58.21701</v>
      </c>
      <c r="N23" t="n">
        <v>58.235847</v>
      </c>
      <c r="O23" t="n">
        <v>58.251923</v>
      </c>
      <c r="P23" t="n">
        <v>58.267937</v>
      </c>
      <c r="Q23" t="n">
        <v>58.282757</v>
      </c>
      <c r="R23" t="n">
        <v>58.294533</v>
      </c>
      <c r="S23" t="n">
        <v>58.304741</v>
      </c>
      <c r="T23" t="n">
        <v>58.315868</v>
      </c>
      <c r="U23" t="n">
        <v>58.326084</v>
      </c>
      <c r="V23" t="n">
        <v>58.335472</v>
      </c>
      <c r="W23" t="n">
        <v>58.3442</v>
      </c>
      <c r="X23" t="n">
        <v>58.355373</v>
      </c>
      <c r="Y23" t="n">
        <v>58.36763</v>
      </c>
      <c r="Z23" t="n">
        <v>58.379017</v>
      </c>
      <c r="AA23" t="n">
        <v>58.390129</v>
      </c>
      <c r="AB23" t="n">
        <v>58.400814</v>
      </c>
      <c r="AC23" t="n">
        <v>58.41119</v>
      </c>
      <c r="AD23" t="n">
        <v>58.42065</v>
      </c>
      <c r="AE23" t="n">
        <v>58.430313</v>
      </c>
      <c r="AF23" t="n">
        <v>58.439327</v>
      </c>
      <c r="AG23" t="n">
        <v>58.447399</v>
      </c>
      <c r="AH23" t="n">
        <v>58.45509</v>
      </c>
      <c r="AI23" s="16" t="n">
        <v>0</v>
      </c>
    </row>
    <row r="24">
      <c r="A24" t="inlineStr">
        <is>
          <t>Total</t>
        </is>
      </c>
      <c r="B24" t="inlineStr">
        <is>
          <t>Residential Equipment: Equipment Stock: Space Cooling: Total: Reference case</t>
        </is>
      </c>
      <c r="C24" t="inlineStr">
        <is>
          <t>AEO.2023.REF2023.EQNR_STK_RESD_SPC_TOT_NA_NA_MILL.A</t>
        </is>
      </c>
      <c r="D24" t="inlineStr">
        <is>
          <t>millions</t>
        </is>
      </c>
      <c r="F24" t="n">
        <v>139.391876</v>
      </c>
      <c r="G24" t="n">
        <v>141.299835</v>
      </c>
      <c r="H24" t="n">
        <v>143.20636</v>
      </c>
      <c r="I24" t="n">
        <v>145.138107</v>
      </c>
      <c r="J24" t="n">
        <v>147.064484</v>
      </c>
      <c r="K24" t="n">
        <v>148.994537</v>
      </c>
      <c r="L24" t="n">
        <v>150.931305</v>
      </c>
      <c r="M24" t="n">
        <v>152.85788</v>
      </c>
      <c r="N24" t="n">
        <v>154.752167</v>
      </c>
      <c r="O24" t="n">
        <v>156.622787</v>
      </c>
      <c r="P24" t="n">
        <v>158.484344</v>
      </c>
      <c r="Q24" t="n">
        <v>160.321732</v>
      </c>
      <c r="R24" t="n">
        <v>162.125092</v>
      </c>
      <c r="S24" t="n">
        <v>163.914154</v>
      </c>
      <c r="T24" t="n">
        <v>165.704971</v>
      </c>
      <c r="U24" t="n">
        <v>167.487503</v>
      </c>
      <c r="V24" t="n">
        <v>169.261475</v>
      </c>
      <c r="W24" t="n">
        <v>171.023987</v>
      </c>
      <c r="X24" t="n">
        <v>172.796631</v>
      </c>
      <c r="Y24" t="n">
        <v>174.568344</v>
      </c>
      <c r="Z24" t="n">
        <v>176.323059</v>
      </c>
      <c r="AA24" t="n">
        <v>178.068451</v>
      </c>
      <c r="AB24" t="n">
        <v>179.804932</v>
      </c>
      <c r="AC24" t="n">
        <v>181.533905</v>
      </c>
      <c r="AD24" t="n">
        <v>183.252151</v>
      </c>
      <c r="AE24" t="n">
        <v>184.966461</v>
      </c>
      <c r="AF24" t="n">
        <v>186.669861</v>
      </c>
      <c r="AG24" t="n">
        <v>188.361084</v>
      </c>
      <c r="AH24" t="n">
        <v>190.04332</v>
      </c>
      <c r="AI24" s="16" t="n">
        <v>0.011</v>
      </c>
    </row>
    <row r="25">
      <c r="A25" t="inlineStr">
        <is>
          <t>Water Heaters (million units)</t>
        </is>
      </c>
    </row>
    <row r="26">
      <c r="A26" t="inlineStr">
        <is>
          <t>Electric</t>
        </is>
      </c>
      <c r="B26" t="inlineStr">
        <is>
          <t>Residential Equipment: Equipment Stock: Water Heaters: Electric: Reference case</t>
        </is>
      </c>
      <c r="C26" t="inlineStr">
        <is>
          <t>AEO.2023.REF2023.EQNR_STK_RESD_WHT_ELE_NA_NA_MILL.A</t>
        </is>
      </c>
      <c r="D26" t="inlineStr">
        <is>
          <t>millions</t>
        </is>
      </c>
      <c r="F26" t="n">
        <v>60.580669</v>
      </c>
      <c r="G26" t="n">
        <v>60.983253</v>
      </c>
      <c r="H26" t="n">
        <v>61.337627</v>
      </c>
      <c r="I26" t="n">
        <v>61.675991</v>
      </c>
      <c r="J26" t="n">
        <v>61.982437</v>
      </c>
      <c r="K26" t="n">
        <v>62.286163</v>
      </c>
      <c r="L26" t="n">
        <v>62.581848</v>
      </c>
      <c r="M26" t="n">
        <v>62.861568</v>
      </c>
      <c r="N26" t="n">
        <v>63.111282</v>
      </c>
      <c r="O26" t="n">
        <v>63.367752</v>
      </c>
      <c r="P26" t="n">
        <v>63.636322</v>
      </c>
      <c r="Q26" t="n">
        <v>63.985218</v>
      </c>
      <c r="R26" t="n">
        <v>64.38202699999999</v>
      </c>
      <c r="S26" t="n">
        <v>64.89707900000001</v>
      </c>
      <c r="T26" t="n">
        <v>65.40018499999999</v>
      </c>
      <c r="U26" t="n">
        <v>65.903778</v>
      </c>
      <c r="V26" t="n">
        <v>66.40728</v>
      </c>
      <c r="W26" t="n">
        <v>66.89624000000001</v>
      </c>
      <c r="X26" t="n">
        <v>67.381805</v>
      </c>
      <c r="Y26" t="n">
        <v>67.85916899999999</v>
      </c>
      <c r="Z26" t="n">
        <v>68.323227</v>
      </c>
      <c r="AA26" t="n">
        <v>68.77673299999999</v>
      </c>
      <c r="AB26" t="n">
        <v>69.220825</v>
      </c>
      <c r="AC26" t="n">
        <v>69.659088</v>
      </c>
      <c r="AD26" t="n">
        <v>70.099632</v>
      </c>
      <c r="AE26" t="n">
        <v>70.53892500000001</v>
      </c>
      <c r="AF26" t="n">
        <v>70.972908</v>
      </c>
      <c r="AG26" t="n">
        <v>71.406891</v>
      </c>
      <c r="AH26" t="n">
        <v>71.842628</v>
      </c>
      <c r="AI26" s="16" t="n">
        <v>0.006</v>
      </c>
    </row>
    <row r="27">
      <c r="A27" t="inlineStr">
        <is>
          <t>Natural Gas</t>
        </is>
      </c>
      <c r="B27" t="inlineStr">
        <is>
          <t>Residential Equipment: Equipment Stock: Water Heaters: Natural Gas: Reference case</t>
        </is>
      </c>
      <c r="C27" t="inlineStr">
        <is>
          <t>AEO.2023.REF2023.EQNR_STK_RESD_WHT_NG_NA_NA_MILL.A</t>
        </is>
      </c>
      <c r="D27" t="inlineStr">
        <is>
          <t>millions</t>
        </is>
      </c>
      <c r="F27" t="n">
        <v>61.25243</v>
      </c>
      <c r="G27" t="n">
        <v>61.855328</v>
      </c>
      <c r="H27" t="n">
        <v>62.501675</v>
      </c>
      <c r="I27" t="n">
        <v>63.183994</v>
      </c>
      <c r="J27" t="n">
        <v>63.881008</v>
      </c>
      <c r="K27" t="n">
        <v>64.58916499999999</v>
      </c>
      <c r="L27" t="n">
        <v>65.31399500000001</v>
      </c>
      <c r="M27" t="n">
        <v>66.04145800000001</v>
      </c>
      <c r="N27" t="n">
        <v>66.76123800000001</v>
      </c>
      <c r="O27" t="n">
        <v>67.45558200000001</v>
      </c>
      <c r="P27" t="n">
        <v>68.13342299999999</v>
      </c>
      <c r="Q27" t="n">
        <v>68.80352000000001</v>
      </c>
      <c r="R27" t="n">
        <v>69.458298</v>
      </c>
      <c r="S27" t="n">
        <v>70.120712</v>
      </c>
      <c r="T27" t="n">
        <v>70.7752</v>
      </c>
      <c r="U27" t="n">
        <v>71.42100499999999</v>
      </c>
      <c r="V27" t="n">
        <v>72.06017300000001</v>
      </c>
      <c r="W27" t="n">
        <v>72.70253</v>
      </c>
      <c r="X27" t="n">
        <v>73.35580400000001</v>
      </c>
      <c r="Y27" t="n">
        <v>74.013893</v>
      </c>
      <c r="Z27" t="n">
        <v>74.66552</v>
      </c>
      <c r="AA27" t="n">
        <v>75.31604</v>
      </c>
      <c r="AB27" t="n">
        <v>75.96556099999999</v>
      </c>
      <c r="AC27" t="n">
        <v>76.611816</v>
      </c>
      <c r="AD27" t="n">
        <v>77.24337800000001</v>
      </c>
      <c r="AE27" t="n">
        <v>77.87056699999999</v>
      </c>
      <c r="AF27" t="n">
        <v>78.49052399999999</v>
      </c>
      <c r="AG27" t="n">
        <v>79.097527</v>
      </c>
      <c r="AH27" t="n">
        <v>79.692604</v>
      </c>
      <c r="AI27" s="16" t="n">
        <v>0.008999999999999999</v>
      </c>
    </row>
    <row r="28">
      <c r="A28" t="inlineStr">
        <is>
          <t>Distillate Fuel Oil</t>
        </is>
      </c>
      <c r="B28" t="inlineStr">
        <is>
          <t>Residential Equipment: Equipment Stock: Water Heaters: Distillate Fuel Oil: Reference case</t>
        </is>
      </c>
      <c r="C28" t="inlineStr">
        <is>
          <t>AEO.2023.REF2023.EQNR_STK_RESD_WHT_DFO_NA_NA_MILL.A</t>
        </is>
      </c>
      <c r="D28" t="inlineStr">
        <is>
          <t>millions</t>
        </is>
      </c>
      <c r="F28" t="n">
        <v>2.542532</v>
      </c>
      <c r="G28" t="n">
        <v>2.484457</v>
      </c>
      <c r="H28" t="n">
        <v>2.431864</v>
      </c>
      <c r="I28" t="n">
        <v>2.385705</v>
      </c>
      <c r="J28" t="n">
        <v>2.343567</v>
      </c>
      <c r="K28" t="n">
        <v>2.305742</v>
      </c>
      <c r="L28" t="n">
        <v>2.272055</v>
      </c>
      <c r="M28" t="n">
        <v>2.242364</v>
      </c>
      <c r="N28" t="n">
        <v>2.216697</v>
      </c>
      <c r="O28" t="n">
        <v>2.188768</v>
      </c>
      <c r="P28" t="n">
        <v>2.159277</v>
      </c>
      <c r="Q28" t="n">
        <v>2.128753</v>
      </c>
      <c r="R28" t="n">
        <v>2.098122</v>
      </c>
      <c r="S28" t="n">
        <v>2.066852</v>
      </c>
      <c r="T28" t="n">
        <v>2.036216</v>
      </c>
      <c r="U28" t="n">
        <v>2.006083</v>
      </c>
      <c r="V28" t="n">
        <v>1.976985</v>
      </c>
      <c r="W28" t="n">
        <v>1.948926</v>
      </c>
      <c r="X28" t="n">
        <v>1.922033</v>
      </c>
      <c r="Y28" t="n">
        <v>1.896241</v>
      </c>
      <c r="Z28" t="n">
        <v>1.871523</v>
      </c>
      <c r="AA28" t="n">
        <v>1.847718</v>
      </c>
      <c r="AB28" t="n">
        <v>1.824666</v>
      </c>
      <c r="AC28" t="n">
        <v>1.80236</v>
      </c>
      <c r="AD28" t="n">
        <v>1.780556</v>
      </c>
      <c r="AE28" t="n">
        <v>1.759241</v>
      </c>
      <c r="AF28" t="n">
        <v>1.738419</v>
      </c>
      <c r="AG28" t="n">
        <v>1.717659</v>
      </c>
      <c r="AH28" t="n">
        <v>1.697292</v>
      </c>
      <c r="AI28" s="16" t="n">
        <v>-0.014</v>
      </c>
    </row>
    <row r="29">
      <c r="A29" t="inlineStr">
        <is>
          <t>Propane</t>
        </is>
      </c>
      <c r="B29" t="inlineStr">
        <is>
          <t>Residential Equipment: Equipment Stock: Water Heaters: Propane: Reference case</t>
        </is>
      </c>
      <c r="C29" t="inlineStr">
        <is>
          <t>AEO.2023.REF2023.EQNR_STK_RESD_WHT_PROP_NA_NA_MILL.A</t>
        </is>
      </c>
      <c r="D29" t="inlineStr">
        <is>
          <t>millions</t>
        </is>
      </c>
      <c r="F29" t="n">
        <v>3.944016</v>
      </c>
      <c r="G29" t="n">
        <v>3.844217</v>
      </c>
      <c r="H29" t="n">
        <v>3.754283</v>
      </c>
      <c r="I29" t="n">
        <v>3.67485</v>
      </c>
      <c r="J29" t="n">
        <v>3.605606</v>
      </c>
      <c r="K29" t="n">
        <v>3.545926</v>
      </c>
      <c r="L29" t="n">
        <v>3.495781</v>
      </c>
      <c r="M29" t="n">
        <v>3.454613</v>
      </c>
      <c r="N29" t="n">
        <v>3.421728</v>
      </c>
      <c r="O29" t="n">
        <v>3.383463</v>
      </c>
      <c r="P29" t="n">
        <v>3.341427</v>
      </c>
      <c r="Q29" t="n">
        <v>3.296932</v>
      </c>
      <c r="R29" t="n">
        <v>3.250626</v>
      </c>
      <c r="S29" t="n">
        <v>3.203295</v>
      </c>
      <c r="T29" t="n">
        <v>3.156687</v>
      </c>
      <c r="U29" t="n">
        <v>3.1109</v>
      </c>
      <c r="V29" t="n">
        <v>3.066498</v>
      </c>
      <c r="W29" t="n">
        <v>3.024202</v>
      </c>
      <c r="X29" t="n">
        <v>2.984899</v>
      </c>
      <c r="Y29" t="n">
        <v>2.94847</v>
      </c>
      <c r="Z29" t="n">
        <v>2.914493</v>
      </c>
      <c r="AA29" t="n">
        <v>2.882922</v>
      </c>
      <c r="AB29" t="n">
        <v>2.853478</v>
      </c>
      <c r="AC29" t="n">
        <v>2.825944</v>
      </c>
      <c r="AD29" t="n">
        <v>2.799708</v>
      </c>
      <c r="AE29" t="n">
        <v>2.775011</v>
      </c>
      <c r="AF29" t="n">
        <v>2.751561</v>
      </c>
      <c r="AG29" t="n">
        <v>2.729004</v>
      </c>
      <c r="AH29" t="n">
        <v>2.707524</v>
      </c>
      <c r="AI29" s="16" t="n">
        <v>-0.013</v>
      </c>
    </row>
    <row r="30">
      <c r="A30" t="inlineStr">
        <is>
          <t>Solar Thermal</t>
        </is>
      </c>
      <c r="B30" t="inlineStr">
        <is>
          <t>Residential Equipment: Equipment Stock: Water Heaters: Solar Thermal: Reference case</t>
        </is>
      </c>
      <c r="C30" t="inlineStr">
        <is>
          <t>AEO.2023.REF2023.EQNR_STK_RESD_WHT_SLR_THERM_NA_MILL.A</t>
        </is>
      </c>
      <c r="D30" t="inlineStr">
        <is>
          <t>millions</t>
        </is>
      </c>
      <c r="F30" t="n">
        <v>2.232774</v>
      </c>
      <c r="G30" t="n">
        <v>2.576883</v>
      </c>
      <c r="H30" t="n">
        <v>2.912508</v>
      </c>
      <c r="I30" t="n">
        <v>3.238233</v>
      </c>
      <c r="J30" t="n">
        <v>3.563558</v>
      </c>
      <c r="K30" t="n">
        <v>3.872656</v>
      </c>
      <c r="L30" t="n">
        <v>4.167933</v>
      </c>
      <c r="M30" t="n">
        <v>4.454165</v>
      </c>
      <c r="N30" t="n">
        <v>4.734822</v>
      </c>
      <c r="O30" t="n">
        <v>5.018878</v>
      </c>
      <c r="P30" t="n">
        <v>5.304139</v>
      </c>
      <c r="Q30" t="n">
        <v>5.495253</v>
      </c>
      <c r="R30" t="n">
        <v>5.620392</v>
      </c>
      <c r="S30" t="n">
        <v>5.606394</v>
      </c>
      <c r="T30" t="n">
        <v>5.612399</v>
      </c>
      <c r="U30" t="n">
        <v>5.618275</v>
      </c>
      <c r="V30" t="n">
        <v>5.623932</v>
      </c>
      <c r="W30" t="n">
        <v>5.629901</v>
      </c>
      <c r="X30" t="n">
        <v>5.636178</v>
      </c>
      <c r="Y30" t="n">
        <v>5.642672</v>
      </c>
      <c r="Z30" t="n">
        <v>5.649299</v>
      </c>
      <c r="AA30" t="n">
        <v>5.656049</v>
      </c>
      <c r="AB30" t="n">
        <v>5.662947</v>
      </c>
      <c r="AC30" t="n">
        <v>5.670003</v>
      </c>
      <c r="AD30" t="n">
        <v>5.677579</v>
      </c>
      <c r="AE30" t="n">
        <v>5.685092</v>
      </c>
      <c r="AF30" t="n">
        <v>5.692599</v>
      </c>
      <c r="AG30" t="n">
        <v>5.700052</v>
      </c>
      <c r="AH30" t="n">
        <v>5.707356</v>
      </c>
      <c r="AI30" s="16" t="n">
        <v>0.034</v>
      </c>
    </row>
    <row r="31">
      <c r="A31" t="inlineStr">
        <is>
          <t>Total</t>
        </is>
      </c>
      <c r="B31" t="inlineStr">
        <is>
          <t>Residential Equipment: Equipment Stock: Water Heaters: Total: Reference case</t>
        </is>
      </c>
      <c r="C31" t="inlineStr">
        <is>
          <t>AEO.2023.REF2023.EQNR_STK_RESD_WHT_TOT_NA_NA_MILL.A</t>
        </is>
      </c>
      <c r="D31" t="inlineStr">
        <is>
          <t>millions</t>
        </is>
      </c>
      <c r="F31" t="n">
        <v>130.552429</v>
      </c>
      <c r="G31" t="n">
        <v>131.744141</v>
      </c>
      <c r="H31" t="n">
        <v>132.937958</v>
      </c>
      <c r="I31" t="n">
        <v>134.158768</v>
      </c>
      <c r="J31" t="n">
        <v>135.376175</v>
      </c>
      <c r="K31" t="n">
        <v>136.599655</v>
      </c>
      <c r="L31" t="n">
        <v>137.831604</v>
      </c>
      <c r="M31" t="n">
        <v>139.054184</v>
      </c>
      <c r="N31" t="n">
        <v>140.245758</v>
      </c>
      <c r="O31" t="n">
        <v>141.414444</v>
      </c>
      <c r="P31" t="n">
        <v>142.574585</v>
      </c>
      <c r="Q31" t="n">
        <v>143.709686</v>
      </c>
      <c r="R31" t="n">
        <v>144.809479</v>
      </c>
      <c r="S31" t="n">
        <v>145.894333</v>
      </c>
      <c r="T31" t="n">
        <v>146.980682</v>
      </c>
      <c r="U31" t="n">
        <v>148.060043</v>
      </c>
      <c r="V31" t="n">
        <v>149.134872</v>
      </c>
      <c r="W31" t="n">
        <v>150.201797</v>
      </c>
      <c r="X31" t="n">
        <v>151.280716</v>
      </c>
      <c r="Y31" t="n">
        <v>152.360443</v>
      </c>
      <c r="Z31" t="n">
        <v>153.424042</v>
      </c>
      <c r="AA31" t="n">
        <v>154.479462</v>
      </c>
      <c r="AB31" t="n">
        <v>155.527481</v>
      </c>
      <c r="AC31" t="n">
        <v>156.569199</v>
      </c>
      <c r="AD31" t="n">
        <v>157.600876</v>
      </c>
      <c r="AE31" t="n">
        <v>158.62883</v>
      </c>
      <c r="AF31" t="n">
        <v>159.646011</v>
      </c>
      <c r="AG31" t="n">
        <v>160.651154</v>
      </c>
      <c r="AH31" t="n">
        <v>161.6474</v>
      </c>
      <c r="AI31" s="16" t="n">
        <v>0.008</v>
      </c>
    </row>
    <row r="32">
      <c r="A32" t="inlineStr">
        <is>
          <t>Cooking Equipment (million units)</t>
        </is>
      </c>
    </row>
    <row r="33">
      <c r="A33" t="inlineStr">
        <is>
          <t>Electric</t>
        </is>
      </c>
      <c r="B33" t="inlineStr">
        <is>
          <t>Residential Equipment: Equipment Stock: Cooking Equipment: Electric: Reference case</t>
        </is>
      </c>
      <c r="C33" t="inlineStr">
        <is>
          <t>AEO.2023.REF2023.EQNR_STK_RESD_CER_ELE_NA_NA_MILL.A</t>
        </is>
      </c>
      <c r="D33" t="inlineStr">
        <is>
          <t>millions</t>
        </is>
      </c>
      <c r="F33" t="n">
        <v>98.26868399999999</v>
      </c>
      <c r="G33" t="n">
        <v>98.918465</v>
      </c>
      <c r="H33" t="n">
        <v>99.55474100000001</v>
      </c>
      <c r="I33" t="n">
        <v>100.198555</v>
      </c>
      <c r="J33" t="n">
        <v>100.828621</v>
      </c>
      <c r="K33" t="n">
        <v>101.449066</v>
      </c>
      <c r="L33" t="n">
        <v>102.060173</v>
      </c>
      <c r="M33" t="n">
        <v>102.624161</v>
      </c>
      <c r="N33" t="n">
        <v>103.12352</v>
      </c>
      <c r="O33" t="n">
        <v>103.555977</v>
      </c>
      <c r="P33" t="n">
        <v>103.928223</v>
      </c>
      <c r="Q33" t="n">
        <v>104.312157</v>
      </c>
      <c r="R33" t="n">
        <v>104.726097</v>
      </c>
      <c r="S33" t="n">
        <v>105.187927</v>
      </c>
      <c r="T33" t="n">
        <v>105.718834</v>
      </c>
      <c r="U33" t="n">
        <v>106.317833</v>
      </c>
      <c r="V33" t="n">
        <v>106.902771</v>
      </c>
      <c r="W33" t="n">
        <v>107.470909</v>
      </c>
      <c r="X33" t="n">
        <v>108.035225</v>
      </c>
      <c r="Y33" t="n">
        <v>108.586731</v>
      </c>
      <c r="Z33" t="n">
        <v>109.113167</v>
      </c>
      <c r="AA33" t="n">
        <v>109.619537</v>
      </c>
      <c r="AB33" t="n">
        <v>110.106743</v>
      </c>
      <c r="AC33" t="n">
        <v>110.57737</v>
      </c>
      <c r="AD33" t="n">
        <v>111.032166</v>
      </c>
      <c r="AE33" t="n">
        <v>111.479454</v>
      </c>
      <c r="AF33" t="n">
        <v>111.918579</v>
      </c>
      <c r="AG33" t="n">
        <v>112.354431</v>
      </c>
      <c r="AH33" t="n">
        <v>112.793877</v>
      </c>
      <c r="AI33" s="16" t="n">
        <v>0.005</v>
      </c>
    </row>
    <row r="34">
      <c r="A34" t="inlineStr">
        <is>
          <t>Natural Gas</t>
        </is>
      </c>
      <c r="B34" t="inlineStr">
        <is>
          <t>Residential Equipment: Equipment Stock: Cooking Equipment: Natural Gas: Reference case</t>
        </is>
      </c>
      <c r="C34" t="inlineStr">
        <is>
          <t>AEO.2023.REF2023.EQNR_STK_RESD_CER_NG_NA_NA_MILL.A</t>
        </is>
      </c>
      <c r="D34" t="inlineStr">
        <is>
          <t>millions</t>
        </is>
      </c>
      <c r="F34" t="n">
        <v>48.883518</v>
      </c>
      <c r="G34" t="n">
        <v>49.409149</v>
      </c>
      <c r="H34" t="n">
        <v>49.952679</v>
      </c>
      <c r="I34" t="n">
        <v>50.517521</v>
      </c>
      <c r="J34" t="n">
        <v>51.095181</v>
      </c>
      <c r="K34" t="n">
        <v>51.691891</v>
      </c>
      <c r="L34" t="n">
        <v>52.309582</v>
      </c>
      <c r="M34" t="n">
        <v>52.968777</v>
      </c>
      <c r="N34" t="n">
        <v>53.66621</v>
      </c>
      <c r="O34" t="n">
        <v>54.41114</v>
      </c>
      <c r="P34" t="n">
        <v>55.209866</v>
      </c>
      <c r="Q34" t="n">
        <v>55.967617</v>
      </c>
      <c r="R34" t="n">
        <v>56.656403</v>
      </c>
      <c r="S34" t="n">
        <v>57.278698</v>
      </c>
      <c r="T34" t="n">
        <v>57.828838</v>
      </c>
      <c r="U34" t="n">
        <v>58.300526</v>
      </c>
      <c r="V34" t="n">
        <v>58.784473</v>
      </c>
      <c r="W34" t="n">
        <v>59.280293</v>
      </c>
      <c r="X34" t="n">
        <v>59.794044</v>
      </c>
      <c r="Y34" t="n">
        <v>60.32373</v>
      </c>
      <c r="Z34" t="n">
        <v>60.864475</v>
      </c>
      <c r="AA34" t="n">
        <v>61.418552</v>
      </c>
      <c r="AB34" t="n">
        <v>61.984871</v>
      </c>
      <c r="AC34" t="n">
        <v>62.561092</v>
      </c>
      <c r="AD34" t="n">
        <v>63.141663</v>
      </c>
      <c r="AE34" t="n">
        <v>63.723984</v>
      </c>
      <c r="AF34" t="n">
        <v>64.30146000000001</v>
      </c>
      <c r="AG34" t="n">
        <v>64.868683</v>
      </c>
      <c r="AH34" t="n">
        <v>65.42253100000001</v>
      </c>
      <c r="AI34" s="16" t="n">
        <v>0.01</v>
      </c>
    </row>
    <row r="35">
      <c r="A35" t="inlineStr">
        <is>
          <t>Propane</t>
        </is>
      </c>
      <c r="B35" t="inlineStr">
        <is>
          <t>Residential Equipment: Equipment Stock: Cooking Equipment: Propane: Reference case</t>
        </is>
      </c>
      <c r="C35" t="inlineStr">
        <is>
          <t>AEO.2023.REF2023.EQNR_STK_RESD_CER_PROP_NA_NA_MILL.A</t>
        </is>
      </c>
      <c r="D35" t="inlineStr">
        <is>
          <t>millions</t>
        </is>
      </c>
      <c r="F35" t="n">
        <v>7.251641</v>
      </c>
      <c r="G35" t="n">
        <v>7.235342</v>
      </c>
      <c r="H35" t="n">
        <v>7.217015</v>
      </c>
      <c r="I35" t="n">
        <v>7.196943</v>
      </c>
      <c r="J35" t="n">
        <v>7.174531</v>
      </c>
      <c r="K35" t="n">
        <v>7.148907</v>
      </c>
      <c r="L35" t="n">
        <v>7.120317</v>
      </c>
      <c r="M35" t="n">
        <v>7.088118</v>
      </c>
      <c r="N35" t="n">
        <v>7.051433</v>
      </c>
      <c r="O35" t="n">
        <v>7.011372</v>
      </c>
      <c r="P35" t="n">
        <v>6.969453</v>
      </c>
      <c r="Q35" t="n">
        <v>6.931829</v>
      </c>
      <c r="R35" t="n">
        <v>6.898018</v>
      </c>
      <c r="S35" t="n">
        <v>6.868111</v>
      </c>
      <c r="T35" t="n">
        <v>6.842745</v>
      </c>
      <c r="U35" t="n">
        <v>6.821068</v>
      </c>
      <c r="V35" t="n">
        <v>6.79666</v>
      </c>
      <c r="W35" t="n">
        <v>6.769514</v>
      </c>
      <c r="X35" t="n">
        <v>6.740311</v>
      </c>
      <c r="Y35" t="n">
        <v>6.708988</v>
      </c>
      <c r="Z35" t="n">
        <v>6.67562</v>
      </c>
      <c r="AA35" t="n">
        <v>6.640938</v>
      </c>
      <c r="AB35" t="n">
        <v>6.605863</v>
      </c>
      <c r="AC35" t="n">
        <v>6.571425</v>
      </c>
      <c r="AD35" t="n">
        <v>6.53839</v>
      </c>
      <c r="AE35" t="n">
        <v>6.507637</v>
      </c>
      <c r="AF35" t="n">
        <v>6.479108</v>
      </c>
      <c r="AG35" t="n">
        <v>6.452258</v>
      </c>
      <c r="AH35" t="n">
        <v>6.426418</v>
      </c>
      <c r="AI35" s="16" t="n">
        <v>-0.004</v>
      </c>
    </row>
    <row r="36">
      <c r="A36" t="inlineStr">
        <is>
          <t>Total</t>
        </is>
      </c>
      <c r="B36" t="inlineStr">
        <is>
          <t>Residential Equipment: Equipment Stock: Cooking Equipment: Total: Reference case</t>
        </is>
      </c>
      <c r="C36" t="inlineStr">
        <is>
          <t>AEO.2023.REF2023.EQNR_STK_RESD_CER_TOT_NA_NA_MILL.A</t>
        </is>
      </c>
      <c r="D36" t="inlineStr">
        <is>
          <t>millions</t>
        </is>
      </c>
      <c r="F36" t="n">
        <v>154.403854</v>
      </c>
      <c r="G36" t="n">
        <v>155.562943</v>
      </c>
      <c r="H36" t="n">
        <v>156.724426</v>
      </c>
      <c r="I36" t="n">
        <v>157.913025</v>
      </c>
      <c r="J36" t="n">
        <v>159.098328</v>
      </c>
      <c r="K36" t="n">
        <v>160.289871</v>
      </c>
      <c r="L36" t="n">
        <v>161.490067</v>
      </c>
      <c r="M36" t="n">
        <v>162.681061</v>
      </c>
      <c r="N36" t="n">
        <v>163.841171</v>
      </c>
      <c r="O36" t="n">
        <v>164.978485</v>
      </c>
      <c r="P36" t="n">
        <v>166.107544</v>
      </c>
      <c r="Q36" t="n">
        <v>167.211594</v>
      </c>
      <c r="R36" t="n">
        <v>168.280518</v>
      </c>
      <c r="S36" t="n">
        <v>169.334747</v>
      </c>
      <c r="T36" t="n">
        <v>170.390411</v>
      </c>
      <c r="U36" t="n">
        <v>171.439423</v>
      </c>
      <c r="V36" t="n">
        <v>172.483902</v>
      </c>
      <c r="W36" t="n">
        <v>173.520721</v>
      </c>
      <c r="X36" t="n">
        <v>174.56958</v>
      </c>
      <c r="Y36" t="n">
        <v>175.619446</v>
      </c>
      <c r="Z36" t="n">
        <v>176.653259</v>
      </c>
      <c r="AA36" t="n">
        <v>177.679016</v>
      </c>
      <c r="AB36" t="n">
        <v>178.697479</v>
      </c>
      <c r="AC36" t="n">
        <v>179.709885</v>
      </c>
      <c r="AD36" t="n">
        <v>180.712219</v>
      </c>
      <c r="AE36" t="n">
        <v>181.71106</v>
      </c>
      <c r="AF36" t="n">
        <v>182.699142</v>
      </c>
      <c r="AG36" t="n">
        <v>183.675369</v>
      </c>
      <c r="AH36" t="n">
        <v>184.642822</v>
      </c>
      <c r="AI36" s="16" t="n">
        <v>0.006</v>
      </c>
    </row>
    <row r="37">
      <c r="A37" t="inlineStr">
        <is>
          <t>Clothes Dryers (million units)</t>
        </is>
      </c>
    </row>
    <row r="38">
      <c r="A38" t="inlineStr">
        <is>
          <t>Electric</t>
        </is>
      </c>
      <c r="B38" t="inlineStr">
        <is>
          <t>Residential Equipment: Equipment Stock: Clothes Dryers: Electric: Reference case</t>
        </is>
      </c>
      <c r="C38" t="inlineStr">
        <is>
          <t>AEO.2023.REF2023.EQNR_STK_RESD_CDR_ELE_NA_NA_MILL.A</t>
        </is>
      </c>
      <c r="D38" t="inlineStr">
        <is>
          <t>millions</t>
        </is>
      </c>
      <c r="F38" t="n">
        <v>86.664726</v>
      </c>
      <c r="G38" t="n">
        <v>88.29785200000001</v>
      </c>
      <c r="H38" t="n">
        <v>89.92832900000001</v>
      </c>
      <c r="I38" t="n">
        <v>91.593002</v>
      </c>
      <c r="J38" t="n">
        <v>93.232185</v>
      </c>
      <c r="K38" t="n">
        <v>94.86705000000001</v>
      </c>
      <c r="L38" t="n">
        <v>96.512413</v>
      </c>
      <c r="M38" t="n">
        <v>98.15149700000001</v>
      </c>
      <c r="N38" t="n">
        <v>99.76561700000001</v>
      </c>
      <c r="O38" t="n">
        <v>101.361588</v>
      </c>
      <c r="P38" t="n">
        <v>102.952942</v>
      </c>
      <c r="Q38" t="n">
        <v>104.526917</v>
      </c>
      <c r="R38" t="n">
        <v>106.11953</v>
      </c>
      <c r="S38" t="n">
        <v>107.711365</v>
      </c>
      <c r="T38" t="n">
        <v>109.317787</v>
      </c>
      <c r="U38" t="n">
        <v>110.904121</v>
      </c>
      <c r="V38" t="n">
        <v>112.473495</v>
      </c>
      <c r="W38" t="n">
        <v>114.027809</v>
      </c>
      <c r="X38" t="n">
        <v>115.583641</v>
      </c>
      <c r="Y38" t="n">
        <v>117.132652</v>
      </c>
      <c r="Z38" t="n">
        <v>118.660141</v>
      </c>
      <c r="AA38" t="n">
        <v>120.175964</v>
      </c>
      <c r="AB38" t="n">
        <v>121.682526</v>
      </c>
      <c r="AC38" t="n">
        <v>123.18261</v>
      </c>
      <c r="AD38" t="n">
        <v>124.6744</v>
      </c>
      <c r="AE38" t="n">
        <v>126.162956</v>
      </c>
      <c r="AF38" t="n">
        <v>127.641502</v>
      </c>
      <c r="AG38" t="n">
        <v>129.108826</v>
      </c>
      <c r="AH38" t="n">
        <v>130.567169</v>
      </c>
      <c r="AI38" s="16" t="n">
        <v>0.015</v>
      </c>
    </row>
    <row r="39">
      <c r="A39" t="inlineStr">
        <is>
          <t>Natural Gas</t>
        </is>
      </c>
      <c r="B39" t="inlineStr">
        <is>
          <t>Residential Equipment: Equipment Stock: Clothes Dryers: Natural Gas: Reference case</t>
        </is>
      </c>
      <c r="C39" t="inlineStr">
        <is>
          <t>AEO.2023.REF2023.EQNR_STK_RESD_CDR_NG_NA_NA_MILL.A</t>
        </is>
      </c>
      <c r="D39" t="inlineStr">
        <is>
          <t>millions</t>
        </is>
      </c>
      <c r="F39" t="n">
        <v>20.076683</v>
      </c>
      <c r="G39" t="n">
        <v>20.41683</v>
      </c>
      <c r="H39" t="n">
        <v>20.774427</v>
      </c>
      <c r="I39" t="n">
        <v>21.150564</v>
      </c>
      <c r="J39" t="n">
        <v>21.546068</v>
      </c>
      <c r="K39" t="n">
        <v>21.964548</v>
      </c>
      <c r="L39" t="n">
        <v>22.379805</v>
      </c>
      <c r="M39" t="n">
        <v>22.792025</v>
      </c>
      <c r="N39" t="n">
        <v>23.198757</v>
      </c>
      <c r="O39" t="n">
        <v>23.600092</v>
      </c>
      <c r="P39" t="n">
        <v>23.995813</v>
      </c>
      <c r="Q39" t="n">
        <v>24.382277</v>
      </c>
      <c r="R39" t="n">
        <v>24.755445</v>
      </c>
      <c r="S39" t="n">
        <v>25.112667</v>
      </c>
      <c r="T39" t="n">
        <v>25.454254</v>
      </c>
      <c r="U39" t="n">
        <v>25.806086</v>
      </c>
      <c r="V39" t="n">
        <v>26.167633</v>
      </c>
      <c r="W39" t="n">
        <v>26.537321</v>
      </c>
      <c r="X39" t="n">
        <v>26.915823</v>
      </c>
      <c r="Y39" t="n">
        <v>27.30057</v>
      </c>
      <c r="Z39" t="n">
        <v>27.687328</v>
      </c>
      <c r="AA39" t="n">
        <v>28.075541</v>
      </c>
      <c r="AB39" t="n">
        <v>28.46377</v>
      </c>
      <c r="AC39" t="n">
        <v>28.850496</v>
      </c>
      <c r="AD39" t="n">
        <v>29.233149</v>
      </c>
      <c r="AE39" t="n">
        <v>29.61228</v>
      </c>
      <c r="AF39" t="n">
        <v>29.987488</v>
      </c>
      <c r="AG39" t="n">
        <v>30.358225</v>
      </c>
      <c r="AH39" t="n">
        <v>30.725327</v>
      </c>
      <c r="AI39" s="16" t="n">
        <v>0.015</v>
      </c>
    </row>
    <row r="40">
      <c r="A40" t="inlineStr">
        <is>
          <t>Total</t>
        </is>
      </c>
      <c r="B40" t="inlineStr">
        <is>
          <t>Residential Equipment: Equipment Stock: Clothes Dryers: Total: Reference case</t>
        </is>
      </c>
      <c r="C40" t="inlineStr">
        <is>
          <t>AEO.2023.REF2023.EQNR_STK_RESD_CDR_TOT_NA_NA_MILL.A</t>
        </is>
      </c>
      <c r="D40" t="inlineStr">
        <is>
          <t>millions</t>
        </is>
      </c>
      <c r="F40" t="n">
        <v>106.741409</v>
      </c>
      <c r="G40" t="n">
        <v>108.714684</v>
      </c>
      <c r="H40" t="n">
        <v>110.702759</v>
      </c>
      <c r="I40" t="n">
        <v>112.743568</v>
      </c>
      <c r="J40" t="n">
        <v>114.778252</v>
      </c>
      <c r="K40" t="n">
        <v>116.831596</v>
      </c>
      <c r="L40" t="n">
        <v>118.89222</v>
      </c>
      <c r="M40" t="n">
        <v>120.94352</v>
      </c>
      <c r="N40" t="n">
        <v>122.964371</v>
      </c>
      <c r="O40" t="n">
        <v>124.961678</v>
      </c>
      <c r="P40" t="n">
        <v>126.948753</v>
      </c>
      <c r="Q40" t="n">
        <v>128.909195</v>
      </c>
      <c r="R40" t="n">
        <v>130.874969</v>
      </c>
      <c r="S40" t="n">
        <v>132.824036</v>
      </c>
      <c r="T40" t="n">
        <v>134.772034</v>
      </c>
      <c r="U40" t="n">
        <v>136.710205</v>
      </c>
      <c r="V40" t="n">
        <v>138.641129</v>
      </c>
      <c r="W40" t="n">
        <v>140.565125</v>
      </c>
      <c r="X40" t="n">
        <v>142.499466</v>
      </c>
      <c r="Y40" t="n">
        <v>144.433228</v>
      </c>
      <c r="Z40" t="n">
        <v>146.347473</v>
      </c>
      <c r="AA40" t="n">
        <v>148.251511</v>
      </c>
      <c r="AB40" t="n">
        <v>150.146301</v>
      </c>
      <c r="AC40" t="n">
        <v>152.033112</v>
      </c>
      <c r="AD40" t="n">
        <v>153.907547</v>
      </c>
      <c r="AE40" t="n">
        <v>155.775238</v>
      </c>
      <c r="AF40" t="n">
        <v>157.628998</v>
      </c>
      <c r="AG40" t="n">
        <v>159.467056</v>
      </c>
      <c r="AH40" t="n">
        <v>161.292496</v>
      </c>
      <c r="AI40" s="16" t="n">
        <v>0.015</v>
      </c>
    </row>
    <row r="41">
      <c r="A41" t="inlineStr">
        <is>
          <t>Other Appliances (million units)</t>
        </is>
      </c>
    </row>
    <row r="42">
      <c r="A42" t="inlineStr">
        <is>
          <t>Refrigerators</t>
        </is>
      </c>
      <c r="B42" t="inlineStr">
        <is>
          <t>Residential Equipment: Equipment Stock: Other Appliances: Refrigerators: Reference case</t>
        </is>
      </c>
      <c r="C42" t="inlineStr">
        <is>
          <t>AEO.2023.REF2023.EQNR_STK_RESD_OTAR_RFG_NA_NA_MILL.A</t>
        </is>
      </c>
      <c r="D42" t="inlineStr">
        <is>
          <t>millions</t>
        </is>
      </c>
      <c r="F42" t="n">
        <v>172.810516</v>
      </c>
      <c r="G42" t="n">
        <v>174.530365</v>
      </c>
      <c r="H42" t="n">
        <v>176.275696</v>
      </c>
      <c r="I42" t="n">
        <v>178.065262</v>
      </c>
      <c r="J42" t="n">
        <v>179.847244</v>
      </c>
      <c r="K42" t="n">
        <v>181.635696</v>
      </c>
      <c r="L42" t="n">
        <v>183.436234</v>
      </c>
      <c r="M42" t="n">
        <v>185.224869</v>
      </c>
      <c r="N42" t="n">
        <v>186.971237</v>
      </c>
      <c r="O42" t="n">
        <v>188.685394</v>
      </c>
      <c r="P42" t="n">
        <v>190.38591</v>
      </c>
      <c r="Q42" t="n">
        <v>192.050064</v>
      </c>
      <c r="R42" t="n">
        <v>193.663895</v>
      </c>
      <c r="S42" t="n">
        <v>195.256546</v>
      </c>
      <c r="T42" t="n">
        <v>196.849823</v>
      </c>
      <c r="U42" t="n">
        <v>198.431152</v>
      </c>
      <c r="V42" t="n">
        <v>200.004013</v>
      </c>
      <c r="W42" t="n">
        <v>201.563278</v>
      </c>
      <c r="X42" t="n">
        <v>203.138809</v>
      </c>
      <c r="Y42" t="n">
        <v>204.7164</v>
      </c>
      <c r="Z42" t="n">
        <v>206.270172</v>
      </c>
      <c r="AA42" t="n">
        <v>207.812805</v>
      </c>
      <c r="AB42" t="n">
        <v>209.345474</v>
      </c>
      <c r="AC42" t="n">
        <v>210.86969</v>
      </c>
      <c r="AD42" t="n">
        <v>212.379837</v>
      </c>
      <c r="AE42" t="n">
        <v>213.882141</v>
      </c>
      <c r="AF42" t="n">
        <v>215.367798</v>
      </c>
      <c r="AG42" t="n">
        <v>216.834122</v>
      </c>
      <c r="AH42" t="n">
        <v>218.285522</v>
      </c>
      <c r="AI42" s="16" t="n">
        <v>0.008</v>
      </c>
    </row>
    <row r="43">
      <c r="A43" t="inlineStr">
        <is>
          <t>Freezers</t>
        </is>
      </c>
      <c r="B43" t="inlineStr">
        <is>
          <t>Residential Equipment: Equipment Stock: Other Appliances: Freezers: Reference case</t>
        </is>
      </c>
      <c r="C43" t="inlineStr">
        <is>
          <t>AEO.2023.REF2023.EQNR_STK_RESD_OTAR_FRZ_NA_NA_MILL.A</t>
        </is>
      </c>
      <c r="D43" t="inlineStr">
        <is>
          <t>millions</t>
        </is>
      </c>
      <c r="F43" t="n">
        <v>45.411747</v>
      </c>
      <c r="G43" t="n">
        <v>45.797165</v>
      </c>
      <c r="H43" t="n">
        <v>46.196087</v>
      </c>
      <c r="I43" t="n">
        <v>46.606503</v>
      </c>
      <c r="J43" t="n">
        <v>47.016159</v>
      </c>
      <c r="K43" t="n">
        <v>47.427891</v>
      </c>
      <c r="L43" t="n">
        <v>47.84296</v>
      </c>
      <c r="M43" t="n">
        <v>48.255486</v>
      </c>
      <c r="N43" t="n">
        <v>48.656849</v>
      </c>
      <c r="O43" t="n">
        <v>49.049393</v>
      </c>
      <c r="P43" t="n">
        <v>49.438591</v>
      </c>
      <c r="Q43" t="n">
        <v>49.820274</v>
      </c>
      <c r="R43" t="n">
        <v>50.190594</v>
      </c>
      <c r="S43" t="n">
        <v>50.555218</v>
      </c>
      <c r="T43" t="n">
        <v>50.919407</v>
      </c>
      <c r="U43" t="n">
        <v>51.278885</v>
      </c>
      <c r="V43" t="n">
        <v>51.634022</v>
      </c>
      <c r="W43" t="n">
        <v>51.984623</v>
      </c>
      <c r="X43" t="n">
        <v>52.339035</v>
      </c>
      <c r="Y43" t="n">
        <v>52.69482</v>
      </c>
      <c r="Z43" t="n">
        <v>53.045345</v>
      </c>
      <c r="AA43" t="n">
        <v>53.39328</v>
      </c>
      <c r="AB43" t="n">
        <v>53.739021</v>
      </c>
      <c r="AC43" t="n">
        <v>54.08271</v>
      </c>
      <c r="AD43" t="n">
        <v>54.422565</v>
      </c>
      <c r="AE43" t="n">
        <v>54.759823</v>
      </c>
      <c r="AF43" t="n">
        <v>55.092644</v>
      </c>
      <c r="AG43" t="n">
        <v>55.419907</v>
      </c>
      <c r="AH43" t="n">
        <v>55.742943</v>
      </c>
      <c r="AI43" s="16" t="n">
        <v>0.007</v>
      </c>
    </row>
    <row r="44">
      <c r="A44" t="inlineStr">
        <is>
          <t>Stock Average Equipment Efficiency</t>
        </is>
      </c>
    </row>
    <row r="45">
      <c r="A45" t="inlineStr">
        <is>
          <t>Main Space Heaters</t>
        </is>
      </c>
    </row>
    <row r="46">
      <c r="A46" t="inlineStr">
        <is>
          <t>Electric Heat Pumps (HSPF)</t>
        </is>
      </c>
      <c r="B46" t="inlineStr">
        <is>
          <t>Residential Equipment: Stock Average Efficiency: Main Space Heaters: Electric Heat Pumps: Reference case</t>
        </is>
      </c>
      <c r="C46" t="inlineStr">
        <is>
          <t>AEO.2023.REF2023.EFI_STK_RESD_SPHR_EHP_NA_NA_HSPF.A</t>
        </is>
      </c>
      <c r="D46" t="inlineStr">
        <is>
          <t>HSPF</t>
        </is>
      </c>
      <c r="F46" t="n">
        <v>8.210587</v>
      </c>
      <c r="G46" t="n">
        <v>8.304102</v>
      </c>
      <c r="H46" t="n">
        <v>8.388268</v>
      </c>
      <c r="I46" t="n">
        <v>8.46823</v>
      </c>
      <c r="J46" t="n">
        <v>8.543405</v>
      </c>
      <c r="K46" t="n">
        <v>8.614229999999999</v>
      </c>
      <c r="L46" t="n">
        <v>8.680593999999999</v>
      </c>
      <c r="M46" t="n">
        <v>8.742820999999999</v>
      </c>
      <c r="N46" t="n">
        <v>8.800603000000001</v>
      </c>
      <c r="O46" t="n">
        <v>8.854053</v>
      </c>
      <c r="P46" t="n">
        <v>8.903027</v>
      </c>
      <c r="Q46" t="n">
        <v>8.946011</v>
      </c>
      <c r="R46" t="n">
        <v>8.983779</v>
      </c>
      <c r="S46" t="n">
        <v>9.015677</v>
      </c>
      <c r="T46" t="n">
        <v>9.040678</v>
      </c>
      <c r="U46" t="n">
        <v>9.057808</v>
      </c>
      <c r="V46" t="n">
        <v>9.073445</v>
      </c>
      <c r="W46" t="n">
        <v>9.087294</v>
      </c>
      <c r="X46" t="n">
        <v>9.099171</v>
      </c>
      <c r="Y46" t="n">
        <v>9.109040999999999</v>
      </c>
      <c r="Z46" t="n">
        <v>9.117004</v>
      </c>
      <c r="AA46" t="n">
        <v>9.123222</v>
      </c>
      <c r="AB46" t="n">
        <v>9.127919</v>
      </c>
      <c r="AC46" t="n">
        <v>9.131365000000001</v>
      </c>
      <c r="AD46" t="n">
        <v>9.133832999999999</v>
      </c>
      <c r="AE46" t="n">
        <v>9.13556</v>
      </c>
      <c r="AF46" t="n">
        <v>9.136773</v>
      </c>
      <c r="AG46" t="n">
        <v>9.137641</v>
      </c>
      <c r="AH46" t="n">
        <v>9.138287</v>
      </c>
      <c r="AI46" s="16" t="n">
        <v>0.004</v>
      </c>
    </row>
    <row r="47">
      <c r="A47" t="inlineStr">
        <is>
          <t>Natural Gas Heat Pumps (GCOP)</t>
        </is>
      </c>
      <c r="B47" t="inlineStr">
        <is>
          <t>Residential Equipment: Stock Average Efficiency: Main Space Heaters: Natural Gas Heat Pumps: Reference case</t>
        </is>
      </c>
      <c r="C47" t="inlineStr">
        <is>
          <t>AEO.2023.REF2023.EFI_STK_RESD_SPHR_NHU_NA_NA_GCOP.A</t>
        </is>
      </c>
      <c r="D47" t="inlineStr">
        <is>
          <t>GCOP</t>
        </is>
      </c>
      <c r="F47" t="n">
        <v>1.3</v>
      </c>
      <c r="G47" t="n">
        <v>1.3</v>
      </c>
      <c r="H47" t="n">
        <v>1.3</v>
      </c>
      <c r="I47" t="n">
        <v>1.3</v>
      </c>
      <c r="J47" t="n">
        <v>1.3</v>
      </c>
      <c r="K47" t="n">
        <v>1.3</v>
      </c>
      <c r="L47" t="n">
        <v>1.3</v>
      </c>
      <c r="M47" t="n">
        <v>1.3</v>
      </c>
      <c r="N47" t="n">
        <v>1.3</v>
      </c>
      <c r="O47" t="n">
        <v>1.3</v>
      </c>
      <c r="P47" t="n">
        <v>1.3</v>
      </c>
      <c r="Q47" t="n">
        <v>1.3</v>
      </c>
      <c r="R47" t="n">
        <v>1.3</v>
      </c>
      <c r="S47" t="n">
        <v>1.3</v>
      </c>
      <c r="T47" t="n">
        <v>1.3</v>
      </c>
      <c r="U47" t="n">
        <v>1.3</v>
      </c>
      <c r="V47" t="n">
        <v>1.3</v>
      </c>
      <c r="W47" t="n">
        <v>1.3</v>
      </c>
      <c r="X47" t="n">
        <v>1.3</v>
      </c>
      <c r="Y47" t="n">
        <v>1.3</v>
      </c>
      <c r="Z47" t="n">
        <v>1.3</v>
      </c>
      <c r="AA47" t="n">
        <v>1.3</v>
      </c>
      <c r="AB47" t="n">
        <v>1.3</v>
      </c>
      <c r="AC47" t="n">
        <v>1.3</v>
      </c>
      <c r="AD47" t="n">
        <v>1.3</v>
      </c>
      <c r="AE47" t="n">
        <v>1.3</v>
      </c>
      <c r="AF47" t="n">
        <v>1.3</v>
      </c>
      <c r="AG47" t="n">
        <v>1.3</v>
      </c>
      <c r="AH47" t="n">
        <v>1.3</v>
      </c>
      <c r="AI47" s="16" t="n">
        <v>0</v>
      </c>
    </row>
    <row r="48">
      <c r="A48" t="inlineStr">
        <is>
          <t>Geothermal Heat Pumps (COP)</t>
        </is>
      </c>
      <c r="B48" t="inlineStr">
        <is>
          <t>Residential Equipment: Stock Average Efficiency: Main Space Heaters: Geothermal Heat Pumps: Reference case</t>
        </is>
      </c>
      <c r="C48" t="inlineStr">
        <is>
          <t>AEO.2023.REF2023.EFI_STK_RESD_SPHR_GEHP_NA_NA_COP.A</t>
        </is>
      </c>
      <c r="D48" t="inlineStr">
        <is>
          <t>COP</t>
        </is>
      </c>
      <c r="F48" t="n">
        <v>3.504604</v>
      </c>
      <c r="G48" t="n">
        <v>3.556369</v>
      </c>
      <c r="H48" t="n">
        <v>3.59844</v>
      </c>
      <c r="I48" t="n">
        <v>3.634681</v>
      </c>
      <c r="J48" t="n">
        <v>3.666291</v>
      </c>
      <c r="K48" t="n">
        <v>3.693115</v>
      </c>
      <c r="L48" t="n">
        <v>3.716257</v>
      </c>
      <c r="M48" t="n">
        <v>3.736611</v>
      </c>
      <c r="N48" t="n">
        <v>3.754611</v>
      </c>
      <c r="O48" t="n">
        <v>3.770766</v>
      </c>
      <c r="P48" t="n">
        <v>3.785425</v>
      </c>
      <c r="Q48" t="n">
        <v>3.796584</v>
      </c>
      <c r="R48" t="n">
        <v>3.805493</v>
      </c>
      <c r="S48" t="n">
        <v>3.796041</v>
      </c>
      <c r="T48" t="n">
        <v>3.785444</v>
      </c>
      <c r="U48" t="n">
        <v>3.774951</v>
      </c>
      <c r="V48" t="n">
        <v>3.764537</v>
      </c>
      <c r="W48" t="n">
        <v>3.754287</v>
      </c>
      <c r="X48" t="n">
        <v>3.744015</v>
      </c>
      <c r="Y48" t="n">
        <v>3.733937</v>
      </c>
      <c r="Z48" t="n">
        <v>3.724154</v>
      </c>
      <c r="AA48" t="n">
        <v>3.714635</v>
      </c>
      <c r="AB48" t="n">
        <v>3.705535</v>
      </c>
      <c r="AC48" t="n">
        <v>3.696872</v>
      </c>
      <c r="AD48" t="n">
        <v>3.688707</v>
      </c>
      <c r="AE48" t="n">
        <v>3.681581</v>
      </c>
      <c r="AF48" t="n">
        <v>3.675506</v>
      </c>
      <c r="AG48" t="n">
        <v>3.670432</v>
      </c>
      <c r="AH48" t="n">
        <v>3.666301</v>
      </c>
      <c r="AI48" s="16" t="n">
        <v>0.002</v>
      </c>
    </row>
    <row r="49">
      <c r="A49" t="inlineStr">
        <is>
          <t>Natural Gas Furnace (AFUE)</t>
        </is>
      </c>
      <c r="B49" t="inlineStr">
        <is>
          <t>Residential Equipment: Stock Average Efficiency: Main Space Heaters: Natural Gas Furnace: Reference case</t>
        </is>
      </c>
      <c r="C49" t="inlineStr">
        <is>
          <t>AEO.2023.REF2023.EFI_STK_RESD_SPHR_NFR_NA_NA_AFUE.A</t>
        </is>
      </c>
      <c r="D49" t="inlineStr">
        <is>
          <t>AFUE</t>
        </is>
      </c>
      <c r="F49" t="n">
        <v>0.832511</v>
      </c>
      <c r="G49" t="n">
        <v>0.839042</v>
      </c>
      <c r="H49" t="n">
        <v>0.845284</v>
      </c>
      <c r="I49" t="n">
        <v>0.851464</v>
      </c>
      <c r="J49" t="n">
        <v>0.857598</v>
      </c>
      <c r="K49" t="n">
        <v>0.8632339999999999</v>
      </c>
      <c r="L49" t="n">
        <v>0.868416</v>
      </c>
      <c r="M49" t="n">
        <v>0.8731449999999999</v>
      </c>
      <c r="N49" t="n">
        <v>0.877414</v>
      </c>
      <c r="O49" t="n">
        <v>0.8812950000000001</v>
      </c>
      <c r="P49" t="n">
        <v>0.884778</v>
      </c>
      <c r="Q49" t="n">
        <v>0.886197</v>
      </c>
      <c r="R49" t="n">
        <v>0.887271</v>
      </c>
      <c r="S49" t="n">
        <v>0.88805</v>
      </c>
      <c r="T49" t="n">
        <v>0.888509</v>
      </c>
      <c r="U49" t="n">
        <v>0.888666</v>
      </c>
      <c r="V49" t="n">
        <v>0.888505</v>
      </c>
      <c r="W49" t="n">
        <v>0.8880130000000001</v>
      </c>
      <c r="X49" t="n">
        <v>0.887169</v>
      </c>
      <c r="Y49" t="n">
        <v>0.885984</v>
      </c>
      <c r="Z49" t="n">
        <v>0.884725</v>
      </c>
      <c r="AA49" t="n">
        <v>0.883386</v>
      </c>
      <c r="AB49" t="n">
        <v>0.88197</v>
      </c>
      <c r="AC49" t="n">
        <v>0.8804959999999999</v>
      </c>
      <c r="AD49" t="n">
        <v>0.879007</v>
      </c>
      <c r="AE49" t="n">
        <v>0.877502</v>
      </c>
      <c r="AF49" t="n">
        <v>0.876014</v>
      </c>
      <c r="AG49" t="n">
        <v>0.87458</v>
      </c>
      <c r="AH49" t="n">
        <v>0.873234</v>
      </c>
      <c r="AI49" s="16" t="n">
        <v>0.002</v>
      </c>
    </row>
    <row r="50">
      <c r="A50" t="inlineStr">
        <is>
          <t>Distillate Furnace (AFUE)</t>
        </is>
      </c>
      <c r="B50" t="inlineStr">
        <is>
          <t>Residential Equipment: Stock Average Efficiency: Main Space Heaters: Distillate Furnace: Reference case</t>
        </is>
      </c>
      <c r="C50" t="inlineStr">
        <is>
          <t>AEO.2023.REF2023.EFI_STK_RESD_SPHR_DFR_NA_NA_AFUE.A</t>
        </is>
      </c>
      <c r="D50" t="inlineStr">
        <is>
          <t>AFUE</t>
        </is>
      </c>
      <c r="F50" t="n">
        <v>0.8369799999999999</v>
      </c>
      <c r="G50" t="n">
        <v>0.839296</v>
      </c>
      <c r="H50" t="n">
        <v>0.840969</v>
      </c>
      <c r="I50" t="n">
        <v>0.842509</v>
      </c>
      <c r="J50" t="n">
        <v>0.844005</v>
      </c>
      <c r="K50" t="n">
        <v>0.845546</v>
      </c>
      <c r="L50" t="n">
        <v>0.8469449999999999</v>
      </c>
      <c r="M50" t="n">
        <v>0.848229</v>
      </c>
      <c r="N50" t="n">
        <v>0.849376</v>
      </c>
      <c r="O50" t="n">
        <v>0.850423</v>
      </c>
      <c r="P50" t="n">
        <v>0.851347</v>
      </c>
      <c r="Q50" t="n">
        <v>0.851875</v>
      </c>
      <c r="R50" t="n">
        <v>0.85233</v>
      </c>
      <c r="S50" t="n">
        <v>0.852715</v>
      </c>
      <c r="T50" t="n">
        <v>0.853026</v>
      </c>
      <c r="U50" t="n">
        <v>0.853266</v>
      </c>
      <c r="V50" t="n">
        <v>0.853428</v>
      </c>
      <c r="W50" t="n">
        <v>0.853509</v>
      </c>
      <c r="X50" t="n">
        <v>0.853498</v>
      </c>
      <c r="Y50" t="n">
        <v>0.853403</v>
      </c>
      <c r="Z50" t="n">
        <v>0.853276</v>
      </c>
      <c r="AA50" t="n">
        <v>0.85311</v>
      </c>
      <c r="AB50" t="n">
        <v>0.852896</v>
      </c>
      <c r="AC50" t="n">
        <v>0.8526280000000001</v>
      </c>
      <c r="AD50" t="n">
        <v>0.8522999999999999</v>
      </c>
      <c r="AE50" t="n">
        <v>0.8519060000000001</v>
      </c>
      <c r="AF50" t="n">
        <v>0.8514429999999999</v>
      </c>
      <c r="AG50" t="n">
        <v>0.850915</v>
      </c>
      <c r="AH50" t="n">
        <v>0.8503270000000001</v>
      </c>
      <c r="AI50" s="16" t="n">
        <v>0.001</v>
      </c>
    </row>
    <row r="51">
      <c r="A51" t="inlineStr">
        <is>
          <t>Space Cooling</t>
        </is>
      </c>
    </row>
    <row r="52">
      <c r="A52" t="inlineStr">
        <is>
          <t>Electric Heat Pumps (SEER)</t>
        </is>
      </c>
      <c r="B52" t="inlineStr">
        <is>
          <t>Residential Equipment: Stock Average Efficiency: Space Cooling: Electric Heat Pumps: Reference case</t>
        </is>
      </c>
      <c r="C52" t="inlineStr">
        <is>
          <t>AEO.2023.REF2023.EFI_STK_RESD_SPC_EHP_NA_NA_SEER.A</t>
        </is>
      </c>
      <c r="D52" t="inlineStr">
        <is>
          <t>SEER</t>
        </is>
      </c>
      <c r="F52" t="n">
        <v>14.11839</v>
      </c>
      <c r="G52" t="n">
        <v>14.361896</v>
      </c>
      <c r="H52" t="n">
        <v>14.581603</v>
      </c>
      <c r="I52" t="n">
        <v>14.788684</v>
      </c>
      <c r="J52" t="n">
        <v>14.981616</v>
      </c>
      <c r="K52" t="n">
        <v>15.161526</v>
      </c>
      <c r="L52" t="n">
        <v>15.328118</v>
      </c>
      <c r="M52" t="n">
        <v>15.482331</v>
      </c>
      <c r="N52" t="n">
        <v>15.623494</v>
      </c>
      <c r="O52" t="n">
        <v>15.752029</v>
      </c>
      <c r="P52" t="n">
        <v>15.867741</v>
      </c>
      <c r="Q52" t="n">
        <v>15.967607</v>
      </c>
      <c r="R52" t="n">
        <v>16.05327</v>
      </c>
      <c r="S52" t="n">
        <v>16.123375</v>
      </c>
      <c r="T52" t="n">
        <v>16.175518</v>
      </c>
      <c r="U52" t="n">
        <v>16.207474</v>
      </c>
      <c r="V52" t="n">
        <v>16.236523</v>
      </c>
      <c r="W52" t="n">
        <v>16.262094</v>
      </c>
      <c r="X52" t="n">
        <v>16.28384</v>
      </c>
      <c r="Y52" t="n">
        <v>16.301706</v>
      </c>
      <c r="Z52" t="n">
        <v>16.315929</v>
      </c>
      <c r="AA52" t="n">
        <v>16.326824</v>
      </c>
      <c r="AB52" t="n">
        <v>16.334866</v>
      </c>
      <c r="AC52" t="n">
        <v>16.340574</v>
      </c>
      <c r="AD52" t="n">
        <v>16.344492</v>
      </c>
      <c r="AE52" t="n">
        <v>16.347061</v>
      </c>
      <c r="AF52" t="n">
        <v>16.34874</v>
      </c>
      <c r="AG52" t="n">
        <v>16.349838</v>
      </c>
      <c r="AH52" t="n">
        <v>16.35058</v>
      </c>
      <c r="AI52" s="16" t="n">
        <v>0.005</v>
      </c>
    </row>
    <row r="53">
      <c r="A53" t="inlineStr">
        <is>
          <t>Natural Gas Heat Pumps (GCOP)</t>
        </is>
      </c>
      <c r="B53" t="inlineStr">
        <is>
          <t>Residential Equipment: Stock Average Efficiency: Space Cooling: Natural Gas Heat Pumps: Reference case</t>
        </is>
      </c>
      <c r="C53" t="inlineStr">
        <is>
          <t>AEO.2023.REF2023.EFI_STK_RESD_SPC_NHU_NA_NA_GCOP.A</t>
        </is>
      </c>
      <c r="D53" t="inlineStr">
        <is>
          <t>GCOP</t>
        </is>
      </c>
      <c r="F53" t="n">
        <v>0.617709</v>
      </c>
      <c r="G53" t="n">
        <v>0.624238</v>
      </c>
      <c r="H53" t="n">
        <v>0.6305730000000001</v>
      </c>
      <c r="I53" t="n">
        <v>0.636707</v>
      </c>
      <c r="J53" t="n">
        <v>0.642617</v>
      </c>
      <c r="K53" t="n">
        <v>0.648374</v>
      </c>
      <c r="L53" t="n">
        <v>0.654042</v>
      </c>
      <c r="M53" t="n">
        <v>0.659783</v>
      </c>
      <c r="N53" t="n">
        <v>0.6657110000000001</v>
      </c>
      <c r="O53" t="n">
        <v>0.6719270000000001</v>
      </c>
      <c r="P53" t="n">
        <v>0.678372</v>
      </c>
      <c r="Q53" t="n">
        <v>0.684735</v>
      </c>
      <c r="R53" t="n">
        <v>0.690509</v>
      </c>
      <c r="S53" t="n">
        <v>0.695105</v>
      </c>
      <c r="T53" t="n">
        <v>0.6980730000000001</v>
      </c>
      <c r="U53" t="n">
        <v>0.6992930000000001</v>
      </c>
      <c r="V53" t="n">
        <v>0.699814</v>
      </c>
      <c r="W53" t="n">
        <v>0.699968</v>
      </c>
      <c r="X53" t="n">
        <v>0.699997</v>
      </c>
      <c r="Y53" t="n">
        <v>0.7</v>
      </c>
      <c r="Z53" t="n">
        <v>0.7</v>
      </c>
      <c r="AA53" t="n">
        <v>0.7</v>
      </c>
      <c r="AB53" t="n">
        <v>0.7</v>
      </c>
      <c r="AC53" t="n">
        <v>0.7</v>
      </c>
      <c r="AD53" t="n">
        <v>0.7</v>
      </c>
      <c r="AE53" t="n">
        <v>0.7</v>
      </c>
      <c r="AF53" t="n">
        <v>0.7</v>
      </c>
      <c r="AG53" t="n">
        <v>0.7</v>
      </c>
      <c r="AH53" t="n">
        <v>0.7</v>
      </c>
      <c r="AI53" s="16" t="n">
        <v>0.004</v>
      </c>
    </row>
    <row r="54">
      <c r="A54" t="inlineStr">
        <is>
          <t>Geothermal Heat Pumps (EER)</t>
        </is>
      </c>
      <c r="B54" t="inlineStr">
        <is>
          <t>Residential Equipment: Stock Average Efficiency: Space Cooling: Geothermal Heat Pumps: Reference case</t>
        </is>
      </c>
      <c r="C54" t="inlineStr">
        <is>
          <t>AEO.2023.REF2023.EFI_STK_RESD_SPC_GEHP_NA_NA_EER.A</t>
        </is>
      </c>
      <c r="D54" t="inlineStr">
        <is>
          <t>EER</t>
        </is>
      </c>
      <c r="F54" t="n">
        <v>16.046894</v>
      </c>
      <c r="G54" t="n">
        <v>16.408232</v>
      </c>
      <c r="H54" t="n">
        <v>16.704948</v>
      </c>
      <c r="I54" t="n">
        <v>16.961611</v>
      </c>
      <c r="J54" t="n">
        <v>17.185707</v>
      </c>
      <c r="K54" t="n">
        <v>17.376514</v>
      </c>
      <c r="L54" t="n">
        <v>17.541615</v>
      </c>
      <c r="M54" t="n">
        <v>17.686884</v>
      </c>
      <c r="N54" t="n">
        <v>17.815271</v>
      </c>
      <c r="O54" t="n">
        <v>17.930159</v>
      </c>
      <c r="P54" t="n">
        <v>18.034073</v>
      </c>
      <c r="Q54" t="n">
        <v>18.113184</v>
      </c>
      <c r="R54" t="n">
        <v>18.175549</v>
      </c>
      <c r="S54" t="n">
        <v>18.107792</v>
      </c>
      <c r="T54" t="n">
        <v>18.027935</v>
      </c>
      <c r="U54" t="n">
        <v>17.949612</v>
      </c>
      <c r="V54" t="n">
        <v>17.872522</v>
      </c>
      <c r="W54" t="n">
        <v>17.797092</v>
      </c>
      <c r="X54" t="n">
        <v>17.72201</v>
      </c>
      <c r="Y54" t="n">
        <v>17.648726</v>
      </c>
      <c r="Z54" t="n">
        <v>17.577887</v>
      </c>
      <c r="AA54" t="n">
        <v>17.509315</v>
      </c>
      <c r="AB54" t="n">
        <v>17.444035</v>
      </c>
      <c r="AC54" t="n">
        <v>17.382135</v>
      </c>
      <c r="AD54" t="n">
        <v>17.324015</v>
      </c>
      <c r="AE54" t="n">
        <v>17.27326</v>
      </c>
      <c r="AF54" t="n">
        <v>17.22991</v>
      </c>
      <c r="AG54" t="n">
        <v>17.193609</v>
      </c>
      <c r="AH54" t="n">
        <v>17.163919</v>
      </c>
      <c r="AI54" s="16" t="n">
        <v>0.002</v>
      </c>
    </row>
    <row r="55">
      <c r="A55" t="inlineStr">
        <is>
          <t>Central Air Conditioners (SEER)</t>
        </is>
      </c>
      <c r="B55" t="inlineStr">
        <is>
          <t>Residential Equipment: Stock Average Efficiency: Space Cooling: Central Air Conditioners: Reference case</t>
        </is>
      </c>
      <c r="C55" t="inlineStr">
        <is>
          <t>AEO.2023.REF2023.EFI_STK_RESD_SPC_CAC_NA_NA_SEER.A</t>
        </is>
      </c>
      <c r="D55" t="inlineStr">
        <is>
          <t>SEER</t>
        </is>
      </c>
      <c r="F55" t="n">
        <v>13.652026</v>
      </c>
      <c r="G55" t="n">
        <v>13.912424</v>
      </c>
      <c r="H55" t="n">
        <v>14.154226</v>
      </c>
      <c r="I55" t="n">
        <v>14.378797</v>
      </c>
      <c r="J55" t="n">
        <v>14.584899</v>
      </c>
      <c r="K55" t="n">
        <v>14.773286</v>
      </c>
      <c r="L55" t="n">
        <v>14.944267</v>
      </c>
      <c r="M55" t="n">
        <v>15.10037</v>
      </c>
      <c r="N55" t="n">
        <v>15.240844</v>
      </c>
      <c r="O55" t="n">
        <v>15.365807</v>
      </c>
      <c r="P55" t="n">
        <v>15.47662</v>
      </c>
      <c r="Q55" t="n">
        <v>15.542378</v>
      </c>
      <c r="R55" t="n">
        <v>15.594194</v>
      </c>
      <c r="S55" t="n">
        <v>15.634286</v>
      </c>
      <c r="T55" t="n">
        <v>15.661597</v>
      </c>
      <c r="U55" t="n">
        <v>15.6744</v>
      </c>
      <c r="V55" t="n">
        <v>15.685153</v>
      </c>
      <c r="W55" t="n">
        <v>15.693208</v>
      </c>
      <c r="X55" t="n">
        <v>15.698021</v>
      </c>
      <c r="Y55" t="n">
        <v>15.699372</v>
      </c>
      <c r="Z55" t="n">
        <v>15.697274</v>
      </c>
      <c r="AA55" t="n">
        <v>15.69194</v>
      </c>
      <c r="AB55" t="n">
        <v>15.683793</v>
      </c>
      <c r="AC55" t="n">
        <v>15.673481</v>
      </c>
      <c r="AD55" t="n">
        <v>15.661708</v>
      </c>
      <c r="AE55" t="n">
        <v>15.649206</v>
      </c>
      <c r="AF55" t="n">
        <v>15.636743</v>
      </c>
      <c r="AG55" t="n">
        <v>15.624902</v>
      </c>
      <c r="AH55" t="n">
        <v>15.614152</v>
      </c>
      <c r="AI55" s="16" t="n">
        <v>0.005</v>
      </c>
    </row>
    <row r="56">
      <c r="A56" t="inlineStr">
        <is>
          <t>Room Air Conditioners (EER)</t>
        </is>
      </c>
      <c r="B56" t="inlineStr">
        <is>
          <t>Residential Equipment: Stock Average Efficiency: Space Cooling: Room Air Conditioners: Reference case</t>
        </is>
      </c>
      <c r="C56" t="inlineStr">
        <is>
          <t>AEO.2023.REF2023.EFI_STK_RESD_SPC_RAC_NA_NA_EER.A</t>
        </is>
      </c>
      <c r="D56" t="inlineStr">
        <is>
          <t>EER</t>
        </is>
      </c>
      <c r="F56" t="n">
        <v>11.294298</v>
      </c>
      <c r="G56" t="n">
        <v>11.378965</v>
      </c>
      <c r="H56" t="n">
        <v>11.470779</v>
      </c>
      <c r="I56" t="n">
        <v>11.555712</v>
      </c>
      <c r="J56" t="n">
        <v>11.63078</v>
      </c>
      <c r="K56" t="n">
        <v>11.69559</v>
      </c>
      <c r="L56" t="n">
        <v>11.751351</v>
      </c>
      <c r="M56" t="n">
        <v>11.797001</v>
      </c>
      <c r="N56" t="n">
        <v>11.849714</v>
      </c>
      <c r="O56" t="n">
        <v>11.886739</v>
      </c>
      <c r="P56" t="n">
        <v>11.908359</v>
      </c>
      <c r="Q56" t="n">
        <v>11.930096</v>
      </c>
      <c r="R56" t="n">
        <v>11.951797</v>
      </c>
      <c r="S56" t="n">
        <v>11.972926</v>
      </c>
      <c r="T56" t="n">
        <v>11.993067</v>
      </c>
      <c r="U56" t="n">
        <v>12.011563</v>
      </c>
      <c r="V56" t="n">
        <v>12.027761</v>
      </c>
      <c r="W56" t="n">
        <v>12.0411</v>
      </c>
      <c r="X56" t="n">
        <v>12.063248</v>
      </c>
      <c r="Y56" t="n">
        <v>12.082109</v>
      </c>
      <c r="Z56" t="n">
        <v>12.098355</v>
      </c>
      <c r="AA56" t="n">
        <v>12.112704</v>
      </c>
      <c r="AB56" t="n">
        <v>12.125787</v>
      </c>
      <c r="AC56" t="n">
        <v>12.138025</v>
      </c>
      <c r="AD56" t="n">
        <v>12.149449</v>
      </c>
      <c r="AE56" t="n">
        <v>12.159873</v>
      </c>
      <c r="AF56" t="n">
        <v>12.168983</v>
      </c>
      <c r="AG56" t="n">
        <v>12.17645</v>
      </c>
      <c r="AH56" t="n">
        <v>12.18211</v>
      </c>
      <c r="AI56" s="16" t="n">
        <v>0.003</v>
      </c>
    </row>
    <row r="57">
      <c r="A57" t="inlineStr">
        <is>
          <t>Water Heaters</t>
        </is>
      </c>
    </row>
    <row r="58">
      <c r="A58" t="inlineStr">
        <is>
          <t>Electric (EF)</t>
        </is>
      </c>
      <c r="B58" t="inlineStr">
        <is>
          <t>Residential Equipment: Stock Average Efficiency: Water Heaters: Electric: Reference case</t>
        </is>
      </c>
      <c r="C58" t="inlineStr">
        <is>
          <t>AEO.2023.REF2023.EFI_STK_RESD_WHT_ELE_NA_NA_EF.A</t>
        </is>
      </c>
      <c r="D58" t="inlineStr">
        <is>
          <t>EF</t>
        </is>
      </c>
      <c r="F58" t="n">
        <v>0.932231</v>
      </c>
      <c r="G58" t="n">
        <v>0.943999</v>
      </c>
      <c r="H58" t="n">
        <v>0.954985</v>
      </c>
      <c r="I58" t="n">
        <v>0.9665859999999999</v>
      </c>
      <c r="J58" t="n">
        <v>0.978653</v>
      </c>
      <c r="K58" t="n">
        <v>0.990484</v>
      </c>
      <c r="L58" t="n">
        <v>1.001943</v>
      </c>
      <c r="M58" t="n">
        <v>1.012981</v>
      </c>
      <c r="N58" t="n">
        <v>1.023422</v>
      </c>
      <c r="O58" t="n">
        <v>1.033579</v>
      </c>
      <c r="P58" t="n">
        <v>1.043442</v>
      </c>
      <c r="Q58" t="n">
        <v>1.043284</v>
      </c>
      <c r="R58" t="n">
        <v>1.03752</v>
      </c>
      <c r="S58" t="n">
        <v>1.032037</v>
      </c>
      <c r="T58" t="n">
        <v>1.026696</v>
      </c>
      <c r="U58" t="n">
        <v>1.021409</v>
      </c>
      <c r="V58" t="n">
        <v>1.016134</v>
      </c>
      <c r="W58" t="n">
        <v>1.011338</v>
      </c>
      <c r="X58" t="n">
        <v>1.006963</v>
      </c>
      <c r="Y58" t="n">
        <v>1.003034</v>
      </c>
      <c r="Z58" t="n">
        <v>0.999559</v>
      </c>
      <c r="AA58" t="n">
        <v>0.996529</v>
      </c>
      <c r="AB58" t="n">
        <v>0.9939210000000001</v>
      </c>
      <c r="AC58" t="n">
        <v>0.991708</v>
      </c>
      <c r="AD58" t="n">
        <v>0.989854</v>
      </c>
      <c r="AE58" t="n">
        <v>0.988325</v>
      </c>
      <c r="AF58" t="n">
        <v>0.987083</v>
      </c>
      <c r="AG58" t="n">
        <v>0.9860910000000001</v>
      </c>
      <c r="AH58" t="n">
        <v>0.98531</v>
      </c>
      <c r="AI58" s="16" t="n">
        <v>0.002</v>
      </c>
    </row>
    <row r="59">
      <c r="A59" t="inlineStr">
        <is>
          <t>Natural Gas (EF)</t>
        </is>
      </c>
      <c r="B59" t="inlineStr">
        <is>
          <t>Residential Equipment: Stock Average Efficiency: Water Heaters: Natural Gas: Reference case</t>
        </is>
      </c>
      <c r="C59" t="inlineStr">
        <is>
          <t>AEO.2023.REF2023.EFI_STK_RESD_WHT_NG_NA_NA_EF.A</t>
        </is>
      </c>
      <c r="D59" t="inlineStr">
        <is>
          <t>EF</t>
        </is>
      </c>
      <c r="F59" t="n">
        <v>0.618654</v>
      </c>
      <c r="G59" t="n">
        <v>0.622229</v>
      </c>
      <c r="H59" t="n">
        <v>0.625105</v>
      </c>
      <c r="I59" t="n">
        <v>0.627324</v>
      </c>
      <c r="J59" t="n">
        <v>0.628953</v>
      </c>
      <c r="K59" t="n">
        <v>0.63006</v>
      </c>
      <c r="L59" t="n">
        <v>0.630623</v>
      </c>
      <c r="M59" t="n">
        <v>0.630691</v>
      </c>
      <c r="N59" t="n">
        <v>0.630318</v>
      </c>
      <c r="O59" t="n">
        <v>0.6299439999999999</v>
      </c>
      <c r="P59" t="n">
        <v>0.6295770000000001</v>
      </c>
      <c r="Q59" t="n">
        <v>0.628701</v>
      </c>
      <c r="R59" t="n">
        <v>0.627765</v>
      </c>
      <c r="S59" t="n">
        <v>0.626858</v>
      </c>
      <c r="T59" t="n">
        <v>0.625995</v>
      </c>
      <c r="U59" t="n">
        <v>0.62519</v>
      </c>
      <c r="V59" t="n">
        <v>0.6244499999999999</v>
      </c>
      <c r="W59" t="n">
        <v>0.62378</v>
      </c>
      <c r="X59" t="n">
        <v>0.623184</v>
      </c>
      <c r="Y59" t="n">
        <v>0.622661</v>
      </c>
      <c r="Z59" t="n">
        <v>0.622209</v>
      </c>
      <c r="AA59" t="n">
        <v>0.621823</v>
      </c>
      <c r="AB59" t="n">
        <v>0.621499</v>
      </c>
      <c r="AC59" t="n">
        <v>0.6212299999999999</v>
      </c>
      <c r="AD59" t="n">
        <v>0.621015</v>
      </c>
      <c r="AE59" t="n">
        <v>0.620843</v>
      </c>
      <c r="AF59" t="n">
        <v>0.620707</v>
      </c>
      <c r="AG59" t="n">
        <v>0.620602</v>
      </c>
      <c r="AH59" t="n">
        <v>0.620522</v>
      </c>
      <c r="AI59" s="16" t="n">
        <v>0</v>
      </c>
    </row>
    <row r="60">
      <c r="A60" t="inlineStr">
        <is>
          <t>Distillate Fuel Oil (EF)</t>
        </is>
      </c>
      <c r="B60" t="inlineStr">
        <is>
          <t>Residential Equipment: Stock Average Efficiency: Water Heaters: Distillate Fuel Oil: Reference case</t>
        </is>
      </c>
      <c r="C60" t="inlineStr">
        <is>
          <t>AEO.2023.REF2023.EFI_STK_RESD_WHT_DFO_NA_NA_EF.A</t>
        </is>
      </c>
      <c r="D60" t="inlineStr">
        <is>
          <t>EF</t>
        </is>
      </c>
      <c r="F60" t="n">
        <v>0.612026</v>
      </c>
      <c r="G60" t="n">
        <v>0.624824</v>
      </c>
      <c r="H60" t="n">
        <v>0.6360980000000001</v>
      </c>
      <c r="I60" t="n">
        <v>0.645684</v>
      </c>
      <c r="J60" t="n">
        <v>0.653606</v>
      </c>
      <c r="K60" t="n">
        <v>0.659701</v>
      </c>
      <c r="L60" t="n">
        <v>0.663876</v>
      </c>
      <c r="M60" t="n">
        <v>0.666014</v>
      </c>
      <c r="N60" t="n">
        <v>0.66605</v>
      </c>
      <c r="O60" t="n">
        <v>0.666088</v>
      </c>
      <c r="P60" t="n">
        <v>0.666126</v>
      </c>
      <c r="Q60" t="n">
        <v>0.666164</v>
      </c>
      <c r="R60" t="n">
        <v>0.6662</v>
      </c>
      <c r="S60" t="n">
        <v>0.666235</v>
      </c>
      <c r="T60" t="n">
        <v>0.6662670000000001</v>
      </c>
      <c r="U60" t="n">
        <v>0.666297</v>
      </c>
      <c r="V60" t="n">
        <v>0.666323</v>
      </c>
      <c r="W60" t="n">
        <v>0.666346</v>
      </c>
      <c r="X60" t="n">
        <v>0.666367</v>
      </c>
      <c r="Y60" t="n">
        <v>0.666385</v>
      </c>
      <c r="Z60" t="n">
        <v>0.666401</v>
      </c>
      <c r="AA60" t="n">
        <v>0.666415</v>
      </c>
      <c r="AB60" t="n">
        <v>0.666427</v>
      </c>
      <c r="AC60" t="n">
        <v>0.666438</v>
      </c>
      <c r="AD60" t="n">
        <v>0.666451</v>
      </c>
      <c r="AE60" t="n">
        <v>0.666462</v>
      </c>
      <c r="AF60" t="n">
        <v>0.666473</v>
      </c>
      <c r="AG60" t="n">
        <v>0.666484</v>
      </c>
      <c r="AH60" t="n">
        <v>0.6664949999999999</v>
      </c>
      <c r="AI60" s="16" t="n">
        <v>0.003</v>
      </c>
    </row>
    <row r="61">
      <c r="A61" t="inlineStr">
        <is>
          <t>Propane (EF)</t>
        </is>
      </c>
      <c r="B61" t="inlineStr">
        <is>
          <t>Residential Equipment: Stock Average Efficiency: Water Heaters: Propane: Reference case</t>
        </is>
      </c>
      <c r="C61" t="inlineStr">
        <is>
          <t>AEO.2023.REF2023.EFI_STK_RESD_WHT_PROP_NA_NA_EF.A</t>
        </is>
      </c>
      <c r="D61" t="inlineStr">
        <is>
          <t>EF</t>
        </is>
      </c>
      <c r="F61" t="n">
        <v>0.607499</v>
      </c>
      <c r="G61" t="n">
        <v>0.611083</v>
      </c>
      <c r="H61" t="n">
        <v>0.614302</v>
      </c>
      <c r="I61" t="n">
        <v>0.616901</v>
      </c>
      <c r="J61" t="n">
        <v>0.618938</v>
      </c>
      <c r="K61" t="n">
        <v>0.620442</v>
      </c>
      <c r="L61" t="n">
        <v>0.621421</v>
      </c>
      <c r="M61" t="n">
        <v>0.621887</v>
      </c>
      <c r="N61" t="n">
        <v>0.621842</v>
      </c>
      <c r="O61" t="n">
        <v>0.6218050000000001</v>
      </c>
      <c r="P61" t="n">
        <v>0.621799</v>
      </c>
      <c r="Q61" t="n">
        <v>0.6214769999999999</v>
      </c>
      <c r="R61" t="n">
        <v>0.621127</v>
      </c>
      <c r="S61" t="n">
        <v>0.620762</v>
      </c>
      <c r="T61" t="n">
        <v>0.620385</v>
      </c>
      <c r="U61" t="n">
        <v>0.620003</v>
      </c>
      <c r="V61" t="n">
        <v>0.619628</v>
      </c>
      <c r="W61" t="n">
        <v>0.619264</v>
      </c>
      <c r="X61" t="n">
        <v>0.618919</v>
      </c>
      <c r="Y61" t="n">
        <v>0.6186</v>
      </c>
      <c r="Z61" t="n">
        <v>0.618312</v>
      </c>
      <c r="AA61" t="n">
        <v>0.618055</v>
      </c>
      <c r="AB61" t="n">
        <v>0.617832</v>
      </c>
      <c r="AC61" t="n">
        <v>0.6176430000000001</v>
      </c>
      <c r="AD61" t="n">
        <v>0.617488</v>
      </c>
      <c r="AE61" t="n">
        <v>0.617364</v>
      </c>
      <c r="AF61" t="n">
        <v>0.617266</v>
      </c>
      <c r="AG61" t="n">
        <v>0.617193</v>
      </c>
      <c r="AH61" t="n">
        <v>0.617138</v>
      </c>
      <c r="AI61" s="16" t="n">
        <v>0.001</v>
      </c>
    </row>
    <row r="62">
      <c r="A62" t="inlineStr">
        <is>
          <t>Other Appliances (kilowatthours per year)</t>
        </is>
      </c>
    </row>
    <row r="63">
      <c r="A63" t="inlineStr">
        <is>
          <t>Refrigerators</t>
        </is>
      </c>
      <c r="B63" t="inlineStr">
        <is>
          <t>Residential Equipment: Stock Average Efficiency: Other Appliances: Refrigerators: Reference case</t>
        </is>
      </c>
      <c r="C63" t="inlineStr">
        <is>
          <t>AEO.2023.REF2023.EFI_STK_RESD_OTAR_RFG_NA_NA_KWH.A</t>
        </is>
      </c>
      <c r="D63" t="inlineStr">
        <is>
          <t>kWh</t>
        </is>
      </c>
      <c r="F63" t="n">
        <v>601.6226810000001</v>
      </c>
      <c r="G63" t="n">
        <v>591.799133</v>
      </c>
      <c r="H63" t="n">
        <v>582.5169069999999</v>
      </c>
      <c r="I63" t="n">
        <v>573.780151</v>
      </c>
      <c r="J63" t="n">
        <v>565.586487</v>
      </c>
      <c r="K63" t="n">
        <v>557.91095</v>
      </c>
      <c r="L63" t="n">
        <v>550.734497</v>
      </c>
      <c r="M63" t="n">
        <v>544.045105</v>
      </c>
      <c r="N63" t="n">
        <v>537.870422</v>
      </c>
      <c r="O63" t="n">
        <v>532.2818600000001</v>
      </c>
      <c r="P63" t="n">
        <v>527.241882</v>
      </c>
      <c r="Q63" t="n">
        <v>522.745605</v>
      </c>
      <c r="R63" t="n">
        <v>518.786987</v>
      </c>
      <c r="S63" t="n">
        <v>515.336731</v>
      </c>
      <c r="T63" t="n">
        <v>512.386963</v>
      </c>
      <c r="U63" t="n">
        <v>509.909851</v>
      </c>
      <c r="V63" t="n">
        <v>507.925842</v>
      </c>
      <c r="W63" t="n">
        <v>506.408966</v>
      </c>
      <c r="X63" t="n">
        <v>505.381989</v>
      </c>
      <c r="Y63" t="n">
        <v>504.868134</v>
      </c>
      <c r="Z63" t="n">
        <v>504.854218</v>
      </c>
      <c r="AA63" t="n">
        <v>504.835144</v>
      </c>
      <c r="AB63" t="n">
        <v>504.811707</v>
      </c>
      <c r="AC63" t="n">
        <v>504.784088</v>
      </c>
      <c r="AD63" t="n">
        <v>504.754211</v>
      </c>
      <c r="AE63" t="n">
        <v>504.723907</v>
      </c>
      <c r="AF63" t="n">
        <v>504.693542</v>
      </c>
      <c r="AG63" t="n">
        <v>504.666382</v>
      </c>
      <c r="AH63" t="n">
        <v>504.64325</v>
      </c>
      <c r="AI63" s="16" t="n">
        <v>-0.006</v>
      </c>
    </row>
    <row r="64">
      <c r="A64" t="inlineStr">
        <is>
          <t>Freezers</t>
        </is>
      </c>
      <c r="B64" t="inlineStr">
        <is>
          <t>Residential Equipment: Stock Average Efficiency: Other Appliances: Freezers: Reference case</t>
        </is>
      </c>
      <c r="C64" t="inlineStr">
        <is>
          <t>AEO.2023.REF2023.EFI_STK_RESD_OTAR_FRZ_NA_NA_KWH.A</t>
        </is>
      </c>
      <c r="D64" t="inlineStr">
        <is>
          <t>kWh</t>
        </is>
      </c>
      <c r="F64" t="n">
        <v>448.444336</v>
      </c>
      <c r="G64" t="n">
        <v>443.66037</v>
      </c>
      <c r="H64" t="n">
        <v>438.783051</v>
      </c>
      <c r="I64" t="n">
        <v>433.829987</v>
      </c>
      <c r="J64" t="n">
        <v>428.810974</v>
      </c>
      <c r="K64" t="n">
        <v>423.762756</v>
      </c>
      <c r="L64" t="n">
        <v>418.95932</v>
      </c>
      <c r="M64" t="n">
        <v>414.39859</v>
      </c>
      <c r="N64" t="n">
        <v>410.096924</v>
      </c>
      <c r="O64" t="n">
        <v>406.032837</v>
      </c>
      <c r="P64" t="n">
        <v>402.185699</v>
      </c>
      <c r="Q64" t="n">
        <v>398.577087</v>
      </c>
      <c r="R64" t="n">
        <v>395.218262</v>
      </c>
      <c r="S64" t="n">
        <v>392.090485</v>
      </c>
      <c r="T64" t="n">
        <v>389.228455</v>
      </c>
      <c r="U64" t="n">
        <v>386.608551</v>
      </c>
      <c r="V64" t="n">
        <v>384.240601</v>
      </c>
      <c r="W64" t="n">
        <v>382.109222</v>
      </c>
      <c r="X64" t="n">
        <v>380.198212</v>
      </c>
      <c r="Y64" t="n">
        <v>378.552826</v>
      </c>
      <c r="Z64" t="n">
        <v>377.15033</v>
      </c>
      <c r="AA64" t="n">
        <v>376.024902</v>
      </c>
      <c r="AB64" t="n">
        <v>375.194305</v>
      </c>
      <c r="AC64" t="n">
        <v>374.659058</v>
      </c>
      <c r="AD64" t="n">
        <v>374.412201</v>
      </c>
      <c r="AE64" t="n">
        <v>374.407135</v>
      </c>
      <c r="AF64" t="n">
        <v>374.401031</v>
      </c>
      <c r="AG64" t="n">
        <v>374.394684</v>
      </c>
      <c r="AH64" t="n">
        <v>374.388184</v>
      </c>
      <c r="AI64" s="16" t="n">
        <v>-0.006</v>
      </c>
    </row>
    <row r="65">
      <c r="A65" t="inlineStr">
        <is>
          <t>Building Shell Efficiency Index</t>
        </is>
      </c>
    </row>
    <row r="66">
      <c r="A66" t="inlineStr">
        <is>
          <t>Space Heating</t>
        </is>
      </c>
    </row>
    <row r="67">
      <c r="A67" t="inlineStr">
        <is>
          <t>Pre-2015 Homes</t>
        </is>
      </c>
      <c r="B67" t="inlineStr">
        <is>
          <t>Residential Equipment: Building Shell Efficiency Index: Space Heating: Pre-2015 Homes: Reference case</t>
        </is>
      </c>
      <c r="C67" t="inlineStr">
        <is>
          <t>AEO.2023.REF2023.EFI_BSE_RESD_SPH_OLD_NA_NA_Y15EQ1.A</t>
        </is>
      </c>
      <c r="D67" t="inlineStr">
        <is>
          <t>2015=1.00</t>
        </is>
      </c>
      <c r="F67" t="n">
        <v>0.949531</v>
      </c>
      <c r="G67" t="n">
        <v>0.941271</v>
      </c>
      <c r="H67" t="n">
        <v>0.935547</v>
      </c>
      <c r="I67" t="n">
        <v>0.931025</v>
      </c>
      <c r="J67" t="n">
        <v>0.926384</v>
      </c>
      <c r="K67" t="n">
        <v>0.921287</v>
      </c>
      <c r="L67" t="n">
        <v>0.915757</v>
      </c>
      <c r="M67" t="n">
        <v>0.90954</v>
      </c>
      <c r="N67" t="n">
        <v>0.902871</v>
      </c>
      <c r="O67" t="n">
        <v>0.895915</v>
      </c>
      <c r="P67" t="n">
        <v>0.8889</v>
      </c>
      <c r="Q67" t="n">
        <v>0.881681</v>
      </c>
      <c r="R67" t="n">
        <v>0.874436</v>
      </c>
      <c r="S67" t="n">
        <v>0.867313</v>
      </c>
      <c r="T67" t="n">
        <v>0.860338</v>
      </c>
      <c r="U67" t="n">
        <v>0.853362</v>
      </c>
      <c r="V67" t="n">
        <v>0.846267</v>
      </c>
      <c r="W67" t="n">
        <v>0.8393040000000001</v>
      </c>
      <c r="X67" t="n">
        <v>0.832365</v>
      </c>
      <c r="Y67" t="n">
        <v>0.825437</v>
      </c>
      <c r="Z67" t="n">
        <v>0.8186059999999999</v>
      </c>
      <c r="AA67" t="n">
        <v>0.8119150000000001</v>
      </c>
      <c r="AB67" t="n">
        <v>0.80533</v>
      </c>
      <c r="AC67" t="n">
        <v>0.798658</v>
      </c>
      <c r="AD67" t="n">
        <v>0.791662</v>
      </c>
      <c r="AE67" t="n">
        <v>0.784823</v>
      </c>
      <c r="AF67" t="n">
        <v>0.778197</v>
      </c>
      <c r="AG67" t="n">
        <v>0.771682</v>
      </c>
      <c r="AH67" t="n">
        <v>0.765165</v>
      </c>
      <c r="AI67" s="16" t="n">
        <v>-0.008</v>
      </c>
    </row>
    <row r="68">
      <c r="A68" t="inlineStr">
        <is>
          <t>New Construction</t>
        </is>
      </c>
      <c r="B68" t="inlineStr">
        <is>
          <t>Residential Equipment: Building Shell Efficiency Index: Space Heating: New Construction: Reference case</t>
        </is>
      </c>
      <c r="C68" t="inlineStr">
        <is>
          <t>AEO.2023.REF2023.EFI_BSE_RESD_SPH_NCO_NA_NA_Y15EQ1.A</t>
        </is>
      </c>
      <c r="D68" t="inlineStr">
        <is>
          <t>2015=1.00</t>
        </is>
      </c>
      <c r="F68" t="n">
        <v>0.838603</v>
      </c>
      <c r="G68" t="n">
        <v>0.784996</v>
      </c>
      <c r="H68" t="n">
        <v>0.777509</v>
      </c>
      <c r="I68" t="n">
        <v>0.774892</v>
      </c>
      <c r="J68" t="n">
        <v>0.77626</v>
      </c>
      <c r="K68" t="n">
        <v>0.776751</v>
      </c>
      <c r="L68" t="n">
        <v>0.776031</v>
      </c>
      <c r="M68" t="n">
        <v>0.773863</v>
      </c>
      <c r="N68" t="n">
        <v>0.771326</v>
      </c>
      <c r="O68" t="n">
        <v>0.76938</v>
      </c>
      <c r="P68" t="n">
        <v>0.767984</v>
      </c>
      <c r="Q68" t="n">
        <v>0.882591</v>
      </c>
      <c r="R68" t="n">
        <v>0.881587</v>
      </c>
      <c r="S68" t="n">
        <v>0.882601</v>
      </c>
      <c r="T68" t="n">
        <v>0.882229</v>
      </c>
      <c r="U68" t="n">
        <v>0.882226</v>
      </c>
      <c r="V68" t="n">
        <v>0.882243</v>
      </c>
      <c r="W68" t="n">
        <v>0.882296</v>
      </c>
      <c r="X68" t="n">
        <v>0.881293</v>
      </c>
      <c r="Y68" t="n">
        <v>0.879356</v>
      </c>
      <c r="Z68" t="n">
        <v>0.878537</v>
      </c>
      <c r="AA68" t="n">
        <v>0.877424</v>
      </c>
      <c r="AB68" t="n">
        <v>0.876082</v>
      </c>
      <c r="AC68" t="n">
        <v>0.874815</v>
      </c>
      <c r="AD68" t="n">
        <v>0.873478</v>
      </c>
      <c r="AE68" t="n">
        <v>0.873823</v>
      </c>
      <c r="AF68" t="n">
        <v>0.87376</v>
      </c>
      <c r="AG68" t="n">
        <v>0.8742490000000001</v>
      </c>
      <c r="AH68" t="n">
        <v>0.8747470000000001</v>
      </c>
      <c r="AI68" s="16" t="n">
        <v>0.002</v>
      </c>
    </row>
    <row r="69">
      <c r="A69" t="inlineStr">
        <is>
          <t>All Homes</t>
        </is>
      </c>
      <c r="B69" t="inlineStr">
        <is>
          <t>Residential Equipment: Building Shell Efficiency Index: Space Heating: All Homes: Reference case</t>
        </is>
      </c>
      <c r="C69" t="inlineStr">
        <is>
          <t>AEO.2023.REF2023.EFI_BSE_RESD_SPH_AHM_NA_NA_Y15EQ1.A</t>
        </is>
      </c>
      <c r="D69" t="inlineStr">
        <is>
          <t>2015=1.00</t>
        </is>
      </c>
      <c r="F69" t="n">
        <v>0.941702</v>
      </c>
      <c r="G69" t="n">
        <v>0.932327</v>
      </c>
      <c r="H69" t="n">
        <v>0.925351</v>
      </c>
      <c r="I69" t="n">
        <v>0.919533</v>
      </c>
      <c r="J69" t="n">
        <v>0.913762</v>
      </c>
      <c r="K69" t="n">
        <v>0.907725</v>
      </c>
      <c r="L69" t="n">
        <v>0.901436</v>
      </c>
      <c r="M69" t="n">
        <v>0.894692</v>
      </c>
      <c r="N69" t="n">
        <v>0.887717</v>
      </c>
      <c r="O69" t="n">
        <v>0.880652</v>
      </c>
      <c r="P69" t="n">
        <v>0.873678</v>
      </c>
      <c r="Q69" t="n">
        <v>0.867923</v>
      </c>
      <c r="R69" t="n">
        <v>0.862235</v>
      </c>
      <c r="S69" t="n">
        <v>0.856766</v>
      </c>
      <c r="T69" t="n">
        <v>0.851519</v>
      </c>
      <c r="U69" t="n">
        <v>0.846373</v>
      </c>
      <c r="V69" t="n">
        <v>0.841234</v>
      </c>
      <c r="W69" t="n">
        <v>0.836294</v>
      </c>
      <c r="X69" t="n">
        <v>0.83146</v>
      </c>
      <c r="Y69" t="n">
        <v>0.826709</v>
      </c>
      <c r="Z69" t="n">
        <v>0.822107</v>
      </c>
      <c r="AA69" t="n">
        <v>0.81768</v>
      </c>
      <c r="AB69" t="n">
        <v>0.813395</v>
      </c>
      <c r="AC69" t="n">
        <v>0.809113</v>
      </c>
      <c r="AD69" t="n">
        <v>0.80466</v>
      </c>
      <c r="AE69" t="n">
        <v>0.800399</v>
      </c>
      <c r="AF69" t="n">
        <v>0.796357</v>
      </c>
      <c r="AG69" t="n">
        <v>0.792461</v>
      </c>
      <c r="AH69" t="n">
        <v>0.7886300000000001</v>
      </c>
      <c r="AI69" s="16" t="n">
        <v>-0.006</v>
      </c>
    </row>
    <row r="70">
      <c r="A70" t="inlineStr">
        <is>
          <t>Space Cooling</t>
        </is>
      </c>
    </row>
    <row r="71">
      <c r="A71" t="inlineStr">
        <is>
          <t>Pre-2015 Homes</t>
        </is>
      </c>
      <c r="B71" t="inlineStr">
        <is>
          <t>Residential Equipment: Building Shell Efficiency Index: Space Cooling: Pre-2015 Homes: Reference case</t>
        </is>
      </c>
      <c r="C71" t="inlineStr">
        <is>
          <t>AEO.2023.REF2023.EFI_BSE_RESD_SPC_OLD_NA_NA_Y15EQ1.A</t>
        </is>
      </c>
      <c r="D71" t="inlineStr">
        <is>
          <t>2015=1.00</t>
        </is>
      </c>
      <c r="F71" t="n">
        <v>0.982053</v>
      </c>
      <c r="G71" t="n">
        <v>0.979071</v>
      </c>
      <c r="H71" t="n">
        <v>0.977092</v>
      </c>
      <c r="I71" t="n">
        <v>0.975571</v>
      </c>
      <c r="J71" t="n">
        <v>0.973951</v>
      </c>
      <c r="K71" t="n">
        <v>0.9721340000000001</v>
      </c>
      <c r="L71" t="n">
        <v>0.970146</v>
      </c>
      <c r="M71" t="n">
        <v>0.967898</v>
      </c>
      <c r="N71" t="n">
        <v>0.965495</v>
      </c>
      <c r="O71" t="n">
        <v>0.962988</v>
      </c>
      <c r="P71" t="n">
        <v>0.960457</v>
      </c>
      <c r="Q71" t="n">
        <v>0.9578680000000001</v>
      </c>
      <c r="R71" t="n">
        <v>0.95527</v>
      </c>
      <c r="S71" t="n">
        <v>0.952708</v>
      </c>
      <c r="T71" t="n">
        <v>0.95019</v>
      </c>
      <c r="U71" t="n">
        <v>0.947673</v>
      </c>
      <c r="V71" t="n">
        <v>0.945107</v>
      </c>
      <c r="W71" t="n">
        <v>0.94258</v>
      </c>
      <c r="X71" t="n">
        <v>0.940056</v>
      </c>
      <c r="Y71" t="n">
        <v>0.937522</v>
      </c>
      <c r="Z71" t="n">
        <v>0.935024</v>
      </c>
      <c r="AA71" t="n">
        <v>0.932571</v>
      </c>
      <c r="AB71" t="n">
        <v>0.930163</v>
      </c>
      <c r="AC71" t="n">
        <v>0.927714</v>
      </c>
      <c r="AD71" t="n">
        <v>0.925119</v>
      </c>
      <c r="AE71" t="n">
        <v>0.922588</v>
      </c>
      <c r="AF71" t="n">
        <v>0.920137</v>
      </c>
      <c r="AG71" t="n">
        <v>0.91773</v>
      </c>
      <c r="AH71" t="n">
        <v>0.915312</v>
      </c>
      <c r="AI71" s="16" t="n">
        <v>-0.003</v>
      </c>
    </row>
    <row r="72">
      <c r="A72" t="inlineStr">
        <is>
          <t>New Construction</t>
        </is>
      </c>
      <c r="B72" t="inlineStr">
        <is>
          <t>Residential Equipment: Building Shell Efficiency Index: Space Cooling: New Construction: Reference case</t>
        </is>
      </c>
      <c r="C72" t="inlineStr">
        <is>
          <t>AEO.2023.REF2023.EFI_BSE_RESD_SPC_NCO_NA_NA_Y15EQ1.A</t>
        </is>
      </c>
      <c r="D72" t="inlineStr">
        <is>
          <t>2015=1.00</t>
        </is>
      </c>
      <c r="F72" t="n">
        <v>0.981704</v>
      </c>
      <c r="G72" t="n">
        <v>0.96699</v>
      </c>
      <c r="H72" t="n">
        <v>0.960888</v>
      </c>
      <c r="I72" t="n">
        <v>0.958751</v>
      </c>
      <c r="J72" t="n">
        <v>0.959902</v>
      </c>
      <c r="K72" t="n">
        <v>0.960768</v>
      </c>
      <c r="L72" t="n">
        <v>0.960538</v>
      </c>
      <c r="M72" t="n">
        <v>0.959561</v>
      </c>
      <c r="N72" t="n">
        <v>0.958217</v>
      </c>
      <c r="O72" t="n">
        <v>0.957406</v>
      </c>
      <c r="P72" t="n">
        <v>0.957186</v>
      </c>
      <c r="Q72" t="n">
        <v>0.999057</v>
      </c>
      <c r="R72" t="n">
        <v>0.998953</v>
      </c>
      <c r="S72" t="n">
        <v>0.999541</v>
      </c>
      <c r="T72" t="n">
        <v>0.9996699999999999</v>
      </c>
      <c r="U72" t="n">
        <v>0.999815</v>
      </c>
      <c r="V72" t="n">
        <v>0.99998</v>
      </c>
      <c r="W72" t="n">
        <v>1.0003</v>
      </c>
      <c r="X72" t="n">
        <v>1.000248</v>
      </c>
      <c r="Y72" t="n">
        <v>0.999571</v>
      </c>
      <c r="Z72" t="n">
        <v>0.999605</v>
      </c>
      <c r="AA72" t="n">
        <v>0.999285</v>
      </c>
      <c r="AB72" t="n">
        <v>0.998766</v>
      </c>
      <c r="AC72" t="n">
        <v>0.998304</v>
      </c>
      <c r="AD72" t="n">
        <v>0.997878</v>
      </c>
      <c r="AE72" t="n">
        <v>0.998472</v>
      </c>
      <c r="AF72" t="n">
        <v>0.998787</v>
      </c>
      <c r="AG72" t="n">
        <v>0.999431</v>
      </c>
      <c r="AH72" t="n">
        <v>1.000114</v>
      </c>
      <c r="AI72" s="16" t="n">
        <v>0.001</v>
      </c>
    </row>
    <row r="73">
      <c r="A73" t="inlineStr">
        <is>
          <t>All Homes</t>
        </is>
      </c>
      <c r="B73" t="inlineStr">
        <is>
          <t>Residential Equipment: Building Shell Efficiency Index: Space Cooling: All Homes: Reference case</t>
        </is>
      </c>
      <c r="C73" t="inlineStr">
        <is>
          <t>AEO.2023.REF2023.EFI_BSE_RESD_SPC_AHM_NA_NA_Y15EQ1.A</t>
        </is>
      </c>
      <c r="D73" t="inlineStr">
        <is>
          <t>2015=1.00</t>
        </is>
      </c>
      <c r="F73" t="n">
        <v>0.982549</v>
      </c>
      <c r="G73" t="n">
        <v>0.979629</v>
      </c>
      <c r="H73" t="n">
        <v>0.977618</v>
      </c>
      <c r="I73" t="n">
        <v>0.976033</v>
      </c>
      <c r="J73" t="n">
        <v>0.974401</v>
      </c>
      <c r="K73" t="n">
        <v>0.9726320000000001</v>
      </c>
      <c r="L73" t="n">
        <v>0.970741</v>
      </c>
      <c r="M73" t="n">
        <v>0.968648</v>
      </c>
      <c r="N73" t="n">
        <v>0.966445</v>
      </c>
      <c r="O73" t="n">
        <v>0.964185</v>
      </c>
      <c r="P73" t="n">
        <v>0.961937</v>
      </c>
      <c r="Q73" t="n">
        <v>0.960043</v>
      </c>
      <c r="R73" t="n">
        <v>0.958152</v>
      </c>
      <c r="S73" t="n">
        <v>0.956315</v>
      </c>
      <c r="T73" t="n">
        <v>0.954538</v>
      </c>
      <c r="U73" t="n">
        <v>0.952782</v>
      </c>
      <c r="V73" t="n">
        <v>0.951005</v>
      </c>
      <c r="W73" t="n">
        <v>0.949281</v>
      </c>
      <c r="X73" t="n">
        <v>0.947581</v>
      </c>
      <c r="Y73" t="n">
        <v>0.945886</v>
      </c>
      <c r="Z73" t="n">
        <v>0.944233</v>
      </c>
      <c r="AA73" t="n">
        <v>0.942628</v>
      </c>
      <c r="AB73" t="n">
        <v>0.941067</v>
      </c>
      <c r="AC73" t="n">
        <v>0.939484</v>
      </c>
      <c r="AD73" t="n">
        <v>0.937796</v>
      </c>
      <c r="AE73" t="n">
        <v>0.936177</v>
      </c>
      <c r="AF73" t="n">
        <v>0.934631</v>
      </c>
      <c r="AG73" t="n">
        <v>0.933132</v>
      </c>
      <c r="AH73" t="n">
        <v>0.931638</v>
      </c>
      <c r="AI73" s="16" t="n">
        <v>-0.002</v>
      </c>
    </row>
    <row r="74">
      <c r="A74" t="inlineStr">
        <is>
          <t>Distributed Generation and</t>
        </is>
      </c>
    </row>
    <row r="75">
      <c r="A75" t="inlineStr">
        <is>
          <t>Combined Heat and Power</t>
        </is>
      </c>
    </row>
    <row r="76">
      <c r="A76" t="inlineStr">
        <is>
          <t>Generating Capacity (gigawatts)</t>
        </is>
      </c>
    </row>
    <row r="77">
      <c r="A77" t="inlineStr">
        <is>
          <t>Natural Gas Fuel Cells</t>
        </is>
      </c>
      <c r="B77" t="inlineStr">
        <is>
          <t>Residential: Combined Heat and Power: Generating Capacity: Fuel Cells: Reference case</t>
        </is>
      </c>
      <c r="C77" t="inlineStr">
        <is>
          <t>AEO.2023.REF2023.CAP_NA_COMM_CHP_FCL_NA_NA_MW.A</t>
        </is>
      </c>
      <c r="D77" t="inlineStr">
        <is>
          <t>GW</t>
        </is>
      </c>
      <c r="F77" t="n">
        <v>0</v>
      </c>
      <c r="G77" t="n">
        <v>0</v>
      </c>
      <c r="H77" t="n">
        <v>0</v>
      </c>
      <c r="I77" t="n">
        <v>0</v>
      </c>
      <c r="J77" t="n">
        <v>0</v>
      </c>
      <c r="K77" t="n">
        <v>0</v>
      </c>
      <c r="L77" t="n">
        <v>0</v>
      </c>
      <c r="M77" t="n">
        <v>0</v>
      </c>
      <c r="N77" t="n">
        <v>0</v>
      </c>
      <c r="O77" t="n">
        <v>0</v>
      </c>
      <c r="P77" t="n">
        <v>0</v>
      </c>
      <c r="Q77" t="n">
        <v>0</v>
      </c>
      <c r="R77" t="n">
        <v>2e-06</v>
      </c>
      <c r="S77" t="n">
        <v>5e-06</v>
      </c>
      <c r="T77" t="n">
        <v>1.1e-05</v>
      </c>
      <c r="U77" t="n">
        <v>2.2e-05</v>
      </c>
      <c r="V77" t="n">
        <v>4.4e-05</v>
      </c>
      <c r="W77" t="n">
        <v>8.3e-05</v>
      </c>
      <c r="X77" t="n">
        <v>0.000155</v>
      </c>
      <c r="Y77" t="n">
        <v>0.000286</v>
      </c>
      <c r="Z77" t="n">
        <v>0.000417</v>
      </c>
      <c r="AA77" t="n">
        <v>0.00055</v>
      </c>
      <c r="AB77" t="n">
        <v>0.000682</v>
      </c>
      <c r="AC77" t="n">
        <v>0.000816</v>
      </c>
      <c r="AD77" t="n">
        <v>0.00095</v>
      </c>
      <c r="AE77" t="n">
        <v>0.001084</v>
      </c>
      <c r="AF77" t="n">
        <v>0.001219</v>
      </c>
      <c r="AG77" t="n">
        <v>0.001353</v>
      </c>
      <c r="AH77" t="n">
        <v>0.001488</v>
      </c>
      <c r="AI77" t="inlineStr">
        <is>
          <t>- -</t>
        </is>
      </c>
    </row>
    <row r="78">
      <c r="A78" t="inlineStr">
        <is>
          <t>Solar Photovoltaic</t>
        </is>
      </c>
      <c r="B78" t="inlineStr">
        <is>
          <t>Residential: Combined Heat and Power: Generating Capacity: Solar Photovoltaic: Reference case</t>
        </is>
      </c>
      <c r="C78" t="inlineStr">
        <is>
          <t>AEO.2023.REF2023.CAP_NA_RESD_CHP_SLR_PHTVL_NA_MW.A</t>
        </is>
      </c>
      <c r="D78" t="inlineStr">
        <is>
          <t>GW</t>
        </is>
      </c>
      <c r="F78" t="n">
        <v>25.940821</v>
      </c>
      <c r="G78" t="n">
        <v>28.426916</v>
      </c>
      <c r="H78" t="n">
        <v>31.31752</v>
      </c>
      <c r="I78" t="n">
        <v>34.213085</v>
      </c>
      <c r="J78" t="n">
        <v>37.102398</v>
      </c>
      <c r="K78" t="n">
        <v>40.088001</v>
      </c>
      <c r="L78" t="n">
        <v>43.162285</v>
      </c>
      <c r="M78" t="n">
        <v>46.379025</v>
      </c>
      <c r="N78" t="n">
        <v>49.715115</v>
      </c>
      <c r="O78" t="n">
        <v>53.221054</v>
      </c>
      <c r="P78" t="n">
        <v>56.974155</v>
      </c>
      <c r="Q78" t="n">
        <v>60.782734</v>
      </c>
      <c r="R78" t="n">
        <v>64.698021</v>
      </c>
      <c r="S78" t="n">
        <v>68.113708</v>
      </c>
      <c r="T78" t="n">
        <v>71.713646</v>
      </c>
      <c r="U78" t="n">
        <v>75.46854399999999</v>
      </c>
      <c r="V78" t="n">
        <v>79.508545</v>
      </c>
      <c r="W78" t="n">
        <v>83.846107</v>
      </c>
      <c r="X78" t="n">
        <v>88.482719</v>
      </c>
      <c r="Y78" t="n">
        <v>93.40656300000001</v>
      </c>
      <c r="Z78" t="n">
        <v>98.617554</v>
      </c>
      <c r="AA78" t="n">
        <v>104.152893</v>
      </c>
      <c r="AB78" t="n">
        <v>109.907883</v>
      </c>
      <c r="AC78" t="n">
        <v>115.976173</v>
      </c>
      <c r="AD78" t="n">
        <v>122.272903</v>
      </c>
      <c r="AE78" t="n">
        <v>128.796478</v>
      </c>
      <c r="AF78" t="n">
        <v>135.664932</v>
      </c>
      <c r="AG78" t="n">
        <v>142.694351</v>
      </c>
      <c r="AH78" t="n">
        <v>149.973572</v>
      </c>
      <c r="AI78" s="16" t="n">
        <v>0.065</v>
      </c>
    </row>
    <row r="79">
      <c r="A79" t="inlineStr">
        <is>
          <t>Wind</t>
        </is>
      </c>
      <c r="B79" t="inlineStr">
        <is>
          <t>Residential: Combined Heat and Power: Generating Capacity: Wind: Reference case</t>
        </is>
      </c>
      <c r="C79" t="inlineStr">
        <is>
          <t>AEO.2023.REF2023.CAP_NA_RESD_CHP_WND_NA_NA_MW.A</t>
        </is>
      </c>
      <c r="D79" t="inlineStr">
        <is>
          <t>GW</t>
        </is>
      </c>
      <c r="F79" t="n">
        <v>0.063448</v>
      </c>
      <c r="G79" t="n">
        <v>0.06911200000000001</v>
      </c>
      <c r="H79" t="n">
        <v>0.075193</v>
      </c>
      <c r="I79" t="n">
        <v>0.081515</v>
      </c>
      <c r="J79" t="n">
        <v>0.087961</v>
      </c>
      <c r="K79" t="n">
        <v>0.094482</v>
      </c>
      <c r="L79" t="n">
        <v>0.101025</v>
      </c>
      <c r="M79" t="n">
        <v>0.10757</v>
      </c>
      <c r="N79" t="n">
        <v>0.11409</v>
      </c>
      <c r="O79" t="n">
        <v>0.120587</v>
      </c>
      <c r="P79" t="n">
        <v>0.12707</v>
      </c>
      <c r="Q79" t="n">
        <v>0.133309</v>
      </c>
      <c r="R79" t="n">
        <v>0.133312</v>
      </c>
      <c r="S79" t="n">
        <v>0.133318</v>
      </c>
      <c r="T79" t="n">
        <v>0.133331</v>
      </c>
      <c r="U79" t="n">
        <v>0.133353</v>
      </c>
      <c r="V79" t="n">
        <v>0.133396</v>
      </c>
      <c r="W79" t="n">
        <v>0.133474</v>
      </c>
      <c r="X79" t="n">
        <v>0.133618</v>
      </c>
      <c r="Y79" t="n">
        <v>0.13388</v>
      </c>
      <c r="Z79" t="n">
        <v>0.134143</v>
      </c>
      <c r="AA79" t="n">
        <v>0.134408</v>
      </c>
      <c r="AB79" t="n">
        <v>0.134673</v>
      </c>
      <c r="AC79" t="n">
        <v>0.13494</v>
      </c>
      <c r="AD79" t="n">
        <v>0.135207</v>
      </c>
      <c r="AE79" t="n">
        <v>0.135476</v>
      </c>
      <c r="AF79" t="n">
        <v>0.135745</v>
      </c>
      <c r="AG79" t="n">
        <v>0.136015</v>
      </c>
      <c r="AH79" t="n">
        <v>0.136285</v>
      </c>
      <c r="AI79" s="16" t="n">
        <v>0.028</v>
      </c>
    </row>
    <row r="80">
      <c r="A80" t="inlineStr">
        <is>
          <t>Total</t>
        </is>
      </c>
      <c r="B80" t="inlineStr">
        <is>
          <t>Residential: Combined Heat and Power: Generating Capacity: Total: Reference case</t>
        </is>
      </c>
      <c r="C80" t="inlineStr">
        <is>
          <t>AEO.2023.REF2023.CAP_NA_RESD_CHP_TOT_NA_NA_MW.A</t>
        </is>
      </c>
      <c r="D80" t="inlineStr">
        <is>
          <t>GW</t>
        </is>
      </c>
      <c r="F80" t="n">
        <v>26.004269</v>
      </c>
      <c r="G80" t="n">
        <v>28.496029</v>
      </c>
      <c r="H80" t="n">
        <v>31.392714</v>
      </c>
      <c r="I80" t="n">
        <v>34.294601</v>
      </c>
      <c r="J80" t="n">
        <v>37.190361</v>
      </c>
      <c r="K80" t="n">
        <v>40.182484</v>
      </c>
      <c r="L80" t="n">
        <v>43.263309</v>
      </c>
      <c r="M80" t="n">
        <v>46.486595</v>
      </c>
      <c r="N80" t="n">
        <v>49.829205</v>
      </c>
      <c r="O80" t="n">
        <v>53.34164</v>
      </c>
      <c r="P80" t="n">
        <v>57.101227</v>
      </c>
      <c r="Q80" t="n">
        <v>60.916042</v>
      </c>
      <c r="R80" t="n">
        <v>64.831337</v>
      </c>
      <c r="S80" t="n">
        <v>68.247032</v>
      </c>
      <c r="T80" t="n">
        <v>71.846985</v>
      </c>
      <c r="U80" t="n">
        <v>75.601921</v>
      </c>
      <c r="V80" t="n">
        <v>79.641983</v>
      </c>
      <c r="W80" t="n">
        <v>83.979668</v>
      </c>
      <c r="X80" t="n">
        <v>88.61649300000001</v>
      </c>
      <c r="Y80" t="n">
        <v>93.54072600000001</v>
      </c>
      <c r="Z80" t="n">
        <v>98.75211299999999</v>
      </c>
      <c r="AA80" t="n">
        <v>104.287849</v>
      </c>
      <c r="AB80" t="n">
        <v>110.043236</v>
      </c>
      <c r="AC80" t="n">
        <v>116.111931</v>
      </c>
      <c r="AD80" t="n">
        <v>122.409058</v>
      </c>
      <c r="AE80" t="n">
        <v>128.933044</v>
      </c>
      <c r="AF80" t="n">
        <v>135.801895</v>
      </c>
      <c r="AG80" t="n">
        <v>142.831726</v>
      </c>
      <c r="AH80" t="n">
        <v>150.111359</v>
      </c>
      <c r="AI80" s="16" t="n">
        <v>0.065</v>
      </c>
    </row>
    <row r="81" customFormat="1" s="49">
      <c r="A81" s="49" t="inlineStr">
        <is>
          <t>Net Generation (billion kilowatthours)</t>
        </is>
      </c>
    </row>
    <row r="82">
      <c r="A82" t="inlineStr">
        <is>
          <t>Natural Gas Fuel Cells</t>
        </is>
      </c>
      <c r="B82" t="inlineStr">
        <is>
          <t>Residential: Combined Heat and Power: Net Generation: Fuel Cells: Reference case</t>
        </is>
      </c>
      <c r="C82" t="inlineStr">
        <is>
          <t>AEO.2023.REF2023.GEN_NA_COMM_CHP_FCL_NA_NA_MILLKWH.A</t>
        </is>
      </c>
      <c r="D82" t="inlineStr">
        <is>
          <t>billion kWh</t>
        </is>
      </c>
      <c r="F82" t="n">
        <v>0</v>
      </c>
      <c r="G82" t="n">
        <v>0</v>
      </c>
      <c r="H82" t="n">
        <v>0</v>
      </c>
      <c r="I82" t="n">
        <v>0</v>
      </c>
      <c r="J82" t="n">
        <v>0</v>
      </c>
      <c r="K82" t="n">
        <v>0</v>
      </c>
      <c r="L82" t="n">
        <v>0</v>
      </c>
      <c r="M82" t="n">
        <v>0</v>
      </c>
      <c r="N82" t="n">
        <v>0</v>
      </c>
      <c r="O82" t="n">
        <v>0</v>
      </c>
      <c r="P82" t="n">
        <v>0</v>
      </c>
      <c r="Q82" t="n">
        <v>1e-06</v>
      </c>
      <c r="R82" t="n">
        <v>6e-06</v>
      </c>
      <c r="S82" t="n">
        <v>1.4e-05</v>
      </c>
      <c r="T82" t="n">
        <v>3.1e-05</v>
      </c>
      <c r="U82" t="n">
        <v>6.2e-05</v>
      </c>
      <c r="V82" t="n">
        <v>0.000122</v>
      </c>
      <c r="W82" t="n">
        <v>0.00023</v>
      </c>
      <c r="X82" t="n">
        <v>0.000431</v>
      </c>
      <c r="Y82" t="n">
        <v>0.000798</v>
      </c>
      <c r="Z82" t="n">
        <v>0.001165</v>
      </c>
      <c r="AA82" t="n">
        <v>0.001534</v>
      </c>
      <c r="AB82" t="n">
        <v>0.001904</v>
      </c>
      <c r="AC82" t="n">
        <v>0.002276</v>
      </c>
      <c r="AD82" t="n">
        <v>0.002649</v>
      </c>
      <c r="AE82" t="n">
        <v>0.003024</v>
      </c>
      <c r="AF82" t="n">
        <v>0.0034</v>
      </c>
      <c r="AG82" t="n">
        <v>0.003776</v>
      </c>
      <c r="AH82" t="n">
        <v>0.004152</v>
      </c>
      <c r="AI82" t="inlineStr">
        <is>
          <t>- -</t>
        </is>
      </c>
    </row>
    <row r="83">
      <c r="A83" t="inlineStr">
        <is>
          <t>Solar Photovoltaic</t>
        </is>
      </c>
      <c r="B83" t="inlineStr">
        <is>
          <t>Residential: Combined Heat and Power: Net Generation: Solar Photovoltaic: Reference case</t>
        </is>
      </c>
      <c r="C83" t="inlineStr">
        <is>
          <t>AEO.2023.REF2023.GEN_NA_COMM_CHP_SLR_PHTVL_NA_MILLKWH.A</t>
        </is>
      </c>
      <c r="D83" t="inlineStr">
        <is>
          <t>billion kWh</t>
        </is>
      </c>
      <c r="F83" t="n">
        <v>38.879559</v>
      </c>
      <c r="G83" t="n">
        <v>43.125973</v>
      </c>
      <c r="H83" t="n">
        <v>47.972565</v>
      </c>
      <c r="I83" t="n">
        <v>52.818501</v>
      </c>
      <c r="J83" t="n">
        <v>57.647594</v>
      </c>
      <c r="K83" t="n">
        <v>62.611156</v>
      </c>
      <c r="L83" t="n">
        <v>67.696831</v>
      </c>
      <c r="M83" t="n">
        <v>72.98390999999999</v>
      </c>
      <c r="N83" t="n">
        <v>78.436142</v>
      </c>
      <c r="O83" t="n">
        <v>84.134567</v>
      </c>
      <c r="P83" t="n">
        <v>90.184685</v>
      </c>
      <c r="Q83" t="n">
        <v>96.308403</v>
      </c>
      <c r="R83" t="n">
        <v>102.574402</v>
      </c>
      <c r="S83" t="n">
        <v>108.095085</v>
      </c>
      <c r="T83" t="n">
        <v>113.883217</v>
      </c>
      <c r="U83" t="n">
        <v>119.885406</v>
      </c>
      <c r="V83" t="n">
        <v>126.297951</v>
      </c>
      <c r="W83" t="n">
        <v>133.136719</v>
      </c>
      <c r="X83" t="n">
        <v>140.40329</v>
      </c>
      <c r="Y83" t="n">
        <v>148.07901</v>
      </c>
      <c r="Z83" t="n">
        <v>156.162567</v>
      </c>
      <c r="AA83" t="n">
        <v>164.707626</v>
      </c>
      <c r="AB83" t="n">
        <v>173.56131</v>
      </c>
      <c r="AC83" t="n">
        <v>182.859161</v>
      </c>
      <c r="AD83" t="n">
        <v>192.476852</v>
      </c>
      <c r="AE83" t="n">
        <v>202.411377</v>
      </c>
      <c r="AF83" t="n">
        <v>212.832443</v>
      </c>
      <c r="AG83" t="n">
        <v>223.473007</v>
      </c>
      <c r="AH83" t="n">
        <v>234.461166</v>
      </c>
      <c r="AI83" s="16" t="n">
        <v>0.066</v>
      </c>
    </row>
    <row r="84" customFormat="1" s="1">
      <c r="A84" s="1" t="inlineStr">
        <is>
          <t>Wind</t>
        </is>
      </c>
      <c r="B84" s="1" t="inlineStr">
        <is>
          <t>Residential: Combined Heat and Power: Net Generation: Wind: Reference case</t>
        </is>
      </c>
      <c r="C84" s="1" t="inlineStr">
        <is>
          <t>AEO.2023.REF2023.GEN_NA_COMM_CHP_WND_NA_NA_MILLKWH.A</t>
        </is>
      </c>
      <c r="D84" s="1" t="inlineStr">
        <is>
          <t>billion kWh</t>
        </is>
      </c>
      <c r="F84" s="1" t="n">
        <v>0.069007</v>
      </c>
      <c r="G84" s="1" t="n">
        <v>0.074813</v>
      </c>
      <c r="H84" s="1" t="n">
        <v>0.081044</v>
      </c>
      <c r="I84" s="1" t="n">
        <v>0.087524</v>
      </c>
      <c r="J84" s="1" t="n">
        <v>0.09413100000000001</v>
      </c>
      <c r="K84" s="1" t="n">
        <v>0.100814</v>
      </c>
      <c r="L84" s="1" t="n">
        <v>0.107521</v>
      </c>
      <c r="M84" s="1" t="n">
        <v>0.114228</v>
      </c>
      <c r="N84" s="1" t="n">
        <v>0.120911</v>
      </c>
      <c r="O84" s="1" t="n">
        <v>0.12757</v>
      </c>
      <c r="P84" s="1" t="n">
        <v>0.134214</v>
      </c>
      <c r="Q84" s="1" t="n">
        <v>0.140609</v>
      </c>
      <c r="R84" s="1" t="n">
        <v>0.140612</v>
      </c>
      <c r="S84" s="1" t="n">
        <v>0.140619</v>
      </c>
      <c r="T84" s="1" t="n">
        <v>0.140631</v>
      </c>
      <c r="U84" s="1" t="n">
        <v>0.140654</v>
      </c>
      <c r="V84" s="1" t="n">
        <v>0.140698</v>
      </c>
      <c r="W84" s="1" t="n">
        <v>0.140778</v>
      </c>
      <c r="X84" s="1" t="n">
        <v>0.140925</v>
      </c>
      <c r="Y84" s="1" t="n">
        <v>0.141195</v>
      </c>
      <c r="Z84" s="1" t="n">
        <v>0.141465</v>
      </c>
      <c r="AA84" s="1" t="n">
        <v>0.141736</v>
      </c>
      <c r="AB84" s="1" t="n">
        <v>0.142007</v>
      </c>
      <c r="AC84" s="1" t="n">
        <v>0.14228</v>
      </c>
      <c r="AD84" s="1" t="n">
        <v>0.142554</v>
      </c>
      <c r="AE84" s="1" t="n">
        <v>0.142829</v>
      </c>
      <c r="AF84" s="1" t="n">
        <v>0.143104</v>
      </c>
      <c r="AG84" s="1" t="n">
        <v>0.143379</v>
      </c>
      <c r="AH84" s="1" t="n">
        <v>0.143655</v>
      </c>
      <c r="AI84" s="48" t="n">
        <v>0.027</v>
      </c>
    </row>
    <row r="85">
      <c r="A85" t="inlineStr">
        <is>
          <t>Total</t>
        </is>
      </c>
      <c r="B85" t="inlineStr">
        <is>
          <t>Residential: Combined Heat and Power: Net Generation: Total: Reference case</t>
        </is>
      </c>
      <c r="C85" t="inlineStr">
        <is>
          <t>AEO.2023.REF2023.GEN_NA_COMM_CHP_TOT_NA_NA_MILLKWH.A</t>
        </is>
      </c>
      <c r="D85" t="inlineStr">
        <is>
          <t>billion kWh</t>
        </is>
      </c>
      <c r="F85" t="n">
        <v>38.948566</v>
      </c>
      <c r="G85" t="n">
        <v>43.200787</v>
      </c>
      <c r="H85" t="n">
        <v>48.053608</v>
      </c>
      <c r="I85" t="n">
        <v>52.906025</v>
      </c>
      <c r="J85" t="n">
        <v>57.741726</v>
      </c>
      <c r="K85" t="n">
        <v>62.711971</v>
      </c>
      <c r="L85" t="n">
        <v>67.80435199999999</v>
      </c>
      <c r="M85" t="n">
        <v>73.09813699999999</v>
      </c>
      <c r="N85" t="n">
        <v>78.557053</v>
      </c>
      <c r="O85" t="n">
        <v>84.26213799999999</v>
      </c>
      <c r="P85" t="n">
        <v>90.318901</v>
      </c>
      <c r="Q85" t="n">
        <v>96.44901299999999</v>
      </c>
      <c r="R85" t="n">
        <v>102.715019</v>
      </c>
      <c r="S85" t="n">
        <v>108.235718</v>
      </c>
      <c r="T85" t="n">
        <v>114.02388</v>
      </c>
      <c r="U85" t="n">
        <v>120.026123</v>
      </c>
      <c r="V85" t="n">
        <v>126.438774</v>
      </c>
      <c r="W85" t="n">
        <v>133.277725</v>
      </c>
      <c r="X85" t="n">
        <v>140.544647</v>
      </c>
      <c r="Y85" t="n">
        <v>148.220993</v>
      </c>
      <c r="Z85" t="n">
        <v>156.305191</v>
      </c>
      <c r="AA85" t="n">
        <v>164.850906</v>
      </c>
      <c r="AB85" t="n">
        <v>173.705231</v>
      </c>
      <c r="AC85" t="n">
        <v>183.003708</v>
      </c>
      <c r="AD85" t="n">
        <v>192.622055</v>
      </c>
      <c r="AE85" t="n">
        <v>202.55722</v>
      </c>
      <c r="AF85" t="n">
        <v>212.978943</v>
      </c>
      <c r="AG85" t="n">
        <v>223.620148</v>
      </c>
      <c r="AH85" t="n">
        <v>234.608978</v>
      </c>
      <c r="AI85" s="16" t="n">
        <v>0.066</v>
      </c>
    </row>
    <row r="86">
      <c r="A86" t="inlineStr">
        <is>
          <t>Disposition</t>
        </is>
      </c>
    </row>
    <row r="87">
      <c r="A87" t="inlineStr">
        <is>
          <t>Sales to the Grid</t>
        </is>
      </c>
      <c r="B87" t="inlineStr">
        <is>
          <t>Residential: Combined Heat and Power: Net Generation: Sales to the Grid: Reference case</t>
        </is>
      </c>
      <c r="C87" t="inlineStr">
        <is>
          <t>AEO.2023.REF2023.GEN_NA_COMM_CHP_STG_NA_NA_MILLKWH.A</t>
        </is>
      </c>
      <c r="D87" t="inlineStr">
        <is>
          <t>billion kWh</t>
        </is>
      </c>
      <c r="F87" t="n">
        <v>6.116397</v>
      </c>
      <c r="G87" t="n">
        <v>7.017288</v>
      </c>
      <c r="H87" t="n">
        <v>8.039189</v>
      </c>
      <c r="I87" t="n">
        <v>9.009024999999999</v>
      </c>
      <c r="J87" t="n">
        <v>9.966661999999999</v>
      </c>
      <c r="K87" t="n">
        <v>10.957931</v>
      </c>
      <c r="L87" t="n">
        <v>11.963233</v>
      </c>
      <c r="M87" t="n">
        <v>13.032094</v>
      </c>
      <c r="N87" t="n">
        <v>14.131605</v>
      </c>
      <c r="O87" t="n">
        <v>15.315522</v>
      </c>
      <c r="P87" t="n">
        <v>16.611361</v>
      </c>
      <c r="Q87" t="n">
        <v>17.921099</v>
      </c>
      <c r="R87" t="n">
        <v>19.288816</v>
      </c>
      <c r="S87" t="n">
        <v>20.464827</v>
      </c>
      <c r="T87" t="n">
        <v>21.72669</v>
      </c>
      <c r="U87" t="n">
        <v>23.024828</v>
      </c>
      <c r="V87" t="n">
        <v>24.442295</v>
      </c>
      <c r="W87" t="n">
        <v>25.954372</v>
      </c>
      <c r="X87" t="n">
        <v>27.590239</v>
      </c>
      <c r="Y87" t="n">
        <v>29.314402</v>
      </c>
      <c r="Z87" t="n">
        <v>31.122248</v>
      </c>
      <c r="AA87" t="n">
        <v>33.063015</v>
      </c>
      <c r="AB87" t="n">
        <v>35.056107</v>
      </c>
      <c r="AC87" t="n">
        <v>37.173237</v>
      </c>
      <c r="AD87" t="n">
        <v>39.340511</v>
      </c>
      <c r="AE87" t="n">
        <v>41.550514</v>
      </c>
      <c r="AF87" t="n">
        <v>43.885693</v>
      </c>
      <c r="AG87" t="n">
        <v>46.226215</v>
      </c>
      <c r="AH87" t="n">
        <v>48.640495</v>
      </c>
      <c r="AI87" s="16" t="n">
        <v>0.077</v>
      </c>
    </row>
    <row r="88">
      <c r="A88" t="inlineStr">
        <is>
          <t>Generation for Own Use</t>
        </is>
      </c>
      <c r="B88" t="inlineStr">
        <is>
          <t>Residential: Combined Heat and Power: Net Generation: Generation for Own Use: Reference case</t>
        </is>
      </c>
      <c r="C88" t="inlineStr">
        <is>
          <t>AEO.2023.REF2023.GEN_NA_COMM_CHP_GFO_NA_NA_MILLKWH.A</t>
        </is>
      </c>
      <c r="D88" t="inlineStr">
        <is>
          <t>billion kWh</t>
        </is>
      </c>
      <c r="F88" t="n">
        <v>32.832169</v>
      </c>
      <c r="G88" t="n">
        <v>36.183495</v>
      </c>
      <c r="H88" t="n">
        <v>40.014423</v>
      </c>
      <c r="I88" t="n">
        <v>43.896996</v>
      </c>
      <c r="J88" t="n">
        <v>47.775063</v>
      </c>
      <c r="K88" t="n">
        <v>51.75404</v>
      </c>
      <c r="L88" t="n">
        <v>55.841122</v>
      </c>
      <c r="M88" t="n">
        <v>60.066036</v>
      </c>
      <c r="N88" t="n">
        <v>64.425438</v>
      </c>
      <c r="O88" t="n">
        <v>68.946617</v>
      </c>
      <c r="P88" t="n">
        <v>73.707542</v>
      </c>
      <c r="Q88" t="n">
        <v>78.527916</v>
      </c>
      <c r="R88" t="n">
        <v>83.42620100000001</v>
      </c>
      <c r="S88" t="n">
        <v>87.770882</v>
      </c>
      <c r="T88" t="n">
        <v>92.29718800000001</v>
      </c>
      <c r="U88" t="n">
        <v>97.001289</v>
      </c>
      <c r="V88" t="n">
        <v>101.996475</v>
      </c>
      <c r="W88" t="n">
        <v>107.323357</v>
      </c>
      <c r="X88" t="n">
        <v>112.954407</v>
      </c>
      <c r="Y88" t="n">
        <v>118.906601</v>
      </c>
      <c r="Z88" t="n">
        <v>125.182953</v>
      </c>
      <c r="AA88" t="n">
        <v>131.787872</v>
      </c>
      <c r="AB88" t="n">
        <v>138.649124</v>
      </c>
      <c r="AC88" t="n">
        <v>145.83049</v>
      </c>
      <c r="AD88" t="n">
        <v>153.281555</v>
      </c>
      <c r="AE88" t="n">
        <v>161.006699</v>
      </c>
      <c r="AF88" t="n">
        <v>169.093231</v>
      </c>
      <c r="AG88" t="n">
        <v>177.393936</v>
      </c>
      <c r="AH88" t="n">
        <v>185.968491</v>
      </c>
      <c r="AI88" s="16" t="n">
        <v>0.064</v>
      </c>
    </row>
    <row r="89">
      <c r="A89" t="inlineStr">
        <is>
          <t>Energy Input (trillion Btu)</t>
        </is>
      </c>
    </row>
    <row r="90">
      <c r="A90" t="inlineStr">
        <is>
          <t>Natural Gas Fuel Cells</t>
        </is>
      </c>
      <c r="B90" t="inlineStr">
        <is>
          <t>Residential: Combined Heat and Power: Energy Input: Fuel Cells: Reference case</t>
        </is>
      </c>
      <c r="C90" t="inlineStr">
        <is>
          <t>AEO.2023.REF2023.CNSM_NA_COMM_CHP_FCL_NA_NA_TRLBTU.A</t>
        </is>
      </c>
      <c r="D90" t="inlineStr">
        <is>
          <t>trillion Btu</t>
        </is>
      </c>
      <c r="F90" t="n">
        <v>0</v>
      </c>
      <c r="G90" t="n">
        <v>0</v>
      </c>
      <c r="H90" t="n">
        <v>0</v>
      </c>
      <c r="I90" t="n">
        <v>0</v>
      </c>
      <c r="J90" t="n">
        <v>0</v>
      </c>
      <c r="K90" t="n">
        <v>0</v>
      </c>
      <c r="L90" t="n">
        <v>0</v>
      </c>
      <c r="M90" t="n">
        <v>0</v>
      </c>
      <c r="N90" t="n">
        <v>0</v>
      </c>
      <c r="O90" t="n">
        <v>0</v>
      </c>
      <c r="P90" t="n">
        <v>3e-06</v>
      </c>
      <c r="Q90" t="n">
        <v>9e-06</v>
      </c>
      <c r="R90" t="n">
        <v>4.3e-05</v>
      </c>
      <c r="S90" t="n">
        <v>0.000108</v>
      </c>
      <c r="T90" t="n">
        <v>0.000237</v>
      </c>
      <c r="U90" t="n">
        <v>0.000474</v>
      </c>
      <c r="V90" t="n">
        <v>0.000928</v>
      </c>
      <c r="W90" t="n">
        <v>0.001755</v>
      </c>
      <c r="X90" t="n">
        <v>0.003277</v>
      </c>
      <c r="Y90" t="n">
        <v>0.00605</v>
      </c>
      <c r="Z90" t="n">
        <v>0.008821000000000001</v>
      </c>
      <c r="AA90" t="n">
        <v>0.011598</v>
      </c>
      <c r="AB90" t="n">
        <v>0.014381</v>
      </c>
      <c r="AC90" t="n">
        <v>0.017171</v>
      </c>
      <c r="AD90" t="n">
        <v>0.019964</v>
      </c>
      <c r="AE90" t="n">
        <v>0.022764</v>
      </c>
      <c r="AF90" t="n">
        <v>0.025563</v>
      </c>
      <c r="AG90" t="n">
        <v>0.028357</v>
      </c>
      <c r="AH90" t="n">
        <v>0.031149</v>
      </c>
      <c r="AI90" t="inlineStr">
        <is>
          <t>- -</t>
        </is>
      </c>
    </row>
    <row r="91">
      <c r="A91" t="inlineStr">
        <is>
          <t>Solar Photovoltaic</t>
        </is>
      </c>
      <c r="B91" t="inlineStr">
        <is>
          <t>Residential: Combined Heat and Power: Energy Input: Solar Photovoltaic: Reference case</t>
        </is>
      </c>
      <c r="C91" t="inlineStr">
        <is>
          <t>AEO.2023.REF2023.CNSM_NA_COMM_CHP_SLR_PHTVL_NA_TRLBTU.A</t>
        </is>
      </c>
      <c r="D91" t="inlineStr">
        <is>
          <t>trillion Btu</t>
        </is>
      </c>
      <c r="F91" t="n">
        <v>320.742065</v>
      </c>
      <c r="G91" t="n">
        <v>353.178406</v>
      </c>
      <c r="H91" t="n">
        <v>397.251587</v>
      </c>
      <c r="I91" t="n">
        <v>434.426453</v>
      </c>
      <c r="J91" t="n">
        <v>470.733337</v>
      </c>
      <c r="K91" t="n">
        <v>509.777893</v>
      </c>
      <c r="L91" t="n">
        <v>548.1724850000001</v>
      </c>
      <c r="M91" t="n">
        <v>589.557983</v>
      </c>
      <c r="N91" t="n">
        <v>635.009094</v>
      </c>
      <c r="O91" t="n">
        <v>682.951904</v>
      </c>
      <c r="P91" t="n">
        <v>733.300171</v>
      </c>
      <c r="Q91" t="n">
        <v>781.92981</v>
      </c>
      <c r="R91" t="n">
        <v>835.9140619999999</v>
      </c>
      <c r="S91" t="n">
        <v>883.022217</v>
      </c>
      <c r="T91" t="n">
        <v>929.2588500000001</v>
      </c>
      <c r="U91" t="n">
        <v>974.570557</v>
      </c>
      <c r="V91" t="n">
        <v>1022.574585</v>
      </c>
      <c r="W91" t="n">
        <v>1077.076172</v>
      </c>
      <c r="X91" t="n">
        <v>1132.467773</v>
      </c>
      <c r="Y91" t="n">
        <v>1197.609253</v>
      </c>
      <c r="Z91" t="n">
        <v>1261.770264</v>
      </c>
      <c r="AA91" t="n">
        <v>1330.908447</v>
      </c>
      <c r="AB91" t="n">
        <v>1405.431152</v>
      </c>
      <c r="AC91" t="n">
        <v>1483.531128</v>
      </c>
      <c r="AD91" t="n">
        <v>1559.298462</v>
      </c>
      <c r="AE91" t="n">
        <v>1639.516357</v>
      </c>
      <c r="AF91" t="n">
        <v>1720.66748</v>
      </c>
      <c r="AG91" t="n">
        <v>1808.160645</v>
      </c>
      <c r="AH91" t="n">
        <v>1890.24707</v>
      </c>
      <c r="AI91" s="16" t="n">
        <v>0.065</v>
      </c>
    </row>
    <row r="92">
      <c r="A92" t="inlineStr">
        <is>
          <t>Wind</t>
        </is>
      </c>
      <c r="B92" t="inlineStr">
        <is>
          <t>Residential: Combined Heat and Power: Energy Input: Wind: Reference case</t>
        </is>
      </c>
      <c r="C92" t="inlineStr">
        <is>
          <t>AEO.2023.REF2023.CNSM_NA_COMM_CHP_WND_NA_NA_TRLBTU.A</t>
        </is>
      </c>
      <c r="D92" t="inlineStr">
        <is>
          <t>trillion Btu</t>
        </is>
      </c>
      <c r="F92" t="n">
        <v>0.5612</v>
      </c>
      <c r="G92" t="n">
        <v>0.603398</v>
      </c>
      <c r="H92" t="n">
        <v>0.6586379999999999</v>
      </c>
      <c r="I92" t="n">
        <v>0.704729</v>
      </c>
      <c r="J92" t="n">
        <v>0.747767</v>
      </c>
      <c r="K92" t="n">
        <v>0.800745</v>
      </c>
      <c r="L92" t="n">
        <v>0.8538559999999999</v>
      </c>
      <c r="M92" t="n">
        <v>0.906597</v>
      </c>
      <c r="N92" t="n">
        <v>0.96025</v>
      </c>
      <c r="O92" t="n">
        <v>1.016923</v>
      </c>
      <c r="P92" t="n">
        <v>1.071568</v>
      </c>
      <c r="Q92" t="n">
        <v>1.121735</v>
      </c>
      <c r="R92" t="n">
        <v>1.122288</v>
      </c>
      <c r="S92" t="n">
        <v>1.12683</v>
      </c>
      <c r="T92" t="n">
        <v>1.126382</v>
      </c>
      <c r="U92" t="n">
        <v>1.127776</v>
      </c>
      <c r="V92" t="n">
        <v>1.128401</v>
      </c>
      <c r="W92" t="n">
        <v>1.130486</v>
      </c>
      <c r="X92" t="n">
        <v>1.13545</v>
      </c>
      <c r="Y92" t="n">
        <v>1.143631</v>
      </c>
      <c r="Z92" t="n">
        <v>1.145825</v>
      </c>
      <c r="AA92" t="n">
        <v>1.154219</v>
      </c>
      <c r="AB92" t="n">
        <v>1.16212</v>
      </c>
      <c r="AC92" t="n">
        <v>1.170447</v>
      </c>
      <c r="AD92" t="n">
        <v>1.177325</v>
      </c>
      <c r="AE92" t="n">
        <v>1.183087</v>
      </c>
      <c r="AF92" t="n">
        <v>1.186864</v>
      </c>
      <c r="AG92" t="n">
        <v>1.193909</v>
      </c>
      <c r="AH92" t="n">
        <v>1.191869</v>
      </c>
      <c r="AI92" s="16" t="n">
        <v>0.027</v>
      </c>
    </row>
    <row r="93">
      <c r="A93" t="inlineStr">
        <is>
          <t>Total</t>
        </is>
      </c>
      <c r="B93" t="inlineStr">
        <is>
          <t>Residential: Combined Heat and Power: Energy Input: Total: Reference case</t>
        </is>
      </c>
      <c r="C93" t="inlineStr">
        <is>
          <t>AEO.2023.REF2023.CNSM_NA_COMM_CHP_TOT_NA_NA_TRLBTU.A</t>
        </is>
      </c>
      <c r="D93" t="inlineStr">
        <is>
          <t>trillion Btu</t>
        </is>
      </c>
      <c r="F93" t="n">
        <v>321.303253</v>
      </c>
      <c r="G93" t="n">
        <v>353.781799</v>
      </c>
      <c r="H93" t="n">
        <v>397.910217</v>
      </c>
      <c r="I93" t="n">
        <v>435.131195</v>
      </c>
      <c r="J93" t="n">
        <v>471.48111</v>
      </c>
      <c r="K93" t="n">
        <v>510.578644</v>
      </c>
      <c r="L93" t="n">
        <v>549.0263670000001</v>
      </c>
      <c r="M93" t="n">
        <v>590.4646</v>
      </c>
      <c r="N93" t="n">
        <v>635.9693600000001</v>
      </c>
      <c r="O93" t="n">
        <v>683.968811</v>
      </c>
      <c r="P93" t="n">
        <v>734.371765</v>
      </c>
      <c r="Q93" t="n">
        <v>783.051575</v>
      </c>
      <c r="R93" t="n">
        <v>837.036438</v>
      </c>
      <c r="S93" t="n">
        <v>884.14917</v>
      </c>
      <c r="T93" t="n">
        <v>930.385498</v>
      </c>
      <c r="U93" t="n">
        <v>975.698792</v>
      </c>
      <c r="V93" t="n">
        <v>1023.703918</v>
      </c>
      <c r="W93" t="n">
        <v>1078.208374</v>
      </c>
      <c r="X93" t="n">
        <v>1133.606567</v>
      </c>
      <c r="Y93" t="n">
        <v>1198.759033</v>
      </c>
      <c r="Z93" t="n">
        <v>1262.924927</v>
      </c>
      <c r="AA93" t="n">
        <v>1332.074219</v>
      </c>
      <c r="AB93" t="n">
        <v>1406.607666</v>
      </c>
      <c r="AC93" t="n">
        <v>1484.71875</v>
      </c>
      <c r="AD93" t="n">
        <v>1560.49585</v>
      </c>
      <c r="AE93" t="n">
        <v>1640.722168</v>
      </c>
      <c r="AF93" t="n">
        <v>1721.879883</v>
      </c>
      <c r="AG93" t="n">
        <v>1809.382935</v>
      </c>
      <c r="AH93" t="n">
        <v>1891.470093</v>
      </c>
      <c r="AI93" s="16" t="n">
        <v>0.065</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G93"/>
  <sheetViews>
    <sheetView topLeftCell="A55" zoomScale="90" zoomScaleNormal="90" workbookViewId="0">
      <selection activeCell="F96" sqref="F96"/>
    </sheetView>
  </sheetViews>
  <sheetFormatPr baseColWidth="8" defaultRowHeight="14.75"/>
  <cols>
    <col width="27.40625" customWidth="1" min="1" max="1"/>
    <col width="42.54296875" customWidth="1" min="2" max="2"/>
    <col width="34.54296875" customWidth="1" min="3" max="3"/>
  </cols>
  <sheetData>
    <row r="1">
      <c r="A1" t="inlineStr">
        <is>
          <t>Table 21.  Residential Sector Equipment Stock and Efficiency, and Distributed Generation</t>
        </is>
      </c>
    </row>
    <row r="2">
      <c r="A2" t="inlineStr">
        <is>
          <t>https://www.eia.gov/outlooks/aeo/data/browser/#/?id=30-AEO2025&amp;cases=highZTC&amp;sourcekey=0</t>
        </is>
      </c>
    </row>
    <row r="3">
      <c r="A3" t="inlineStr">
        <is>
          <t>Tue Dec 02 2025 13:21:44 GMT-0800 (Pacific Standard Time)</t>
        </is>
      </c>
    </row>
    <row r="4">
      <c r="A4" t="inlineStr">
        <is>
          <t>Source: U.S. Energy Information Administration</t>
        </is>
      </c>
    </row>
    <row r="5">
      <c r="B5" t="inlineStr">
        <is>
          <t>full name</t>
        </is>
      </c>
      <c r="C5" t="inlineStr">
        <is>
          <t>api key</t>
        </is>
      </c>
      <c r="D5" t="inlineStr">
        <is>
          <t>units</t>
        </is>
      </c>
      <c r="E5" t="n">
        <v>2023</v>
      </c>
      <c r="F5" t="n">
        <v>2024</v>
      </c>
      <c r="G5" t="n">
        <v>2025</v>
      </c>
      <c r="H5" t="n">
        <v>2026</v>
      </c>
      <c r="I5" t="n">
        <v>2027</v>
      </c>
      <c r="J5" t="n">
        <v>2028</v>
      </c>
      <c r="K5" t="n">
        <v>2029</v>
      </c>
      <c r="L5" t="n">
        <v>2030</v>
      </c>
      <c r="M5" t="n">
        <v>2031</v>
      </c>
      <c r="N5" t="n">
        <v>2032</v>
      </c>
      <c r="O5" t="n">
        <v>2033</v>
      </c>
      <c r="P5" t="n">
        <v>2034</v>
      </c>
      <c r="Q5" t="n">
        <v>2035</v>
      </c>
      <c r="R5" t="n">
        <v>2036</v>
      </c>
      <c r="S5" t="n">
        <v>2037</v>
      </c>
      <c r="T5" t="n">
        <v>2038</v>
      </c>
      <c r="U5" t="n">
        <v>2039</v>
      </c>
      <c r="V5" t="n">
        <v>2040</v>
      </c>
      <c r="W5" t="n">
        <v>2041</v>
      </c>
      <c r="X5" t="n">
        <v>2042</v>
      </c>
      <c r="Y5" t="n">
        <v>2043</v>
      </c>
      <c r="Z5" t="n">
        <v>2044</v>
      </c>
      <c r="AA5" t="n">
        <v>2045</v>
      </c>
      <c r="AB5" t="n">
        <v>2046</v>
      </c>
      <c r="AC5" t="n">
        <v>2047</v>
      </c>
      <c r="AD5" t="n">
        <v>2048</v>
      </c>
      <c r="AE5" t="n">
        <v>2049</v>
      </c>
      <c r="AF5" t="n">
        <v>2050</v>
      </c>
      <c r="AG5" t="inlineStr">
        <is>
          <t>Growth (2024-2050)</t>
        </is>
      </c>
    </row>
    <row r="6">
      <c r="A6" t="inlineStr">
        <is>
          <t>Equipment Stock (million units)</t>
        </is>
      </c>
    </row>
    <row r="7">
      <c r="A7" t="inlineStr">
        <is>
          <t>Main Space Heaters</t>
        </is>
      </c>
    </row>
    <row r="8">
      <c r="A8" t="inlineStr">
        <is>
          <t>Electric Heat Pumps</t>
        </is>
      </c>
      <c r="B8" t="inlineStr">
        <is>
          <t>Residential Equipment: Equipment Stock: Main Space Heaters: Electric Heat Pumps: High Zero-Carbon Technology Cost</t>
        </is>
      </c>
      <c r="C8" t="inlineStr">
        <is>
          <t>AEO.2025.HIGHZTC.EQNR_STK_RESD_MSHR_EHP_NA_NA_MILL.A</t>
        </is>
      </c>
      <c r="D8" t="inlineStr">
        <is>
          <t>millions</t>
        </is>
      </c>
      <c r="F8" t="n">
        <v>16.645529</v>
      </c>
      <c r="G8" t="n">
        <v>16.962238</v>
      </c>
      <c r="H8" t="n">
        <v>17.297937</v>
      </c>
      <c r="I8" t="n">
        <v>17.63735</v>
      </c>
      <c r="J8" t="n">
        <v>17.975958</v>
      </c>
      <c r="K8" t="n">
        <v>18.323191</v>
      </c>
      <c r="L8" t="n">
        <v>18.671122</v>
      </c>
      <c r="M8" t="n">
        <v>19.020292</v>
      </c>
      <c r="N8" t="n">
        <v>19.366976</v>
      </c>
      <c r="O8" t="n">
        <v>19.701832</v>
      </c>
      <c r="P8" t="n">
        <v>20.022341</v>
      </c>
      <c r="Q8" t="n">
        <v>20.338335</v>
      </c>
      <c r="R8" t="n">
        <v>20.648127</v>
      </c>
      <c r="S8" t="n">
        <v>20.94591</v>
      </c>
      <c r="T8" t="n">
        <v>21.232155</v>
      </c>
      <c r="U8" t="n">
        <v>21.506626</v>
      </c>
      <c r="V8" t="n">
        <v>21.772039</v>
      </c>
      <c r="W8" t="n">
        <v>22.026169</v>
      </c>
      <c r="X8" t="n">
        <v>22.27137</v>
      </c>
      <c r="Y8" t="n">
        <v>22.506741</v>
      </c>
      <c r="Z8" t="n">
        <v>22.737045</v>
      </c>
      <c r="AA8" t="n">
        <v>22.966516</v>
      </c>
      <c r="AB8" t="n">
        <v>23.194811</v>
      </c>
      <c r="AC8" t="n">
        <v>23.422667</v>
      </c>
      <c r="AD8" t="n">
        <v>23.650106</v>
      </c>
      <c r="AE8" t="n">
        <v>23.877323</v>
      </c>
      <c r="AF8" t="n">
        <v>24.103533</v>
      </c>
      <c r="AG8" s="16" t="n">
        <v>0.014</v>
      </c>
    </row>
    <row r="9">
      <c r="A9" t="inlineStr">
        <is>
          <t>Electric Other</t>
        </is>
      </c>
      <c r="B9" t="inlineStr">
        <is>
          <t>Residential Equipment: Equipment Stock: Main Space Heaters: Electric Other: High Zero-Carbon Technology Cost</t>
        </is>
      </c>
      <c r="C9" t="inlineStr">
        <is>
          <t>AEO.2025.HIGHZTC.EQNR_STK_RESD_MSHR_ELO_NA_NA_MILL.A</t>
        </is>
      </c>
      <c r="D9" t="inlineStr">
        <is>
          <t>millions</t>
        </is>
      </c>
      <c r="F9" t="n">
        <v>26.605318</v>
      </c>
      <c r="G9" t="n">
        <v>26.78159</v>
      </c>
      <c r="H9" t="n">
        <v>26.987282</v>
      </c>
      <c r="I9" t="n">
        <v>27.200581</v>
      </c>
      <c r="J9" t="n">
        <v>27.420454</v>
      </c>
      <c r="K9" t="n">
        <v>27.653374</v>
      </c>
      <c r="L9" t="n">
        <v>27.889208</v>
      </c>
      <c r="M9" t="n">
        <v>28.127293</v>
      </c>
      <c r="N9" t="n">
        <v>28.362696</v>
      </c>
      <c r="O9" t="n">
        <v>28.587048</v>
      </c>
      <c r="P9" t="n">
        <v>28.798485</v>
      </c>
      <c r="Q9" t="n">
        <v>29.005108</v>
      </c>
      <c r="R9" t="n">
        <v>29.206934</v>
      </c>
      <c r="S9" t="n">
        <v>29.397682</v>
      </c>
      <c r="T9" t="n">
        <v>29.579088</v>
      </c>
      <c r="U9" t="n">
        <v>29.751591</v>
      </c>
      <c r="V9" t="n">
        <v>29.918131</v>
      </c>
      <c r="W9" t="n">
        <v>30.076429</v>
      </c>
      <c r="X9" t="n">
        <v>30.228321</v>
      </c>
      <c r="Y9" t="n">
        <v>30.375742</v>
      </c>
      <c r="Z9" t="n">
        <v>30.522755</v>
      </c>
      <c r="AA9" t="n">
        <v>30.670509</v>
      </c>
      <c r="AB9" t="n">
        <v>30.818306</v>
      </c>
      <c r="AC9" t="n">
        <v>30.9662</v>
      </c>
      <c r="AD9" t="n">
        <v>31.114233</v>
      </c>
      <c r="AE9" t="n">
        <v>31.262747</v>
      </c>
      <c r="AF9" t="n">
        <v>31.41095</v>
      </c>
      <c r="AG9" s="16" t="n">
        <v>0.006</v>
      </c>
    </row>
    <row r="10">
      <c r="A10" t="inlineStr">
        <is>
          <t>Natural Gas Heat Pumps</t>
        </is>
      </c>
      <c r="B10" t="inlineStr">
        <is>
          <t>Residential Equipment: Equipment Stock: Main Space Heaters: Natural Gas Heat Pumps: High Zero-Carbon Technology Cost</t>
        </is>
      </c>
      <c r="C10" t="inlineStr">
        <is>
          <t>AEO.2025.HIGHZTC.EQNR_STK_RESD_MSHR_NHU_NA_NA_MILL.A</t>
        </is>
      </c>
      <c r="D10" t="inlineStr">
        <is>
          <t>millions</t>
        </is>
      </c>
      <c r="F10" t="n">
        <v>1.335856</v>
      </c>
      <c r="G10" t="n">
        <v>1.335485</v>
      </c>
      <c r="H10" t="n">
        <v>1.335121</v>
      </c>
      <c r="I10" t="n">
        <v>1.334763</v>
      </c>
      <c r="J10" t="n">
        <v>1.334411</v>
      </c>
      <c r="K10" t="n">
        <v>1.334067</v>
      </c>
      <c r="L10" t="n">
        <v>1.333728</v>
      </c>
      <c r="M10" t="n">
        <v>1.333394</v>
      </c>
      <c r="N10" t="n">
        <v>1.333067</v>
      </c>
      <c r="O10" t="n">
        <v>1.332746</v>
      </c>
      <c r="P10" t="n">
        <v>1.332431</v>
      </c>
      <c r="Q10" t="n">
        <v>1.33212</v>
      </c>
      <c r="R10" t="n">
        <v>1.331816</v>
      </c>
      <c r="S10" t="n">
        <v>1.331517</v>
      </c>
      <c r="T10" t="n">
        <v>1.331223</v>
      </c>
      <c r="U10" t="n">
        <v>1.330934</v>
      </c>
      <c r="V10" t="n">
        <v>1.330651</v>
      </c>
      <c r="W10" t="n">
        <v>1.330373</v>
      </c>
      <c r="X10" t="n">
        <v>1.330099</v>
      </c>
      <c r="Y10" t="n">
        <v>1.329831</v>
      </c>
      <c r="Z10" t="n">
        <v>1.329567</v>
      </c>
      <c r="AA10" t="n">
        <v>1.329308</v>
      </c>
      <c r="AB10" t="n">
        <v>1.329053</v>
      </c>
      <c r="AC10" t="n">
        <v>1.328804</v>
      </c>
      <c r="AD10" t="n">
        <v>1.328558</v>
      </c>
      <c r="AE10" t="n">
        <v>1.328316</v>
      </c>
      <c r="AF10" t="n">
        <v>1.328079</v>
      </c>
      <c r="AG10" s="16" t="n">
        <v>0</v>
      </c>
    </row>
    <row r="11">
      <c r="A11" t="inlineStr">
        <is>
          <t>Natural Gas Other</t>
        </is>
      </c>
      <c r="B11" t="inlineStr">
        <is>
          <t>Residential Equipment: Equipment Stock: Main Space Heaters: Natural Gas Other: High Zero-Carbon Technology Cost</t>
        </is>
      </c>
      <c r="C11" t="inlineStr">
        <is>
          <t>AEO.2025.HIGHZTC.EQNR_STK_RESD_MSHR_NGO_NA_NA_MILL.A</t>
        </is>
      </c>
      <c r="D11" t="inlineStr">
        <is>
          <t>millions</t>
        </is>
      </c>
      <c r="F11" t="n">
        <v>65.614693</v>
      </c>
      <c r="G11" t="n">
        <v>66.503311</v>
      </c>
      <c r="H11" t="n">
        <v>67.422646</v>
      </c>
      <c r="I11" t="n">
        <v>68.347206</v>
      </c>
      <c r="J11" t="n">
        <v>69.275345</v>
      </c>
      <c r="K11" t="n">
        <v>70.215851</v>
      </c>
      <c r="L11" t="n">
        <v>71.155624</v>
      </c>
      <c r="M11" t="n">
        <v>72.09522200000001</v>
      </c>
      <c r="N11" t="n">
        <v>73.022018</v>
      </c>
      <c r="O11" t="n">
        <v>73.91796100000001</v>
      </c>
      <c r="P11" t="n">
        <v>74.776138</v>
      </c>
      <c r="Q11" t="n">
        <v>75.619469</v>
      </c>
      <c r="R11" t="n">
        <v>76.443016</v>
      </c>
      <c r="S11" t="n">
        <v>77.23245199999999</v>
      </c>
      <c r="T11" t="n">
        <v>77.991676</v>
      </c>
      <c r="U11" t="n">
        <v>78.71611</v>
      </c>
      <c r="V11" t="n">
        <v>79.412209</v>
      </c>
      <c r="W11" t="n">
        <v>80.076683</v>
      </c>
      <c r="X11" t="n">
        <v>80.71790300000001</v>
      </c>
      <c r="Y11" t="n">
        <v>81.333214</v>
      </c>
      <c r="Z11" t="n">
        <v>81.934601</v>
      </c>
      <c r="AA11" t="n">
        <v>82.534103</v>
      </c>
      <c r="AB11" t="n">
        <v>83.129738</v>
      </c>
      <c r="AC11" t="n">
        <v>83.72611999999999</v>
      </c>
      <c r="AD11" t="n">
        <v>84.322975</v>
      </c>
      <c r="AE11" t="n">
        <v>84.92040299999999</v>
      </c>
      <c r="AF11" t="n">
        <v>85.516907</v>
      </c>
      <c r="AG11" s="16" t="n">
        <v>0.01</v>
      </c>
    </row>
    <row r="12">
      <c r="A12" t="inlineStr">
        <is>
          <t>Distillate Fuel Oil</t>
        </is>
      </c>
      <c r="B12" t="inlineStr">
        <is>
          <t>Residential Equipment: Equipment Stock: Main Space Heaters: Distillate Fuel Oil: High Zero-Carbon Technology Cost</t>
        </is>
      </c>
      <c r="C12" t="inlineStr">
        <is>
          <t>AEO.2025.HIGHZTC.EQNR_STK_RESD_MSHR_DFO_NA_NA_MILL.A</t>
        </is>
      </c>
      <c r="D12" t="inlineStr">
        <is>
          <t>millions</t>
        </is>
      </c>
      <c r="F12" t="n">
        <v>4.76794</v>
      </c>
      <c r="G12" t="n">
        <v>4.7259</v>
      </c>
      <c r="H12" t="n">
        <v>4.684821</v>
      </c>
      <c r="I12" t="n">
        <v>4.644579</v>
      </c>
      <c r="J12" t="n">
        <v>4.60502</v>
      </c>
      <c r="K12" t="n">
        <v>4.565969</v>
      </c>
      <c r="L12" t="n">
        <v>4.526826</v>
      </c>
      <c r="M12" t="n">
        <v>4.487612</v>
      </c>
      <c r="N12" t="n">
        <v>4.449521</v>
      </c>
      <c r="O12" t="n">
        <v>4.412687</v>
      </c>
      <c r="P12" t="n">
        <v>4.377314</v>
      </c>
      <c r="Q12" t="n">
        <v>4.343427</v>
      </c>
      <c r="R12" t="n">
        <v>4.310317</v>
      </c>
      <c r="S12" t="n">
        <v>4.277948</v>
      </c>
      <c r="T12" t="n">
        <v>4.246086</v>
      </c>
      <c r="U12" t="n">
        <v>4.214488</v>
      </c>
      <c r="V12" t="n">
        <v>4.183174</v>
      </c>
      <c r="W12" t="n">
        <v>4.152061</v>
      </c>
      <c r="X12" t="n">
        <v>4.122024</v>
      </c>
      <c r="Y12" t="n">
        <v>4.093054</v>
      </c>
      <c r="Z12" t="n">
        <v>4.065121</v>
      </c>
      <c r="AA12" t="n">
        <v>4.0385</v>
      </c>
      <c r="AB12" t="n">
        <v>4.012821</v>
      </c>
      <c r="AC12" t="n">
        <v>3.986746</v>
      </c>
      <c r="AD12" t="n">
        <v>3.960447</v>
      </c>
      <c r="AE12" t="n">
        <v>3.934162</v>
      </c>
      <c r="AF12" t="n">
        <v>3.908093</v>
      </c>
      <c r="AG12" s="16" t="n">
        <v>-0.008</v>
      </c>
    </row>
    <row r="13">
      <c r="A13" t="inlineStr">
        <is>
          <t>Propane</t>
        </is>
      </c>
      <c r="B13" t="inlineStr">
        <is>
          <t>Residential Equipment: Equipment Stock: Main Space Heaters: Propane: High Zero-Carbon Technology Cost</t>
        </is>
      </c>
      <c r="C13" t="inlineStr">
        <is>
          <t>AEO.2025.HIGHZTC.EQNR_STK_RESD_MSHR_PROP_NA_NA_MILL.A</t>
        </is>
      </c>
      <c r="D13" t="inlineStr">
        <is>
          <t>millions</t>
        </is>
      </c>
      <c r="F13" t="n">
        <v>5.242597</v>
      </c>
      <c r="G13" t="n">
        <v>5.231007</v>
      </c>
      <c r="H13" t="n">
        <v>5.222726</v>
      </c>
      <c r="I13" t="n">
        <v>5.213856</v>
      </c>
      <c r="J13" t="n">
        <v>5.201762</v>
      </c>
      <c r="K13" t="n">
        <v>5.192317</v>
      </c>
      <c r="L13" t="n">
        <v>5.180441</v>
      </c>
      <c r="M13" t="n">
        <v>5.167188</v>
      </c>
      <c r="N13" t="n">
        <v>5.155312</v>
      </c>
      <c r="O13" t="n">
        <v>5.143894</v>
      </c>
      <c r="P13" t="n">
        <v>5.132373</v>
      </c>
      <c r="Q13" t="n">
        <v>5.121347</v>
      </c>
      <c r="R13" t="n">
        <v>5.111237</v>
      </c>
      <c r="S13" t="n">
        <v>5.101963</v>
      </c>
      <c r="T13" t="n">
        <v>5.09299</v>
      </c>
      <c r="U13" t="n">
        <v>5.084504</v>
      </c>
      <c r="V13" t="n">
        <v>5.077328</v>
      </c>
      <c r="W13" t="n">
        <v>5.070891</v>
      </c>
      <c r="X13" t="n">
        <v>5.064682</v>
      </c>
      <c r="Y13" t="n">
        <v>5.058537</v>
      </c>
      <c r="Z13" t="n">
        <v>5.052648</v>
      </c>
      <c r="AA13" t="n">
        <v>5.047476</v>
      </c>
      <c r="AB13" t="n">
        <v>5.043245</v>
      </c>
      <c r="AC13" t="n">
        <v>5.03766</v>
      </c>
      <c r="AD13" t="n">
        <v>5.030745</v>
      </c>
      <c r="AE13" t="n">
        <v>5.022702</v>
      </c>
      <c r="AF13" t="n">
        <v>5.01332</v>
      </c>
      <c r="AG13" s="16" t="n">
        <v>-0.002</v>
      </c>
    </row>
    <row r="14">
      <c r="A14" t="inlineStr">
        <is>
          <t>Kerosene</t>
        </is>
      </c>
      <c r="B14" t="inlineStr">
        <is>
          <t>Residential Equipment: Equipment Stock: Main Space Heaters: Kerosene: High Zero-Carbon Technology Cost</t>
        </is>
      </c>
      <c r="C14" t="inlineStr">
        <is>
          <t>AEO.2025.HIGHZTC.EQNR_STK_RESD_MSHR_KRS_NA_NA_MILL.A</t>
        </is>
      </c>
      <c r="D14" t="inlineStr">
        <is>
          <t>millions</t>
        </is>
      </c>
      <c r="F14" t="n">
        <v>0.004925</v>
      </c>
      <c r="G14" t="n">
        <v>0.007897</v>
      </c>
      <c r="H14" t="n">
        <v>0.011523</v>
      </c>
      <c r="I14" t="n">
        <v>0.015072</v>
      </c>
      <c r="J14" t="n">
        <v>0.018269</v>
      </c>
      <c r="K14" t="n">
        <v>0.02133</v>
      </c>
      <c r="L14" t="n">
        <v>0.02419</v>
      </c>
      <c r="M14" t="n">
        <v>0.027018</v>
      </c>
      <c r="N14" t="n">
        <v>0.029863</v>
      </c>
      <c r="O14" t="n">
        <v>0.032679</v>
      </c>
      <c r="P14" t="n">
        <v>0.035394</v>
      </c>
      <c r="Q14" t="n">
        <v>0.038013</v>
      </c>
      <c r="R14" t="n">
        <v>0.040598</v>
      </c>
      <c r="S14" t="n">
        <v>0.043115</v>
      </c>
      <c r="T14" t="n">
        <v>0.045557</v>
      </c>
      <c r="U14" t="n">
        <v>0.047931</v>
      </c>
      <c r="V14" t="n">
        <v>0.050323</v>
      </c>
      <c r="W14" t="n">
        <v>0.052708</v>
      </c>
      <c r="X14" t="n">
        <v>0.055048</v>
      </c>
      <c r="Y14" t="n">
        <v>0.057337</v>
      </c>
      <c r="Z14" t="n">
        <v>0.059592</v>
      </c>
      <c r="AA14" t="n">
        <v>0.06182</v>
      </c>
      <c r="AB14" t="n">
        <v>0.063984</v>
      </c>
      <c r="AC14" t="n">
        <v>0.066125</v>
      </c>
      <c r="AD14" t="n">
        <v>0.06822400000000001</v>
      </c>
      <c r="AE14" t="n">
        <v>0.0703</v>
      </c>
      <c r="AF14" t="n">
        <v>0.072325</v>
      </c>
      <c r="AG14" s="16" t="n">
        <v>0.109</v>
      </c>
    </row>
    <row r="15">
      <c r="A15" t="inlineStr">
        <is>
          <t>Wood Stoves</t>
        </is>
      </c>
      <c r="B15" t="inlineStr">
        <is>
          <t>Residential Equipment: Equipment Stock: Main Space Heaters: Wood Stoves: High Zero-Carbon Technology Cost</t>
        </is>
      </c>
      <c r="C15" t="inlineStr">
        <is>
          <t>AEO.2025.HIGHZTC.EQNR_STK_RESD_MSHR_WDS_NA_NA_MILL.A</t>
        </is>
      </c>
      <c r="D15" t="inlineStr">
        <is>
          <t>millions</t>
        </is>
      </c>
      <c r="F15" t="n">
        <v>2.220637</v>
      </c>
      <c r="G15" t="n">
        <v>2.212639</v>
      </c>
      <c r="H15" t="n">
        <v>2.204829</v>
      </c>
      <c r="I15" t="n">
        <v>2.197059</v>
      </c>
      <c r="J15" t="n">
        <v>2.189375</v>
      </c>
      <c r="K15" t="n">
        <v>2.181753</v>
      </c>
      <c r="L15" t="n">
        <v>2.174187</v>
      </c>
      <c r="M15" t="n">
        <v>2.166692</v>
      </c>
      <c r="N15" t="n">
        <v>2.159028</v>
      </c>
      <c r="O15" t="n">
        <v>2.151248</v>
      </c>
      <c r="P15" t="n">
        <v>2.1434</v>
      </c>
      <c r="Q15" t="n">
        <v>2.135421</v>
      </c>
      <c r="R15" t="n">
        <v>2.127357</v>
      </c>
      <c r="S15" t="n">
        <v>2.119169</v>
      </c>
      <c r="T15" t="n">
        <v>2.11095</v>
      </c>
      <c r="U15" t="n">
        <v>2.102684</v>
      </c>
      <c r="V15" t="n">
        <v>2.094329</v>
      </c>
      <c r="W15" t="n">
        <v>2.085804</v>
      </c>
      <c r="X15" t="n">
        <v>2.077575</v>
      </c>
      <c r="Y15" t="n">
        <v>2.069646</v>
      </c>
      <c r="Z15" t="n">
        <v>2.062065</v>
      </c>
      <c r="AA15" t="n">
        <v>2.054862</v>
      </c>
      <c r="AB15" t="n">
        <v>2.048036</v>
      </c>
      <c r="AC15" t="n">
        <v>2.041663</v>
      </c>
      <c r="AD15" t="n">
        <v>2.035719</v>
      </c>
      <c r="AE15" t="n">
        <v>2.030173</v>
      </c>
      <c r="AF15" t="n">
        <v>2.025021</v>
      </c>
      <c r="AG15" s="16" t="n">
        <v>-0.004</v>
      </c>
    </row>
    <row r="16">
      <c r="A16" t="inlineStr">
        <is>
          <t>Geothermal Heat Pumps</t>
        </is>
      </c>
      <c r="B16" t="inlineStr">
        <is>
          <t>Residential Equipment: Equipment Stock: Main Space Heaters: Geothermal Heat Pumps: High Zero-Carbon Technology Cost</t>
        </is>
      </c>
      <c r="C16" t="inlineStr">
        <is>
          <t>AEO.2025.HIGHZTC.EQNR_STK_RESD_MSHR_GEHP_NA_NA_MILL.A</t>
        </is>
      </c>
      <c r="D16" t="inlineStr">
        <is>
          <t>millions</t>
        </is>
      </c>
      <c r="F16" t="n">
        <v>1.360675</v>
      </c>
      <c r="G16" t="n">
        <v>1.408181</v>
      </c>
      <c r="H16" t="n">
        <v>1.455492</v>
      </c>
      <c r="I16" t="n">
        <v>1.50272</v>
      </c>
      <c r="J16" t="n">
        <v>1.549133</v>
      </c>
      <c r="K16" t="n">
        <v>1.595817</v>
      </c>
      <c r="L16" t="n">
        <v>1.642325</v>
      </c>
      <c r="M16" t="n">
        <v>1.688836</v>
      </c>
      <c r="N16" t="n">
        <v>1.73555</v>
      </c>
      <c r="O16" t="n">
        <v>1.781672</v>
      </c>
      <c r="P16" t="n">
        <v>1.826767</v>
      </c>
      <c r="Q16" t="n">
        <v>1.871948</v>
      </c>
      <c r="R16" t="n">
        <v>1.916753</v>
      </c>
      <c r="S16" t="n">
        <v>1.960757</v>
      </c>
      <c r="T16" t="n">
        <v>2.003791</v>
      </c>
      <c r="U16" t="n">
        <v>2.045475</v>
      </c>
      <c r="V16" t="n">
        <v>2.086105</v>
      </c>
      <c r="W16" t="n">
        <v>2.125625</v>
      </c>
      <c r="X16" t="n">
        <v>2.164013</v>
      </c>
      <c r="Y16" t="n">
        <v>2.200763</v>
      </c>
      <c r="Z16" t="n">
        <v>2.236357</v>
      </c>
      <c r="AA16" t="n">
        <v>2.271668</v>
      </c>
      <c r="AB16" t="n">
        <v>2.306613</v>
      </c>
      <c r="AC16" t="n">
        <v>2.34118</v>
      </c>
      <c r="AD16" t="n">
        <v>2.37536</v>
      </c>
      <c r="AE16" t="n">
        <v>2.409184</v>
      </c>
      <c r="AF16" t="n">
        <v>2.442582</v>
      </c>
      <c r="AG16" s="16" t="n">
        <v>0.023</v>
      </c>
    </row>
    <row r="17">
      <c r="A17" t="inlineStr">
        <is>
          <t>Total</t>
        </is>
      </c>
      <c r="B17" t="inlineStr">
        <is>
          <t>Residential Equipment: Equipment Stock: Main Space Heaters: Total: High Zero-Carbon Technology Cost</t>
        </is>
      </c>
      <c r="C17" t="inlineStr">
        <is>
          <t>AEO.2025.HIGHZTC.EQNR_STK_RESD_MSHR_TOT_NA_NA_MILL.A</t>
        </is>
      </c>
      <c r="D17" t="inlineStr">
        <is>
          <t>millions</t>
        </is>
      </c>
      <c r="F17" t="n">
        <v>123.798164</v>
      </c>
      <c r="G17" t="n">
        <v>125.168251</v>
      </c>
      <c r="H17" t="n">
        <v>126.622368</v>
      </c>
      <c r="I17" t="n">
        <v>128.093185</v>
      </c>
      <c r="J17" t="n">
        <v>129.569717</v>
      </c>
      <c r="K17" t="n">
        <v>131.083664</v>
      </c>
      <c r="L17" t="n">
        <v>132.597641</v>
      </c>
      <c r="M17" t="n">
        <v>134.113556</v>
      </c>
      <c r="N17" t="n">
        <v>135.614029</v>
      </c>
      <c r="O17" t="n">
        <v>137.061768</v>
      </c>
      <c r="P17" t="n">
        <v>138.444656</v>
      </c>
      <c r="Q17" t="n">
        <v>139.805191</v>
      </c>
      <c r="R17" t="n">
        <v>141.136139</v>
      </c>
      <c r="S17" t="n">
        <v>142.410522</v>
      </c>
      <c r="T17" t="n">
        <v>143.633499</v>
      </c>
      <c r="U17" t="n">
        <v>144.800354</v>
      </c>
      <c r="V17" t="n">
        <v>145.924301</v>
      </c>
      <c r="W17" t="n">
        <v>146.996735</v>
      </c>
      <c r="X17" t="n">
        <v>148.031052</v>
      </c>
      <c r="Y17" t="n">
        <v>149.024857</v>
      </c>
      <c r="Z17" t="n">
        <v>149.999756</v>
      </c>
      <c r="AA17" t="n">
        <v>150.974731</v>
      </c>
      <c r="AB17" t="n">
        <v>151.946594</v>
      </c>
      <c r="AC17" t="n">
        <v>152.91716</v>
      </c>
      <c r="AD17" t="n">
        <v>153.886368</v>
      </c>
      <c r="AE17" t="n">
        <v>154.855301</v>
      </c>
      <c r="AF17" t="n">
        <v>155.820816</v>
      </c>
      <c r="AG17" s="16" t="n">
        <v>0.008999999999999999</v>
      </c>
    </row>
    <row r="18">
      <c r="A18" t="inlineStr">
        <is>
          <t>Space Cooling (million units)</t>
        </is>
      </c>
    </row>
    <row r="19">
      <c r="A19" t="inlineStr">
        <is>
          <t>Electric Heat Pumps</t>
        </is>
      </c>
      <c r="B19" t="inlineStr">
        <is>
          <t>Residential Equipment: Equipment Stock: Space Cooling: Electric Heat Pumps: High Zero-Carbon Technology Cost</t>
        </is>
      </c>
      <c r="C19" t="inlineStr">
        <is>
          <t>AEO.2025.HIGHZTC.EQNR_STK_RESD_SPC_EHP_NA_NA_MILL.A</t>
        </is>
      </c>
      <c r="D19" t="inlineStr">
        <is>
          <t>millions</t>
        </is>
      </c>
      <c r="F19" t="n">
        <v>16.645529</v>
      </c>
      <c r="G19" t="n">
        <v>16.962236</v>
      </c>
      <c r="H19" t="n">
        <v>17.297932</v>
      </c>
      <c r="I19" t="n">
        <v>17.637352</v>
      </c>
      <c r="J19" t="n">
        <v>17.975958</v>
      </c>
      <c r="K19" t="n">
        <v>18.323191</v>
      </c>
      <c r="L19" t="n">
        <v>18.671116</v>
      </c>
      <c r="M19" t="n">
        <v>19.02029</v>
      </c>
      <c r="N19" t="n">
        <v>19.36697</v>
      </c>
      <c r="O19" t="n">
        <v>19.701841</v>
      </c>
      <c r="P19" t="n">
        <v>20.022339</v>
      </c>
      <c r="Q19" t="n">
        <v>20.338339</v>
      </c>
      <c r="R19" t="n">
        <v>20.648117</v>
      </c>
      <c r="S19" t="n">
        <v>20.945915</v>
      </c>
      <c r="T19" t="n">
        <v>21.232161</v>
      </c>
      <c r="U19" t="n">
        <v>21.506636</v>
      </c>
      <c r="V19" t="n">
        <v>21.772034</v>
      </c>
      <c r="W19" t="n">
        <v>22.026175</v>
      </c>
      <c r="X19" t="n">
        <v>22.271376</v>
      </c>
      <c r="Y19" t="n">
        <v>22.506746</v>
      </c>
      <c r="Z19" t="n">
        <v>22.737047</v>
      </c>
      <c r="AA19" t="n">
        <v>22.966528</v>
      </c>
      <c r="AB19" t="n">
        <v>23.194815</v>
      </c>
      <c r="AC19" t="n">
        <v>23.422672</v>
      </c>
      <c r="AD19" t="n">
        <v>23.650103</v>
      </c>
      <c r="AE19" t="n">
        <v>23.87734</v>
      </c>
      <c r="AF19" t="n">
        <v>24.103531</v>
      </c>
      <c r="AG19" s="16" t="n">
        <v>0.014</v>
      </c>
    </row>
    <row r="20">
      <c r="A20" t="inlineStr">
        <is>
          <t>Natural Gas Heat Pumps</t>
        </is>
      </c>
      <c r="B20" t="inlineStr">
        <is>
          <t>Residential Equipment: Equipment Stock: Space Cooling: Natural Gas Heat Pumps: High Zero-Carbon Technology Cost</t>
        </is>
      </c>
      <c r="C20" t="inlineStr">
        <is>
          <t>AEO.2025.HIGHZTC.EQNR_STK_RESD_SPC_NHU_NA_NA_MILL.A</t>
        </is>
      </c>
      <c r="D20" t="inlineStr">
        <is>
          <t>millions</t>
        </is>
      </c>
      <c r="F20" t="n">
        <v>1.335856</v>
      </c>
      <c r="G20" t="n">
        <v>1.335485</v>
      </c>
      <c r="H20" t="n">
        <v>1.335121</v>
      </c>
      <c r="I20" t="n">
        <v>1.334763</v>
      </c>
      <c r="J20" t="n">
        <v>1.334412</v>
      </c>
      <c r="K20" t="n">
        <v>1.334066</v>
      </c>
      <c r="L20" t="n">
        <v>1.333727</v>
      </c>
      <c r="M20" t="n">
        <v>1.333394</v>
      </c>
      <c r="N20" t="n">
        <v>1.333067</v>
      </c>
      <c r="O20" t="n">
        <v>1.332746</v>
      </c>
      <c r="P20" t="n">
        <v>1.33243</v>
      </c>
      <c r="Q20" t="n">
        <v>1.33212</v>
      </c>
      <c r="R20" t="n">
        <v>1.331816</v>
      </c>
      <c r="S20" t="n">
        <v>1.331517</v>
      </c>
      <c r="T20" t="n">
        <v>1.331223</v>
      </c>
      <c r="U20" t="n">
        <v>1.330934</v>
      </c>
      <c r="V20" t="n">
        <v>1.330651</v>
      </c>
      <c r="W20" t="n">
        <v>1.330372</v>
      </c>
      <c r="X20" t="n">
        <v>1.330099</v>
      </c>
      <c r="Y20" t="n">
        <v>1.329831</v>
      </c>
      <c r="Z20" t="n">
        <v>1.329567</v>
      </c>
      <c r="AA20" t="n">
        <v>1.329308</v>
      </c>
      <c r="AB20" t="n">
        <v>1.329053</v>
      </c>
      <c r="AC20" t="n">
        <v>1.328803</v>
      </c>
      <c r="AD20" t="n">
        <v>1.328558</v>
      </c>
      <c r="AE20" t="n">
        <v>1.328316</v>
      </c>
      <c r="AF20" t="n">
        <v>1.32808</v>
      </c>
      <c r="AG20" s="16" t="n">
        <v>0</v>
      </c>
    </row>
    <row r="21">
      <c r="A21" t="inlineStr">
        <is>
          <t>Geothermal Heat Pumps</t>
        </is>
      </c>
      <c r="B21" t="inlineStr">
        <is>
          <t>Residential Equipment: Equipment Stock: Space Cooling: Geothermal Heat Pumps: High Zero-Carbon Technology Cost</t>
        </is>
      </c>
      <c r="C21" t="inlineStr">
        <is>
          <t>AEO.2025.HIGHZTC.EQNR_STK_RESD_SPC_GEHP_NA_NA_MILL.A</t>
        </is>
      </c>
      <c r="D21" t="inlineStr">
        <is>
          <t>millions</t>
        </is>
      </c>
      <c r="F21" t="n">
        <v>1.360675</v>
      </c>
      <c r="G21" t="n">
        <v>1.40818</v>
      </c>
      <c r="H21" t="n">
        <v>1.455491</v>
      </c>
      <c r="I21" t="n">
        <v>1.50272</v>
      </c>
      <c r="J21" t="n">
        <v>1.549134</v>
      </c>
      <c r="K21" t="n">
        <v>1.595817</v>
      </c>
      <c r="L21" t="n">
        <v>1.642326</v>
      </c>
      <c r="M21" t="n">
        <v>1.688836</v>
      </c>
      <c r="N21" t="n">
        <v>1.73555</v>
      </c>
      <c r="O21" t="n">
        <v>1.781671</v>
      </c>
      <c r="P21" t="n">
        <v>1.826768</v>
      </c>
      <c r="Q21" t="n">
        <v>1.871948</v>
      </c>
      <c r="R21" t="n">
        <v>1.916753</v>
      </c>
      <c r="S21" t="n">
        <v>1.960756</v>
      </c>
      <c r="T21" t="n">
        <v>2.00379</v>
      </c>
      <c r="U21" t="n">
        <v>2.045475</v>
      </c>
      <c r="V21" t="n">
        <v>2.086105</v>
      </c>
      <c r="W21" t="n">
        <v>2.125626</v>
      </c>
      <c r="X21" t="n">
        <v>2.164013</v>
      </c>
      <c r="Y21" t="n">
        <v>2.200764</v>
      </c>
      <c r="Z21" t="n">
        <v>2.236356</v>
      </c>
      <c r="AA21" t="n">
        <v>2.271667</v>
      </c>
      <c r="AB21" t="n">
        <v>2.306613</v>
      </c>
      <c r="AC21" t="n">
        <v>2.341179</v>
      </c>
      <c r="AD21" t="n">
        <v>2.37536</v>
      </c>
      <c r="AE21" t="n">
        <v>2.409185</v>
      </c>
      <c r="AF21" t="n">
        <v>2.442581</v>
      </c>
      <c r="AG21" s="16" t="n">
        <v>0.023</v>
      </c>
    </row>
    <row r="22">
      <c r="A22" t="inlineStr">
        <is>
          <t>Central Air Conditioners</t>
        </is>
      </c>
      <c r="B22" t="inlineStr">
        <is>
          <t>Residential Equipment: Equipment Stock: Space Cooling: Central Air Conditioners: High Zero-Carbon Technology Cost</t>
        </is>
      </c>
      <c r="C22" t="inlineStr">
        <is>
          <t>AEO.2025.HIGHZTC.EQNR_STK_RESD_SPC_CAC_NA_NA_MILL.A</t>
        </is>
      </c>
      <c r="D22" t="inlineStr">
        <is>
          <t>millions</t>
        </is>
      </c>
      <c r="F22" t="n">
        <v>79.649452</v>
      </c>
      <c r="G22" t="n">
        <v>80.900047</v>
      </c>
      <c r="H22" t="n">
        <v>82.197365</v>
      </c>
      <c r="I22" t="n">
        <v>83.50415</v>
      </c>
      <c r="J22" t="n">
        <v>84.811256</v>
      </c>
      <c r="K22" t="n">
        <v>86.13565800000001</v>
      </c>
      <c r="L22" t="n">
        <v>87.457458</v>
      </c>
      <c r="M22" t="n">
        <v>88.77900700000001</v>
      </c>
      <c r="N22" t="n">
        <v>90.091568</v>
      </c>
      <c r="O22" t="n">
        <v>91.374115</v>
      </c>
      <c r="P22" t="n">
        <v>92.61919399999999</v>
      </c>
      <c r="Q22" t="n">
        <v>93.85129499999999</v>
      </c>
      <c r="R22" t="n">
        <v>95.065895</v>
      </c>
      <c r="S22" t="n">
        <v>96.24818399999999</v>
      </c>
      <c r="T22" t="n">
        <v>97.400749</v>
      </c>
      <c r="U22" t="n">
        <v>98.520065</v>
      </c>
      <c r="V22" t="n">
        <v>99.614029</v>
      </c>
      <c r="W22" t="n">
        <v>100.677948</v>
      </c>
      <c r="X22" t="n">
        <v>101.719604</v>
      </c>
      <c r="Y22" t="n">
        <v>102.736504</v>
      </c>
      <c r="Z22" t="n">
        <v>103.740959</v>
      </c>
      <c r="AA22" t="n">
        <v>104.74514</v>
      </c>
      <c r="AB22" t="n">
        <v>105.747086</v>
      </c>
      <c r="AC22" t="n">
        <v>106.748116</v>
      </c>
      <c r="AD22" t="n">
        <v>107.748085</v>
      </c>
      <c r="AE22" t="n">
        <v>108.747696</v>
      </c>
      <c r="AF22" t="n">
        <v>109.744965</v>
      </c>
      <c r="AG22" s="16" t="n">
        <v>0.012</v>
      </c>
    </row>
    <row r="23">
      <c r="A23" t="inlineStr">
        <is>
          <t>Room Air Conditioners</t>
        </is>
      </c>
      <c r="B23" t="inlineStr">
        <is>
          <t>Residential Equipment: Equipment Stock: Space Cooling: Room Air Conditioners: High Zero-Carbon Technology Cost</t>
        </is>
      </c>
      <c r="C23" t="inlineStr">
        <is>
          <t>AEO.2025.HIGHZTC.EQNR_STK_RESD_SPC_RAC_NA_NA_MILL.A</t>
        </is>
      </c>
      <c r="D23" t="inlineStr">
        <is>
          <t>millions</t>
        </is>
      </c>
      <c r="F23" t="n">
        <v>43.140507</v>
      </c>
      <c r="G23" t="n">
        <v>43.232368</v>
      </c>
      <c r="H23" t="n">
        <v>43.345276</v>
      </c>
      <c r="I23" t="n">
        <v>43.46328</v>
      </c>
      <c r="J23" t="n">
        <v>43.586712</v>
      </c>
      <c r="K23" t="n">
        <v>43.719509</v>
      </c>
      <c r="L23" t="n">
        <v>43.854378</v>
      </c>
      <c r="M23" t="n">
        <v>43.990795</v>
      </c>
      <c r="N23" t="n">
        <v>44.124844</v>
      </c>
      <c r="O23" t="n">
        <v>44.250751</v>
      </c>
      <c r="P23" t="n">
        <v>44.367279</v>
      </c>
      <c r="Q23" t="n">
        <v>44.480221</v>
      </c>
      <c r="R23" t="n">
        <v>44.589432</v>
      </c>
      <c r="S23" t="n">
        <v>44.690407</v>
      </c>
      <c r="T23" t="n">
        <v>44.784588</v>
      </c>
      <c r="U23" t="n">
        <v>44.872437</v>
      </c>
      <c r="V23" t="n">
        <v>44.956017</v>
      </c>
      <c r="W23" t="n">
        <v>45.033756</v>
      </c>
      <c r="X23" t="n">
        <v>45.107018</v>
      </c>
      <c r="Y23" t="n">
        <v>45.177341</v>
      </c>
      <c r="Z23" t="n">
        <v>45.247604</v>
      </c>
      <c r="AA23" t="n">
        <v>45.318493</v>
      </c>
      <c r="AB23" t="n">
        <v>45.389637</v>
      </c>
      <c r="AC23" t="n">
        <v>45.461102</v>
      </c>
      <c r="AD23" t="n">
        <v>45.53299</v>
      </c>
      <c r="AE23" t="n">
        <v>45.605553</v>
      </c>
      <c r="AF23" t="n">
        <v>45.678272</v>
      </c>
      <c r="AG23" s="16" t="n">
        <v>0.002</v>
      </c>
    </row>
    <row r="24">
      <c r="A24" t="inlineStr">
        <is>
          <t>Total</t>
        </is>
      </c>
      <c r="B24" t="inlineStr">
        <is>
          <t>Residential Equipment: Equipment Stock: Space Cooling: Total: High Zero-Carbon Technology Cost</t>
        </is>
      </c>
      <c r="C24" t="inlineStr">
        <is>
          <t>AEO.2025.HIGHZTC.EQNR_STK_RESD_SPC_TOT_NA_NA_MILL.A</t>
        </is>
      </c>
      <c r="D24" t="inlineStr">
        <is>
          <t>millions</t>
        </is>
      </c>
      <c r="F24" t="n">
        <v>142.132019</v>
      </c>
      <c r="G24" t="n">
        <v>143.838318</v>
      </c>
      <c r="H24" t="n">
        <v>145.63118</v>
      </c>
      <c r="I24" t="n">
        <v>147.442261</v>
      </c>
      <c r="J24" t="n">
        <v>149.257477</v>
      </c>
      <c r="K24" t="n">
        <v>151.108246</v>
      </c>
      <c r="L24" t="n">
        <v>152.959015</v>
      </c>
      <c r="M24" t="n">
        <v>154.812332</v>
      </c>
      <c r="N24" t="n">
        <v>156.651993</v>
      </c>
      <c r="O24" t="n">
        <v>158.441132</v>
      </c>
      <c r="P24" t="n">
        <v>160.168015</v>
      </c>
      <c r="Q24" t="n">
        <v>161.873932</v>
      </c>
      <c r="R24" t="n">
        <v>163.552017</v>
      </c>
      <c r="S24" t="n">
        <v>165.176788</v>
      </c>
      <c r="T24" t="n">
        <v>166.752518</v>
      </c>
      <c r="U24" t="n">
        <v>168.275543</v>
      </c>
      <c r="V24" t="n">
        <v>169.758835</v>
      </c>
      <c r="W24" t="n">
        <v>171.193878</v>
      </c>
      <c r="X24" t="n">
        <v>172.592102</v>
      </c>
      <c r="Y24" t="n">
        <v>173.951187</v>
      </c>
      <c r="Z24" t="n">
        <v>175.291534</v>
      </c>
      <c r="AA24" t="n">
        <v>176.631134</v>
      </c>
      <c r="AB24" t="n">
        <v>177.967194</v>
      </c>
      <c r="AC24" t="n">
        <v>179.30188</v>
      </c>
      <c r="AD24" t="n">
        <v>180.635101</v>
      </c>
      <c r="AE24" t="n">
        <v>181.968079</v>
      </c>
      <c r="AF24" t="n">
        <v>183.297424</v>
      </c>
      <c r="AG24" s="16" t="n">
        <v>0.01</v>
      </c>
    </row>
    <row r="25">
      <c r="A25" t="inlineStr">
        <is>
          <t>Water Heaters (million units)</t>
        </is>
      </c>
    </row>
    <row r="26">
      <c r="A26" t="inlineStr">
        <is>
          <t>Electric</t>
        </is>
      </c>
      <c r="B26" t="inlineStr">
        <is>
          <t>Residential Equipment: Equipment Stock: Water Heaters: Electric: High Zero-Carbon Technology Cost</t>
        </is>
      </c>
      <c r="C26" t="inlineStr">
        <is>
          <t>AEO.2025.HIGHZTC.EQNR_STK_RESD_WHT_ELE_NA_NA_MILL.A</t>
        </is>
      </c>
      <c r="D26" t="inlineStr">
        <is>
          <t>millions</t>
        </is>
      </c>
      <c r="F26" t="n">
        <v>62.064091</v>
      </c>
      <c r="G26" t="n">
        <v>62.296463</v>
      </c>
      <c r="H26" t="n">
        <v>62.600315</v>
      </c>
      <c r="I26" t="n">
        <v>62.92688</v>
      </c>
      <c r="J26" t="n">
        <v>63.228168</v>
      </c>
      <c r="K26" t="n">
        <v>64.05384100000001</v>
      </c>
      <c r="L26" t="n">
        <v>64.82920799999999</v>
      </c>
      <c r="M26" t="n">
        <v>65.56751300000001</v>
      </c>
      <c r="N26" t="n">
        <v>66.28067799999999</v>
      </c>
      <c r="O26" t="n">
        <v>66.984314</v>
      </c>
      <c r="P26" t="n">
        <v>67.653503</v>
      </c>
      <c r="Q26" t="n">
        <v>68.314453</v>
      </c>
      <c r="R26" t="n">
        <v>68.97834</v>
      </c>
      <c r="S26" t="n">
        <v>69.63202699999999</v>
      </c>
      <c r="T26" t="n">
        <v>70.27394099999999</v>
      </c>
      <c r="U26" t="n">
        <v>70.902107</v>
      </c>
      <c r="V26" t="n">
        <v>71.522514</v>
      </c>
      <c r="W26" t="n">
        <v>72.129929</v>
      </c>
      <c r="X26" t="n">
        <v>72.728317</v>
      </c>
      <c r="Y26" t="n">
        <v>73.317879</v>
      </c>
      <c r="Z26" t="n">
        <v>73.899185</v>
      </c>
      <c r="AA26" t="n">
        <v>74.478477</v>
      </c>
      <c r="AB26" t="n">
        <v>75.054726</v>
      </c>
      <c r="AC26" t="n">
        <v>75.626358</v>
      </c>
      <c r="AD26" t="n">
        <v>76.193161</v>
      </c>
      <c r="AE26" t="n">
        <v>76.757141</v>
      </c>
      <c r="AF26" t="n">
        <v>77.316254</v>
      </c>
      <c r="AG26" s="16" t="n">
        <v>0.008</v>
      </c>
    </row>
    <row r="27">
      <c r="A27" t="inlineStr">
        <is>
          <t>Natural Gas</t>
        </is>
      </c>
      <c r="B27" t="inlineStr">
        <is>
          <t>Residential Equipment: Equipment Stock: Water Heaters: Natural Gas: High Zero-Carbon Technology Cost</t>
        </is>
      </c>
      <c r="C27" t="inlineStr">
        <is>
          <t>AEO.2025.HIGHZTC.EQNR_STK_RESD_WHT_NG_NA_NA_MILL.A</t>
        </is>
      </c>
      <c r="D27" t="inlineStr">
        <is>
          <t>millions</t>
        </is>
      </c>
      <c r="F27" t="n">
        <v>64.896248</v>
      </c>
      <c r="G27" t="n">
        <v>65.89696499999999</v>
      </c>
      <c r="H27" t="n">
        <v>66.916298</v>
      </c>
      <c r="I27" t="n">
        <v>67.939789</v>
      </c>
      <c r="J27" t="n">
        <v>68.981888</v>
      </c>
      <c r="K27" t="n">
        <v>69.71871899999999</v>
      </c>
      <c r="L27" t="n">
        <v>70.479591</v>
      </c>
      <c r="M27" t="n">
        <v>71.256226</v>
      </c>
      <c r="N27" t="n">
        <v>72.025871</v>
      </c>
      <c r="O27" t="n">
        <v>72.786705</v>
      </c>
      <c r="P27" t="n">
        <v>73.528267</v>
      </c>
      <c r="Q27" t="n">
        <v>74.274551</v>
      </c>
      <c r="R27" t="n">
        <v>74.990112</v>
      </c>
      <c r="S27" t="n">
        <v>75.663231</v>
      </c>
      <c r="T27" t="n">
        <v>76.299583</v>
      </c>
      <c r="U27" t="n">
        <v>76.895554</v>
      </c>
      <c r="V27" t="n">
        <v>77.45697</v>
      </c>
      <c r="W27" t="n">
        <v>77.980125</v>
      </c>
      <c r="X27" t="n">
        <v>78.47403</v>
      </c>
      <c r="Y27" t="n">
        <v>78.935936</v>
      </c>
      <c r="Z27" t="n">
        <v>79.38597900000001</v>
      </c>
      <c r="AA27" t="n">
        <v>79.836296</v>
      </c>
      <c r="AB27" t="n">
        <v>80.28476000000001</v>
      </c>
      <c r="AC27" t="n">
        <v>80.734146</v>
      </c>
      <c r="AD27" t="n">
        <v>81.184738</v>
      </c>
      <c r="AE27" t="n">
        <v>81.635727</v>
      </c>
      <c r="AF27" t="n">
        <v>82.086113</v>
      </c>
      <c r="AG27" s="16" t="n">
        <v>0.008999999999999999</v>
      </c>
    </row>
    <row r="28">
      <c r="A28" t="inlineStr">
        <is>
          <t>Distillate Fuel Oil</t>
        </is>
      </c>
      <c r="B28" t="inlineStr">
        <is>
          <t>Residential Equipment: Equipment Stock: Water Heaters: Distillate Fuel Oil: High Zero-Carbon Technology Cost</t>
        </is>
      </c>
      <c r="C28" t="inlineStr">
        <is>
          <t>AEO.2025.HIGHZTC.EQNR_STK_RESD_WHT_DFO_NA_NA_MILL.A</t>
        </is>
      </c>
      <c r="D28" t="inlineStr">
        <is>
          <t>millions</t>
        </is>
      </c>
      <c r="F28" t="n">
        <v>2.328812</v>
      </c>
      <c r="G28" t="n">
        <v>2.229761</v>
      </c>
      <c r="H28" t="n">
        <v>2.137233</v>
      </c>
      <c r="I28" t="n">
        <v>2.050461</v>
      </c>
      <c r="J28" t="n">
        <v>1.970477</v>
      </c>
      <c r="K28" t="n">
        <v>1.896038</v>
      </c>
      <c r="L28" t="n">
        <v>1.830604</v>
      </c>
      <c r="M28" t="n">
        <v>1.773455</v>
      </c>
      <c r="N28" t="n">
        <v>1.724959</v>
      </c>
      <c r="O28" t="n">
        <v>1.685178</v>
      </c>
      <c r="P28" t="n">
        <v>1.65441</v>
      </c>
      <c r="Q28" t="n">
        <v>1.632862</v>
      </c>
      <c r="R28" t="n">
        <v>1.610081</v>
      </c>
      <c r="S28" t="n">
        <v>1.586346</v>
      </c>
      <c r="T28" t="n">
        <v>1.561976</v>
      </c>
      <c r="U28" t="n">
        <v>1.537204</v>
      </c>
      <c r="V28" t="n">
        <v>1.512282</v>
      </c>
      <c r="W28" t="n">
        <v>1.487386</v>
      </c>
      <c r="X28" t="n">
        <v>1.462679</v>
      </c>
      <c r="Y28" t="n">
        <v>1.438287</v>
      </c>
      <c r="Z28" t="n">
        <v>1.414327</v>
      </c>
      <c r="AA28" t="n">
        <v>1.390946</v>
      </c>
      <c r="AB28" t="n">
        <v>1.368182</v>
      </c>
      <c r="AC28" t="n">
        <v>1.346109</v>
      </c>
      <c r="AD28" t="n">
        <v>1.32476</v>
      </c>
      <c r="AE28" t="n">
        <v>1.304158</v>
      </c>
      <c r="AF28" t="n">
        <v>1.284297</v>
      </c>
      <c r="AG28" s="16" t="n">
        <v>-0.023</v>
      </c>
    </row>
    <row r="29">
      <c r="A29" t="inlineStr">
        <is>
          <t>Propane</t>
        </is>
      </c>
      <c r="B29" t="inlineStr">
        <is>
          <t>Residential Equipment: Equipment Stock: Water Heaters: Propane: High Zero-Carbon Technology Cost</t>
        </is>
      </c>
      <c r="C29" t="inlineStr">
        <is>
          <t>AEO.2025.HIGHZTC.EQNR_STK_RESD_WHT_PROP_NA_NA_MILL.A</t>
        </is>
      </c>
      <c r="D29" t="inlineStr">
        <is>
          <t>millions</t>
        </is>
      </c>
      <c r="F29" t="n">
        <v>3.994673</v>
      </c>
      <c r="G29" t="n">
        <v>3.890314</v>
      </c>
      <c r="H29" t="n">
        <v>3.796247</v>
      </c>
      <c r="I29" t="n">
        <v>3.708011</v>
      </c>
      <c r="J29" t="n">
        <v>3.626368</v>
      </c>
      <c r="K29" t="n">
        <v>3.531686</v>
      </c>
      <c r="L29" t="n">
        <v>3.447552</v>
      </c>
      <c r="M29" t="n">
        <v>3.374222</v>
      </c>
      <c r="N29" t="n">
        <v>3.31144</v>
      </c>
      <c r="O29" t="n">
        <v>3.259597</v>
      </c>
      <c r="P29" t="n">
        <v>3.218467</v>
      </c>
      <c r="Q29" t="n">
        <v>3.18944</v>
      </c>
      <c r="R29" t="n">
        <v>3.157171</v>
      </c>
      <c r="S29" t="n">
        <v>3.122084</v>
      </c>
      <c r="T29" t="n">
        <v>3.084893</v>
      </c>
      <c r="U29" t="n">
        <v>3.04617</v>
      </c>
      <c r="V29" t="n">
        <v>3.007124</v>
      </c>
      <c r="W29" t="n">
        <v>2.967928</v>
      </c>
      <c r="X29" t="n">
        <v>2.928841</v>
      </c>
      <c r="Y29" t="n">
        <v>2.889926</v>
      </c>
      <c r="Z29" t="n">
        <v>2.851814</v>
      </c>
      <c r="AA29" t="n">
        <v>2.814927</v>
      </c>
      <c r="AB29" t="n">
        <v>2.779243</v>
      </c>
      <c r="AC29" t="n">
        <v>2.745224</v>
      </c>
      <c r="AD29" t="n">
        <v>2.712765</v>
      </c>
      <c r="AE29" t="n">
        <v>2.681901</v>
      </c>
      <c r="AF29" t="n">
        <v>2.652292</v>
      </c>
      <c r="AG29" s="16" t="n">
        <v>-0.016</v>
      </c>
    </row>
    <row r="30">
      <c r="A30" t="inlineStr">
        <is>
          <t>Solar Thermal</t>
        </is>
      </c>
      <c r="B30" t="inlineStr">
        <is>
          <t>Residential Equipment: Equipment Stock: Water Heaters: Solar Thermal: High Zero-Carbon Technology Cost</t>
        </is>
      </c>
      <c r="C30" t="inlineStr">
        <is>
          <t>AEO.2025.HIGHZTC.EQNR_STK_RESD_WHT_SLR_THERM_NA_MILL.A</t>
        </is>
      </c>
      <c r="D30" t="inlineStr">
        <is>
          <t>millions</t>
        </is>
      </c>
      <c r="F30" t="n">
        <v>1.564945</v>
      </c>
      <c r="G30" t="n">
        <v>1.899681</v>
      </c>
      <c r="H30" t="n">
        <v>2.211646</v>
      </c>
      <c r="I30" t="n">
        <v>2.501981</v>
      </c>
      <c r="J30" t="n">
        <v>2.791456</v>
      </c>
      <c r="K30" t="n">
        <v>2.906761</v>
      </c>
      <c r="L30" t="n">
        <v>3.028901</v>
      </c>
      <c r="M30" t="n">
        <v>3.155326</v>
      </c>
      <c r="N30" t="n">
        <v>3.279312</v>
      </c>
      <c r="O30" t="n">
        <v>3.349281</v>
      </c>
      <c r="P30" t="n">
        <v>3.38851</v>
      </c>
      <c r="Q30" t="n">
        <v>3.387712</v>
      </c>
      <c r="R30" t="n">
        <v>3.389602</v>
      </c>
      <c r="S30" t="n">
        <v>3.391462</v>
      </c>
      <c r="T30" t="n">
        <v>3.393306</v>
      </c>
      <c r="U30" t="n">
        <v>3.395105</v>
      </c>
      <c r="V30" t="n">
        <v>3.396857</v>
      </c>
      <c r="W30" t="n">
        <v>3.398571</v>
      </c>
      <c r="X30" t="n">
        <v>3.400233</v>
      </c>
      <c r="Y30" t="n">
        <v>3.401839</v>
      </c>
      <c r="Z30" t="n">
        <v>3.403495</v>
      </c>
      <c r="AA30" t="n">
        <v>3.405192</v>
      </c>
      <c r="AB30" t="n">
        <v>3.40693</v>
      </c>
      <c r="AC30" t="n">
        <v>3.408704</v>
      </c>
      <c r="AD30" t="n">
        <v>3.410507</v>
      </c>
      <c r="AE30" t="n">
        <v>3.412341</v>
      </c>
      <c r="AF30" t="n">
        <v>3.414205</v>
      </c>
      <c r="AG30" s="16" t="n">
        <v>0.03</v>
      </c>
    </row>
    <row r="31">
      <c r="A31" t="inlineStr">
        <is>
          <t>Total</t>
        </is>
      </c>
      <c r="B31" t="inlineStr">
        <is>
          <t>Residential Equipment: Equipment Stock: Water Heaters: Total: High Zero-Carbon Technology Cost</t>
        </is>
      </c>
      <c r="C31" t="inlineStr">
        <is>
          <t>AEO.2025.HIGHZTC.EQNR_STK_RESD_WHT_TOT_NA_NA_MILL.A</t>
        </is>
      </c>
      <c r="D31" t="inlineStr">
        <is>
          <t>millions</t>
        </is>
      </c>
      <c r="F31" t="n">
        <v>134.84877</v>
      </c>
      <c r="G31" t="n">
        <v>136.213181</v>
      </c>
      <c r="H31" t="n">
        <v>137.661743</v>
      </c>
      <c r="I31" t="n">
        <v>139.127121</v>
      </c>
      <c r="J31" t="n">
        <v>140.598358</v>
      </c>
      <c r="K31" t="n">
        <v>142.107056</v>
      </c>
      <c r="L31" t="n">
        <v>143.61586</v>
      </c>
      <c r="M31" t="n">
        <v>145.126724</v>
      </c>
      <c r="N31" t="n">
        <v>146.622269</v>
      </c>
      <c r="O31" t="n">
        <v>148.065079</v>
      </c>
      <c r="P31" t="n">
        <v>149.44313</v>
      </c>
      <c r="Q31" t="n">
        <v>150.799011</v>
      </c>
      <c r="R31" t="n">
        <v>152.12529</v>
      </c>
      <c r="S31" t="n">
        <v>153.395157</v>
      </c>
      <c r="T31" t="n">
        <v>154.613708</v>
      </c>
      <c r="U31" t="n">
        <v>155.776154</v>
      </c>
      <c r="V31" t="n">
        <v>156.895752</v>
      </c>
      <c r="W31" t="n">
        <v>157.963928</v>
      </c>
      <c r="X31" t="n">
        <v>158.99411</v>
      </c>
      <c r="Y31" t="n">
        <v>159.983871</v>
      </c>
      <c r="Z31" t="n">
        <v>160.954773</v>
      </c>
      <c r="AA31" t="n">
        <v>161.925842</v>
      </c>
      <c r="AB31" t="n">
        <v>162.893845</v>
      </c>
      <c r="AC31" t="n">
        <v>163.86055</v>
      </c>
      <c r="AD31" t="n">
        <v>164.825928</v>
      </c>
      <c r="AE31" t="n">
        <v>165.79126</v>
      </c>
      <c r="AF31" t="n">
        <v>166.753174</v>
      </c>
      <c r="AG31" s="16" t="n">
        <v>0.008</v>
      </c>
    </row>
    <row r="32">
      <c r="A32" t="inlineStr">
        <is>
          <t>Cooking Equipment (million units)</t>
        </is>
      </c>
    </row>
    <row r="33">
      <c r="A33" t="inlineStr">
        <is>
          <t>Electric</t>
        </is>
      </c>
      <c r="B33" t="inlineStr">
        <is>
          <t>Residential Equipment: Equipment Stock: Cooking Equipment: Electric: High Zero-Carbon Technology Cost</t>
        </is>
      </c>
      <c r="C33" t="inlineStr">
        <is>
          <t>AEO.2025.HIGHZTC.EQNR_STK_RESD_CER_ELE_NA_NA_MILL.A</t>
        </is>
      </c>
      <c r="D33" t="inlineStr">
        <is>
          <t>millions</t>
        </is>
      </c>
      <c r="F33" t="n">
        <v>100.278122</v>
      </c>
      <c r="G33" t="n">
        <v>101.102592</v>
      </c>
      <c r="H33" t="n">
        <v>101.98053</v>
      </c>
      <c r="I33" t="n">
        <v>102.863205</v>
      </c>
      <c r="J33" t="n">
        <v>103.745369</v>
      </c>
      <c r="K33" t="n">
        <v>104.650444</v>
      </c>
      <c r="L33" t="n">
        <v>105.550758</v>
      </c>
      <c r="M33" t="n">
        <v>106.44516</v>
      </c>
      <c r="N33" t="n">
        <v>107.318939</v>
      </c>
      <c r="O33" t="n">
        <v>108.143402</v>
      </c>
      <c r="P33" t="n">
        <v>108.88472</v>
      </c>
      <c r="Q33" t="n">
        <v>109.571144</v>
      </c>
      <c r="R33" t="n">
        <v>110.186699</v>
      </c>
      <c r="S33" t="n">
        <v>110.704346</v>
      </c>
      <c r="T33" t="n">
        <v>111.208107</v>
      </c>
      <c r="U33" t="n">
        <v>111.718651</v>
      </c>
      <c r="V33" t="n">
        <v>112.249855</v>
      </c>
      <c r="W33" t="n">
        <v>112.808708</v>
      </c>
      <c r="X33" t="n">
        <v>113.413826</v>
      </c>
      <c r="Y33" t="n">
        <v>113.983414</v>
      </c>
      <c r="Z33" t="n">
        <v>114.533653</v>
      </c>
      <c r="AA33" t="n">
        <v>115.076546</v>
      </c>
      <c r="AB33" t="n">
        <v>115.608826</v>
      </c>
      <c r="AC33" t="n">
        <v>116.130173</v>
      </c>
      <c r="AD33" t="n">
        <v>116.639099</v>
      </c>
      <c r="AE33" t="n">
        <v>117.134621</v>
      </c>
      <c r="AF33" t="n">
        <v>117.611855</v>
      </c>
      <c r="AG33" s="16" t="n">
        <v>0.006</v>
      </c>
    </row>
    <row r="34">
      <c r="A34" t="inlineStr">
        <is>
          <t>Natural Gas</t>
        </is>
      </c>
      <c r="B34" t="inlineStr">
        <is>
          <t>Residential Equipment: Equipment Stock: Cooking Equipment: Natural Gas: High Zero-Carbon Technology Cost</t>
        </is>
      </c>
      <c r="C34" t="inlineStr">
        <is>
          <t>AEO.2025.HIGHZTC.EQNR_STK_RESD_CER_NG_NA_NA_MILL.A</t>
        </is>
      </c>
      <c r="D34" t="inlineStr">
        <is>
          <t>millions</t>
        </is>
      </c>
      <c r="F34" t="n">
        <v>53.97237</v>
      </c>
      <c r="G34" t="n">
        <v>54.503727</v>
      </c>
      <c r="H34" t="n">
        <v>55.061764</v>
      </c>
      <c r="I34" t="n">
        <v>55.632816</v>
      </c>
      <c r="J34" t="n">
        <v>56.213551</v>
      </c>
      <c r="K34" t="n">
        <v>56.80965</v>
      </c>
      <c r="L34" t="n">
        <v>57.412582</v>
      </c>
      <c r="M34" t="n">
        <v>58.02486</v>
      </c>
      <c r="N34" t="n">
        <v>58.644409</v>
      </c>
      <c r="O34" t="n">
        <v>59.262939</v>
      </c>
      <c r="P34" t="n">
        <v>59.903133</v>
      </c>
      <c r="Q34" t="n">
        <v>60.579704</v>
      </c>
      <c r="R34" t="n">
        <v>61.301079</v>
      </c>
      <c r="S34" t="n">
        <v>62.067856</v>
      </c>
      <c r="T34" t="n">
        <v>62.795506</v>
      </c>
      <c r="U34" t="n">
        <v>63.458031</v>
      </c>
      <c r="V34" t="n">
        <v>64.053505</v>
      </c>
      <c r="W34" t="n">
        <v>64.565849</v>
      </c>
      <c r="X34" t="n">
        <v>64.98962400000001</v>
      </c>
      <c r="Y34" t="n">
        <v>65.41042299999999</v>
      </c>
      <c r="Z34" t="n">
        <v>65.83329000000001</v>
      </c>
      <c r="AA34" t="n">
        <v>66.264915</v>
      </c>
      <c r="AB34" t="n">
        <v>66.70581799999999</v>
      </c>
      <c r="AC34" t="n">
        <v>67.157867</v>
      </c>
      <c r="AD34" t="n">
        <v>67.622643</v>
      </c>
      <c r="AE34" t="n">
        <v>68.102386</v>
      </c>
      <c r="AF34" t="n">
        <v>68.598465</v>
      </c>
      <c r="AG34" s="16" t="n">
        <v>0.008999999999999999</v>
      </c>
    </row>
    <row r="35">
      <c r="A35" t="inlineStr">
        <is>
          <t>Propane</t>
        </is>
      </c>
      <c r="B35" t="inlineStr">
        <is>
          <t>Residential Equipment: Equipment Stock: Cooking Equipment: Propane: High Zero-Carbon Technology Cost</t>
        </is>
      </c>
      <c r="C35" t="inlineStr">
        <is>
          <t>AEO.2025.HIGHZTC.EQNR_STK_RESD_CER_PROP_NA_NA_MILL.A</t>
        </is>
      </c>
      <c r="D35" t="inlineStr">
        <is>
          <t>millions</t>
        </is>
      </c>
      <c r="F35" t="n">
        <v>6.249792</v>
      </c>
      <c r="G35" t="n">
        <v>6.24914</v>
      </c>
      <c r="H35" t="n">
        <v>6.252706</v>
      </c>
      <c r="I35" t="n">
        <v>6.255498</v>
      </c>
      <c r="J35" t="n">
        <v>6.255161</v>
      </c>
      <c r="K35" t="n">
        <v>6.254043</v>
      </c>
      <c r="L35" t="n">
        <v>6.251281</v>
      </c>
      <c r="M35" t="n">
        <v>6.247181</v>
      </c>
      <c r="N35" t="n">
        <v>6.241242</v>
      </c>
      <c r="O35" t="n">
        <v>6.233177</v>
      </c>
      <c r="P35" t="n">
        <v>6.221874</v>
      </c>
      <c r="Q35" t="n">
        <v>6.207108</v>
      </c>
      <c r="R35" t="n">
        <v>6.1889</v>
      </c>
      <c r="S35" t="n">
        <v>6.166887</v>
      </c>
      <c r="T35" t="n">
        <v>6.14676</v>
      </c>
      <c r="U35" t="n">
        <v>6.128918</v>
      </c>
      <c r="V35" t="n">
        <v>6.114851</v>
      </c>
      <c r="W35" t="n">
        <v>6.104977</v>
      </c>
      <c r="X35" t="n">
        <v>6.099405</v>
      </c>
      <c r="Y35" t="n">
        <v>6.092152</v>
      </c>
      <c r="Z35" t="n">
        <v>6.083468</v>
      </c>
      <c r="AA35" t="n">
        <v>6.07354</v>
      </c>
      <c r="AB35" t="n">
        <v>6.062016</v>
      </c>
      <c r="AC35" t="n">
        <v>6.049131</v>
      </c>
      <c r="AD35" t="n">
        <v>6.034698</v>
      </c>
      <c r="AE35" t="n">
        <v>6.018864</v>
      </c>
      <c r="AF35" t="n">
        <v>6.001561</v>
      </c>
      <c r="AG35" s="16" t="n">
        <v>-0.002</v>
      </c>
    </row>
    <row r="36">
      <c r="A36" t="inlineStr">
        <is>
          <t>Total</t>
        </is>
      </c>
      <c r="B36" t="inlineStr">
        <is>
          <t>Residential Equipment: Equipment Stock: Cooking Equipment: Total: High Zero-Carbon Technology Cost</t>
        </is>
      </c>
      <c r="C36" t="inlineStr">
        <is>
          <t>AEO.2025.HIGHZTC.EQNR_STK_RESD_CER_TOT_NA_NA_MILL.A</t>
        </is>
      </c>
      <c r="D36" t="inlineStr">
        <is>
          <t>millions</t>
        </is>
      </c>
      <c r="F36" t="n">
        <v>160.500275</v>
      </c>
      <c r="G36" t="n">
        <v>161.855469</v>
      </c>
      <c r="H36" t="n">
        <v>163.294998</v>
      </c>
      <c r="I36" t="n">
        <v>164.751511</v>
      </c>
      <c r="J36" t="n">
        <v>166.214081</v>
      </c>
      <c r="K36" t="n">
        <v>167.714142</v>
      </c>
      <c r="L36" t="n">
        <v>169.21463</v>
      </c>
      <c r="M36" t="n">
        <v>170.717194</v>
      </c>
      <c r="N36" t="n">
        <v>172.20459</v>
      </c>
      <c r="O36" t="n">
        <v>173.639526</v>
      </c>
      <c r="P36" t="n">
        <v>175.009735</v>
      </c>
      <c r="Q36" t="n">
        <v>176.357956</v>
      </c>
      <c r="R36" t="n">
        <v>177.676682</v>
      </c>
      <c r="S36" t="n">
        <v>178.939087</v>
      </c>
      <c r="T36" t="n">
        <v>180.150375</v>
      </c>
      <c r="U36" t="n">
        <v>181.305603</v>
      </c>
      <c r="V36" t="n">
        <v>182.418213</v>
      </c>
      <c r="W36" t="n">
        <v>183.479538</v>
      </c>
      <c r="X36" t="n">
        <v>184.502853</v>
      </c>
      <c r="Y36" t="n">
        <v>185.485977</v>
      </c>
      <c r="Z36" t="n">
        <v>186.450409</v>
      </c>
      <c r="AA36" t="n">
        <v>187.415009</v>
      </c>
      <c r="AB36" t="n">
        <v>188.376648</v>
      </c>
      <c r="AC36" t="n">
        <v>189.337173</v>
      </c>
      <c r="AD36" t="n">
        <v>190.296448</v>
      </c>
      <c r="AE36" t="n">
        <v>191.255859</v>
      </c>
      <c r="AF36" t="n">
        <v>192.211884</v>
      </c>
      <c r="AG36" s="16" t="n">
        <v>0.007</v>
      </c>
    </row>
    <row r="37">
      <c r="A37" t="inlineStr">
        <is>
          <t>Clothes Dryers (million units)</t>
        </is>
      </c>
    </row>
    <row r="38">
      <c r="A38" t="inlineStr">
        <is>
          <t>Electric</t>
        </is>
      </c>
      <c r="B38" t="inlineStr">
        <is>
          <t>Residential Equipment: Equipment Stock: Clothes Dryers: Electric: High Zero-Carbon Technology Cost</t>
        </is>
      </c>
      <c r="C38" t="inlineStr">
        <is>
          <t>AEO.2025.HIGHZTC.EQNR_STK_RESD_CDR_ELE_NA_NA_MILL.A</t>
        </is>
      </c>
      <c r="D38" t="inlineStr">
        <is>
          <t>millions</t>
        </is>
      </c>
      <c r="F38" t="n">
        <v>92.221107</v>
      </c>
      <c r="G38" t="n">
        <v>94.908974</v>
      </c>
      <c r="H38" t="n">
        <v>97.661568</v>
      </c>
      <c r="I38" t="n">
        <v>100.444298</v>
      </c>
      <c r="J38" t="n">
        <v>103.246483</v>
      </c>
      <c r="K38" t="n">
        <v>106.05999</v>
      </c>
      <c r="L38" t="n">
        <v>108.873177</v>
      </c>
      <c r="M38" t="n">
        <v>111.662292</v>
      </c>
      <c r="N38" t="n">
        <v>114.413849</v>
      </c>
      <c r="O38" t="n">
        <v>117.123871</v>
      </c>
      <c r="P38" t="n">
        <v>119.780914</v>
      </c>
      <c r="Q38" t="n">
        <v>122.4272</v>
      </c>
      <c r="R38" t="n">
        <v>125.052719</v>
      </c>
      <c r="S38" t="n">
        <v>127.63446</v>
      </c>
      <c r="T38" t="n">
        <v>130.176163</v>
      </c>
      <c r="U38" t="n">
        <v>132.674759</v>
      </c>
      <c r="V38" t="n">
        <v>135.146042</v>
      </c>
      <c r="W38" t="n">
        <v>137.591965</v>
      </c>
      <c r="X38" t="n">
        <v>139.987106</v>
      </c>
      <c r="Y38" t="n">
        <v>142.330124</v>
      </c>
      <c r="Z38" t="n">
        <v>144.640945</v>
      </c>
      <c r="AA38" t="n">
        <v>146.940536</v>
      </c>
      <c r="AB38" t="n">
        <v>149.230362</v>
      </c>
      <c r="AC38" t="n">
        <v>151.510193</v>
      </c>
      <c r="AD38" t="n">
        <v>153.782257</v>
      </c>
      <c r="AE38" t="n">
        <v>156.049942</v>
      </c>
      <c r="AF38" t="n">
        <v>158.308914</v>
      </c>
      <c r="AG38" s="16" t="n">
        <v>0.021</v>
      </c>
    </row>
    <row r="39">
      <c r="A39" t="inlineStr">
        <is>
          <t>Natural Gas</t>
        </is>
      </c>
      <c r="B39" t="inlineStr">
        <is>
          <t>Residential Equipment: Equipment Stock: Clothes Dryers: Natural Gas: High Zero-Carbon Technology Cost</t>
        </is>
      </c>
      <c r="C39" t="inlineStr">
        <is>
          <t>AEO.2025.HIGHZTC.EQNR_STK_RESD_CDR_NG_NA_NA_MILL.A</t>
        </is>
      </c>
      <c r="D39" t="inlineStr">
        <is>
          <t>millions</t>
        </is>
      </c>
      <c r="F39" t="n">
        <v>20.353802</v>
      </c>
      <c r="G39" t="n">
        <v>20.727465</v>
      </c>
      <c r="H39" t="n">
        <v>21.108976</v>
      </c>
      <c r="I39" t="n">
        <v>21.498468</v>
      </c>
      <c r="J39" t="n">
        <v>21.905369</v>
      </c>
      <c r="K39" t="n">
        <v>22.331652</v>
      </c>
      <c r="L39" t="n">
        <v>22.776669</v>
      </c>
      <c r="M39" t="n">
        <v>23.24667</v>
      </c>
      <c r="N39" t="n">
        <v>23.740404</v>
      </c>
      <c r="O39" t="n">
        <v>24.225313</v>
      </c>
      <c r="P39" t="n">
        <v>24.699818</v>
      </c>
      <c r="Q39" t="n">
        <v>25.166246</v>
      </c>
      <c r="R39" t="n">
        <v>25.623446</v>
      </c>
      <c r="S39" t="n">
        <v>26.068548</v>
      </c>
      <c r="T39" t="n">
        <v>26.501984</v>
      </c>
      <c r="U39" t="n">
        <v>26.919897</v>
      </c>
      <c r="V39" t="n">
        <v>27.319826</v>
      </c>
      <c r="W39" t="n">
        <v>27.699757</v>
      </c>
      <c r="X39" t="n">
        <v>28.090372</v>
      </c>
      <c r="Y39" t="n">
        <v>28.489046</v>
      </c>
      <c r="Z39" t="n">
        <v>28.897078</v>
      </c>
      <c r="AA39" t="n">
        <v>29.31538</v>
      </c>
      <c r="AB39" t="n">
        <v>29.741957</v>
      </c>
      <c r="AC39" t="n">
        <v>30.175976</v>
      </c>
      <c r="AD39" t="n">
        <v>30.615866</v>
      </c>
      <c r="AE39" t="n">
        <v>31.060276</v>
      </c>
      <c r="AF39" t="n">
        <v>31.508205</v>
      </c>
      <c r="AG39" s="16" t="n">
        <v>0.017</v>
      </c>
    </row>
    <row r="40">
      <c r="A40" t="inlineStr">
        <is>
          <t>Total</t>
        </is>
      </c>
      <c r="B40" t="inlineStr">
        <is>
          <t>Residential Equipment: Equipment Stock: Clothes Dryers: Total: High Zero-Carbon Technology Cost</t>
        </is>
      </c>
      <c r="C40" t="inlineStr">
        <is>
          <t>AEO.2025.HIGHZTC.EQNR_STK_RESD_CDR_TOT_NA_NA_MILL.A</t>
        </is>
      </c>
      <c r="D40" t="inlineStr">
        <is>
          <t>millions</t>
        </is>
      </c>
      <c r="F40" t="n">
        <v>112.574905</v>
      </c>
      <c r="G40" t="n">
        <v>115.636436</v>
      </c>
      <c r="H40" t="n">
        <v>118.770546</v>
      </c>
      <c r="I40" t="n">
        <v>121.942764</v>
      </c>
      <c r="J40" t="n">
        <v>125.151855</v>
      </c>
      <c r="K40" t="n">
        <v>128.391647</v>
      </c>
      <c r="L40" t="n">
        <v>131.649841</v>
      </c>
      <c r="M40" t="n">
        <v>134.908966</v>
      </c>
      <c r="N40" t="n">
        <v>138.154251</v>
      </c>
      <c r="O40" t="n">
        <v>141.349182</v>
      </c>
      <c r="P40" t="n">
        <v>144.480728</v>
      </c>
      <c r="Q40" t="n">
        <v>147.593445</v>
      </c>
      <c r="R40" t="n">
        <v>150.676163</v>
      </c>
      <c r="S40" t="n">
        <v>153.703003</v>
      </c>
      <c r="T40" t="n">
        <v>156.678146</v>
      </c>
      <c r="U40" t="n">
        <v>159.59465</v>
      </c>
      <c r="V40" t="n">
        <v>162.465866</v>
      </c>
      <c r="W40" t="n">
        <v>165.291718</v>
      </c>
      <c r="X40" t="n">
        <v>168.077484</v>
      </c>
      <c r="Y40" t="n">
        <v>170.819168</v>
      </c>
      <c r="Z40" t="n">
        <v>173.538025</v>
      </c>
      <c r="AA40" t="n">
        <v>176.25592</v>
      </c>
      <c r="AB40" t="n">
        <v>178.972321</v>
      </c>
      <c r="AC40" t="n">
        <v>181.686172</v>
      </c>
      <c r="AD40" t="n">
        <v>184.398117</v>
      </c>
      <c r="AE40" t="n">
        <v>187.110214</v>
      </c>
      <c r="AF40" t="n">
        <v>189.817123</v>
      </c>
      <c r="AG40" s="16" t="n">
        <v>0.02</v>
      </c>
    </row>
    <row r="41">
      <c r="A41" t="inlineStr">
        <is>
          <t>Other Appliances (million units)</t>
        </is>
      </c>
    </row>
    <row r="42">
      <c r="A42" t="inlineStr">
        <is>
          <t>Refrigerators</t>
        </is>
      </c>
      <c r="B42" t="inlineStr">
        <is>
          <t>Residential Equipment: Equipment Stock: Other Appliances: Refrigerators: High Zero-Carbon Technology Cost</t>
        </is>
      </c>
      <c r="C42" t="inlineStr">
        <is>
          <t>AEO.2025.HIGHZTC.EQNR_STK_RESD_OTAR_RFG_NA_NA_MILL.A</t>
        </is>
      </c>
      <c r="D42" t="inlineStr">
        <is>
          <t>millions</t>
        </is>
      </c>
      <c r="F42" t="n">
        <v>185.512131</v>
      </c>
      <c r="G42" t="n">
        <v>187.57016</v>
      </c>
      <c r="H42" t="n">
        <v>189.722977</v>
      </c>
      <c r="I42" t="n">
        <v>191.892639</v>
      </c>
      <c r="J42" t="n">
        <v>194.05687</v>
      </c>
      <c r="K42" t="n">
        <v>196.261734</v>
      </c>
      <c r="L42" t="n">
        <v>198.461578</v>
      </c>
      <c r="M42" t="n">
        <v>200.662613</v>
      </c>
      <c r="N42" t="n">
        <v>202.845657</v>
      </c>
      <c r="O42" t="n">
        <v>204.960297</v>
      </c>
      <c r="P42" t="n">
        <v>206.988174</v>
      </c>
      <c r="Q42" t="n">
        <v>208.988495</v>
      </c>
      <c r="R42" t="n">
        <v>210.948593</v>
      </c>
      <c r="S42" t="n">
        <v>212.833725</v>
      </c>
      <c r="T42" t="n">
        <v>214.648499</v>
      </c>
      <c r="U42" t="n">
        <v>216.383011</v>
      </c>
      <c r="V42" t="n">
        <v>218.05542</v>
      </c>
      <c r="W42" t="n">
        <v>219.654755</v>
      </c>
      <c r="X42" t="n">
        <v>221.200912</v>
      </c>
      <c r="Y42" t="n">
        <v>222.684647</v>
      </c>
      <c r="Z42" t="n">
        <v>224.136307</v>
      </c>
      <c r="AA42" t="n">
        <v>225.587769</v>
      </c>
      <c r="AB42" t="n">
        <v>227.034286</v>
      </c>
      <c r="AC42" t="n">
        <v>228.479019</v>
      </c>
      <c r="AD42" t="n">
        <v>229.9216</v>
      </c>
      <c r="AE42" t="n">
        <v>231.363464</v>
      </c>
      <c r="AF42" t="n">
        <v>232.799942</v>
      </c>
      <c r="AG42" s="16" t="n">
        <v>0.008999999999999999</v>
      </c>
    </row>
    <row r="43">
      <c r="A43" t="inlineStr">
        <is>
          <t>Freezers</t>
        </is>
      </c>
      <c r="B43" t="inlineStr">
        <is>
          <t>Residential Equipment: Equipment Stock: Other Appliances: Freezers: High Zero-Carbon Technology Cost</t>
        </is>
      </c>
      <c r="C43" t="inlineStr">
        <is>
          <t>AEO.2025.HIGHZTC.EQNR_STK_RESD_OTAR_FRZ_NA_NA_MILL.A</t>
        </is>
      </c>
      <c r="D43" t="inlineStr">
        <is>
          <t>millions</t>
        </is>
      </c>
      <c r="F43" t="n">
        <v>48.421524</v>
      </c>
      <c r="G43" t="n">
        <v>48.897556</v>
      </c>
      <c r="H43" t="n">
        <v>49.389957</v>
      </c>
      <c r="I43" t="n">
        <v>49.883247</v>
      </c>
      <c r="J43" t="n">
        <v>50.367458</v>
      </c>
      <c r="K43" t="n">
        <v>50.854794</v>
      </c>
      <c r="L43" t="n">
        <v>51.338001</v>
      </c>
      <c r="M43" t="n">
        <v>51.821068</v>
      </c>
      <c r="N43" t="n">
        <v>52.302494</v>
      </c>
      <c r="O43" t="n">
        <v>52.772449</v>
      </c>
      <c r="P43" t="n">
        <v>53.225803</v>
      </c>
      <c r="Q43" t="n">
        <v>53.674511</v>
      </c>
      <c r="R43" t="n">
        <v>54.115623</v>
      </c>
      <c r="S43" t="n">
        <v>54.542957</v>
      </c>
      <c r="T43" t="n">
        <v>54.956287</v>
      </c>
      <c r="U43" t="n">
        <v>55.352367</v>
      </c>
      <c r="V43" t="n">
        <v>55.735516</v>
      </c>
      <c r="W43" t="n">
        <v>56.103615</v>
      </c>
      <c r="X43" t="n">
        <v>56.460857</v>
      </c>
      <c r="Y43" t="n">
        <v>56.802979</v>
      </c>
      <c r="Z43" t="n">
        <v>57.136333</v>
      </c>
      <c r="AA43" t="n">
        <v>57.469646</v>
      </c>
      <c r="AB43" t="n">
        <v>57.801506</v>
      </c>
      <c r="AC43" t="n">
        <v>58.133106</v>
      </c>
      <c r="AD43" t="n">
        <v>58.464127</v>
      </c>
      <c r="AE43" t="n">
        <v>58.794895</v>
      </c>
      <c r="AF43" t="n">
        <v>59.124157</v>
      </c>
      <c r="AG43" s="16" t="n">
        <v>0.008</v>
      </c>
    </row>
    <row r="44">
      <c r="A44" t="inlineStr">
        <is>
          <t>Stock Average Equipment Efficiency</t>
        </is>
      </c>
    </row>
    <row r="45">
      <c r="A45" t="inlineStr">
        <is>
          <t>Main Space Heaters</t>
        </is>
      </c>
    </row>
    <row r="46">
      <c r="A46" t="inlineStr">
        <is>
          <t>Electric Heat Pumps (HSPF)</t>
        </is>
      </c>
      <c r="B46" t="inlineStr">
        <is>
          <t>Residential Equipment: Stock Average Efficiency: Main Space Heaters: Electric Heat Pumps: High Zero-Carbon Technology Cost</t>
        </is>
      </c>
      <c r="C46" t="inlineStr">
        <is>
          <t>AEO.2025.HIGHZTC.EFI_STK_RESD_SPHR_EHP_NA_NA_HSPF.A</t>
        </is>
      </c>
      <c r="D46" t="inlineStr">
        <is>
          <t>HSPF</t>
        </is>
      </c>
      <c r="F46" t="n">
        <v>8.301575</v>
      </c>
      <c r="G46" t="n">
        <v>8.411783</v>
      </c>
      <c r="H46" t="n">
        <v>8.524260999999999</v>
      </c>
      <c r="I46" t="n">
        <v>8.639673</v>
      </c>
      <c r="J46" t="n">
        <v>8.759115</v>
      </c>
      <c r="K46" t="n">
        <v>8.870728</v>
      </c>
      <c r="L46" t="n">
        <v>8.974126</v>
      </c>
      <c r="M46" t="n">
        <v>9.069015</v>
      </c>
      <c r="N46" t="n">
        <v>9.155725</v>
      </c>
      <c r="O46" t="n">
        <v>9.226506000000001</v>
      </c>
      <c r="P46" t="n">
        <v>9.289591</v>
      </c>
      <c r="Q46" t="n">
        <v>9.344809</v>
      </c>
      <c r="R46" t="n">
        <v>9.392457</v>
      </c>
      <c r="S46" t="n">
        <v>9.432801</v>
      </c>
      <c r="T46" t="n">
        <v>9.465774</v>
      </c>
      <c r="U46" t="n">
        <v>9.491529</v>
      </c>
      <c r="V46" t="n">
        <v>9.511661999999999</v>
      </c>
      <c r="W46" t="n">
        <v>9.523355</v>
      </c>
      <c r="X46" t="n">
        <v>9.525758</v>
      </c>
      <c r="Y46" t="n">
        <v>9.528441000000001</v>
      </c>
      <c r="Z46" t="n">
        <v>9.531271</v>
      </c>
      <c r="AA46" t="n">
        <v>9.534098</v>
      </c>
      <c r="AB46" t="n">
        <v>9.536915</v>
      </c>
      <c r="AC46" t="n">
        <v>9.539699000000001</v>
      </c>
      <c r="AD46" t="n">
        <v>9.542422999999999</v>
      </c>
      <c r="AE46" t="n">
        <v>9.545066</v>
      </c>
      <c r="AF46" t="n">
        <v>9.547632999999999</v>
      </c>
      <c r="AG46" s="16" t="n">
        <v>0.005</v>
      </c>
    </row>
    <row r="47">
      <c r="A47" t="inlineStr">
        <is>
          <t>Natural Gas Heat Pumps (GCOP)</t>
        </is>
      </c>
      <c r="B47" t="inlineStr">
        <is>
          <t>Residential Equipment: Stock Average Efficiency: Main Space Heaters: Natural Gas Heat Pumps: High Zero-Carbon Technology Cost</t>
        </is>
      </c>
      <c r="C47" t="inlineStr">
        <is>
          <t>AEO.2025.HIGHZTC.EFI_STK_RESD_SPHR_NHU_NA_NA_GCOP.A</t>
        </is>
      </c>
      <c r="D47" t="inlineStr">
        <is>
          <t>GCOP</t>
        </is>
      </c>
      <c r="F47" t="n">
        <v>1.3</v>
      </c>
      <c r="G47" t="n">
        <v>1.3</v>
      </c>
      <c r="H47" t="n">
        <v>1.3</v>
      </c>
      <c r="I47" t="n">
        <v>1.3</v>
      </c>
      <c r="J47" t="n">
        <v>1.3</v>
      </c>
      <c r="K47" t="n">
        <v>1.3</v>
      </c>
      <c r="L47" t="n">
        <v>1.3</v>
      </c>
      <c r="M47" t="n">
        <v>1.3</v>
      </c>
      <c r="N47" t="n">
        <v>1.3</v>
      </c>
      <c r="O47" t="n">
        <v>1.3</v>
      </c>
      <c r="P47" t="n">
        <v>1.3</v>
      </c>
      <c r="Q47" t="n">
        <v>1.3</v>
      </c>
      <c r="R47" t="n">
        <v>1.3</v>
      </c>
      <c r="S47" t="n">
        <v>1.3</v>
      </c>
      <c r="T47" t="n">
        <v>1.3</v>
      </c>
      <c r="U47" t="n">
        <v>1.3</v>
      </c>
      <c r="V47" t="n">
        <v>1.3</v>
      </c>
      <c r="W47" t="n">
        <v>1.3</v>
      </c>
      <c r="X47" t="n">
        <v>1.3</v>
      </c>
      <c r="Y47" t="n">
        <v>1.3</v>
      </c>
      <c r="Z47" t="n">
        <v>1.3</v>
      </c>
      <c r="AA47" t="n">
        <v>1.3</v>
      </c>
      <c r="AB47" t="n">
        <v>1.3</v>
      </c>
      <c r="AC47" t="n">
        <v>1.3</v>
      </c>
      <c r="AD47" t="n">
        <v>1.3</v>
      </c>
      <c r="AE47" t="n">
        <v>1.3</v>
      </c>
      <c r="AF47" t="n">
        <v>1.3</v>
      </c>
      <c r="AG47" s="16" t="n">
        <v>0</v>
      </c>
    </row>
    <row r="48">
      <c r="A48" t="inlineStr">
        <is>
          <t>Geothermal Heat Pumps (COP)</t>
        </is>
      </c>
      <c r="B48" t="inlineStr">
        <is>
          <t>Residential Equipment: Stock Average Efficiency: Main Space Heaters: Geothermal Heat Pumps: High Zero-Carbon Technology Cost</t>
        </is>
      </c>
      <c r="C48" t="inlineStr">
        <is>
          <t>AEO.2025.HIGHZTC.EFI_STK_RESD_SPHR_GEHP_NA_NA_COP.A</t>
        </is>
      </c>
      <c r="D48" t="inlineStr">
        <is>
          <t>COP</t>
        </is>
      </c>
      <c r="F48" t="n">
        <v>3.198018</v>
      </c>
      <c r="G48" t="n">
        <v>3.229836</v>
      </c>
      <c r="H48" t="n">
        <v>3.260657</v>
      </c>
      <c r="I48" t="n">
        <v>3.290383</v>
      </c>
      <c r="J48" t="n">
        <v>3.318929</v>
      </c>
      <c r="K48" t="n">
        <v>3.346405</v>
      </c>
      <c r="L48" t="n">
        <v>3.372804</v>
      </c>
      <c r="M48" t="n">
        <v>3.398271</v>
      </c>
      <c r="N48" t="n">
        <v>3.421792</v>
      </c>
      <c r="O48" t="n">
        <v>3.4418</v>
      </c>
      <c r="P48" t="n">
        <v>3.459232</v>
      </c>
      <c r="Q48" t="n">
        <v>3.469077</v>
      </c>
      <c r="R48" t="n">
        <v>3.477528</v>
      </c>
      <c r="S48" t="n">
        <v>3.485055</v>
      </c>
      <c r="T48" t="n">
        <v>3.491715</v>
      </c>
      <c r="U48" t="n">
        <v>3.497602</v>
      </c>
      <c r="V48" t="n">
        <v>3.502827</v>
      </c>
      <c r="W48" t="n">
        <v>3.507296</v>
      </c>
      <c r="X48" t="n">
        <v>3.511081</v>
      </c>
      <c r="Y48" t="n">
        <v>3.514184</v>
      </c>
      <c r="Z48" t="n">
        <v>3.516665</v>
      </c>
      <c r="AA48" t="n">
        <v>3.51842</v>
      </c>
      <c r="AB48" t="n">
        <v>3.519624</v>
      </c>
      <c r="AC48" t="n">
        <v>3.520261</v>
      </c>
      <c r="AD48" t="n">
        <v>3.520312</v>
      </c>
      <c r="AE48" t="n">
        <v>3.519931</v>
      </c>
      <c r="AF48" t="n">
        <v>3.519072</v>
      </c>
      <c r="AG48" s="16" t="n">
        <v>0.004</v>
      </c>
    </row>
    <row r="49">
      <c r="A49" t="inlineStr">
        <is>
          <t>Natural Gas Furnace (AFUE)</t>
        </is>
      </c>
      <c r="B49" t="inlineStr">
        <is>
          <t>Residential Equipment: Stock Average Efficiency: Main Space Heaters: Natural Gas Furnace: High Zero-Carbon Technology Cost</t>
        </is>
      </c>
      <c r="C49" t="inlineStr">
        <is>
          <t>AEO.2025.HIGHZTC.EFI_STK_RESD_SPHR_NFR_NA_NA_AFUE.A</t>
        </is>
      </c>
      <c r="D49" t="inlineStr">
        <is>
          <t>AFUE</t>
        </is>
      </c>
      <c r="F49" t="n">
        <v>0.81869</v>
      </c>
      <c r="G49" t="n">
        <v>0.823765</v>
      </c>
      <c r="H49" t="n">
        <v>0.828838</v>
      </c>
      <c r="I49" t="n">
        <v>0.833879</v>
      </c>
      <c r="J49" t="n">
        <v>0.838906</v>
      </c>
      <c r="K49" t="n">
        <v>0.847897</v>
      </c>
      <c r="L49" t="n">
        <v>0.857558</v>
      </c>
      <c r="M49" t="n">
        <v>0.8672260000000001</v>
      </c>
      <c r="N49" t="n">
        <v>0.876317</v>
      </c>
      <c r="O49" t="n">
        <v>0.884643</v>
      </c>
      <c r="P49" t="n">
        <v>0.8924</v>
      </c>
      <c r="Q49" t="n">
        <v>0.899578</v>
      </c>
      <c r="R49" t="n">
        <v>0.906261</v>
      </c>
      <c r="S49" t="n">
        <v>0.912422</v>
      </c>
      <c r="T49" t="n">
        <v>0.9181009999999999</v>
      </c>
      <c r="U49" t="n">
        <v>0.923289</v>
      </c>
      <c r="V49" t="n">
        <v>0.928013</v>
      </c>
      <c r="W49" t="n">
        <v>0.932266</v>
      </c>
      <c r="X49" t="n">
        <v>0.936086</v>
      </c>
      <c r="Y49" t="n">
        <v>0.939438</v>
      </c>
      <c r="Z49" t="n">
        <v>0.942309</v>
      </c>
      <c r="AA49" t="n">
        <v>0.944658</v>
      </c>
      <c r="AB49" t="n">
        <v>0.9464669999999999</v>
      </c>
      <c r="AC49" t="n">
        <v>0.948268</v>
      </c>
      <c r="AD49" t="n">
        <v>0.950024</v>
      </c>
      <c r="AE49" t="n">
        <v>0.951704</v>
      </c>
      <c r="AF49" t="n">
        <v>0.953277</v>
      </c>
      <c r="AG49" s="16" t="n">
        <v>0.006</v>
      </c>
    </row>
    <row r="50">
      <c r="A50" t="inlineStr">
        <is>
          <t>Distillate Furnace (AFUE)</t>
        </is>
      </c>
      <c r="B50" t="inlineStr">
        <is>
          <t>Residential Equipment: Stock Average Efficiency: Main Space Heaters: Distillate Furnace: High Zero-Carbon Technology Cost</t>
        </is>
      </c>
      <c r="C50" t="inlineStr">
        <is>
          <t>AEO.2025.HIGHZTC.EFI_STK_RESD_SPHR_DFR_NA_NA_AFUE.A</t>
        </is>
      </c>
      <c r="D50" t="inlineStr">
        <is>
          <t>AFUE</t>
        </is>
      </c>
      <c r="F50" t="n">
        <v>0.835821</v>
      </c>
      <c r="G50" t="n">
        <v>0.8373699999999999</v>
      </c>
      <c r="H50" t="n">
        <v>0.838934</v>
      </c>
      <c r="I50" t="n">
        <v>0.840479</v>
      </c>
      <c r="J50" t="n">
        <v>0.841988</v>
      </c>
      <c r="K50" t="n">
        <v>0.843465</v>
      </c>
      <c r="L50" t="n">
        <v>0.844934</v>
      </c>
      <c r="M50" t="n">
        <v>0.8464120000000001</v>
      </c>
      <c r="N50" t="n">
        <v>0.847821</v>
      </c>
      <c r="O50" t="n">
        <v>0.849073</v>
      </c>
      <c r="P50" t="n">
        <v>0.850235</v>
      </c>
      <c r="Q50" t="n">
        <v>0.851286</v>
      </c>
      <c r="R50" t="n">
        <v>0.852252</v>
      </c>
      <c r="S50" t="n">
        <v>0.85311</v>
      </c>
      <c r="T50" t="n">
        <v>0.853878</v>
      </c>
      <c r="U50" t="n">
        <v>0.854555</v>
      </c>
      <c r="V50" t="n">
        <v>0.855138</v>
      </c>
      <c r="W50" t="n">
        <v>0.855625</v>
      </c>
      <c r="X50" t="n">
        <v>0.8560179999999999</v>
      </c>
      <c r="Y50" t="n">
        <v>0.856314</v>
      </c>
      <c r="Z50" t="n">
        <v>0.856506</v>
      </c>
      <c r="AA50" t="n">
        <v>0.856586</v>
      </c>
      <c r="AB50" t="n">
        <v>0.856572</v>
      </c>
      <c r="AC50" t="n">
        <v>0.856558</v>
      </c>
      <c r="AD50" t="n">
        <v>0.856545</v>
      </c>
      <c r="AE50" t="n">
        <v>0.856532</v>
      </c>
      <c r="AF50" t="n">
        <v>0.856519</v>
      </c>
      <c r="AG50" s="16" t="n">
        <v>0.001</v>
      </c>
    </row>
    <row r="51">
      <c r="A51" t="inlineStr">
        <is>
          <t>Space Cooling</t>
        </is>
      </c>
    </row>
    <row r="52">
      <c r="A52" t="inlineStr">
        <is>
          <t>Electric Heat Pumps (SEER)</t>
        </is>
      </c>
      <c r="B52" t="inlineStr">
        <is>
          <t>Residential Equipment: Stock Average Efficiency: Space Cooling: Electric Heat Pumps: High Zero-Carbon Technology Cost</t>
        </is>
      </c>
      <c r="C52" t="inlineStr">
        <is>
          <t>AEO.2025.HIGHZTC.EFI_STK_RESD_SPC_EHP_NA_NA_SEER.A</t>
        </is>
      </c>
      <c r="D52" t="inlineStr">
        <is>
          <t>SEER</t>
        </is>
      </c>
      <c r="F52" t="n">
        <v>13.990335</v>
      </c>
      <c r="G52" t="n">
        <v>14.225822</v>
      </c>
      <c r="H52" t="n">
        <v>14.465521</v>
      </c>
      <c r="I52" t="n">
        <v>14.710986</v>
      </c>
      <c r="J52" t="n">
        <v>14.964726</v>
      </c>
      <c r="K52" t="n">
        <v>15.201395</v>
      </c>
      <c r="L52" t="n">
        <v>15.42023</v>
      </c>
      <c r="M52" t="n">
        <v>15.62071</v>
      </c>
      <c r="N52" t="n">
        <v>15.803606</v>
      </c>
      <c r="O52" t="n">
        <v>15.951933</v>
      </c>
      <c r="P52" t="n">
        <v>16.083612</v>
      </c>
      <c r="Q52" t="n">
        <v>16.198576</v>
      </c>
      <c r="R52" t="n">
        <v>16.297474</v>
      </c>
      <c r="S52" t="n">
        <v>16.380913</v>
      </c>
      <c r="T52" t="n">
        <v>16.448742</v>
      </c>
      <c r="U52" t="n">
        <v>16.501339</v>
      </c>
      <c r="V52" t="n">
        <v>16.546972</v>
      </c>
      <c r="W52" t="n">
        <v>16.574265</v>
      </c>
      <c r="X52" t="n">
        <v>16.58153</v>
      </c>
      <c r="Y52" t="n">
        <v>16.589703</v>
      </c>
      <c r="Z52" t="n">
        <v>16.598383</v>
      </c>
      <c r="AA52" t="n">
        <v>16.607206</v>
      </c>
      <c r="AB52" t="n">
        <v>16.616085</v>
      </c>
      <c r="AC52" t="n">
        <v>16.624941</v>
      </c>
      <c r="AD52" t="n">
        <v>16.633642</v>
      </c>
      <c r="AE52" t="n">
        <v>16.642115</v>
      </c>
      <c r="AF52" t="n">
        <v>16.650322</v>
      </c>
      <c r="AG52" s="16" t="n">
        <v>0.007</v>
      </c>
    </row>
    <row r="53">
      <c r="A53" t="inlineStr">
        <is>
          <t>Natural Gas Heat Pumps (GCOP)</t>
        </is>
      </c>
      <c r="B53" t="inlineStr">
        <is>
          <t>Residential Equipment: Stock Average Efficiency: Space Cooling: Natural Gas Heat Pumps: High Zero-Carbon Technology Cost</t>
        </is>
      </c>
      <c r="C53" t="inlineStr">
        <is>
          <t>AEO.2025.HIGHZTC.EFI_STK_RESD_SPC_NHU_NA_NA_GCOP.A</t>
        </is>
      </c>
      <c r="D53" t="inlineStr">
        <is>
          <t>GCOP</t>
        </is>
      </c>
      <c r="F53" t="n">
        <v>0.623339</v>
      </c>
      <c r="G53" t="n">
        <v>0.628984</v>
      </c>
      <c r="H53" t="n">
        <v>0.634922</v>
      </c>
      <c r="I53" t="n">
        <v>0.6412679999999999</v>
      </c>
      <c r="J53" t="n">
        <v>0.64812</v>
      </c>
      <c r="K53" t="n">
        <v>0.654681</v>
      </c>
      <c r="L53" t="n">
        <v>0.6609120000000001</v>
      </c>
      <c r="M53" t="n">
        <v>0.666764</v>
      </c>
      <c r="N53" t="n">
        <v>0.672238</v>
      </c>
      <c r="O53" t="n">
        <v>0.677284</v>
      </c>
      <c r="P53" t="n">
        <v>0.681912</v>
      </c>
      <c r="Q53" t="n">
        <v>0.686074</v>
      </c>
      <c r="R53" t="n">
        <v>0.689759</v>
      </c>
      <c r="S53" t="n">
        <v>0.692949</v>
      </c>
      <c r="T53" t="n">
        <v>0.695604</v>
      </c>
      <c r="U53" t="n">
        <v>0.697704</v>
      </c>
      <c r="V53" t="n">
        <v>0.699202</v>
      </c>
      <c r="W53" t="n">
        <v>0.7</v>
      </c>
      <c r="X53" t="n">
        <v>0.7</v>
      </c>
      <c r="Y53" t="n">
        <v>0.7</v>
      </c>
      <c r="Z53" t="n">
        <v>0.7</v>
      </c>
      <c r="AA53" t="n">
        <v>0.7</v>
      </c>
      <c r="AB53" t="n">
        <v>0.7</v>
      </c>
      <c r="AC53" t="n">
        <v>0.7</v>
      </c>
      <c r="AD53" t="n">
        <v>0.7</v>
      </c>
      <c r="AE53" t="n">
        <v>0.7</v>
      </c>
      <c r="AF53" t="n">
        <v>0.7</v>
      </c>
      <c r="AG53" s="16" t="n">
        <v>0.004</v>
      </c>
    </row>
    <row r="54">
      <c r="A54" t="inlineStr">
        <is>
          <t>Geothermal Heat Pumps (EER)</t>
        </is>
      </c>
      <c r="B54" t="inlineStr">
        <is>
          <t>Residential Equipment: Stock Average Efficiency: Space Cooling: Geothermal Heat Pumps: High Zero-Carbon Technology Cost</t>
        </is>
      </c>
      <c r="C54" t="inlineStr">
        <is>
          <t>AEO.2025.HIGHZTC.EFI_STK_RESD_SPC_GEHP_NA_NA_EER.A</t>
        </is>
      </c>
      <c r="D54" t="inlineStr">
        <is>
          <t>EER</t>
        </is>
      </c>
      <c r="F54" t="n">
        <v>13.993668</v>
      </c>
      <c r="G54" t="n">
        <v>14.221729</v>
      </c>
      <c r="H54" t="n">
        <v>14.442514</v>
      </c>
      <c r="I54" t="n">
        <v>14.655156</v>
      </c>
      <c r="J54" t="n">
        <v>14.858943</v>
      </c>
      <c r="K54" t="n">
        <v>15.054792</v>
      </c>
      <c r="L54" t="n">
        <v>15.24262</v>
      </c>
      <c r="M54" t="n">
        <v>15.423491</v>
      </c>
      <c r="N54" t="n">
        <v>15.590322</v>
      </c>
      <c r="O54" t="n">
        <v>15.732929</v>
      </c>
      <c r="P54" t="n">
        <v>15.857524</v>
      </c>
      <c r="Q54" t="n">
        <v>15.92991</v>
      </c>
      <c r="R54" t="n">
        <v>15.991646</v>
      </c>
      <c r="S54" t="n">
        <v>16.046743</v>
      </c>
      <c r="T54" t="n">
        <v>16.095617</v>
      </c>
      <c r="U54" t="n">
        <v>16.138885</v>
      </c>
      <c r="V54" t="n">
        <v>16.177298</v>
      </c>
      <c r="W54" t="n">
        <v>16.210196</v>
      </c>
      <c r="X54" t="n">
        <v>16.238113</v>
      </c>
      <c r="Y54" t="n">
        <v>16.261044</v>
      </c>
      <c r="Z54" t="n">
        <v>16.279423</v>
      </c>
      <c r="AA54" t="n">
        <v>16.292555</v>
      </c>
      <c r="AB54" t="n">
        <v>16.301682</v>
      </c>
      <c r="AC54" t="n">
        <v>16.306694</v>
      </c>
      <c r="AD54" t="n">
        <v>16.307491</v>
      </c>
      <c r="AE54" t="n">
        <v>16.305126</v>
      </c>
      <c r="AF54" t="n">
        <v>16.299299</v>
      </c>
      <c r="AG54" s="16" t="n">
        <v>0.006</v>
      </c>
    </row>
    <row r="55">
      <c r="A55" t="inlineStr">
        <is>
          <t>Central Air Conditioners (SEER)</t>
        </is>
      </c>
      <c r="B55" t="inlineStr">
        <is>
          <t>Residential Equipment: Stock Average Efficiency: Space Cooling: Central Air Conditioners: High Zero-Carbon Technology Cost</t>
        </is>
      </c>
      <c r="C55" t="inlineStr">
        <is>
          <t>AEO.2025.HIGHZTC.EFI_STK_RESD_SPC_CAC_NA_NA_SEER.A</t>
        </is>
      </c>
      <c r="D55" t="inlineStr">
        <is>
          <t>SEER</t>
        </is>
      </c>
      <c r="F55" t="n">
        <v>13.469368</v>
      </c>
      <c r="G55" t="n">
        <v>13.76048</v>
      </c>
      <c r="H55" t="n">
        <v>14.051945</v>
      </c>
      <c r="I55" t="n">
        <v>14.34586</v>
      </c>
      <c r="J55" t="n">
        <v>14.645688</v>
      </c>
      <c r="K55" t="n">
        <v>14.925357</v>
      </c>
      <c r="L55" t="n">
        <v>15.18473</v>
      </c>
      <c r="M55" t="n">
        <v>15.422161</v>
      </c>
      <c r="N55" t="n">
        <v>15.637525</v>
      </c>
      <c r="O55" t="n">
        <v>15.709616</v>
      </c>
      <c r="P55" t="n">
        <v>15.752591</v>
      </c>
      <c r="Q55" t="n">
        <v>15.78285</v>
      </c>
      <c r="R55" t="n">
        <v>15.799917</v>
      </c>
      <c r="S55" t="n">
        <v>15.80462</v>
      </c>
      <c r="T55" t="n">
        <v>15.79846</v>
      </c>
      <c r="U55" t="n">
        <v>15.781046</v>
      </c>
      <c r="V55" t="n">
        <v>15.75336</v>
      </c>
      <c r="W55" t="n">
        <v>15.715132</v>
      </c>
      <c r="X55" t="n">
        <v>15.665411</v>
      </c>
      <c r="Y55" t="n">
        <v>15.616528</v>
      </c>
      <c r="Z55" t="n">
        <v>15.568357</v>
      </c>
      <c r="AA55" t="n">
        <v>15.521166</v>
      </c>
      <c r="AB55" t="n">
        <v>15.475282</v>
      </c>
      <c r="AC55" t="n">
        <v>15.430945</v>
      </c>
      <c r="AD55" t="n">
        <v>15.388376</v>
      </c>
      <c r="AE55" t="n">
        <v>15.347758</v>
      </c>
      <c r="AF55" t="n">
        <v>15.309222</v>
      </c>
      <c r="AG55" s="16" t="n">
        <v>0.005</v>
      </c>
    </row>
    <row r="56">
      <c r="A56" t="inlineStr">
        <is>
          <t>Room Air Conditioners (EER)</t>
        </is>
      </c>
      <c r="B56" t="inlineStr">
        <is>
          <t>Residential Equipment: Stock Average Efficiency: Space Cooling: Room Air Conditioners: High Zero-Carbon Technology Cost</t>
        </is>
      </c>
      <c r="C56" t="inlineStr">
        <is>
          <t>AEO.2025.HIGHZTC.EFI_STK_RESD_SPC_RAC_NA_NA_EER.A</t>
        </is>
      </c>
      <c r="D56" t="inlineStr">
        <is>
          <t>EER</t>
        </is>
      </c>
      <c r="F56" t="n">
        <v>11.448732</v>
      </c>
      <c r="G56" t="n">
        <v>11.644737</v>
      </c>
      <c r="H56" t="n">
        <v>11.847325</v>
      </c>
      <c r="I56" t="n">
        <v>12.298437</v>
      </c>
      <c r="J56" t="n">
        <v>12.757018</v>
      </c>
      <c r="K56" t="n">
        <v>13.272966</v>
      </c>
      <c r="L56" t="n">
        <v>13.771557</v>
      </c>
      <c r="M56" t="n">
        <v>14.233994</v>
      </c>
      <c r="N56" t="n">
        <v>14.651569</v>
      </c>
      <c r="O56" t="n">
        <v>15.024332</v>
      </c>
      <c r="P56" t="n">
        <v>15.341799</v>
      </c>
      <c r="Q56" t="n">
        <v>15.580716</v>
      </c>
      <c r="R56" t="n">
        <v>15.738295</v>
      </c>
      <c r="S56" t="n">
        <v>15.813057</v>
      </c>
      <c r="T56" t="n">
        <v>15.872056</v>
      </c>
      <c r="U56" t="n">
        <v>15.916222</v>
      </c>
      <c r="V56" t="n">
        <v>15.947607</v>
      </c>
      <c r="W56" t="n">
        <v>15.968753</v>
      </c>
      <c r="X56" t="n">
        <v>15.982252</v>
      </c>
      <c r="Y56" t="n">
        <v>15.990417</v>
      </c>
      <c r="Z56" t="n">
        <v>15.995095</v>
      </c>
      <c r="AA56" t="n">
        <v>15.997622</v>
      </c>
      <c r="AB56" t="n">
        <v>15.998911</v>
      </c>
      <c r="AC56" t="n">
        <v>15.999532</v>
      </c>
      <c r="AD56" t="n">
        <v>15.999801</v>
      </c>
      <c r="AE56" t="n">
        <v>15.999924</v>
      </c>
      <c r="AF56" t="n">
        <v>15.999976</v>
      </c>
      <c r="AG56" s="16" t="n">
        <v>0.013</v>
      </c>
    </row>
    <row r="57">
      <c r="A57" t="inlineStr">
        <is>
          <t>Water Heaters</t>
        </is>
      </c>
    </row>
    <row r="58">
      <c r="A58" t="inlineStr">
        <is>
          <t>Electric (EF)</t>
        </is>
      </c>
      <c r="B58" t="inlineStr">
        <is>
          <t>Residential Equipment: Stock Average Efficiency: Water Heaters: Electric: High Zero-Carbon Technology Cost</t>
        </is>
      </c>
      <c r="C58" t="inlineStr">
        <is>
          <t>AEO.2025.HIGHZTC.EFI_STK_RESD_WHT_ELE_NA_NA_EF.A</t>
        </is>
      </c>
      <c r="D58" t="inlineStr">
        <is>
          <t>EF</t>
        </is>
      </c>
      <c r="F58" t="n">
        <v>1.089594</v>
      </c>
      <c r="G58" t="n">
        <v>1.142516</v>
      </c>
      <c r="H58" t="n">
        <v>1.194647</v>
      </c>
      <c r="I58" t="n">
        <v>1.245785</v>
      </c>
      <c r="J58" t="n">
        <v>1.296718</v>
      </c>
      <c r="K58" t="n">
        <v>1.427567</v>
      </c>
      <c r="L58" t="n">
        <v>1.530845</v>
      </c>
      <c r="M58" t="n">
        <v>1.640694</v>
      </c>
      <c r="N58" t="n">
        <v>1.744714</v>
      </c>
      <c r="O58" t="n">
        <v>1.833205</v>
      </c>
      <c r="P58" t="n">
        <v>1.91778</v>
      </c>
      <c r="Q58" t="n">
        <v>1.995061</v>
      </c>
      <c r="R58" t="n">
        <v>2.064635</v>
      </c>
      <c r="S58" t="n">
        <v>2.126171</v>
      </c>
      <c r="T58" t="n">
        <v>2.179694</v>
      </c>
      <c r="U58" t="n">
        <v>2.225028</v>
      </c>
      <c r="V58" t="n">
        <v>2.262446</v>
      </c>
      <c r="W58" t="n">
        <v>2.291731</v>
      </c>
      <c r="X58" t="n">
        <v>2.312705</v>
      </c>
      <c r="Y58" t="n">
        <v>2.325641</v>
      </c>
      <c r="Z58" t="n">
        <v>2.33766</v>
      </c>
      <c r="AA58" t="n">
        <v>2.348729</v>
      </c>
      <c r="AB58" t="n">
        <v>2.358847</v>
      </c>
      <c r="AC58" t="n">
        <v>2.368028</v>
      </c>
      <c r="AD58" t="n">
        <v>2.376319</v>
      </c>
      <c r="AE58" t="n">
        <v>2.383758</v>
      </c>
      <c r="AF58" t="n">
        <v>2.390381</v>
      </c>
      <c r="AG58" s="16" t="n">
        <v>0.031</v>
      </c>
    </row>
    <row r="59">
      <c r="A59" t="inlineStr">
        <is>
          <t>Natural Gas (EF)</t>
        </is>
      </c>
      <c r="B59" t="inlineStr">
        <is>
          <t>Residential Equipment: Stock Average Efficiency: Water Heaters: Natural Gas: High Zero-Carbon Technology Cost</t>
        </is>
      </c>
      <c r="C59" t="inlineStr">
        <is>
          <t>AEO.2025.HIGHZTC.EFI_STK_RESD_WHT_NG_NA_NA_EF.A</t>
        </is>
      </c>
      <c r="D59" t="inlineStr">
        <is>
          <t>EF</t>
        </is>
      </c>
      <c r="F59" t="n">
        <v>0.605986</v>
      </c>
      <c r="G59" t="n">
        <v>0.613774</v>
      </c>
      <c r="H59" t="n">
        <v>0.620732</v>
      </c>
      <c r="I59" t="n">
        <v>0.626879</v>
      </c>
      <c r="J59" t="n">
        <v>0.632248</v>
      </c>
      <c r="K59" t="n">
        <v>0.640281</v>
      </c>
      <c r="L59" t="n">
        <v>0.647174</v>
      </c>
      <c r="M59" t="n">
        <v>0.653142</v>
      </c>
      <c r="N59" t="n">
        <v>0.658141</v>
      </c>
      <c r="O59" t="n">
        <v>0.660803</v>
      </c>
      <c r="P59" t="n">
        <v>0.662594</v>
      </c>
      <c r="Q59" t="n">
        <v>0.663523</v>
      </c>
      <c r="R59" t="n">
        <v>0.664392</v>
      </c>
      <c r="S59" t="n">
        <v>0.665197</v>
      </c>
      <c r="T59" t="n">
        <v>0.665936</v>
      </c>
      <c r="U59" t="n">
        <v>0.666609</v>
      </c>
      <c r="V59" t="n">
        <v>0.667216</v>
      </c>
      <c r="W59" t="n">
        <v>0.667758</v>
      </c>
      <c r="X59" t="n">
        <v>0.668238</v>
      </c>
      <c r="Y59" t="n">
        <v>0.66866</v>
      </c>
      <c r="Z59" t="n">
        <v>0.669028</v>
      </c>
      <c r="AA59" t="n">
        <v>0.669346</v>
      </c>
      <c r="AB59" t="n">
        <v>0.669618</v>
      </c>
      <c r="AC59" t="n">
        <v>0.669849</v>
      </c>
      <c r="AD59" t="n">
        <v>0.6700430000000001</v>
      </c>
      <c r="AE59" t="n">
        <v>0.670204</v>
      </c>
      <c r="AF59" t="n">
        <v>0.670337</v>
      </c>
      <c r="AG59" s="16" t="n">
        <v>0.004</v>
      </c>
    </row>
    <row r="60">
      <c r="A60" t="inlineStr">
        <is>
          <t>Distillate Fuel Oil (EF)</t>
        </is>
      </c>
      <c r="B60" t="inlineStr">
        <is>
          <t>Residential Equipment: Stock Average Efficiency: Water Heaters: Distillate Fuel Oil: High Zero-Carbon Technology Cost</t>
        </is>
      </c>
      <c r="C60" t="inlineStr">
        <is>
          <t>AEO.2025.HIGHZTC.EFI_STK_RESD_WHT_DFO_NA_NA_EF.A</t>
        </is>
      </c>
      <c r="D60" t="inlineStr">
        <is>
          <t>EF</t>
        </is>
      </c>
      <c r="F60" t="n">
        <v>0.547698</v>
      </c>
      <c r="G60" t="n">
        <v>0.559994</v>
      </c>
      <c r="H60" t="n">
        <v>0.572179</v>
      </c>
      <c r="I60" t="n">
        <v>0.583994</v>
      </c>
      <c r="J60" t="n">
        <v>0.59521</v>
      </c>
      <c r="K60" t="n">
        <v>0.60664</v>
      </c>
      <c r="L60" t="n">
        <v>0.6167589999999999</v>
      </c>
      <c r="M60" t="n">
        <v>0.625502</v>
      </c>
      <c r="N60" t="n">
        <v>0.632547</v>
      </c>
      <c r="O60" t="n">
        <v>0.637645</v>
      </c>
      <c r="P60" t="n">
        <v>0.640544</v>
      </c>
      <c r="Q60" t="n">
        <v>0.641082</v>
      </c>
      <c r="R60" t="n">
        <v>0.641634</v>
      </c>
      <c r="S60" t="n">
        <v>0.642193</v>
      </c>
      <c r="T60" t="n">
        <v>0.642754</v>
      </c>
      <c r="U60" t="n">
        <v>0.643312</v>
      </c>
      <c r="V60" t="n">
        <v>0.643862</v>
      </c>
      <c r="W60" t="n">
        <v>0.644401</v>
      </c>
      <c r="X60" t="n">
        <v>0.644925</v>
      </c>
      <c r="Y60" t="n">
        <v>0.6454299999999999</v>
      </c>
      <c r="Z60" t="n">
        <v>0.645913</v>
      </c>
      <c r="AA60" t="n">
        <v>0.646374</v>
      </c>
      <c r="AB60" t="n">
        <v>0.646809</v>
      </c>
      <c r="AC60" t="n">
        <v>0.647219</v>
      </c>
      <c r="AD60" t="n">
        <v>0.647602</v>
      </c>
      <c r="AE60" t="n">
        <v>0.647957</v>
      </c>
      <c r="AF60" t="n">
        <v>0.648285</v>
      </c>
      <c r="AG60" s="16" t="n">
        <v>0.007</v>
      </c>
    </row>
    <row r="61">
      <c r="A61" t="inlineStr">
        <is>
          <t>Propane (EF)</t>
        </is>
      </c>
      <c r="B61" t="inlineStr">
        <is>
          <t>Residential Equipment: Stock Average Efficiency: Water Heaters: Propane: High Zero-Carbon Technology Cost</t>
        </is>
      </c>
      <c r="C61" t="inlineStr">
        <is>
          <t>AEO.2025.HIGHZTC.EFI_STK_RESD_WHT_PROP_NA_NA_EF.A</t>
        </is>
      </c>
      <c r="D61" t="inlineStr">
        <is>
          <t>EF</t>
        </is>
      </c>
      <c r="F61" t="n">
        <v>0.609399</v>
      </c>
      <c r="G61" t="n">
        <v>0.618704</v>
      </c>
      <c r="H61" t="n">
        <v>0.627502</v>
      </c>
      <c r="I61" t="n">
        <v>0.635687</v>
      </c>
      <c r="J61" t="n">
        <v>0.643129</v>
      </c>
      <c r="K61" t="n">
        <v>0.650474</v>
      </c>
      <c r="L61" t="n">
        <v>0.656896</v>
      </c>
      <c r="M61" t="n">
        <v>0.662416</v>
      </c>
      <c r="N61" t="n">
        <v>0.666918</v>
      </c>
      <c r="O61" t="n">
        <v>0.6692090000000001</v>
      </c>
      <c r="P61" t="n">
        <v>0.670362</v>
      </c>
      <c r="Q61" t="n">
        <v>0.670312</v>
      </c>
      <c r="R61" t="n">
        <v>0.670217</v>
      </c>
      <c r="S61" t="n">
        <v>0.670084</v>
      </c>
      <c r="T61" t="n">
        <v>0.669917</v>
      </c>
      <c r="U61" t="n">
        <v>0.669723</v>
      </c>
      <c r="V61" t="n">
        <v>0.669505</v>
      </c>
      <c r="W61" t="n">
        <v>0.66927</v>
      </c>
      <c r="X61" t="n">
        <v>0.669022</v>
      </c>
      <c r="Y61" t="n">
        <v>0.668766</v>
      </c>
      <c r="Z61" t="n">
        <v>0.668508</v>
      </c>
      <c r="AA61" t="n">
        <v>0.668249</v>
      </c>
      <c r="AB61" t="n">
        <v>0.667995</v>
      </c>
      <c r="AC61" t="n">
        <v>0.667748</v>
      </c>
      <c r="AD61" t="n">
        <v>0.667511</v>
      </c>
      <c r="AE61" t="n">
        <v>0.667286</v>
      </c>
      <c r="AF61" t="n">
        <v>0.667075</v>
      </c>
      <c r="AG61" s="16" t="n">
        <v>0.003</v>
      </c>
    </row>
    <row r="62">
      <c r="A62" t="inlineStr">
        <is>
          <t>Other Appliances (kilowatthours per year)</t>
        </is>
      </c>
    </row>
    <row r="63">
      <c r="A63" t="inlineStr">
        <is>
          <t>Refrigerators</t>
        </is>
      </c>
      <c r="B63" t="inlineStr">
        <is>
          <t>Residential Equipment: Stock Average Efficiency: Other Appliances: Refrigerators: High Zero-Carbon Technology Cost</t>
        </is>
      </c>
      <c r="C63" t="inlineStr">
        <is>
          <t>AEO.2025.HIGHZTC.EFI_STK_RESD_OTAR_RFG_NA_NA_KWH.A</t>
        </is>
      </c>
      <c r="D63" t="inlineStr">
        <is>
          <t>kWh</t>
        </is>
      </c>
      <c r="F63" t="n">
        <v>605.321411</v>
      </c>
      <c r="G63" t="n">
        <v>596.563721</v>
      </c>
      <c r="H63" t="n">
        <v>587.7440800000001</v>
      </c>
      <c r="I63" t="n">
        <v>578.854614</v>
      </c>
      <c r="J63" t="n">
        <v>569.905945</v>
      </c>
      <c r="K63" t="n">
        <v>561.434998</v>
      </c>
      <c r="L63" t="n">
        <v>548.93573</v>
      </c>
      <c r="M63" t="n">
        <v>536.881287</v>
      </c>
      <c r="N63" t="n">
        <v>525.275391</v>
      </c>
      <c r="O63" t="n">
        <v>514.095337</v>
      </c>
      <c r="P63" t="n">
        <v>503.338501</v>
      </c>
      <c r="Q63" t="n">
        <v>493.034973</v>
      </c>
      <c r="R63" t="n">
        <v>483.481781</v>
      </c>
      <c r="S63" t="n">
        <v>474.760132</v>
      </c>
      <c r="T63" t="n">
        <v>466.873444</v>
      </c>
      <c r="U63" t="n">
        <v>459.849487</v>
      </c>
      <c r="V63" t="n">
        <v>453.645508</v>
      </c>
      <c r="W63" t="n">
        <v>448.246765</v>
      </c>
      <c r="X63" t="n">
        <v>443.608704</v>
      </c>
      <c r="Y63" t="n">
        <v>439.756592</v>
      </c>
      <c r="Z63" t="n">
        <v>436.64328</v>
      </c>
      <c r="AA63" t="n">
        <v>434.293304</v>
      </c>
      <c r="AB63" t="n">
        <v>432.731506</v>
      </c>
      <c r="AC63" t="n">
        <v>431.931274</v>
      </c>
      <c r="AD63" t="n">
        <v>431.20816</v>
      </c>
      <c r="AE63" t="n">
        <v>430.554321</v>
      </c>
      <c r="AF63" t="n">
        <v>429.959503</v>
      </c>
      <c r="AG63" s="16" t="n">
        <v>-0.013</v>
      </c>
    </row>
    <row r="64">
      <c r="A64" t="inlineStr">
        <is>
          <t>Freezers</t>
        </is>
      </c>
      <c r="B64" t="inlineStr">
        <is>
          <t>Residential Equipment: Stock Average Efficiency: Other Appliances: Freezers: High Zero-Carbon Technology Cost</t>
        </is>
      </c>
      <c r="C64" t="inlineStr">
        <is>
          <t>AEO.2025.HIGHZTC.EFI_STK_RESD_OTAR_FRZ_NA_NA_KWH.A</t>
        </is>
      </c>
      <c r="D64" t="inlineStr">
        <is>
          <t>kWh</t>
        </is>
      </c>
      <c r="F64" t="n">
        <v>463.550934</v>
      </c>
      <c r="G64" t="n">
        <v>458.890198</v>
      </c>
      <c r="H64" t="n">
        <v>454.281311</v>
      </c>
      <c r="I64" t="n">
        <v>449.720306</v>
      </c>
      <c r="J64" t="n">
        <v>445.126221</v>
      </c>
      <c r="K64" t="n">
        <v>440.455017</v>
      </c>
      <c r="L64" t="n">
        <v>433.689331</v>
      </c>
      <c r="M64" t="n">
        <v>426.782959</v>
      </c>
      <c r="N64" t="n">
        <v>419.795013</v>
      </c>
      <c r="O64" t="n">
        <v>413.100677</v>
      </c>
      <c r="P64" t="n">
        <v>406.700317</v>
      </c>
      <c r="Q64" t="n">
        <v>400.597534</v>
      </c>
      <c r="R64" t="n">
        <v>394.779266</v>
      </c>
      <c r="S64" t="n">
        <v>389.233795</v>
      </c>
      <c r="T64" t="n">
        <v>383.989136</v>
      </c>
      <c r="U64" t="n">
        <v>379.064697</v>
      </c>
      <c r="V64" t="n">
        <v>374.438232</v>
      </c>
      <c r="W64" t="n">
        <v>370.161316</v>
      </c>
      <c r="X64" t="n">
        <v>366.202148</v>
      </c>
      <c r="Y64" t="n">
        <v>362.578918</v>
      </c>
      <c r="Z64" t="n">
        <v>359.272003</v>
      </c>
      <c r="AA64" t="n">
        <v>356.262695</v>
      </c>
      <c r="AB64" t="n">
        <v>353.614227</v>
      </c>
      <c r="AC64" t="n">
        <v>351.298828</v>
      </c>
      <c r="AD64" t="n">
        <v>349.366394</v>
      </c>
      <c r="AE64" t="n">
        <v>347.843567</v>
      </c>
      <c r="AF64" t="n">
        <v>346.734406</v>
      </c>
      <c r="AG64" s="16" t="n">
        <v>-0.011</v>
      </c>
    </row>
    <row r="65">
      <c r="A65" t="inlineStr">
        <is>
          <t>Building Shell Efficiency Index</t>
        </is>
      </c>
    </row>
    <row r="66">
      <c r="A66" t="inlineStr">
        <is>
          <t>Space Heating</t>
        </is>
      </c>
    </row>
    <row r="67">
      <c r="A67" t="inlineStr">
        <is>
          <t>Pre-2020 Homes</t>
        </is>
      </c>
      <c r="B67" t="inlineStr">
        <is>
          <t>Residential Equipment: Building Shell Efficiency Index: Space Heating: Pre-2015 Homes: High Zero-Carbon Technology Cost</t>
        </is>
      </c>
      <c r="C67" t="inlineStr">
        <is>
          <t>AEO.2025.HIGHZTC.EFI_BSE_RESD_SPH_OLD_NA_NA_Y15EQ1.A</t>
        </is>
      </c>
      <c r="D67" t="inlineStr">
        <is>
          <t>2015=1.00</t>
        </is>
      </c>
      <c r="F67" t="n">
        <v>0.962499</v>
      </c>
      <c r="G67" t="n">
        <v>0.958293</v>
      </c>
      <c r="H67" t="n">
        <v>0.953861</v>
      </c>
      <c r="I67" t="n">
        <v>0.948976</v>
      </c>
      <c r="J67" t="n">
        <v>0.94338</v>
      </c>
      <c r="K67" t="n">
        <v>0.9371390000000001</v>
      </c>
      <c r="L67" t="n">
        <v>0.930514</v>
      </c>
      <c r="M67" t="n">
        <v>0.923414</v>
      </c>
      <c r="N67" t="n">
        <v>0.915817</v>
      </c>
      <c r="O67" t="n">
        <v>0.907954</v>
      </c>
      <c r="P67" t="n">
        <v>0.900289</v>
      </c>
      <c r="Q67" t="n">
        <v>0.89305</v>
      </c>
      <c r="R67" t="n">
        <v>0.886269</v>
      </c>
      <c r="S67" t="n">
        <v>0.879715</v>
      </c>
      <c r="T67" t="n">
        <v>0.873158</v>
      </c>
      <c r="U67" t="n">
        <v>0.86666</v>
      </c>
      <c r="V67" t="n">
        <v>0.860093</v>
      </c>
      <c r="W67" t="n">
        <v>0.853337</v>
      </c>
      <c r="X67" t="n">
        <v>0.846504</v>
      </c>
      <c r="Y67" t="n">
        <v>0.83967</v>
      </c>
      <c r="Z67" t="n">
        <v>0.83285</v>
      </c>
      <c r="AA67" t="n">
        <v>0.826026</v>
      </c>
      <c r="AB67" t="n">
        <v>0.819144</v>
      </c>
      <c r="AC67" t="n">
        <v>0.81229</v>
      </c>
      <c r="AD67" t="n">
        <v>0.805503</v>
      </c>
      <c r="AE67" t="n">
        <v>0.798702</v>
      </c>
      <c r="AF67" t="n">
        <v>0.791856</v>
      </c>
      <c r="AG67" s="16" t="n">
        <v>-0.007</v>
      </c>
    </row>
    <row r="68">
      <c r="A68" t="inlineStr">
        <is>
          <t>New Construction</t>
        </is>
      </c>
      <c r="B68" t="inlineStr">
        <is>
          <t>Residential Equipment: Building Shell Efficiency Index: Space Heating: New Construction: High Zero-Carbon Technology Cost</t>
        </is>
      </c>
      <c r="C68" t="inlineStr">
        <is>
          <t>AEO.2025.HIGHZTC.EFI_BSE_RESD_SPH_NCO_NA_NA_Y15EQ1.A</t>
        </is>
      </c>
      <c r="D68" t="inlineStr">
        <is>
          <t>2015=1.00</t>
        </is>
      </c>
      <c r="F68" t="n">
        <v>0.777795</v>
      </c>
      <c r="G68" t="n">
        <v>0.7778040000000001</v>
      </c>
      <c r="H68" t="n">
        <v>0.788456</v>
      </c>
      <c r="I68" t="n">
        <v>0.791936</v>
      </c>
      <c r="J68" t="n">
        <v>0.797173</v>
      </c>
      <c r="K68" t="n">
        <v>0.796403</v>
      </c>
      <c r="L68" t="n">
        <v>0.797131</v>
      </c>
      <c r="M68" t="n">
        <v>0.795607</v>
      </c>
      <c r="N68" t="n">
        <v>0.791438</v>
      </c>
      <c r="O68" t="n">
        <v>0.90783</v>
      </c>
      <c r="P68" t="n">
        <v>0.903509</v>
      </c>
      <c r="Q68" t="n">
        <v>0.903332</v>
      </c>
      <c r="R68" t="n">
        <v>0.901356</v>
      </c>
      <c r="S68" t="n">
        <v>0.896882</v>
      </c>
      <c r="T68" t="n">
        <v>0.893279</v>
      </c>
      <c r="U68" t="n">
        <v>0.890833</v>
      </c>
      <c r="V68" t="n">
        <v>0.88829</v>
      </c>
      <c r="W68" t="n">
        <v>0.884528</v>
      </c>
      <c r="X68" t="n">
        <v>0.881262</v>
      </c>
      <c r="Y68" t="n">
        <v>0.880932</v>
      </c>
      <c r="Z68" t="n">
        <v>0.881812</v>
      </c>
      <c r="AA68" t="n">
        <v>0.880657</v>
      </c>
      <c r="AB68" t="n">
        <v>0.8796890000000001</v>
      </c>
      <c r="AC68" t="n">
        <v>0.87822</v>
      </c>
      <c r="AD68" t="n">
        <v>0.877219</v>
      </c>
      <c r="AE68" t="n">
        <v>0.876159</v>
      </c>
      <c r="AF68" t="n">
        <v>0.875121</v>
      </c>
      <c r="AG68" s="16" t="n">
        <v>0.005</v>
      </c>
    </row>
    <row r="69">
      <c r="A69" t="inlineStr">
        <is>
          <t>All Homes</t>
        </is>
      </c>
      <c r="B69" t="inlineStr">
        <is>
          <t>Residential Equipment: Building Shell Efficiency Index: Space Heating: All Homes: High Zero-Carbon Technology Cost</t>
        </is>
      </c>
      <c r="C69" t="inlineStr">
        <is>
          <t>AEO.2025.HIGHZTC.EFI_BSE_RESD_SPH_AHM_NA_NA_Y15EQ1.A</t>
        </is>
      </c>
      <c r="D69" t="inlineStr">
        <is>
          <t>2015=1.00</t>
        </is>
      </c>
      <c r="F69" t="n">
        <v>0.955143</v>
      </c>
      <c r="G69" t="n">
        <v>0.949095</v>
      </c>
      <c r="H69" t="n">
        <v>0.943004</v>
      </c>
      <c r="I69" t="n">
        <v>0.936667</v>
      </c>
      <c r="J69" t="n">
        <v>0.929901</v>
      </c>
      <c r="K69" t="n">
        <v>0.922678</v>
      </c>
      <c r="L69" t="n">
        <v>0.9153</v>
      </c>
      <c r="M69" t="n">
        <v>0.907667</v>
      </c>
      <c r="N69" t="n">
        <v>0.899751</v>
      </c>
      <c r="O69" t="n">
        <v>0.893162</v>
      </c>
      <c r="P69" t="n">
        <v>0.88683</v>
      </c>
      <c r="Q69" t="n">
        <v>0.880983</v>
      </c>
      <c r="R69" t="n">
        <v>0.87561</v>
      </c>
      <c r="S69" t="n">
        <v>0.870475</v>
      </c>
      <c r="T69" t="n">
        <v>0.865393</v>
      </c>
      <c r="U69" t="n">
        <v>0.860418</v>
      </c>
      <c r="V69" t="n">
        <v>0.855445</v>
      </c>
      <c r="W69" t="n">
        <v>0.850361</v>
      </c>
      <c r="X69" t="n">
        <v>0.845263</v>
      </c>
      <c r="Y69" t="n">
        <v>0.840229</v>
      </c>
      <c r="Z69" t="n">
        <v>0.83528</v>
      </c>
      <c r="AA69" t="n">
        <v>0.830391</v>
      </c>
      <c r="AB69" t="n">
        <v>0.82552</v>
      </c>
      <c r="AC69" t="n">
        <v>0.820726</v>
      </c>
      <c r="AD69" t="n">
        <v>0.816043</v>
      </c>
      <c r="AE69" t="n">
        <v>0.811407</v>
      </c>
      <c r="AF69" t="n">
        <v>0.806791</v>
      </c>
      <c r="AG69" s="16" t="n">
        <v>-0.006</v>
      </c>
    </row>
    <row r="70">
      <c r="A70" t="inlineStr">
        <is>
          <t>Space Cooling</t>
        </is>
      </c>
    </row>
    <row r="71">
      <c r="A71" t="inlineStr">
        <is>
          <t>Pre-2020 Homes</t>
        </is>
      </c>
      <c r="B71" t="inlineStr">
        <is>
          <t>Residential Equipment: Building Shell Efficiency Index: Space Cooling: Pre-2015 Homes: High Zero-Carbon Technology Cost</t>
        </is>
      </c>
      <c r="C71" t="inlineStr">
        <is>
          <t>AEO.2025.HIGHZTC.EFI_BSE_RESD_SPC_OLD_NA_NA_Y15EQ1.A</t>
        </is>
      </c>
      <c r="D71" t="inlineStr">
        <is>
          <t>2015=1.00</t>
        </is>
      </c>
      <c r="F71" t="n">
        <v>0.9870640000000001</v>
      </c>
      <c r="G71" t="n">
        <v>0.985772</v>
      </c>
      <c r="H71" t="n">
        <v>0.98427</v>
      </c>
      <c r="I71" t="n">
        <v>0.982508</v>
      </c>
      <c r="J71" t="n">
        <v>0.9804580000000001</v>
      </c>
      <c r="K71" t="n">
        <v>0.978187</v>
      </c>
      <c r="L71" t="n">
        <v>0.975783</v>
      </c>
      <c r="M71" t="n">
        <v>0.9732460000000001</v>
      </c>
      <c r="N71" t="n">
        <v>0.970565</v>
      </c>
      <c r="O71" t="n">
        <v>0.967795</v>
      </c>
      <c r="P71" t="n">
        <v>0.965096</v>
      </c>
      <c r="Q71" t="n">
        <v>0.962539</v>
      </c>
      <c r="R71" t="n">
        <v>0.960132</v>
      </c>
      <c r="S71" t="n">
        <v>0.957803</v>
      </c>
      <c r="T71" t="n">
        <v>0.955471</v>
      </c>
      <c r="U71" t="n">
        <v>0.953172</v>
      </c>
      <c r="V71" t="n">
        <v>0.950855</v>
      </c>
      <c r="W71" t="n">
        <v>0.948457</v>
      </c>
      <c r="X71" t="n">
        <v>0.946022</v>
      </c>
      <c r="Y71" t="n">
        <v>0.9435750000000001</v>
      </c>
      <c r="Z71" t="n">
        <v>0.941128</v>
      </c>
      <c r="AA71" t="n">
        <v>0.938696</v>
      </c>
      <c r="AB71" t="n">
        <v>0.9362470000000001</v>
      </c>
      <c r="AC71" t="n">
        <v>0.933813</v>
      </c>
      <c r="AD71" t="n">
        <v>0.931396</v>
      </c>
      <c r="AE71" t="n">
        <v>0.928972</v>
      </c>
      <c r="AF71" t="n">
        <v>0.92653</v>
      </c>
      <c r="AG71" s="16" t="n">
        <v>-0.002</v>
      </c>
    </row>
    <row r="72">
      <c r="A72" t="inlineStr">
        <is>
          <t>New Construction</t>
        </is>
      </c>
      <c r="B72" t="inlineStr">
        <is>
          <t>Residential Equipment: Building Shell Efficiency Index: Space Cooling: New Construction: High Zero-Carbon Technology Cost</t>
        </is>
      </c>
      <c r="C72" t="inlineStr">
        <is>
          <t>AEO.2025.HIGHZTC.EFI_BSE_RESD_SPC_NCO_NA_NA_Y15EQ1.A</t>
        </is>
      </c>
      <c r="D72" t="inlineStr">
        <is>
          <t>2015=1.00</t>
        </is>
      </c>
      <c r="F72" t="n">
        <v>0.962238</v>
      </c>
      <c r="G72" t="n">
        <v>0.963735</v>
      </c>
      <c r="H72" t="n">
        <v>0.972506</v>
      </c>
      <c r="I72" t="n">
        <v>0.975369</v>
      </c>
      <c r="J72" t="n">
        <v>0.97906</v>
      </c>
      <c r="K72" t="n">
        <v>0.982037</v>
      </c>
      <c r="L72" t="n">
        <v>0.982878</v>
      </c>
      <c r="M72" t="n">
        <v>0.982742</v>
      </c>
      <c r="N72" t="n">
        <v>0.980868</v>
      </c>
      <c r="O72" t="n">
        <v>1.020371</v>
      </c>
      <c r="P72" t="n">
        <v>1.018169</v>
      </c>
      <c r="Q72" t="n">
        <v>1.017907</v>
      </c>
      <c r="R72" t="n">
        <v>1.016993</v>
      </c>
      <c r="S72" t="n">
        <v>1.014689</v>
      </c>
      <c r="T72" t="n">
        <v>1.012976</v>
      </c>
      <c r="U72" t="n">
        <v>1.012075</v>
      </c>
      <c r="V72" t="n">
        <v>1.01144</v>
      </c>
      <c r="W72" t="n">
        <v>1.010168</v>
      </c>
      <c r="X72" t="n">
        <v>1.008936</v>
      </c>
      <c r="Y72" t="n">
        <v>1.00961</v>
      </c>
      <c r="Z72" t="n">
        <v>1.010903</v>
      </c>
      <c r="AA72" t="n">
        <v>1.010773</v>
      </c>
      <c r="AB72" t="n">
        <v>1.010664</v>
      </c>
      <c r="AC72" t="n">
        <v>1.010374</v>
      </c>
      <c r="AD72" t="n">
        <v>1.010311</v>
      </c>
      <c r="AE72" t="n">
        <v>1.010293</v>
      </c>
      <c r="AF72" t="n">
        <v>1.0102</v>
      </c>
      <c r="AG72" s="16" t="n">
        <v>0.002</v>
      </c>
    </row>
    <row r="73">
      <c r="A73" t="inlineStr">
        <is>
          <t>All Homes</t>
        </is>
      </c>
      <c r="B73" t="inlineStr">
        <is>
          <t>Residential Equipment: Building Shell Efficiency Index: Space Cooling: All Homes: High Zero-Carbon Technology Cost</t>
        </is>
      </c>
      <c r="C73" t="inlineStr">
        <is>
          <t>AEO.2025.HIGHZTC.EFI_BSE_RESD_SPC_AHM_NA_NA_Y15EQ1.A</t>
        </is>
      </c>
      <c r="D73" t="inlineStr">
        <is>
          <t>2015=1.00</t>
        </is>
      </c>
      <c r="F73" t="n">
        <v>0.9871180000000001</v>
      </c>
      <c r="G73" t="n">
        <v>0.985658</v>
      </c>
      <c r="H73" t="n">
        <v>0.98411</v>
      </c>
      <c r="I73" t="n">
        <v>0.9823769999999999</v>
      </c>
      <c r="J73" t="n">
        <v>0.980453</v>
      </c>
      <c r="K73" t="n">
        <v>0.978394</v>
      </c>
      <c r="L73" t="n">
        <v>0.976264</v>
      </c>
      <c r="M73" t="n">
        <v>0.974055</v>
      </c>
      <c r="N73" t="n">
        <v>0.971739</v>
      </c>
      <c r="O73" t="n">
        <v>0.969759</v>
      </c>
      <c r="P73" t="n">
        <v>0.96783</v>
      </c>
      <c r="Q73" t="n">
        <v>0.966045</v>
      </c>
      <c r="R73" t="n">
        <v>0.964396</v>
      </c>
      <c r="S73" t="n">
        <v>0.9628</v>
      </c>
      <c r="T73" t="n">
        <v>0.961193</v>
      </c>
      <c r="U73" t="n">
        <v>0.959611</v>
      </c>
      <c r="V73" t="n">
        <v>0.958014</v>
      </c>
      <c r="W73" t="n">
        <v>0.956344</v>
      </c>
      <c r="X73" t="n">
        <v>0.954641</v>
      </c>
      <c r="Y73" t="n">
        <v>0.952937</v>
      </c>
      <c r="Z73" t="n">
        <v>0.951251</v>
      </c>
      <c r="AA73" t="n">
        <v>0.949591</v>
      </c>
      <c r="AB73" t="n">
        <v>0.947931</v>
      </c>
      <c r="AC73" t="n">
        <v>0.946295</v>
      </c>
      <c r="AD73" t="n">
        <v>0.9446870000000001</v>
      </c>
      <c r="AE73" t="n">
        <v>0.943085</v>
      </c>
      <c r="AF73" t="n">
        <v>0.941481</v>
      </c>
      <c r="AG73" s="16" t="n">
        <v>-0.002</v>
      </c>
    </row>
    <row r="74">
      <c r="A74" t="inlineStr">
        <is>
          <t>Distributed Generation and</t>
        </is>
      </c>
    </row>
    <row r="75">
      <c r="A75" t="inlineStr">
        <is>
          <t>Combined Heat and Power</t>
        </is>
      </c>
    </row>
    <row r="76" customFormat="1" s="49">
      <c r="A76" s="49" t="inlineStr">
        <is>
          <t>Generating Capacity (gigawatts)</t>
        </is>
      </c>
    </row>
    <row r="77">
      <c r="A77" t="inlineStr">
        <is>
          <t>Natural Gas Fuel Cells</t>
        </is>
      </c>
      <c r="B77" t="inlineStr">
        <is>
          <t>Residential: Combined Heat and Power: Generating Capacity: Fuel Cells: High Zero-Carbon Technology Cost</t>
        </is>
      </c>
      <c r="C77" t="inlineStr">
        <is>
          <t>AEO.2025.HIGHZTC.CAP_NA_COMM_CHP_FCL_NA_NA_MW.A</t>
        </is>
      </c>
      <c r="D77" t="inlineStr">
        <is>
          <t>GW</t>
        </is>
      </c>
      <c r="F77" t="n">
        <v>0.001725</v>
      </c>
      <c r="G77" t="n">
        <v>0.003088</v>
      </c>
      <c r="H77" t="n">
        <v>0.003101</v>
      </c>
      <c r="I77" t="n">
        <v>0.003114</v>
      </c>
      <c r="J77" t="n">
        <v>0.003127</v>
      </c>
      <c r="K77" t="n">
        <v>0.00314</v>
      </c>
      <c r="L77" t="n">
        <v>0.003153</v>
      </c>
      <c r="M77" t="n">
        <v>0.003166</v>
      </c>
      <c r="N77" t="n">
        <v>0.003179</v>
      </c>
      <c r="O77" t="n">
        <v>0.003192</v>
      </c>
      <c r="P77" t="n">
        <v>0.003205</v>
      </c>
      <c r="Q77" t="n">
        <v>0.003218</v>
      </c>
      <c r="R77" t="n">
        <v>0.003231</v>
      </c>
      <c r="S77" t="n">
        <v>0.003244</v>
      </c>
      <c r="T77" t="n">
        <v>0.003257</v>
      </c>
      <c r="U77" t="n">
        <v>0.00327</v>
      </c>
      <c r="V77" t="n">
        <v>0.003285</v>
      </c>
      <c r="W77" t="n">
        <v>0.003301</v>
      </c>
      <c r="X77" t="n">
        <v>0.003322</v>
      </c>
      <c r="Y77" t="n">
        <v>0.003352</v>
      </c>
      <c r="Z77" t="n">
        <v>0.003399</v>
      </c>
      <c r="AA77" t="n">
        <v>0.003478</v>
      </c>
      <c r="AB77" t="n">
        <v>0.003618</v>
      </c>
      <c r="AC77" t="n">
        <v>0.003759</v>
      </c>
      <c r="AD77" t="n">
        <v>0.0039</v>
      </c>
      <c r="AE77" t="n">
        <v>0.004042</v>
      </c>
      <c r="AF77" t="n">
        <v>0.004185</v>
      </c>
      <c r="AG77" s="16" t="n">
        <v>0.035</v>
      </c>
    </row>
    <row r="78">
      <c r="A78" t="inlineStr">
        <is>
          <t>Solar Photovoltaic</t>
        </is>
      </c>
      <c r="B78" t="inlineStr">
        <is>
          <t>Residential: Combined Heat and Power: Generating Capacity: Solar Photovoltaic: High Zero-Carbon Technology Cost</t>
        </is>
      </c>
      <c r="C78" t="inlineStr">
        <is>
          <t>AEO.2025.HIGHZTC.CAP_NA_RESD_CHP_SLR_PHTVL_NA_MW.A</t>
        </is>
      </c>
      <c r="D78" t="inlineStr">
        <is>
          <t>GW</t>
        </is>
      </c>
      <c r="F78" t="n">
        <v>41.307827</v>
      </c>
      <c r="G78" t="n">
        <v>47.377987</v>
      </c>
      <c r="H78" t="n">
        <v>53.527718</v>
      </c>
      <c r="I78" t="n">
        <v>59.344631</v>
      </c>
      <c r="J78" t="n">
        <v>65.296082</v>
      </c>
      <c r="K78" t="n">
        <v>71.340698</v>
      </c>
      <c r="L78" t="n">
        <v>77.80495500000001</v>
      </c>
      <c r="M78" t="n">
        <v>84.77046199999999</v>
      </c>
      <c r="N78" t="n">
        <v>91.686966</v>
      </c>
      <c r="O78" t="n">
        <v>98.871689</v>
      </c>
      <c r="P78" t="n">
        <v>105.994034</v>
      </c>
      <c r="Q78" t="n">
        <v>111.568611</v>
      </c>
      <c r="R78" t="n">
        <v>117.320343</v>
      </c>
      <c r="S78" t="n">
        <v>123.133934</v>
      </c>
      <c r="T78" t="n">
        <v>129.233612</v>
      </c>
      <c r="U78" t="n">
        <v>135.376007</v>
      </c>
      <c r="V78" t="n">
        <v>141.648636</v>
      </c>
      <c r="W78" t="n">
        <v>147.972321</v>
      </c>
      <c r="X78" t="n">
        <v>154.486252</v>
      </c>
      <c r="Y78" t="n">
        <v>161.088104</v>
      </c>
      <c r="Z78" t="n">
        <v>167.799713</v>
      </c>
      <c r="AA78" t="n">
        <v>174.750168</v>
      </c>
      <c r="AB78" t="n">
        <v>181.85144</v>
      </c>
      <c r="AC78" t="n">
        <v>189.170822</v>
      </c>
      <c r="AD78" t="n">
        <v>196.669968</v>
      </c>
      <c r="AE78" t="n">
        <v>204.348068</v>
      </c>
      <c r="AF78" t="n">
        <v>212.126541</v>
      </c>
      <c r="AG78" s="16" t="n">
        <v>0.065</v>
      </c>
    </row>
    <row r="79">
      <c r="A79" t="inlineStr">
        <is>
          <t>Wind</t>
        </is>
      </c>
      <c r="B79" t="inlineStr">
        <is>
          <t>Residential: Combined Heat and Power: Generating Capacity: Wind: High Zero-Carbon Technology Cost</t>
        </is>
      </c>
      <c r="C79" t="inlineStr">
        <is>
          <t>AEO.2025.HIGHZTC.CAP_NA_RESD_CHP_WND_NA_NA_MW.A</t>
        </is>
      </c>
      <c r="D79" t="inlineStr">
        <is>
          <t>GW</t>
        </is>
      </c>
      <c r="F79" t="n">
        <v>0.308179</v>
      </c>
      <c r="G79" t="n">
        <v>0.560921</v>
      </c>
      <c r="H79" t="n">
        <v>0.806044</v>
      </c>
      <c r="I79" t="n">
        <v>0.908432</v>
      </c>
      <c r="J79" t="n">
        <v>1.022869</v>
      </c>
      <c r="K79" t="n">
        <v>1.146172</v>
      </c>
      <c r="L79" t="n">
        <v>1.390895</v>
      </c>
      <c r="M79" t="n">
        <v>1.690819</v>
      </c>
      <c r="N79" t="n">
        <v>1.994769</v>
      </c>
      <c r="O79" t="n">
        <v>2.108177</v>
      </c>
      <c r="P79" t="n">
        <v>2.161123</v>
      </c>
      <c r="Q79" t="n">
        <v>2.162338</v>
      </c>
      <c r="R79" t="n">
        <v>2.163817</v>
      </c>
      <c r="S79" t="n">
        <v>2.165545</v>
      </c>
      <c r="T79" t="n">
        <v>2.167536</v>
      </c>
      <c r="U79" t="n">
        <v>2.169726</v>
      </c>
      <c r="V79" t="n">
        <v>2.172139</v>
      </c>
      <c r="W79" t="n">
        <v>2.1748</v>
      </c>
      <c r="X79" t="n">
        <v>2.177634</v>
      </c>
      <c r="Y79" t="n">
        <v>2.18058</v>
      </c>
      <c r="Z79" t="n">
        <v>2.183634</v>
      </c>
      <c r="AA79" t="n">
        <v>2.186825</v>
      </c>
      <c r="AB79" t="n">
        <v>2.190188</v>
      </c>
      <c r="AC79" t="n">
        <v>2.193648</v>
      </c>
      <c r="AD79" t="n">
        <v>2.197246</v>
      </c>
      <c r="AE79" t="n">
        <v>2.200986</v>
      </c>
      <c r="AF79" t="n">
        <v>2.20487</v>
      </c>
      <c r="AG79" s="16" t="n">
        <v>0.079</v>
      </c>
    </row>
    <row r="80">
      <c r="A80" t="inlineStr">
        <is>
          <t>Total</t>
        </is>
      </c>
      <c r="B80" t="inlineStr">
        <is>
          <t>Residential: Combined Heat and Power: Generating Capacity: Total: High Zero-Carbon Technology Cost</t>
        </is>
      </c>
      <c r="C80" t="inlineStr">
        <is>
          <t>AEO.2025.HIGHZTC.CAP_NA_RESD_CHP_TOT_NA_NA_MW.A</t>
        </is>
      </c>
      <c r="D80" t="inlineStr">
        <is>
          <t>GW</t>
        </is>
      </c>
      <c r="F80" t="n">
        <v>41.617729</v>
      </c>
      <c r="G80" t="n">
        <v>47.941998</v>
      </c>
      <c r="H80" t="n">
        <v>54.336864</v>
      </c>
      <c r="I80" t="n">
        <v>60.256176</v>
      </c>
      <c r="J80" t="n">
        <v>66.322075</v>
      </c>
      <c r="K80" t="n">
        <v>72.490013</v>
      </c>
      <c r="L80" t="n">
        <v>79.19899700000001</v>
      </c>
      <c r="M80" t="n">
        <v>86.46444700000001</v>
      </c>
      <c r="N80" t="n">
        <v>93.68491400000001</v>
      </c>
      <c r="O80" t="n">
        <v>100.983055</v>
      </c>
      <c r="P80" t="n">
        <v>108.158363</v>
      </c>
      <c r="Q80" t="n">
        <v>113.734169</v>
      </c>
      <c r="R80" t="n">
        <v>119.487396</v>
      </c>
      <c r="S80" t="n">
        <v>125.302719</v>
      </c>
      <c r="T80" t="n">
        <v>131.404404</v>
      </c>
      <c r="U80" t="n">
        <v>137.548996</v>
      </c>
      <c r="V80" t="n">
        <v>143.824051</v>
      </c>
      <c r="W80" t="n">
        <v>150.150421</v>
      </c>
      <c r="X80" t="n">
        <v>156.667206</v>
      </c>
      <c r="Y80" t="n">
        <v>163.272034</v>
      </c>
      <c r="Z80" t="n">
        <v>169.986755</v>
      </c>
      <c r="AA80" t="n">
        <v>176.940475</v>
      </c>
      <c r="AB80" t="n">
        <v>184.045242</v>
      </c>
      <c r="AC80" t="n">
        <v>191.368225</v>
      </c>
      <c r="AD80" t="n">
        <v>198.871124</v>
      </c>
      <c r="AE80" t="n">
        <v>206.553101</v>
      </c>
      <c r="AF80" t="n">
        <v>214.335587</v>
      </c>
      <c r="AG80" s="16" t="n">
        <v>0.065</v>
      </c>
    </row>
    <row r="81" customFormat="1" s="49">
      <c r="A81" s="49" t="inlineStr">
        <is>
          <t>Net Generation (billion kilowatthours)</t>
        </is>
      </c>
    </row>
    <row r="82">
      <c r="A82" t="inlineStr">
        <is>
          <t>Natural Gas Fuel Cells</t>
        </is>
      </c>
      <c r="B82" t="inlineStr">
        <is>
          <t>Residential: Combined Heat and Power: Net Generation: Fuel Cells: High Zero-Carbon Technology Cost</t>
        </is>
      </c>
      <c r="C82" t="inlineStr">
        <is>
          <t>AEO.2025.HIGHZTC.GEN_NA_COMM_CHP_FCL_NA_NA_MILLKWH.A</t>
        </is>
      </c>
      <c r="D82" t="inlineStr">
        <is>
          <t>billion kWh</t>
        </is>
      </c>
      <c r="F82" t="n">
        <v>0.006833</v>
      </c>
      <c r="G82" t="n">
        <v>0.01223</v>
      </c>
      <c r="H82" t="n">
        <v>0.012281</v>
      </c>
      <c r="I82" t="n">
        <v>0.012333</v>
      </c>
      <c r="J82" t="n">
        <v>0.012384</v>
      </c>
      <c r="K82" t="n">
        <v>0.012436</v>
      </c>
      <c r="L82" t="n">
        <v>0.012487</v>
      </c>
      <c r="M82" t="n">
        <v>0.012539</v>
      </c>
      <c r="N82" t="n">
        <v>0.01259</v>
      </c>
      <c r="O82" t="n">
        <v>0.012642</v>
      </c>
      <c r="P82" t="n">
        <v>0.012693</v>
      </c>
      <c r="Q82" t="n">
        <v>0.012744</v>
      </c>
      <c r="R82" t="n">
        <v>0.012796</v>
      </c>
      <c r="S82" t="n">
        <v>0.012847</v>
      </c>
      <c r="T82" t="n">
        <v>0.012899</v>
      </c>
      <c r="U82" t="n">
        <v>0.012951</v>
      </c>
      <c r="V82" t="n">
        <v>0.013007</v>
      </c>
      <c r="W82" t="n">
        <v>0.013071</v>
      </c>
      <c r="X82" t="n">
        <v>0.013154</v>
      </c>
      <c r="Y82" t="n">
        <v>0.013272</v>
      </c>
      <c r="Z82" t="n">
        <v>0.013459</v>
      </c>
      <c r="AA82" t="n">
        <v>0.013774</v>
      </c>
      <c r="AB82" t="n">
        <v>0.014328</v>
      </c>
      <c r="AC82" t="n">
        <v>0.014885</v>
      </c>
      <c r="AD82" t="n">
        <v>0.015444</v>
      </c>
      <c r="AE82" t="n">
        <v>0.016007</v>
      </c>
      <c r="AF82" t="n">
        <v>0.016572</v>
      </c>
      <c r="AG82" s="16" t="n">
        <v>0.035</v>
      </c>
    </row>
    <row r="83">
      <c r="A83" t="inlineStr">
        <is>
          <t>Solar Photovoltaic</t>
        </is>
      </c>
      <c r="B83" t="inlineStr">
        <is>
          <t>Residential: Combined Heat and Power: Net Generation: Solar Photovoltaic: High Zero-Carbon Technology Cost</t>
        </is>
      </c>
      <c r="C83" t="inlineStr">
        <is>
          <t>AEO.2025.HIGHZTC.GEN_NA_COMM_CHP_SLR_PHTVL_NA_MILLKWH.A</t>
        </is>
      </c>
      <c r="D83" t="inlineStr">
        <is>
          <t>billion kWh</t>
        </is>
      </c>
      <c r="F83" t="n">
        <v>62.697704</v>
      </c>
      <c r="G83" t="n">
        <v>71.294235</v>
      </c>
      <c r="H83" t="n">
        <v>79.99297300000001</v>
      </c>
      <c r="I83" t="n">
        <v>88.17804</v>
      </c>
      <c r="J83" t="n">
        <v>96.523483</v>
      </c>
      <c r="K83" t="n">
        <v>104.968887</v>
      </c>
      <c r="L83" t="n">
        <v>113.990364</v>
      </c>
      <c r="M83" t="n">
        <v>123.68132</v>
      </c>
      <c r="N83" t="n">
        <v>133.259018</v>
      </c>
      <c r="O83" t="n">
        <v>143.186493</v>
      </c>
      <c r="P83" t="n">
        <v>153.013916</v>
      </c>
      <c r="Q83" t="n">
        <v>160.67247</v>
      </c>
      <c r="R83" t="n">
        <v>168.563461</v>
      </c>
      <c r="S83" t="n">
        <v>176.514481</v>
      </c>
      <c r="T83" t="n">
        <v>184.853317</v>
      </c>
      <c r="U83" t="n">
        <v>193.228027</v>
      </c>
      <c r="V83" t="n">
        <v>201.758499</v>
      </c>
      <c r="W83" t="n">
        <v>210.331528</v>
      </c>
      <c r="X83" t="n">
        <v>219.145462</v>
      </c>
      <c r="Y83" t="n">
        <v>228.058289</v>
      </c>
      <c r="Z83" t="n">
        <v>237.096405</v>
      </c>
      <c r="AA83" t="n">
        <v>246.436996</v>
      </c>
      <c r="AB83" t="n">
        <v>255.963303</v>
      </c>
      <c r="AC83" t="n">
        <v>265.765381</v>
      </c>
      <c r="AD83" t="n">
        <v>275.789062</v>
      </c>
      <c r="AE83" t="n">
        <v>286.03299</v>
      </c>
      <c r="AF83" t="n">
        <v>296.383972</v>
      </c>
      <c r="AG83" s="16" t="n">
        <v>0.062</v>
      </c>
    </row>
    <row r="84" customFormat="1" s="1">
      <c r="A84" s="1" t="inlineStr">
        <is>
          <t>Wind</t>
        </is>
      </c>
      <c r="B84" s="1" t="inlineStr">
        <is>
          <t>Residential: Combined Heat and Power: Net Generation: Wind: High Zero-Carbon Technology Cost</t>
        </is>
      </c>
      <c r="C84" s="1" t="inlineStr">
        <is>
          <t>AEO.2025.HIGHZTC.GEN_NA_COMM_CHP_WND_NA_NA_MILLKWH.A</t>
        </is>
      </c>
      <c r="D84" s="1" t="inlineStr">
        <is>
          <t>billion kWh</t>
        </is>
      </c>
      <c r="F84" s="1" t="n">
        <v>0.36942</v>
      </c>
      <c r="G84" s="1" t="n">
        <v>0.627201</v>
      </c>
      <c r="H84" s="1" t="n">
        <v>0.879623</v>
      </c>
      <c r="I84" s="1" t="n">
        <v>0.996866</v>
      </c>
      <c r="J84" s="1" t="n">
        <v>1.127979</v>
      </c>
      <c r="K84" s="1" t="n">
        <v>1.269903</v>
      </c>
      <c r="L84" s="1" t="n">
        <v>1.541979</v>
      </c>
      <c r="M84" s="1" t="n">
        <v>1.900119</v>
      </c>
      <c r="N84" s="1" t="n">
        <v>2.263994</v>
      </c>
      <c r="O84" s="1" t="n">
        <v>2.387514</v>
      </c>
      <c r="P84" s="1" t="n">
        <v>2.444973</v>
      </c>
      <c r="Q84" s="1" t="n">
        <v>2.446357</v>
      </c>
      <c r="R84" s="1" t="n">
        <v>2.448035</v>
      </c>
      <c r="S84" s="1" t="n">
        <v>2.44999</v>
      </c>
      <c r="T84" s="1" t="n">
        <v>2.452236</v>
      </c>
      <c r="U84" s="1" t="n">
        <v>2.4547</v>
      </c>
      <c r="V84" s="1" t="n">
        <v>2.457409</v>
      </c>
      <c r="W84" s="1" t="n">
        <v>2.460389</v>
      </c>
      <c r="X84" s="1" t="n">
        <v>2.463559</v>
      </c>
      <c r="Y84" s="1" t="n">
        <v>2.466848</v>
      </c>
      <c r="Z84" s="1" t="n">
        <v>2.470254</v>
      </c>
      <c r="AA84" s="1" t="n">
        <v>2.473806</v>
      </c>
      <c r="AB84" s="1" t="n">
        <v>2.477537</v>
      </c>
      <c r="AC84" s="1" t="n">
        <v>2.481375</v>
      </c>
      <c r="AD84" s="1" t="n">
        <v>2.485367</v>
      </c>
      <c r="AE84" s="1" t="n">
        <v>2.489517</v>
      </c>
      <c r="AF84" s="1" t="n">
        <v>2.493827</v>
      </c>
      <c r="AG84" s="48" t="n">
        <v>0.076</v>
      </c>
    </row>
    <row r="85">
      <c r="A85" t="inlineStr">
        <is>
          <t>Total</t>
        </is>
      </c>
      <c r="B85" t="inlineStr">
        <is>
          <t>Residential: Combined Heat and Power: Net Generation: Total: High Zero-Carbon Technology Cost</t>
        </is>
      </c>
      <c r="C85" t="inlineStr">
        <is>
          <t>AEO.2025.HIGHZTC.GEN_NA_COMM_CHP_TOT_NA_NA_MILLKWH.A</t>
        </is>
      </c>
      <c r="D85" t="inlineStr">
        <is>
          <t>billion kWh</t>
        </is>
      </c>
      <c r="F85" t="n">
        <v>63.073956</v>
      </c>
      <c r="G85" t="n">
        <v>71.933662</v>
      </c>
      <c r="H85" t="n">
        <v>80.88488</v>
      </c>
      <c r="I85" t="n">
        <v>89.18723300000001</v>
      </c>
      <c r="J85" t="n">
        <v>97.663849</v>
      </c>
      <c r="K85" t="n">
        <v>106.251228</v>
      </c>
      <c r="L85" t="n">
        <v>115.54483</v>
      </c>
      <c r="M85" t="n">
        <v>125.593971</v>
      </c>
      <c r="N85" t="n">
        <v>135.535599</v>
      </c>
      <c r="O85" t="n">
        <v>145.586639</v>
      </c>
      <c r="P85" t="n">
        <v>155.471588</v>
      </c>
      <c r="Q85" t="n">
        <v>163.131561</v>
      </c>
      <c r="R85" t="n">
        <v>171.024292</v>
      </c>
      <c r="S85" t="n">
        <v>178.977325</v>
      </c>
      <c r="T85" t="n">
        <v>187.318451</v>
      </c>
      <c r="U85" t="n">
        <v>195.695679</v>
      </c>
      <c r="V85" t="n">
        <v>204.228912</v>
      </c>
      <c r="W85" t="n">
        <v>212.804993</v>
      </c>
      <c r="X85" t="n">
        <v>221.622177</v>
      </c>
      <c r="Y85" t="n">
        <v>230.538406</v>
      </c>
      <c r="Z85" t="n">
        <v>239.580124</v>
      </c>
      <c r="AA85" t="n">
        <v>248.924576</v>
      </c>
      <c r="AB85" t="n">
        <v>258.45517</v>
      </c>
      <c r="AC85" t="n">
        <v>268.261658</v>
      </c>
      <c r="AD85" t="n">
        <v>278.289886</v>
      </c>
      <c r="AE85" t="n">
        <v>288.538513</v>
      </c>
      <c r="AF85" t="n">
        <v>298.894379</v>
      </c>
      <c r="AG85" s="16" t="n">
        <v>0.062</v>
      </c>
    </row>
    <row r="86">
      <c r="A86" t="inlineStr">
        <is>
          <t>Disposition</t>
        </is>
      </c>
    </row>
    <row r="87">
      <c r="A87" t="inlineStr">
        <is>
          <t>Sales to the Grid</t>
        </is>
      </c>
      <c r="B87" t="inlineStr">
        <is>
          <t>Residential: Combined Heat and Power: Net Generation: Sales to the Grid: High Zero-Carbon Technology Cost</t>
        </is>
      </c>
      <c r="C87" t="inlineStr">
        <is>
          <t>AEO.2025.HIGHZTC.GEN_NA_COMM_CHP_STG_NA_NA_MILLKWH.A</t>
        </is>
      </c>
      <c r="D87" t="inlineStr">
        <is>
          <t>billion kWh</t>
        </is>
      </c>
      <c r="F87" t="n">
        <v>11.527926</v>
      </c>
      <c r="G87" t="n">
        <v>13.327675</v>
      </c>
      <c r="H87" t="n">
        <v>15.115705</v>
      </c>
      <c r="I87" t="n">
        <v>16.711512</v>
      </c>
      <c r="J87" t="n">
        <v>18.336744</v>
      </c>
      <c r="K87" t="n">
        <v>19.964907</v>
      </c>
      <c r="L87" t="n">
        <v>21.847279</v>
      </c>
      <c r="M87" t="n">
        <v>23.999292</v>
      </c>
      <c r="N87" t="n">
        <v>26.07505</v>
      </c>
      <c r="O87" t="n">
        <v>28.288122</v>
      </c>
      <c r="P87" t="n">
        <v>30.488134</v>
      </c>
      <c r="Q87" t="n">
        <v>32.147984</v>
      </c>
      <c r="R87" t="n">
        <v>33.877605</v>
      </c>
      <c r="S87" t="n">
        <v>35.58342</v>
      </c>
      <c r="T87" t="n">
        <v>37.42905</v>
      </c>
      <c r="U87" t="n">
        <v>39.226177</v>
      </c>
      <c r="V87" t="n">
        <v>41.04538</v>
      </c>
      <c r="W87" t="n">
        <v>42.813847</v>
      </c>
      <c r="X87" t="n">
        <v>44.644409</v>
      </c>
      <c r="Y87" t="n">
        <v>46.466736</v>
      </c>
      <c r="Z87" t="n">
        <v>48.275852</v>
      </c>
      <c r="AA87" t="n">
        <v>50.168255</v>
      </c>
      <c r="AB87" t="n">
        <v>52.062748</v>
      </c>
      <c r="AC87" t="n">
        <v>54.058846</v>
      </c>
      <c r="AD87" t="n">
        <v>56.059513</v>
      </c>
      <c r="AE87" t="n">
        <v>58.126335</v>
      </c>
      <c r="AF87" t="n">
        <v>60.175503</v>
      </c>
      <c r="AG87" s="16" t="n">
        <v>0.066</v>
      </c>
    </row>
    <row r="88">
      <c r="A88" t="inlineStr">
        <is>
          <t>Generation for Own Use</t>
        </is>
      </c>
      <c r="B88" t="inlineStr">
        <is>
          <t>Residential: Combined Heat and Power: Net Generation: Generation for Own Use: High Zero-Carbon Technology Cost</t>
        </is>
      </c>
      <c r="C88" t="inlineStr">
        <is>
          <t>AEO.2025.HIGHZTC.GEN_NA_COMM_CHP_GFO_NA_NA_MILLKWH.A</t>
        </is>
      </c>
      <c r="D88" t="inlineStr">
        <is>
          <t>billion kWh</t>
        </is>
      </c>
      <c r="F88" t="n">
        <v>51.546032</v>
      </c>
      <c r="G88" t="n">
        <v>58.605991</v>
      </c>
      <c r="H88" t="n">
        <v>65.76917299999999</v>
      </c>
      <c r="I88" t="n">
        <v>72.475723</v>
      </c>
      <c r="J88" t="n">
        <v>79.32711</v>
      </c>
      <c r="K88" t="n">
        <v>86.28632399999999</v>
      </c>
      <c r="L88" t="n">
        <v>93.69755600000001</v>
      </c>
      <c r="M88" t="n">
        <v>101.594688</v>
      </c>
      <c r="N88" t="n">
        <v>109.460548</v>
      </c>
      <c r="O88" t="n">
        <v>117.298531</v>
      </c>
      <c r="P88" t="n">
        <v>124.983452</v>
      </c>
      <c r="Q88" t="n">
        <v>130.983582</v>
      </c>
      <c r="R88" t="n">
        <v>137.146683</v>
      </c>
      <c r="S88" t="n">
        <v>143.393906</v>
      </c>
      <c r="T88" t="n">
        <v>149.889389</v>
      </c>
      <c r="U88" t="n">
        <v>156.469498</v>
      </c>
      <c r="V88" t="n">
        <v>163.183517</v>
      </c>
      <c r="W88" t="n">
        <v>169.99115</v>
      </c>
      <c r="X88" t="n">
        <v>176.977768</v>
      </c>
      <c r="Y88" t="n">
        <v>184.071671</v>
      </c>
      <c r="Z88" t="n">
        <v>191.304276</v>
      </c>
      <c r="AA88" t="n">
        <v>198.756332</v>
      </c>
      <c r="AB88" t="n">
        <v>206.39241</v>
      </c>
      <c r="AC88" t="n">
        <v>214.20282</v>
      </c>
      <c r="AD88" t="n">
        <v>222.230377</v>
      </c>
      <c r="AE88" t="n">
        <v>230.41217</v>
      </c>
      <c r="AF88" t="n">
        <v>238.718842</v>
      </c>
      <c r="AG88" s="16" t="n">
        <v>0.061</v>
      </c>
    </row>
    <row r="89">
      <c r="A89" t="inlineStr">
        <is>
          <t>Energy Input (trillion Btu)</t>
        </is>
      </c>
    </row>
    <row r="90">
      <c r="A90" t="inlineStr">
        <is>
          <t>Natural Gas Fuel Cells</t>
        </is>
      </c>
      <c r="B90" t="inlineStr">
        <is>
          <t>Residential: Combined Heat and Power: Energy Input: Fuel Cells: High Zero-Carbon Technology Cost</t>
        </is>
      </c>
      <c r="C90" t="inlineStr">
        <is>
          <t>AEO.2025.HIGHZTC.CNSM_NA_COMM_CHP_FCL_NA_NA_TRLBTU.A</t>
        </is>
      </c>
      <c r="D90" t="inlineStr">
        <is>
          <t>trillion Btu</t>
        </is>
      </c>
      <c r="F90" t="n">
        <v>0.052159</v>
      </c>
      <c r="G90" t="n">
        <v>0.093352</v>
      </c>
      <c r="H90" t="n">
        <v>0.09374499999999999</v>
      </c>
      <c r="I90" t="n">
        <v>0.094138</v>
      </c>
      <c r="J90" t="n">
        <v>0.094531</v>
      </c>
      <c r="K90" t="n">
        <v>0.09492399999999999</v>
      </c>
      <c r="L90" t="n">
        <v>0.095317</v>
      </c>
      <c r="M90" t="n">
        <v>0.09571</v>
      </c>
      <c r="N90" t="n">
        <v>0.09610299999999999</v>
      </c>
      <c r="O90" t="n">
        <v>0.096496</v>
      </c>
      <c r="P90" t="n">
        <v>0.096889</v>
      </c>
      <c r="Q90" t="n">
        <v>0.09728199999999999</v>
      </c>
      <c r="R90" t="n">
        <v>0.097675</v>
      </c>
      <c r="S90" t="n">
        <v>0.098068</v>
      </c>
      <c r="T90" t="n">
        <v>0.09846100000000001</v>
      </c>
      <c r="U90" t="n">
        <v>0.09886</v>
      </c>
      <c r="V90" t="n">
        <v>0.099284</v>
      </c>
      <c r="W90" t="n">
        <v>0.099774</v>
      </c>
      <c r="X90" t="n">
        <v>0.100407</v>
      </c>
      <c r="Y90" t="n">
        <v>0.101309</v>
      </c>
      <c r="Z90" t="n">
        <v>0.102735</v>
      </c>
      <c r="AA90" t="n">
        <v>0.105142</v>
      </c>
      <c r="AB90" t="n">
        <v>0.109371</v>
      </c>
      <c r="AC90" t="n">
        <v>0.113619</v>
      </c>
      <c r="AD90" t="n">
        <v>0.117891</v>
      </c>
      <c r="AE90" t="n">
        <v>0.122184</v>
      </c>
      <c r="AF90" t="n">
        <v>0.126495</v>
      </c>
      <c r="AG90" s="16" t="n">
        <v>0.035</v>
      </c>
    </row>
    <row r="91">
      <c r="A91" t="inlineStr">
        <is>
          <t>Solar Photovoltaic</t>
        </is>
      </c>
      <c r="B91" t="inlineStr">
        <is>
          <t>Residential: Combined Heat and Power: Energy Input: Solar Photovoltaic: High Zero-Carbon Technology Cost</t>
        </is>
      </c>
      <c r="C91" t="inlineStr">
        <is>
          <t>AEO.2025.HIGHZTC.CNSM_NA_COMM_CHP_SLR_PHTVL_NA_TRLBTU.A</t>
        </is>
      </c>
      <c r="D91" t="inlineStr">
        <is>
          <t>trillion Btu</t>
        </is>
      </c>
      <c r="F91" t="n">
        <v>213.924561</v>
      </c>
      <c r="G91" t="n">
        <v>243.25592</v>
      </c>
      <c r="H91" t="n">
        <v>272.936005</v>
      </c>
      <c r="I91" t="n">
        <v>300.863464</v>
      </c>
      <c r="J91" t="n">
        <v>329.338104</v>
      </c>
      <c r="K91" t="n">
        <v>358.15387</v>
      </c>
      <c r="L91" t="n">
        <v>388.93512</v>
      </c>
      <c r="M91" t="n">
        <v>422.00061</v>
      </c>
      <c r="N91" t="n">
        <v>454.679749</v>
      </c>
      <c r="O91" t="n">
        <v>488.552307</v>
      </c>
      <c r="P91" t="n">
        <v>522.083435</v>
      </c>
      <c r="Q91" t="n">
        <v>548.214478</v>
      </c>
      <c r="R91" t="n">
        <v>575.13855</v>
      </c>
      <c r="S91" t="n">
        <v>602.267395</v>
      </c>
      <c r="T91" t="n">
        <v>630.719482</v>
      </c>
      <c r="U91" t="n">
        <v>659.293945</v>
      </c>
      <c r="V91" t="n">
        <v>688.399902</v>
      </c>
      <c r="W91" t="n">
        <v>717.6511839999999</v>
      </c>
      <c r="X91" t="n">
        <v>747.724365</v>
      </c>
      <c r="Y91" t="n">
        <v>778.134766</v>
      </c>
      <c r="Z91" t="n">
        <v>808.9729610000001</v>
      </c>
      <c r="AA91" t="n">
        <v>840.843018</v>
      </c>
      <c r="AB91" t="n">
        <v>873.346741</v>
      </c>
      <c r="AC91" t="n">
        <v>906.791504</v>
      </c>
      <c r="AD91" t="n">
        <v>940.992249</v>
      </c>
      <c r="AE91" t="n">
        <v>975.9444580000001</v>
      </c>
      <c r="AF91" t="n">
        <v>1011.261963</v>
      </c>
      <c r="AG91" s="16" t="n">
        <v>0.062</v>
      </c>
    </row>
    <row r="92">
      <c r="A92" t="inlineStr">
        <is>
          <t>Wind</t>
        </is>
      </c>
      <c r="B92" t="inlineStr">
        <is>
          <t>Residential: Combined Heat and Power: Energy Input: Wind: High Zero-Carbon Technology Cost</t>
        </is>
      </c>
      <c r="C92" t="inlineStr">
        <is>
          <t>AEO.2025.HIGHZTC.CNSM_NA_COMM_CHP_WND_NA_NA_TRLBTU.A</t>
        </is>
      </c>
      <c r="D92" t="inlineStr">
        <is>
          <t>trillion Btu</t>
        </is>
      </c>
      <c r="F92" t="n">
        <v>1.26046</v>
      </c>
      <c r="G92" t="n">
        <v>2.140008</v>
      </c>
      <c r="H92" t="n">
        <v>3.001273</v>
      </c>
      <c r="I92" t="n">
        <v>3.401307</v>
      </c>
      <c r="J92" t="n">
        <v>3.848665</v>
      </c>
      <c r="K92" t="n">
        <v>4.332908</v>
      </c>
      <c r="L92" t="n">
        <v>5.261231</v>
      </c>
      <c r="M92" t="n">
        <v>6.483206</v>
      </c>
      <c r="N92" t="n">
        <v>7.724746</v>
      </c>
      <c r="O92" t="n">
        <v>8.146197000000001</v>
      </c>
      <c r="P92" t="n">
        <v>8.342248</v>
      </c>
      <c r="Q92" t="n">
        <v>8.346970000000001</v>
      </c>
      <c r="R92" t="n">
        <v>8.352695000000001</v>
      </c>
      <c r="S92" t="n">
        <v>8.359365</v>
      </c>
      <c r="T92" t="n">
        <v>8.367029</v>
      </c>
      <c r="U92" t="n">
        <v>8.375438000000001</v>
      </c>
      <c r="V92" t="n">
        <v>8.384679999999999</v>
      </c>
      <c r="W92" t="n">
        <v>8.394847</v>
      </c>
      <c r="X92" t="n">
        <v>8.405662</v>
      </c>
      <c r="Y92" t="n">
        <v>8.416884</v>
      </c>
      <c r="Z92" t="n">
        <v>8.428504999999999</v>
      </c>
      <c r="AA92" t="n">
        <v>8.440624</v>
      </c>
      <c r="AB92" t="n">
        <v>8.453353999999999</v>
      </c>
      <c r="AC92" t="n">
        <v>8.46645</v>
      </c>
      <c r="AD92" t="n">
        <v>8.480072</v>
      </c>
      <c r="AE92" t="n">
        <v>8.494232</v>
      </c>
      <c r="AF92" t="n">
        <v>8.508938000000001</v>
      </c>
      <c r="AG92" s="16" t="n">
        <v>0.076</v>
      </c>
    </row>
    <row r="93">
      <c r="A93" t="inlineStr">
        <is>
          <t>Total</t>
        </is>
      </c>
      <c r="B93" t="inlineStr">
        <is>
          <t>Residential: Combined Heat and Power: Energy Input: Total: High Zero-Carbon Technology Cost</t>
        </is>
      </c>
      <c r="C93" t="inlineStr">
        <is>
          <t>AEO.2025.HIGHZTC.CNSM_NA_COMM_CHP_TOT_NA_NA_TRLBTU.A</t>
        </is>
      </c>
      <c r="D93" t="inlineStr">
        <is>
          <t>trillion Btu</t>
        </is>
      </c>
      <c r="F93" t="n">
        <v>215.237167</v>
      </c>
      <c r="G93" t="n">
        <v>245.489288</v>
      </c>
      <c r="H93" t="n">
        <v>276.031036</v>
      </c>
      <c r="I93" t="n">
        <v>304.358917</v>
      </c>
      <c r="J93" t="n">
        <v>333.281311</v>
      </c>
      <c r="K93" t="n">
        <v>362.581696</v>
      </c>
      <c r="L93" t="n">
        <v>394.291656</v>
      </c>
      <c r="M93" t="n">
        <v>428.579529</v>
      </c>
      <c r="N93" t="n">
        <v>462.50058</v>
      </c>
      <c r="O93" t="n">
        <v>496.795013</v>
      </c>
      <c r="P93" t="n">
        <v>530.522522</v>
      </c>
      <c r="Q93" t="n">
        <v>556.658752</v>
      </c>
      <c r="R93" t="n">
        <v>583.588928</v>
      </c>
      <c r="S93" t="n">
        <v>610.7248540000001</v>
      </c>
      <c r="T93" t="n">
        <v>639.184937</v>
      </c>
      <c r="U93" t="n">
        <v>667.76825</v>
      </c>
      <c r="V93" t="n">
        <v>696.883911</v>
      </c>
      <c r="W93" t="n">
        <v>726.145813</v>
      </c>
      <c r="X93" t="n">
        <v>756.230408</v>
      </c>
      <c r="Y93" t="n">
        <v>786.652954</v>
      </c>
      <c r="Z93" t="n">
        <v>817.5042110000001</v>
      </c>
      <c r="AA93" t="n">
        <v>849.388794</v>
      </c>
      <c r="AB93" t="n">
        <v>881.909485</v>
      </c>
      <c r="AC93" t="n">
        <v>915.371582</v>
      </c>
      <c r="AD93" t="n">
        <v>949.59021</v>
      </c>
      <c r="AE93" t="n">
        <v>984.560913</v>
      </c>
      <c r="AF93" t="n">
        <v>1019.897339</v>
      </c>
      <c r="AG93" s="16" t="n">
        <v>0.062</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I81"/>
  <sheetViews>
    <sheetView topLeftCell="A49" workbookViewId="0">
      <selection activeCell="G59" sqref="G59"/>
    </sheetView>
  </sheetViews>
  <sheetFormatPr baseColWidth="8" defaultRowHeight="14.75"/>
  <cols>
    <col width="25.7265625" customWidth="1" min="1" max="1"/>
    <col width="9.1328125" customWidth="1" style="1" min="7" max="7"/>
  </cols>
  <sheetData>
    <row r="1">
      <c r="A1" t="inlineStr">
        <is>
          <t>Table 22.  Commercial Sector Energy Consumption, Floorspace, Equipment Efficiency, and Distributed Generation</t>
        </is>
      </c>
    </row>
    <row r="2">
      <c r="A2" t="inlineStr">
        <is>
          <t>https://www.eia.gov/outlooks/aeo/data/browser/#/?id=32-AEO2023&amp;cases=ref2023&amp;sourcekey=0</t>
        </is>
      </c>
    </row>
    <row r="3">
      <c r="A3" t="inlineStr">
        <is>
          <t>Sun May 04 2025 20:16:27 GMT-0700 (Pacific Daylight Time)</t>
        </is>
      </c>
    </row>
    <row r="4">
      <c r="A4" t="inlineStr">
        <is>
          <t>Source: U.S. Energy Information Administration</t>
        </is>
      </c>
    </row>
    <row r="5">
      <c r="B5" t="inlineStr">
        <is>
          <t>full name</t>
        </is>
      </c>
      <c r="C5" t="inlineStr">
        <is>
          <t>api key</t>
        </is>
      </c>
      <c r="D5" t="inlineStr">
        <is>
          <t>units</t>
        </is>
      </c>
      <c r="E5" t="n">
        <v>2021</v>
      </c>
      <c r="F5" t="n">
        <v>2022</v>
      </c>
      <c r="G5" s="1" t="n">
        <v>2023</v>
      </c>
      <c r="H5" t="n">
        <v>2024</v>
      </c>
      <c r="I5" t="n">
        <v>2025</v>
      </c>
      <c r="J5" t="n">
        <v>2026</v>
      </c>
      <c r="K5" t="n">
        <v>2027</v>
      </c>
      <c r="L5" t="n">
        <v>2028</v>
      </c>
      <c r="M5" t="n">
        <v>2029</v>
      </c>
      <c r="N5" t="n">
        <v>2030</v>
      </c>
      <c r="O5" t="n">
        <v>2031</v>
      </c>
      <c r="P5" t="n">
        <v>2032</v>
      </c>
      <c r="Q5" t="n">
        <v>2033</v>
      </c>
      <c r="R5" t="n">
        <v>2034</v>
      </c>
      <c r="S5" t="n">
        <v>2035</v>
      </c>
      <c r="T5" t="n">
        <v>2036</v>
      </c>
      <c r="U5" t="n">
        <v>2037</v>
      </c>
      <c r="V5" t="n">
        <v>2038</v>
      </c>
      <c r="W5" t="n">
        <v>2039</v>
      </c>
      <c r="X5" t="n">
        <v>2040</v>
      </c>
      <c r="Y5" t="n">
        <v>2041</v>
      </c>
      <c r="Z5" t="n">
        <v>2042</v>
      </c>
      <c r="AA5" t="n">
        <v>2043</v>
      </c>
      <c r="AB5" t="n">
        <v>2044</v>
      </c>
      <c r="AC5" t="n">
        <v>2045</v>
      </c>
      <c r="AD5" t="n">
        <v>2046</v>
      </c>
      <c r="AE5" t="n">
        <v>2047</v>
      </c>
      <c r="AF5" t="n">
        <v>2048</v>
      </c>
      <c r="AG5" t="n">
        <v>2049</v>
      </c>
      <c r="AH5" t="n">
        <v>2050</v>
      </c>
      <c r="AI5" t="inlineStr">
        <is>
          <t>Growth (2022-2050)</t>
        </is>
      </c>
    </row>
    <row r="6">
      <c r="A6" t="inlineStr">
        <is>
          <t>Commercial Building Delivered</t>
        </is>
      </c>
    </row>
    <row r="7">
      <c r="A7" t="inlineStr">
        <is>
          <t>Energy Consumption (quadrillion Btu)</t>
        </is>
      </c>
    </row>
    <row r="8">
      <c r="A8" t="inlineStr">
        <is>
          <t>Assembly</t>
        </is>
      </c>
      <c r="B8" t="inlineStr">
        <is>
          <t>Commercial: Gross End-use: Assembly: Reference case</t>
        </is>
      </c>
      <c r="C8" t="inlineStr">
        <is>
          <t>AEO.2023.REF2023.#N/A.A</t>
        </is>
      </c>
      <c r="D8" t="inlineStr">
        <is>
          <t>quads</t>
        </is>
      </c>
      <c r="F8" t="n">
        <v>0.645733</v>
      </c>
      <c r="G8" s="1" t="n">
        <v>0.628144</v>
      </c>
      <c r="H8" t="n">
        <v>0.62174</v>
      </c>
      <c r="I8" t="n">
        <v>0.627551</v>
      </c>
      <c r="J8" t="n">
        <v>0.631386</v>
      </c>
      <c r="K8" t="n">
        <v>0.633341</v>
      </c>
      <c r="L8" t="n">
        <v>0.634329</v>
      </c>
      <c r="M8" t="n">
        <v>0.634228</v>
      </c>
      <c r="N8" t="n">
        <v>0.6333760000000001</v>
      </c>
      <c r="O8" t="n">
        <v>0.632204</v>
      </c>
      <c r="P8" t="n">
        <v>0.6317120000000001</v>
      </c>
      <c r="Q8" t="n">
        <v>0.629789</v>
      </c>
      <c r="R8" t="n">
        <v>0.62738</v>
      </c>
      <c r="S8" t="n">
        <v>0.624869</v>
      </c>
      <c r="T8" t="n">
        <v>0.6224150000000001</v>
      </c>
      <c r="U8" t="n">
        <v>0.619707</v>
      </c>
      <c r="V8" t="n">
        <v>0.616438</v>
      </c>
      <c r="W8" t="n">
        <v>0.613268</v>
      </c>
      <c r="X8" t="n">
        <v>0.609889</v>
      </c>
      <c r="Y8" t="n">
        <v>0.60662</v>
      </c>
      <c r="Z8" t="n">
        <v>0.603497</v>
      </c>
      <c r="AA8" t="n">
        <v>0.600765</v>
      </c>
      <c r="AB8" t="n">
        <v>0.598298</v>
      </c>
      <c r="AC8" t="n">
        <v>0.595616</v>
      </c>
      <c r="AD8" t="n">
        <v>0.592323</v>
      </c>
      <c r="AE8" t="n">
        <v>0.589637</v>
      </c>
      <c r="AF8" t="n">
        <v>0.5873930000000001</v>
      </c>
      <c r="AG8" t="n">
        <v>0.585342</v>
      </c>
      <c r="AH8" t="n">
        <v>0.583169</v>
      </c>
      <c r="AI8" s="16" t="n">
        <v>-0.004</v>
      </c>
    </row>
    <row r="9">
      <c r="A9" t="inlineStr">
        <is>
          <t>Education</t>
        </is>
      </c>
      <c r="B9" t="inlineStr">
        <is>
          <t>Commercial: Gross End-use: Education: Reference case</t>
        </is>
      </c>
      <c r="C9" t="inlineStr">
        <is>
          <t>AEO.2023.REF2023.#N/A.A</t>
        </is>
      </c>
      <c r="D9" t="inlineStr">
        <is>
          <t>quads</t>
        </is>
      </c>
      <c r="F9" t="n">
        <v>1.023192</v>
      </c>
      <c r="G9" s="1" t="n">
        <v>1.003815</v>
      </c>
      <c r="H9" t="n">
        <v>1.000211</v>
      </c>
      <c r="I9" t="n">
        <v>1.013541</v>
      </c>
      <c r="J9" t="n">
        <v>1.024501</v>
      </c>
      <c r="K9" t="n">
        <v>1.032973</v>
      </c>
      <c r="L9" t="n">
        <v>1.040353</v>
      </c>
      <c r="M9" t="n">
        <v>1.045932</v>
      </c>
      <c r="N9" t="n">
        <v>1.049982</v>
      </c>
      <c r="O9" t="n">
        <v>1.053062</v>
      </c>
      <c r="P9" t="n">
        <v>1.057371</v>
      </c>
      <c r="Q9" t="n">
        <v>1.059303</v>
      </c>
      <c r="R9" t="n">
        <v>1.060372</v>
      </c>
      <c r="S9" t="n">
        <v>1.061235</v>
      </c>
      <c r="T9" t="n">
        <v>1.06226</v>
      </c>
      <c r="U9" t="n">
        <v>1.062465</v>
      </c>
      <c r="V9" t="n">
        <v>1.061857</v>
      </c>
      <c r="W9" t="n">
        <v>1.061067</v>
      </c>
      <c r="X9" t="n">
        <v>1.060739</v>
      </c>
      <c r="Y9" t="n">
        <v>1.060583</v>
      </c>
      <c r="Z9" t="n">
        <v>1.06075</v>
      </c>
      <c r="AA9" t="n">
        <v>1.061631</v>
      </c>
      <c r="AB9" t="n">
        <v>1.062934</v>
      </c>
      <c r="AC9" t="n">
        <v>1.064115</v>
      </c>
      <c r="AD9" t="n">
        <v>1.065007</v>
      </c>
      <c r="AE9" t="n">
        <v>1.066551</v>
      </c>
      <c r="AF9" t="n">
        <v>1.06862</v>
      </c>
      <c r="AG9" t="n">
        <v>1.070613</v>
      </c>
      <c r="AH9" t="n">
        <v>1.072455</v>
      </c>
      <c r="AI9" s="16" t="n">
        <v>0.002</v>
      </c>
    </row>
    <row r="10">
      <c r="A10" t="inlineStr">
        <is>
          <t>Food Sales</t>
        </is>
      </c>
      <c r="B10" t="inlineStr">
        <is>
          <t>Commercial: Gross End-use: Food Sales: Reference case</t>
        </is>
      </c>
      <c r="C10" t="inlineStr">
        <is>
          <t>AEO.2023.REF2023.#N/A.A</t>
        </is>
      </c>
      <c r="D10" t="inlineStr">
        <is>
          <t>quads</t>
        </is>
      </c>
      <c r="F10" t="n">
        <v>0.376753</v>
      </c>
      <c r="G10" s="1" t="n">
        <v>0.374265</v>
      </c>
      <c r="H10" t="n">
        <v>0.375342</v>
      </c>
      <c r="I10" t="n">
        <v>0.378536</v>
      </c>
      <c r="J10" t="n">
        <v>0.381119</v>
      </c>
      <c r="K10" t="n">
        <v>0.382864</v>
      </c>
      <c r="L10" t="n">
        <v>0.384441</v>
      </c>
      <c r="M10" t="n">
        <v>0.385803</v>
      </c>
      <c r="N10" t="n">
        <v>0.386818</v>
      </c>
      <c r="O10" t="n">
        <v>0.388211</v>
      </c>
      <c r="P10" t="n">
        <v>0.389563</v>
      </c>
      <c r="Q10" t="n">
        <v>0.39031</v>
      </c>
      <c r="R10" t="n">
        <v>0.390741</v>
      </c>
      <c r="S10" t="n">
        <v>0.391055</v>
      </c>
      <c r="T10" t="n">
        <v>0.391202</v>
      </c>
      <c r="U10" t="n">
        <v>0.391069</v>
      </c>
      <c r="V10" t="n">
        <v>0.39059</v>
      </c>
      <c r="W10" t="n">
        <v>0.389942</v>
      </c>
      <c r="X10" t="n">
        <v>0.389324</v>
      </c>
      <c r="Y10" t="n">
        <v>0.389086</v>
      </c>
      <c r="Z10" t="n">
        <v>0.388913</v>
      </c>
      <c r="AA10" t="n">
        <v>0.388801</v>
      </c>
      <c r="AB10" t="n">
        <v>0.388769</v>
      </c>
      <c r="AC10" t="n">
        <v>0.388698</v>
      </c>
      <c r="AD10" t="n">
        <v>0.388394</v>
      </c>
      <c r="AE10" t="n">
        <v>0.388341</v>
      </c>
      <c r="AF10" t="n">
        <v>0.388475</v>
      </c>
      <c r="AG10" t="n">
        <v>0.388726</v>
      </c>
      <c r="AH10" t="n">
        <v>0.388975</v>
      </c>
      <c r="AI10" s="16" t="n">
        <v>0.001</v>
      </c>
    </row>
    <row r="11">
      <c r="A11" t="inlineStr">
        <is>
          <t>Food Service</t>
        </is>
      </c>
      <c r="B11" t="inlineStr">
        <is>
          <t>Commercial: Gross End-use: Food Service: Reference case</t>
        </is>
      </c>
      <c r="C11" t="inlineStr">
        <is>
          <t>AEO.2023.REF2023.#N/A.A</t>
        </is>
      </c>
      <c r="D11" t="inlineStr">
        <is>
          <t>quads</t>
        </is>
      </c>
      <c r="F11" t="n">
        <v>0.559557</v>
      </c>
      <c r="G11" s="1" t="n">
        <v>0.551407</v>
      </c>
      <c r="H11" t="n">
        <v>0.557413</v>
      </c>
      <c r="I11" t="n">
        <v>0.565627</v>
      </c>
      <c r="J11" t="n">
        <v>0.5721079999999999</v>
      </c>
      <c r="K11" t="n">
        <v>0.576674</v>
      </c>
      <c r="L11" t="n">
        <v>0.580489</v>
      </c>
      <c r="M11" t="n">
        <v>0.583597</v>
      </c>
      <c r="N11" t="n">
        <v>0.585853</v>
      </c>
      <c r="O11" t="n">
        <v>0.588401</v>
      </c>
      <c r="P11" t="n">
        <v>0.590744</v>
      </c>
      <c r="Q11" t="n">
        <v>0.592037</v>
      </c>
      <c r="R11" t="n">
        <v>0.592774</v>
      </c>
      <c r="S11" t="n">
        <v>0.593398</v>
      </c>
      <c r="T11" t="n">
        <v>0.594019</v>
      </c>
      <c r="U11" t="n">
        <v>0.594302</v>
      </c>
      <c r="V11" t="n">
        <v>0.593912</v>
      </c>
      <c r="W11" t="n">
        <v>0.593581</v>
      </c>
      <c r="X11" t="n">
        <v>0.59289</v>
      </c>
      <c r="Y11" t="n">
        <v>0.592554</v>
      </c>
      <c r="Z11" t="n">
        <v>0.592391</v>
      </c>
      <c r="AA11" t="n">
        <v>0.592601</v>
      </c>
      <c r="AB11" t="n">
        <v>0.593097</v>
      </c>
      <c r="AC11" t="n">
        <v>0.593406</v>
      </c>
      <c r="AD11" t="n">
        <v>0.592836</v>
      </c>
      <c r="AE11" t="n">
        <v>0.592862</v>
      </c>
      <c r="AF11" t="n">
        <v>0.593445</v>
      </c>
      <c r="AG11" t="n">
        <v>0.594274</v>
      </c>
      <c r="AH11" t="n">
        <v>0.595011</v>
      </c>
      <c r="AI11" s="16" t="n">
        <v>0.002</v>
      </c>
    </row>
    <row r="12">
      <c r="A12" t="inlineStr">
        <is>
          <t>Health Care</t>
        </is>
      </c>
      <c r="B12" t="inlineStr">
        <is>
          <t>Commercial: Gross End-use: Health Care: Reference case</t>
        </is>
      </c>
      <c r="C12" t="inlineStr">
        <is>
          <t>AEO.2023.REF2023.#N/A.A</t>
        </is>
      </c>
      <c r="D12" t="inlineStr">
        <is>
          <t>quads</t>
        </is>
      </c>
      <c r="F12" t="n">
        <v>0.537446</v>
      </c>
      <c r="G12" s="1" t="n">
        <v>0.5253370000000001</v>
      </c>
      <c r="H12" t="n">
        <v>0.528509</v>
      </c>
      <c r="I12" t="n">
        <v>0.538635</v>
      </c>
      <c r="J12" t="n">
        <v>0.547313</v>
      </c>
      <c r="K12" t="n">
        <v>0.554273</v>
      </c>
      <c r="L12" t="n">
        <v>0.560439</v>
      </c>
      <c r="M12" t="n">
        <v>0.56541</v>
      </c>
      <c r="N12" t="n">
        <v>0.569363</v>
      </c>
      <c r="O12" t="n">
        <v>0.573106</v>
      </c>
      <c r="P12" t="n">
        <v>0.576964</v>
      </c>
      <c r="Q12" t="n">
        <v>0.579783</v>
      </c>
      <c r="R12" t="n">
        <v>0.582157</v>
      </c>
      <c r="S12" t="n">
        <v>0.584465</v>
      </c>
      <c r="T12" t="n">
        <v>0.586925</v>
      </c>
      <c r="U12" t="n">
        <v>0.589071</v>
      </c>
      <c r="V12" t="n">
        <v>0.590614</v>
      </c>
      <c r="W12" t="n">
        <v>0.592249</v>
      </c>
      <c r="X12" t="n">
        <v>0.593927</v>
      </c>
      <c r="Y12" t="n">
        <v>0.595674</v>
      </c>
      <c r="Z12" t="n">
        <v>0.597665</v>
      </c>
      <c r="AA12" t="n">
        <v>0.600155</v>
      </c>
      <c r="AB12" t="n">
        <v>0.603081</v>
      </c>
      <c r="AC12" t="n">
        <v>0.605845</v>
      </c>
      <c r="AD12" t="n">
        <v>0.608112</v>
      </c>
      <c r="AE12" t="n">
        <v>0.610984</v>
      </c>
      <c r="AF12" t="n">
        <v>0.614403</v>
      </c>
      <c r="AG12" t="n">
        <v>0.617943</v>
      </c>
      <c r="AH12" t="n">
        <v>0.621364</v>
      </c>
      <c r="AI12" s="16" t="n">
        <v>0.005</v>
      </c>
    </row>
    <row r="13">
      <c r="A13" t="inlineStr">
        <is>
          <t>Lodging</t>
        </is>
      </c>
      <c r="B13" t="inlineStr">
        <is>
          <t>Commercial: Gross End-use: Lodging: Reference case</t>
        </is>
      </c>
      <c r="C13" t="inlineStr">
        <is>
          <t>AEO.2023.REF2023.#N/A.A</t>
        </is>
      </c>
      <c r="D13" t="inlineStr">
        <is>
          <t>quads</t>
        </is>
      </c>
      <c r="F13" t="n">
        <v>0.596199</v>
      </c>
      <c r="G13" s="1" t="n">
        <v>0.589345</v>
      </c>
      <c r="H13" t="n">
        <v>0.595147</v>
      </c>
      <c r="I13" t="n">
        <v>0.604807</v>
      </c>
      <c r="J13" t="n">
        <v>0.6133110000000001</v>
      </c>
      <c r="K13" t="n">
        <v>0.620434</v>
      </c>
      <c r="L13" t="n">
        <v>0.627071</v>
      </c>
      <c r="M13" t="n">
        <v>0.633023</v>
      </c>
      <c r="N13" t="n">
        <v>0.63844</v>
      </c>
      <c r="O13" t="n">
        <v>0.643374</v>
      </c>
      <c r="P13" t="n">
        <v>0.649181</v>
      </c>
      <c r="Q13" t="n">
        <v>0.65363</v>
      </c>
      <c r="R13" t="n">
        <v>0.657586</v>
      </c>
      <c r="S13" t="n">
        <v>0.661524</v>
      </c>
      <c r="T13" t="n">
        <v>0.66545</v>
      </c>
      <c r="U13" t="n">
        <v>0.669019</v>
      </c>
      <c r="V13" t="n">
        <v>0.67191</v>
      </c>
      <c r="W13" t="n">
        <v>0.674736</v>
      </c>
      <c r="X13" t="n">
        <v>0.677333</v>
      </c>
      <c r="Y13" t="n">
        <v>0.679942</v>
      </c>
      <c r="Z13" t="n">
        <v>0.6826100000000001</v>
      </c>
      <c r="AA13" t="n">
        <v>0.685634</v>
      </c>
      <c r="AB13" t="n">
        <v>0.688987</v>
      </c>
      <c r="AC13" t="n">
        <v>0.6919960000000001</v>
      </c>
      <c r="AD13" t="n">
        <v>0.694103</v>
      </c>
      <c r="AE13" t="n">
        <v>0.696796</v>
      </c>
      <c r="AF13" t="n">
        <v>0.699991</v>
      </c>
      <c r="AG13" t="n">
        <v>0.703246</v>
      </c>
      <c r="AH13" t="n">
        <v>0.706087</v>
      </c>
      <c r="AI13" s="16" t="n">
        <v>0.006</v>
      </c>
    </row>
    <row r="14">
      <c r="A14" t="inlineStr">
        <is>
          <t>Office - Large</t>
        </is>
      </c>
      <c r="B14" t="inlineStr">
        <is>
          <t>Commercial: Gross End-use: Office - Large: Reference case</t>
        </is>
      </c>
      <c r="C14" t="inlineStr">
        <is>
          <t>AEO.2023.REF2023.#N/A.A</t>
        </is>
      </c>
      <c r="D14" t="inlineStr">
        <is>
          <t>quads</t>
        </is>
      </c>
      <c r="F14" t="n">
        <v>0.9061709999999999</v>
      </c>
      <c r="G14" s="1" t="n">
        <v>0.890402</v>
      </c>
      <c r="H14" t="n">
        <v>0.889829</v>
      </c>
      <c r="I14" t="n">
        <v>0.899311</v>
      </c>
      <c r="J14" t="n">
        <v>0.907485</v>
      </c>
      <c r="K14" t="n">
        <v>0.913852</v>
      </c>
      <c r="L14" t="n">
        <v>0.919879</v>
      </c>
      <c r="M14" t="n">
        <v>0.924673</v>
      </c>
      <c r="N14" t="n">
        <v>0.928521</v>
      </c>
      <c r="O14" t="n">
        <v>0.932099</v>
      </c>
      <c r="P14" t="n">
        <v>0.936194</v>
      </c>
      <c r="Q14" t="n">
        <v>0.938945</v>
      </c>
      <c r="R14" t="n">
        <v>0.941428</v>
      </c>
      <c r="S14" t="n">
        <v>0.944112</v>
      </c>
      <c r="T14" t="n">
        <v>0.947333</v>
      </c>
      <c r="U14" t="n">
        <v>0.950204</v>
      </c>
      <c r="V14" t="n">
        <v>0.952675</v>
      </c>
      <c r="W14" t="n">
        <v>0.955222</v>
      </c>
      <c r="X14" t="n">
        <v>0.958763</v>
      </c>
      <c r="Y14" t="n">
        <v>0.962846</v>
      </c>
      <c r="Z14" t="n">
        <v>0.967718</v>
      </c>
      <c r="AA14" t="n">
        <v>0.97365</v>
      </c>
      <c r="AB14" t="n">
        <v>0.98056</v>
      </c>
      <c r="AC14" t="n">
        <v>0.987933</v>
      </c>
      <c r="AD14" t="n">
        <v>0.995871</v>
      </c>
      <c r="AE14" t="n">
        <v>1.005302</v>
      </c>
      <c r="AF14" t="n">
        <v>1.016063</v>
      </c>
      <c r="AG14" t="n">
        <v>1.027597</v>
      </c>
      <c r="AH14" t="n">
        <v>1.039765</v>
      </c>
      <c r="AI14" s="16" t="n">
        <v>0.005</v>
      </c>
    </row>
    <row r="15">
      <c r="A15" t="inlineStr">
        <is>
          <t>Office - Small</t>
        </is>
      </c>
      <c r="B15" t="inlineStr">
        <is>
          <t>Commercial: Gross End-use: Office - Small: Reference case</t>
        </is>
      </c>
      <c r="C15" t="inlineStr">
        <is>
          <t>AEO.2023.REF2023.#N/A.A</t>
        </is>
      </c>
      <c r="D15" t="inlineStr">
        <is>
          <t>quads</t>
        </is>
      </c>
      <c r="F15" t="n">
        <v>0.620077</v>
      </c>
      <c r="G15" s="1" t="n">
        <v>0.609582</v>
      </c>
      <c r="H15" t="n">
        <v>0.607109</v>
      </c>
      <c r="I15" t="n">
        <v>0.6132840000000001</v>
      </c>
      <c r="J15" t="n">
        <v>0.618099</v>
      </c>
      <c r="K15" t="n">
        <v>0.621356</v>
      </c>
      <c r="L15" t="n">
        <v>0.624245</v>
      </c>
      <c r="M15" t="n">
        <v>0.626456</v>
      </c>
      <c r="N15" t="n">
        <v>0.62797</v>
      </c>
      <c r="O15" t="n">
        <v>0.628755</v>
      </c>
      <c r="P15" t="n">
        <v>0.630648</v>
      </c>
      <c r="Q15" t="n">
        <v>0.63105</v>
      </c>
      <c r="R15" t="n">
        <v>0.6310210000000001</v>
      </c>
      <c r="S15" t="n">
        <v>0.630952</v>
      </c>
      <c r="T15" t="n">
        <v>0.630982</v>
      </c>
      <c r="U15" t="n">
        <v>0.630597</v>
      </c>
      <c r="V15" t="n">
        <v>0.629736</v>
      </c>
      <c r="W15" t="n">
        <v>0.628835</v>
      </c>
      <c r="X15" t="n">
        <v>0.628013</v>
      </c>
      <c r="Y15" t="n">
        <v>0.6273879999999999</v>
      </c>
      <c r="Z15" t="n">
        <v>0.62698</v>
      </c>
      <c r="AA15" t="n">
        <v>0.6269</v>
      </c>
      <c r="AB15" t="n">
        <v>0.626923</v>
      </c>
      <c r="AC15" t="n">
        <v>0.626934</v>
      </c>
      <c r="AD15" t="n">
        <v>0.626788</v>
      </c>
      <c r="AE15" t="n">
        <v>0.626966</v>
      </c>
      <c r="AF15" t="n">
        <v>0.627466</v>
      </c>
      <c r="AG15" t="n">
        <v>0.62805</v>
      </c>
      <c r="AH15" t="n">
        <v>0.628609</v>
      </c>
      <c r="AI15" s="16" t="n">
        <v>0</v>
      </c>
    </row>
    <row r="16">
      <c r="A16" t="inlineStr">
        <is>
          <t>Mercantile/Service</t>
        </is>
      </c>
      <c r="B16" t="inlineStr">
        <is>
          <t>Commercial: Gross End-use: Mercantile/Service: Reference case</t>
        </is>
      </c>
      <c r="C16" t="inlineStr">
        <is>
          <t>AEO.2023.REF2023.#N/A.A</t>
        </is>
      </c>
      <c r="D16" t="inlineStr">
        <is>
          <t>quads</t>
        </is>
      </c>
      <c r="F16" t="n">
        <v>1.411627</v>
      </c>
      <c r="G16" s="1" t="n">
        <v>1.386703</v>
      </c>
      <c r="H16" t="n">
        <v>1.377442</v>
      </c>
      <c r="I16" t="n">
        <v>1.392811</v>
      </c>
      <c r="J16" t="n">
        <v>1.404702</v>
      </c>
      <c r="K16" t="n">
        <v>1.412897</v>
      </c>
      <c r="L16" t="n">
        <v>1.419597</v>
      </c>
      <c r="M16" t="n">
        <v>1.424017</v>
      </c>
      <c r="N16" t="n">
        <v>1.425929</v>
      </c>
      <c r="O16" t="n">
        <v>1.427025</v>
      </c>
      <c r="P16" t="n">
        <v>1.429976</v>
      </c>
      <c r="Q16" t="n">
        <v>1.429622</v>
      </c>
      <c r="R16" t="n">
        <v>1.428147</v>
      </c>
      <c r="S16" t="n">
        <v>1.426421</v>
      </c>
      <c r="T16" t="n">
        <v>1.424619</v>
      </c>
      <c r="U16" t="n">
        <v>1.421674</v>
      </c>
      <c r="V16" t="n">
        <v>1.417378</v>
      </c>
      <c r="W16" t="n">
        <v>1.412856</v>
      </c>
      <c r="X16" t="n">
        <v>1.408803</v>
      </c>
      <c r="Y16" t="n">
        <v>1.405292</v>
      </c>
      <c r="Z16" t="n">
        <v>1.402139</v>
      </c>
      <c r="AA16" t="n">
        <v>1.399782</v>
      </c>
      <c r="AB16" t="n">
        <v>1.398019</v>
      </c>
      <c r="AC16" t="n">
        <v>1.395774</v>
      </c>
      <c r="AD16" t="n">
        <v>1.3922</v>
      </c>
      <c r="AE16" t="n">
        <v>1.389886</v>
      </c>
      <c r="AF16" t="n">
        <v>1.388586</v>
      </c>
      <c r="AG16" t="n">
        <v>1.387521</v>
      </c>
      <c r="AH16" t="n">
        <v>1.386141</v>
      </c>
      <c r="AI16" s="16" t="n">
        <v>-0.001</v>
      </c>
    </row>
    <row r="17">
      <c r="A17" t="inlineStr">
        <is>
          <t>Warehouse</t>
        </is>
      </c>
      <c r="B17" t="inlineStr">
        <is>
          <t>Commercial: Gross End-use: Warehouse: Reference case</t>
        </is>
      </c>
      <c r="C17" t="inlineStr">
        <is>
          <t>AEO.2023.REF2023.#N/A.A</t>
        </is>
      </c>
      <c r="D17" t="inlineStr">
        <is>
          <t>quads</t>
        </is>
      </c>
      <c r="F17" t="n">
        <v>0.450864</v>
      </c>
      <c r="G17" s="1" t="n">
        <v>0.451145</v>
      </c>
      <c r="H17" t="n">
        <v>0.454155</v>
      </c>
      <c r="I17" t="n">
        <v>0.463089</v>
      </c>
      <c r="J17" t="n">
        <v>0.471026</v>
      </c>
      <c r="K17" t="n">
        <v>0.478129</v>
      </c>
      <c r="L17" t="n">
        <v>0.485102</v>
      </c>
      <c r="M17" t="n">
        <v>0.491822</v>
      </c>
      <c r="N17" t="n">
        <v>0.497912</v>
      </c>
      <c r="O17" t="n">
        <v>0.50345</v>
      </c>
      <c r="P17" t="n">
        <v>0.510037</v>
      </c>
      <c r="Q17" t="n">
        <v>0.515355</v>
      </c>
      <c r="R17" t="n">
        <v>0.520313</v>
      </c>
      <c r="S17" t="n">
        <v>0.525204</v>
      </c>
      <c r="T17" t="n">
        <v>0.53007</v>
      </c>
      <c r="U17" t="n">
        <v>0.534572</v>
      </c>
      <c r="V17" t="n">
        <v>0.538516</v>
      </c>
      <c r="W17" t="n">
        <v>0.5424369999999999</v>
      </c>
      <c r="X17" t="n">
        <v>0.546601</v>
      </c>
      <c r="Y17" t="n">
        <v>0.550947</v>
      </c>
      <c r="Z17" t="n">
        <v>0.5553979999999999</v>
      </c>
      <c r="AA17" t="n">
        <v>0.56006</v>
      </c>
      <c r="AB17" t="n">
        <v>0.564801</v>
      </c>
      <c r="AC17" t="n">
        <v>0.569487</v>
      </c>
      <c r="AD17" t="n">
        <v>0.573914</v>
      </c>
      <c r="AE17" t="n">
        <v>0.578711</v>
      </c>
      <c r="AF17" t="n">
        <v>0.583712</v>
      </c>
      <c r="AG17" t="n">
        <v>0.58879</v>
      </c>
      <c r="AH17" t="n">
        <v>0.593861</v>
      </c>
      <c r="AI17" s="16" t="n">
        <v>0.01</v>
      </c>
    </row>
    <row r="18">
      <c r="A18" t="inlineStr">
        <is>
          <t>Other</t>
        </is>
      </c>
      <c r="B18" t="inlineStr">
        <is>
          <t>Commercial: Gross End-use: Other: Reference case</t>
        </is>
      </c>
      <c r="C18" t="inlineStr">
        <is>
          <t>AEO.2023.REF2023.#N/A.A</t>
        </is>
      </c>
      <c r="D18" t="inlineStr">
        <is>
          <t>quads</t>
        </is>
      </c>
      <c r="F18" t="n">
        <v>0.403793</v>
      </c>
      <c r="G18" s="1" t="n">
        <v>0.400096</v>
      </c>
      <c r="H18" t="n">
        <v>0.395901</v>
      </c>
      <c r="I18" t="n">
        <v>0.402047</v>
      </c>
      <c r="J18" t="n">
        <v>0.407493</v>
      </c>
      <c r="K18" t="n">
        <v>0.412239</v>
      </c>
      <c r="L18" t="n">
        <v>0.41679</v>
      </c>
      <c r="M18" t="n">
        <v>0.420545</v>
      </c>
      <c r="N18" t="n">
        <v>0.423651</v>
      </c>
      <c r="O18" t="n">
        <v>0.426308</v>
      </c>
      <c r="P18" t="n">
        <v>0.429258</v>
      </c>
      <c r="Q18" t="n">
        <v>0.431418</v>
      </c>
      <c r="R18" t="n">
        <v>0.433246</v>
      </c>
      <c r="S18" t="n">
        <v>0.434947</v>
      </c>
      <c r="T18" t="n">
        <v>0.436626</v>
      </c>
      <c r="U18" t="n">
        <v>0.438</v>
      </c>
      <c r="V18" t="n">
        <v>0.439043</v>
      </c>
      <c r="W18" t="n">
        <v>0.439929</v>
      </c>
      <c r="X18" t="n">
        <v>0.441081</v>
      </c>
      <c r="Y18" t="n">
        <v>0.442205</v>
      </c>
      <c r="Z18" t="n">
        <v>0.443411</v>
      </c>
      <c r="AA18" t="n">
        <v>0.444822</v>
      </c>
      <c r="AB18" t="n">
        <v>0.446439</v>
      </c>
      <c r="AC18" t="n">
        <v>0.448004</v>
      </c>
      <c r="AD18" t="n">
        <v>0.449416</v>
      </c>
      <c r="AE18" t="n">
        <v>0.451156</v>
      </c>
      <c r="AF18" t="n">
        <v>0.453161</v>
      </c>
      <c r="AG18" t="n">
        <v>0.455199</v>
      </c>
      <c r="AH18" t="n">
        <v>0.457203</v>
      </c>
      <c r="AI18" s="16" t="n">
        <v>0.004</v>
      </c>
    </row>
    <row r="19">
      <c r="A19" t="inlineStr">
        <is>
          <t>Total</t>
        </is>
      </c>
      <c r="B19" t="inlineStr">
        <is>
          <t>Commercial: Gross End-use: Total: Reference case</t>
        </is>
      </c>
      <c r="C19" t="inlineStr">
        <is>
          <t>AEO.2023.REF2023.#N/A.A</t>
        </is>
      </c>
      <c r="D19" t="inlineStr">
        <is>
          <t>quads</t>
        </is>
      </c>
      <c r="F19" t="n">
        <v>7.531413</v>
      </c>
      <c r="G19" s="1" t="n">
        <v>7.410243</v>
      </c>
      <c r="H19" t="n">
        <v>7.4028</v>
      </c>
      <c r="I19" t="n">
        <v>7.499238</v>
      </c>
      <c r="J19" t="n">
        <v>7.578544</v>
      </c>
      <c r="K19" t="n">
        <v>7.639032</v>
      </c>
      <c r="L19" t="n">
        <v>7.692736</v>
      </c>
      <c r="M19" t="n">
        <v>7.735506</v>
      </c>
      <c r="N19" t="n">
        <v>7.767814</v>
      </c>
      <c r="O19" t="n">
        <v>7.795995</v>
      </c>
      <c r="P19" t="n">
        <v>7.831648</v>
      </c>
      <c r="Q19" t="n">
        <v>7.851241</v>
      </c>
      <c r="R19" t="n">
        <v>7.865163</v>
      </c>
      <c r="S19" t="n">
        <v>7.878181</v>
      </c>
      <c r="T19" t="n">
        <v>7.891899</v>
      </c>
      <c r="U19" t="n">
        <v>7.900681</v>
      </c>
      <c r="V19" t="n">
        <v>7.902669</v>
      </c>
      <c r="W19" t="n">
        <v>7.904121</v>
      </c>
      <c r="X19" t="n">
        <v>7.907362</v>
      </c>
      <c r="Y19" t="n">
        <v>7.913136</v>
      </c>
      <c r="Z19" t="n">
        <v>7.92147</v>
      </c>
      <c r="AA19" t="n">
        <v>7.934801</v>
      </c>
      <c r="AB19" t="n">
        <v>7.951907</v>
      </c>
      <c r="AC19" t="n">
        <v>7.96781</v>
      </c>
      <c r="AD19" t="n">
        <v>7.978965</v>
      </c>
      <c r="AE19" t="n">
        <v>7.997193</v>
      </c>
      <c r="AF19" t="n">
        <v>8.021315</v>
      </c>
      <c r="AG19" t="n">
        <v>8.047300999999999</v>
      </c>
      <c r="AH19" t="n">
        <v>8.07264</v>
      </c>
      <c r="AI19" s="16" t="n">
        <v>0.002</v>
      </c>
    </row>
    <row r="20">
      <c r="A20" t="inlineStr">
        <is>
          <t>Commercial Building Floorspace</t>
        </is>
      </c>
    </row>
    <row r="21">
      <c r="A21" t="inlineStr">
        <is>
          <t>(billion square feet)</t>
        </is>
      </c>
    </row>
    <row r="22">
      <c r="A22" t="inlineStr">
        <is>
          <t>Assembly</t>
        </is>
      </c>
      <c r="B22" t="inlineStr">
        <is>
          <t>Commercial: Floorspace: Assembly: Reference case</t>
        </is>
      </c>
      <c r="C22" t="inlineStr">
        <is>
          <t>AEO.2023.REF2023.KEI_FLR_COMM_ASB_NA_NA_NA_BLNSQFT.A</t>
        </is>
      </c>
      <c r="D22" t="inlineStr">
        <is>
          <t>billion sq ft</t>
        </is>
      </c>
      <c r="F22" t="n">
        <v>10.400917</v>
      </c>
      <c r="G22" s="1" t="n">
        <v>10.436387</v>
      </c>
      <c r="H22" t="n">
        <v>10.496305</v>
      </c>
      <c r="I22" t="n">
        <v>10.57352</v>
      </c>
      <c r="J22" t="n">
        <v>10.640577</v>
      </c>
      <c r="K22" t="n">
        <v>10.701997</v>
      </c>
      <c r="L22" t="n">
        <v>10.772717</v>
      </c>
      <c r="M22" t="n">
        <v>10.853343</v>
      </c>
      <c r="N22" t="n">
        <v>10.941223</v>
      </c>
      <c r="O22" t="n">
        <v>11.033052</v>
      </c>
      <c r="P22" t="n">
        <v>11.121057</v>
      </c>
      <c r="Q22" t="n">
        <v>11.20028</v>
      </c>
      <c r="R22" t="n">
        <v>11.270812</v>
      </c>
      <c r="S22" t="n">
        <v>11.332419</v>
      </c>
      <c r="T22" t="n">
        <v>11.38581</v>
      </c>
      <c r="U22" t="n">
        <v>11.432502</v>
      </c>
      <c r="V22" t="n">
        <v>11.472919</v>
      </c>
      <c r="W22" t="n">
        <v>11.507771</v>
      </c>
      <c r="X22" t="n">
        <v>11.538272</v>
      </c>
      <c r="Y22" t="n">
        <v>11.565514</v>
      </c>
      <c r="Z22" t="n">
        <v>11.59073</v>
      </c>
      <c r="AA22" t="n">
        <v>11.615142</v>
      </c>
      <c r="AB22" t="n">
        <v>11.639624</v>
      </c>
      <c r="AC22" t="n">
        <v>11.664806</v>
      </c>
      <c r="AD22" t="n">
        <v>11.691126</v>
      </c>
      <c r="AE22" t="n">
        <v>11.718759</v>
      </c>
      <c r="AF22" t="n">
        <v>11.747728</v>
      </c>
      <c r="AG22" t="n">
        <v>11.777931</v>
      </c>
      <c r="AH22" t="n">
        <v>11.809135</v>
      </c>
      <c r="AI22" s="16" t="n">
        <v>0.005</v>
      </c>
    </row>
    <row r="23">
      <c r="A23" t="inlineStr">
        <is>
          <t>Education</t>
        </is>
      </c>
      <c r="B23" t="inlineStr">
        <is>
          <t>Commercial: Floorspace: Education: Reference case</t>
        </is>
      </c>
      <c r="C23" t="inlineStr">
        <is>
          <t>AEO.2023.REF2023.KEI_FLR_COMM_EDD_NA_NA_NA_BLNSQFT.A</t>
        </is>
      </c>
      <c r="D23" t="inlineStr">
        <is>
          <t>billion sq ft</t>
        </is>
      </c>
      <c r="F23" t="n">
        <v>13.515454</v>
      </c>
      <c r="G23" s="1" t="n">
        <v>13.643662</v>
      </c>
      <c r="H23" t="n">
        <v>13.780691</v>
      </c>
      <c r="I23" t="n">
        <v>13.941533</v>
      </c>
      <c r="J23" t="n">
        <v>14.090282</v>
      </c>
      <c r="K23" t="n">
        <v>14.232786</v>
      </c>
      <c r="L23" t="n">
        <v>14.388822</v>
      </c>
      <c r="M23" t="n">
        <v>14.559372</v>
      </c>
      <c r="N23" t="n">
        <v>14.74106</v>
      </c>
      <c r="O23" t="n">
        <v>14.929582</v>
      </c>
      <c r="P23" t="n">
        <v>15.114496</v>
      </c>
      <c r="Q23" t="n">
        <v>15.289021</v>
      </c>
      <c r="R23" t="n">
        <v>15.453143</v>
      </c>
      <c r="S23" t="n">
        <v>15.606402</v>
      </c>
      <c r="T23" t="n">
        <v>15.749625</v>
      </c>
      <c r="U23" t="n">
        <v>15.884776</v>
      </c>
      <c r="V23" t="n">
        <v>16.012333</v>
      </c>
      <c r="W23" t="n">
        <v>16.133186</v>
      </c>
      <c r="X23" t="n">
        <v>16.24894</v>
      </c>
      <c r="Y23" t="n">
        <v>16.361061</v>
      </c>
      <c r="Z23" t="n">
        <v>16.471249</v>
      </c>
      <c r="AA23" t="n">
        <v>16.581207</v>
      </c>
      <c r="AB23" t="n">
        <v>16.692177</v>
      </c>
      <c r="AC23" t="n">
        <v>16.80508</v>
      </c>
      <c r="AD23" t="n">
        <v>16.920567</v>
      </c>
      <c r="AE23" t="n">
        <v>17.038923</v>
      </c>
      <c r="AF23" t="n">
        <v>17.160229</v>
      </c>
      <c r="AG23" t="n">
        <v>17.28437</v>
      </c>
      <c r="AH23" t="n">
        <v>17.411037</v>
      </c>
      <c r="AI23" s="16" t="n">
        <v>0.008999999999999999</v>
      </c>
    </row>
    <row r="24">
      <c r="A24" t="inlineStr">
        <is>
          <t>Food Sales</t>
        </is>
      </c>
      <c r="B24" t="inlineStr">
        <is>
          <t>Commercial: Floorspace: Food Sales: Reference case</t>
        </is>
      </c>
      <c r="C24" t="inlineStr">
        <is>
          <t>AEO.2023.REF2023.KEI_FLR_COMM_FDSA_NA_NA_NA_BLNSQFT.A</t>
        </is>
      </c>
      <c r="D24" t="inlineStr">
        <is>
          <t>billion sq ft</t>
        </is>
      </c>
      <c r="F24" t="n">
        <v>1.291462</v>
      </c>
      <c r="G24" s="1" t="n">
        <v>1.296816</v>
      </c>
      <c r="H24" t="n">
        <v>1.305836</v>
      </c>
      <c r="I24" t="n">
        <v>1.317039</v>
      </c>
      <c r="J24" t="n">
        <v>1.32701</v>
      </c>
      <c r="K24" t="n">
        <v>1.336312</v>
      </c>
      <c r="L24" t="n">
        <v>1.346806</v>
      </c>
      <c r="M24" t="n">
        <v>1.358573</v>
      </c>
      <c r="N24" t="n">
        <v>1.371286</v>
      </c>
      <c r="O24" t="n">
        <v>1.384535</v>
      </c>
      <c r="P24" t="n">
        <v>1.397346</v>
      </c>
      <c r="Q24" t="n">
        <v>1.409095</v>
      </c>
      <c r="R24" t="n">
        <v>1.419791</v>
      </c>
      <c r="S24" t="n">
        <v>1.429398</v>
      </c>
      <c r="T24" t="n">
        <v>1.438004</v>
      </c>
      <c r="U24" t="n">
        <v>1.445796</v>
      </c>
      <c r="V24" t="n">
        <v>1.452825</v>
      </c>
      <c r="W24" t="n">
        <v>1.459178</v>
      </c>
      <c r="X24" t="n">
        <v>1.465006</v>
      </c>
      <c r="Y24" t="n">
        <v>1.470445</v>
      </c>
      <c r="Z24" t="n">
        <v>1.475653</v>
      </c>
      <c r="AA24" t="n">
        <v>1.480783</v>
      </c>
      <c r="AB24" t="n">
        <v>1.485946</v>
      </c>
      <c r="AC24" t="n">
        <v>1.491223</v>
      </c>
      <c r="AD24" t="n">
        <v>1.496672</v>
      </c>
      <c r="AE24" t="n">
        <v>1.502314</v>
      </c>
      <c r="AF24" t="n">
        <v>1.508155</v>
      </c>
      <c r="AG24" t="n">
        <v>1.514183</v>
      </c>
      <c r="AH24" t="n">
        <v>1.520367</v>
      </c>
      <c r="AI24" s="16" t="n">
        <v>0.006</v>
      </c>
    </row>
    <row r="25">
      <c r="A25" t="inlineStr">
        <is>
          <t>Food Service</t>
        </is>
      </c>
      <c r="B25" t="inlineStr">
        <is>
          <t>Commercial: Floorspace: Food Service: Reference case</t>
        </is>
      </c>
      <c r="C25" t="inlineStr">
        <is>
          <t>AEO.2023.REF2023.KEI_FLR_COMM_FSC_NA_NA_NA_BLNSQFT.A</t>
        </is>
      </c>
      <c r="D25" t="inlineStr">
        <is>
          <t>billion sq ft</t>
        </is>
      </c>
      <c r="F25" t="n">
        <v>1.888346</v>
      </c>
      <c r="G25" s="1" t="n">
        <v>1.896453</v>
      </c>
      <c r="H25" t="n">
        <v>1.909625</v>
      </c>
      <c r="I25" t="n">
        <v>1.925987</v>
      </c>
      <c r="J25" t="n">
        <v>1.940549</v>
      </c>
      <c r="K25" t="n">
        <v>1.954131</v>
      </c>
      <c r="L25" t="n">
        <v>1.969456</v>
      </c>
      <c r="M25" t="n">
        <v>1.986643</v>
      </c>
      <c r="N25" t="n">
        <v>2.005212</v>
      </c>
      <c r="O25" t="n">
        <v>2.024564</v>
      </c>
      <c r="P25" t="n">
        <v>2.043276</v>
      </c>
      <c r="Q25" t="n">
        <v>2.060434</v>
      </c>
      <c r="R25" t="n">
        <v>2.07605</v>
      </c>
      <c r="S25" t="n">
        <v>2.090076</v>
      </c>
      <c r="T25" t="n">
        <v>2.102637</v>
      </c>
      <c r="U25" t="n">
        <v>2.114007</v>
      </c>
      <c r="V25" t="n">
        <v>2.124261</v>
      </c>
      <c r="W25" t="n">
        <v>2.133526</v>
      </c>
      <c r="X25" t="n">
        <v>2.142023</v>
      </c>
      <c r="Y25" t="n">
        <v>2.149953</v>
      </c>
      <c r="Z25" t="n">
        <v>2.157542</v>
      </c>
      <c r="AA25" t="n">
        <v>2.165018</v>
      </c>
      <c r="AB25" t="n">
        <v>2.172542</v>
      </c>
      <c r="AC25" t="n">
        <v>2.180233</v>
      </c>
      <c r="AD25" t="n">
        <v>2.188173</v>
      </c>
      <c r="AE25" t="n">
        <v>2.196398</v>
      </c>
      <c r="AF25" t="n">
        <v>2.204911</v>
      </c>
      <c r="AG25" t="n">
        <v>2.213697</v>
      </c>
      <c r="AH25" t="n">
        <v>2.222713</v>
      </c>
      <c r="AI25" s="16" t="n">
        <v>0.006</v>
      </c>
    </row>
    <row r="26">
      <c r="A26" t="inlineStr">
        <is>
          <t>Health Care</t>
        </is>
      </c>
      <c r="B26" t="inlineStr">
        <is>
          <t>Commercial: Floorspace: Health Care: Reference case</t>
        </is>
      </c>
      <c r="C26" t="inlineStr">
        <is>
          <t>AEO.2023.REF2023.KEI_FLR_COMM_HLC_NA_NA_NA_BLNSQFT.A</t>
        </is>
      </c>
      <c r="D26" t="inlineStr">
        <is>
          <t>billion sq ft</t>
        </is>
      </c>
      <c r="F26" t="n">
        <v>2.701855</v>
      </c>
      <c r="G26" s="1" t="n">
        <v>2.733213</v>
      </c>
      <c r="H26" t="n">
        <v>2.769319</v>
      </c>
      <c r="I26" t="n">
        <v>2.81037</v>
      </c>
      <c r="J26" t="n">
        <v>2.849174</v>
      </c>
      <c r="K26" t="n">
        <v>2.886892</v>
      </c>
      <c r="L26" t="n">
        <v>2.927522</v>
      </c>
      <c r="M26" t="n">
        <v>2.971289</v>
      </c>
      <c r="N26" t="n">
        <v>3.017531</v>
      </c>
      <c r="O26" t="n">
        <v>3.065386</v>
      </c>
      <c r="P26" t="n">
        <v>3.112723</v>
      </c>
      <c r="Q26" t="n">
        <v>3.15814</v>
      </c>
      <c r="R26" t="n">
        <v>3.201612</v>
      </c>
      <c r="S26" t="n">
        <v>3.243025</v>
      </c>
      <c r="T26" t="n">
        <v>3.282532</v>
      </c>
      <c r="U26" t="n">
        <v>3.320521</v>
      </c>
      <c r="V26" t="n">
        <v>3.357078</v>
      </c>
      <c r="W26" t="n">
        <v>3.392376</v>
      </c>
      <c r="X26" t="n">
        <v>3.426738</v>
      </c>
      <c r="Y26" t="n">
        <v>3.460464</v>
      </c>
      <c r="Z26" t="n">
        <v>3.493907</v>
      </c>
      <c r="AA26" t="n">
        <v>3.527425</v>
      </c>
      <c r="AB26" t="n">
        <v>3.561281</v>
      </c>
      <c r="AC26" t="n">
        <v>3.595673</v>
      </c>
      <c r="AD26" t="n">
        <v>3.630744</v>
      </c>
      <c r="AE26" t="n">
        <v>3.66656</v>
      </c>
      <c r="AF26" t="n">
        <v>3.70314</v>
      </c>
      <c r="AG26" t="n">
        <v>3.740469</v>
      </c>
      <c r="AH26" t="n">
        <v>3.778483</v>
      </c>
      <c r="AI26" s="16" t="n">
        <v>0.012</v>
      </c>
    </row>
    <row r="27">
      <c r="A27" t="inlineStr">
        <is>
          <t>Lodging</t>
        </is>
      </c>
      <c r="B27" t="inlineStr">
        <is>
          <t>Commercial: Floorspace: Lodging: Reference case</t>
        </is>
      </c>
      <c r="C27" t="inlineStr">
        <is>
          <t>AEO.2023.REF2023.KEI_FLR_COMM_LGC_NA_NA_NA_BLNSQFT.A</t>
        </is>
      </c>
      <c r="D27" t="inlineStr">
        <is>
          <t>billion sq ft</t>
        </is>
      </c>
      <c r="F27" t="n">
        <v>6.687417</v>
      </c>
      <c r="G27" s="1" t="n">
        <v>6.7613</v>
      </c>
      <c r="H27" t="n">
        <v>6.851435</v>
      </c>
      <c r="I27" t="n">
        <v>6.953804</v>
      </c>
      <c r="J27" t="n">
        <v>7.050617</v>
      </c>
      <c r="K27" t="n">
        <v>7.144745</v>
      </c>
      <c r="L27" t="n">
        <v>7.246084</v>
      </c>
      <c r="M27" t="n">
        <v>7.35519</v>
      </c>
      <c r="N27" t="n">
        <v>7.470426</v>
      </c>
      <c r="O27" t="n">
        <v>7.589662</v>
      </c>
      <c r="P27" t="n">
        <v>7.707621</v>
      </c>
      <c r="Q27" t="n">
        <v>7.820828</v>
      </c>
      <c r="R27" t="n">
        <v>7.929226</v>
      </c>
      <c r="S27" t="n">
        <v>8.032525</v>
      </c>
      <c r="T27" t="n">
        <v>8.131104000000001</v>
      </c>
      <c r="U27" t="n">
        <v>8.225923999999999</v>
      </c>
      <c r="V27" t="n">
        <v>8.317192</v>
      </c>
      <c r="W27" t="n">
        <v>8.405338</v>
      </c>
      <c r="X27" t="n">
        <v>8.491166</v>
      </c>
      <c r="Y27" t="n">
        <v>8.575415</v>
      </c>
      <c r="Z27" t="n">
        <v>8.658956999999999</v>
      </c>
      <c r="AA27" t="n">
        <v>8.742680999999999</v>
      </c>
      <c r="AB27" t="n">
        <v>8.827237999999999</v>
      </c>
      <c r="AC27" t="n">
        <v>8.913119999999999</v>
      </c>
      <c r="AD27" t="n">
        <v>9.000679</v>
      </c>
      <c r="AE27" t="n">
        <v>9.090082000000001</v>
      </c>
      <c r="AF27" t="n">
        <v>9.181379</v>
      </c>
      <c r="AG27" t="n">
        <v>9.274526</v>
      </c>
      <c r="AH27" t="n">
        <v>9.369368</v>
      </c>
      <c r="AI27" s="16" t="n">
        <v>0.012</v>
      </c>
    </row>
    <row r="28">
      <c r="A28" t="inlineStr">
        <is>
          <t>Office - Large</t>
        </is>
      </c>
      <c r="B28" t="inlineStr">
        <is>
          <t>Commercial: Floorspace: Office - Large: Reference case</t>
        </is>
      </c>
      <c r="C28" t="inlineStr">
        <is>
          <t>AEO.2023.REF2023.KEI_FLR_COMM_OFLC_NA_NA_NA_BLNSQFT.A</t>
        </is>
      </c>
      <c r="D28" t="inlineStr">
        <is>
          <t>billion sq ft</t>
        </is>
      </c>
      <c r="F28" t="n">
        <v>9.603738999999999</v>
      </c>
      <c r="G28" s="1" t="n">
        <v>9.659845000000001</v>
      </c>
      <c r="H28" t="n">
        <v>9.727270000000001</v>
      </c>
      <c r="I28" t="n">
        <v>9.810922</v>
      </c>
      <c r="J28" t="n">
        <v>9.885389</v>
      </c>
      <c r="K28" t="n">
        <v>9.954844</v>
      </c>
      <c r="L28" t="n">
        <v>10.033158</v>
      </c>
      <c r="M28" t="n">
        <v>10.120936</v>
      </c>
      <c r="N28" t="n">
        <v>10.215735</v>
      </c>
      <c r="O28" t="n">
        <v>10.314505</v>
      </c>
      <c r="P28" t="n">
        <v>10.409986</v>
      </c>
      <c r="Q28" t="n">
        <v>10.497533</v>
      </c>
      <c r="R28" t="n">
        <v>10.577204</v>
      </c>
      <c r="S28" t="n">
        <v>10.648745</v>
      </c>
      <c r="T28" t="n">
        <v>10.712796</v>
      </c>
      <c r="U28" t="n">
        <v>10.770758</v>
      </c>
      <c r="V28" t="n">
        <v>10.823006</v>
      </c>
      <c r="W28" t="n">
        <v>10.870186</v>
      </c>
      <c r="X28" t="n">
        <v>10.913433</v>
      </c>
      <c r="Y28" t="n">
        <v>10.953755</v>
      </c>
      <c r="Z28" t="n">
        <v>10.99232</v>
      </c>
      <c r="AA28" t="n">
        <v>11.030277</v>
      </c>
      <c r="AB28" t="n">
        <v>11.068451</v>
      </c>
      <c r="AC28" t="n">
        <v>11.107449</v>
      </c>
      <c r="AD28" t="n">
        <v>11.147686</v>
      </c>
      <c r="AE28" t="n">
        <v>11.189342</v>
      </c>
      <c r="AF28" t="n">
        <v>11.232442</v>
      </c>
      <c r="AG28" t="n">
        <v>11.276896</v>
      </c>
      <c r="AH28" t="n">
        <v>11.322491</v>
      </c>
      <c r="AI28" s="16" t="n">
        <v>0.006</v>
      </c>
    </row>
    <row r="29">
      <c r="A29" t="inlineStr">
        <is>
          <t>Office - Small</t>
        </is>
      </c>
      <c r="B29" t="inlineStr">
        <is>
          <t>Commercial: Floorspace: Office - Small: Reference case</t>
        </is>
      </c>
      <c r="C29" t="inlineStr">
        <is>
          <t>AEO.2023.REF2023.KEI_FLR_COMM_OFSC_NA_NA_NA_BLNSQFT.A</t>
        </is>
      </c>
      <c r="D29" t="inlineStr">
        <is>
          <t>billion sq ft</t>
        </is>
      </c>
      <c r="F29" t="n">
        <v>9.134696999999999</v>
      </c>
      <c r="G29" s="1" t="n">
        <v>9.196621</v>
      </c>
      <c r="H29" t="n">
        <v>9.271280000000001</v>
      </c>
      <c r="I29" t="n">
        <v>9.361578</v>
      </c>
      <c r="J29" t="n">
        <v>9.443315999999999</v>
      </c>
      <c r="K29" t="n">
        <v>9.52045</v>
      </c>
      <c r="L29" t="n">
        <v>9.606236000000001</v>
      </c>
      <c r="M29" t="n">
        <v>9.701280000000001</v>
      </c>
      <c r="N29" t="n">
        <v>9.803274</v>
      </c>
      <c r="O29" t="n">
        <v>9.909311000000001</v>
      </c>
      <c r="P29" t="n">
        <v>10.012436</v>
      </c>
      <c r="Q29" t="n">
        <v>10.108168</v>
      </c>
      <c r="R29" t="n">
        <v>10.196538</v>
      </c>
      <c r="S29" t="n">
        <v>10.277281</v>
      </c>
      <c r="T29" t="n">
        <v>10.350986</v>
      </c>
      <c r="U29" t="n">
        <v>10.418979</v>
      </c>
      <c r="V29" t="n">
        <v>10.481609</v>
      </c>
      <c r="W29" t="n">
        <v>10.539486</v>
      </c>
      <c r="X29" t="n">
        <v>10.593686</v>
      </c>
      <c r="Y29" t="n">
        <v>10.645185</v>
      </c>
      <c r="Z29" t="n">
        <v>10.6951</v>
      </c>
      <c r="AA29" t="n">
        <v>10.744549</v>
      </c>
      <c r="AB29" t="n">
        <v>10.794334</v>
      </c>
      <c r="AC29" t="n">
        <v>10.84505</v>
      </c>
      <c r="AD29" t="n">
        <v>10.897103</v>
      </c>
      <c r="AE29" t="n">
        <v>10.950674</v>
      </c>
      <c r="AF29" t="n">
        <v>11.005796</v>
      </c>
      <c r="AG29" t="n">
        <v>11.062386</v>
      </c>
      <c r="AH29" t="n">
        <v>11.120239</v>
      </c>
      <c r="AI29" s="16" t="n">
        <v>0.007</v>
      </c>
    </row>
    <row r="30">
      <c r="A30" t="inlineStr">
        <is>
          <t>Mercantile/Service</t>
        </is>
      </c>
      <c r="B30" t="inlineStr">
        <is>
          <t>Commercial: Floorspace: Mercantile/Service: Reference case</t>
        </is>
      </c>
      <c r="C30" t="inlineStr">
        <is>
          <t>AEO.2023.REF2023.KEI_FLR_COMM_MCSC_NA_NA_NA_BLNSQFT.A</t>
        </is>
      </c>
      <c r="D30" t="inlineStr">
        <is>
          <t>billion sq ft</t>
        </is>
      </c>
      <c r="F30" t="n">
        <v>17.156851</v>
      </c>
      <c r="G30" s="1" t="n">
        <v>17.261364</v>
      </c>
      <c r="H30" t="n">
        <v>17.402252</v>
      </c>
      <c r="I30" t="n">
        <v>17.572483</v>
      </c>
      <c r="J30" t="n">
        <v>17.726637</v>
      </c>
      <c r="K30" t="n">
        <v>17.872143</v>
      </c>
      <c r="L30" t="n">
        <v>18.033882</v>
      </c>
      <c r="M30" t="n">
        <v>18.21299</v>
      </c>
      <c r="N30" t="n">
        <v>18.405138</v>
      </c>
      <c r="O30" t="n">
        <v>18.60487</v>
      </c>
      <c r="P30" t="n">
        <v>18.799126</v>
      </c>
      <c r="Q30" t="n">
        <v>18.979485</v>
      </c>
      <c r="R30" t="n">
        <v>19.146017</v>
      </c>
      <c r="S30" t="n">
        <v>19.29821</v>
      </c>
      <c r="T30" t="n">
        <v>19.437168</v>
      </c>
      <c r="U30" t="n">
        <v>19.565395</v>
      </c>
      <c r="V30" t="n">
        <v>19.683525</v>
      </c>
      <c r="W30" t="n">
        <v>19.792713</v>
      </c>
      <c r="X30" t="n">
        <v>19.894976</v>
      </c>
      <c r="Y30" t="n">
        <v>19.992142</v>
      </c>
      <c r="Z30" t="n">
        <v>20.086315</v>
      </c>
      <c r="AA30" t="n">
        <v>20.179588</v>
      </c>
      <c r="AB30" t="n">
        <v>20.273474</v>
      </c>
      <c r="AC30" t="n">
        <v>20.36908</v>
      </c>
      <c r="AD30" t="n">
        <v>20.467176</v>
      </c>
      <c r="AE30" t="n">
        <v>20.568098</v>
      </c>
      <c r="AF30" t="n">
        <v>20.671907</v>
      </c>
      <c r="AG30" t="n">
        <v>20.778452</v>
      </c>
      <c r="AH30" t="n">
        <v>20.887339</v>
      </c>
      <c r="AI30" s="16" t="n">
        <v>0.007</v>
      </c>
    </row>
    <row r="31">
      <c r="A31" t="inlineStr">
        <is>
          <t>Warehouse</t>
        </is>
      </c>
      <c r="B31" t="inlineStr">
        <is>
          <t>Commercial: Floorspace: Warehouse: Reference case</t>
        </is>
      </c>
      <c r="C31" t="inlineStr">
        <is>
          <t>AEO.2023.REF2023.KEI_FLR_COMM_WHRC_NA_NA_NA_BLNSQFT.A</t>
        </is>
      </c>
      <c r="D31" t="inlineStr">
        <is>
          <t>billion sq ft</t>
        </is>
      </c>
      <c r="F31" t="n">
        <v>15.59821</v>
      </c>
      <c r="G31" s="1" t="n">
        <v>15.909663</v>
      </c>
      <c r="H31" t="n">
        <v>16.170263</v>
      </c>
      <c r="I31" t="n">
        <v>16.460665</v>
      </c>
      <c r="J31" t="n">
        <v>16.739002</v>
      </c>
      <c r="K31" t="n">
        <v>17.01198</v>
      </c>
      <c r="L31" t="n">
        <v>17.303083</v>
      </c>
      <c r="M31" t="n">
        <v>17.613777</v>
      </c>
      <c r="N31" t="n">
        <v>17.940296</v>
      </c>
      <c r="O31" t="n">
        <v>18.277628</v>
      </c>
      <c r="P31" t="n">
        <v>18.613136</v>
      </c>
      <c r="Q31" t="n">
        <v>18.938387</v>
      </c>
      <c r="R31" t="n">
        <v>19.253145</v>
      </c>
      <c r="S31" t="n">
        <v>19.556597</v>
      </c>
      <c r="T31" t="n">
        <v>19.849546</v>
      </c>
      <c r="U31" t="n">
        <v>20.134249</v>
      </c>
      <c r="V31" t="n">
        <v>20.411131</v>
      </c>
      <c r="W31" t="n">
        <v>20.68116</v>
      </c>
      <c r="X31" t="n">
        <v>20.946251</v>
      </c>
      <c r="Y31" t="n">
        <v>21.208176</v>
      </c>
      <c r="Z31" t="n">
        <v>21.469057</v>
      </c>
      <c r="AA31" t="n">
        <v>21.731073</v>
      </c>
      <c r="AB31" t="n">
        <v>21.995848</v>
      </c>
      <c r="AC31" t="n">
        <v>22.264605</v>
      </c>
      <c r="AD31" t="n">
        <v>22.538246</v>
      </c>
      <c r="AE31" t="n">
        <v>22.817213</v>
      </c>
      <c r="AF31" t="n">
        <v>23.101664</v>
      </c>
      <c r="AG31" t="n">
        <v>23.3915</v>
      </c>
      <c r="AH31" t="n">
        <v>23.686375</v>
      </c>
      <c r="AI31" s="16" t="n">
        <v>0.015</v>
      </c>
    </row>
    <row r="32">
      <c r="A32" t="inlineStr">
        <is>
          <t>Other</t>
        </is>
      </c>
      <c r="B32" t="inlineStr">
        <is>
          <t>Commercial: Floorspace: Other: Reference case</t>
        </is>
      </c>
      <c r="C32" t="inlineStr">
        <is>
          <t>AEO.2023.REF2023.KEI_FLR_COMM_OTHU_NA_NA_NA_BLNSQFT.A</t>
        </is>
      </c>
      <c r="D32" t="inlineStr">
        <is>
          <t>billion sq ft</t>
        </is>
      </c>
      <c r="F32" t="n">
        <v>7.492591</v>
      </c>
      <c r="G32" s="1" t="n">
        <v>7.58013</v>
      </c>
      <c r="H32" t="n">
        <v>7.672274</v>
      </c>
      <c r="I32" t="n">
        <v>7.77797</v>
      </c>
      <c r="J32" t="n">
        <v>7.877273</v>
      </c>
      <c r="K32" t="n">
        <v>7.973412</v>
      </c>
      <c r="L32" t="n">
        <v>8.077439999999999</v>
      </c>
      <c r="M32" t="n">
        <v>8.189959</v>
      </c>
      <c r="N32" t="n">
        <v>8.309116</v>
      </c>
      <c r="O32" t="n">
        <v>8.432520999999999</v>
      </c>
      <c r="P32" t="n">
        <v>8.554302</v>
      </c>
      <c r="Q32" t="n">
        <v>8.670608</v>
      </c>
      <c r="R32" t="n">
        <v>8.781395</v>
      </c>
      <c r="S32" t="n">
        <v>8.886362999999999</v>
      </c>
      <c r="T32" t="n">
        <v>8.985946</v>
      </c>
      <c r="U32" t="n">
        <v>9.08123</v>
      </c>
      <c r="V32" t="n">
        <v>9.172461999999999</v>
      </c>
      <c r="W32" t="n">
        <v>9.260121</v>
      </c>
      <c r="X32" t="n">
        <v>9.345108</v>
      </c>
      <c r="Y32" t="n">
        <v>9.428247000000001</v>
      </c>
      <c r="Z32" t="n">
        <v>9.510505999999999</v>
      </c>
      <c r="AA32" t="n">
        <v>9.592859000000001</v>
      </c>
      <c r="AB32" t="n">
        <v>9.676026999999999</v>
      </c>
      <c r="AC32" t="n">
        <v>9.760541999999999</v>
      </c>
      <c r="AD32" t="n">
        <v>9.84679</v>
      </c>
      <c r="AE32" t="n">
        <v>9.934951</v>
      </c>
      <c r="AF32" t="n">
        <v>10.025074</v>
      </c>
      <c r="AG32" t="n">
        <v>10.117102</v>
      </c>
      <c r="AH32" t="n">
        <v>10.210867</v>
      </c>
      <c r="AI32" s="16" t="n">
        <v>0.011</v>
      </c>
    </row>
    <row r="33">
      <c r="A33" t="inlineStr">
        <is>
          <t>Total</t>
        </is>
      </c>
      <c r="B33" t="inlineStr">
        <is>
          <t>Commercial: Floorspace: Total: Reference case</t>
        </is>
      </c>
      <c r="C33" t="inlineStr">
        <is>
          <t>AEO.2023.REF2023.KEI_FLR_COMM_NA_NA_NA_NA_BLNSQFT.A</t>
        </is>
      </c>
      <c r="D33" t="inlineStr">
        <is>
          <t>billion sq ft</t>
        </is>
      </c>
      <c r="F33" t="n">
        <v>95.471542</v>
      </c>
      <c r="G33" s="1" t="n">
        <v>96.37545</v>
      </c>
      <c r="H33" t="n">
        <v>97.35655199999999</v>
      </c>
      <c r="I33" t="n">
        <v>98.505859</v>
      </c>
      <c r="J33" t="n">
        <v>99.569824</v>
      </c>
      <c r="K33" t="n">
        <v>100.589691</v>
      </c>
      <c r="L33" t="n">
        <v>101.7052</v>
      </c>
      <c r="M33" t="n">
        <v>102.923347</v>
      </c>
      <c r="N33" t="n">
        <v>104.220291</v>
      </c>
      <c r="O33" t="n">
        <v>105.565613</v>
      </c>
      <c r="P33" t="n">
        <v>106.885513</v>
      </c>
      <c r="Q33" t="n">
        <v>108.131973</v>
      </c>
      <c r="R33" t="n">
        <v>109.304924</v>
      </c>
      <c r="S33" t="n">
        <v>110.401039</v>
      </c>
      <c r="T33" t="n">
        <v>111.426155</v>
      </c>
      <c r="U33" t="n">
        <v>112.394142</v>
      </c>
      <c r="V33" t="n">
        <v>113.308342</v>
      </c>
      <c r="W33" t="n">
        <v>114.175034</v>
      </c>
      <c r="X33" t="n">
        <v>115.0056</v>
      </c>
      <c r="Y33" t="n">
        <v>115.810349</v>
      </c>
      <c r="Z33" t="n">
        <v>116.601341</v>
      </c>
      <c r="AA33" t="n">
        <v>117.390602</v>
      </c>
      <c r="AB33" t="n">
        <v>118.186943</v>
      </c>
      <c r="AC33" t="n">
        <v>118.996857</v>
      </c>
      <c r="AD33" t="n">
        <v>119.824966</v>
      </c>
      <c r="AE33" t="n">
        <v>120.673317</v>
      </c>
      <c r="AF33" t="n">
        <v>121.542419</v>
      </c>
      <c r="AG33" t="n">
        <v>122.431511</v>
      </c>
      <c r="AH33" t="n">
        <v>123.338417</v>
      </c>
      <c r="AI33" s="16" t="n">
        <v>0.008999999999999999</v>
      </c>
    </row>
    <row r="34">
      <c r="A34" t="inlineStr">
        <is>
          <t>Stock Average Equipment Efficiency</t>
        </is>
      </c>
    </row>
    <row r="35">
      <c r="A35" t="inlineStr">
        <is>
          <t>Space Heating</t>
        </is>
      </c>
    </row>
    <row r="36">
      <c r="A36" t="inlineStr">
        <is>
          <t>Electricity</t>
        </is>
      </c>
      <c r="B36" t="inlineStr">
        <is>
          <t>Commercial: Stock Average Efficiency: Space Heating: Electricity: Reference case</t>
        </is>
      </c>
      <c r="C36" t="inlineStr">
        <is>
          <t>AEO.2023.REF2023.EFF_STKE_COMM_SPH_ELC_NA_NA_BTUOTPBTUIN.A</t>
        </is>
      </c>
      <c r="D36" t="inlineStr">
        <is>
          <t>Btu Out/Btu In</t>
        </is>
      </c>
      <c r="F36" t="n">
        <v>1.600274</v>
      </c>
      <c r="G36" s="1" t="n">
        <v>1.594243</v>
      </c>
      <c r="H36" t="n">
        <v>1.587098</v>
      </c>
      <c r="I36" t="n">
        <v>1.578912</v>
      </c>
      <c r="J36" t="n">
        <v>1.570767</v>
      </c>
      <c r="K36" t="n">
        <v>1.563012</v>
      </c>
      <c r="L36" t="n">
        <v>1.555431</v>
      </c>
      <c r="M36" t="n">
        <v>1.548036</v>
      </c>
      <c r="N36" t="n">
        <v>1.540515</v>
      </c>
      <c r="O36" t="n">
        <v>1.532912</v>
      </c>
      <c r="P36" t="n">
        <v>1.525505</v>
      </c>
      <c r="Q36" t="n">
        <v>1.517811</v>
      </c>
      <c r="R36" t="n">
        <v>1.510503</v>
      </c>
      <c r="S36" t="n">
        <v>1.503626</v>
      </c>
      <c r="T36" t="n">
        <v>1.496855</v>
      </c>
      <c r="U36" t="n">
        <v>1.49042</v>
      </c>
      <c r="V36" t="n">
        <v>1.48431</v>
      </c>
      <c r="W36" t="n">
        <v>1.478547</v>
      </c>
      <c r="X36" t="n">
        <v>1.47299</v>
      </c>
      <c r="Y36" t="n">
        <v>1.467513</v>
      </c>
      <c r="Z36" t="n">
        <v>1.462165</v>
      </c>
      <c r="AA36" t="n">
        <v>1.456975</v>
      </c>
      <c r="AB36" t="n">
        <v>1.451967</v>
      </c>
      <c r="AC36" t="n">
        <v>1.447101</v>
      </c>
      <c r="AD36" t="n">
        <v>1.442009</v>
      </c>
      <c r="AE36" t="n">
        <v>1.437024</v>
      </c>
      <c r="AF36" t="n">
        <v>1.43215</v>
      </c>
      <c r="AG36" t="n">
        <v>1.427428</v>
      </c>
      <c r="AH36" t="n">
        <v>1.422603</v>
      </c>
      <c r="AI36" s="16" t="n">
        <v>-0.004</v>
      </c>
    </row>
    <row r="37">
      <c r="A37" t="inlineStr">
        <is>
          <t>Natural Gas</t>
        </is>
      </c>
      <c r="B37" t="inlineStr">
        <is>
          <t>Commercial: Stock Average Efficiency: Space Heating: Natural Gas: Reference case</t>
        </is>
      </c>
      <c r="C37" t="inlineStr">
        <is>
          <t>AEO.2023.REF2023.EFF_STKE_COMM_SPH_NG_NA_NA_BTUOTPBTUIN.A</t>
        </is>
      </c>
      <c r="D37" t="inlineStr">
        <is>
          <t>Btu Out/Btu In</t>
        </is>
      </c>
      <c r="F37" t="n">
        <v>0.7903250000000001</v>
      </c>
      <c r="G37" s="1" t="n">
        <v>0.7916029999999999</v>
      </c>
      <c r="H37" t="n">
        <v>0.792499</v>
      </c>
      <c r="I37" t="n">
        <v>0.7930970000000001</v>
      </c>
      <c r="J37" t="n">
        <v>0.793588</v>
      </c>
      <c r="K37" t="n">
        <v>0.794002</v>
      </c>
      <c r="L37" t="n">
        <v>0.7944020000000001</v>
      </c>
      <c r="M37" t="n">
        <v>0.794797</v>
      </c>
      <c r="N37" t="n">
        <v>0.795166</v>
      </c>
      <c r="O37" t="n">
        <v>0.7955179999999999</v>
      </c>
      <c r="P37" t="n">
        <v>0.795851</v>
      </c>
      <c r="Q37" t="n">
        <v>0.796166</v>
      </c>
      <c r="R37" t="n">
        <v>0.796463</v>
      </c>
      <c r="S37" t="n">
        <v>0.796747</v>
      </c>
      <c r="T37" t="n">
        <v>0.7970159999999999</v>
      </c>
      <c r="U37" t="n">
        <v>0.797268</v>
      </c>
      <c r="V37" t="n">
        <v>0.797498</v>
      </c>
      <c r="W37" t="n">
        <v>0.797719</v>
      </c>
      <c r="X37" t="n">
        <v>0.797928</v>
      </c>
      <c r="Y37" t="n">
        <v>0.798139</v>
      </c>
      <c r="Z37" t="n">
        <v>0.798332</v>
      </c>
      <c r="AA37" t="n">
        <v>0.798496</v>
      </c>
      <c r="AB37" t="n">
        <v>0.798634</v>
      </c>
      <c r="AC37" t="n">
        <v>0.798766</v>
      </c>
      <c r="AD37" t="n">
        <v>0.798905</v>
      </c>
      <c r="AE37" t="n">
        <v>0.799021</v>
      </c>
      <c r="AF37" t="n">
        <v>0.799131</v>
      </c>
      <c r="AG37" t="n">
        <v>0.799225</v>
      </c>
      <c r="AH37" t="n">
        <v>0.7993170000000001</v>
      </c>
      <c r="AI37" s="16" t="n">
        <v>0</v>
      </c>
    </row>
    <row r="38">
      <c r="A38" t="inlineStr">
        <is>
          <t>Distillate Fuel Oil</t>
        </is>
      </c>
      <c r="B38" t="inlineStr">
        <is>
          <t>Commercial: Stock Average Efficiency: Space Heating: Distillate Fuel Oil: Reference case</t>
        </is>
      </c>
      <c r="C38" t="inlineStr">
        <is>
          <t>AEO.2023.REF2023.EFF_STKE_COMM_SPH_DFO_NA_NA_BTUOTPBTUIN.A</t>
        </is>
      </c>
      <c r="D38" t="inlineStr">
        <is>
          <t>Btu Out/Btu In</t>
        </is>
      </c>
      <c r="F38" t="n">
        <v>0.811075</v>
      </c>
      <c r="G38" s="1" t="n">
        <v>0.811913</v>
      </c>
      <c r="H38" t="n">
        <v>0.812663</v>
      </c>
      <c r="I38" t="n">
        <v>0.813233</v>
      </c>
      <c r="J38" t="n">
        <v>0.813739</v>
      </c>
      <c r="K38" t="n">
        <v>0.814214</v>
      </c>
      <c r="L38" t="n">
        <v>0.81467</v>
      </c>
      <c r="M38" t="n">
        <v>0.8151119999999999</v>
      </c>
      <c r="N38" t="n">
        <v>0.815656</v>
      </c>
      <c r="O38" t="n">
        <v>0.816172</v>
      </c>
      <c r="P38" t="n">
        <v>0.816661</v>
      </c>
      <c r="Q38" t="n">
        <v>0.81712</v>
      </c>
      <c r="R38" t="n">
        <v>0.817553</v>
      </c>
      <c r="S38" t="n">
        <v>0.817961</v>
      </c>
      <c r="T38" t="n">
        <v>0.818347</v>
      </c>
      <c r="U38" t="n">
        <v>0.818712</v>
      </c>
      <c r="V38" t="n">
        <v>0.819057</v>
      </c>
      <c r="W38" t="n">
        <v>0.819381</v>
      </c>
      <c r="X38" t="n">
        <v>0.81994</v>
      </c>
      <c r="Y38" t="n">
        <v>0.820468</v>
      </c>
      <c r="Z38" t="n">
        <v>0.8209689999999999</v>
      </c>
      <c r="AA38" t="n">
        <v>0.8214089999999999</v>
      </c>
      <c r="AB38" t="n">
        <v>0.82182</v>
      </c>
      <c r="AC38" t="n">
        <v>0.822211</v>
      </c>
      <c r="AD38" t="n">
        <v>0.8225789999999999</v>
      </c>
      <c r="AE38" t="n">
        <v>0.822928</v>
      </c>
      <c r="AF38" t="n">
        <v>0.823258</v>
      </c>
      <c r="AG38" t="n">
        <v>0.8235710000000001</v>
      </c>
      <c r="AH38" t="n">
        <v>0.823868</v>
      </c>
      <c r="AI38" s="16" t="n">
        <v>0.001</v>
      </c>
    </row>
    <row r="39">
      <c r="A39" t="inlineStr">
        <is>
          <t>Space Cooling</t>
        </is>
      </c>
    </row>
    <row r="40">
      <c r="A40" t="inlineStr">
        <is>
          <t>Electricity</t>
        </is>
      </c>
      <c r="B40" t="inlineStr">
        <is>
          <t>Commercial: Stock Average Efficiency: Space Cooling: Electricity: Reference case</t>
        </is>
      </c>
      <c r="C40" t="inlineStr">
        <is>
          <t>AEO.2023.REF2023.EFF_STKE_COMM_SPC_ELC_NA_NA_BTUOTPBTUIN.A</t>
        </is>
      </c>
      <c r="D40" t="inlineStr">
        <is>
          <t>Btu Out/Btu In</t>
        </is>
      </c>
      <c r="F40" t="n">
        <v>3.631937</v>
      </c>
      <c r="G40" s="1" t="n">
        <v>3.670844</v>
      </c>
      <c r="H40" t="n">
        <v>3.705795</v>
      </c>
      <c r="I40" t="n">
        <v>3.741041</v>
      </c>
      <c r="J40" t="n">
        <v>3.773756</v>
      </c>
      <c r="K40" t="n">
        <v>3.804141</v>
      </c>
      <c r="L40" t="n">
        <v>3.833991</v>
      </c>
      <c r="M40" t="n">
        <v>3.863452</v>
      </c>
      <c r="N40" t="n">
        <v>3.894044</v>
      </c>
      <c r="O40" t="n">
        <v>3.923628</v>
      </c>
      <c r="P40" t="n">
        <v>3.951355</v>
      </c>
      <c r="Q40" t="n">
        <v>3.978105</v>
      </c>
      <c r="R40" t="n">
        <v>4.003486</v>
      </c>
      <c r="S40" t="n">
        <v>4.02747</v>
      </c>
      <c r="T40" t="n">
        <v>4.049935</v>
      </c>
      <c r="U40" t="n">
        <v>4.071064</v>
      </c>
      <c r="V40" t="n">
        <v>4.091231</v>
      </c>
      <c r="W40" t="n">
        <v>4.110403</v>
      </c>
      <c r="X40" t="n">
        <v>4.132566</v>
      </c>
      <c r="Y40" t="n">
        <v>4.153564</v>
      </c>
      <c r="Z40" t="n">
        <v>4.173704</v>
      </c>
      <c r="AA40" t="n">
        <v>4.193167</v>
      </c>
      <c r="AB40" t="n">
        <v>4.21193</v>
      </c>
      <c r="AC40" t="n">
        <v>4.229976</v>
      </c>
      <c r="AD40" t="n">
        <v>4.247146</v>
      </c>
      <c r="AE40" t="n">
        <v>4.263546</v>
      </c>
      <c r="AF40" t="n">
        <v>4.279475</v>
      </c>
      <c r="AG40" t="n">
        <v>4.294493</v>
      </c>
      <c r="AH40" t="n">
        <v>4.308665</v>
      </c>
      <c r="AI40" s="16" t="n">
        <v>0.006</v>
      </c>
    </row>
    <row r="41">
      <c r="A41" t="inlineStr">
        <is>
          <t>Natural Gas</t>
        </is>
      </c>
      <c r="B41" t="inlineStr">
        <is>
          <t>Commercial: Stock Average Efficiency: Space Cooling: Natural Gas: Reference case</t>
        </is>
      </c>
      <c r="C41" t="inlineStr">
        <is>
          <t>AEO.2023.REF2023.EFF_STKE_COMM_SPC_NG_NA_NA_BTUOTPBTUIN.A</t>
        </is>
      </c>
      <c r="D41" t="inlineStr">
        <is>
          <t>Btu Out/Btu In</t>
        </is>
      </c>
      <c r="F41" t="n">
        <v>0.79191</v>
      </c>
      <c r="G41" s="1" t="n">
        <v>0.815889</v>
      </c>
      <c r="H41" t="n">
        <v>0.801778</v>
      </c>
      <c r="I41" t="n">
        <v>0.811522</v>
      </c>
      <c r="J41" t="n">
        <v>0.820885</v>
      </c>
      <c r="K41" t="n">
        <v>0.829966</v>
      </c>
      <c r="L41" t="n">
        <v>0.839108</v>
      </c>
      <c r="M41" t="n">
        <v>0.848253</v>
      </c>
      <c r="N41" t="n">
        <v>0.857472</v>
      </c>
      <c r="O41" t="n">
        <v>0.86655</v>
      </c>
      <c r="P41" t="n">
        <v>0.875432</v>
      </c>
      <c r="Q41" t="n">
        <v>0.884114</v>
      </c>
      <c r="R41" t="n">
        <v>0.892552</v>
      </c>
      <c r="S41" t="n">
        <v>0.90077</v>
      </c>
      <c r="T41" t="n">
        <v>0.908739</v>
      </c>
      <c r="U41" t="n">
        <v>0.916582</v>
      </c>
      <c r="V41" t="n">
        <v>0.924255</v>
      </c>
      <c r="W41" t="n">
        <v>0.931727</v>
      </c>
      <c r="X41" t="n">
        <v>0.939129</v>
      </c>
      <c r="Y41" t="n">
        <v>0.946474</v>
      </c>
      <c r="Z41" t="n">
        <v>0.953687</v>
      </c>
      <c r="AA41" t="n">
        <v>0.960795</v>
      </c>
      <c r="AB41" t="n">
        <v>0.967847</v>
      </c>
      <c r="AC41" t="n">
        <v>0.974895</v>
      </c>
      <c r="AD41" t="n">
        <v>0.982086</v>
      </c>
      <c r="AE41" t="n">
        <v>0.989328</v>
      </c>
      <c r="AF41" t="n">
        <v>0.996426</v>
      </c>
      <c r="AG41" t="n">
        <v>1.003511</v>
      </c>
      <c r="AH41" t="n">
        <v>1.010638</v>
      </c>
      <c r="AI41" s="16" t="n">
        <v>0.008999999999999999</v>
      </c>
    </row>
    <row r="42">
      <c r="A42" t="inlineStr">
        <is>
          <t>Water Heating</t>
        </is>
      </c>
    </row>
    <row r="43">
      <c r="A43" t="inlineStr">
        <is>
          <t>Electricity</t>
        </is>
      </c>
      <c r="B43" t="inlineStr">
        <is>
          <t>Commercial: Stock Average Efficiency: Water Heating: Electricity: Reference case</t>
        </is>
      </c>
      <c r="C43" t="inlineStr">
        <is>
          <t>AEO.2023.REF2023.EFF_STKE_COMM_WTHT_ELC_NA_NA_BTUOTPBTUIN.A</t>
        </is>
      </c>
      <c r="D43" t="inlineStr">
        <is>
          <t>Btu Out/Btu In</t>
        </is>
      </c>
      <c r="F43" t="n">
        <v>1.15897</v>
      </c>
      <c r="G43" s="1" t="n">
        <v>1.184838</v>
      </c>
      <c r="H43" t="n">
        <v>1.210067</v>
      </c>
      <c r="I43" t="n">
        <v>1.234157</v>
      </c>
      <c r="J43" t="n">
        <v>1.255187</v>
      </c>
      <c r="K43" t="n">
        <v>1.261848</v>
      </c>
      <c r="L43" t="n">
        <v>1.268374</v>
      </c>
      <c r="M43" t="n">
        <v>1.274774</v>
      </c>
      <c r="N43" t="n">
        <v>1.281186</v>
      </c>
      <c r="O43" t="n">
        <v>1.287499</v>
      </c>
      <c r="P43" t="n">
        <v>1.294107</v>
      </c>
      <c r="Q43" t="n">
        <v>1.30059</v>
      </c>
      <c r="R43" t="n">
        <v>1.307019</v>
      </c>
      <c r="S43" t="n">
        <v>1.313241</v>
      </c>
      <c r="T43" t="n">
        <v>1.319371</v>
      </c>
      <c r="U43" t="n">
        <v>1.325511</v>
      </c>
      <c r="V43" t="n">
        <v>1.331667</v>
      </c>
      <c r="W43" t="n">
        <v>1.337692</v>
      </c>
      <c r="X43" t="n">
        <v>1.343575</v>
      </c>
      <c r="Y43" t="n">
        <v>1.349317</v>
      </c>
      <c r="Z43" t="n">
        <v>1.354969</v>
      </c>
      <c r="AA43" t="n">
        <v>1.360491</v>
      </c>
      <c r="AB43" t="n">
        <v>1.365959</v>
      </c>
      <c r="AC43" t="n">
        <v>1.37123</v>
      </c>
      <c r="AD43" t="n">
        <v>1.376657</v>
      </c>
      <c r="AE43" t="n">
        <v>1.381959</v>
      </c>
      <c r="AF43" t="n">
        <v>1.387086</v>
      </c>
      <c r="AG43" t="n">
        <v>1.392069</v>
      </c>
      <c r="AH43" t="n">
        <v>1.396927</v>
      </c>
      <c r="AI43" s="16" t="n">
        <v>0.007</v>
      </c>
    </row>
    <row r="44">
      <c r="A44" t="inlineStr">
        <is>
          <t>Natural Gas</t>
        </is>
      </c>
      <c r="B44" t="inlineStr">
        <is>
          <t>Commercial: Stock Average Efficiency: Water Heating: Natural Gas: Reference case</t>
        </is>
      </c>
      <c r="C44" t="inlineStr">
        <is>
          <t>AEO.2023.REF2023.EFF_STKE_COMM_WTHT_NG_NA_NA_BTUOTPBTUIN.A</t>
        </is>
      </c>
      <c r="D44" t="inlineStr">
        <is>
          <t>Btu Out/Btu In</t>
        </is>
      </c>
      <c r="F44" t="n">
        <v>0.895232</v>
      </c>
      <c r="G44" s="1" t="n">
        <v>0.900596</v>
      </c>
      <c r="H44" t="n">
        <v>0.9049430000000001</v>
      </c>
      <c r="I44" t="n">
        <v>0.90891</v>
      </c>
      <c r="J44" t="n">
        <v>0.912434</v>
      </c>
      <c r="K44" t="n">
        <v>0.9155990000000001</v>
      </c>
      <c r="L44" t="n">
        <v>0.918505</v>
      </c>
      <c r="M44" t="n">
        <v>0.9211510000000001</v>
      </c>
      <c r="N44" t="n">
        <v>0.92355</v>
      </c>
      <c r="O44" t="n">
        <v>0.925713</v>
      </c>
      <c r="P44" t="n">
        <v>0.927647</v>
      </c>
      <c r="Q44" t="n">
        <v>0.929368</v>
      </c>
      <c r="R44" t="n">
        <v>0.930898</v>
      </c>
      <c r="S44" t="n">
        <v>0.93226</v>
      </c>
      <c r="T44" t="n">
        <v>0.933472</v>
      </c>
      <c r="U44" t="n">
        <v>0.934553</v>
      </c>
      <c r="V44" t="n">
        <v>0.935518</v>
      </c>
      <c r="W44" t="n">
        <v>0.936378</v>
      </c>
      <c r="X44" t="n">
        <v>0.937148</v>
      </c>
      <c r="Y44" t="n">
        <v>0.937837</v>
      </c>
      <c r="Z44" t="n">
        <v>0.938454</v>
      </c>
      <c r="AA44" t="n">
        <v>0.939008</v>
      </c>
      <c r="AB44" t="n">
        <v>0.939504</v>
      </c>
      <c r="AC44" t="n">
        <v>0.940205</v>
      </c>
      <c r="AD44" t="n">
        <v>0.940838</v>
      </c>
      <c r="AE44" t="n">
        <v>0.941408</v>
      </c>
      <c r="AF44" t="n">
        <v>0.941921</v>
      </c>
      <c r="AG44" t="n">
        <v>0.9423820000000001</v>
      </c>
      <c r="AH44" t="n">
        <v>0.942795</v>
      </c>
      <c r="AI44" s="16" t="n">
        <v>0.002</v>
      </c>
    </row>
    <row r="45">
      <c r="A45" t="inlineStr">
        <is>
          <t>Distillate Fuel Oil</t>
        </is>
      </c>
      <c r="B45" t="inlineStr">
        <is>
          <t>Commercial: Stock Average Efficiency: Water Heating: Distillate Fuel Oil: Reference case</t>
        </is>
      </c>
      <c r="C45" t="inlineStr">
        <is>
          <t>AEO.2023.REF2023.EFF_STKE_COMM_WTHT_DFO_NA_NA_BTUOTPBTUIN.A</t>
        </is>
      </c>
      <c r="D45" t="inlineStr">
        <is>
          <t>Btu Out/Btu In</t>
        </is>
      </c>
      <c r="F45" t="n">
        <v>0.807966</v>
      </c>
      <c r="G45" s="1" t="n">
        <v>0.808998</v>
      </c>
      <c r="H45" t="n">
        <v>0.80996</v>
      </c>
      <c r="I45" t="n">
        <v>0.810849</v>
      </c>
      <c r="J45" t="n">
        <v>0.811653</v>
      </c>
      <c r="K45" t="n">
        <v>0.812385</v>
      </c>
      <c r="L45" t="n">
        <v>0.813056</v>
      </c>
      <c r="M45" t="n">
        <v>0.813672</v>
      </c>
      <c r="N45" t="n">
        <v>0.814237</v>
      </c>
      <c r="O45" t="n">
        <v>0.814752</v>
      </c>
      <c r="P45" t="n">
        <v>0.8152199999999999</v>
      </c>
      <c r="Q45" t="n">
        <v>0.815644</v>
      </c>
      <c r="R45" t="n">
        <v>0.816028</v>
      </c>
      <c r="S45" t="n">
        <v>0.816377</v>
      </c>
      <c r="T45" t="n">
        <v>0.816692</v>
      </c>
      <c r="U45" t="n">
        <v>0.816983</v>
      </c>
      <c r="V45" t="n">
        <v>0.817244</v>
      </c>
      <c r="W45" t="n">
        <v>0.817485</v>
      </c>
      <c r="X45" t="n">
        <v>0.817701</v>
      </c>
      <c r="Y45" t="n">
        <v>0.817901</v>
      </c>
      <c r="Z45" t="n">
        <v>0.818083</v>
      </c>
      <c r="AA45" t="n">
        <v>0.81825</v>
      </c>
      <c r="AB45" t="n">
        <v>0.818401</v>
      </c>
      <c r="AC45" t="n">
        <v>0.81854</v>
      </c>
      <c r="AD45" t="n">
        <v>0.818667</v>
      </c>
      <c r="AE45" t="n">
        <v>0.818783</v>
      </c>
      <c r="AF45" t="n">
        <v>0.8188879999999999</v>
      </c>
      <c r="AG45" t="n">
        <v>0.818984</v>
      </c>
      <c r="AH45" t="n">
        <v>0.819071</v>
      </c>
      <c r="AI45" s="16" t="n">
        <v>0</v>
      </c>
    </row>
    <row r="46">
      <c r="A46" t="inlineStr">
        <is>
          <t>Ventilation (cubic feet per minute per Btu)</t>
        </is>
      </c>
    </row>
    <row r="47">
      <c r="A47" t="inlineStr">
        <is>
          <t>Electricity</t>
        </is>
      </c>
      <c r="B47" t="inlineStr">
        <is>
          <t>Commercial: Stock Average Efficiency: Ventilation: Electricity: Reference case</t>
        </is>
      </c>
      <c r="C47" t="inlineStr">
        <is>
          <t>AEO.2023.REF2023.EFF_STKE_COMM_VNTC_ELC_NA_NA_CUFTPMINPBTU.A</t>
        </is>
      </c>
      <c r="D47" t="inlineStr">
        <is>
          <t>cu ft/minute/Btu</t>
        </is>
      </c>
      <c r="F47" t="n">
        <v>0.335243</v>
      </c>
      <c r="G47" s="1" t="n">
        <v>0.335928</v>
      </c>
      <c r="H47" t="n">
        <v>0.336595</v>
      </c>
      <c r="I47" t="n">
        <v>0.337237</v>
      </c>
      <c r="J47" t="n">
        <v>0.337879</v>
      </c>
      <c r="K47" t="n">
        <v>0.338488</v>
      </c>
      <c r="L47" t="n">
        <v>0.339075</v>
      </c>
      <c r="M47" t="n">
        <v>0.339638</v>
      </c>
      <c r="N47" t="n">
        <v>0.340535</v>
      </c>
      <c r="O47" t="n">
        <v>0.341409</v>
      </c>
      <c r="P47" t="n">
        <v>0.342242</v>
      </c>
      <c r="Q47" t="n">
        <v>0.343031</v>
      </c>
      <c r="R47" t="n">
        <v>0.34378</v>
      </c>
      <c r="S47" t="n">
        <v>0.344489</v>
      </c>
      <c r="T47" t="n">
        <v>0.345159</v>
      </c>
      <c r="U47" t="n">
        <v>0.345794</v>
      </c>
      <c r="V47" t="n">
        <v>0.346395</v>
      </c>
      <c r="W47" t="n">
        <v>0.346964</v>
      </c>
      <c r="X47" t="n">
        <v>0.347501</v>
      </c>
      <c r="Y47" t="n">
        <v>0.348013</v>
      </c>
      <c r="Z47" t="n">
        <v>0.348498</v>
      </c>
      <c r="AA47" t="n">
        <v>0.348956</v>
      </c>
      <c r="AB47" t="n">
        <v>0.349388</v>
      </c>
      <c r="AC47" t="n">
        <v>0.349795</v>
      </c>
      <c r="AD47" t="n">
        <v>0.350177</v>
      </c>
      <c r="AE47" t="n">
        <v>0.350535</v>
      </c>
      <c r="AF47" t="n">
        <v>0.35087</v>
      </c>
      <c r="AG47" t="n">
        <v>0.351182</v>
      </c>
      <c r="AH47" t="n">
        <v>0.351464</v>
      </c>
      <c r="AI47" s="16" t="n">
        <v>0.002</v>
      </c>
    </row>
    <row r="48">
      <c r="A48" t="inlineStr">
        <is>
          <t>Cooking</t>
        </is>
      </c>
    </row>
    <row r="49">
      <c r="A49" t="inlineStr">
        <is>
          <t>Electricity</t>
        </is>
      </c>
      <c r="B49" t="inlineStr">
        <is>
          <t>Commercial: Stock Average Efficiency: Cooking: Electricity: Reference case</t>
        </is>
      </c>
      <c r="C49" t="inlineStr">
        <is>
          <t>AEO.2023.REF2023.EFF_STKE_COMM_CGR_ELC_NA_NA_BTUOTPBTUIN.A</t>
        </is>
      </c>
      <c r="D49" t="inlineStr">
        <is>
          <t>Btu Out/Btu In</t>
        </is>
      </c>
      <c r="F49" t="n">
        <v>0.693479</v>
      </c>
      <c r="G49" s="1" t="n">
        <v>0.694064</v>
      </c>
      <c r="H49" t="n">
        <v>0.694607</v>
      </c>
      <c r="I49" t="n">
        <v>0.695107</v>
      </c>
      <c r="J49" t="n">
        <v>0.695557</v>
      </c>
      <c r="K49" t="n">
        <v>0.695964</v>
      </c>
      <c r="L49" t="n">
        <v>0.696337</v>
      </c>
      <c r="M49" t="n">
        <v>0.696677</v>
      </c>
      <c r="N49" t="n">
        <v>0.696987</v>
      </c>
      <c r="O49" t="n">
        <v>0.697269</v>
      </c>
      <c r="P49" t="n">
        <v>0.697524</v>
      </c>
      <c r="Q49" t="n">
        <v>0.697753</v>
      </c>
      <c r="R49" t="n">
        <v>0.6979610000000001</v>
      </c>
      <c r="S49" t="n">
        <v>0.698147</v>
      </c>
      <c r="T49" t="n">
        <v>0.698316</v>
      </c>
      <c r="U49" t="n">
        <v>0.698469</v>
      </c>
      <c r="V49" t="n">
        <v>0.698608</v>
      </c>
      <c r="W49" t="n">
        <v>0.698733</v>
      </c>
      <c r="X49" t="n">
        <v>0.698847</v>
      </c>
      <c r="Y49" t="n">
        <v>0.69895</v>
      </c>
      <c r="Z49" t="n">
        <v>0.699044</v>
      </c>
      <c r="AA49" t="n">
        <v>0.69913</v>
      </c>
      <c r="AB49" t="n">
        <v>0.6992080000000001</v>
      </c>
      <c r="AC49" t="n">
        <v>0.699279</v>
      </c>
      <c r="AD49" t="n">
        <v>0.699343</v>
      </c>
      <c r="AE49" t="n">
        <v>0.699402</v>
      </c>
      <c r="AF49" t="n">
        <v>0.699456</v>
      </c>
      <c r="AG49" t="n">
        <v>0.699505</v>
      </c>
      <c r="AH49" t="n">
        <v>0.69955</v>
      </c>
      <c r="AI49" s="16" t="n">
        <v>0</v>
      </c>
    </row>
    <row r="50">
      <c r="A50" t="inlineStr">
        <is>
          <t>Natural Gas</t>
        </is>
      </c>
      <c r="B50" t="inlineStr">
        <is>
          <t>Commercial: Stock Average Efficiency: Cooking: Natural Gas: Reference case</t>
        </is>
      </c>
      <c r="C50" t="inlineStr">
        <is>
          <t>AEO.2023.REF2023.EFF_STKE_COMM_CGR_NG_NA_NA_BTUOTPBTUIN.A</t>
        </is>
      </c>
      <c r="D50" t="inlineStr">
        <is>
          <t>Btu Out/Btu In</t>
        </is>
      </c>
      <c r="F50" t="n">
        <v>0.316667</v>
      </c>
      <c r="G50" s="1" t="n">
        <v>0.316667</v>
      </c>
      <c r="H50" t="n">
        <v>0.316667</v>
      </c>
      <c r="I50" t="n">
        <v>0.316667</v>
      </c>
      <c r="J50" t="n">
        <v>0.316667</v>
      </c>
      <c r="K50" t="n">
        <v>0.316667</v>
      </c>
      <c r="L50" t="n">
        <v>0.316667</v>
      </c>
      <c r="M50" t="n">
        <v>0.316667</v>
      </c>
      <c r="N50" t="n">
        <v>0.316667</v>
      </c>
      <c r="O50" t="n">
        <v>0.316667</v>
      </c>
      <c r="P50" t="n">
        <v>0.316667</v>
      </c>
      <c r="Q50" t="n">
        <v>0.316667</v>
      </c>
      <c r="R50" t="n">
        <v>0.316667</v>
      </c>
      <c r="S50" t="n">
        <v>0.316667</v>
      </c>
      <c r="T50" t="n">
        <v>0.316667</v>
      </c>
      <c r="U50" t="n">
        <v>0.316667</v>
      </c>
      <c r="V50" t="n">
        <v>0.316667</v>
      </c>
      <c r="W50" t="n">
        <v>0.316667</v>
      </c>
      <c r="X50" t="n">
        <v>0.316667</v>
      </c>
      <c r="Y50" t="n">
        <v>0.316667</v>
      </c>
      <c r="Z50" t="n">
        <v>0.316667</v>
      </c>
      <c r="AA50" t="n">
        <v>0.316667</v>
      </c>
      <c r="AB50" t="n">
        <v>0.316667</v>
      </c>
      <c r="AC50" t="n">
        <v>0.316667</v>
      </c>
      <c r="AD50" t="n">
        <v>0.316667</v>
      </c>
      <c r="AE50" t="n">
        <v>0.316667</v>
      </c>
      <c r="AF50" t="n">
        <v>0.316667</v>
      </c>
      <c r="AG50" t="n">
        <v>0.316667</v>
      </c>
      <c r="AH50" t="n">
        <v>0.316667</v>
      </c>
      <c r="AI50" s="16" t="n">
        <v>0</v>
      </c>
    </row>
    <row r="51">
      <c r="A51" t="inlineStr">
        <is>
          <t>Lighting Efficacy</t>
        </is>
      </c>
    </row>
    <row r="52">
      <c r="A52" t="inlineStr">
        <is>
          <t>(efficacy in lumens per watt)</t>
        </is>
      </c>
    </row>
    <row r="53">
      <c r="A53" t="inlineStr">
        <is>
          <t>Electricity</t>
        </is>
      </c>
      <c r="B53" t="inlineStr">
        <is>
          <t>Commercial: Stock Average Efficiency: Lighting Efficacy: Electricity: Reference case</t>
        </is>
      </c>
      <c r="C53" t="inlineStr">
        <is>
          <t>AEO.2023.REF2023.EFF_STKE_COMM_LGHTNG_ELC_NA_NA_LMNPWATT.A</t>
        </is>
      </c>
      <c r="D53" t="inlineStr">
        <is>
          <t>lumens/watt</t>
        </is>
      </c>
      <c r="F53" t="n">
        <v>75.352577</v>
      </c>
      <c r="G53" s="1" t="n">
        <v>77.416039</v>
      </c>
      <c r="H53" t="n">
        <v>79.081436</v>
      </c>
      <c r="I53" t="n">
        <v>80.421127</v>
      </c>
      <c r="J53" t="n">
        <v>81.55173499999999</v>
      </c>
      <c r="K53" t="n">
        <v>82.538506</v>
      </c>
      <c r="L53" t="n">
        <v>83.40585299999999</v>
      </c>
      <c r="M53" t="n">
        <v>84.15894299999999</v>
      </c>
      <c r="N53" t="n">
        <v>85.745209</v>
      </c>
      <c r="O53" t="n">
        <v>87.334564</v>
      </c>
      <c r="P53" t="n">
        <v>88.85592699999999</v>
      </c>
      <c r="Q53" t="n">
        <v>90.298164</v>
      </c>
      <c r="R53" t="n">
        <v>91.73165899999999</v>
      </c>
      <c r="S53" t="n">
        <v>93.14709499999999</v>
      </c>
      <c r="T53" t="n">
        <v>94.56165300000001</v>
      </c>
      <c r="U53" t="n">
        <v>96.152641</v>
      </c>
      <c r="V53" t="n">
        <v>97.851868</v>
      </c>
      <c r="W53" t="n">
        <v>99.830597</v>
      </c>
      <c r="X53" t="n">
        <v>100.642555</v>
      </c>
      <c r="Y53" t="n">
        <v>101.381325</v>
      </c>
      <c r="Z53" t="n">
        <v>102.094681</v>
      </c>
      <c r="AA53" t="n">
        <v>102.730659</v>
      </c>
      <c r="AB53" t="n">
        <v>103.286827</v>
      </c>
      <c r="AC53" t="n">
        <v>103.779846</v>
      </c>
      <c r="AD53" t="n">
        <v>104.21254</v>
      </c>
      <c r="AE53" t="n">
        <v>104.523643</v>
      </c>
      <c r="AF53" t="n">
        <v>104.796783</v>
      </c>
      <c r="AG53" t="n">
        <v>105.034859</v>
      </c>
      <c r="AH53" t="n">
        <v>105.227448</v>
      </c>
      <c r="AI53" s="16" t="n">
        <v>0.012</v>
      </c>
    </row>
    <row r="54">
      <c r="A54" t="inlineStr">
        <is>
          <t>Refrigeration</t>
        </is>
      </c>
    </row>
    <row r="55">
      <c r="A55" t="inlineStr">
        <is>
          <t>Electricity</t>
        </is>
      </c>
      <c r="B55" t="inlineStr">
        <is>
          <t>Commercial: Stock Average Efficiency: Refrigeration: Electricity: Reference case</t>
        </is>
      </c>
      <c r="C55" t="inlineStr">
        <is>
          <t>AEO.2023.REF2023.EFF_STKE_COMM_REFR_ELC_NA_NA_BTUOTPBTUIN.A</t>
        </is>
      </c>
      <c r="D55" t="inlineStr">
        <is>
          <t>Btu Out/Btu In</t>
        </is>
      </c>
      <c r="F55" t="n">
        <v>3.018806</v>
      </c>
      <c r="G55" s="1" t="n">
        <v>3.040998</v>
      </c>
      <c r="H55" t="n">
        <v>3.060953</v>
      </c>
      <c r="I55" t="n">
        <v>3.078654</v>
      </c>
      <c r="J55" t="n">
        <v>3.094166</v>
      </c>
      <c r="K55" t="n">
        <v>3.1078</v>
      </c>
      <c r="L55" t="n">
        <v>3.119896</v>
      </c>
      <c r="M55" t="n">
        <v>3.130624</v>
      </c>
      <c r="N55" t="n">
        <v>3.145846</v>
      </c>
      <c r="O55" t="n">
        <v>3.1594</v>
      </c>
      <c r="P55" t="n">
        <v>3.17135</v>
      </c>
      <c r="Q55" t="n">
        <v>3.181871</v>
      </c>
      <c r="R55" t="n">
        <v>3.191118</v>
      </c>
      <c r="S55" t="n">
        <v>3.199244</v>
      </c>
      <c r="T55" t="n">
        <v>3.206392</v>
      </c>
      <c r="U55" t="n">
        <v>3.212689</v>
      </c>
      <c r="V55" t="n">
        <v>3.218246</v>
      </c>
      <c r="W55" t="n">
        <v>3.223154</v>
      </c>
      <c r="X55" t="n">
        <v>3.227481</v>
      </c>
      <c r="Y55" t="n">
        <v>3.231346</v>
      </c>
      <c r="Z55" t="n">
        <v>3.234773</v>
      </c>
      <c r="AA55" t="n">
        <v>3.237805</v>
      </c>
      <c r="AB55" t="n">
        <v>3.240493</v>
      </c>
      <c r="AC55" t="n">
        <v>3.242883</v>
      </c>
      <c r="AD55" t="n">
        <v>3.245009</v>
      </c>
      <c r="AE55" t="n">
        <v>3.246881</v>
      </c>
      <c r="AF55" t="n">
        <v>3.24855</v>
      </c>
      <c r="AG55" t="n">
        <v>3.250033</v>
      </c>
      <c r="AH55" t="n">
        <v>3.251345</v>
      </c>
      <c r="AI55" s="16" t="n">
        <v>0.003</v>
      </c>
    </row>
    <row r="56">
      <c r="A56" t="inlineStr">
        <is>
          <t>Distributed Generation and</t>
        </is>
      </c>
    </row>
    <row r="57">
      <c r="A57" t="inlineStr">
        <is>
          <t>Combined Heat and Power</t>
        </is>
      </c>
    </row>
    <row r="58">
      <c r="A58" s="1" t="inlineStr">
        <is>
          <t>Generating Capacity (gigawatts)</t>
        </is>
      </c>
    </row>
    <row r="59">
      <c r="A59" t="inlineStr">
        <is>
          <t>Petroleum</t>
        </is>
      </c>
      <c r="B59" t="inlineStr">
        <is>
          <t>Commercial: Combined Heat and Power: Generating Capacity: Petroleum: Reference case</t>
        </is>
      </c>
      <c r="C59" t="inlineStr">
        <is>
          <t>AEO.2023.REF2023.CAP_NA_COMM_CHP_PET_NA_NA_MW.A</t>
        </is>
      </c>
      <c r="D59" t="inlineStr">
        <is>
          <t>GW</t>
        </is>
      </c>
      <c r="F59" t="n">
        <v>0.01398</v>
      </c>
      <c r="G59" s="1" t="n">
        <v>0.01398</v>
      </c>
      <c r="H59" t="n">
        <v>0.01398</v>
      </c>
      <c r="I59" t="n">
        <v>0.01398</v>
      </c>
      <c r="J59" t="n">
        <v>0.01398</v>
      </c>
      <c r="K59" t="n">
        <v>0.01398</v>
      </c>
      <c r="L59" t="n">
        <v>0.01398</v>
      </c>
      <c r="M59" t="n">
        <v>0.01398</v>
      </c>
      <c r="N59" t="n">
        <v>0.01398</v>
      </c>
      <c r="O59" t="n">
        <v>0.01398</v>
      </c>
      <c r="P59" t="n">
        <v>0.01398</v>
      </c>
      <c r="Q59" t="n">
        <v>0.01398</v>
      </c>
      <c r="R59" t="n">
        <v>0.01398</v>
      </c>
      <c r="S59" t="n">
        <v>0.01398</v>
      </c>
      <c r="T59" t="n">
        <v>0.01398</v>
      </c>
      <c r="U59" t="n">
        <v>0.01398</v>
      </c>
      <c r="V59" t="n">
        <v>0.01398</v>
      </c>
      <c r="W59" t="n">
        <v>0.01398</v>
      </c>
      <c r="X59" t="n">
        <v>0.01398</v>
      </c>
      <c r="Y59" t="n">
        <v>0.01398</v>
      </c>
      <c r="Z59" t="n">
        <v>0.01398</v>
      </c>
      <c r="AA59" t="n">
        <v>0.01398</v>
      </c>
      <c r="AB59" t="n">
        <v>0.01398</v>
      </c>
      <c r="AC59" t="n">
        <v>0.01398</v>
      </c>
      <c r="AD59" t="n">
        <v>0.01398</v>
      </c>
      <c r="AE59" t="n">
        <v>0.01398</v>
      </c>
      <c r="AF59" t="n">
        <v>0.01398</v>
      </c>
      <c r="AG59" t="n">
        <v>0.01398</v>
      </c>
      <c r="AH59" t="n">
        <v>0.01398</v>
      </c>
      <c r="AI59" s="16" t="n">
        <v>0</v>
      </c>
    </row>
    <row r="60">
      <c r="A60" t="inlineStr">
        <is>
          <t>Natural Gas</t>
        </is>
      </c>
      <c r="B60" t="inlineStr">
        <is>
          <t>Commercial: Combined Heat and Power: Generating Capacity: Natural Gas: Reference case</t>
        </is>
      </c>
      <c r="C60" t="inlineStr">
        <is>
          <t>AEO.2023.REF2023.CAP_NA_COMM_CHP_NG_NA_NA_MW.A</t>
        </is>
      </c>
      <c r="D60" t="inlineStr">
        <is>
          <t>GW</t>
        </is>
      </c>
      <c r="F60" t="n">
        <v>1.368147</v>
      </c>
      <c r="G60" s="1" t="n">
        <v>1.394019</v>
      </c>
      <c r="H60" t="n">
        <v>1.422768</v>
      </c>
      <c r="I60" t="n">
        <v>1.443255</v>
      </c>
      <c r="J60" t="n">
        <v>1.461629</v>
      </c>
      <c r="K60" t="n">
        <v>1.480808</v>
      </c>
      <c r="L60" t="n">
        <v>1.500384</v>
      </c>
      <c r="M60" t="n">
        <v>1.520532</v>
      </c>
      <c r="N60" t="n">
        <v>1.543804</v>
      </c>
      <c r="O60" t="n">
        <v>1.567393</v>
      </c>
      <c r="P60" t="n">
        <v>1.592353</v>
      </c>
      <c r="Q60" t="n">
        <v>1.615242</v>
      </c>
      <c r="R60" t="n">
        <v>1.636618</v>
      </c>
      <c r="S60" t="n">
        <v>1.655876</v>
      </c>
      <c r="T60" t="n">
        <v>1.671951</v>
      </c>
      <c r="U60" t="n">
        <v>1.685844</v>
      </c>
      <c r="V60" t="n">
        <v>1.700482</v>
      </c>
      <c r="W60" t="n">
        <v>1.716259</v>
      </c>
      <c r="X60" t="n">
        <v>1.727784</v>
      </c>
      <c r="Y60" t="n">
        <v>1.738951</v>
      </c>
      <c r="Z60" t="n">
        <v>1.749921</v>
      </c>
      <c r="AA60" t="n">
        <v>1.761486</v>
      </c>
      <c r="AB60" t="n">
        <v>1.771808</v>
      </c>
      <c r="AC60" t="n">
        <v>1.781531</v>
      </c>
      <c r="AD60" t="n">
        <v>1.791808</v>
      </c>
      <c r="AE60" t="n">
        <v>1.802317</v>
      </c>
      <c r="AF60" t="n">
        <v>1.814158</v>
      </c>
      <c r="AG60" t="n">
        <v>1.825154</v>
      </c>
      <c r="AH60" t="n">
        <v>1.836513</v>
      </c>
      <c r="AI60" s="16" t="n">
        <v>0.011</v>
      </c>
    </row>
    <row r="61">
      <c r="A61" t="inlineStr">
        <is>
          <t>Solar Photovoltaic</t>
        </is>
      </c>
      <c r="B61" t="inlineStr">
        <is>
          <t>Commercial: Combined Heat and Power: Generating Capacity: Solar Photovoltaic: Reference case</t>
        </is>
      </c>
      <c r="C61" t="inlineStr">
        <is>
          <t>AEO.2023.REF2023.CAP_NA_COMM_CHP_SLR_PHTVL_NA_MW.A</t>
        </is>
      </c>
      <c r="D61" t="inlineStr">
        <is>
          <t>GW</t>
        </is>
      </c>
      <c r="F61" t="n">
        <v>22.491291</v>
      </c>
      <c r="G61" s="1" t="n">
        <v>26.815535</v>
      </c>
      <c r="H61" t="n">
        <v>30.254023</v>
      </c>
      <c r="I61" t="n">
        <v>33.178463</v>
      </c>
      <c r="J61" t="n">
        <v>34.785683</v>
      </c>
      <c r="K61" t="n">
        <v>36.654331</v>
      </c>
      <c r="L61" t="n">
        <v>38.291962</v>
      </c>
      <c r="M61" t="n">
        <v>40.837509</v>
      </c>
      <c r="N61" t="n">
        <v>42.625347</v>
      </c>
      <c r="O61" t="n">
        <v>44.444</v>
      </c>
      <c r="P61" t="n">
        <v>46.077877</v>
      </c>
      <c r="Q61" t="n">
        <v>48.43885</v>
      </c>
      <c r="R61" t="n">
        <v>51.029842</v>
      </c>
      <c r="S61" t="n">
        <v>52.509289</v>
      </c>
      <c r="T61" t="n">
        <v>55.255535</v>
      </c>
      <c r="U61" t="n">
        <v>56.865173</v>
      </c>
      <c r="V61" t="n">
        <v>59.174522</v>
      </c>
      <c r="W61" t="n">
        <v>61.338108</v>
      </c>
      <c r="X61" t="n">
        <v>63.244408</v>
      </c>
      <c r="Y61" t="n">
        <v>64.90572400000001</v>
      </c>
      <c r="Z61" t="n">
        <v>66.276016</v>
      </c>
      <c r="AA61" t="n">
        <v>67.472404</v>
      </c>
      <c r="AB61" t="n">
        <v>68.55864</v>
      </c>
      <c r="AC61" t="n">
        <v>69.653053</v>
      </c>
      <c r="AD61" t="n">
        <v>71.534721</v>
      </c>
      <c r="AE61" t="n">
        <v>72.148804</v>
      </c>
      <c r="AF61" t="n">
        <v>73.245369</v>
      </c>
      <c r="AG61" t="n">
        <v>73.76374800000001</v>
      </c>
      <c r="AH61" t="n">
        <v>74.11752300000001</v>
      </c>
      <c r="AI61" s="16" t="n">
        <v>0.044</v>
      </c>
    </row>
    <row r="62">
      <c r="A62" t="inlineStr">
        <is>
          <t>Wind</t>
        </is>
      </c>
      <c r="B62" t="inlineStr">
        <is>
          <t>Commercial: Combined Heat and Power: Generating Capacity: Wind: Reference case</t>
        </is>
      </c>
      <c r="C62" t="inlineStr">
        <is>
          <t>AEO.2023.REF2023.CAP_NA_COMM_CHP_WND_NA_NA_MW.A</t>
        </is>
      </c>
      <c r="D62" t="inlineStr">
        <is>
          <t>GW</t>
        </is>
      </c>
      <c r="F62" t="n">
        <v>0.554881</v>
      </c>
      <c r="G62" s="1" t="n">
        <v>0.559737</v>
      </c>
      <c r="H62" t="n">
        <v>0.561073</v>
      </c>
      <c r="I62" t="n">
        <v>0.561073</v>
      </c>
      <c r="J62" t="n">
        <v>0.561073</v>
      </c>
      <c r="K62" t="n">
        <v>0.561073</v>
      </c>
      <c r="L62" t="n">
        <v>0.561113</v>
      </c>
      <c r="M62" t="n">
        <v>0.561113</v>
      </c>
      <c r="N62" t="n">
        <v>0.561222</v>
      </c>
      <c r="O62" t="n">
        <v>0.56146</v>
      </c>
      <c r="P62" t="n">
        <v>0.562333</v>
      </c>
      <c r="Q62" t="n">
        <v>0.5641620000000001</v>
      </c>
      <c r="R62" t="n">
        <v>0.566106</v>
      </c>
      <c r="S62" t="n">
        <v>0.566459</v>
      </c>
      <c r="T62" t="n">
        <v>0.568103</v>
      </c>
      <c r="U62" t="n">
        <v>0.568389</v>
      </c>
      <c r="V62" t="n">
        <v>0.5698029999999999</v>
      </c>
      <c r="W62" t="n">
        <v>0.571587</v>
      </c>
      <c r="X62" t="n">
        <v>0.571747</v>
      </c>
      <c r="Y62" t="n">
        <v>0.572253</v>
      </c>
      <c r="Z62" t="n">
        <v>0.5725170000000001</v>
      </c>
      <c r="AA62" t="n">
        <v>0.573033</v>
      </c>
      <c r="AB62" t="n">
        <v>0.573227</v>
      </c>
      <c r="AC62" t="n">
        <v>0.573335</v>
      </c>
      <c r="AD62" t="n">
        <v>0.573658</v>
      </c>
      <c r="AE62" t="n">
        <v>0.573658</v>
      </c>
      <c r="AF62" t="n">
        <v>0.573971</v>
      </c>
      <c r="AG62" t="n">
        <v>0.573971</v>
      </c>
      <c r="AH62" t="n">
        <v>0.573971</v>
      </c>
      <c r="AI62" s="16" t="n">
        <v>0.001</v>
      </c>
    </row>
    <row r="63">
      <c r="A63" t="inlineStr">
        <is>
          <t>Other</t>
        </is>
      </c>
      <c r="B63" t="inlineStr">
        <is>
          <t>Commercial: Combined Heat and Power: Generating Capacity: Other: Reference case</t>
        </is>
      </c>
      <c r="C63" t="inlineStr">
        <is>
          <t>AEO.2023.REF2023.CAP_NA_COMM_CHP_OTH_NA_NA_MW.A</t>
        </is>
      </c>
      <c r="D63" t="inlineStr">
        <is>
          <t>GW</t>
        </is>
      </c>
      <c r="F63" t="n">
        <v>0.117763</v>
      </c>
      <c r="G63" s="1" t="n">
        <v>0.117763</v>
      </c>
      <c r="H63" t="n">
        <v>0.117763</v>
      </c>
      <c r="I63" t="n">
        <v>0.117763</v>
      </c>
      <c r="J63" t="n">
        <v>0.117763</v>
      </c>
      <c r="K63" t="n">
        <v>0.117763</v>
      </c>
      <c r="L63" t="n">
        <v>0.117763</v>
      </c>
      <c r="M63" t="n">
        <v>0.117763</v>
      </c>
      <c r="N63" t="n">
        <v>0.117763</v>
      </c>
      <c r="O63" t="n">
        <v>0.117763</v>
      </c>
      <c r="P63" t="n">
        <v>0.117763</v>
      </c>
      <c r="Q63" t="n">
        <v>0.117763</v>
      </c>
      <c r="R63" t="n">
        <v>0.117763</v>
      </c>
      <c r="S63" t="n">
        <v>0.117763</v>
      </c>
      <c r="T63" t="n">
        <v>0.117763</v>
      </c>
      <c r="U63" t="n">
        <v>0.117763</v>
      </c>
      <c r="V63" t="n">
        <v>0.117763</v>
      </c>
      <c r="W63" t="n">
        <v>0.117763</v>
      </c>
      <c r="X63" t="n">
        <v>0.117763</v>
      </c>
      <c r="Y63" t="n">
        <v>0.117763</v>
      </c>
      <c r="Z63" t="n">
        <v>0.117763</v>
      </c>
      <c r="AA63" t="n">
        <v>0.117763</v>
      </c>
      <c r="AB63" t="n">
        <v>0.117763</v>
      </c>
      <c r="AC63" t="n">
        <v>0.117763</v>
      </c>
      <c r="AD63" t="n">
        <v>0.117763</v>
      </c>
      <c r="AE63" t="n">
        <v>0.117763</v>
      </c>
      <c r="AF63" t="n">
        <v>0.117763</v>
      </c>
      <c r="AG63" t="n">
        <v>0.117763</v>
      </c>
      <c r="AH63" t="n">
        <v>0.117763</v>
      </c>
      <c r="AI63" s="16" t="n">
        <v>0</v>
      </c>
    </row>
    <row r="64">
      <c r="A64" t="inlineStr">
        <is>
          <t>Total</t>
        </is>
      </c>
      <c r="B64" t="inlineStr">
        <is>
          <t>Commercial: Combined Heat and Power: Generating Capacity: Total: Reference case</t>
        </is>
      </c>
      <c r="C64" t="inlineStr">
        <is>
          <t>AEO.2023.REF2023.CAP_NA_COMM_CHP_TOT_NA_NA_MW.A</t>
        </is>
      </c>
      <c r="D64" t="inlineStr">
        <is>
          <t>GW</t>
        </is>
      </c>
      <c r="F64" t="n">
        <v>24.546064</v>
      </c>
      <c r="G64" s="1" t="n">
        <v>28.901033</v>
      </c>
      <c r="H64" t="n">
        <v>32.36961</v>
      </c>
      <c r="I64" t="n">
        <v>35.314533</v>
      </c>
      <c r="J64" t="n">
        <v>36.940128</v>
      </c>
      <c r="K64" t="n">
        <v>38.827957</v>
      </c>
      <c r="L64" t="n">
        <v>40.485203</v>
      </c>
      <c r="M64" t="n">
        <v>43.0509</v>
      </c>
      <c r="N64" t="n">
        <v>44.862118</v>
      </c>
      <c r="O64" t="n">
        <v>46.704597</v>
      </c>
      <c r="P64" t="n">
        <v>48.364307</v>
      </c>
      <c r="Q64" t="n">
        <v>50.75</v>
      </c>
      <c r="R64" t="n">
        <v>53.364307</v>
      </c>
      <c r="S64" t="n">
        <v>54.863369</v>
      </c>
      <c r="T64" t="n">
        <v>57.627335</v>
      </c>
      <c r="U64" t="n">
        <v>59.251152</v>
      </c>
      <c r="V64" t="n">
        <v>61.576553</v>
      </c>
      <c r="W64" t="n">
        <v>63.757698</v>
      </c>
      <c r="X64" t="n">
        <v>65.675674</v>
      </c>
      <c r="Y64" t="n">
        <v>67.348663</v>
      </c>
      <c r="Z64" t="n">
        <v>68.730194</v>
      </c>
      <c r="AA64" t="n">
        <v>69.938667</v>
      </c>
      <c r="AB64" t="n">
        <v>71.035416</v>
      </c>
      <c r="AC64" t="n">
        <v>72.139656</v>
      </c>
      <c r="AD64" t="n">
        <v>74.031921</v>
      </c>
      <c r="AE64" t="n">
        <v>74.65651699999999</v>
      </c>
      <c r="AF64" t="n">
        <v>75.765236</v>
      </c>
      <c r="AG64" t="n">
        <v>76.29460899999999</v>
      </c>
      <c r="AH64" t="n">
        <v>76.659744</v>
      </c>
      <c r="AI64" s="16" t="n">
        <v>0.042</v>
      </c>
    </row>
    <row r="65">
      <c r="A65" s="1" t="inlineStr">
        <is>
          <t>Net Generation (billion kilowatthours)</t>
        </is>
      </c>
    </row>
    <row r="66">
      <c r="A66" t="inlineStr">
        <is>
          <t>Petroleum</t>
        </is>
      </c>
      <c r="B66" t="inlineStr">
        <is>
          <t>Commercial: Combined Heat and Power: Net Generation: Petroleum: Reference case</t>
        </is>
      </c>
      <c r="C66" t="inlineStr">
        <is>
          <t>AEO.2023.REF2023.GEN_NA_COMM_CHP_PET_NA_NA_MILLKWH.A</t>
        </is>
      </c>
      <c r="D66" t="inlineStr">
        <is>
          <t>billion kWh</t>
        </is>
      </c>
      <c r="F66" t="n">
        <v>0.097511</v>
      </c>
      <c r="G66" s="1" t="n">
        <v>0.097511</v>
      </c>
      <c r="H66" t="n">
        <v>0.097511</v>
      </c>
      <c r="I66" t="n">
        <v>0.097511</v>
      </c>
      <c r="J66" t="n">
        <v>0.097511</v>
      </c>
      <c r="K66" t="n">
        <v>0.097511</v>
      </c>
      <c r="L66" t="n">
        <v>0.097511</v>
      </c>
      <c r="M66" t="n">
        <v>0.097511</v>
      </c>
      <c r="N66" t="n">
        <v>0.097511</v>
      </c>
      <c r="O66" t="n">
        <v>0.097511</v>
      </c>
      <c r="P66" t="n">
        <v>0.097511</v>
      </c>
      <c r="Q66" t="n">
        <v>0.097511</v>
      </c>
      <c r="R66" t="n">
        <v>0.097511</v>
      </c>
      <c r="S66" t="n">
        <v>0.097511</v>
      </c>
      <c r="T66" t="n">
        <v>0.097511</v>
      </c>
      <c r="U66" t="n">
        <v>0.097511</v>
      </c>
      <c r="V66" t="n">
        <v>0.097511</v>
      </c>
      <c r="W66" t="n">
        <v>0.097511</v>
      </c>
      <c r="X66" t="n">
        <v>0.097511</v>
      </c>
      <c r="Y66" t="n">
        <v>0.097511</v>
      </c>
      <c r="Z66" t="n">
        <v>0.097511</v>
      </c>
      <c r="AA66" t="n">
        <v>0.097511</v>
      </c>
      <c r="AB66" t="n">
        <v>0.097511</v>
      </c>
      <c r="AC66" t="n">
        <v>0.097511</v>
      </c>
      <c r="AD66" t="n">
        <v>0.097511</v>
      </c>
      <c r="AE66" t="n">
        <v>0.097511</v>
      </c>
      <c r="AF66" t="n">
        <v>0.097511</v>
      </c>
      <c r="AG66" t="n">
        <v>0.097511</v>
      </c>
      <c r="AH66" t="n">
        <v>0.097511</v>
      </c>
      <c r="AI66" s="16" t="n">
        <v>0</v>
      </c>
    </row>
    <row r="67">
      <c r="A67" t="inlineStr">
        <is>
          <t>Natural Gas</t>
        </is>
      </c>
      <c r="B67" t="inlineStr">
        <is>
          <t>Commercial: Combined Heat and Power: Net Generation: Natural Gas: Reference case</t>
        </is>
      </c>
      <c r="C67" t="inlineStr">
        <is>
          <t>AEO.2023.REF2023.GEN_NA_COMM_CHP_NG_NA_NA_MILLKWH.A</t>
        </is>
      </c>
      <c r="D67" t="inlineStr">
        <is>
          <t>billion kWh</t>
        </is>
      </c>
      <c r="F67" t="n">
        <v>9.542824</v>
      </c>
      <c r="G67" s="1" t="n">
        <v>9.723283</v>
      </c>
      <c r="H67" t="n">
        <v>9.923806000000001</v>
      </c>
      <c r="I67" t="n">
        <v>10.066701</v>
      </c>
      <c r="J67" t="n">
        <v>10.194861</v>
      </c>
      <c r="K67" t="n">
        <v>10.328632</v>
      </c>
      <c r="L67" t="n">
        <v>10.465176</v>
      </c>
      <c r="M67" t="n">
        <v>10.605714</v>
      </c>
      <c r="N67" t="n">
        <v>10.768033</v>
      </c>
      <c r="O67" t="n">
        <v>10.932568</v>
      </c>
      <c r="P67" t="n">
        <v>11.106659</v>
      </c>
      <c r="Q67" t="n">
        <v>11.266313</v>
      </c>
      <c r="R67" t="n">
        <v>11.415409</v>
      </c>
      <c r="S67" t="n">
        <v>11.549734</v>
      </c>
      <c r="T67" t="n">
        <v>11.66186</v>
      </c>
      <c r="U67" t="n">
        <v>11.758763</v>
      </c>
      <c r="V67" t="n">
        <v>11.860858</v>
      </c>
      <c r="W67" t="n">
        <v>11.970905</v>
      </c>
      <c r="X67" t="n">
        <v>12.051291</v>
      </c>
      <c r="Y67" t="n">
        <v>12.12918</v>
      </c>
      <c r="Z67" t="n">
        <v>12.205701</v>
      </c>
      <c r="AA67" t="n">
        <v>12.286364</v>
      </c>
      <c r="AB67" t="n">
        <v>12.358362</v>
      </c>
      <c r="AC67" t="n">
        <v>12.426178</v>
      </c>
      <c r="AD67" t="n">
        <v>12.497861</v>
      </c>
      <c r="AE67" t="n">
        <v>12.571158</v>
      </c>
      <c r="AF67" t="n">
        <v>12.653754</v>
      </c>
      <c r="AG67" t="n">
        <v>12.730446</v>
      </c>
      <c r="AH67" t="n">
        <v>12.809677</v>
      </c>
      <c r="AI67" s="16" t="n">
        <v>0.011</v>
      </c>
    </row>
    <row r="68">
      <c r="A68" t="inlineStr">
        <is>
          <t>Solar Photovoltaic</t>
        </is>
      </c>
      <c r="B68" t="inlineStr">
        <is>
          <t>Commercial: Combined Heat and Power: Net Generation: Solar Photovoltaic: Reference case</t>
        </is>
      </c>
      <c r="C68" t="inlineStr">
        <is>
          <t>AEO.2023.REF2023.GEN_NA_COMM_CHP_SLR_PHTVL_NA_MILLKWH.A</t>
        </is>
      </c>
      <c r="D68" t="inlineStr">
        <is>
          <t>billion kWh</t>
        </is>
      </c>
      <c r="F68" t="n">
        <v>31.884121</v>
      </c>
      <c r="G68" s="1" t="n">
        <v>37.878464</v>
      </c>
      <c r="H68" t="n">
        <v>42.628193</v>
      </c>
      <c r="I68" t="n">
        <v>46.505924</v>
      </c>
      <c r="J68" t="n">
        <v>48.667229</v>
      </c>
      <c r="K68" t="n">
        <v>51.194096</v>
      </c>
      <c r="L68" t="n">
        <v>53.380569</v>
      </c>
      <c r="M68" t="n">
        <v>56.781303</v>
      </c>
      <c r="N68" t="n">
        <v>59.208065</v>
      </c>
      <c r="O68" t="n">
        <v>61.63969</v>
      </c>
      <c r="P68" t="n">
        <v>63.799805</v>
      </c>
      <c r="Q68" t="n">
        <v>66.96244799999999</v>
      </c>
      <c r="R68" t="n">
        <v>70.303558</v>
      </c>
      <c r="S68" t="n">
        <v>72.27066000000001</v>
      </c>
      <c r="T68" t="n">
        <v>75.848862</v>
      </c>
      <c r="U68" t="n">
        <v>77.991562</v>
      </c>
      <c r="V68" t="n">
        <v>81.021461</v>
      </c>
      <c r="W68" t="n">
        <v>83.82682800000001</v>
      </c>
      <c r="X68" t="n">
        <v>86.340187</v>
      </c>
      <c r="Y68" t="n">
        <v>88.52299499999999</v>
      </c>
      <c r="Z68" t="n">
        <v>90.35236399999999</v>
      </c>
      <c r="AA68" t="n">
        <v>91.947807</v>
      </c>
      <c r="AB68" t="n">
        <v>93.428085</v>
      </c>
      <c r="AC68" t="n">
        <v>94.886871</v>
      </c>
      <c r="AD68" t="n">
        <v>97.36835499999999</v>
      </c>
      <c r="AE68" t="n">
        <v>98.220367</v>
      </c>
      <c r="AF68" t="n">
        <v>99.64415</v>
      </c>
      <c r="AG68" t="n">
        <v>100.374458</v>
      </c>
      <c r="AH68" t="n">
        <v>100.877022</v>
      </c>
      <c r="AI68" s="16" t="n">
        <v>0.042</v>
      </c>
    </row>
    <row r="69">
      <c r="A69" t="inlineStr">
        <is>
          <t>Wind</t>
        </is>
      </c>
      <c r="B69" t="inlineStr">
        <is>
          <t>Commercial: Combined Heat and Power: Net Generation: Wind: Reference case</t>
        </is>
      </c>
      <c r="C69" t="inlineStr">
        <is>
          <t>AEO.2023.REF2023.GEN_NA_COMM_CHP_WND_NA_NA_MILLKWH.A</t>
        </is>
      </c>
      <c r="D69" t="inlineStr">
        <is>
          <t>billion kWh</t>
        </is>
      </c>
      <c r="F69" t="n">
        <v>0.755308</v>
      </c>
      <c r="G69" s="1" t="n">
        <v>0.763439</v>
      </c>
      <c r="H69" t="n">
        <v>0.765689</v>
      </c>
      <c r="I69" t="n">
        <v>0.765689</v>
      </c>
      <c r="J69" t="n">
        <v>0.765689</v>
      </c>
      <c r="K69" t="n">
        <v>0.765689</v>
      </c>
      <c r="L69" t="n">
        <v>0.765756</v>
      </c>
      <c r="M69" t="n">
        <v>0.765756</v>
      </c>
      <c r="N69" t="n">
        <v>0.76589</v>
      </c>
      <c r="O69" t="n">
        <v>0.766243</v>
      </c>
      <c r="P69" t="n">
        <v>0.767636</v>
      </c>
      <c r="Q69" t="n">
        <v>0.770626</v>
      </c>
      <c r="R69" t="n">
        <v>0.7738660000000001</v>
      </c>
      <c r="S69" t="n">
        <v>0.7744</v>
      </c>
      <c r="T69" t="n">
        <v>0.777133</v>
      </c>
      <c r="U69" t="n">
        <v>0.7775919999999999</v>
      </c>
      <c r="V69" t="n">
        <v>0.779941</v>
      </c>
      <c r="W69" t="n">
        <v>0.7829660000000001</v>
      </c>
      <c r="X69" t="n">
        <v>0.783237</v>
      </c>
      <c r="Y69" t="n">
        <v>0.784071</v>
      </c>
      <c r="Z69" t="n">
        <v>0.784478</v>
      </c>
      <c r="AA69" t="n">
        <v>0.7852440000000001</v>
      </c>
      <c r="AB69" t="n">
        <v>0.785486</v>
      </c>
      <c r="AC69" t="n">
        <v>0.785621</v>
      </c>
      <c r="AD69" t="n">
        <v>0.786121</v>
      </c>
      <c r="AE69" t="n">
        <v>0.786121</v>
      </c>
      <c r="AF69" t="n">
        <v>0.786621</v>
      </c>
      <c r="AG69" t="n">
        <v>0.786621</v>
      </c>
      <c r="AH69" t="n">
        <v>0.786621</v>
      </c>
      <c r="AI69" s="16" t="n">
        <v>0.001</v>
      </c>
    </row>
    <row r="70">
      <c r="A70" t="inlineStr">
        <is>
          <t>Other</t>
        </is>
      </c>
      <c r="B70" t="inlineStr">
        <is>
          <t>Commercial: Combined Heat and Power: Net Generation: Other: Reference case</t>
        </is>
      </c>
      <c r="C70" t="inlineStr">
        <is>
          <t>AEO.2023.REF2023.GEN_NA_COMM_CHP_OTH_NA_NA_MILLKWH.A</t>
        </is>
      </c>
      <c r="D70" t="inlineStr">
        <is>
          <t>billion kWh</t>
        </is>
      </c>
      <c r="F70" t="n">
        <v>0.86205</v>
      </c>
      <c r="G70" s="1" t="n">
        <v>0.86205</v>
      </c>
      <c r="H70" t="n">
        <v>0.86205</v>
      </c>
      <c r="I70" t="n">
        <v>0.86205</v>
      </c>
      <c r="J70" t="n">
        <v>0.86205</v>
      </c>
      <c r="K70" t="n">
        <v>0.86205</v>
      </c>
      <c r="L70" t="n">
        <v>0.86205</v>
      </c>
      <c r="M70" t="n">
        <v>0.86205</v>
      </c>
      <c r="N70" t="n">
        <v>0.86205</v>
      </c>
      <c r="O70" t="n">
        <v>0.86205</v>
      </c>
      <c r="P70" t="n">
        <v>0.86205</v>
      </c>
      <c r="Q70" t="n">
        <v>0.86205</v>
      </c>
      <c r="R70" t="n">
        <v>0.86205</v>
      </c>
      <c r="S70" t="n">
        <v>0.86205</v>
      </c>
      <c r="T70" t="n">
        <v>0.86205</v>
      </c>
      <c r="U70" t="n">
        <v>0.86205</v>
      </c>
      <c r="V70" t="n">
        <v>0.86205</v>
      </c>
      <c r="W70" t="n">
        <v>0.86205</v>
      </c>
      <c r="X70" t="n">
        <v>0.86205</v>
      </c>
      <c r="Y70" t="n">
        <v>0.86205</v>
      </c>
      <c r="Z70" t="n">
        <v>0.86205</v>
      </c>
      <c r="AA70" t="n">
        <v>0.86205</v>
      </c>
      <c r="AB70" t="n">
        <v>0.86205</v>
      </c>
      <c r="AC70" t="n">
        <v>0.86205</v>
      </c>
      <c r="AD70" t="n">
        <v>0.86205</v>
      </c>
      <c r="AE70" t="n">
        <v>0.86205</v>
      </c>
      <c r="AF70" t="n">
        <v>0.86205</v>
      </c>
      <c r="AG70" t="n">
        <v>0.86205</v>
      </c>
      <c r="AH70" t="n">
        <v>0.86205</v>
      </c>
      <c r="AI70" s="16" t="n">
        <v>0</v>
      </c>
    </row>
    <row r="71">
      <c r="A71" t="inlineStr">
        <is>
          <t>Total</t>
        </is>
      </c>
      <c r="B71" t="inlineStr">
        <is>
          <t>Commercial: Combined Heat and Power: Net Generation: Total: Reference case</t>
        </is>
      </c>
      <c r="C71" t="inlineStr">
        <is>
          <t>AEO.2023.REF2023.GEN_NA_COMM_CHP_TOT_NA_NA_MILLKWH.A</t>
        </is>
      </c>
      <c r="D71" t="inlineStr">
        <is>
          <t>billion kWh</t>
        </is>
      </c>
      <c r="F71" t="n">
        <v>43.141811</v>
      </c>
      <c r="G71" s="1" t="n">
        <v>49.324745</v>
      </c>
      <c r="H71" t="n">
        <v>54.277248</v>
      </c>
      <c r="I71" t="n">
        <v>58.297874</v>
      </c>
      <c r="J71" t="n">
        <v>60.587341</v>
      </c>
      <c r="K71" t="n">
        <v>63.247978</v>
      </c>
      <c r="L71" t="n">
        <v>65.571068</v>
      </c>
      <c r="M71" t="n">
        <v>69.112335</v>
      </c>
      <c r="N71" t="n">
        <v>71.701553</v>
      </c>
      <c r="O71" t="n">
        <v>74.29806499999999</v>
      </c>
      <c r="P71" t="n">
        <v>76.633667</v>
      </c>
      <c r="Q71" t="n">
        <v>79.95895400000001</v>
      </c>
      <c r="R71" t="n">
        <v>83.4524</v>
      </c>
      <c r="S71" t="n">
        <v>85.55435900000001</v>
      </c>
      <c r="T71" t="n">
        <v>89.24741400000001</v>
      </c>
      <c r="U71" t="n">
        <v>91.487488</v>
      </c>
      <c r="V71" t="n">
        <v>94.621819</v>
      </c>
      <c r="W71" t="n">
        <v>97.540268</v>
      </c>
      <c r="X71" t="n">
        <v>100.134277</v>
      </c>
      <c r="Y71" t="n">
        <v>102.395813</v>
      </c>
      <c r="Z71" t="n">
        <v>104.302109</v>
      </c>
      <c r="AA71" t="n">
        <v>105.978981</v>
      </c>
      <c r="AB71" t="n">
        <v>107.531494</v>
      </c>
      <c r="AC71" t="n">
        <v>109.058235</v>
      </c>
      <c r="AD71" t="n">
        <v>111.6119</v>
      </c>
      <c r="AE71" t="n">
        <v>112.537209</v>
      </c>
      <c r="AF71" t="n">
        <v>114.04409</v>
      </c>
      <c r="AG71" t="n">
        <v>114.851089</v>
      </c>
      <c r="AH71" t="n">
        <v>115.432884</v>
      </c>
      <c r="AI71" s="16" t="n">
        <v>0.036</v>
      </c>
    </row>
    <row r="72">
      <c r="A72" t="inlineStr">
        <is>
          <t>Disposition</t>
        </is>
      </c>
    </row>
    <row r="73">
      <c r="A73" t="inlineStr">
        <is>
          <t>Sales to the Grid</t>
        </is>
      </c>
      <c r="B73" t="inlineStr">
        <is>
          <t>Commercial: Combined Heat and Power: Net Generation: Sales to the Grid: Reference case</t>
        </is>
      </c>
      <c r="C73" t="inlineStr">
        <is>
          <t>AEO.2023.REF2023.GEN_NA_COMM_CHP_STG_NA_NA_MILLKWH.A</t>
        </is>
      </c>
      <c r="D73" t="inlineStr">
        <is>
          <t>billion kWh</t>
        </is>
      </c>
      <c r="F73" t="n">
        <v>7.796522</v>
      </c>
      <c r="G73" s="1" t="n">
        <v>7.914052</v>
      </c>
      <c r="H73" t="n">
        <v>8.030015000000001</v>
      </c>
      <c r="I73" t="n">
        <v>8.16405</v>
      </c>
      <c r="J73" t="n">
        <v>8.279953000000001</v>
      </c>
      <c r="K73" t="n">
        <v>8.387985</v>
      </c>
      <c r="L73" t="n">
        <v>8.506828000000001</v>
      </c>
      <c r="M73" t="n">
        <v>8.640635</v>
      </c>
      <c r="N73" t="n">
        <v>8.786509000000001</v>
      </c>
      <c r="O73" t="n">
        <v>8.938855999999999</v>
      </c>
      <c r="P73" t="n">
        <v>9.087277</v>
      </c>
      <c r="Q73" t="n">
        <v>9.222068</v>
      </c>
      <c r="R73" t="n">
        <v>9.345302999999999</v>
      </c>
      <c r="S73" t="n">
        <v>9.456550999999999</v>
      </c>
      <c r="T73" t="n">
        <v>9.556718999999999</v>
      </c>
      <c r="U73" t="n">
        <v>9.648196</v>
      </c>
      <c r="V73" t="n">
        <v>9.730404</v>
      </c>
      <c r="W73" t="n">
        <v>9.806884</v>
      </c>
      <c r="X73" t="n">
        <v>9.876718</v>
      </c>
      <c r="Y73" t="n">
        <v>9.942617</v>
      </c>
      <c r="Z73" t="n">
        <v>10.007074</v>
      </c>
      <c r="AA73" t="n">
        <v>10.071661</v>
      </c>
      <c r="AB73" t="n">
        <v>10.136639</v>
      </c>
      <c r="AC73" t="n">
        <v>10.202756</v>
      </c>
      <c r="AD73" t="n">
        <v>10.27134</v>
      </c>
      <c r="AE73" t="n">
        <v>10.342049</v>
      </c>
      <c r="AF73" t="n">
        <v>10.415814</v>
      </c>
      <c r="AG73" t="n">
        <v>10.491967</v>
      </c>
      <c r="AH73" t="n">
        <v>10.570431</v>
      </c>
      <c r="AI73" s="16" t="n">
        <v>0.011</v>
      </c>
    </row>
    <row r="74">
      <c r="A74" t="inlineStr">
        <is>
          <t>Generation for Own Use</t>
        </is>
      </c>
      <c r="B74" t="inlineStr">
        <is>
          <t>Commercial: Combined Heat and Power: Net Generation: Generation for Own Use: Reference case</t>
        </is>
      </c>
      <c r="C74" t="inlineStr">
        <is>
          <t>AEO.2023.REF2023.GEN_NA_COMM_CHP_GFO_NA_NA_MILLKWH.A</t>
        </is>
      </c>
      <c r="D74" t="inlineStr">
        <is>
          <t>billion kWh</t>
        </is>
      </c>
      <c r="F74" t="n">
        <v>35.345287</v>
      </c>
      <c r="G74" s="1" t="n">
        <v>41.410698</v>
      </c>
      <c r="H74" t="n">
        <v>46.247234</v>
      </c>
      <c r="I74" t="n">
        <v>50.133827</v>
      </c>
      <c r="J74" t="n">
        <v>52.307392</v>
      </c>
      <c r="K74" t="n">
        <v>54.859993</v>
      </c>
      <c r="L74" t="n">
        <v>57.064236</v>
      </c>
      <c r="M74" t="n">
        <v>60.471703</v>
      </c>
      <c r="N74" t="n">
        <v>62.915043</v>
      </c>
      <c r="O74" t="n">
        <v>65.359207</v>
      </c>
      <c r="P74" t="n">
        <v>67.546379</v>
      </c>
      <c r="Q74" t="n">
        <v>70.736885</v>
      </c>
      <c r="R74" t="n">
        <v>74.107094</v>
      </c>
      <c r="S74" t="n">
        <v>76.097801</v>
      </c>
      <c r="T74" t="n">
        <v>79.690697</v>
      </c>
      <c r="U74" t="n">
        <v>81.839279</v>
      </c>
      <c r="V74" t="n">
        <v>84.89141100000001</v>
      </c>
      <c r="W74" t="n">
        <v>87.733383</v>
      </c>
      <c r="X74" t="n">
        <v>90.257553</v>
      </c>
      <c r="Y74" t="n">
        <v>92.453186</v>
      </c>
      <c r="Z74" t="n">
        <v>94.295036</v>
      </c>
      <c r="AA74" t="n">
        <v>95.907318</v>
      </c>
      <c r="AB74" t="n">
        <v>97.394859</v>
      </c>
      <c r="AC74" t="n">
        <v>98.855484</v>
      </c>
      <c r="AD74" t="n">
        <v>101.340553</v>
      </c>
      <c r="AE74" t="n">
        <v>102.19516</v>
      </c>
      <c r="AF74" t="n">
        <v>103.628273</v>
      </c>
      <c r="AG74" t="n">
        <v>104.359123</v>
      </c>
      <c r="AH74" t="n">
        <v>104.86245</v>
      </c>
      <c r="AI74" s="16" t="n">
        <v>0.04</v>
      </c>
    </row>
    <row r="75">
      <c r="A75" t="inlineStr">
        <is>
          <t>Energy Input (trillion Btu)</t>
        </is>
      </c>
    </row>
    <row r="76">
      <c r="A76" t="inlineStr">
        <is>
          <t>Petroleum</t>
        </is>
      </c>
      <c r="B76" t="inlineStr">
        <is>
          <t>Commercial: Combined Heat and Power: Energy Input: Petroleum: Reference case</t>
        </is>
      </c>
      <c r="C76" t="inlineStr">
        <is>
          <t>AEO.2023.REF2023.CNSM_NA_COMM_CHP_PET_NA_NA_TRLBTU.A</t>
        </is>
      </c>
      <c r="D76" t="inlineStr">
        <is>
          <t>trillion Btu</t>
        </is>
      </c>
      <c r="F76" t="n">
        <v>1.016528</v>
      </c>
      <c r="G76" s="1" t="n">
        <v>1.016528</v>
      </c>
      <c r="H76" t="n">
        <v>1.016528</v>
      </c>
      <c r="I76" t="n">
        <v>1.016528</v>
      </c>
      <c r="J76" t="n">
        <v>1.016528</v>
      </c>
      <c r="K76" t="n">
        <v>1.016528</v>
      </c>
      <c r="L76" t="n">
        <v>1.016528</v>
      </c>
      <c r="M76" t="n">
        <v>1.016528</v>
      </c>
      <c r="N76" t="n">
        <v>1.016528</v>
      </c>
      <c r="O76" t="n">
        <v>1.016528</v>
      </c>
      <c r="P76" t="n">
        <v>1.016528</v>
      </c>
      <c r="Q76" t="n">
        <v>1.016528</v>
      </c>
      <c r="R76" t="n">
        <v>1.016528</v>
      </c>
      <c r="S76" t="n">
        <v>1.016528</v>
      </c>
      <c r="T76" t="n">
        <v>1.016528</v>
      </c>
      <c r="U76" t="n">
        <v>1.016528</v>
      </c>
      <c r="V76" t="n">
        <v>1.016528</v>
      </c>
      <c r="W76" t="n">
        <v>1.016528</v>
      </c>
      <c r="X76" t="n">
        <v>1.016528</v>
      </c>
      <c r="Y76" t="n">
        <v>1.016528</v>
      </c>
      <c r="Z76" t="n">
        <v>1.016528</v>
      </c>
      <c r="AA76" t="n">
        <v>1.016528</v>
      </c>
      <c r="AB76" t="n">
        <v>1.016528</v>
      </c>
      <c r="AC76" t="n">
        <v>1.016528</v>
      </c>
      <c r="AD76" t="n">
        <v>1.016528</v>
      </c>
      <c r="AE76" t="n">
        <v>1.016528</v>
      </c>
      <c r="AF76" t="n">
        <v>1.016528</v>
      </c>
      <c r="AG76" t="n">
        <v>1.016528</v>
      </c>
      <c r="AH76" t="n">
        <v>1.016528</v>
      </c>
      <c r="AI76" s="16" t="n">
        <v>0</v>
      </c>
    </row>
    <row r="77">
      <c r="A77" t="inlineStr">
        <is>
          <t>Natural Gas</t>
        </is>
      </c>
      <c r="B77" t="inlineStr">
        <is>
          <t>Commercial: Combined Heat and Power: Energy Input: Natural Gas: Reference case</t>
        </is>
      </c>
      <c r="C77" t="inlineStr">
        <is>
          <t>AEO.2023.REF2023.CNSM_NA_COMM_CHP_NG_NA_NA_TRLBTU.A</t>
        </is>
      </c>
      <c r="D77" t="inlineStr">
        <is>
          <t>trillion Btu</t>
        </is>
      </c>
      <c r="F77" t="n">
        <v>102.695099</v>
      </c>
      <c r="G77" s="1" t="n">
        <v>104.688721</v>
      </c>
      <c r="H77" t="n">
        <v>106.936668</v>
      </c>
      <c r="I77" t="n">
        <v>108.52356</v>
      </c>
      <c r="J77" t="n">
        <v>109.952644</v>
      </c>
      <c r="K77" t="n">
        <v>111.454178</v>
      </c>
      <c r="L77" t="n">
        <v>112.988495</v>
      </c>
      <c r="M77" t="n">
        <v>114.56694</v>
      </c>
      <c r="N77" t="n">
        <v>116.394722</v>
      </c>
      <c r="O77" t="n">
        <v>118.241707</v>
      </c>
      <c r="P77" t="n">
        <v>120.195175</v>
      </c>
      <c r="Q77" t="n">
        <v>121.982651</v>
      </c>
      <c r="R77" t="n">
        <v>123.64547</v>
      </c>
      <c r="S77" t="n">
        <v>125.140549</v>
      </c>
      <c r="T77" t="n">
        <v>126.382019</v>
      </c>
      <c r="U77" t="n">
        <v>127.452408</v>
      </c>
      <c r="V77" t="n">
        <v>128.580276</v>
      </c>
      <c r="W77" t="n">
        <v>129.795914</v>
      </c>
      <c r="X77" t="n">
        <v>130.678467</v>
      </c>
      <c r="Y77" t="n">
        <v>131.532822</v>
      </c>
      <c r="Z77" t="n">
        <v>132.372482</v>
      </c>
      <c r="AA77" t="n">
        <v>133.257446</v>
      </c>
      <c r="AB77" t="n">
        <v>134.0457</v>
      </c>
      <c r="AC77" t="n">
        <v>134.787109</v>
      </c>
      <c r="AD77" t="n">
        <v>135.570633</v>
      </c>
      <c r="AE77" t="n">
        <v>136.371704</v>
      </c>
      <c r="AF77" t="n">
        <v>137.274658</v>
      </c>
      <c r="AG77" t="n">
        <v>138.112167</v>
      </c>
      <c r="AH77" t="n">
        <v>138.976959</v>
      </c>
      <c r="AI77" s="16" t="n">
        <v>0.011</v>
      </c>
    </row>
    <row r="78">
      <c r="A78" t="inlineStr">
        <is>
          <t>Solar Photovoltaic</t>
        </is>
      </c>
      <c r="B78" t="inlineStr">
        <is>
          <t>Commercial: Combined Heat and Power: Energy Input: Solar Photovoltaic: Reference case</t>
        </is>
      </c>
      <c r="C78" t="inlineStr">
        <is>
          <t>AEO.2023.REF2023.CNSM_NA_COMM_CHP_SLR_PHTVL_NA_TRLBTU.A</t>
        </is>
      </c>
      <c r="D78" t="inlineStr">
        <is>
          <t>trillion Btu</t>
        </is>
      </c>
      <c r="F78" t="n">
        <v>261.815369</v>
      </c>
      <c r="G78" s="1" t="n">
        <v>308.04425</v>
      </c>
      <c r="H78" t="n">
        <v>349.124512</v>
      </c>
      <c r="I78" t="n">
        <v>378.462524</v>
      </c>
      <c r="J78" t="n">
        <v>393.909027</v>
      </c>
      <c r="K78" t="n">
        <v>414.620331</v>
      </c>
      <c r="L78" t="n">
        <v>431.875671</v>
      </c>
      <c r="M78" t="n">
        <v>460.305298</v>
      </c>
      <c r="N78" t="n">
        <v>480.623962</v>
      </c>
      <c r="O78" t="n">
        <v>501.827576</v>
      </c>
      <c r="P78" t="n">
        <v>519.754456</v>
      </c>
      <c r="Q78" t="n">
        <v>545.579956</v>
      </c>
      <c r="R78" t="n">
        <v>573.5802</v>
      </c>
      <c r="S78" t="n">
        <v>591.70874</v>
      </c>
      <c r="T78" t="n">
        <v>620.738098</v>
      </c>
      <c r="U78" t="n">
        <v>637.336182</v>
      </c>
      <c r="V78" t="n">
        <v>658.839905</v>
      </c>
      <c r="W78" t="n">
        <v>681.914368</v>
      </c>
      <c r="X78" t="n">
        <v>701.093994</v>
      </c>
      <c r="Y78" t="n">
        <v>720.851746</v>
      </c>
      <c r="Z78" t="n">
        <v>735.415283</v>
      </c>
      <c r="AA78" t="n">
        <v>748.404846</v>
      </c>
      <c r="AB78" t="n">
        <v>761.182068</v>
      </c>
      <c r="AC78" t="n">
        <v>772.8342290000001</v>
      </c>
      <c r="AD78" t="n">
        <v>793.086243</v>
      </c>
      <c r="AE78" t="n">
        <v>800.968933</v>
      </c>
      <c r="AF78" t="n">
        <v>811.4013670000001</v>
      </c>
      <c r="AG78" t="n">
        <v>818.580811</v>
      </c>
      <c r="AH78" t="n">
        <v>819.180969</v>
      </c>
      <c r="AI78" s="16" t="n">
        <v>0.042</v>
      </c>
    </row>
    <row r="79">
      <c r="A79" t="inlineStr">
        <is>
          <t>Wind</t>
        </is>
      </c>
      <c r="B79" t="inlineStr">
        <is>
          <t>Commercial: Combined Heat and Power: Energy Input: Wind: Reference case</t>
        </is>
      </c>
      <c r="C79" t="inlineStr">
        <is>
          <t>AEO.2023.REF2023.CNSM_NA_COMM_CHP_WND_NA_NA_TRLBTU.A</t>
        </is>
      </c>
      <c r="D79" t="inlineStr">
        <is>
          <t>trillion Btu</t>
        </is>
      </c>
      <c r="F79" t="n">
        <v>6.791775</v>
      </c>
      <c r="G79" s="1" t="n">
        <v>6.788934</v>
      </c>
      <c r="H79" t="n">
        <v>6.848722</v>
      </c>
      <c r="I79" t="n">
        <v>6.793999</v>
      </c>
      <c r="J79" t="n">
        <v>6.729903</v>
      </c>
      <c r="K79" t="n">
        <v>6.714339</v>
      </c>
      <c r="L79" t="n">
        <v>6.731504</v>
      </c>
      <c r="M79" t="n">
        <v>6.795619</v>
      </c>
      <c r="N79" t="n">
        <v>6.782379</v>
      </c>
      <c r="O79" t="n">
        <v>6.819679</v>
      </c>
      <c r="P79" t="n">
        <v>6.834842</v>
      </c>
      <c r="Q79" t="n">
        <v>6.836193</v>
      </c>
      <c r="R79" t="n">
        <v>6.85681</v>
      </c>
      <c r="S79" t="n">
        <v>6.902808</v>
      </c>
      <c r="T79" t="n">
        <v>6.913902</v>
      </c>
      <c r="U79" t="n">
        <v>6.882823</v>
      </c>
      <c r="V79" t="n">
        <v>6.800419</v>
      </c>
      <c r="W79" t="n">
        <v>6.808289</v>
      </c>
      <c r="X79" t="n">
        <v>6.780758</v>
      </c>
      <c r="Y79" t="n">
        <v>6.804255</v>
      </c>
      <c r="Z79" t="n">
        <v>6.802587</v>
      </c>
      <c r="AA79" t="n">
        <v>6.791727</v>
      </c>
      <c r="AB79" t="n">
        <v>6.7827</v>
      </c>
      <c r="AC79" t="n">
        <v>6.768836</v>
      </c>
      <c r="AD79" t="n">
        <v>6.764524</v>
      </c>
      <c r="AE79" t="n">
        <v>6.76651</v>
      </c>
      <c r="AF79" t="n">
        <v>6.760385</v>
      </c>
      <c r="AG79" t="n">
        <v>6.754371</v>
      </c>
      <c r="AH79" t="n">
        <v>6.743033</v>
      </c>
      <c r="AI79" s="16" t="n">
        <v>0</v>
      </c>
    </row>
    <row r="80">
      <c r="A80" t="inlineStr">
        <is>
          <t>Other</t>
        </is>
      </c>
      <c r="B80" t="inlineStr">
        <is>
          <t>Commercial: Combined Heat and Power: Energy Input: Other: Reference case</t>
        </is>
      </c>
      <c r="C80" t="inlineStr">
        <is>
          <t>AEO.2023.REF2023.CNSM_NA_COMM_CHP_OTH_NA_NA_TRLBTU.A</t>
        </is>
      </c>
      <c r="D80" t="inlineStr">
        <is>
          <t>trillion Btu</t>
        </is>
      </c>
      <c r="F80" t="n">
        <v>16.760143</v>
      </c>
      <c r="G80" s="1" t="n">
        <v>16.760143</v>
      </c>
      <c r="H80" t="n">
        <v>16.760143</v>
      </c>
      <c r="I80" t="n">
        <v>16.760143</v>
      </c>
      <c r="J80" t="n">
        <v>16.760143</v>
      </c>
      <c r="K80" t="n">
        <v>16.760143</v>
      </c>
      <c r="L80" t="n">
        <v>16.760143</v>
      </c>
      <c r="M80" t="n">
        <v>16.760143</v>
      </c>
      <c r="N80" t="n">
        <v>16.760143</v>
      </c>
      <c r="O80" t="n">
        <v>16.760143</v>
      </c>
      <c r="P80" t="n">
        <v>16.760143</v>
      </c>
      <c r="Q80" t="n">
        <v>16.760143</v>
      </c>
      <c r="R80" t="n">
        <v>16.760143</v>
      </c>
      <c r="S80" t="n">
        <v>16.760143</v>
      </c>
      <c r="T80" t="n">
        <v>16.760143</v>
      </c>
      <c r="U80" t="n">
        <v>16.760143</v>
      </c>
      <c r="V80" t="n">
        <v>16.760143</v>
      </c>
      <c r="W80" t="n">
        <v>16.760143</v>
      </c>
      <c r="X80" t="n">
        <v>16.760143</v>
      </c>
      <c r="Y80" t="n">
        <v>16.760143</v>
      </c>
      <c r="Z80" t="n">
        <v>16.760143</v>
      </c>
      <c r="AA80" t="n">
        <v>16.760143</v>
      </c>
      <c r="AB80" t="n">
        <v>16.760143</v>
      </c>
      <c r="AC80" t="n">
        <v>16.760143</v>
      </c>
      <c r="AD80" t="n">
        <v>16.760143</v>
      </c>
      <c r="AE80" t="n">
        <v>16.760143</v>
      </c>
      <c r="AF80" t="n">
        <v>16.760143</v>
      </c>
      <c r="AG80" t="n">
        <v>16.760143</v>
      </c>
      <c r="AH80" t="n">
        <v>16.760143</v>
      </c>
      <c r="AI80" s="16" t="n">
        <v>0</v>
      </c>
    </row>
    <row r="81">
      <c r="A81" t="inlineStr">
        <is>
          <t>Total</t>
        </is>
      </c>
      <c r="B81" t="inlineStr">
        <is>
          <t>Commercial: Combined Heat and Power: Energy Input: Total: Reference case</t>
        </is>
      </c>
      <c r="C81" t="inlineStr">
        <is>
          <t>AEO.2023.REF2023.CNSM_NA_COMM_CHP_TOT_NA_NA_TRLBTU.A</t>
        </is>
      </c>
      <c r="D81" t="inlineStr">
        <is>
          <t>trillion Btu</t>
        </is>
      </c>
      <c r="F81" t="n">
        <v>389.078888</v>
      </c>
      <c r="G81" s="1" t="n">
        <v>437.298584</v>
      </c>
      <c r="H81" t="n">
        <v>480.686554</v>
      </c>
      <c r="I81" t="n">
        <v>511.556763</v>
      </c>
      <c r="J81" t="n">
        <v>528.3682250000001</v>
      </c>
      <c r="K81" t="n">
        <v>550.565552</v>
      </c>
      <c r="L81" t="n">
        <v>569.372314</v>
      </c>
      <c r="M81" t="n">
        <v>599.444519</v>
      </c>
      <c r="N81" t="n">
        <v>621.5776980000001</v>
      </c>
      <c r="O81" t="n">
        <v>644.665649</v>
      </c>
      <c r="P81" t="n">
        <v>664.561157</v>
      </c>
      <c r="Q81" t="n">
        <v>692.175415</v>
      </c>
      <c r="R81" t="n">
        <v>721.859131</v>
      </c>
      <c r="S81" t="n">
        <v>741.528809</v>
      </c>
      <c r="T81" t="n">
        <v>771.810669</v>
      </c>
      <c r="U81" t="n">
        <v>789.4480589999999</v>
      </c>
      <c r="V81" t="n">
        <v>811.997253</v>
      </c>
      <c r="W81" t="n">
        <v>836.295227</v>
      </c>
      <c r="X81" t="n">
        <v>856.329895</v>
      </c>
      <c r="Y81" t="n">
        <v>876.965515</v>
      </c>
      <c r="Z81" t="n">
        <v>892.367065</v>
      </c>
      <c r="AA81" t="n">
        <v>906.230713</v>
      </c>
      <c r="AB81" t="n">
        <v>919.787109</v>
      </c>
      <c r="AC81" t="n">
        <v>932.16687</v>
      </c>
      <c r="AD81" t="n">
        <v>953.1980589999999</v>
      </c>
      <c r="AE81" t="n">
        <v>961.8838500000001</v>
      </c>
      <c r="AF81" t="n">
        <v>973.213074</v>
      </c>
      <c r="AG81" t="n">
        <v>981.223999</v>
      </c>
      <c r="AH81" t="n">
        <v>982.677612</v>
      </c>
      <c r="AI81" s="16" t="n">
        <v>0.034</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G81"/>
  <sheetViews>
    <sheetView topLeftCell="A49" workbookViewId="0">
      <selection activeCell="M66" sqref="M66"/>
    </sheetView>
  </sheetViews>
  <sheetFormatPr baseColWidth="8" defaultRowHeight="14.75"/>
  <cols>
    <col width="37.40625" customWidth="1" min="1" max="1"/>
    <col width="107.7265625" bestFit="1" customWidth="1" min="2" max="2"/>
  </cols>
  <sheetData>
    <row r="1">
      <c r="A1" t="inlineStr">
        <is>
          <t>Table 22.  Commercial Sector Energy Consumption, Floorspace, Equipment Efficiency, and Distributed Generation</t>
        </is>
      </c>
    </row>
    <row r="2">
      <c r="A2" t="inlineStr">
        <is>
          <t>https://www.eia.gov/outlooks/aeo/data/browser/#/?id=32-AEO2025&amp;cases=highZTC&amp;sourcekey=0</t>
        </is>
      </c>
    </row>
    <row r="3">
      <c r="A3" t="inlineStr">
        <is>
          <t>Tue Dec 02 2025 13:21:51 GMT-0800 (Pacific Standard Time)</t>
        </is>
      </c>
    </row>
    <row r="4">
      <c r="A4" t="inlineStr">
        <is>
          <t>Source: U.S. Energy Information Administration</t>
        </is>
      </c>
    </row>
    <row r="5">
      <c r="B5" t="inlineStr">
        <is>
          <t>full name</t>
        </is>
      </c>
      <c r="C5" t="inlineStr">
        <is>
          <t>api key</t>
        </is>
      </c>
      <c r="D5" t="inlineStr">
        <is>
          <t>units</t>
        </is>
      </c>
      <c r="E5" t="n">
        <v>2023</v>
      </c>
      <c r="F5" t="n">
        <v>2024</v>
      </c>
      <c r="G5" t="n">
        <v>2025</v>
      </c>
      <c r="H5" t="n">
        <v>2026</v>
      </c>
      <c r="I5" t="n">
        <v>2027</v>
      </c>
      <c r="J5" t="n">
        <v>2028</v>
      </c>
      <c r="K5" t="n">
        <v>2029</v>
      </c>
      <c r="L5" t="n">
        <v>2030</v>
      </c>
      <c r="M5" t="n">
        <v>2031</v>
      </c>
      <c r="N5" t="n">
        <v>2032</v>
      </c>
      <c r="O5" t="n">
        <v>2033</v>
      </c>
      <c r="P5" t="n">
        <v>2034</v>
      </c>
      <c r="Q5" t="n">
        <v>2035</v>
      </c>
      <c r="R5" t="n">
        <v>2036</v>
      </c>
      <c r="S5" t="n">
        <v>2037</v>
      </c>
      <c r="T5" t="n">
        <v>2038</v>
      </c>
      <c r="U5" t="n">
        <v>2039</v>
      </c>
      <c r="V5" t="n">
        <v>2040</v>
      </c>
      <c r="W5" t="n">
        <v>2041</v>
      </c>
      <c r="X5" t="n">
        <v>2042</v>
      </c>
      <c r="Y5" t="n">
        <v>2043</v>
      </c>
      <c r="Z5" t="n">
        <v>2044</v>
      </c>
      <c r="AA5" t="n">
        <v>2045</v>
      </c>
      <c r="AB5" t="n">
        <v>2046</v>
      </c>
      <c r="AC5" t="n">
        <v>2047</v>
      </c>
      <c r="AD5" t="n">
        <v>2048</v>
      </c>
      <c r="AE5" t="n">
        <v>2049</v>
      </c>
      <c r="AF5" t="n">
        <v>2050</v>
      </c>
      <c r="AG5" t="inlineStr">
        <is>
          <t>Growth (2024-2050)</t>
        </is>
      </c>
    </row>
    <row r="6">
      <c r="A6" t="inlineStr">
        <is>
          <t>Commercial Building Delivered</t>
        </is>
      </c>
    </row>
    <row r="7">
      <c r="A7" t="inlineStr">
        <is>
          <t>Energy Consumption (quadrillion Btu)</t>
        </is>
      </c>
    </row>
    <row r="8">
      <c r="A8" t="inlineStr">
        <is>
          <t>Assembly</t>
        </is>
      </c>
      <c r="B8" t="inlineStr">
        <is>
          <t>Commercial: Gross End-use: Assembly: High Zero-Carbon Technology Cost</t>
        </is>
      </c>
      <c r="C8" t="inlineStr">
        <is>
          <t>AEO.2025.HIGHZTC.CNSM_NA_COMM_ASB_GROSENUS_NA_NA_QBTU.A</t>
        </is>
      </c>
      <c r="D8" t="inlineStr">
        <is>
          <t>quads</t>
        </is>
      </c>
      <c r="F8" t="n">
        <v>0.84868</v>
      </c>
      <c r="G8" t="n">
        <v>0.884049</v>
      </c>
      <c r="H8" t="n">
        <v>0.8941750000000001</v>
      </c>
      <c r="I8" t="n">
        <v>0.90365</v>
      </c>
      <c r="J8" t="n">
        <v>0.910477</v>
      </c>
      <c r="K8" t="n">
        <v>0.914431</v>
      </c>
      <c r="L8" t="n">
        <v>0.915831</v>
      </c>
      <c r="M8" t="n">
        <v>0.918122</v>
      </c>
      <c r="N8" t="n">
        <v>0.920175</v>
      </c>
      <c r="O8" t="n">
        <v>0.921771</v>
      </c>
      <c r="P8" t="n">
        <v>0.924584</v>
      </c>
      <c r="Q8" t="n">
        <v>0.929381</v>
      </c>
      <c r="R8" t="n">
        <v>0.9360309999999999</v>
      </c>
      <c r="S8" t="n">
        <v>0.943531</v>
      </c>
      <c r="T8" t="n">
        <v>0.950729</v>
      </c>
      <c r="U8" t="n">
        <v>0.958429</v>
      </c>
      <c r="V8" t="n">
        <v>0.965966</v>
      </c>
      <c r="W8" t="n">
        <v>0.973333</v>
      </c>
      <c r="X8" t="n">
        <v>0.980492</v>
      </c>
      <c r="Y8" t="n">
        <v>0.987832</v>
      </c>
      <c r="Z8" t="n">
        <v>0.995496</v>
      </c>
      <c r="AA8" t="n">
        <v>1.003386</v>
      </c>
      <c r="AB8" t="n">
        <v>1.011123</v>
      </c>
      <c r="AC8" t="n">
        <v>1.019229</v>
      </c>
      <c r="AD8" t="n">
        <v>1.027779</v>
      </c>
      <c r="AE8" t="n">
        <v>1.036476</v>
      </c>
      <c r="AF8" t="n">
        <v>1.045322</v>
      </c>
      <c r="AG8" s="16" t="n">
        <v>0.008</v>
      </c>
    </row>
    <row r="9">
      <c r="A9" t="inlineStr">
        <is>
          <t>Education</t>
        </is>
      </c>
      <c r="B9" t="inlineStr">
        <is>
          <t>Commercial: Gross End-use: Education: High Zero-Carbon Technology Cost</t>
        </is>
      </c>
      <c r="C9" t="inlineStr">
        <is>
          <t>AEO.2025.HIGHZTC.CNSM_NA_COMM_EDD_GROSENUS_NA_NA_QBTU.A</t>
        </is>
      </c>
      <c r="D9" t="inlineStr">
        <is>
          <t>quads</t>
        </is>
      </c>
      <c r="F9" t="n">
        <v>1.017924</v>
      </c>
      <c r="G9" t="n">
        <v>1.051998</v>
      </c>
      <c r="H9" t="n">
        <v>1.063778</v>
      </c>
      <c r="I9" t="n">
        <v>1.073902</v>
      </c>
      <c r="J9" t="n">
        <v>1.081212</v>
      </c>
      <c r="K9" t="n">
        <v>1.085343</v>
      </c>
      <c r="L9" t="n">
        <v>1.085965</v>
      </c>
      <c r="M9" t="n">
        <v>1.08698</v>
      </c>
      <c r="N9" t="n">
        <v>1.087402</v>
      </c>
      <c r="O9" t="n">
        <v>1.086918</v>
      </c>
      <c r="P9" t="n">
        <v>1.087472</v>
      </c>
      <c r="Q9" t="n">
        <v>1.090411</v>
      </c>
      <c r="R9" t="n">
        <v>1.095282</v>
      </c>
      <c r="S9" t="n">
        <v>1.100983</v>
      </c>
      <c r="T9" t="n">
        <v>1.106382</v>
      </c>
      <c r="U9" t="n">
        <v>1.112345</v>
      </c>
      <c r="V9" t="n">
        <v>1.117577</v>
      </c>
      <c r="W9" t="n">
        <v>1.122382</v>
      </c>
      <c r="X9" t="n">
        <v>1.126814</v>
      </c>
      <c r="Y9" t="n">
        <v>1.131356</v>
      </c>
      <c r="Z9" t="n">
        <v>1.136234</v>
      </c>
      <c r="AA9" t="n">
        <v>1.141255</v>
      </c>
      <c r="AB9" t="n">
        <v>1.145905</v>
      </c>
      <c r="AC9" t="n">
        <v>1.150848</v>
      </c>
      <c r="AD9" t="n">
        <v>1.156103</v>
      </c>
      <c r="AE9" t="n">
        <v>1.161276</v>
      </c>
      <c r="AF9" t="n">
        <v>1.166354</v>
      </c>
      <c r="AG9" s="16" t="n">
        <v>0.005</v>
      </c>
    </row>
    <row r="10">
      <c r="A10" t="inlineStr">
        <is>
          <t>Food Sales</t>
        </is>
      </c>
      <c r="B10" t="inlineStr">
        <is>
          <t>Commercial: Gross End-use: Food Sales: High Zero-Carbon Technology Cost</t>
        </is>
      </c>
      <c r="C10" t="inlineStr">
        <is>
          <t>AEO.2025.HIGHZTC.CNSM_NA_COMM_FDSA_GROSENUS_NA_NA_QBTU.A</t>
        </is>
      </c>
      <c r="D10" t="inlineStr">
        <is>
          <t>quads</t>
        </is>
      </c>
      <c r="F10" t="n">
        <v>0.19708</v>
      </c>
      <c r="G10" t="n">
        <v>0.201363</v>
      </c>
      <c r="H10" t="n">
        <v>0.202731</v>
      </c>
      <c r="I10" t="n">
        <v>0.20441</v>
      </c>
      <c r="J10" t="n">
        <v>0.205563</v>
      </c>
      <c r="K10" t="n">
        <v>0.206057</v>
      </c>
      <c r="L10" t="n">
        <v>0.205717</v>
      </c>
      <c r="M10" t="n">
        <v>0.205627</v>
      </c>
      <c r="N10" t="n">
        <v>0.205519</v>
      </c>
      <c r="O10" t="n">
        <v>0.205291</v>
      </c>
      <c r="P10" t="n">
        <v>0.205241</v>
      </c>
      <c r="Q10" t="n">
        <v>0.205561</v>
      </c>
      <c r="R10" t="n">
        <v>0.206175</v>
      </c>
      <c r="S10" t="n">
        <v>0.206885</v>
      </c>
      <c r="T10" t="n">
        <v>0.207471</v>
      </c>
      <c r="U10" t="n">
        <v>0.208073</v>
      </c>
      <c r="V10" t="n">
        <v>0.208533</v>
      </c>
      <c r="W10" t="n">
        <v>0.209096</v>
      </c>
      <c r="X10" t="n">
        <v>0.209596</v>
      </c>
      <c r="Y10" t="n">
        <v>0.210064</v>
      </c>
      <c r="Z10" t="n">
        <v>0.210534</v>
      </c>
      <c r="AA10" t="n">
        <v>0.210984</v>
      </c>
      <c r="AB10" t="n">
        <v>0.211364</v>
      </c>
      <c r="AC10" t="n">
        <v>0.21175</v>
      </c>
      <c r="AD10" t="n">
        <v>0.21215</v>
      </c>
      <c r="AE10" t="n">
        <v>0.212497</v>
      </c>
      <c r="AF10" t="n">
        <v>0.212814</v>
      </c>
      <c r="AG10" s="16" t="n">
        <v>0.003</v>
      </c>
    </row>
    <row r="11">
      <c r="A11" t="inlineStr">
        <is>
          <t>Food Service</t>
        </is>
      </c>
      <c r="B11" t="inlineStr">
        <is>
          <t>Commercial: Gross End-use: Food Service: High Zero-Carbon Technology Cost</t>
        </is>
      </c>
      <c r="C11" t="inlineStr">
        <is>
          <t>AEO.2025.HIGHZTC.CNSM_NA_COMM_FSC_GROSENUS_NA_NA_QBTU.A</t>
        </is>
      </c>
      <c r="D11" t="inlineStr">
        <is>
          <t>quads</t>
        </is>
      </c>
      <c r="F11" t="n">
        <v>0.360019</v>
      </c>
      <c r="G11" t="n">
        <v>0.369677</v>
      </c>
      <c r="H11" t="n">
        <v>0.374469</v>
      </c>
      <c r="I11" t="n">
        <v>0.378784</v>
      </c>
      <c r="J11" t="n">
        <v>0.381703</v>
      </c>
      <c r="K11" t="n">
        <v>0.383299</v>
      </c>
      <c r="L11" t="n">
        <v>0.383695</v>
      </c>
      <c r="M11" t="n">
        <v>0.384391</v>
      </c>
      <c r="N11" t="n">
        <v>0.384866</v>
      </c>
      <c r="O11" t="n">
        <v>0.385096</v>
      </c>
      <c r="P11" t="n">
        <v>0.385783</v>
      </c>
      <c r="Q11" t="n">
        <v>0.387344</v>
      </c>
      <c r="R11" t="n">
        <v>0.389631</v>
      </c>
      <c r="S11" t="n">
        <v>0.392176</v>
      </c>
      <c r="T11" t="n">
        <v>0.394504</v>
      </c>
      <c r="U11" t="n">
        <v>0.39686</v>
      </c>
      <c r="V11" t="n">
        <v>0.398888</v>
      </c>
      <c r="W11" t="n">
        <v>0.400824</v>
      </c>
      <c r="X11" t="n">
        <v>0.402572</v>
      </c>
      <c r="Y11" t="n">
        <v>0.404259</v>
      </c>
      <c r="Z11" t="n">
        <v>0.405966</v>
      </c>
      <c r="AA11" t="n">
        <v>0.40763</v>
      </c>
      <c r="AB11" t="n">
        <v>0.409099</v>
      </c>
      <c r="AC11" t="n">
        <v>0.410654</v>
      </c>
      <c r="AD11" t="n">
        <v>0.412275</v>
      </c>
      <c r="AE11" t="n">
        <v>0.413793</v>
      </c>
      <c r="AF11" t="n">
        <v>0.415203</v>
      </c>
      <c r="AG11" s="16" t="n">
        <v>0.006</v>
      </c>
    </row>
    <row r="12">
      <c r="A12" t="inlineStr">
        <is>
          <t>Health Care</t>
        </is>
      </c>
      <c r="B12" t="inlineStr">
        <is>
          <t>Commercial: Gross End-use: Health Care: High Zero-Carbon Technology Cost</t>
        </is>
      </c>
      <c r="C12" t="inlineStr">
        <is>
          <t>AEO.2025.HIGHZTC.CNSM_NA_COMM_HLC_GROSENUS_NA_NA_QBTU.A</t>
        </is>
      </c>
      <c r="D12" t="inlineStr">
        <is>
          <t>quads</t>
        </is>
      </c>
      <c r="F12" t="n">
        <v>0.425994</v>
      </c>
      <c r="G12" t="n">
        <v>0.444568</v>
      </c>
      <c r="H12" t="n">
        <v>0.452412</v>
      </c>
      <c r="I12" t="n">
        <v>0.459559</v>
      </c>
      <c r="J12" t="n">
        <v>0.46517</v>
      </c>
      <c r="K12" t="n">
        <v>0.469295</v>
      </c>
      <c r="L12" t="n">
        <v>0.471855</v>
      </c>
      <c r="M12" t="n">
        <v>0.474514</v>
      </c>
      <c r="N12" t="n">
        <v>0.476774</v>
      </c>
      <c r="O12" t="n">
        <v>0.478704</v>
      </c>
      <c r="P12" t="n">
        <v>0.481302</v>
      </c>
      <c r="Q12" t="n">
        <v>0.485045</v>
      </c>
      <c r="R12" t="n">
        <v>0.489859</v>
      </c>
      <c r="S12" t="n">
        <v>0.49523</v>
      </c>
      <c r="T12" t="n">
        <v>0.500559</v>
      </c>
      <c r="U12" t="n">
        <v>0.506202</v>
      </c>
      <c r="V12" t="n">
        <v>0.511552</v>
      </c>
      <c r="W12" t="n">
        <v>0.516625</v>
      </c>
      <c r="X12" t="n">
        <v>0.521468</v>
      </c>
      <c r="Y12" t="n">
        <v>0.526264</v>
      </c>
      <c r="Z12" t="n">
        <v>0.531287</v>
      </c>
      <c r="AA12" t="n">
        <v>0.536426</v>
      </c>
      <c r="AB12" t="n">
        <v>0.541428</v>
      </c>
      <c r="AC12" t="n">
        <v>0.5467</v>
      </c>
      <c r="AD12" t="n">
        <v>0.552199</v>
      </c>
      <c r="AE12" t="n">
        <v>0.557664</v>
      </c>
      <c r="AF12" t="n">
        <v>0.563132</v>
      </c>
      <c r="AG12" s="16" t="n">
        <v>0.011</v>
      </c>
    </row>
    <row r="13">
      <c r="A13" t="inlineStr">
        <is>
          <t>Lodging</t>
        </is>
      </c>
      <c r="B13" t="inlineStr">
        <is>
          <t>Commercial: Gross End-use: Lodging: High Zero-Carbon Technology Cost</t>
        </is>
      </c>
      <c r="C13" t="inlineStr">
        <is>
          <t>AEO.2025.HIGHZTC.CNSM_NA_COMM_LGC_GROSENUS_NA_NA_QBTU.A</t>
        </is>
      </c>
      <c r="D13" t="inlineStr">
        <is>
          <t>quads</t>
        </is>
      </c>
      <c r="F13" t="n">
        <v>0.68129</v>
      </c>
      <c r="G13" t="n">
        <v>0.707055</v>
      </c>
      <c r="H13" t="n">
        <v>0.721615</v>
      </c>
      <c r="I13" t="n">
        <v>0.735892</v>
      </c>
      <c r="J13" t="n">
        <v>0.748136</v>
      </c>
      <c r="K13" t="n">
        <v>0.75818</v>
      </c>
      <c r="L13" t="n">
        <v>0.765746</v>
      </c>
      <c r="M13" t="n">
        <v>0.773568</v>
      </c>
      <c r="N13" t="n">
        <v>0.781026</v>
      </c>
      <c r="O13" t="n">
        <v>0.788196</v>
      </c>
      <c r="P13" t="n">
        <v>0.796334</v>
      </c>
      <c r="Q13" t="n">
        <v>0.806096</v>
      </c>
      <c r="R13" t="n">
        <v>0.817446</v>
      </c>
      <c r="S13" t="n">
        <v>0.829603</v>
      </c>
      <c r="T13" t="n">
        <v>0.841577</v>
      </c>
      <c r="U13" t="n">
        <v>0.85406</v>
      </c>
      <c r="V13" t="n">
        <v>0.866164</v>
      </c>
      <c r="W13" t="n">
        <v>0.877925</v>
      </c>
      <c r="X13" t="n">
        <v>0.889385</v>
      </c>
      <c r="Y13" t="n">
        <v>0.900871</v>
      </c>
      <c r="Z13" t="n">
        <v>0.912726</v>
      </c>
      <c r="AA13" t="n">
        <v>0.924783</v>
      </c>
      <c r="AB13" t="n">
        <v>0.936698</v>
      </c>
      <c r="AC13" t="n">
        <v>0.949113</v>
      </c>
      <c r="AD13" t="n">
        <v>0.9619220000000001</v>
      </c>
      <c r="AE13" t="n">
        <v>0.974742</v>
      </c>
      <c r="AF13" t="n">
        <v>0.987673</v>
      </c>
      <c r="AG13" s="16" t="n">
        <v>0.014</v>
      </c>
    </row>
    <row r="14">
      <c r="A14" t="inlineStr">
        <is>
          <t>Office - Large</t>
        </is>
      </c>
      <c r="B14" t="inlineStr">
        <is>
          <t>Commercial: Gross End-use: Office - Large: High Zero-Carbon Technology Cost</t>
        </is>
      </c>
      <c r="C14" t="inlineStr">
        <is>
          <t>AEO.2025.HIGHZTC.CNSM_NA_COMM_OFLC_GROSENUS_NA_NA_QBTU.A</t>
        </is>
      </c>
      <c r="D14" t="inlineStr">
        <is>
          <t>quads</t>
        </is>
      </c>
      <c r="F14" t="n">
        <v>0.845312</v>
      </c>
      <c r="G14" t="n">
        <v>0.864796</v>
      </c>
      <c r="H14" t="n">
        <v>0.873578</v>
      </c>
      <c r="I14" t="n">
        <v>0.884024</v>
      </c>
      <c r="J14" t="n">
        <v>0.892534</v>
      </c>
      <c r="K14" t="n">
        <v>0.898061</v>
      </c>
      <c r="L14" t="n">
        <v>0.8998429999999999</v>
      </c>
      <c r="M14" t="n">
        <v>0.90124</v>
      </c>
      <c r="N14" t="n">
        <v>0.902273</v>
      </c>
      <c r="O14" t="n">
        <v>0.903094</v>
      </c>
      <c r="P14" t="n">
        <v>0.905004</v>
      </c>
      <c r="Q14" t="n">
        <v>0.9082480000000001</v>
      </c>
      <c r="R14" t="n">
        <v>0.9131</v>
      </c>
      <c r="S14" t="n">
        <v>0.918801</v>
      </c>
      <c r="T14" t="n">
        <v>0.924095</v>
      </c>
      <c r="U14" t="n">
        <v>0.930005</v>
      </c>
      <c r="V14" t="n">
        <v>0.93599</v>
      </c>
      <c r="W14" t="n">
        <v>0.941652</v>
      </c>
      <c r="X14" t="n">
        <v>0.9470150000000001</v>
      </c>
      <c r="Y14" t="n">
        <v>0.952329</v>
      </c>
      <c r="Z14" t="n">
        <v>0.957935</v>
      </c>
      <c r="AA14" t="n">
        <v>0.9636980000000001</v>
      </c>
      <c r="AB14" t="n">
        <v>0.96929</v>
      </c>
      <c r="AC14" t="n">
        <v>0.974955</v>
      </c>
      <c r="AD14" t="n">
        <v>0.9809290000000001</v>
      </c>
      <c r="AE14" t="n">
        <v>0.986945</v>
      </c>
      <c r="AF14" t="n">
        <v>0.993056</v>
      </c>
      <c r="AG14" s="16" t="n">
        <v>0.006</v>
      </c>
    </row>
    <row r="15">
      <c r="A15" t="inlineStr">
        <is>
          <t>Office - Small</t>
        </is>
      </c>
      <c r="B15" t="inlineStr">
        <is>
          <t>Commercial: Gross End-use: Office - Small: High Zero-Carbon Technology Cost</t>
        </is>
      </c>
      <c r="C15" t="inlineStr">
        <is>
          <t>AEO.2025.HIGHZTC.CNSM_NA_COMM_OFSC_GROSENUS_NA_NA_QBTU.A</t>
        </is>
      </c>
      <c r="D15" t="inlineStr">
        <is>
          <t>quads</t>
        </is>
      </c>
      <c r="F15" t="n">
        <v>0.548384</v>
      </c>
      <c r="G15" t="n">
        <v>0.564639</v>
      </c>
      <c r="H15" t="n">
        <v>0.572958</v>
      </c>
      <c r="I15" t="n">
        <v>0.581934</v>
      </c>
      <c r="J15" t="n">
        <v>0.589428</v>
      </c>
      <c r="K15" t="n">
        <v>0.594742</v>
      </c>
      <c r="L15" t="n">
        <v>0.597739</v>
      </c>
      <c r="M15" t="n">
        <v>0.60076</v>
      </c>
      <c r="N15" t="n">
        <v>0.603719</v>
      </c>
      <c r="O15" t="n">
        <v>0.606241</v>
      </c>
      <c r="P15" t="n">
        <v>0.609658</v>
      </c>
      <c r="Q15" t="n">
        <v>0.614359</v>
      </c>
      <c r="R15" t="n">
        <v>0.6200329999999999</v>
      </c>
      <c r="S15" t="n">
        <v>0.626238</v>
      </c>
      <c r="T15" t="n">
        <v>0.632174</v>
      </c>
      <c r="U15" t="n">
        <v>0.638417</v>
      </c>
      <c r="V15" t="n">
        <v>0.644746</v>
      </c>
      <c r="W15" t="n">
        <v>0.651136</v>
      </c>
      <c r="X15" t="n">
        <v>0.657451</v>
      </c>
      <c r="Y15" t="n">
        <v>0.663849</v>
      </c>
      <c r="Z15" t="n">
        <v>0.67047</v>
      </c>
      <c r="AA15" t="n">
        <v>0.677194</v>
      </c>
      <c r="AB15" t="n">
        <v>0.683866</v>
      </c>
      <c r="AC15" t="n">
        <v>0.690883</v>
      </c>
      <c r="AD15" t="n">
        <v>0.698138</v>
      </c>
      <c r="AE15" t="n">
        <v>0.705463</v>
      </c>
      <c r="AF15" t="n">
        <v>0.712948</v>
      </c>
      <c r="AG15" s="16" t="n">
        <v>0.01</v>
      </c>
    </row>
    <row r="16">
      <c r="A16" t="inlineStr">
        <is>
          <t>Mercantile/Service</t>
        </is>
      </c>
      <c r="B16" t="inlineStr">
        <is>
          <t>Commercial: Gross End-use: Mercantile/Service: High Zero-Carbon Technology Cost</t>
        </is>
      </c>
      <c r="C16" t="inlineStr">
        <is>
          <t>AEO.2025.HIGHZTC.CNSM_NA_COMM_MCSC_GROSENUS_NA_NA_QBTU.A</t>
        </is>
      </c>
      <c r="D16" t="inlineStr">
        <is>
          <t>quads</t>
        </is>
      </c>
      <c r="F16" t="n">
        <v>1.29377</v>
      </c>
      <c r="G16" t="n">
        <v>1.331958</v>
      </c>
      <c r="H16" t="n">
        <v>1.345749</v>
      </c>
      <c r="I16" t="n">
        <v>1.359766</v>
      </c>
      <c r="J16" t="n">
        <v>1.37026</v>
      </c>
      <c r="K16" t="n">
        <v>1.375947</v>
      </c>
      <c r="L16" t="n">
        <v>1.375796</v>
      </c>
      <c r="M16" t="n">
        <v>1.376849</v>
      </c>
      <c r="N16" t="n">
        <v>1.377693</v>
      </c>
      <c r="O16" t="n">
        <v>1.377624</v>
      </c>
      <c r="P16" t="n">
        <v>1.378849</v>
      </c>
      <c r="Q16" t="n">
        <v>1.383336</v>
      </c>
      <c r="R16" t="n">
        <v>1.390393</v>
      </c>
      <c r="S16" t="n">
        <v>1.398474</v>
      </c>
      <c r="T16" t="n">
        <v>1.405899</v>
      </c>
      <c r="U16" t="n">
        <v>1.413833</v>
      </c>
      <c r="V16" t="n">
        <v>1.420698</v>
      </c>
      <c r="W16" t="n">
        <v>1.427323</v>
      </c>
      <c r="X16" t="n">
        <v>1.433609</v>
      </c>
      <c r="Y16" t="n">
        <v>1.440001</v>
      </c>
      <c r="Z16" t="n">
        <v>1.44664</v>
      </c>
      <c r="AA16" t="n">
        <v>1.453325</v>
      </c>
      <c r="AB16" t="n">
        <v>1.459537</v>
      </c>
      <c r="AC16" t="n">
        <v>1.466175</v>
      </c>
      <c r="AD16" t="n">
        <v>1.473084</v>
      </c>
      <c r="AE16" t="n">
        <v>1.479912</v>
      </c>
      <c r="AF16" t="n">
        <v>1.486415</v>
      </c>
      <c r="AG16" s="16" t="n">
        <v>0.005</v>
      </c>
    </row>
    <row r="17">
      <c r="A17" t="inlineStr">
        <is>
          <t>Warehouse</t>
        </is>
      </c>
      <c r="B17" t="inlineStr">
        <is>
          <t>Commercial: Gross End-use: Warehouse: High Zero-Carbon Technology Cost</t>
        </is>
      </c>
      <c r="C17" t="inlineStr">
        <is>
          <t>AEO.2025.HIGHZTC.CNSM_NA_COMM_WHRC_GROSENUS_NA_NA_QBTU.A</t>
        </is>
      </c>
      <c r="D17" t="inlineStr">
        <is>
          <t>quads</t>
        </is>
      </c>
      <c r="F17" t="n">
        <v>0.715772</v>
      </c>
      <c r="G17" t="n">
        <v>0.724481</v>
      </c>
      <c r="H17" t="n">
        <v>0.741376</v>
      </c>
      <c r="I17" t="n">
        <v>0.757238</v>
      </c>
      <c r="J17" t="n">
        <v>0.771718</v>
      </c>
      <c r="K17" t="n">
        <v>0.784203</v>
      </c>
      <c r="L17" t="n">
        <v>0.794121</v>
      </c>
      <c r="M17" t="n">
        <v>0.8047299999999999</v>
      </c>
      <c r="N17" t="n">
        <v>0.815535</v>
      </c>
      <c r="O17" t="n">
        <v>0.826279</v>
      </c>
      <c r="P17" t="n">
        <v>0.838182</v>
      </c>
      <c r="Q17" t="n">
        <v>0.8514969999999999</v>
      </c>
      <c r="R17" t="n">
        <v>0.865933</v>
      </c>
      <c r="S17" t="n">
        <v>0.881155</v>
      </c>
      <c r="T17" t="n">
        <v>0.896323</v>
      </c>
      <c r="U17" t="n">
        <v>0.91209</v>
      </c>
      <c r="V17" t="n">
        <v>0.928087</v>
      </c>
      <c r="W17" t="n">
        <v>0.944319</v>
      </c>
      <c r="X17" t="n">
        <v>0.960609</v>
      </c>
      <c r="Y17" t="n">
        <v>0.977187</v>
      </c>
      <c r="Z17" t="n">
        <v>0.9941990000000001</v>
      </c>
      <c r="AA17" t="n">
        <v>1.011541</v>
      </c>
      <c r="AB17" t="n">
        <v>1.028967</v>
      </c>
      <c r="AC17" t="n">
        <v>1.04695</v>
      </c>
      <c r="AD17" t="n">
        <v>1.065453</v>
      </c>
      <c r="AE17" t="n">
        <v>1.084217</v>
      </c>
      <c r="AF17" t="n">
        <v>1.103227</v>
      </c>
      <c r="AG17" s="16" t="n">
        <v>0.017</v>
      </c>
    </row>
    <row r="18">
      <c r="A18" t="inlineStr">
        <is>
          <t>Other</t>
        </is>
      </c>
      <c r="B18" t="inlineStr">
        <is>
          <t>Commercial: Gross End-use: Other: High Zero-Carbon Technology Cost</t>
        </is>
      </c>
      <c r="C18" t="inlineStr">
        <is>
          <t>AEO.2025.HIGHZTC.CNSM_NA_COMM_OTHU_GROSENUS_NA_NA_QBTU.A</t>
        </is>
      </c>
      <c r="D18" t="inlineStr">
        <is>
          <t>quads</t>
        </is>
      </c>
      <c r="F18" t="n">
        <v>0.577606</v>
      </c>
      <c r="G18" t="n">
        <v>0.603712</v>
      </c>
      <c r="H18" t="n">
        <v>0.623714</v>
      </c>
      <c r="I18" t="n">
        <v>0.644811</v>
      </c>
      <c r="J18" t="n">
        <v>0.665413</v>
      </c>
      <c r="K18" t="n">
        <v>0.684768</v>
      </c>
      <c r="L18" t="n">
        <v>0.7025749999999999</v>
      </c>
      <c r="M18" t="n">
        <v>0.720824</v>
      </c>
      <c r="N18" t="n">
        <v>0.739429</v>
      </c>
      <c r="O18" t="n">
        <v>0.758544</v>
      </c>
      <c r="P18" t="n">
        <v>0.779087</v>
      </c>
      <c r="Q18" t="n">
        <v>0.80137</v>
      </c>
      <c r="R18" t="n">
        <v>0.825628</v>
      </c>
      <c r="S18" t="n">
        <v>0.851498</v>
      </c>
      <c r="T18" t="n">
        <v>0.87791</v>
      </c>
      <c r="U18" t="n">
        <v>0.9056689999999999</v>
      </c>
      <c r="V18" t="n">
        <v>0.934441</v>
      </c>
      <c r="W18" t="n">
        <v>0.964082</v>
      </c>
      <c r="X18" t="n">
        <v>0.994491</v>
      </c>
      <c r="Y18" t="n">
        <v>1.025867</v>
      </c>
      <c r="Z18" t="n">
        <v>1.058732</v>
      </c>
      <c r="AA18" t="n">
        <v>1.092843</v>
      </c>
      <c r="AB18" t="n">
        <v>1.12794</v>
      </c>
      <c r="AC18" t="n">
        <v>1.164685</v>
      </c>
      <c r="AD18" t="n">
        <v>1.203002</v>
      </c>
      <c r="AE18" t="n">
        <v>1.242329</v>
      </c>
      <c r="AF18" t="n">
        <v>1.283367</v>
      </c>
      <c r="AG18" s="16" t="n">
        <v>0.031</v>
      </c>
    </row>
    <row r="19">
      <c r="A19" t="inlineStr">
        <is>
          <t>Total</t>
        </is>
      </c>
      <c r="B19" t="inlineStr">
        <is>
          <t>Commercial: Gross End-use: Total: High Zero-Carbon Technology Cost</t>
        </is>
      </c>
      <c r="C19" t="inlineStr">
        <is>
          <t>AEO.2025.HIGHZTC.CNSM_NA_COMM_NA_GROSENUS_NA_NA_QBTU.A</t>
        </is>
      </c>
      <c r="D19" t="inlineStr">
        <is>
          <t>quads</t>
        </is>
      </c>
      <c r="F19" t="n">
        <v>7.511831</v>
      </c>
      <c r="G19" t="n">
        <v>7.748293</v>
      </c>
      <c r="H19" t="n">
        <v>7.866556</v>
      </c>
      <c r="I19" t="n">
        <v>7.983969</v>
      </c>
      <c r="J19" t="n">
        <v>8.081614</v>
      </c>
      <c r="K19" t="n">
        <v>8.154325</v>
      </c>
      <c r="L19" t="n">
        <v>8.198884</v>
      </c>
      <c r="M19" t="n">
        <v>8.247604000000001</v>
      </c>
      <c r="N19" t="n">
        <v>8.294411</v>
      </c>
      <c r="O19" t="n">
        <v>8.337759</v>
      </c>
      <c r="P19" t="n">
        <v>8.391496999999999</v>
      </c>
      <c r="Q19" t="n">
        <v>8.462648</v>
      </c>
      <c r="R19" t="n">
        <v>8.54951</v>
      </c>
      <c r="S19" t="n">
        <v>8.644574</v>
      </c>
      <c r="T19" t="n">
        <v>8.737625</v>
      </c>
      <c r="U19" t="n">
        <v>8.835984</v>
      </c>
      <c r="V19" t="n">
        <v>8.932642</v>
      </c>
      <c r="W19" t="n">
        <v>9.028696999999999</v>
      </c>
      <c r="X19" t="n">
        <v>9.123502999999999</v>
      </c>
      <c r="Y19" t="n">
        <v>9.219877</v>
      </c>
      <c r="Z19" t="n">
        <v>9.320220000000001</v>
      </c>
      <c r="AA19" t="n">
        <v>9.423064</v>
      </c>
      <c r="AB19" t="n">
        <v>9.525214999999999</v>
      </c>
      <c r="AC19" t="n">
        <v>9.631940999999999</v>
      </c>
      <c r="AD19" t="n">
        <v>9.743034</v>
      </c>
      <c r="AE19" t="n">
        <v>9.855313000000001</v>
      </c>
      <c r="AF19" t="n">
        <v>9.969512</v>
      </c>
      <c r="AG19" s="16" t="n">
        <v>0.011</v>
      </c>
    </row>
    <row r="20">
      <c r="A20" t="inlineStr">
        <is>
          <t>Commercial Building Floorspace</t>
        </is>
      </c>
    </row>
    <row r="21">
      <c r="A21" t="inlineStr">
        <is>
          <t>(billion square feet)</t>
        </is>
      </c>
    </row>
    <row r="22">
      <c r="A22" t="inlineStr">
        <is>
          <t>Assembly</t>
        </is>
      </c>
      <c r="B22" t="inlineStr">
        <is>
          <t>Commercial: Floorspace: Assembly: High Zero-Carbon Technology Cost</t>
        </is>
      </c>
      <c r="C22" t="inlineStr">
        <is>
          <t>AEO.2025.HIGHZTC.KEI_FLR_COMM_ASB_NA_NA_NA_BLNSQFT.A</t>
        </is>
      </c>
      <c r="D22" t="inlineStr">
        <is>
          <t>billion sq ft</t>
        </is>
      </c>
      <c r="F22" t="n">
        <v>12.817468</v>
      </c>
      <c r="G22" t="n">
        <v>13.024555</v>
      </c>
      <c r="H22" t="n">
        <v>13.14502</v>
      </c>
      <c r="I22" t="n">
        <v>13.28536</v>
      </c>
      <c r="J22" t="n">
        <v>13.435477</v>
      </c>
      <c r="K22" t="n">
        <v>13.58338</v>
      </c>
      <c r="L22" t="n">
        <v>13.724409</v>
      </c>
      <c r="M22" t="n">
        <v>13.860394</v>
      </c>
      <c r="N22" t="n">
        <v>13.995576</v>
      </c>
      <c r="O22" t="n">
        <v>14.131165</v>
      </c>
      <c r="P22" t="n">
        <v>14.266127</v>
      </c>
      <c r="Q22" t="n">
        <v>14.398698</v>
      </c>
      <c r="R22" t="n">
        <v>14.526923</v>
      </c>
      <c r="S22" t="n">
        <v>14.649873</v>
      </c>
      <c r="T22" t="n">
        <v>14.767888</v>
      </c>
      <c r="U22" t="n">
        <v>14.881609</v>
      </c>
      <c r="V22" t="n">
        <v>14.991705</v>
      </c>
      <c r="W22" t="n">
        <v>15.098835</v>
      </c>
      <c r="X22" t="n">
        <v>15.203425</v>
      </c>
      <c r="Y22" t="n">
        <v>15.305864</v>
      </c>
      <c r="Z22" t="n">
        <v>15.406607</v>
      </c>
      <c r="AA22" t="n">
        <v>15.506073</v>
      </c>
      <c r="AB22" t="n">
        <v>15.60465</v>
      </c>
      <c r="AC22" t="n">
        <v>15.702631</v>
      </c>
      <c r="AD22" t="n">
        <v>15.800199</v>
      </c>
      <c r="AE22" t="n">
        <v>15.897416</v>
      </c>
      <c r="AF22" t="n">
        <v>15.994262</v>
      </c>
      <c r="AG22" s="16" t="n">
        <v>0.008999999999999999</v>
      </c>
    </row>
    <row r="23">
      <c r="A23" t="inlineStr">
        <is>
          <t>Education</t>
        </is>
      </c>
      <c r="B23" t="inlineStr">
        <is>
          <t>Commercial: Floorspace: Education: High Zero-Carbon Technology Cost</t>
        </is>
      </c>
      <c r="C23" t="inlineStr">
        <is>
          <t>AEO.2025.HIGHZTC.KEI_FLR_COMM_EDD_NA_NA_NA_BLNSQFT.A</t>
        </is>
      </c>
      <c r="D23" t="inlineStr">
        <is>
          <t>billion sq ft</t>
        </is>
      </c>
      <c r="F23" t="n">
        <v>14.477227</v>
      </c>
      <c r="G23" t="n">
        <v>14.669399</v>
      </c>
      <c r="H23" t="n">
        <v>14.860004</v>
      </c>
      <c r="I23" t="n">
        <v>15.074451</v>
      </c>
      <c r="J23" t="n">
        <v>15.301549</v>
      </c>
      <c r="K23" t="n">
        <v>15.527782</v>
      </c>
      <c r="L23" t="n">
        <v>15.747817</v>
      </c>
      <c r="M23" t="n">
        <v>15.963676</v>
      </c>
      <c r="N23" t="n">
        <v>16.180206</v>
      </c>
      <c r="O23" t="n">
        <v>16.398798</v>
      </c>
      <c r="P23" t="n">
        <v>16.618282</v>
      </c>
      <c r="Q23" t="n">
        <v>16.836611</v>
      </c>
      <c r="R23" t="n">
        <v>17.051477</v>
      </c>
      <c r="S23" t="n">
        <v>17.261757</v>
      </c>
      <c r="T23" t="n">
        <v>17.467796</v>
      </c>
      <c r="U23" t="n">
        <v>17.670296</v>
      </c>
      <c r="V23" t="n">
        <v>17.870014</v>
      </c>
      <c r="W23" t="n">
        <v>18.067698</v>
      </c>
      <c r="X23" t="n">
        <v>18.263834</v>
      </c>
      <c r="Y23" t="n">
        <v>18.45887</v>
      </c>
      <c r="Z23" t="n">
        <v>18.653334</v>
      </c>
      <c r="AA23" t="n">
        <v>18.847738</v>
      </c>
      <c r="AB23" t="n">
        <v>19.042536</v>
      </c>
      <c r="AC23" t="n">
        <v>19.238104</v>
      </c>
      <c r="AD23" t="n">
        <v>19.434662</v>
      </c>
      <c r="AE23" t="n">
        <v>19.632298</v>
      </c>
      <c r="AF23" t="n">
        <v>19.831005</v>
      </c>
      <c r="AG23" s="16" t="n">
        <v>0.012</v>
      </c>
    </row>
    <row r="24">
      <c r="A24" t="inlineStr">
        <is>
          <t>Food Sales</t>
        </is>
      </c>
      <c r="B24" t="inlineStr">
        <is>
          <t>Commercial: Floorspace: Food Sales: High Zero-Carbon Technology Cost</t>
        </is>
      </c>
      <c r="C24" t="inlineStr">
        <is>
          <t>AEO.2025.HIGHZTC.KEI_FLR_COMM_FDSA_NA_NA_NA_BLNSQFT.A</t>
        </is>
      </c>
      <c r="D24" t="inlineStr">
        <is>
          <t>billion sq ft</t>
        </is>
      </c>
      <c r="F24" t="n">
        <v>1.013164</v>
      </c>
      <c r="G24" t="n">
        <v>1.031002</v>
      </c>
      <c r="H24" t="n">
        <v>1.040686</v>
      </c>
      <c r="I24" t="n">
        <v>1.051947</v>
      </c>
      <c r="J24" t="n">
        <v>1.063986</v>
      </c>
      <c r="K24" t="n">
        <v>1.075855</v>
      </c>
      <c r="L24" t="n">
        <v>1.087183</v>
      </c>
      <c r="M24" t="n">
        <v>1.098117</v>
      </c>
      <c r="N24" t="n">
        <v>1.108991</v>
      </c>
      <c r="O24" t="n">
        <v>1.119901</v>
      </c>
      <c r="P24" t="n">
        <v>1.130767</v>
      </c>
      <c r="Q24" t="n">
        <v>1.141447</v>
      </c>
      <c r="R24" t="n">
        <v>1.151787</v>
      </c>
      <c r="S24" t="n">
        <v>1.161713</v>
      </c>
      <c r="T24" t="n">
        <v>1.171252</v>
      </c>
      <c r="U24" t="n">
        <v>1.180455</v>
      </c>
      <c r="V24" t="n">
        <v>1.189374</v>
      </c>
      <c r="W24" t="n">
        <v>1.198062</v>
      </c>
      <c r="X24" t="n">
        <v>1.206553</v>
      </c>
      <c r="Y24" t="n">
        <v>1.214876</v>
      </c>
      <c r="Z24" t="n">
        <v>1.223069</v>
      </c>
      <c r="AA24" t="n">
        <v>1.231166</v>
      </c>
      <c r="AB24" t="n">
        <v>1.239195</v>
      </c>
      <c r="AC24" t="n">
        <v>1.247181</v>
      </c>
      <c r="AD24" t="n">
        <v>1.255138</v>
      </c>
      <c r="AE24" t="n">
        <v>1.263071</v>
      </c>
      <c r="AF24" t="n">
        <v>1.27098</v>
      </c>
      <c r="AG24" s="16" t="n">
        <v>0.008999999999999999</v>
      </c>
    </row>
    <row r="25">
      <c r="A25" t="inlineStr">
        <is>
          <t>Food Service</t>
        </is>
      </c>
      <c r="B25" t="inlineStr">
        <is>
          <t>Commercial: Floorspace: Food Service: High Zero-Carbon Technology Cost</t>
        </is>
      </c>
      <c r="C25" t="inlineStr">
        <is>
          <t>AEO.2025.HIGHZTC.KEI_FLR_COMM_FSC_NA_NA_NA_BLNSQFT.A</t>
        </is>
      </c>
      <c r="D25" t="inlineStr">
        <is>
          <t>billion sq ft</t>
        </is>
      </c>
      <c r="F25" t="n">
        <v>1.401535</v>
      </c>
      <c r="G25" t="n">
        <v>1.427102</v>
      </c>
      <c r="H25" t="n">
        <v>1.441598</v>
      </c>
      <c r="I25" t="n">
        <v>1.458307</v>
      </c>
      <c r="J25" t="n">
        <v>1.476126</v>
      </c>
      <c r="K25" t="n">
        <v>1.493741</v>
      </c>
      <c r="L25" t="n">
        <v>1.510639</v>
      </c>
      <c r="M25" t="n">
        <v>1.527021</v>
      </c>
      <c r="N25" t="n">
        <v>1.543351</v>
      </c>
      <c r="O25" t="n">
        <v>1.559765</v>
      </c>
      <c r="P25" t="n">
        <v>1.576147</v>
      </c>
      <c r="Q25" t="n">
        <v>1.592303</v>
      </c>
      <c r="R25" t="n">
        <v>1.608018</v>
      </c>
      <c r="S25" t="n">
        <v>1.623186</v>
      </c>
      <c r="T25" t="n">
        <v>1.637846</v>
      </c>
      <c r="U25" t="n">
        <v>1.652065</v>
      </c>
      <c r="V25" t="n">
        <v>1.665918</v>
      </c>
      <c r="W25" t="n">
        <v>1.679477</v>
      </c>
      <c r="X25" t="n">
        <v>1.692789</v>
      </c>
      <c r="Y25" t="n">
        <v>1.705896</v>
      </c>
      <c r="Z25" t="n">
        <v>1.71885</v>
      </c>
      <c r="AA25" t="n">
        <v>1.731696</v>
      </c>
      <c r="AB25" t="n">
        <v>1.744478</v>
      </c>
      <c r="AC25" t="n">
        <v>1.757228</v>
      </c>
      <c r="AD25" t="n">
        <v>1.769968</v>
      </c>
      <c r="AE25" t="n">
        <v>1.782704</v>
      </c>
      <c r="AF25" t="n">
        <v>1.795436</v>
      </c>
      <c r="AG25" s="16" t="n">
        <v>0.01</v>
      </c>
    </row>
    <row r="26">
      <c r="A26" t="inlineStr">
        <is>
          <t>Health Care</t>
        </is>
      </c>
      <c r="B26" t="inlineStr">
        <is>
          <t>Commercial: Floorspace: Health Care: High Zero-Carbon Technology Cost</t>
        </is>
      </c>
      <c r="C26" t="inlineStr">
        <is>
          <t>AEO.2025.HIGHZTC.KEI_FLR_COMM_HLC_NA_NA_NA_BLNSQFT.A</t>
        </is>
      </c>
      <c r="D26" t="inlineStr">
        <is>
          <t>billion sq ft</t>
        </is>
      </c>
      <c r="F26" t="n">
        <v>2.483398</v>
      </c>
      <c r="G26" t="n">
        <v>2.529708</v>
      </c>
      <c r="H26" t="n">
        <v>2.571741</v>
      </c>
      <c r="I26" t="n">
        <v>2.618129</v>
      </c>
      <c r="J26" t="n">
        <v>2.66697</v>
      </c>
      <c r="K26" t="n">
        <v>2.715932</v>
      </c>
      <c r="L26" t="n">
        <v>2.764082</v>
      </c>
      <c r="M26" t="n">
        <v>2.811763</v>
      </c>
      <c r="N26" t="n">
        <v>2.859819</v>
      </c>
      <c r="O26" t="n">
        <v>2.908498</v>
      </c>
      <c r="P26" t="n">
        <v>2.957596</v>
      </c>
      <c r="Q26" t="n">
        <v>3.00675</v>
      </c>
      <c r="R26" t="n">
        <v>3.055545</v>
      </c>
      <c r="S26" t="n">
        <v>3.103773</v>
      </c>
      <c r="T26" t="n">
        <v>3.151489</v>
      </c>
      <c r="U26" t="n">
        <v>3.198809</v>
      </c>
      <c r="V26" t="n">
        <v>3.245865</v>
      </c>
      <c r="W26" t="n">
        <v>3.292787</v>
      </c>
      <c r="X26" t="n">
        <v>3.339661</v>
      </c>
      <c r="Y26" t="n">
        <v>3.386563</v>
      </c>
      <c r="Z26" t="n">
        <v>3.43359</v>
      </c>
      <c r="AA26" t="n">
        <v>3.480834</v>
      </c>
      <c r="AB26" t="n">
        <v>3.528378</v>
      </c>
      <c r="AC26" t="n">
        <v>3.576293</v>
      </c>
      <c r="AD26" t="n">
        <v>3.62462</v>
      </c>
      <c r="AE26" t="n">
        <v>3.673378</v>
      </c>
      <c r="AF26" t="n">
        <v>3.722567</v>
      </c>
      <c r="AG26" s="16" t="n">
        <v>0.016</v>
      </c>
    </row>
    <row r="27">
      <c r="A27" t="inlineStr">
        <is>
          <t>Lodging</t>
        </is>
      </c>
      <c r="B27" t="inlineStr">
        <is>
          <t>Commercial: Floorspace: Lodging: High Zero-Carbon Technology Cost</t>
        </is>
      </c>
      <c r="C27" t="inlineStr">
        <is>
          <t>AEO.2025.HIGHZTC.KEI_FLR_COMM_LGC_NA_NA_NA_BLNSQFT.A</t>
        </is>
      </c>
      <c r="D27" t="inlineStr">
        <is>
          <t>billion sq ft</t>
        </is>
      </c>
      <c r="F27" t="n">
        <v>7.418135</v>
      </c>
      <c r="G27" t="n">
        <v>7.584061</v>
      </c>
      <c r="H27" t="n">
        <v>7.708387</v>
      </c>
      <c r="I27" t="n">
        <v>7.845709</v>
      </c>
      <c r="J27" t="n">
        <v>7.990322</v>
      </c>
      <c r="K27" t="n">
        <v>8.135230999999999</v>
      </c>
      <c r="L27" t="n">
        <v>8.277637</v>
      </c>
      <c r="M27" t="n">
        <v>8.418574</v>
      </c>
      <c r="N27" t="n">
        <v>8.560568999999999</v>
      </c>
      <c r="O27" t="n">
        <v>8.704364999999999</v>
      </c>
      <c r="P27" t="n">
        <v>8.849349</v>
      </c>
      <c r="Q27" t="n">
        <v>8.994432</v>
      </c>
      <c r="R27" t="n">
        <v>9.138377</v>
      </c>
      <c r="S27" t="n">
        <v>9.280561000000001</v>
      </c>
      <c r="T27" t="n">
        <v>9.421146999999999</v>
      </c>
      <c r="U27" t="n">
        <v>9.56049</v>
      </c>
      <c r="V27" t="n">
        <v>9.698976999999999</v>
      </c>
      <c r="W27" t="n">
        <v>9.837005</v>
      </c>
      <c r="X27" t="n">
        <v>9.974822</v>
      </c>
      <c r="Y27" t="n">
        <v>10.112667</v>
      </c>
      <c r="Z27" t="n">
        <v>10.250821</v>
      </c>
      <c r="AA27" t="n">
        <v>10.389561</v>
      </c>
      <c r="AB27" t="n">
        <v>10.529137</v>
      </c>
      <c r="AC27" t="n">
        <v>10.669755</v>
      </c>
      <c r="AD27" t="n">
        <v>10.811544</v>
      </c>
      <c r="AE27" t="n">
        <v>10.954556</v>
      </c>
      <c r="AF27" t="n">
        <v>11.09879</v>
      </c>
      <c r="AG27" s="16" t="n">
        <v>0.016</v>
      </c>
    </row>
    <row r="28">
      <c r="A28" t="inlineStr">
        <is>
          <t>Office - Large</t>
        </is>
      </c>
      <c r="B28" t="inlineStr">
        <is>
          <t>Commercial: Floorspace: Office - Large: High Zero-Carbon Technology Cost</t>
        </is>
      </c>
      <c r="C28" t="inlineStr">
        <is>
          <t>AEO.2025.HIGHZTC.KEI_FLR_COMM_OFLC_NA_NA_NA_BLNSQFT.A</t>
        </is>
      </c>
      <c r="D28" t="inlineStr">
        <is>
          <t>billion sq ft</t>
        </is>
      </c>
      <c r="F28" t="n">
        <v>11.034375</v>
      </c>
      <c r="G28" t="n">
        <v>11.170792</v>
      </c>
      <c r="H28" t="n">
        <v>11.289731</v>
      </c>
      <c r="I28" t="n">
        <v>11.426096</v>
      </c>
      <c r="J28" t="n">
        <v>11.571279</v>
      </c>
      <c r="K28" t="n">
        <v>11.714989</v>
      </c>
      <c r="L28" t="n">
        <v>11.853201</v>
      </c>
      <c r="M28" t="n">
        <v>11.987477</v>
      </c>
      <c r="N28" t="n">
        <v>12.12147</v>
      </c>
      <c r="O28" t="n">
        <v>12.256226</v>
      </c>
      <c r="P28" t="n">
        <v>12.390857</v>
      </c>
      <c r="Q28" t="n">
        <v>12.523828</v>
      </c>
      <c r="R28" t="n">
        <v>12.653435</v>
      </c>
      <c r="S28" t="n">
        <v>12.778854</v>
      </c>
      <c r="T28" t="n">
        <v>12.900372</v>
      </c>
      <c r="U28" t="n">
        <v>13.018527</v>
      </c>
      <c r="V28" t="n">
        <v>13.133893</v>
      </c>
      <c r="W28" t="n">
        <v>13.247038</v>
      </c>
      <c r="X28" t="n">
        <v>13.358327</v>
      </c>
      <c r="Y28" t="n">
        <v>13.468096</v>
      </c>
      <c r="Z28" t="n">
        <v>13.576739</v>
      </c>
      <c r="AA28" t="n">
        <v>13.684623</v>
      </c>
      <c r="AB28" t="n">
        <v>13.792088</v>
      </c>
      <c r="AC28" t="n">
        <v>13.899397</v>
      </c>
      <c r="AD28" t="n">
        <v>14.006706</v>
      </c>
      <c r="AE28" t="n">
        <v>14.114076</v>
      </c>
      <c r="AF28" t="n">
        <v>14.221491</v>
      </c>
      <c r="AG28" s="16" t="n">
        <v>0.01</v>
      </c>
    </row>
    <row r="29">
      <c r="A29" t="inlineStr">
        <is>
          <t>Office - Small</t>
        </is>
      </c>
      <c r="B29" t="inlineStr">
        <is>
          <t>Commercial: Floorspace: Office - Small: High Zero-Carbon Technology Cost</t>
        </is>
      </c>
      <c r="C29" t="inlineStr">
        <is>
          <t>AEO.2025.HIGHZTC.KEI_FLR_COMM_OFSC_NA_NA_NA_BLNSQFT.A</t>
        </is>
      </c>
      <c r="D29" t="inlineStr">
        <is>
          <t>billion sq ft</t>
        </is>
      </c>
      <c r="F29" t="n">
        <v>8.095155999999999</v>
      </c>
      <c r="G29" t="n">
        <v>8.19727</v>
      </c>
      <c r="H29" t="n">
        <v>8.287075</v>
      </c>
      <c r="I29" t="n">
        <v>8.389711999999999</v>
      </c>
      <c r="J29" t="n">
        <v>8.498872</v>
      </c>
      <c r="K29" t="n">
        <v>8.607003000000001</v>
      </c>
      <c r="L29" t="n">
        <v>8.711152999999999</v>
      </c>
      <c r="M29" t="n">
        <v>8.812455</v>
      </c>
      <c r="N29" t="n">
        <v>8.913598</v>
      </c>
      <c r="O29" t="n">
        <v>9.015349000000001</v>
      </c>
      <c r="P29" t="n">
        <v>9.117056</v>
      </c>
      <c r="Q29" t="n">
        <v>9.217589</v>
      </c>
      <c r="R29" t="n">
        <v>9.315692</v>
      </c>
      <c r="S29" t="n">
        <v>9.410757</v>
      </c>
      <c r="T29" t="n">
        <v>9.502988</v>
      </c>
      <c r="U29" t="n">
        <v>9.592783000000001</v>
      </c>
      <c r="V29" t="n">
        <v>9.680561000000001</v>
      </c>
      <c r="W29" t="n">
        <v>9.76674</v>
      </c>
      <c r="X29" t="n">
        <v>9.851584000000001</v>
      </c>
      <c r="Y29" t="n">
        <v>9.935343</v>
      </c>
      <c r="Z29" t="n">
        <v>10.018303</v>
      </c>
      <c r="AA29" t="n">
        <v>10.100739</v>
      </c>
      <c r="AB29" t="n">
        <v>10.182895</v>
      </c>
      <c r="AC29" t="n">
        <v>10.264968</v>
      </c>
      <c r="AD29" t="n">
        <v>10.347072</v>
      </c>
      <c r="AE29" t="n">
        <v>10.429251</v>
      </c>
      <c r="AF29" t="n">
        <v>10.511497</v>
      </c>
      <c r="AG29" s="16" t="n">
        <v>0.01</v>
      </c>
    </row>
    <row r="30">
      <c r="A30" t="inlineStr">
        <is>
          <t>Mercantile/Service</t>
        </is>
      </c>
      <c r="B30" t="inlineStr">
        <is>
          <t>Commercial: Floorspace: Mercantile/Service: High Zero-Carbon Technology Cost</t>
        </is>
      </c>
      <c r="C30" t="inlineStr">
        <is>
          <t>AEO.2025.HIGHZTC.KEI_FLR_COMM_MCSC_NA_NA_NA_BLNSQFT.A</t>
        </is>
      </c>
      <c r="D30" t="inlineStr">
        <is>
          <t>billion sq ft</t>
        </is>
      </c>
      <c r="F30" t="n">
        <v>17.797789</v>
      </c>
      <c r="G30" t="n">
        <v>18.087166</v>
      </c>
      <c r="H30" t="n">
        <v>18.296322</v>
      </c>
      <c r="I30" t="n">
        <v>18.534037</v>
      </c>
      <c r="J30" t="n">
        <v>18.786425</v>
      </c>
      <c r="K30" t="n">
        <v>19.036812</v>
      </c>
      <c r="L30" t="n">
        <v>19.278666</v>
      </c>
      <c r="M30" t="n">
        <v>19.514486</v>
      </c>
      <c r="N30" t="n">
        <v>19.750214</v>
      </c>
      <c r="O30" t="n">
        <v>19.987541</v>
      </c>
      <c r="P30" t="n">
        <v>20.225027</v>
      </c>
      <c r="Q30" t="n">
        <v>20.460169</v>
      </c>
      <c r="R30" t="n">
        <v>20.690165</v>
      </c>
      <c r="S30" t="n">
        <v>20.913662</v>
      </c>
      <c r="T30" t="n">
        <v>21.131105</v>
      </c>
      <c r="U30" t="n">
        <v>21.343359</v>
      </c>
      <c r="V30" t="n">
        <v>21.551353</v>
      </c>
      <c r="W30" t="n">
        <v>21.756001</v>
      </c>
      <c r="X30" t="n">
        <v>21.957897</v>
      </c>
      <c r="Y30" t="n">
        <v>22.157579</v>
      </c>
      <c r="Z30" t="n">
        <v>22.355694</v>
      </c>
      <c r="AA30" t="n">
        <v>22.552841</v>
      </c>
      <c r="AB30" t="n">
        <v>22.749567</v>
      </c>
      <c r="AC30" t="n">
        <v>22.946316</v>
      </c>
      <c r="AD30" t="n">
        <v>23.143337</v>
      </c>
      <c r="AE30" t="n">
        <v>23.340731</v>
      </c>
      <c r="AF30" t="n">
        <v>23.538469</v>
      </c>
      <c r="AG30" s="16" t="n">
        <v>0.011</v>
      </c>
    </row>
    <row r="31">
      <c r="A31" t="inlineStr">
        <is>
          <t>Warehouse</t>
        </is>
      </c>
      <c r="B31" t="inlineStr">
        <is>
          <t>Commercial: Floorspace: Warehouse: High Zero-Carbon Technology Cost</t>
        </is>
      </c>
      <c r="C31" t="inlineStr">
        <is>
          <t>AEO.2025.HIGHZTC.KEI_FLR_COMM_WHRC_NA_NA_NA_BLNSQFT.A</t>
        </is>
      </c>
      <c r="D31" t="inlineStr">
        <is>
          <t>billion sq ft</t>
        </is>
      </c>
      <c r="F31" t="n">
        <v>20.811037</v>
      </c>
      <c r="G31" t="n">
        <v>20.688267</v>
      </c>
      <c r="H31" t="n">
        <v>21.090683</v>
      </c>
      <c r="I31" t="n">
        <v>21.530262</v>
      </c>
      <c r="J31" t="n">
        <v>21.991648</v>
      </c>
      <c r="K31" t="n">
        <v>22.455757</v>
      </c>
      <c r="L31" t="n">
        <v>22.914848</v>
      </c>
      <c r="M31" t="n">
        <v>23.371706</v>
      </c>
      <c r="N31" t="n">
        <v>23.833302</v>
      </c>
      <c r="O31" t="n">
        <v>24.301704</v>
      </c>
      <c r="P31" t="n">
        <v>24.775219</v>
      </c>
      <c r="Q31" t="n">
        <v>25.250818</v>
      </c>
      <c r="R31" t="n">
        <v>25.72501</v>
      </c>
      <c r="S31" t="n">
        <v>26.195992</v>
      </c>
      <c r="T31" t="n">
        <v>26.664169</v>
      </c>
      <c r="U31" t="n">
        <v>27.130501</v>
      </c>
      <c r="V31" t="n">
        <v>27.596041</v>
      </c>
      <c r="W31" t="n">
        <v>28.06188</v>
      </c>
      <c r="X31" t="n">
        <v>28.528696</v>
      </c>
      <c r="Y31" t="n">
        <v>28.997156</v>
      </c>
      <c r="Z31" t="n">
        <v>29.468058</v>
      </c>
      <c r="AA31" t="n">
        <v>29.942181</v>
      </c>
      <c r="AB31" t="n">
        <v>30.420248</v>
      </c>
      <c r="AC31" t="n">
        <v>30.902866</v>
      </c>
      <c r="AD31" t="n">
        <v>31.390402</v>
      </c>
      <c r="AE31" t="n">
        <v>31.883022</v>
      </c>
      <c r="AF31" t="n">
        <v>32.380737</v>
      </c>
      <c r="AG31" s="16" t="n">
        <v>0.017</v>
      </c>
    </row>
    <row r="32">
      <c r="A32" t="inlineStr">
        <is>
          <t>Other</t>
        </is>
      </c>
      <c r="B32" t="inlineStr">
        <is>
          <t>Commercial: Floorspace: Other: High Zero-Carbon Technology Cost</t>
        </is>
      </c>
      <c r="C32" t="inlineStr">
        <is>
          <t>AEO.2025.HIGHZTC.KEI_FLR_COMM_OTHU_NA_NA_NA_BLNSQFT.A</t>
        </is>
      </c>
      <c r="D32" t="inlineStr">
        <is>
          <t>billion sq ft</t>
        </is>
      </c>
      <c r="F32" t="n">
        <v>6.022579</v>
      </c>
      <c r="G32" t="n">
        <v>6.112623</v>
      </c>
      <c r="H32" t="n">
        <v>6.203774</v>
      </c>
      <c r="I32" t="n">
        <v>6.305171</v>
      </c>
      <c r="J32" t="n">
        <v>6.41219</v>
      </c>
      <c r="K32" t="n">
        <v>6.519195</v>
      </c>
      <c r="L32" t="n">
        <v>6.623943</v>
      </c>
      <c r="M32" t="n">
        <v>6.727274</v>
      </c>
      <c r="N32" t="n">
        <v>6.831217</v>
      </c>
      <c r="O32" t="n">
        <v>6.936363</v>
      </c>
      <c r="P32" t="n">
        <v>7.042219</v>
      </c>
      <c r="Q32" t="n">
        <v>7.147921</v>
      </c>
      <c r="R32" t="n">
        <v>7.252486</v>
      </c>
      <c r="S32" t="n">
        <v>7.355425</v>
      </c>
      <c r="T32" t="n">
        <v>7.456878</v>
      </c>
      <c r="U32" t="n">
        <v>7.557133</v>
      </c>
      <c r="V32" t="n">
        <v>7.656504</v>
      </c>
      <c r="W32" t="n">
        <v>7.755305</v>
      </c>
      <c r="X32" t="n">
        <v>7.853741</v>
      </c>
      <c r="Y32" t="n">
        <v>7.951998</v>
      </c>
      <c r="Z32" t="n">
        <v>8.050304000000001</v>
      </c>
      <c r="AA32" t="n">
        <v>8.148876</v>
      </c>
      <c r="AB32" t="n">
        <v>8.247909999999999</v>
      </c>
      <c r="AC32" t="n">
        <v>8.347569</v>
      </c>
      <c r="AD32" t="n">
        <v>8.447950000000001</v>
      </c>
      <c r="AE32" t="n">
        <v>8.549094</v>
      </c>
      <c r="AF32" t="n">
        <v>8.650999000000001</v>
      </c>
      <c r="AG32" s="16" t="n">
        <v>0.014</v>
      </c>
    </row>
    <row r="33">
      <c r="A33" t="inlineStr">
        <is>
          <t>Total</t>
        </is>
      </c>
      <c r="B33" t="inlineStr">
        <is>
          <t>Commercial: Floorspace: Total: High Zero-Carbon Technology Cost</t>
        </is>
      </c>
      <c r="C33" t="inlineStr">
        <is>
          <t>AEO.2025.HIGHZTC.KEI_FLR_COMM_NA_NA_NA_NA_BLNSQFT.A</t>
        </is>
      </c>
      <c r="D33" t="inlineStr">
        <is>
          <t>billion sq ft</t>
        </is>
      </c>
      <c r="F33" t="n">
        <v>103.371872</v>
      </c>
      <c r="G33" t="n">
        <v>104.521942</v>
      </c>
      <c r="H33" t="n">
        <v>105.93502</v>
      </c>
      <c r="I33" t="n">
        <v>107.519173</v>
      </c>
      <c r="J33" t="n">
        <v>109.194839</v>
      </c>
      <c r="K33" t="n">
        <v>110.865677</v>
      </c>
      <c r="L33" t="n">
        <v>112.493576</v>
      </c>
      <c r="M33" t="n">
        <v>114.092941</v>
      </c>
      <c r="N33" t="n">
        <v>115.698311</v>
      </c>
      <c r="O33" t="n">
        <v>117.319672</v>
      </c>
      <c r="P33" t="n">
        <v>118.948654</v>
      </c>
      <c r="Q33" t="n">
        <v>120.570557</v>
      </c>
      <c r="R33" t="n">
        <v>122.168915</v>
      </c>
      <c r="S33" t="n">
        <v>123.735558</v>
      </c>
      <c r="T33" t="n">
        <v>125.272926</v>
      </c>
      <c r="U33" t="n">
        <v>126.786034</v>
      </c>
      <c r="V33" t="n">
        <v>128.280197</v>
      </c>
      <c r="W33" t="n">
        <v>129.760834</v>
      </c>
      <c r="X33" t="n">
        <v>131.231323</v>
      </c>
      <c r="Y33" t="n">
        <v>132.694901</v>
      </c>
      <c r="Z33" t="n">
        <v>134.155365</v>
      </c>
      <c r="AA33" t="n">
        <v>135.616333</v>
      </c>
      <c r="AB33" t="n">
        <v>137.08107</v>
      </c>
      <c r="AC33" t="n">
        <v>138.552307</v>
      </c>
      <c r="AD33" t="n">
        <v>140.031586</v>
      </c>
      <c r="AE33" t="n">
        <v>141.519592</v>
      </c>
      <c r="AF33" t="n">
        <v>143.016235</v>
      </c>
      <c r="AG33" s="16" t="n">
        <v>0.013</v>
      </c>
    </row>
    <row r="34">
      <c r="A34" t="inlineStr">
        <is>
          <t>Stock Average Equipment Efficiency</t>
        </is>
      </c>
    </row>
    <row r="35">
      <c r="A35" t="inlineStr">
        <is>
          <t>Space Heating</t>
        </is>
      </c>
    </row>
    <row r="36">
      <c r="A36" t="inlineStr">
        <is>
          <t>Electricity</t>
        </is>
      </c>
      <c r="B36" t="inlineStr">
        <is>
          <t>Commercial: Stock Average Efficiency: Space Heating: Electricity: High Zero-Carbon Technology Cost</t>
        </is>
      </c>
      <c r="C36" t="inlineStr">
        <is>
          <t>AEO.2025.HIGHZTC.EFF_STKE_COMM_SPH_ELC_NA_NA_BTUOTPBTUIN.A</t>
        </is>
      </c>
      <c r="D36" t="inlineStr">
        <is>
          <t>Btu Out/Btu In</t>
        </is>
      </c>
      <c r="F36" t="n">
        <v>1.689959</v>
      </c>
      <c r="G36" t="n">
        <v>1.666259</v>
      </c>
      <c r="H36" t="n">
        <v>1.642267</v>
      </c>
      <c r="I36" t="n">
        <v>1.618919</v>
      </c>
      <c r="J36" t="n">
        <v>1.597009</v>
      </c>
      <c r="K36" t="n">
        <v>1.580247</v>
      </c>
      <c r="L36" t="n">
        <v>1.560718</v>
      </c>
      <c r="M36" t="n">
        <v>1.543037</v>
      </c>
      <c r="N36" t="n">
        <v>1.526859</v>
      </c>
      <c r="O36" t="n">
        <v>1.519951</v>
      </c>
      <c r="P36" t="n">
        <v>1.512956</v>
      </c>
      <c r="Q36" t="n">
        <v>1.496655</v>
      </c>
      <c r="R36" t="n">
        <v>1.481462</v>
      </c>
      <c r="S36" t="n">
        <v>1.46725</v>
      </c>
      <c r="T36" t="n">
        <v>1.45409</v>
      </c>
      <c r="U36" t="n">
        <v>1.441667</v>
      </c>
      <c r="V36" t="n">
        <v>1.430003</v>
      </c>
      <c r="W36" t="n">
        <v>1.419147</v>
      </c>
      <c r="X36" t="n">
        <v>1.409232</v>
      </c>
      <c r="Y36" t="n">
        <v>1.399963</v>
      </c>
      <c r="Z36" t="n">
        <v>1.391268</v>
      </c>
      <c r="AA36" t="n">
        <v>1.383183</v>
      </c>
      <c r="AB36" t="n">
        <v>1.37577</v>
      </c>
      <c r="AC36" t="n">
        <v>1.368958</v>
      </c>
      <c r="AD36" t="n">
        <v>1.36269</v>
      </c>
      <c r="AE36" t="n">
        <v>1.356863</v>
      </c>
      <c r="AF36" t="n">
        <v>1.351421</v>
      </c>
      <c r="AG36" s="16" t="n">
        <v>-0.008999999999999999</v>
      </c>
    </row>
    <row r="37">
      <c r="A37" t="inlineStr">
        <is>
          <t>Natural Gas</t>
        </is>
      </c>
      <c r="B37" t="inlineStr">
        <is>
          <t>Commercial: Stock Average Efficiency: Space Heating: Natural Gas: High Zero-Carbon Technology Cost</t>
        </is>
      </c>
      <c r="C37" t="inlineStr">
        <is>
          <t>AEO.2025.HIGHZTC.EFF_STKE_COMM_SPH_NG_NA_NA_BTUOTPBTUIN.A</t>
        </is>
      </c>
      <c r="D37" t="inlineStr">
        <is>
          <t>Btu Out/Btu In</t>
        </is>
      </c>
      <c r="F37" t="n">
        <v>0.820157</v>
      </c>
      <c r="G37" t="n">
        <v>0.819889</v>
      </c>
      <c r="H37" t="n">
        <v>0.819612</v>
      </c>
      <c r="I37" t="n">
        <v>0.81934</v>
      </c>
      <c r="J37" t="n">
        <v>0.819072</v>
      </c>
      <c r="K37" t="n">
        <v>0.818812</v>
      </c>
      <c r="L37" t="n">
        <v>0.818561</v>
      </c>
      <c r="M37" t="n">
        <v>0.818315</v>
      </c>
      <c r="N37" t="n">
        <v>0.8180770000000001</v>
      </c>
      <c r="O37" t="n">
        <v>0.817844</v>
      </c>
      <c r="P37" t="n">
        <v>0.817619</v>
      </c>
      <c r="Q37" t="n">
        <v>0.817395</v>
      </c>
      <c r="R37" t="n">
        <v>0.817178</v>
      </c>
      <c r="S37" t="n">
        <v>0.816968</v>
      </c>
      <c r="T37" t="n">
        <v>0.816762</v>
      </c>
      <c r="U37" t="n">
        <v>0.816564</v>
      </c>
      <c r="V37" t="n">
        <v>0.816371</v>
      </c>
      <c r="W37" t="n">
        <v>0.816181</v>
      </c>
      <c r="X37" t="n">
        <v>0.815999</v>
      </c>
      <c r="Y37" t="n">
        <v>0.81582</v>
      </c>
      <c r="Z37" t="n">
        <v>0.815648</v>
      </c>
      <c r="AA37" t="n">
        <v>0.81548</v>
      </c>
      <c r="AB37" t="n">
        <v>0.815317</v>
      </c>
      <c r="AC37" t="n">
        <v>0.815159</v>
      </c>
      <c r="AD37" t="n">
        <v>0.815004</v>
      </c>
      <c r="AE37" t="n">
        <v>0.814854</v>
      </c>
      <c r="AF37" t="n">
        <v>0.814708</v>
      </c>
      <c r="AG37" s="16" t="n">
        <v>0</v>
      </c>
    </row>
    <row r="38">
      <c r="A38" t="inlineStr">
        <is>
          <t>Distillate Fuel Oil</t>
        </is>
      </c>
      <c r="B38" t="inlineStr">
        <is>
          <t>Commercial: Stock Average Efficiency: Space Heating: Distillate Fuel Oil: High Zero-Carbon Technology Cost</t>
        </is>
      </c>
      <c r="C38" t="inlineStr">
        <is>
          <t>AEO.2025.HIGHZTC.EFF_STKE_COMM_SPH_DFO_NA_NA_BTUOTPBTUIN.A</t>
        </is>
      </c>
      <c r="D38" t="inlineStr">
        <is>
          <t>Btu Out/Btu In</t>
        </is>
      </c>
      <c r="F38" t="n">
        <v>0.840583</v>
      </c>
      <c r="G38" t="n">
        <v>0.840815</v>
      </c>
      <c r="H38" t="n">
        <v>0.840996</v>
      </c>
      <c r="I38" t="n">
        <v>0.841116</v>
      </c>
      <c r="J38" t="n">
        <v>0.8411960000000001</v>
      </c>
      <c r="K38" t="n">
        <v>0.841251</v>
      </c>
      <c r="L38" t="n">
        <v>0.8412770000000001</v>
      </c>
      <c r="M38" t="n">
        <v>0.841283</v>
      </c>
      <c r="N38" t="n">
        <v>0.841268</v>
      </c>
      <c r="O38" t="n">
        <v>0.84124</v>
      </c>
      <c r="P38" t="n">
        <v>0.841195</v>
      </c>
      <c r="Q38" t="n">
        <v>0.84113</v>
      </c>
      <c r="R38" t="n">
        <v>0.841037</v>
      </c>
      <c r="S38" t="n">
        <v>0.840934</v>
      </c>
      <c r="T38" t="n">
        <v>0.840822</v>
      </c>
      <c r="U38" t="n">
        <v>0.840697</v>
      </c>
      <c r="V38" t="n">
        <v>0.840566</v>
      </c>
      <c r="W38" t="n">
        <v>0.840428</v>
      </c>
      <c r="X38" t="n">
        <v>0.840283</v>
      </c>
      <c r="Y38" t="n">
        <v>0.840132</v>
      </c>
      <c r="Z38" t="n">
        <v>0.8399799999999999</v>
      </c>
      <c r="AA38" t="n">
        <v>0.839821</v>
      </c>
      <c r="AB38" t="n">
        <v>0.839657</v>
      </c>
      <c r="AC38" t="n">
        <v>0.839488</v>
      </c>
      <c r="AD38" t="n">
        <v>0.839316</v>
      </c>
      <c r="AE38" t="n">
        <v>0.839143</v>
      </c>
      <c r="AF38" t="n">
        <v>0.838965</v>
      </c>
      <c r="AG38" s="16" t="n">
        <v>0</v>
      </c>
    </row>
    <row r="39">
      <c r="A39" t="inlineStr">
        <is>
          <t>Space Cooling</t>
        </is>
      </c>
    </row>
    <row r="40">
      <c r="A40" t="inlineStr">
        <is>
          <t>Electricity</t>
        </is>
      </c>
      <c r="B40" t="inlineStr">
        <is>
          <t>Commercial: Stock Average Efficiency: Space Cooling: Electricity: High Zero-Carbon Technology Cost</t>
        </is>
      </c>
      <c r="C40" t="inlineStr">
        <is>
          <t>AEO.2025.HIGHZTC.EFF_STKE_COMM_SPC_ELC_NA_NA_BTUOTPBTUIN.A</t>
        </is>
      </c>
      <c r="D40" t="inlineStr">
        <is>
          <t>Btu Out/Btu In</t>
        </is>
      </c>
      <c r="F40" t="n">
        <v>4.258709</v>
      </c>
      <c r="G40" t="n">
        <v>4.300516</v>
      </c>
      <c r="H40" t="n">
        <v>4.334456</v>
      </c>
      <c r="I40" t="n">
        <v>4.366873</v>
      </c>
      <c r="J40" t="n">
        <v>4.397727</v>
      </c>
      <c r="K40" t="n">
        <v>4.426824</v>
      </c>
      <c r="L40" t="n">
        <v>4.459006</v>
      </c>
      <c r="M40" t="n">
        <v>4.489103</v>
      </c>
      <c r="N40" t="n">
        <v>4.517692</v>
      </c>
      <c r="O40" t="n">
        <v>4.546163</v>
      </c>
      <c r="P40" t="n">
        <v>4.572696</v>
      </c>
      <c r="Q40" t="n">
        <v>4.596867</v>
      </c>
      <c r="R40" t="n">
        <v>4.61952</v>
      </c>
      <c r="S40" t="n">
        <v>4.640612</v>
      </c>
      <c r="T40" t="n">
        <v>4.660393</v>
      </c>
      <c r="U40" t="n">
        <v>4.678863</v>
      </c>
      <c r="V40" t="n">
        <v>4.696362</v>
      </c>
      <c r="W40" t="n">
        <v>4.712734</v>
      </c>
      <c r="X40" t="n">
        <v>4.72816</v>
      </c>
      <c r="Y40" t="n">
        <v>4.742669</v>
      </c>
      <c r="Z40" t="n">
        <v>4.756349</v>
      </c>
      <c r="AA40" t="n">
        <v>4.769273</v>
      </c>
      <c r="AB40" t="n">
        <v>4.781502</v>
      </c>
      <c r="AC40" t="n">
        <v>4.7931</v>
      </c>
      <c r="AD40" t="n">
        <v>4.804057</v>
      </c>
      <c r="AE40" t="n">
        <v>4.814439</v>
      </c>
      <c r="AF40" t="n">
        <v>4.824294</v>
      </c>
      <c r="AG40" s="16" t="n">
        <v>0.005</v>
      </c>
    </row>
    <row r="41">
      <c r="A41" t="inlineStr">
        <is>
          <t>Natural Gas</t>
        </is>
      </c>
      <c r="B41" t="inlineStr">
        <is>
          <t>Commercial: Stock Average Efficiency: Space Cooling: Natural Gas: High Zero-Carbon Technology Cost</t>
        </is>
      </c>
      <c r="C41" t="inlineStr">
        <is>
          <t>AEO.2025.HIGHZTC.EFF_STKE_COMM_SPC_NG_NA_NA_BTUOTPBTUIN.A</t>
        </is>
      </c>
      <c r="D41" t="inlineStr">
        <is>
          <t>Btu Out/Btu In</t>
        </is>
      </c>
      <c r="F41" t="n">
        <v>0.9961140000000001</v>
      </c>
      <c r="G41" t="n">
        <v>1.016301</v>
      </c>
      <c r="H41" t="n">
        <v>1.024943</v>
      </c>
      <c r="I41" t="n">
        <v>1.033631</v>
      </c>
      <c r="J41" t="n">
        <v>1.04149</v>
      </c>
      <c r="K41" t="n">
        <v>1.049375</v>
      </c>
      <c r="L41" t="n">
        <v>1.056732</v>
      </c>
      <c r="M41" t="n">
        <v>1.064031</v>
      </c>
      <c r="N41" t="n">
        <v>1.071201</v>
      </c>
      <c r="O41" t="n">
        <v>1.078513</v>
      </c>
      <c r="P41" t="n">
        <v>1.085678</v>
      </c>
      <c r="Q41" t="n">
        <v>1.092653</v>
      </c>
      <c r="R41" t="n">
        <v>1.099439</v>
      </c>
      <c r="S41" t="n">
        <v>1.106004</v>
      </c>
      <c r="T41" t="n">
        <v>1.112399</v>
      </c>
      <c r="U41" t="n">
        <v>1.118591</v>
      </c>
      <c r="V41" t="n">
        <v>1.124154</v>
      </c>
      <c r="W41" t="n">
        <v>1.129521</v>
      </c>
      <c r="X41" t="n">
        <v>1.134754</v>
      </c>
      <c r="Y41" t="n">
        <v>1.139782</v>
      </c>
      <c r="Z41" t="n">
        <v>1.14463</v>
      </c>
      <c r="AA41" t="n">
        <v>1.149363</v>
      </c>
      <c r="AB41" t="n">
        <v>1.153932</v>
      </c>
      <c r="AC41" t="n">
        <v>1.158361</v>
      </c>
      <c r="AD41" t="n">
        <v>1.162617</v>
      </c>
      <c r="AE41" t="n">
        <v>1.16674</v>
      </c>
      <c r="AF41" t="n">
        <v>1.170699</v>
      </c>
      <c r="AG41" s="16" t="n">
        <v>0.006</v>
      </c>
    </row>
    <row r="42">
      <c r="A42" t="inlineStr">
        <is>
          <t>Water Heating</t>
        </is>
      </c>
    </row>
    <row r="43">
      <c r="A43" t="inlineStr">
        <is>
          <t>Electricity</t>
        </is>
      </c>
      <c r="B43" t="inlineStr">
        <is>
          <t>Commercial: Stock Average Efficiency: Water Heating: Electricity: High Zero-Carbon Technology Cost</t>
        </is>
      </c>
      <c r="C43" t="inlineStr">
        <is>
          <t>AEO.2025.HIGHZTC.EFF_STKE_COMM_WTHT_ELC_NA_NA_BTUOTPBTUIN.A</t>
        </is>
      </c>
      <c r="D43" t="inlineStr">
        <is>
          <t>Btu Out/Btu In</t>
        </is>
      </c>
      <c r="F43" t="n">
        <v>1.079736</v>
      </c>
      <c r="G43" t="n">
        <v>1.087494</v>
      </c>
      <c r="H43" t="n">
        <v>1.092399</v>
      </c>
      <c r="I43" t="n">
        <v>1.096764</v>
      </c>
      <c r="J43" t="n">
        <v>1.101024</v>
      </c>
      <c r="K43" t="n">
        <v>1.10532</v>
      </c>
      <c r="L43" t="n">
        <v>1.109727</v>
      </c>
      <c r="M43" t="n">
        <v>1.114732</v>
      </c>
      <c r="N43" t="n">
        <v>1.119938</v>
      </c>
      <c r="O43" t="n">
        <v>1.125932</v>
      </c>
      <c r="P43" t="n">
        <v>1.131828</v>
      </c>
      <c r="Q43" t="n">
        <v>1.137575</v>
      </c>
      <c r="R43" t="n">
        <v>1.143182</v>
      </c>
      <c r="S43" t="n">
        <v>1.148643</v>
      </c>
      <c r="T43" t="n">
        <v>1.154029</v>
      </c>
      <c r="U43" t="n">
        <v>1.159391</v>
      </c>
      <c r="V43" t="n">
        <v>1.164619</v>
      </c>
      <c r="W43" t="n">
        <v>1.170236</v>
      </c>
      <c r="X43" t="n">
        <v>1.175714</v>
      </c>
      <c r="Y43" t="n">
        <v>1.181066</v>
      </c>
      <c r="Z43" t="n">
        <v>1.186285</v>
      </c>
      <c r="AA43" t="n">
        <v>1.191437</v>
      </c>
      <c r="AB43" t="n">
        <v>1.196554</v>
      </c>
      <c r="AC43" t="n">
        <v>1.201647</v>
      </c>
      <c r="AD43" t="n">
        <v>1.206899</v>
      </c>
      <c r="AE43" t="n">
        <v>1.212083</v>
      </c>
      <c r="AF43" t="n">
        <v>1.217387</v>
      </c>
      <c r="AG43" s="16" t="n">
        <v>0.005</v>
      </c>
    </row>
    <row r="44">
      <c r="A44" t="inlineStr">
        <is>
          <t>Natural Gas</t>
        </is>
      </c>
      <c r="B44" t="inlineStr">
        <is>
          <t>Commercial: Stock Average Efficiency: Water Heating: Natural Gas: High Zero-Carbon Technology Cost</t>
        </is>
      </c>
      <c r="C44" t="inlineStr">
        <is>
          <t>AEO.2025.HIGHZTC.EFF_STKE_COMM_WTHT_NG_NA_NA_BTUOTPBTUIN.A</t>
        </is>
      </c>
      <c r="D44" t="inlineStr">
        <is>
          <t>Btu Out/Btu In</t>
        </is>
      </c>
      <c r="F44" t="n">
        <v>0.867971</v>
      </c>
      <c r="G44" t="n">
        <v>0.872665</v>
      </c>
      <c r="H44" t="n">
        <v>0.877094</v>
      </c>
      <c r="I44" t="n">
        <v>0.886201</v>
      </c>
      <c r="J44" t="n">
        <v>0.894356</v>
      </c>
      <c r="K44" t="n">
        <v>0.9015919999999999</v>
      </c>
      <c r="L44" t="n">
        <v>0.907975</v>
      </c>
      <c r="M44" t="n">
        <v>0.913614</v>
      </c>
      <c r="N44" t="n">
        <v>0.9186029999999999</v>
      </c>
      <c r="O44" t="n">
        <v>0.923024</v>
      </c>
      <c r="P44" t="n">
        <v>0.9269309999999999</v>
      </c>
      <c r="Q44" t="n">
        <v>0.930372</v>
      </c>
      <c r="R44" t="n">
        <v>0.933399</v>
      </c>
      <c r="S44" t="n">
        <v>0.936057</v>
      </c>
      <c r="T44" t="n">
        <v>0.938393</v>
      </c>
      <c r="U44" t="n">
        <v>0.940446</v>
      </c>
      <c r="V44" t="n">
        <v>0.942252</v>
      </c>
      <c r="W44" t="n">
        <v>0.943841</v>
      </c>
      <c r="X44" t="n">
        <v>0.945238</v>
      </c>
      <c r="Y44" t="n">
        <v>0.94647</v>
      </c>
      <c r="Z44" t="n">
        <v>0.947554</v>
      </c>
      <c r="AA44" t="n">
        <v>0.948508</v>
      </c>
      <c r="AB44" t="n">
        <v>0.9493470000000001</v>
      </c>
      <c r="AC44" t="n">
        <v>0.950085</v>
      </c>
      <c r="AD44" t="n">
        <v>0.9507330000000001</v>
      </c>
      <c r="AE44" t="n">
        <v>0.951304</v>
      </c>
      <c r="AF44" t="n">
        <v>0.951805</v>
      </c>
      <c r="AG44" s="16" t="n">
        <v>0.004</v>
      </c>
    </row>
    <row r="45">
      <c r="A45" t="inlineStr">
        <is>
          <t>Distillate Fuel Oil</t>
        </is>
      </c>
      <c r="B45" t="inlineStr">
        <is>
          <t>Commercial: Stock Average Efficiency: Water Heating: Distillate Fuel Oil: High Zero-Carbon Technology Cost</t>
        </is>
      </c>
      <c r="C45" t="inlineStr">
        <is>
          <t>AEO.2025.HIGHZTC.EFF_STKE_COMM_WTHT_DFO_NA_NA_BTUOTPBTUIN.A</t>
        </is>
      </c>
      <c r="D45" t="inlineStr">
        <is>
          <t>Btu Out/Btu In</t>
        </is>
      </c>
      <c r="F45" t="n">
        <v>0.811931</v>
      </c>
      <c r="G45" t="n">
        <v>0.8125599999999999</v>
      </c>
      <c r="H45" t="n">
        <v>0.813125</v>
      </c>
      <c r="I45" t="n">
        <v>0.81366</v>
      </c>
      <c r="J45" t="n">
        <v>0.8141620000000001</v>
      </c>
      <c r="K45" t="n">
        <v>0.814628</v>
      </c>
      <c r="L45" t="n">
        <v>0.815059</v>
      </c>
      <c r="M45" t="n">
        <v>0.815457</v>
      </c>
      <c r="N45" t="n">
        <v>0.815827</v>
      </c>
      <c r="O45" t="n">
        <v>0.816169</v>
      </c>
      <c r="P45" t="n">
        <v>0.816484</v>
      </c>
      <c r="Q45" t="n">
        <v>0.816775</v>
      </c>
      <c r="R45" t="n">
        <v>0.817043</v>
      </c>
      <c r="S45" t="n">
        <v>0.81729</v>
      </c>
      <c r="T45" t="n">
        <v>0.817516</v>
      </c>
      <c r="U45" t="n">
        <v>0.817724</v>
      </c>
      <c r="V45" t="n">
        <v>0.8179149999999999</v>
      </c>
      <c r="W45" t="n">
        <v>0.81809</v>
      </c>
      <c r="X45" t="n">
        <v>0.818251</v>
      </c>
      <c r="Y45" t="n">
        <v>0.818398</v>
      </c>
      <c r="Z45" t="n">
        <v>0.818534</v>
      </c>
      <c r="AA45" t="n">
        <v>0.818658</v>
      </c>
      <c r="AB45" t="n">
        <v>0.8187720000000001</v>
      </c>
      <c r="AC45" t="n">
        <v>0.818877</v>
      </c>
      <c r="AD45" t="n">
        <v>0.818973</v>
      </c>
      <c r="AE45" t="n">
        <v>0.819061</v>
      </c>
      <c r="AF45" t="n">
        <v>0.819141</v>
      </c>
      <c r="AG45" s="16" t="n">
        <v>0</v>
      </c>
    </row>
    <row r="46">
      <c r="A46" t="inlineStr">
        <is>
          <t>Ventilation (cubic feet per minute per Btu)</t>
        </is>
      </c>
    </row>
    <row r="47">
      <c r="A47" t="inlineStr">
        <is>
          <t>Electricity</t>
        </is>
      </c>
      <c r="B47" t="inlineStr">
        <is>
          <t>Commercial: Stock Average Efficiency: Ventilation: Electricity: High Zero-Carbon Technology Cost</t>
        </is>
      </c>
      <c r="C47" t="inlineStr">
        <is>
          <t>AEO.2025.HIGHZTC.EFF_STKE_COMM_VNTC_ELC_NA_NA_CUFTPMINPBTU.A</t>
        </is>
      </c>
      <c r="D47" t="inlineStr">
        <is>
          <t>cu ft/minute/Btu</t>
        </is>
      </c>
      <c r="F47" t="n">
        <v>0.370193</v>
      </c>
      <c r="G47" t="n">
        <v>0.371766</v>
      </c>
      <c r="H47" t="n">
        <v>0.373235</v>
      </c>
      <c r="I47" t="n">
        <v>0.374681</v>
      </c>
      <c r="J47" t="n">
        <v>0.376089</v>
      </c>
      <c r="K47" t="n">
        <v>0.377442</v>
      </c>
      <c r="L47" t="n">
        <v>0.380059</v>
      </c>
      <c r="M47" t="n">
        <v>0.382554</v>
      </c>
      <c r="N47" t="n">
        <v>0.38493</v>
      </c>
      <c r="O47" t="n">
        <v>0.387196</v>
      </c>
      <c r="P47" t="n">
        <v>0.389352</v>
      </c>
      <c r="Q47" t="n">
        <v>0.391402</v>
      </c>
      <c r="R47" t="n">
        <v>0.393347</v>
      </c>
      <c r="S47" t="n">
        <v>0.395191</v>
      </c>
      <c r="T47" t="n">
        <v>0.39694</v>
      </c>
      <c r="U47" t="n">
        <v>0.398599</v>
      </c>
      <c r="V47" t="n">
        <v>0.400176</v>
      </c>
      <c r="W47" t="n">
        <v>0.40168</v>
      </c>
      <c r="X47" t="n">
        <v>0.403112</v>
      </c>
      <c r="Y47" t="n">
        <v>0.404477</v>
      </c>
      <c r="Z47" t="n">
        <v>0.405778</v>
      </c>
      <c r="AA47" t="n">
        <v>0.407018</v>
      </c>
      <c r="AB47" t="n">
        <v>0.408203</v>
      </c>
      <c r="AC47" t="n">
        <v>0.409334</v>
      </c>
      <c r="AD47" t="n">
        <v>0.410413</v>
      </c>
      <c r="AE47" t="n">
        <v>0.411446</v>
      </c>
      <c r="AF47" t="n">
        <v>0.412433</v>
      </c>
      <c r="AG47" s="16" t="n">
        <v>0.004</v>
      </c>
    </row>
    <row r="48">
      <c r="A48" t="inlineStr">
        <is>
          <t>Cooking</t>
        </is>
      </c>
    </row>
    <row r="49">
      <c r="A49" t="inlineStr">
        <is>
          <t>Electricity</t>
        </is>
      </c>
      <c r="B49" t="inlineStr">
        <is>
          <t>Commercial: Stock Average Efficiency: Cooking: Electricity: High Zero-Carbon Technology Cost</t>
        </is>
      </c>
      <c r="C49" t="inlineStr">
        <is>
          <t>AEO.2025.HIGHZTC.EFF_STKE_COMM_CGR_ELC_NA_NA_BTUOTPBTUIN.A</t>
        </is>
      </c>
      <c r="D49" t="inlineStr">
        <is>
          <t>Btu Out/Btu In</t>
        </is>
      </c>
      <c r="F49" t="n">
        <v>0.708108</v>
      </c>
      <c r="G49" t="n">
        <v>0.708667</v>
      </c>
      <c r="H49" t="n">
        <v>0.709152</v>
      </c>
      <c r="I49" t="n">
        <v>0.709595</v>
      </c>
      <c r="J49" t="n">
        <v>0.709997</v>
      </c>
      <c r="K49" t="n">
        <v>0.71036</v>
      </c>
      <c r="L49" t="n">
        <v>0.710687</v>
      </c>
      <c r="M49" t="n">
        <v>0.710981</v>
      </c>
      <c r="N49" t="n">
        <v>0.711246</v>
      </c>
      <c r="O49" t="n">
        <v>0.711486</v>
      </c>
      <c r="P49" t="n">
        <v>0.711704</v>
      </c>
      <c r="Q49" t="n">
        <v>0.7118989999999999</v>
      </c>
      <c r="R49" t="n">
        <v>0.712076</v>
      </c>
      <c r="S49" t="n">
        <v>0.712235</v>
      </c>
      <c r="T49" t="n">
        <v>0.712379</v>
      </c>
      <c r="U49" t="n">
        <v>0.7125089999999999</v>
      </c>
      <c r="V49" t="n">
        <v>0.712626</v>
      </c>
      <c r="W49" t="n">
        <v>0.712732</v>
      </c>
      <c r="X49" t="n">
        <v>0.712828</v>
      </c>
      <c r="Y49" t="n">
        <v>0.712915</v>
      </c>
      <c r="Z49" t="n">
        <v>0.712993</v>
      </c>
      <c r="AA49" t="n">
        <v>0.713064</v>
      </c>
      <c r="AB49" t="n">
        <v>0.713129</v>
      </c>
      <c r="AC49" t="n">
        <v>0.713187</v>
      </c>
      <c r="AD49" t="n">
        <v>0.71324</v>
      </c>
      <c r="AE49" t="n">
        <v>0.713288</v>
      </c>
      <c r="AF49" t="n">
        <v>0.713331</v>
      </c>
      <c r="AG49" s="16" t="n">
        <v>0</v>
      </c>
    </row>
    <row r="50">
      <c r="A50" t="inlineStr">
        <is>
          <t>Natural Gas</t>
        </is>
      </c>
      <c r="B50" t="inlineStr">
        <is>
          <t>Commercial: Stock Average Efficiency: Cooking: Natural Gas: High Zero-Carbon Technology Cost</t>
        </is>
      </c>
      <c r="C50" t="inlineStr">
        <is>
          <t>AEO.2025.HIGHZTC.EFF_STKE_COMM_CGR_NG_NA_NA_BTUOTPBTUIN.A</t>
        </is>
      </c>
      <c r="D50" t="inlineStr">
        <is>
          <t>Btu Out/Btu In</t>
        </is>
      </c>
      <c r="F50" t="n">
        <v>0.32267</v>
      </c>
      <c r="G50" t="n">
        <v>0.325773</v>
      </c>
      <c r="H50" t="n">
        <v>0.328432</v>
      </c>
      <c r="I50" t="n">
        <v>0.330852</v>
      </c>
      <c r="J50" t="n">
        <v>0.333034</v>
      </c>
      <c r="K50" t="n">
        <v>0.334982</v>
      </c>
      <c r="L50" t="n">
        <v>0.336715</v>
      </c>
      <c r="M50" t="n">
        <v>0.338259</v>
      </c>
      <c r="N50" t="n">
        <v>0.339636</v>
      </c>
      <c r="O50" t="n">
        <v>0.340866</v>
      </c>
      <c r="P50" t="n">
        <v>0.341963</v>
      </c>
      <c r="Q50" t="n">
        <v>0.342939</v>
      </c>
      <c r="R50" t="n">
        <v>0.343807</v>
      </c>
      <c r="S50" t="n">
        <v>0.344578</v>
      </c>
      <c r="T50" t="n">
        <v>0.345264</v>
      </c>
      <c r="U50" t="n">
        <v>0.345873</v>
      </c>
      <c r="V50" t="n">
        <v>0.346415</v>
      </c>
      <c r="W50" t="n">
        <v>0.346898</v>
      </c>
      <c r="X50" t="n">
        <v>0.347328</v>
      </c>
      <c r="Y50" t="n">
        <v>0.347711</v>
      </c>
      <c r="Z50" t="n">
        <v>0.348052</v>
      </c>
      <c r="AA50" t="n">
        <v>0.348356</v>
      </c>
      <c r="AB50" t="n">
        <v>0.348627</v>
      </c>
      <c r="AC50" t="n">
        <v>0.348869</v>
      </c>
      <c r="AD50" t="n">
        <v>0.349084</v>
      </c>
      <c r="AE50" t="n">
        <v>0.349276</v>
      </c>
      <c r="AF50" t="n">
        <v>0.349448</v>
      </c>
      <c r="AG50" s="16" t="n">
        <v>0.003</v>
      </c>
    </row>
    <row r="51">
      <c r="A51" t="inlineStr">
        <is>
          <t>Lighting Efficacy</t>
        </is>
      </c>
    </row>
    <row r="52">
      <c r="A52" t="inlineStr">
        <is>
          <t>(efficacy in lumens per watt)</t>
        </is>
      </c>
    </row>
    <row r="53">
      <c r="A53" t="inlineStr">
        <is>
          <t>Electricity</t>
        </is>
      </c>
      <c r="B53" t="inlineStr">
        <is>
          <t>Commercial: Stock Average Efficiency: Lighting Efficacy: Electricity: High Zero-Carbon Technology Cost</t>
        </is>
      </c>
      <c r="C53" t="inlineStr">
        <is>
          <t>AEO.2025.HIGHZTC.EFF_STKE_COMM_LGHTNG_ELC_NA_NA_LMNPWATT.A</t>
        </is>
      </c>
      <c r="D53" t="inlineStr">
        <is>
          <t>lumens/watt</t>
        </is>
      </c>
      <c r="F53" t="n">
        <v>75.495743</v>
      </c>
      <c r="G53" t="n">
        <v>78.40645600000001</v>
      </c>
      <c r="H53" t="n">
        <v>80.647705</v>
      </c>
      <c r="I53" t="n">
        <v>82.438683</v>
      </c>
      <c r="J53" t="n">
        <v>83.836082</v>
      </c>
      <c r="K53" t="n">
        <v>85.00198399999999</v>
      </c>
      <c r="L53" t="n">
        <v>87.771721</v>
      </c>
      <c r="M53" t="n">
        <v>90.38801599999999</v>
      </c>
      <c r="N53" t="n">
        <v>92.890007</v>
      </c>
      <c r="O53" t="n">
        <v>95.36196099999999</v>
      </c>
      <c r="P53" t="n">
        <v>97.89490499999999</v>
      </c>
      <c r="Q53" t="n">
        <v>100.436234</v>
      </c>
      <c r="R53" t="n">
        <v>102.859268</v>
      </c>
      <c r="S53" t="n">
        <v>105.056465</v>
      </c>
      <c r="T53" t="n">
        <v>107.060661</v>
      </c>
      <c r="U53" t="n">
        <v>108.87384</v>
      </c>
      <c r="V53" t="n">
        <v>110.958199</v>
      </c>
      <c r="W53" t="n">
        <v>112.86351</v>
      </c>
      <c r="X53" t="n">
        <v>114.579536</v>
      </c>
      <c r="Y53" t="n">
        <v>116.115158</v>
      </c>
      <c r="Z53" t="n">
        <v>117.510681</v>
      </c>
      <c r="AA53" t="n">
        <v>118.762115</v>
      </c>
      <c r="AB53" t="n">
        <v>119.895004</v>
      </c>
      <c r="AC53" t="n">
        <v>121.154022</v>
      </c>
      <c r="AD53" t="n">
        <v>122.305649</v>
      </c>
      <c r="AE53" t="n">
        <v>123.351089</v>
      </c>
      <c r="AF53" t="n">
        <v>124.390717</v>
      </c>
      <c r="AG53" s="16" t="n">
        <v>0.019</v>
      </c>
    </row>
    <row r="54">
      <c r="A54" t="inlineStr">
        <is>
          <t>Refrigeration</t>
        </is>
      </c>
    </row>
    <row r="55">
      <c r="A55" t="inlineStr">
        <is>
          <t>Electricity</t>
        </is>
      </c>
      <c r="B55" t="inlineStr">
        <is>
          <t>Commercial: Stock Average Efficiency: Refrigeration: Electricity: High Zero-Carbon Technology Cost</t>
        </is>
      </c>
      <c r="C55" t="inlineStr">
        <is>
          <t>AEO.2025.HIGHZTC.EFF_STKE_COMM_REFR_ELC_NA_NA_BTUOTPBTUIN.A</t>
        </is>
      </c>
      <c r="D55" t="inlineStr">
        <is>
          <t>Btu Out/Btu In</t>
        </is>
      </c>
      <c r="F55" t="n">
        <v>3.648687</v>
      </c>
      <c r="G55" t="n">
        <v>3.683043</v>
      </c>
      <c r="H55" t="n">
        <v>3.714184</v>
      </c>
      <c r="I55" t="n">
        <v>3.742016</v>
      </c>
      <c r="J55" t="n">
        <v>3.766798</v>
      </c>
      <c r="K55" t="n">
        <v>3.788743</v>
      </c>
      <c r="L55" t="n">
        <v>3.81943</v>
      </c>
      <c r="M55" t="n">
        <v>3.846573</v>
      </c>
      <c r="N55" t="n">
        <v>3.870695</v>
      </c>
      <c r="O55" t="n">
        <v>3.892154</v>
      </c>
      <c r="P55" t="n">
        <v>3.911194</v>
      </c>
      <c r="Q55" t="n">
        <v>3.928063</v>
      </c>
      <c r="R55" t="n">
        <v>3.942988</v>
      </c>
      <c r="S55" t="n">
        <v>3.956189</v>
      </c>
      <c r="T55" t="n">
        <v>3.967906</v>
      </c>
      <c r="U55" t="n">
        <v>3.978283</v>
      </c>
      <c r="V55" t="n">
        <v>3.987513</v>
      </c>
      <c r="W55" t="n">
        <v>3.995587</v>
      </c>
      <c r="X55" t="n">
        <v>4.002774</v>
      </c>
      <c r="Y55" t="n">
        <v>4.009179</v>
      </c>
      <c r="Z55" t="n">
        <v>4.01491</v>
      </c>
      <c r="AA55" t="n">
        <v>4.02003</v>
      </c>
      <c r="AB55" t="n">
        <v>4.024622</v>
      </c>
      <c r="AC55" t="n">
        <v>4.028744</v>
      </c>
      <c r="AD55" t="n">
        <v>4.032453</v>
      </c>
      <c r="AE55" t="n">
        <v>4.03581</v>
      </c>
      <c r="AF55" t="n">
        <v>4.038882</v>
      </c>
      <c r="AG55" s="16" t="n">
        <v>0.004</v>
      </c>
    </row>
    <row r="56">
      <c r="A56" t="inlineStr">
        <is>
          <t>Distributed Generation and</t>
        </is>
      </c>
    </row>
    <row r="57">
      <c r="A57" t="inlineStr">
        <is>
          <t>Combined Heat and Power</t>
        </is>
      </c>
    </row>
    <row r="58">
      <c r="A58" t="inlineStr">
        <is>
          <t>Generating Capacity (gigawatts)</t>
        </is>
      </c>
    </row>
    <row r="59">
      <c r="A59" t="inlineStr">
        <is>
          <t>Petroleum</t>
        </is>
      </c>
      <c r="B59" t="inlineStr">
        <is>
          <t>Commercial: Combined Heat and Power: Generating Capacity: Petroleum: High Zero-Carbon Technology Cost</t>
        </is>
      </c>
      <c r="C59" t="inlineStr">
        <is>
          <t>AEO.2025.HIGHZTC.CAP_NA_COMM_CHP_PET_NA_NA_MW.A</t>
        </is>
      </c>
      <c r="D59" t="inlineStr">
        <is>
          <t>GW</t>
        </is>
      </c>
      <c r="F59" t="n">
        <v>0.020507</v>
      </c>
      <c r="G59" t="n">
        <v>0.020507</v>
      </c>
      <c r="H59" t="n">
        <v>0.020507</v>
      </c>
      <c r="I59" t="n">
        <v>0.020507</v>
      </c>
      <c r="J59" t="n">
        <v>0.020507</v>
      </c>
      <c r="K59" t="n">
        <v>0.020507</v>
      </c>
      <c r="L59" t="n">
        <v>0.020507</v>
      </c>
      <c r="M59" t="n">
        <v>0.020507</v>
      </c>
      <c r="N59" t="n">
        <v>0.020507</v>
      </c>
      <c r="O59" t="n">
        <v>0.020507</v>
      </c>
      <c r="P59" t="n">
        <v>0.020507</v>
      </c>
      <c r="Q59" t="n">
        <v>0.020507</v>
      </c>
      <c r="R59" t="n">
        <v>0.020507</v>
      </c>
      <c r="S59" t="n">
        <v>0.020507</v>
      </c>
      <c r="T59" t="n">
        <v>0.020507</v>
      </c>
      <c r="U59" t="n">
        <v>0.020507</v>
      </c>
      <c r="V59" t="n">
        <v>0.020507</v>
      </c>
      <c r="W59" t="n">
        <v>0.020507</v>
      </c>
      <c r="X59" t="n">
        <v>0.020507</v>
      </c>
      <c r="Y59" t="n">
        <v>0.020507</v>
      </c>
      <c r="Z59" t="n">
        <v>0.020507</v>
      </c>
      <c r="AA59" t="n">
        <v>0.020507</v>
      </c>
      <c r="AB59" t="n">
        <v>0.020507</v>
      </c>
      <c r="AC59" t="n">
        <v>0.020507</v>
      </c>
      <c r="AD59" t="n">
        <v>0.020507</v>
      </c>
      <c r="AE59" t="n">
        <v>0.020507</v>
      </c>
      <c r="AF59" t="n">
        <v>0.020507</v>
      </c>
      <c r="AG59" s="16" t="n">
        <v>0</v>
      </c>
    </row>
    <row r="60">
      <c r="A60" t="inlineStr">
        <is>
          <t>Natural Gas</t>
        </is>
      </c>
      <c r="B60" t="inlineStr">
        <is>
          <t>Commercial: Combined Heat and Power: Generating Capacity: Natural Gas: High Zero-Carbon Technology Cost</t>
        </is>
      </c>
      <c r="C60" t="inlineStr">
        <is>
          <t>AEO.2025.HIGHZTC.CAP_NA_COMM_CHP_NG_NA_NA_MW.A</t>
        </is>
      </c>
      <c r="D60" t="inlineStr">
        <is>
          <t>GW</t>
        </is>
      </c>
      <c r="F60" t="n">
        <v>1.468725</v>
      </c>
      <c r="G60" t="n">
        <v>1.491927</v>
      </c>
      <c r="H60" t="n">
        <v>1.51303</v>
      </c>
      <c r="I60" t="n">
        <v>1.537755</v>
      </c>
      <c r="J60" t="n">
        <v>1.566026</v>
      </c>
      <c r="K60" t="n">
        <v>1.595875</v>
      </c>
      <c r="L60" t="n">
        <v>1.62534</v>
      </c>
      <c r="M60" t="n">
        <v>1.656078</v>
      </c>
      <c r="N60" t="n">
        <v>1.684031</v>
      </c>
      <c r="O60" t="n">
        <v>1.715831</v>
      </c>
      <c r="P60" t="n">
        <v>1.743984</v>
      </c>
      <c r="Q60" t="n">
        <v>1.769621</v>
      </c>
      <c r="R60" t="n">
        <v>1.794761</v>
      </c>
      <c r="S60" t="n">
        <v>1.818971</v>
      </c>
      <c r="T60" t="n">
        <v>1.844858</v>
      </c>
      <c r="U60" t="n">
        <v>1.867743</v>
      </c>
      <c r="V60" t="n">
        <v>1.890473</v>
      </c>
      <c r="W60" t="n">
        <v>1.913854</v>
      </c>
      <c r="X60" t="n">
        <v>1.937492</v>
      </c>
      <c r="Y60" t="n">
        <v>1.960683</v>
      </c>
      <c r="Z60" t="n">
        <v>1.9845</v>
      </c>
      <c r="AA60" t="n">
        <v>2.00775</v>
      </c>
      <c r="AB60" t="n">
        <v>2.030395</v>
      </c>
      <c r="AC60" t="n">
        <v>2.054643</v>
      </c>
      <c r="AD60" t="n">
        <v>2.079596</v>
      </c>
      <c r="AE60" t="n">
        <v>2.104159</v>
      </c>
      <c r="AF60" t="n">
        <v>2.12886</v>
      </c>
      <c r="AG60" s="16" t="n">
        <v>0.014</v>
      </c>
    </row>
    <row r="61">
      <c r="A61" t="inlineStr">
        <is>
          <t>Solar Photovoltaic</t>
        </is>
      </c>
      <c r="B61" t="inlineStr">
        <is>
          <t>Commercial: Combined Heat and Power: Generating Capacity: Solar Photovoltaic: High Zero-Carbon Technology Cost</t>
        </is>
      </c>
      <c r="C61" t="inlineStr">
        <is>
          <t>AEO.2025.HIGHZTC.CAP_NA_COMM_CHP_SLR_PHTVL_NA_MW.A</t>
        </is>
      </c>
      <c r="D61" t="inlineStr">
        <is>
          <t>GW</t>
        </is>
      </c>
      <c r="F61" t="n">
        <v>29.4039</v>
      </c>
      <c r="G61" t="n">
        <v>33.142555</v>
      </c>
      <c r="H61" t="n">
        <v>36.800396</v>
      </c>
      <c r="I61" t="n">
        <v>38.358521</v>
      </c>
      <c r="J61" t="n">
        <v>39.891655</v>
      </c>
      <c r="K61" t="n">
        <v>42.091751</v>
      </c>
      <c r="L61" t="n">
        <v>44.706081</v>
      </c>
      <c r="M61" t="n">
        <v>48.084167</v>
      </c>
      <c r="N61" t="n">
        <v>51.117046</v>
      </c>
      <c r="O61" t="n">
        <v>54.807766</v>
      </c>
      <c r="P61" t="n">
        <v>57.239326</v>
      </c>
      <c r="Q61" t="n">
        <v>58.673073</v>
      </c>
      <c r="R61" t="n">
        <v>59.890533</v>
      </c>
      <c r="S61" t="n">
        <v>61.188202</v>
      </c>
      <c r="T61" t="n">
        <v>63.243031</v>
      </c>
      <c r="U61" t="n">
        <v>64.33918</v>
      </c>
      <c r="V61" t="n">
        <v>65.586029</v>
      </c>
      <c r="W61" t="n">
        <v>67.46923099999999</v>
      </c>
      <c r="X61" t="n">
        <v>69.360336</v>
      </c>
      <c r="Y61" t="n">
        <v>71.423912</v>
      </c>
      <c r="Z61" t="n">
        <v>73.47711200000001</v>
      </c>
      <c r="AA61" t="n">
        <v>75.590889</v>
      </c>
      <c r="AB61" t="n">
        <v>77.521835</v>
      </c>
      <c r="AC61" t="n">
        <v>79.788017</v>
      </c>
      <c r="AD61" t="n">
        <v>82.122704</v>
      </c>
      <c r="AE61" t="n">
        <v>84.37560999999999</v>
      </c>
      <c r="AF61" t="n">
        <v>86.84768699999999</v>
      </c>
      <c r="AG61" s="16" t="n">
        <v>0.043</v>
      </c>
    </row>
    <row r="62">
      <c r="A62" t="inlineStr">
        <is>
          <t>Wind</t>
        </is>
      </c>
      <c r="B62" t="inlineStr">
        <is>
          <t>Commercial: Combined Heat and Power: Generating Capacity: Wind: High Zero-Carbon Technology Cost</t>
        </is>
      </c>
      <c r="C62" t="inlineStr">
        <is>
          <t>AEO.2025.HIGHZTC.CAP_NA_COMM_CHP_WND_NA_NA_MW.A</t>
        </is>
      </c>
      <c r="D62" t="inlineStr">
        <is>
          <t>GW</t>
        </is>
      </c>
      <c r="F62" t="n">
        <v>0.58564</v>
      </c>
      <c r="G62" t="n">
        <v>0.58614</v>
      </c>
      <c r="H62" t="n">
        <v>0.5859760000000001</v>
      </c>
      <c r="I62" t="n">
        <v>0.585812</v>
      </c>
      <c r="J62" t="n">
        <v>0.585966</v>
      </c>
      <c r="K62" t="n">
        <v>0.587707</v>
      </c>
      <c r="L62" t="n">
        <v>0.589139</v>
      </c>
      <c r="M62" t="n">
        <v>0.591231</v>
      </c>
      <c r="N62" t="n">
        <v>0.594085</v>
      </c>
      <c r="O62" t="n">
        <v>0.598396</v>
      </c>
      <c r="P62" t="n">
        <v>0.599722</v>
      </c>
      <c r="Q62" t="n">
        <v>0.60002</v>
      </c>
      <c r="R62" t="n">
        <v>0.600294</v>
      </c>
      <c r="S62" t="n">
        <v>0.600514</v>
      </c>
      <c r="T62" t="n">
        <v>0.601311</v>
      </c>
      <c r="U62" t="n">
        <v>0.602011</v>
      </c>
      <c r="V62" t="n">
        <v>0.602796</v>
      </c>
      <c r="W62" t="n">
        <v>0.603841</v>
      </c>
      <c r="X62" t="n">
        <v>0.604634</v>
      </c>
      <c r="Y62" t="n">
        <v>0.605307</v>
      </c>
      <c r="Z62" t="n">
        <v>0.606434</v>
      </c>
      <c r="AA62" t="n">
        <v>0.607621</v>
      </c>
      <c r="AB62" t="n">
        <v>0.608561</v>
      </c>
      <c r="AC62" t="n">
        <v>0.609704</v>
      </c>
      <c r="AD62" t="n">
        <v>0.610887</v>
      </c>
      <c r="AE62" t="n">
        <v>0.611937</v>
      </c>
      <c r="AF62" t="n">
        <v>0.613521</v>
      </c>
      <c r="AG62" s="16" t="n">
        <v>0.002</v>
      </c>
    </row>
    <row r="63">
      <c r="A63" t="inlineStr">
        <is>
          <t>Other</t>
        </is>
      </c>
      <c r="B63" t="inlineStr">
        <is>
          <t>Commercial: Combined Heat and Power: Generating Capacity: Other: High Zero-Carbon Technology Cost</t>
        </is>
      </c>
      <c r="C63" t="inlineStr">
        <is>
          <t>AEO.2025.HIGHZTC.CAP_NA_COMM_CHP_OTH_NA_NA_MW.A</t>
        </is>
      </c>
      <c r="D63" t="inlineStr">
        <is>
          <t>GW</t>
        </is>
      </c>
      <c r="F63" t="n">
        <v>0.130753</v>
      </c>
      <c r="G63" t="n">
        <v>0.130753</v>
      </c>
      <c r="H63" t="n">
        <v>0.130753</v>
      </c>
      <c r="I63" t="n">
        <v>0.130753</v>
      </c>
      <c r="J63" t="n">
        <v>0.130753</v>
      </c>
      <c r="K63" t="n">
        <v>0.130753</v>
      </c>
      <c r="L63" t="n">
        <v>0.130753</v>
      </c>
      <c r="M63" t="n">
        <v>0.130753</v>
      </c>
      <c r="N63" t="n">
        <v>0.130753</v>
      </c>
      <c r="O63" t="n">
        <v>0.130753</v>
      </c>
      <c r="P63" t="n">
        <v>0.130753</v>
      </c>
      <c r="Q63" t="n">
        <v>0.130753</v>
      </c>
      <c r="R63" t="n">
        <v>0.130753</v>
      </c>
      <c r="S63" t="n">
        <v>0.130753</v>
      </c>
      <c r="T63" t="n">
        <v>0.130753</v>
      </c>
      <c r="U63" t="n">
        <v>0.130753</v>
      </c>
      <c r="V63" t="n">
        <v>0.130753</v>
      </c>
      <c r="W63" t="n">
        <v>0.130753</v>
      </c>
      <c r="X63" t="n">
        <v>0.130753</v>
      </c>
      <c r="Y63" t="n">
        <v>0.130753</v>
      </c>
      <c r="Z63" t="n">
        <v>0.130753</v>
      </c>
      <c r="AA63" t="n">
        <v>0.130753</v>
      </c>
      <c r="AB63" t="n">
        <v>0.130753</v>
      </c>
      <c r="AC63" t="n">
        <v>0.130753</v>
      </c>
      <c r="AD63" t="n">
        <v>0.130753</v>
      </c>
      <c r="AE63" t="n">
        <v>0.130753</v>
      </c>
      <c r="AF63" t="n">
        <v>0.130753</v>
      </c>
      <c r="AG63" s="16" t="n">
        <v>0</v>
      </c>
    </row>
    <row r="64">
      <c r="A64" t="inlineStr">
        <is>
          <t>Total</t>
        </is>
      </c>
      <c r="B64" t="inlineStr">
        <is>
          <t>Commercial: Combined Heat and Power: Generating Capacity: Total: High Zero-Carbon Technology Cost</t>
        </is>
      </c>
      <c r="C64" t="inlineStr">
        <is>
          <t>AEO.2025.HIGHZTC.CAP_NA_COMM_CHP_TOT_NA_NA_MW.A</t>
        </is>
      </c>
      <c r="D64" t="inlineStr">
        <is>
          <t>GW</t>
        </is>
      </c>
      <c r="F64" t="n">
        <v>31.609526</v>
      </c>
      <c r="G64" t="n">
        <v>35.371883</v>
      </c>
      <c r="H64" t="n">
        <v>39.050663</v>
      </c>
      <c r="I64" t="n">
        <v>40.633347</v>
      </c>
      <c r="J64" t="n">
        <v>42.194908</v>
      </c>
      <c r="K64" t="n">
        <v>44.426594</v>
      </c>
      <c r="L64" t="n">
        <v>47.071819</v>
      </c>
      <c r="M64" t="n">
        <v>50.482738</v>
      </c>
      <c r="N64" t="n">
        <v>53.546421</v>
      </c>
      <c r="O64" t="n">
        <v>57.273254</v>
      </c>
      <c r="P64" t="n">
        <v>59.734291</v>
      </c>
      <c r="Q64" t="n">
        <v>61.193974</v>
      </c>
      <c r="R64" t="n">
        <v>62.436848</v>
      </c>
      <c r="S64" t="n">
        <v>63.758945</v>
      </c>
      <c r="T64" t="n">
        <v>65.840462</v>
      </c>
      <c r="U64" t="n">
        <v>66.96019699999999</v>
      </c>
      <c r="V64" t="n">
        <v>68.23056</v>
      </c>
      <c r="W64" t="n">
        <v>70.13819100000001</v>
      </c>
      <c r="X64" t="n">
        <v>72.053726</v>
      </c>
      <c r="Y64" t="n">
        <v>74.141167</v>
      </c>
      <c r="Z64" t="n">
        <v>76.21929900000001</v>
      </c>
      <c r="AA64" t="n">
        <v>78.35752100000001</v>
      </c>
      <c r="AB64" t="n">
        <v>80.31205</v>
      </c>
      <c r="AC64" t="n">
        <v>82.603622</v>
      </c>
      <c r="AD64" t="n">
        <v>84.96444700000001</v>
      </c>
      <c r="AE64" t="n">
        <v>87.242966</v>
      </c>
      <c r="AF64" t="n">
        <v>89.741325</v>
      </c>
      <c r="AG64" s="16" t="n">
        <v>0.041</v>
      </c>
    </row>
    <row r="65" customFormat="1" s="1">
      <c r="A65" s="1" t="inlineStr">
        <is>
          <t>Net Generation (billion kilowatthours)</t>
        </is>
      </c>
    </row>
    <row r="66">
      <c r="A66" t="inlineStr">
        <is>
          <t>Petroleum</t>
        </is>
      </c>
      <c r="B66" t="inlineStr">
        <is>
          <t>Commercial: Combined Heat and Power: Net Generation: Petroleum: High Zero-Carbon Technology Cost</t>
        </is>
      </c>
      <c r="C66" t="inlineStr">
        <is>
          <t>AEO.2025.HIGHZTC.GEN_NA_COMM_CHP_PET_NA_NA_MILLKWH.A</t>
        </is>
      </c>
      <c r="D66" t="inlineStr">
        <is>
          <t>billion kWh</t>
        </is>
      </c>
      <c r="F66" t="n">
        <v>0.081209</v>
      </c>
      <c r="G66" t="n">
        <v>0.081209</v>
      </c>
      <c r="H66" t="n">
        <v>0.081209</v>
      </c>
      <c r="I66" t="n">
        <v>0.081209</v>
      </c>
      <c r="J66" t="n">
        <v>0.081209</v>
      </c>
      <c r="K66" t="n">
        <v>0.081209</v>
      </c>
      <c r="L66" t="n">
        <v>0.081209</v>
      </c>
      <c r="M66" t="n">
        <v>0.081209</v>
      </c>
      <c r="N66" t="n">
        <v>0.081209</v>
      </c>
      <c r="O66" t="n">
        <v>0.081209</v>
      </c>
      <c r="P66" t="n">
        <v>0.081209</v>
      </c>
      <c r="Q66" t="n">
        <v>0.081209</v>
      </c>
      <c r="R66" t="n">
        <v>0.081209</v>
      </c>
      <c r="S66" t="n">
        <v>0.081209</v>
      </c>
      <c r="T66" t="n">
        <v>0.081209</v>
      </c>
      <c r="U66" t="n">
        <v>0.081209</v>
      </c>
      <c r="V66" t="n">
        <v>0.081209</v>
      </c>
      <c r="W66" t="n">
        <v>0.081209</v>
      </c>
      <c r="X66" t="n">
        <v>0.081209</v>
      </c>
      <c r="Y66" t="n">
        <v>0.081209</v>
      </c>
      <c r="Z66" t="n">
        <v>0.081209</v>
      </c>
      <c r="AA66" t="n">
        <v>0.081209</v>
      </c>
      <c r="AB66" t="n">
        <v>0.081209</v>
      </c>
      <c r="AC66" t="n">
        <v>0.081209</v>
      </c>
      <c r="AD66" t="n">
        <v>0.081209</v>
      </c>
      <c r="AE66" t="n">
        <v>0.081209</v>
      </c>
      <c r="AF66" t="n">
        <v>0.081209</v>
      </c>
      <c r="AG66" s="16" t="n">
        <v>0</v>
      </c>
    </row>
    <row r="67">
      <c r="A67" t="inlineStr">
        <is>
          <t>Natural Gas</t>
        </is>
      </c>
      <c r="B67" t="inlineStr">
        <is>
          <t>Commercial: Combined Heat and Power: Net Generation: Natural Gas: High Zero-Carbon Technology Cost</t>
        </is>
      </c>
      <c r="C67" t="inlineStr">
        <is>
          <t>AEO.2025.HIGHZTC.GEN_NA_COMM_CHP_NG_NA_NA_MILLKWH.A</t>
        </is>
      </c>
      <c r="D67" t="inlineStr">
        <is>
          <t>billion kWh</t>
        </is>
      </c>
      <c r="F67" t="n">
        <v>8.774793000000001</v>
      </c>
      <c r="G67" t="n">
        <v>8.913601</v>
      </c>
      <c r="H67" t="n">
        <v>9.042305000000001</v>
      </c>
      <c r="I67" t="n">
        <v>9.192992</v>
      </c>
      <c r="J67" t="n">
        <v>9.363314000000001</v>
      </c>
      <c r="K67" t="n">
        <v>9.541547</v>
      </c>
      <c r="L67" t="n">
        <v>9.716730999999999</v>
      </c>
      <c r="M67" t="n">
        <v>9.897563999999999</v>
      </c>
      <c r="N67" t="n">
        <v>10.06468</v>
      </c>
      <c r="O67" t="n">
        <v>10.251438</v>
      </c>
      <c r="P67" t="n">
        <v>10.419797</v>
      </c>
      <c r="Q67" t="n">
        <v>10.57531</v>
      </c>
      <c r="R67" t="n">
        <v>10.727733</v>
      </c>
      <c r="S67" t="n">
        <v>10.874772</v>
      </c>
      <c r="T67" t="n">
        <v>11.029309</v>
      </c>
      <c r="U67" t="n">
        <v>11.168316</v>
      </c>
      <c r="V67" t="n">
        <v>11.306188</v>
      </c>
      <c r="W67" t="n">
        <v>11.446854</v>
      </c>
      <c r="X67" t="n">
        <v>11.588435</v>
      </c>
      <c r="Y67" t="n">
        <v>11.727713</v>
      </c>
      <c r="Z67" t="n">
        <v>11.869937</v>
      </c>
      <c r="AA67" t="n">
        <v>12.009144</v>
      </c>
      <c r="AB67" t="n">
        <v>12.145295</v>
      </c>
      <c r="AC67" t="n">
        <v>12.289522</v>
      </c>
      <c r="AD67" t="n">
        <v>12.437376</v>
      </c>
      <c r="AE67" t="n">
        <v>12.583395</v>
      </c>
      <c r="AF67" t="n">
        <v>12.730259</v>
      </c>
      <c r="AG67" s="16" t="n">
        <v>0.014</v>
      </c>
    </row>
    <row r="68">
      <c r="A68" t="inlineStr">
        <is>
          <t>Solar Photovoltaic</t>
        </is>
      </c>
      <c r="B68" t="inlineStr">
        <is>
          <t>Commercial: Combined Heat and Power: Net Generation: Solar Photovoltaic: High Zero-Carbon Technology Cost</t>
        </is>
      </c>
      <c r="C68" t="inlineStr">
        <is>
          <t>AEO.2025.HIGHZTC.GEN_NA_COMM_CHP_SLR_PHTVL_NA_MILLKWH.A</t>
        </is>
      </c>
      <c r="D68" t="inlineStr">
        <is>
          <t>billion kWh</t>
        </is>
      </c>
      <c r="F68" t="n">
        <v>40.940166</v>
      </c>
      <c r="G68" t="n">
        <v>45.887695</v>
      </c>
      <c r="H68" t="n">
        <v>50.716282</v>
      </c>
      <c r="I68" t="n">
        <v>52.765446</v>
      </c>
      <c r="J68" t="n">
        <v>54.753529</v>
      </c>
      <c r="K68" t="n">
        <v>57.639774</v>
      </c>
      <c r="L68" t="n">
        <v>61.06139</v>
      </c>
      <c r="M68" t="n">
        <v>65.40625</v>
      </c>
      <c r="N68" t="n">
        <v>69.372765</v>
      </c>
      <c r="O68" t="n">
        <v>74.072678</v>
      </c>
      <c r="P68" t="n">
        <v>77.172493</v>
      </c>
      <c r="Q68" t="n">
        <v>79.02594000000001</v>
      </c>
      <c r="R68" t="n">
        <v>80.611717</v>
      </c>
      <c r="S68" t="n">
        <v>82.329025</v>
      </c>
      <c r="T68" t="n">
        <v>84.916397</v>
      </c>
      <c r="U68" t="n">
        <v>86.38636</v>
      </c>
      <c r="V68" t="n">
        <v>88.04846999999999</v>
      </c>
      <c r="W68" t="n">
        <v>90.493286</v>
      </c>
      <c r="X68" t="n">
        <v>92.87917299999999</v>
      </c>
      <c r="Y68" t="n">
        <v>95.49569700000001</v>
      </c>
      <c r="Z68" t="n">
        <v>98.128258</v>
      </c>
      <c r="AA68" t="n">
        <v>100.852867</v>
      </c>
      <c r="AB68" t="n">
        <v>103.325272</v>
      </c>
      <c r="AC68" t="n">
        <v>106.200821</v>
      </c>
      <c r="AD68" t="n">
        <v>109.171265</v>
      </c>
      <c r="AE68" t="n">
        <v>112.048836</v>
      </c>
      <c r="AF68" t="n">
        <v>115.190025</v>
      </c>
      <c r="AG68" s="16" t="n">
        <v>0.041</v>
      </c>
    </row>
    <row r="69">
      <c r="A69" t="inlineStr">
        <is>
          <t>Wind</t>
        </is>
      </c>
      <c r="B69" t="inlineStr">
        <is>
          <t>Commercial: Combined Heat and Power: Net Generation: Wind: High Zero-Carbon Technology Cost</t>
        </is>
      </c>
      <c r="C69" t="inlineStr">
        <is>
          <t>AEO.2025.HIGHZTC.GEN_NA_COMM_CHP_WND_NA_NA_MILLKWH.A</t>
        </is>
      </c>
      <c r="D69" t="inlineStr">
        <is>
          <t>billion kWh</t>
        </is>
      </c>
      <c r="F69" t="n">
        <v>0.741164</v>
      </c>
      <c r="G69" t="n">
        <v>0.741862</v>
      </c>
      <c r="H69" t="n">
        <v>0.741634</v>
      </c>
      <c r="I69" t="n">
        <v>0.741405</v>
      </c>
      <c r="J69" t="n">
        <v>0.741585</v>
      </c>
      <c r="K69" t="n">
        <v>0.743387</v>
      </c>
      <c r="L69" t="n">
        <v>0.744916</v>
      </c>
      <c r="M69" t="n">
        <v>0.747153</v>
      </c>
      <c r="N69" t="n">
        <v>0.750224</v>
      </c>
      <c r="O69" t="n">
        <v>0.754975</v>
      </c>
      <c r="P69" t="n">
        <v>0.7566000000000001</v>
      </c>
      <c r="Q69" t="n">
        <v>0.756915</v>
      </c>
      <c r="R69" t="n">
        <v>0.757258</v>
      </c>
      <c r="S69" t="n">
        <v>0.757475</v>
      </c>
      <c r="T69" t="n">
        <v>0.758398</v>
      </c>
      <c r="U69" t="n">
        <v>0.7591290000000001</v>
      </c>
      <c r="V69" t="n">
        <v>0.759939</v>
      </c>
      <c r="W69" t="n">
        <v>0.761029</v>
      </c>
      <c r="X69" t="n">
        <v>0.761872</v>
      </c>
      <c r="Y69" t="n">
        <v>0.762598</v>
      </c>
      <c r="Z69" t="n">
        <v>0.763846</v>
      </c>
      <c r="AA69" t="n">
        <v>0.765101</v>
      </c>
      <c r="AB69" t="n">
        <v>0.766083</v>
      </c>
      <c r="AC69" t="n">
        <v>0.767297</v>
      </c>
      <c r="AD69" t="n">
        <v>0.768562</v>
      </c>
      <c r="AE69" t="n">
        <v>0.7696809999999999</v>
      </c>
      <c r="AF69" t="n">
        <v>0.771365</v>
      </c>
      <c r="AG69" s="16" t="n">
        <v>0.002</v>
      </c>
    </row>
    <row r="70">
      <c r="A70" t="inlineStr">
        <is>
          <t>Other</t>
        </is>
      </c>
      <c r="B70" t="inlineStr">
        <is>
          <t>Commercial: Combined Heat and Power: Net Generation: Other: High Zero-Carbon Technology Cost</t>
        </is>
      </c>
      <c r="C70" t="inlineStr">
        <is>
          <t>AEO.2025.HIGHZTC.GEN_NA_COMM_CHP_OTH_NA_NA_MILLKWH.A</t>
        </is>
      </c>
      <c r="D70" t="inlineStr">
        <is>
          <t>billion kWh</t>
        </is>
      </c>
      <c r="F70" t="n">
        <v>0.951386</v>
      </c>
      <c r="G70" t="n">
        <v>0.951386</v>
      </c>
      <c r="H70" t="n">
        <v>0.951386</v>
      </c>
      <c r="I70" t="n">
        <v>0.951386</v>
      </c>
      <c r="J70" t="n">
        <v>0.951386</v>
      </c>
      <c r="K70" t="n">
        <v>0.951386</v>
      </c>
      <c r="L70" t="n">
        <v>0.951386</v>
      </c>
      <c r="M70" t="n">
        <v>0.951386</v>
      </c>
      <c r="N70" t="n">
        <v>0.951386</v>
      </c>
      <c r="O70" t="n">
        <v>0.951386</v>
      </c>
      <c r="P70" t="n">
        <v>0.951386</v>
      </c>
      <c r="Q70" t="n">
        <v>0.951386</v>
      </c>
      <c r="R70" t="n">
        <v>0.951386</v>
      </c>
      <c r="S70" t="n">
        <v>0.951386</v>
      </c>
      <c r="T70" t="n">
        <v>0.951386</v>
      </c>
      <c r="U70" t="n">
        <v>0.951386</v>
      </c>
      <c r="V70" t="n">
        <v>0.951386</v>
      </c>
      <c r="W70" t="n">
        <v>0.951386</v>
      </c>
      <c r="X70" t="n">
        <v>0.951386</v>
      </c>
      <c r="Y70" t="n">
        <v>0.951386</v>
      </c>
      <c r="Z70" t="n">
        <v>0.951386</v>
      </c>
      <c r="AA70" t="n">
        <v>0.951386</v>
      </c>
      <c r="AB70" t="n">
        <v>0.951386</v>
      </c>
      <c r="AC70" t="n">
        <v>0.951386</v>
      </c>
      <c r="AD70" t="n">
        <v>0.951386</v>
      </c>
      <c r="AE70" t="n">
        <v>0.951386</v>
      </c>
      <c r="AF70" t="n">
        <v>0.951386</v>
      </c>
      <c r="AG70" s="16" t="n">
        <v>0</v>
      </c>
    </row>
    <row r="71">
      <c r="A71" t="inlineStr">
        <is>
          <t>Total</t>
        </is>
      </c>
      <c r="B71" t="inlineStr">
        <is>
          <t>Commercial: Combined Heat and Power: Net Generation: Total: High Zero-Carbon Technology Cost</t>
        </is>
      </c>
      <c r="C71" t="inlineStr">
        <is>
          <t>AEO.2025.HIGHZTC.GEN_NA_COMM_CHP_TOT_NA_NA_MILLKWH.A</t>
        </is>
      </c>
      <c r="D71" t="inlineStr">
        <is>
          <t>billion kWh</t>
        </is>
      </c>
      <c r="F71" t="n">
        <v>51.488716</v>
      </c>
      <c r="G71" t="n">
        <v>56.575752</v>
      </c>
      <c r="H71" t="n">
        <v>61.532814</v>
      </c>
      <c r="I71" t="n">
        <v>63.732437</v>
      </c>
      <c r="J71" t="n">
        <v>65.89102200000001</v>
      </c>
      <c r="K71" t="n">
        <v>68.95729799999999</v>
      </c>
      <c r="L71" t="n">
        <v>72.555634</v>
      </c>
      <c r="M71" t="n">
        <v>77.08356499999999</v>
      </c>
      <c r="N71" t="n">
        <v>81.22026099999999</v>
      </c>
      <c r="O71" t="n">
        <v>86.111687</v>
      </c>
      <c r="P71" t="n">
        <v>89.381485</v>
      </c>
      <c r="Q71" t="n">
        <v>91.390755</v>
      </c>
      <c r="R71" t="n">
        <v>93.129295</v>
      </c>
      <c r="S71" t="n">
        <v>94.993866</v>
      </c>
      <c r="T71" t="n">
        <v>97.73670199999999</v>
      </c>
      <c r="U71" t="n">
        <v>99.346405</v>
      </c>
      <c r="V71" t="n">
        <v>101.147194</v>
      </c>
      <c r="W71" t="n">
        <v>103.733765</v>
      </c>
      <c r="X71" t="n">
        <v>106.26207</v>
      </c>
      <c r="Y71" t="n">
        <v>109.0186</v>
      </c>
      <c r="Z71" t="n">
        <v>111.79464</v>
      </c>
      <c r="AA71" t="n">
        <v>114.659706</v>
      </c>
      <c r="AB71" t="n">
        <v>117.269241</v>
      </c>
      <c r="AC71" t="n">
        <v>120.29023</v>
      </c>
      <c r="AD71" t="n">
        <v>123.409798</v>
      </c>
      <c r="AE71" t="n">
        <v>126.434509</v>
      </c>
      <c r="AF71" t="n">
        <v>129.724243</v>
      </c>
      <c r="AG71" s="16" t="n">
        <v>0.036</v>
      </c>
    </row>
    <row r="72">
      <c r="A72" t="inlineStr">
        <is>
          <t>Disposition</t>
        </is>
      </c>
    </row>
    <row r="73">
      <c r="A73" t="inlineStr">
        <is>
          <t>Sales to the Grid</t>
        </is>
      </c>
      <c r="B73" t="inlineStr">
        <is>
          <t>Commercial: Combined Heat and Power: Net Generation: Sales to the Grid: High Zero-Carbon Technology Cost</t>
        </is>
      </c>
      <c r="C73" t="inlineStr">
        <is>
          <t>AEO.2025.HIGHZTC.GEN_NA_COMM_CHP_STG_NA_NA_MILLKWH.A</t>
        </is>
      </c>
      <c r="D73" t="inlineStr">
        <is>
          <t>billion kWh</t>
        </is>
      </c>
      <c r="F73" t="n">
        <v>9.946275999999999</v>
      </c>
      <c r="G73" t="n">
        <v>10.073193</v>
      </c>
      <c r="H73" t="n">
        <v>10.197064</v>
      </c>
      <c r="I73" t="n">
        <v>10.341887</v>
      </c>
      <c r="J73" t="n">
        <v>10.500024</v>
      </c>
      <c r="K73" t="n">
        <v>10.665711</v>
      </c>
      <c r="L73" t="n">
        <v>10.825236</v>
      </c>
      <c r="M73" t="n">
        <v>10.987113</v>
      </c>
      <c r="N73" t="n">
        <v>11.14402</v>
      </c>
      <c r="O73" t="n">
        <v>11.313128</v>
      </c>
      <c r="P73" t="n">
        <v>11.467194</v>
      </c>
      <c r="Q73" t="n">
        <v>11.614271</v>
      </c>
      <c r="R73" t="n">
        <v>11.757989</v>
      </c>
      <c r="S73" t="n">
        <v>11.897467</v>
      </c>
      <c r="T73" t="n">
        <v>12.037536</v>
      </c>
      <c r="U73" t="n">
        <v>12.171236</v>
      </c>
      <c r="V73" t="n">
        <v>12.30372</v>
      </c>
      <c r="W73" t="n">
        <v>12.435464</v>
      </c>
      <c r="X73" t="n">
        <v>12.565181</v>
      </c>
      <c r="Y73" t="n">
        <v>12.693213</v>
      </c>
      <c r="Z73" t="n">
        <v>12.822459</v>
      </c>
      <c r="AA73" t="n">
        <v>12.951511</v>
      </c>
      <c r="AB73" t="n">
        <v>13.079132</v>
      </c>
      <c r="AC73" t="n">
        <v>13.211131</v>
      </c>
      <c r="AD73" t="n">
        <v>13.344397</v>
      </c>
      <c r="AE73" t="n">
        <v>13.477484</v>
      </c>
      <c r="AF73" t="n">
        <v>13.611878</v>
      </c>
      <c r="AG73" s="16" t="n">
        <v>0.012</v>
      </c>
    </row>
    <row r="74">
      <c r="A74" t="inlineStr">
        <is>
          <t>Generation for Own Use</t>
        </is>
      </c>
      <c r="B74" t="inlineStr">
        <is>
          <t>Commercial: Combined Heat and Power: Net Generation: Generation for Own Use: High Zero-Carbon Technology Cost</t>
        </is>
      </c>
      <c r="C74" t="inlineStr">
        <is>
          <t>AEO.2025.HIGHZTC.GEN_NA_COMM_CHP_GFO_NA_NA_MILLKWH.A</t>
        </is>
      </c>
      <c r="D74" t="inlineStr">
        <is>
          <t>billion kWh</t>
        </is>
      </c>
      <c r="F74" t="n">
        <v>41.54245</v>
      </c>
      <c r="G74" t="n">
        <v>46.502563</v>
      </c>
      <c r="H74" t="n">
        <v>51.335747</v>
      </c>
      <c r="I74" t="n">
        <v>53.390553</v>
      </c>
      <c r="J74" t="n">
        <v>55.390995</v>
      </c>
      <c r="K74" t="n">
        <v>58.291595</v>
      </c>
      <c r="L74" t="n">
        <v>61.7304</v>
      </c>
      <c r="M74" t="n">
        <v>66.09644299999999</v>
      </c>
      <c r="N74" t="n">
        <v>70.076241</v>
      </c>
      <c r="O74" t="n">
        <v>74.798553</v>
      </c>
      <c r="P74" t="n">
        <v>77.91429100000001</v>
      </c>
      <c r="Q74" t="n">
        <v>79.776482</v>
      </c>
      <c r="R74" t="n">
        <v>81.371323</v>
      </c>
      <c r="S74" t="n">
        <v>83.096397</v>
      </c>
      <c r="T74" t="n">
        <v>85.69916499999999</v>
      </c>
      <c r="U74" t="n">
        <v>87.175163</v>
      </c>
      <c r="V74" t="n">
        <v>88.843468</v>
      </c>
      <c r="W74" t="n">
        <v>91.298294</v>
      </c>
      <c r="X74" t="n">
        <v>93.69689200000001</v>
      </c>
      <c r="Y74" t="n">
        <v>96.325394</v>
      </c>
      <c r="Z74" t="n">
        <v>98.972176</v>
      </c>
      <c r="AA74" t="n">
        <v>101.708199</v>
      </c>
      <c r="AB74" t="n">
        <v>104.190117</v>
      </c>
      <c r="AC74" t="n">
        <v>107.079109</v>
      </c>
      <c r="AD74" t="n">
        <v>110.065399</v>
      </c>
      <c r="AE74" t="n">
        <v>112.957024</v>
      </c>
      <c r="AF74" t="n">
        <v>116.112366</v>
      </c>
      <c r="AG74" s="16" t="n">
        <v>0.04</v>
      </c>
    </row>
    <row r="75">
      <c r="A75" t="inlineStr">
        <is>
          <t>Energy Input (trillion Btu)</t>
        </is>
      </c>
    </row>
    <row r="76">
      <c r="A76" t="inlineStr">
        <is>
          <t>Petroleum</t>
        </is>
      </c>
      <c r="B76" t="inlineStr">
        <is>
          <t>Commercial: Combined Heat and Power: Energy Input: Petroleum: High Zero-Carbon Technology Cost</t>
        </is>
      </c>
      <c r="C76" t="inlineStr">
        <is>
          <t>AEO.2025.HIGHZTC.CNSM_NA_COMM_CHP_PET_NA_NA_TRLBTU.A</t>
        </is>
      </c>
      <c r="D76" t="inlineStr">
        <is>
          <t>trillion Btu</t>
        </is>
      </c>
      <c r="F76" t="n">
        <v>0.824655</v>
      </c>
      <c r="G76" t="n">
        <v>0.824655</v>
      </c>
      <c r="H76" t="n">
        <v>0.824655</v>
      </c>
      <c r="I76" t="n">
        <v>0.824655</v>
      </c>
      <c r="J76" t="n">
        <v>0.824655</v>
      </c>
      <c r="K76" t="n">
        <v>0.824655</v>
      </c>
      <c r="L76" t="n">
        <v>0.824655</v>
      </c>
      <c r="M76" t="n">
        <v>0.824655</v>
      </c>
      <c r="N76" t="n">
        <v>0.824655</v>
      </c>
      <c r="O76" t="n">
        <v>0.824655</v>
      </c>
      <c r="P76" t="n">
        <v>0.824655</v>
      </c>
      <c r="Q76" t="n">
        <v>0.824655</v>
      </c>
      <c r="R76" t="n">
        <v>0.824655</v>
      </c>
      <c r="S76" t="n">
        <v>0.824655</v>
      </c>
      <c r="T76" t="n">
        <v>0.824655</v>
      </c>
      <c r="U76" t="n">
        <v>0.824655</v>
      </c>
      <c r="V76" t="n">
        <v>0.824655</v>
      </c>
      <c r="W76" t="n">
        <v>0.824655</v>
      </c>
      <c r="X76" t="n">
        <v>0.824655</v>
      </c>
      <c r="Y76" t="n">
        <v>0.824655</v>
      </c>
      <c r="Z76" t="n">
        <v>0.824655</v>
      </c>
      <c r="AA76" t="n">
        <v>0.824655</v>
      </c>
      <c r="AB76" t="n">
        <v>0.824655</v>
      </c>
      <c r="AC76" t="n">
        <v>0.824655</v>
      </c>
      <c r="AD76" t="n">
        <v>0.824655</v>
      </c>
      <c r="AE76" t="n">
        <v>0.824655</v>
      </c>
      <c r="AF76" t="n">
        <v>0.824655</v>
      </c>
      <c r="AG76" s="16" t="n">
        <v>0</v>
      </c>
    </row>
    <row r="77">
      <c r="A77" t="inlineStr">
        <is>
          <t>Natural Gas</t>
        </is>
      </c>
      <c r="B77" t="inlineStr">
        <is>
          <t>Commercial: Combined Heat and Power: Energy Input: Natural Gas: High Zero-Carbon Technology Cost</t>
        </is>
      </c>
      <c r="C77" t="inlineStr">
        <is>
          <t>AEO.2025.HIGHZTC.CNSM_NA_COMM_CHP_NG_NA_NA_TRLBTU.A</t>
        </is>
      </c>
      <c r="D77" t="inlineStr">
        <is>
          <t>trillion Btu</t>
        </is>
      </c>
      <c r="F77" t="n">
        <v>113.846436</v>
      </c>
      <c r="G77" t="n">
        <v>115.646713</v>
      </c>
      <c r="H77" t="n">
        <v>117.341858</v>
      </c>
      <c r="I77" t="n">
        <v>119.325729</v>
      </c>
      <c r="J77" t="n">
        <v>121.550201</v>
      </c>
      <c r="K77" t="n">
        <v>123.859131</v>
      </c>
      <c r="L77" t="n">
        <v>126.12149</v>
      </c>
      <c r="M77" t="n">
        <v>128.436539</v>
      </c>
      <c r="N77" t="n">
        <v>130.60405</v>
      </c>
      <c r="O77" t="n">
        <v>132.990707</v>
      </c>
      <c r="P77" t="n">
        <v>135.17598</v>
      </c>
      <c r="Q77" t="n">
        <v>137.217117</v>
      </c>
      <c r="R77" t="n">
        <v>139.217285</v>
      </c>
      <c r="S77" t="n">
        <v>141.148987</v>
      </c>
      <c r="T77" t="n">
        <v>143.152924</v>
      </c>
      <c r="U77" t="n">
        <v>144.977448</v>
      </c>
      <c r="V77" t="n">
        <v>146.785217</v>
      </c>
      <c r="W77" t="n">
        <v>148.618652</v>
      </c>
      <c r="X77" t="n">
        <v>150.459625</v>
      </c>
      <c r="Y77" t="n">
        <v>152.274597</v>
      </c>
      <c r="Z77" t="n">
        <v>154.120071</v>
      </c>
      <c r="AA77" t="n">
        <v>155.929016</v>
      </c>
      <c r="AB77" t="n">
        <v>157.702881</v>
      </c>
      <c r="AC77" t="n">
        <v>159.566193</v>
      </c>
      <c r="AD77" t="n">
        <v>161.470749</v>
      </c>
      <c r="AE77" t="n">
        <v>163.355652</v>
      </c>
      <c r="AF77" t="n">
        <v>165.252823</v>
      </c>
      <c r="AG77" s="16" t="n">
        <v>0.014</v>
      </c>
    </row>
    <row r="78">
      <c r="A78" t="inlineStr">
        <is>
          <t>Solar Photovoltaic</t>
        </is>
      </c>
      <c r="B78" t="inlineStr">
        <is>
          <t>Commercial: Combined Heat and Power: Energy Input: Solar Photovoltaic: High Zero-Carbon Technology Cost</t>
        </is>
      </c>
      <c r="C78" t="inlineStr">
        <is>
          <t>AEO.2025.HIGHZTC.CNSM_NA_COMM_CHP_SLR_PHTVL_NA_TRLBTU.A</t>
        </is>
      </c>
      <c r="D78" t="inlineStr">
        <is>
          <t>trillion Btu</t>
        </is>
      </c>
      <c r="F78" t="n">
        <v>139.687851</v>
      </c>
      <c r="G78" t="n">
        <v>156.568817</v>
      </c>
      <c r="H78" t="n">
        <v>173.043945</v>
      </c>
      <c r="I78" t="n">
        <v>180.035675</v>
      </c>
      <c r="J78" t="n">
        <v>186.819016</v>
      </c>
      <c r="K78" t="n">
        <v>196.666901</v>
      </c>
      <c r="L78" t="n">
        <v>208.341461</v>
      </c>
      <c r="M78" t="n">
        <v>223.166122</v>
      </c>
      <c r="N78" t="n">
        <v>236.69986</v>
      </c>
      <c r="O78" t="n">
        <v>252.735962</v>
      </c>
      <c r="P78" t="n">
        <v>263.3125</v>
      </c>
      <c r="Q78" t="n">
        <v>269.636475</v>
      </c>
      <c r="R78" t="n">
        <v>275.04718</v>
      </c>
      <c r="S78" t="n">
        <v>280.906586</v>
      </c>
      <c r="T78" t="n">
        <v>289.734741</v>
      </c>
      <c r="U78" t="n">
        <v>294.750244</v>
      </c>
      <c r="V78" t="n">
        <v>300.421326</v>
      </c>
      <c r="W78" t="n">
        <v>308.763062</v>
      </c>
      <c r="X78" t="n">
        <v>316.903717</v>
      </c>
      <c r="Y78" t="n">
        <v>325.831238</v>
      </c>
      <c r="Z78" t="n">
        <v>334.813599</v>
      </c>
      <c r="AA78" t="n">
        <v>344.109924</v>
      </c>
      <c r="AB78" t="n">
        <v>352.545837</v>
      </c>
      <c r="AC78" t="n">
        <v>362.357178</v>
      </c>
      <c r="AD78" t="n">
        <v>372.49234</v>
      </c>
      <c r="AE78" t="n">
        <v>382.310608</v>
      </c>
      <c r="AF78" t="n">
        <v>393.028381</v>
      </c>
      <c r="AG78" s="16" t="n">
        <v>0.041</v>
      </c>
    </row>
    <row r="79">
      <c r="A79" t="inlineStr">
        <is>
          <t>Wind</t>
        </is>
      </c>
      <c r="B79" t="inlineStr">
        <is>
          <t>Commercial: Combined Heat and Power: Energy Input: Wind: High Zero-Carbon Technology Cost</t>
        </is>
      </c>
      <c r="C79" t="inlineStr">
        <is>
          <t>AEO.2025.HIGHZTC.CNSM_NA_COMM_CHP_WND_NA_NA_TRLBTU.A</t>
        </is>
      </c>
      <c r="D79" t="inlineStr">
        <is>
          <t>trillion Btu</t>
        </is>
      </c>
      <c r="F79" t="n">
        <v>2.528852</v>
      </c>
      <c r="G79" t="n">
        <v>2.531234</v>
      </c>
      <c r="H79" t="n">
        <v>2.530454</v>
      </c>
      <c r="I79" t="n">
        <v>2.529673</v>
      </c>
      <c r="J79" t="n">
        <v>2.530288</v>
      </c>
      <c r="K79" t="n">
        <v>2.536436</v>
      </c>
      <c r="L79" t="n">
        <v>2.541655</v>
      </c>
      <c r="M79" t="n">
        <v>2.549285</v>
      </c>
      <c r="N79" t="n">
        <v>2.559764</v>
      </c>
      <c r="O79" t="n">
        <v>2.575974</v>
      </c>
      <c r="P79" t="n">
        <v>2.581518</v>
      </c>
      <c r="Q79" t="n">
        <v>2.582592</v>
      </c>
      <c r="R79" t="n">
        <v>2.583763</v>
      </c>
      <c r="S79" t="n">
        <v>2.584505</v>
      </c>
      <c r="T79" t="n">
        <v>2.587654</v>
      </c>
      <c r="U79" t="n">
        <v>2.590147</v>
      </c>
      <c r="V79" t="n">
        <v>2.592913</v>
      </c>
      <c r="W79" t="n">
        <v>2.596629</v>
      </c>
      <c r="X79" t="n">
        <v>2.599507</v>
      </c>
      <c r="Y79" t="n">
        <v>2.601985</v>
      </c>
      <c r="Z79" t="n">
        <v>2.606242</v>
      </c>
      <c r="AA79" t="n">
        <v>2.610524</v>
      </c>
      <c r="AB79" t="n">
        <v>2.613875</v>
      </c>
      <c r="AC79" t="n">
        <v>2.618018</v>
      </c>
      <c r="AD79" t="n">
        <v>2.622333</v>
      </c>
      <c r="AE79" t="n">
        <v>2.626152</v>
      </c>
      <c r="AF79" t="n">
        <v>2.631898</v>
      </c>
      <c r="AG79" s="16" t="n">
        <v>0.002</v>
      </c>
    </row>
    <row r="80">
      <c r="A80" t="inlineStr">
        <is>
          <t>Other</t>
        </is>
      </c>
      <c r="B80" t="inlineStr">
        <is>
          <t>Commercial: Combined Heat and Power: Energy Input: Other: High Zero-Carbon Technology Cost</t>
        </is>
      </c>
      <c r="C80" t="inlineStr">
        <is>
          <t>AEO.2025.HIGHZTC.CNSM_NA_COMM_CHP_OTH_NA_NA_TRLBTU.A</t>
        </is>
      </c>
      <c r="D80" t="inlineStr">
        <is>
          <t>trillion Btu</t>
        </is>
      </c>
      <c r="F80" t="n">
        <v>19.423716</v>
      </c>
      <c r="G80" t="n">
        <v>19.423716</v>
      </c>
      <c r="H80" t="n">
        <v>19.423716</v>
      </c>
      <c r="I80" t="n">
        <v>19.423716</v>
      </c>
      <c r="J80" t="n">
        <v>19.423716</v>
      </c>
      <c r="K80" t="n">
        <v>19.423716</v>
      </c>
      <c r="L80" t="n">
        <v>19.423716</v>
      </c>
      <c r="M80" t="n">
        <v>19.423716</v>
      </c>
      <c r="N80" t="n">
        <v>19.423716</v>
      </c>
      <c r="O80" t="n">
        <v>19.423716</v>
      </c>
      <c r="P80" t="n">
        <v>19.423716</v>
      </c>
      <c r="Q80" t="n">
        <v>19.423716</v>
      </c>
      <c r="R80" t="n">
        <v>19.423716</v>
      </c>
      <c r="S80" t="n">
        <v>19.423716</v>
      </c>
      <c r="T80" t="n">
        <v>19.423716</v>
      </c>
      <c r="U80" t="n">
        <v>19.423716</v>
      </c>
      <c r="V80" t="n">
        <v>19.423716</v>
      </c>
      <c r="W80" t="n">
        <v>19.423716</v>
      </c>
      <c r="X80" t="n">
        <v>19.423716</v>
      </c>
      <c r="Y80" t="n">
        <v>19.423716</v>
      </c>
      <c r="Z80" t="n">
        <v>19.423716</v>
      </c>
      <c r="AA80" t="n">
        <v>19.423716</v>
      </c>
      <c r="AB80" t="n">
        <v>19.423716</v>
      </c>
      <c r="AC80" t="n">
        <v>19.423716</v>
      </c>
      <c r="AD80" t="n">
        <v>19.423716</v>
      </c>
      <c r="AE80" t="n">
        <v>19.423716</v>
      </c>
      <c r="AF80" t="n">
        <v>19.423716</v>
      </c>
      <c r="AG80" s="16" t="n">
        <v>0</v>
      </c>
    </row>
    <row r="81">
      <c r="A81" t="inlineStr">
        <is>
          <t>Total</t>
        </is>
      </c>
      <c r="B81" t="inlineStr">
        <is>
          <t>Commercial: Combined Heat and Power: Energy Input: Total: High Zero-Carbon Technology Cost</t>
        </is>
      </c>
      <c r="C81" t="inlineStr">
        <is>
          <t>AEO.2025.HIGHZTC.CNSM_NA_COMM_CHP_TOT_NA_NA_TRLBTU.A</t>
        </is>
      </c>
      <c r="D81" t="inlineStr">
        <is>
          <t>trillion Btu</t>
        </is>
      </c>
      <c r="F81" t="n">
        <v>276.311493</v>
      </c>
      <c r="G81" t="n">
        <v>294.995117</v>
      </c>
      <c r="H81" t="n">
        <v>313.164612</v>
      </c>
      <c r="I81" t="n">
        <v>322.139435</v>
      </c>
      <c r="J81" t="n">
        <v>331.147858</v>
      </c>
      <c r="K81" t="n">
        <v>343.310822</v>
      </c>
      <c r="L81" t="n">
        <v>357.25296</v>
      </c>
      <c r="M81" t="n">
        <v>374.400299</v>
      </c>
      <c r="N81" t="n">
        <v>390.11203</v>
      </c>
      <c r="O81" t="n">
        <v>408.551025</v>
      </c>
      <c r="P81" t="n">
        <v>421.318359</v>
      </c>
      <c r="Q81" t="n">
        <v>429.68454</v>
      </c>
      <c r="R81" t="n">
        <v>437.096588</v>
      </c>
      <c r="S81" t="n">
        <v>444.888458</v>
      </c>
      <c r="T81" t="n">
        <v>455.723694</v>
      </c>
      <c r="U81" t="n">
        <v>462.566223</v>
      </c>
      <c r="V81" t="n">
        <v>470.047821</v>
      </c>
      <c r="W81" t="n">
        <v>480.226685</v>
      </c>
      <c r="X81" t="n">
        <v>490.211212</v>
      </c>
      <c r="Y81" t="n">
        <v>500.956177</v>
      </c>
      <c r="Z81" t="n">
        <v>511.788269</v>
      </c>
      <c r="AA81" t="n">
        <v>522.897827</v>
      </c>
      <c r="AB81" t="n">
        <v>533.110962</v>
      </c>
      <c r="AC81" t="n">
        <v>544.789795</v>
      </c>
      <c r="AD81" t="n">
        <v>556.83374</v>
      </c>
      <c r="AE81" t="n">
        <v>568.5407709999999</v>
      </c>
      <c r="AF81" t="n">
        <v>581.161438</v>
      </c>
      <c r="AG81" s="16" t="n">
        <v>0.029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222"/>
  <sheetViews>
    <sheetView workbookViewId="0">
      <selection activeCell="A1" sqref="A1:B1"/>
    </sheetView>
  </sheetViews>
  <sheetFormatPr baseColWidth="8" defaultRowHeight="14.75"/>
  <cols>
    <col width="28.7265625" customWidth="1" min="1" max="1"/>
    <col width="11.7265625" customWidth="1" min="2" max="7"/>
  </cols>
  <sheetData>
    <row r="1">
      <c r="A1" s="65" t="inlineStr">
        <is>
          <t>Preliminary data release date: March 2022</t>
        </is>
      </c>
    </row>
    <row r="2" ht="24" customHeight="1">
      <c r="A2" s="59" t="inlineStr">
        <is>
          <t>Table HC2.1  Structural and geographic characteristics of U.S. homes, by housing unit type, 2020</t>
        </is>
      </c>
    </row>
    <row r="3" ht="24" customHeight="1" thickBot="1">
      <c r="A3" s="17" t="n"/>
      <c r="B3" s="61" t="inlineStr">
        <is>
          <t>Number of housing units (million)</t>
        </is>
      </c>
      <c r="C3" s="67" t="n"/>
      <c r="D3" s="67" t="n"/>
      <c r="E3" s="67" t="n"/>
      <c r="F3" s="67" t="n"/>
      <c r="G3" s="67" t="n"/>
    </row>
    <row r="4" ht="23.25" customHeight="1" thickTop="1">
      <c r="A4" s="17" t="n"/>
      <c r="B4" s="19" t="n"/>
      <c r="C4" s="63" t="inlineStr">
        <is>
          <t>Housing unit type</t>
        </is>
      </c>
      <c r="D4" s="68" t="n"/>
      <c r="E4" s="68" t="n"/>
      <c r="F4" s="68" t="n"/>
      <c r="G4" s="69" t="n"/>
    </row>
    <row r="5" ht="46.5" customHeight="1" thickBot="1">
      <c r="A5" s="20" t="n"/>
      <c r="B5" s="4" t="inlineStr">
        <is>
          <t>Total U.S.a</t>
        </is>
      </c>
      <c r="C5" s="4" t="inlineStr">
        <is>
          <t>Single-family detached</t>
        </is>
      </c>
      <c r="D5" s="4" t="inlineStr">
        <is>
          <t>Single-family attached</t>
        </is>
      </c>
      <c r="E5" s="4" t="inlineStr">
        <is>
          <t>Apartments 
(2–4 unit building)</t>
        </is>
      </c>
      <c r="F5" s="4" t="inlineStr">
        <is>
          <t>Apartments
(5 or more unit building)</t>
        </is>
      </c>
      <c r="G5" s="4" t="inlineStr">
        <is>
          <t>Mobile home</t>
        </is>
      </c>
    </row>
    <row r="6" ht="24" customHeight="1" thickTop="1">
      <c r="A6" s="21" t="inlineStr">
        <is>
          <t>All homes</t>
        </is>
      </c>
      <c r="B6" s="22" t="n">
        <v>123.53</v>
      </c>
      <c r="C6" s="22" t="n">
        <v>77.06999999999999</v>
      </c>
      <c r="D6" s="22" t="n">
        <v>7.45</v>
      </c>
      <c r="E6" s="22" t="n">
        <v>9.34</v>
      </c>
      <c r="F6" s="22" t="n">
        <v>22.84</v>
      </c>
      <c r="G6" s="22" t="n">
        <v>6.83</v>
      </c>
    </row>
    <row r="7" ht="24" customHeight="1">
      <c r="A7" s="23" t="inlineStr">
        <is>
          <t>Census region and division</t>
        </is>
      </c>
      <c r="B7" s="24" t="inlineStr"/>
      <c r="C7" s="24" t="inlineStr"/>
      <c r="D7" s="24" t="inlineStr"/>
      <c r="E7" s="24" t="inlineStr"/>
      <c r="F7" s="24" t="inlineStr"/>
      <c r="G7" s="24" t="inlineStr"/>
    </row>
    <row r="8" ht="15" customHeight="1">
      <c r="A8" s="7" t="inlineStr">
        <is>
          <t>Northeast</t>
        </is>
      </c>
      <c r="B8" s="25" t="n">
        <v>21.92</v>
      </c>
      <c r="C8" s="25" t="n">
        <v>11.23</v>
      </c>
      <c r="D8" s="25" t="n">
        <v>1.95</v>
      </c>
      <c r="E8" s="25" t="n">
        <v>3.15</v>
      </c>
      <c r="F8" s="25" t="n">
        <v>5.1</v>
      </c>
      <c r="G8" s="25" t="n">
        <v>0.5</v>
      </c>
    </row>
    <row r="9">
      <c r="A9" s="26" t="inlineStr">
        <is>
          <t>New England</t>
        </is>
      </c>
      <c r="B9" s="25" t="n">
        <v>5.88</v>
      </c>
      <c r="C9" s="25" t="n">
        <v>3.34</v>
      </c>
      <c r="D9" s="25" t="n">
        <v>0.3</v>
      </c>
      <c r="E9" s="25" t="n">
        <v>0.99</v>
      </c>
      <c r="F9" s="25" t="n">
        <v>1.1</v>
      </c>
      <c r="G9" s="25" t="n">
        <v>0.14</v>
      </c>
    </row>
    <row r="10">
      <c r="A10" s="26" t="inlineStr">
        <is>
          <t>Middle Atlantic</t>
        </is>
      </c>
      <c r="B10" s="25" t="n">
        <v>16.04</v>
      </c>
      <c r="C10" s="25" t="n">
        <v>7.89</v>
      </c>
      <c r="D10" s="25" t="n">
        <v>1.65</v>
      </c>
      <c r="E10" s="25" t="n">
        <v>2.15</v>
      </c>
      <c r="F10" s="25" t="n">
        <v>3.99</v>
      </c>
      <c r="G10" s="25" t="n">
        <v>0.36</v>
      </c>
    </row>
    <row r="11">
      <c r="A11" s="7" t="inlineStr">
        <is>
          <t>Midwest</t>
        </is>
      </c>
      <c r="B11" s="25" t="n">
        <v>27.04</v>
      </c>
      <c r="C11" s="25" t="n">
        <v>18.58</v>
      </c>
      <c r="D11" s="25" t="n">
        <v>1.33</v>
      </c>
      <c r="E11" s="25" t="n">
        <v>1.95</v>
      </c>
      <c r="F11" s="25" t="n">
        <v>4.2</v>
      </c>
      <c r="G11" s="25" t="n">
        <v>0.97</v>
      </c>
    </row>
    <row r="12">
      <c r="A12" s="26" t="inlineStr">
        <is>
          <t>East North Central</t>
        </is>
      </c>
      <c r="B12" s="25" t="n">
        <v>18.55</v>
      </c>
      <c r="C12" s="25" t="n">
        <v>12.59</v>
      </c>
      <c r="D12" s="25" t="n">
        <v>0.91</v>
      </c>
      <c r="E12" s="25" t="n">
        <v>1.49</v>
      </c>
      <c r="F12" s="25" t="n">
        <v>2.94</v>
      </c>
      <c r="G12" s="25" t="n">
        <v>0.63</v>
      </c>
    </row>
    <row r="13" ht="15" customHeight="1">
      <c r="A13" s="26" t="inlineStr">
        <is>
          <t>West North Central</t>
        </is>
      </c>
      <c r="B13" s="25" t="n">
        <v>8.5</v>
      </c>
      <c r="C13" s="25" t="n">
        <v>5.99</v>
      </c>
      <c r="D13" s="25" t="n">
        <v>0.43</v>
      </c>
      <c r="E13" s="25" t="n">
        <v>0.47</v>
      </c>
      <c r="F13" s="25" t="n">
        <v>1.26</v>
      </c>
      <c r="G13" s="25" t="n">
        <v>0.35</v>
      </c>
    </row>
    <row r="14">
      <c r="A14" s="7" t="inlineStr">
        <is>
          <t>South</t>
        </is>
      </c>
      <c r="B14" s="25" t="n">
        <v>46.84</v>
      </c>
      <c r="C14" s="25" t="n">
        <v>30.29</v>
      </c>
      <c r="D14" s="25" t="n">
        <v>2.48</v>
      </c>
      <c r="E14" s="25" t="n">
        <v>2.36</v>
      </c>
      <c r="F14" s="25" t="n">
        <v>7.83</v>
      </c>
      <c r="G14" s="25" t="n">
        <v>3.89</v>
      </c>
    </row>
    <row r="15">
      <c r="A15" s="26" t="inlineStr">
        <is>
          <t>South Atlantic</t>
        </is>
      </c>
      <c r="B15" s="25" t="n">
        <v>24.84</v>
      </c>
      <c r="C15" s="25" t="n">
        <v>15.25</v>
      </c>
      <c r="D15" s="25" t="n">
        <v>1.92</v>
      </c>
      <c r="E15" s="25" t="n">
        <v>1.17</v>
      </c>
      <c r="F15" s="25" t="n">
        <v>4.51</v>
      </c>
      <c r="G15" s="25" t="n">
        <v>2</v>
      </c>
    </row>
    <row r="16">
      <c r="A16" s="26" t="inlineStr">
        <is>
          <t>East South Central</t>
        </is>
      </c>
      <c r="B16" s="25" t="n">
        <v>7.38</v>
      </c>
      <c r="C16" s="25" t="n">
        <v>5.17</v>
      </c>
      <c r="D16" s="25" t="n">
        <v>0.19</v>
      </c>
      <c r="E16" s="25" t="n">
        <v>0.41</v>
      </c>
      <c r="F16" s="25" t="n">
        <v>0.84</v>
      </c>
      <c r="G16" s="25" t="n">
        <v>0.77</v>
      </c>
    </row>
    <row r="17" ht="15" customHeight="1">
      <c r="A17" s="26" t="inlineStr">
        <is>
          <t>West South Central</t>
        </is>
      </c>
      <c r="B17" s="25" t="n">
        <v>14.62</v>
      </c>
      <c r="C17" s="25" t="n">
        <v>9.869999999999999</v>
      </c>
      <c r="D17" s="25" t="n">
        <v>0.36</v>
      </c>
      <c r="E17" s="25" t="n">
        <v>0.78</v>
      </c>
      <c r="F17" s="25" t="n">
        <v>2.48</v>
      </c>
      <c r="G17" s="25" t="n">
        <v>1.12</v>
      </c>
    </row>
    <row r="18">
      <c r="A18" s="7" t="inlineStr">
        <is>
          <t>West</t>
        </is>
      </c>
      <c r="B18" s="25" t="n">
        <v>27.72</v>
      </c>
      <c r="C18" s="25" t="n">
        <v>16.97</v>
      </c>
      <c r="D18" s="25" t="n">
        <v>1.69</v>
      </c>
      <c r="E18" s="25" t="n">
        <v>1.89</v>
      </c>
      <c r="F18" s="25" t="n">
        <v>5.7</v>
      </c>
      <c r="G18" s="25" t="n">
        <v>1.47</v>
      </c>
    </row>
    <row r="19">
      <c r="A19" s="26" t="inlineStr">
        <is>
          <t>Mountain</t>
        </is>
      </c>
      <c r="B19" s="25" t="n">
        <v>9.220000000000001</v>
      </c>
      <c r="C19" s="25" t="n">
        <v>6.06</v>
      </c>
      <c r="D19" s="25" t="n">
        <v>0.5</v>
      </c>
      <c r="E19" s="25" t="n">
        <v>0.52</v>
      </c>
      <c r="F19" s="25" t="n">
        <v>1.47</v>
      </c>
      <c r="G19" s="25" t="n">
        <v>0.67</v>
      </c>
    </row>
    <row r="20">
      <c r="A20" s="27" t="inlineStr">
        <is>
          <t>Mountain North</t>
        </is>
      </c>
      <c r="B20" s="25" t="n">
        <v>4.62</v>
      </c>
      <c r="C20" s="25" t="n">
        <v>3.1</v>
      </c>
      <c r="D20" s="25" t="n">
        <v>0.29</v>
      </c>
      <c r="E20" s="25" t="n">
        <v>0.26</v>
      </c>
      <c r="F20" s="25" t="n">
        <v>0.73</v>
      </c>
      <c r="G20" s="25" t="n">
        <v>0.24</v>
      </c>
    </row>
    <row r="21">
      <c r="A21" s="27" t="inlineStr">
        <is>
          <t>Mountain South</t>
        </is>
      </c>
      <c r="B21" s="25" t="n">
        <v>4.6</v>
      </c>
      <c r="C21" s="25" t="n">
        <v>2.96</v>
      </c>
      <c r="D21" s="25" t="n">
        <v>0.21</v>
      </c>
      <c r="E21" s="25" t="n">
        <v>0.26</v>
      </c>
      <c r="F21" s="25" t="n">
        <v>0.74</v>
      </c>
      <c r="G21" s="25" t="n">
        <v>0.43</v>
      </c>
    </row>
    <row r="22">
      <c r="A22" s="26" t="inlineStr">
        <is>
          <t>Pacific</t>
        </is>
      </c>
      <c r="B22" s="25" t="n">
        <v>18.51</v>
      </c>
      <c r="C22" s="25" t="n">
        <v>10.91</v>
      </c>
      <c r="D22" s="25" t="n">
        <v>1.19</v>
      </c>
      <c r="E22" s="25" t="n">
        <v>1.36</v>
      </c>
      <c r="F22" s="25" t="n">
        <v>4.24</v>
      </c>
      <c r="G22" s="25" t="n">
        <v>0.8</v>
      </c>
    </row>
    <row r="23" ht="24" customHeight="1">
      <c r="A23" s="23" t="inlineStr">
        <is>
          <t>Census urban-rural classificationb</t>
        </is>
      </c>
      <c r="B23" s="24" t="inlineStr"/>
      <c r="C23" s="24" t="inlineStr"/>
      <c r="D23" s="24" t="inlineStr"/>
      <c r="E23" s="24" t="inlineStr"/>
      <c r="F23" s="24" t="inlineStr"/>
      <c r="G23" s="24" t="inlineStr"/>
    </row>
    <row r="24">
      <c r="A24" s="7" t="inlineStr">
        <is>
          <t>Urban</t>
        </is>
      </c>
      <c r="B24" s="25" t="n">
        <v>100.44</v>
      </c>
      <c r="C24" s="25" t="n">
        <v>58.8</v>
      </c>
      <c r="D24" s="25" t="n">
        <v>7.04</v>
      </c>
      <c r="E24" s="25" t="n">
        <v>9.02</v>
      </c>
      <c r="F24" s="25" t="n">
        <v>22.27</v>
      </c>
      <c r="G24" s="25" t="n">
        <v>3.31</v>
      </c>
    </row>
    <row r="25" customFormat="1" s="6">
      <c r="A25" s="26" t="inlineStr">
        <is>
          <t>Urbanized area</t>
        </is>
      </c>
      <c r="B25" s="25" t="n">
        <v>89.23999999999999</v>
      </c>
      <c r="C25" s="25" t="n">
        <v>50.99</v>
      </c>
      <c r="D25" s="25" t="n">
        <v>6.57</v>
      </c>
      <c r="E25" s="25" t="n">
        <v>7.95</v>
      </c>
      <c r="F25" s="25" t="n">
        <v>21.2</v>
      </c>
      <c r="G25" s="25" t="n">
        <v>2.53</v>
      </c>
    </row>
    <row r="26" customFormat="1" s="6">
      <c r="A26" s="26" t="inlineStr">
        <is>
          <t>Urban cluster</t>
        </is>
      </c>
      <c r="B26" s="25" t="n">
        <v>11.2</v>
      </c>
      <c r="C26" s="25" t="n">
        <v>7.82</v>
      </c>
      <c r="D26" s="25" t="n">
        <v>0.47</v>
      </c>
      <c r="E26" s="25" t="n">
        <v>1.07</v>
      </c>
      <c r="F26" s="25" t="n">
        <v>1.07</v>
      </c>
      <c r="G26" s="25" t="n">
        <v>0.77</v>
      </c>
    </row>
    <row r="27">
      <c r="A27" s="7" t="inlineStr">
        <is>
          <t>Rural</t>
        </is>
      </c>
      <c r="B27" s="25" t="n">
        <v>23.09</v>
      </c>
      <c r="C27" s="25" t="n">
        <v>18.27</v>
      </c>
      <c r="D27" s="25" t="n">
        <v>0.41</v>
      </c>
      <c r="E27" s="25" t="n">
        <v>0.32</v>
      </c>
      <c r="F27" s="25" t="n">
        <v>0.57</v>
      </c>
      <c r="G27" s="25" t="n">
        <v>3.52</v>
      </c>
    </row>
    <row r="28" ht="33.95" customHeight="1">
      <c r="A28" s="23" t="inlineStr">
        <is>
          <t>Climate regionc</t>
        </is>
      </c>
      <c r="B28" s="24" t="inlineStr"/>
      <c r="C28" s="24" t="inlineStr"/>
      <c r="D28" s="24" t="inlineStr"/>
      <c r="E28" s="24" t="inlineStr"/>
      <c r="F28" s="24" t="inlineStr"/>
      <c r="G28" s="24" t="inlineStr"/>
    </row>
    <row r="29">
      <c r="A29" s="7" t="inlineStr">
        <is>
          <t>Very cold/Cold</t>
        </is>
      </c>
      <c r="B29" s="25" t="n">
        <v>42.5</v>
      </c>
      <c r="C29" s="25" t="n">
        <v>28.04</v>
      </c>
      <c r="D29" s="25" t="n">
        <v>2.43</v>
      </c>
      <c r="E29" s="25" t="n">
        <v>3.78</v>
      </c>
      <c r="F29" s="25" t="n">
        <v>6.74</v>
      </c>
      <c r="G29" s="25" t="n">
        <v>1.52</v>
      </c>
    </row>
    <row r="30">
      <c r="A30" s="7" t="inlineStr">
        <is>
          <t>Mixed-humid</t>
        </is>
      </c>
      <c r="B30" s="25" t="n">
        <v>36.79</v>
      </c>
      <c r="C30" s="25" t="n">
        <v>21.89</v>
      </c>
      <c r="D30" s="25" t="n">
        <v>2.8</v>
      </c>
      <c r="E30" s="25" t="n">
        <v>2.72</v>
      </c>
      <c r="F30" s="25" t="n">
        <v>7.03</v>
      </c>
      <c r="G30" s="25" t="n">
        <v>2.35</v>
      </c>
    </row>
    <row r="31">
      <c r="A31" s="7" t="inlineStr">
        <is>
          <t>Mixed-dry/Hot-dry</t>
        </is>
      </c>
      <c r="B31" s="25" t="n">
        <v>15.06</v>
      </c>
      <c r="C31" s="25" t="n">
        <v>9.07</v>
      </c>
      <c r="D31" s="25" t="n">
        <v>0.9</v>
      </c>
      <c r="E31" s="25" t="n">
        <v>1.12</v>
      </c>
      <c r="F31" s="25" t="n">
        <v>3.12</v>
      </c>
      <c r="G31" s="25" t="n">
        <v>0.83</v>
      </c>
    </row>
    <row r="32" ht="24" customHeight="1">
      <c r="A32" s="7" t="inlineStr">
        <is>
          <t>Hot-humid</t>
        </is>
      </c>
      <c r="B32" s="25" t="n">
        <v>22.31</v>
      </c>
      <c r="C32" s="25" t="n">
        <v>13.98</v>
      </c>
      <c r="D32" s="25" t="n">
        <v>0.92</v>
      </c>
      <c r="E32" s="25" t="n">
        <v>1.25</v>
      </c>
      <c r="F32" s="25" t="n">
        <v>4.37</v>
      </c>
      <c r="G32" s="25" t="n">
        <v>1.8</v>
      </c>
    </row>
    <row r="33">
      <c r="A33" s="7" t="inlineStr">
        <is>
          <t>Marine</t>
        </is>
      </c>
      <c r="B33" s="25" t="n">
        <v>6.87</v>
      </c>
      <c r="C33" s="25" t="n">
        <v>4.09</v>
      </c>
      <c r="D33" s="25" t="n">
        <v>0.4</v>
      </c>
      <c r="E33" s="25" t="n">
        <v>0.48</v>
      </c>
      <c r="F33" s="25" t="n">
        <v>1.57</v>
      </c>
      <c r="G33" s="25" t="n">
        <v>0.34</v>
      </c>
    </row>
    <row r="34">
      <c r="A34" s="23" t="inlineStr">
        <is>
          <t>Year of construction</t>
        </is>
      </c>
      <c r="B34" s="24" t="inlineStr"/>
      <c r="C34" s="24" t="inlineStr"/>
      <c r="D34" s="24" t="inlineStr"/>
      <c r="E34" s="24" t="inlineStr"/>
      <c r="F34" s="24" t="inlineStr"/>
      <c r="G34" s="24" t="inlineStr"/>
    </row>
    <row r="35">
      <c r="A35" s="7" t="inlineStr">
        <is>
          <t>Before 1950</t>
        </is>
      </c>
      <c r="B35" s="25" t="n">
        <v>20.26</v>
      </c>
      <c r="C35" s="25" t="n">
        <v>13.58</v>
      </c>
      <c r="D35" s="25" t="n">
        <v>1.14</v>
      </c>
      <c r="E35" s="25" t="n">
        <v>2.36</v>
      </c>
      <c r="F35" s="25" t="n">
        <v>3.08</v>
      </c>
      <c r="G35" s="25" t="n">
        <v>0.09</v>
      </c>
    </row>
    <row r="36">
      <c r="A36" s="7" t="inlineStr">
        <is>
          <t>1950 to 1959</t>
        </is>
      </c>
      <c r="B36" s="25" t="n">
        <v>12.48</v>
      </c>
      <c r="C36" s="25" t="n">
        <v>9.9</v>
      </c>
      <c r="D36" s="25" t="n">
        <v>0.4</v>
      </c>
      <c r="E36" s="25" t="n">
        <v>0.77</v>
      </c>
      <c r="F36" s="25" t="n">
        <v>1.25</v>
      </c>
      <c r="G36" s="25" t="n">
        <v>0.16</v>
      </c>
    </row>
    <row r="37">
      <c r="A37" s="7" t="inlineStr">
        <is>
          <t>1960 to 1969</t>
        </is>
      </c>
      <c r="B37" s="25" t="n">
        <v>12.76</v>
      </c>
      <c r="C37" s="25" t="n">
        <v>8.23</v>
      </c>
      <c r="D37" s="25" t="n">
        <v>0.63</v>
      </c>
      <c r="E37" s="25" t="n">
        <v>1.12</v>
      </c>
      <c r="F37" s="25" t="n">
        <v>2.41</v>
      </c>
      <c r="G37" s="25" t="n">
        <v>0.37</v>
      </c>
    </row>
    <row r="38" ht="24" customHeight="1">
      <c r="A38" s="7" t="inlineStr">
        <is>
          <t>1970 to 1979</t>
        </is>
      </c>
      <c r="B38" s="25" t="n">
        <v>18.34</v>
      </c>
      <c r="C38" s="25" t="n">
        <v>10.46</v>
      </c>
      <c r="D38" s="25" t="n">
        <v>0.97</v>
      </c>
      <c r="E38" s="25" t="n">
        <v>1.56</v>
      </c>
      <c r="F38" s="25" t="n">
        <v>4.01</v>
      </c>
      <c r="G38" s="25" t="n">
        <v>1.34</v>
      </c>
    </row>
    <row r="39">
      <c r="A39" s="7" t="inlineStr">
        <is>
          <t>1980 to 1989</t>
        </is>
      </c>
      <c r="B39" s="25" t="n">
        <v>16.3</v>
      </c>
      <c r="C39" s="25" t="n">
        <v>8.67</v>
      </c>
      <c r="D39" s="25" t="n">
        <v>1.26</v>
      </c>
      <c r="E39" s="25" t="n">
        <v>1.43</v>
      </c>
      <c r="F39" s="25" t="n">
        <v>3.6</v>
      </c>
      <c r="G39" s="25" t="n">
        <v>1.33</v>
      </c>
    </row>
    <row r="40">
      <c r="A40" s="7" t="inlineStr">
        <is>
          <t>1990 to 1999</t>
        </is>
      </c>
      <c r="B40" s="25" t="n">
        <v>17.16</v>
      </c>
      <c r="C40" s="25" t="n">
        <v>10.65</v>
      </c>
      <c r="D40" s="25" t="n">
        <v>1.08</v>
      </c>
      <c r="E40" s="25" t="n">
        <v>0.95</v>
      </c>
      <c r="F40" s="25" t="n">
        <v>2.55</v>
      </c>
      <c r="G40" s="25" t="n">
        <v>1.92</v>
      </c>
    </row>
    <row r="41">
      <c r="A41" s="7" t="inlineStr">
        <is>
          <t>2000 to 2009</t>
        </is>
      </c>
      <c r="B41" s="25" t="n">
        <v>16.16</v>
      </c>
      <c r="C41" s="25" t="n">
        <v>9.98</v>
      </c>
      <c r="D41" s="25" t="n">
        <v>1.31</v>
      </c>
      <c r="E41" s="25" t="n">
        <v>0.72</v>
      </c>
      <c r="F41" s="25" t="n">
        <v>3.17</v>
      </c>
      <c r="G41" s="25" t="n">
        <v>0.98</v>
      </c>
    </row>
    <row r="42">
      <c r="A42" s="7" t="inlineStr">
        <is>
          <t>2010 to 2015</t>
        </is>
      </c>
      <c r="B42" s="25" t="n">
        <v>5.53</v>
      </c>
      <c r="C42" s="25" t="n">
        <v>3.05</v>
      </c>
      <c r="D42" s="25" t="n">
        <v>0.37</v>
      </c>
      <c r="E42" s="25" t="n">
        <v>0.26</v>
      </c>
      <c r="F42" s="25" t="n">
        <v>1.52</v>
      </c>
      <c r="G42" s="25" t="n">
        <v>0.32</v>
      </c>
    </row>
    <row r="43">
      <c r="A43" s="7" t="inlineStr">
        <is>
          <t>2016 to 2020</t>
        </is>
      </c>
      <c r="B43" s="25" t="n">
        <v>4.56</v>
      </c>
      <c r="C43" s="25" t="n">
        <v>2.53</v>
      </c>
      <c r="D43" s="25" t="n">
        <v>0.29</v>
      </c>
      <c r="E43" s="25" t="n">
        <v>0.18</v>
      </c>
      <c r="F43" s="25" t="n">
        <v>1.26</v>
      </c>
      <c r="G43" s="25" t="n">
        <v>0.31</v>
      </c>
    </row>
    <row r="44">
      <c r="A44" s="23" t="inlineStr">
        <is>
          <t>Number of stories</t>
        </is>
      </c>
      <c r="B44" s="24" t="inlineStr"/>
      <c r="C44" s="24" t="inlineStr"/>
      <c r="D44" s="24" t="inlineStr"/>
      <c r="E44" s="24" t="inlineStr"/>
      <c r="F44" s="24" t="inlineStr"/>
      <c r="G44" s="24" t="inlineStr"/>
    </row>
    <row r="45">
      <c r="A45" s="7" t="inlineStr">
        <is>
          <t>1 story</t>
        </is>
      </c>
      <c r="B45" s="25" t="n">
        <v>47.15</v>
      </c>
      <c r="C45" s="25" t="n">
        <v>44.59</v>
      </c>
      <c r="D45" s="25" t="n">
        <v>2.57</v>
      </c>
      <c r="E45" s="25" t="inlineStr">
        <is>
          <t>N</t>
        </is>
      </c>
      <c r="F45" s="25" t="inlineStr">
        <is>
          <t>N</t>
        </is>
      </c>
      <c r="G45" s="25" t="inlineStr">
        <is>
          <t>N</t>
        </is>
      </c>
    </row>
    <row r="46">
      <c r="A46" s="7" t="inlineStr">
        <is>
          <t>2 stories</t>
        </is>
      </c>
      <c r="B46" s="25" t="n">
        <v>32.47</v>
      </c>
      <c r="C46" s="25" t="n">
        <v>28.53</v>
      </c>
      <c r="D46" s="25" t="n">
        <v>3.94</v>
      </c>
      <c r="E46" s="25" t="inlineStr">
        <is>
          <t>N</t>
        </is>
      </c>
      <c r="F46" s="25" t="inlineStr">
        <is>
          <t>N</t>
        </is>
      </c>
      <c r="G46" s="25" t="inlineStr">
        <is>
          <t>N</t>
        </is>
      </c>
    </row>
    <row r="47" ht="24" customHeight="1">
      <c r="A47" s="7" t="inlineStr">
        <is>
          <t>3 or more stories</t>
        </is>
      </c>
      <c r="B47" s="25" t="n">
        <v>2.61</v>
      </c>
      <c r="C47" s="25" t="n">
        <v>1.76</v>
      </c>
      <c r="D47" s="25" t="n">
        <v>0.85</v>
      </c>
      <c r="E47" s="25" t="inlineStr">
        <is>
          <t>N</t>
        </is>
      </c>
      <c r="F47" s="25" t="inlineStr">
        <is>
          <t>N</t>
        </is>
      </c>
      <c r="G47" s="25" t="inlineStr">
        <is>
          <t>N</t>
        </is>
      </c>
    </row>
    <row r="48">
      <c r="A48" s="7" t="inlineStr">
        <is>
          <t>Split-level</t>
        </is>
      </c>
      <c r="B48" s="25" t="n">
        <v>2.28</v>
      </c>
      <c r="C48" s="25" t="n">
        <v>2.19</v>
      </c>
      <c r="D48" s="25" t="n">
        <v>0.09</v>
      </c>
      <c r="E48" s="25" t="inlineStr">
        <is>
          <t>N</t>
        </is>
      </c>
      <c r="F48" s="25" t="inlineStr">
        <is>
          <t>N</t>
        </is>
      </c>
      <c r="G48" s="25" t="inlineStr">
        <is>
          <t>N</t>
        </is>
      </c>
    </row>
    <row r="49" ht="27.25" customHeight="1">
      <c r="A49" s="7" t="inlineStr">
        <is>
          <t>Not asked (apartments and mobile homes)</t>
        </is>
      </c>
      <c r="B49" s="25" t="n">
        <v>39.01</v>
      </c>
      <c r="C49" s="25" t="inlineStr">
        <is>
          <t>N</t>
        </is>
      </c>
      <c r="D49" s="25" t="inlineStr">
        <is>
          <t>N</t>
        </is>
      </c>
      <c r="E49" s="25" t="n">
        <v>9.34</v>
      </c>
      <c r="F49" s="25" t="n">
        <v>22.84</v>
      </c>
      <c r="G49" s="25" t="n">
        <v>6.83</v>
      </c>
    </row>
    <row r="50">
      <c r="A50" s="23" t="inlineStr">
        <is>
          <t>Major outside wall construction</t>
        </is>
      </c>
      <c r="B50" s="24" t="inlineStr"/>
      <c r="C50" s="24" t="inlineStr"/>
      <c r="D50" s="24" t="inlineStr"/>
      <c r="E50" s="24" t="inlineStr"/>
      <c r="F50" s="24" t="inlineStr"/>
      <c r="G50" s="24" t="inlineStr"/>
    </row>
    <row r="51" ht="27.25" customHeight="1">
      <c r="A51" s="7" t="inlineStr">
        <is>
          <t>Siding (aluminum, fiber cement, vinyl, or steel)</t>
        </is>
      </c>
      <c r="B51" s="25" t="n">
        <v>45.44</v>
      </c>
      <c r="C51" s="25" t="n">
        <v>31.14</v>
      </c>
      <c r="D51" s="25" t="n">
        <v>2.83</v>
      </c>
      <c r="E51" s="25" t="n">
        <v>2.23</v>
      </c>
      <c r="F51" s="25" t="n">
        <v>3.79</v>
      </c>
      <c r="G51" s="25" t="n">
        <v>5.45</v>
      </c>
    </row>
    <row r="52">
      <c r="A52" s="7" t="inlineStr">
        <is>
          <t>Brick</t>
        </is>
      </c>
      <c r="B52" s="25" t="n">
        <v>33.37</v>
      </c>
      <c r="C52" s="25" t="n">
        <v>17.52</v>
      </c>
      <c r="D52" s="25" t="n">
        <v>2.01</v>
      </c>
      <c r="E52" s="25" t="n">
        <v>3.79</v>
      </c>
      <c r="F52" s="25" t="n">
        <v>9.800000000000001</v>
      </c>
      <c r="G52" s="25" t="n">
        <v>0.24</v>
      </c>
    </row>
    <row r="53" ht="24" customHeight="1">
      <c r="A53" s="7" t="inlineStr">
        <is>
          <t>Wood</t>
        </is>
      </c>
      <c r="B53" s="25" t="n">
        <v>18.8</v>
      </c>
      <c r="C53" s="25" t="n">
        <v>12.63</v>
      </c>
      <c r="D53" s="25" t="n">
        <v>0.92</v>
      </c>
      <c r="E53" s="25" t="n">
        <v>1.55</v>
      </c>
      <c r="F53" s="25" t="n">
        <v>2.86</v>
      </c>
      <c r="G53" s="25" t="n">
        <v>0.84</v>
      </c>
    </row>
    <row r="54" ht="15" customHeight="1">
      <c r="A54" s="7" t="inlineStr">
        <is>
          <t>Stucco</t>
        </is>
      </c>
      <c r="B54" s="25" t="n">
        <v>15.65</v>
      </c>
      <c r="C54" s="25" t="n">
        <v>10.54</v>
      </c>
      <c r="D54" s="25" t="n">
        <v>1.07</v>
      </c>
      <c r="E54" s="25" t="n">
        <v>0.89</v>
      </c>
      <c r="F54" s="25" t="n">
        <v>3.08</v>
      </c>
      <c r="G54" s="25" t="n">
        <v>0.08</v>
      </c>
    </row>
    <row r="55">
      <c r="A55" s="7" t="inlineStr">
        <is>
          <t>Concrete block</t>
        </is>
      </c>
      <c r="B55" s="25" t="n">
        <v>6.42</v>
      </c>
      <c r="C55" s="25" t="n">
        <v>2.89</v>
      </c>
      <c r="D55" s="25" t="n">
        <v>0.41</v>
      </c>
      <c r="E55" s="25" t="n">
        <v>0.5</v>
      </c>
      <c r="F55" s="25" t="n">
        <v>2.56</v>
      </c>
      <c r="G55" s="25" t="inlineStr">
        <is>
          <t>Q</t>
        </is>
      </c>
    </row>
    <row r="56">
      <c r="A56" s="7" t="inlineStr">
        <is>
          <t>Shingle (composition)</t>
        </is>
      </c>
      <c r="B56" s="25" t="n">
        <v>1.89</v>
      </c>
      <c r="C56" s="25" t="n">
        <v>1.16</v>
      </c>
      <c r="D56" s="25" t="n">
        <v>0.11</v>
      </c>
      <c r="E56" s="25" t="n">
        <v>0.21</v>
      </c>
      <c r="F56" s="25" t="n">
        <v>0.3</v>
      </c>
      <c r="G56" s="25" t="n">
        <v>0.11</v>
      </c>
    </row>
    <row r="57">
      <c r="A57" s="7" t="inlineStr">
        <is>
          <t>Stone</t>
        </is>
      </c>
      <c r="B57" s="25" t="n">
        <v>1.46</v>
      </c>
      <c r="C57" s="25" t="n">
        <v>0.9399999999999999</v>
      </c>
      <c r="D57" s="25" t="n">
        <v>0.08</v>
      </c>
      <c r="E57" s="25" t="n">
        <v>0.14</v>
      </c>
      <c r="F57" s="25" t="n">
        <v>0.31</v>
      </c>
      <c r="G57" s="25" t="inlineStr">
        <is>
          <t>N</t>
        </is>
      </c>
    </row>
    <row r="58">
      <c r="A58" s="7" t="inlineStr">
        <is>
          <t>Some other material</t>
        </is>
      </c>
      <c r="B58" s="25" t="n">
        <v>0.5</v>
      </c>
      <c r="C58" s="25" t="n">
        <v>0.26</v>
      </c>
      <c r="D58" s="25" t="inlineStr">
        <is>
          <t>Q</t>
        </is>
      </c>
      <c r="E58" s="25" t="inlineStr">
        <is>
          <t>Q</t>
        </is>
      </c>
      <c r="F58" s="25" t="n">
        <v>0.14</v>
      </c>
      <c r="G58" s="25" t="inlineStr">
        <is>
          <t>Q</t>
        </is>
      </c>
    </row>
    <row r="59">
      <c r="A59" s="23" t="inlineStr">
        <is>
          <t>Major roofing material</t>
        </is>
      </c>
      <c r="B59" s="24" t="inlineStr"/>
      <c r="C59" s="24" t="inlineStr"/>
      <c r="D59" s="24" t="inlineStr"/>
      <c r="E59" s="24" t="inlineStr"/>
      <c r="F59" s="24" t="inlineStr"/>
      <c r="G59" s="24" t="inlineStr"/>
    </row>
    <row r="60">
      <c r="A60" s="7" t="inlineStr">
        <is>
          <t>Shingles (composition or asphalt)</t>
        </is>
      </c>
      <c r="B60" s="25" t="n">
        <v>76.03</v>
      </c>
      <c r="C60" s="25" t="n">
        <v>61.56</v>
      </c>
      <c r="D60" s="25" t="n">
        <v>5.49</v>
      </c>
      <c r="E60" s="25" t="n">
        <v>5.89</v>
      </c>
      <c r="F60" s="25" t="inlineStr">
        <is>
          <t>N</t>
        </is>
      </c>
      <c r="G60" s="25" t="n">
        <v>3.09</v>
      </c>
    </row>
    <row r="61">
      <c r="A61" s="7" t="inlineStr">
        <is>
          <t>Metal</t>
        </is>
      </c>
      <c r="B61" s="25" t="n">
        <v>9.69</v>
      </c>
      <c r="C61" s="25" t="n">
        <v>5.87</v>
      </c>
      <c r="D61" s="25" t="n">
        <v>0.28</v>
      </c>
      <c r="E61" s="25" t="n">
        <v>0.46</v>
      </c>
      <c r="F61" s="25" t="inlineStr">
        <is>
          <t>N</t>
        </is>
      </c>
      <c r="G61" s="25" t="n">
        <v>3.08</v>
      </c>
    </row>
    <row r="62" ht="24" customHeight="1">
      <c r="A62" s="7" t="inlineStr">
        <is>
          <t>Wood shingles or shakes</t>
        </is>
      </c>
      <c r="B62" s="25" t="n">
        <v>5.19</v>
      </c>
      <c r="C62" s="25" t="n">
        <v>3.06</v>
      </c>
      <c r="D62" s="25" t="n">
        <v>0.55</v>
      </c>
      <c r="E62" s="25" t="n">
        <v>1.23</v>
      </c>
      <c r="F62" s="25" t="inlineStr">
        <is>
          <t>N</t>
        </is>
      </c>
      <c r="G62" s="25" t="n">
        <v>0.35</v>
      </c>
    </row>
    <row r="63">
      <c r="A63" s="7" t="inlineStr">
        <is>
          <t>Ceramic or clay tiles</t>
        </is>
      </c>
      <c r="B63" s="25" t="n">
        <v>4.89</v>
      </c>
      <c r="C63" s="25" t="n">
        <v>3.6</v>
      </c>
      <c r="D63" s="25" t="n">
        <v>0.59</v>
      </c>
      <c r="E63" s="25" t="n">
        <v>0.66</v>
      </c>
      <c r="F63" s="25" t="inlineStr">
        <is>
          <t>N</t>
        </is>
      </c>
      <c r="G63" s="25" t="inlineStr">
        <is>
          <t>Q</t>
        </is>
      </c>
    </row>
    <row r="64">
      <c r="A64" s="7" t="inlineStr">
        <is>
          <t>Concrete tiles</t>
        </is>
      </c>
      <c r="B64" s="25" t="n">
        <v>2.14</v>
      </c>
      <c r="C64" s="25" t="n">
        <v>1.58</v>
      </c>
      <c r="D64" s="25" t="n">
        <v>0.11</v>
      </c>
      <c r="E64" s="25" t="n">
        <v>0.43</v>
      </c>
      <c r="F64" s="25" t="inlineStr">
        <is>
          <t>N</t>
        </is>
      </c>
      <c r="G64" s="25" t="inlineStr">
        <is>
          <t>Q</t>
        </is>
      </c>
    </row>
    <row r="65">
      <c r="A65" s="7" t="inlineStr">
        <is>
          <t>Slate or synthetic slate</t>
        </is>
      </c>
      <c r="B65" s="25" t="n">
        <v>1.49</v>
      </c>
      <c r="C65" s="25" t="n">
        <v>0.73</v>
      </c>
      <c r="D65" s="25" t="n">
        <v>0.18</v>
      </c>
      <c r="E65" s="25" t="n">
        <v>0.51</v>
      </c>
      <c r="F65" s="25" t="inlineStr">
        <is>
          <t>N</t>
        </is>
      </c>
      <c r="G65" s="25" t="n">
        <v>0.08</v>
      </c>
    </row>
    <row r="66">
      <c r="A66" s="7" t="inlineStr">
        <is>
          <t>Some other material</t>
        </is>
      </c>
      <c r="B66" s="25" t="n">
        <v>1.26</v>
      </c>
      <c r="C66" s="25" t="n">
        <v>0.67</v>
      </c>
      <c r="D66" s="25" t="n">
        <v>0.27</v>
      </c>
      <c r="E66" s="25" t="n">
        <v>0.15</v>
      </c>
      <c r="F66" s="25" t="inlineStr">
        <is>
          <t>N</t>
        </is>
      </c>
      <c r="G66" s="25" t="n">
        <v>0.18</v>
      </c>
    </row>
    <row r="67" ht="27.25" customHeight="1">
      <c r="A67" s="7" t="inlineStr">
        <is>
          <t>Not asked (apartments in buildings with 5 or more units)</t>
        </is>
      </c>
      <c r="B67" s="25" t="n">
        <v>22.84</v>
      </c>
      <c r="C67" s="25" t="inlineStr">
        <is>
          <t>N</t>
        </is>
      </c>
      <c r="D67" s="25" t="inlineStr">
        <is>
          <t>N</t>
        </is>
      </c>
      <c r="E67" s="25" t="inlineStr">
        <is>
          <t>N</t>
        </is>
      </c>
      <c r="F67" s="25" t="n">
        <v>22.84</v>
      </c>
      <c r="G67" s="25" t="inlineStr">
        <is>
          <t>N</t>
        </is>
      </c>
    </row>
    <row r="68" ht="27.25" customHeight="1">
      <c r="A68" s="23" t="inlineStr">
        <is>
          <t>Total number of rooms (excluding bathrooms)</t>
        </is>
      </c>
      <c r="B68" s="24" t="inlineStr"/>
      <c r="C68" s="24" t="inlineStr"/>
      <c r="D68" s="24" t="inlineStr"/>
      <c r="E68" s="24" t="inlineStr"/>
      <c r="F68" s="24" t="inlineStr"/>
      <c r="G68" s="24" t="inlineStr"/>
    </row>
    <row r="69">
      <c r="A69" s="28" t="inlineStr">
        <is>
          <t>1 or 2</t>
        </is>
      </c>
      <c r="B69" s="25" t="n">
        <v>4.59</v>
      </c>
      <c r="C69" s="25" t="n">
        <v>0.09</v>
      </c>
      <c r="D69" s="25" t="n">
        <v>0.05</v>
      </c>
      <c r="E69" s="25" t="n">
        <v>0.77</v>
      </c>
      <c r="F69" s="25" t="n">
        <v>3.56</v>
      </c>
      <c r="G69" s="25" t="n">
        <v>0.11</v>
      </c>
    </row>
    <row r="70">
      <c r="A70" s="28" t="n">
        <v>3</v>
      </c>
      <c r="B70" s="25" t="n">
        <v>8.73</v>
      </c>
      <c r="C70" s="25" t="n">
        <v>0.65</v>
      </c>
      <c r="D70" s="25" t="n">
        <v>0.3</v>
      </c>
      <c r="E70" s="25" t="n">
        <v>1.71</v>
      </c>
      <c r="F70" s="25" t="n">
        <v>5.86</v>
      </c>
      <c r="G70" s="25" t="n">
        <v>0.21</v>
      </c>
    </row>
    <row r="71" ht="33.95" customHeight="1">
      <c r="A71" s="28" t="n">
        <v>4</v>
      </c>
      <c r="B71" s="25" t="n">
        <v>15.95</v>
      </c>
      <c r="C71" s="25" t="n">
        <v>3.3</v>
      </c>
      <c r="D71" s="25" t="n">
        <v>1.46</v>
      </c>
      <c r="E71" s="25" t="n">
        <v>3.04</v>
      </c>
      <c r="F71" s="25" t="n">
        <v>6.98</v>
      </c>
      <c r="G71" s="25" t="n">
        <v>1.17</v>
      </c>
    </row>
    <row r="72">
      <c r="A72" s="28" t="n">
        <v>5</v>
      </c>
      <c r="B72" s="25" t="n">
        <v>19.54</v>
      </c>
      <c r="C72" s="25" t="n">
        <v>9.77</v>
      </c>
      <c r="D72" s="25" t="n">
        <v>1.81</v>
      </c>
      <c r="E72" s="25" t="n">
        <v>2.17</v>
      </c>
      <c r="F72" s="25" t="n">
        <v>4.13</v>
      </c>
      <c r="G72" s="25" t="n">
        <v>1.65</v>
      </c>
    </row>
    <row r="73">
      <c r="A73" s="28" t="n">
        <v>6</v>
      </c>
      <c r="B73" s="25" t="n">
        <v>22.1</v>
      </c>
      <c r="C73" s="25" t="n">
        <v>15.86</v>
      </c>
      <c r="D73" s="25" t="n">
        <v>1.66</v>
      </c>
      <c r="E73" s="25" t="n">
        <v>0.97</v>
      </c>
      <c r="F73" s="25" t="n">
        <v>1.68</v>
      </c>
      <c r="G73" s="25" t="n">
        <v>1.94</v>
      </c>
    </row>
    <row r="74">
      <c r="A74" s="28" t="n">
        <v>7</v>
      </c>
      <c r="B74" s="25" t="n">
        <v>18.86</v>
      </c>
      <c r="C74" s="25" t="n">
        <v>16.23</v>
      </c>
      <c r="D74" s="25" t="n">
        <v>1.1</v>
      </c>
      <c r="E74" s="25" t="n">
        <v>0.27</v>
      </c>
      <c r="F74" s="25" t="n">
        <v>0.38</v>
      </c>
      <c r="G74" s="25" t="n">
        <v>0.87</v>
      </c>
    </row>
    <row r="75">
      <c r="A75" s="28" t="n">
        <v>8</v>
      </c>
      <c r="B75" s="25" t="n">
        <v>13.87</v>
      </c>
      <c r="C75" s="25" t="n">
        <v>12.42</v>
      </c>
      <c r="D75" s="25" t="n">
        <v>0.5600000000000001</v>
      </c>
      <c r="E75" s="25" t="n">
        <v>0.16</v>
      </c>
      <c r="F75" s="25" t="n">
        <v>0.15</v>
      </c>
      <c r="G75" s="25" t="n">
        <v>0.58</v>
      </c>
    </row>
    <row r="76">
      <c r="A76" s="28" t="inlineStr">
        <is>
          <t>9 or more</t>
        </is>
      </c>
      <c r="B76" s="25" t="n">
        <v>19.9</v>
      </c>
      <c r="C76" s="25" t="n">
        <v>18.73</v>
      </c>
      <c r="D76" s="25" t="n">
        <v>0.51</v>
      </c>
      <c r="E76" s="25" t="n">
        <v>0.25</v>
      </c>
      <c r="F76" s="25" t="n">
        <v>0.11</v>
      </c>
      <c r="G76" s="25" t="n">
        <v>0.3</v>
      </c>
    </row>
    <row r="77">
      <c r="A77" s="23" t="inlineStr">
        <is>
          <t>Number of bedrooms</t>
        </is>
      </c>
      <c r="B77" s="25" t="inlineStr"/>
      <c r="C77" s="25" t="inlineStr"/>
      <c r="D77" s="25" t="inlineStr"/>
      <c r="E77" s="25" t="inlineStr"/>
      <c r="F77" s="25" t="inlineStr"/>
      <c r="G77" s="25" t="inlineStr"/>
    </row>
    <row r="78">
      <c r="A78" s="28" t="n">
        <v>0</v>
      </c>
      <c r="B78" s="25" t="n">
        <v>1.82</v>
      </c>
      <c r="C78" s="25" t="n">
        <v>0.1</v>
      </c>
      <c r="D78" s="25" t="inlineStr">
        <is>
          <t>Q</t>
        </is>
      </c>
      <c r="E78" s="25" t="n">
        <v>0.32</v>
      </c>
      <c r="F78" s="25" t="n">
        <v>1.36</v>
      </c>
      <c r="G78" s="25" t="inlineStr">
        <is>
          <t>Q</t>
        </is>
      </c>
    </row>
    <row r="79">
      <c r="A79" s="28" t="n">
        <v>1</v>
      </c>
      <c r="B79" s="25" t="n">
        <v>14.52</v>
      </c>
      <c r="C79" s="25" t="n">
        <v>1.25</v>
      </c>
      <c r="D79" s="25" t="n">
        <v>0.49</v>
      </c>
      <c r="E79" s="25" t="n">
        <v>2.61</v>
      </c>
      <c r="F79" s="25" t="n">
        <v>9.779999999999999</v>
      </c>
      <c r="G79" s="25" t="n">
        <v>0.4</v>
      </c>
    </row>
    <row r="80" ht="24" customHeight="1">
      <c r="A80" s="28" t="n">
        <v>2</v>
      </c>
      <c r="B80" s="25" t="n">
        <v>30.67</v>
      </c>
      <c r="C80" s="25" t="n">
        <v>10.56</v>
      </c>
      <c r="D80" s="25" t="n">
        <v>3.19</v>
      </c>
      <c r="E80" s="25" t="n">
        <v>4.57</v>
      </c>
      <c r="F80" s="25" t="n">
        <v>9.99</v>
      </c>
      <c r="G80" s="25" t="n">
        <v>2.36</v>
      </c>
    </row>
    <row r="81">
      <c r="A81" s="28" t="n">
        <v>3</v>
      </c>
      <c r="B81" s="25" t="n">
        <v>48.27</v>
      </c>
      <c r="C81" s="25" t="n">
        <v>38.87</v>
      </c>
      <c r="D81" s="25" t="n">
        <v>2.94</v>
      </c>
      <c r="E81" s="25" t="n">
        <v>1.48</v>
      </c>
      <c r="F81" s="25" t="n">
        <v>1.51</v>
      </c>
      <c r="G81" s="25" t="n">
        <v>3.49</v>
      </c>
    </row>
    <row r="82">
      <c r="A82" s="28" t="n">
        <v>4</v>
      </c>
      <c r="B82" s="25" t="n">
        <v>22.08</v>
      </c>
      <c r="C82" s="25" t="n">
        <v>20.61</v>
      </c>
      <c r="D82" s="25" t="n">
        <v>0.58</v>
      </c>
      <c r="E82" s="25" t="n">
        <v>0.23</v>
      </c>
      <c r="F82" s="25" t="n">
        <v>0.15</v>
      </c>
      <c r="G82" s="25" t="n">
        <v>0.51</v>
      </c>
    </row>
    <row r="83">
      <c r="A83" s="28" t="inlineStr">
        <is>
          <t>5 or more</t>
        </is>
      </c>
      <c r="B83" s="25" t="n">
        <v>6.16</v>
      </c>
      <c r="C83" s="25" t="n">
        <v>5.69</v>
      </c>
      <c r="D83" s="25" t="n">
        <v>0.21</v>
      </c>
      <c r="E83" s="25" t="n">
        <v>0.13</v>
      </c>
      <c r="F83" s="25" t="inlineStr">
        <is>
          <t>Q</t>
        </is>
      </c>
      <c r="G83" s="25" t="n">
        <v>0.07000000000000001</v>
      </c>
    </row>
    <row r="84" ht="27.25" customHeight="1">
      <c r="A84" s="23" t="inlineStr">
        <is>
          <t>Number of other rooms (excluding bathrooms)</t>
        </is>
      </c>
      <c r="B84" s="24" t="inlineStr"/>
      <c r="C84" s="24" t="inlineStr"/>
      <c r="D84" s="24" t="inlineStr"/>
      <c r="E84" s="24" t="inlineStr"/>
      <c r="F84" s="24" t="inlineStr"/>
      <c r="G84" s="24" t="inlineStr"/>
    </row>
    <row r="85">
      <c r="A85" s="28" t="n">
        <v>1</v>
      </c>
      <c r="B85" s="25" t="n">
        <v>8.41</v>
      </c>
      <c r="C85" s="25" t="n">
        <v>1.43</v>
      </c>
      <c r="D85" s="25" t="n">
        <v>0.31</v>
      </c>
      <c r="E85" s="25" t="n">
        <v>1.55</v>
      </c>
      <c r="F85" s="25" t="n">
        <v>4.84</v>
      </c>
      <c r="G85" s="25" t="n">
        <v>0.28</v>
      </c>
    </row>
    <row r="86">
      <c r="A86" s="28" t="n">
        <v>2</v>
      </c>
      <c r="B86" s="25" t="n">
        <v>27.88</v>
      </c>
      <c r="C86" s="25" t="n">
        <v>9.65</v>
      </c>
      <c r="D86" s="25" t="n">
        <v>2.13</v>
      </c>
      <c r="E86" s="25" t="n">
        <v>3.9</v>
      </c>
      <c r="F86" s="25" t="n">
        <v>10.07</v>
      </c>
      <c r="G86" s="25" t="n">
        <v>2.13</v>
      </c>
    </row>
    <row r="87" ht="33.95" customHeight="1">
      <c r="A87" s="28" t="n">
        <v>3</v>
      </c>
      <c r="B87" s="25" t="n">
        <v>32.82</v>
      </c>
      <c r="C87" s="25" t="n">
        <v>19.91</v>
      </c>
      <c r="D87" s="25" t="n">
        <v>2.39</v>
      </c>
      <c r="E87" s="25" t="n">
        <v>2.55</v>
      </c>
      <c r="F87" s="25" t="n">
        <v>5.6</v>
      </c>
      <c r="G87" s="25" t="n">
        <v>2.36</v>
      </c>
    </row>
    <row r="88">
      <c r="A88" s="28" t="n">
        <v>4</v>
      </c>
      <c r="B88" s="25" t="n">
        <v>26.77</v>
      </c>
      <c r="C88" s="25" t="n">
        <v>21.33</v>
      </c>
      <c r="D88" s="25" t="n">
        <v>1.5</v>
      </c>
      <c r="E88" s="25" t="n">
        <v>0.82</v>
      </c>
      <c r="F88" s="25" t="n">
        <v>1.86</v>
      </c>
      <c r="G88" s="25" t="n">
        <v>1.26</v>
      </c>
    </row>
    <row r="89">
      <c r="A89" s="28" t="inlineStr">
        <is>
          <t>5 or more</t>
        </is>
      </c>
      <c r="B89" s="25" t="n">
        <v>27.64</v>
      </c>
      <c r="C89" s="25" t="n">
        <v>24.75</v>
      </c>
      <c r="D89" s="25" t="n">
        <v>1.11</v>
      </c>
      <c r="E89" s="25" t="n">
        <v>0.51</v>
      </c>
      <c r="F89" s="25" t="n">
        <v>0.47</v>
      </c>
      <c r="G89" s="25" t="n">
        <v>0.79</v>
      </c>
    </row>
    <row r="90">
      <c r="A90" s="23" t="inlineStr">
        <is>
          <t>Number of full bathrooms</t>
        </is>
      </c>
      <c r="B90" s="24" t="inlineStr"/>
      <c r="C90" s="24" t="inlineStr"/>
      <c r="D90" s="24" t="inlineStr"/>
      <c r="E90" s="24" t="inlineStr"/>
      <c r="F90" s="24" t="inlineStr"/>
      <c r="G90" s="24" t="inlineStr"/>
    </row>
    <row r="91">
      <c r="A91" s="28" t="n">
        <v>0</v>
      </c>
      <c r="B91" s="25" t="n">
        <v>0.15</v>
      </c>
      <c r="C91" s="25" t="n">
        <v>0.07000000000000001</v>
      </c>
      <c r="D91" s="25" t="inlineStr">
        <is>
          <t>Q</t>
        </is>
      </c>
      <c r="E91" s="25" t="inlineStr">
        <is>
          <t>Q</t>
        </is>
      </c>
      <c r="F91" s="25" t="inlineStr">
        <is>
          <t>Q</t>
        </is>
      </c>
      <c r="G91" s="25" t="inlineStr">
        <is>
          <t>Q</t>
        </is>
      </c>
    </row>
    <row r="92">
      <c r="A92" s="28" t="n">
        <v>1</v>
      </c>
      <c r="B92" s="25" t="n">
        <v>50.32</v>
      </c>
      <c r="C92" s="25" t="n">
        <v>21.7</v>
      </c>
      <c r="D92" s="25" t="n">
        <v>3.03</v>
      </c>
      <c r="E92" s="25" t="n">
        <v>7.24</v>
      </c>
      <c r="F92" s="25" t="n">
        <v>16.26</v>
      </c>
      <c r="G92" s="25" t="n">
        <v>2.1</v>
      </c>
    </row>
    <row r="93" ht="24" customHeight="1">
      <c r="A93" s="28" t="n">
        <v>2</v>
      </c>
      <c r="B93" s="25" t="n">
        <v>56.85</v>
      </c>
      <c r="C93" s="25" t="n">
        <v>40.42</v>
      </c>
      <c r="D93" s="25" t="n">
        <v>3.7</v>
      </c>
      <c r="E93" s="25" t="n">
        <v>1.86</v>
      </c>
      <c r="F93" s="25" t="n">
        <v>6.36</v>
      </c>
      <c r="G93" s="25" t="n">
        <v>4.51</v>
      </c>
    </row>
    <row r="94">
      <c r="A94" s="28" t="inlineStr">
        <is>
          <t>3 or more</t>
        </is>
      </c>
      <c r="B94" s="25" t="n">
        <v>16.21</v>
      </c>
      <c r="C94" s="25" t="n">
        <v>14.89</v>
      </c>
      <c r="D94" s="25" t="n">
        <v>0.72</v>
      </c>
      <c r="E94" s="25" t="n">
        <v>0.23</v>
      </c>
      <c r="F94" s="25" t="n">
        <v>0.15</v>
      </c>
      <c r="G94" s="25" t="n">
        <v>0.22</v>
      </c>
    </row>
    <row r="95">
      <c r="A95" s="23" t="inlineStr">
        <is>
          <t>Number of half bathrooms</t>
        </is>
      </c>
      <c r="B95" s="24" t="inlineStr"/>
      <c r="C95" s="24" t="inlineStr"/>
      <c r="D95" s="24" t="inlineStr"/>
      <c r="E95" s="24" t="inlineStr"/>
      <c r="F95" s="24" t="inlineStr"/>
      <c r="G95" s="24" t="inlineStr"/>
    </row>
    <row r="96">
      <c r="A96" s="28" t="n">
        <v>0</v>
      </c>
      <c r="B96" s="25" t="n">
        <v>86.83</v>
      </c>
      <c r="C96" s="25" t="n">
        <v>47.8</v>
      </c>
      <c r="D96" s="25" t="n">
        <v>4.06</v>
      </c>
      <c r="E96" s="25" t="n">
        <v>8.210000000000001</v>
      </c>
      <c r="F96" s="25" t="n">
        <v>20.77</v>
      </c>
      <c r="G96" s="25" t="n">
        <v>5.98</v>
      </c>
    </row>
    <row r="97">
      <c r="A97" s="28" t="n">
        <v>1</v>
      </c>
      <c r="B97" s="25" t="n">
        <v>33.79</v>
      </c>
      <c r="C97" s="25" t="n">
        <v>26.87</v>
      </c>
      <c r="D97" s="25" t="n">
        <v>3.21</v>
      </c>
      <c r="E97" s="25" t="n">
        <v>1.03</v>
      </c>
      <c r="F97" s="25" t="n">
        <v>1.94</v>
      </c>
      <c r="G97" s="25" t="n">
        <v>0.75</v>
      </c>
    </row>
    <row r="98" ht="24" customHeight="1">
      <c r="A98" s="28" t="inlineStr">
        <is>
          <t>2 or more</t>
        </is>
      </c>
      <c r="B98" s="25" t="n">
        <v>2.91</v>
      </c>
      <c r="C98" s="25" t="n">
        <v>2.39</v>
      </c>
      <c r="D98" s="25" t="n">
        <v>0.18</v>
      </c>
      <c r="E98" s="25" t="n">
        <v>0.11</v>
      </c>
      <c r="F98" s="25" t="n">
        <v>0.13</v>
      </c>
      <c r="G98" s="25" t="n">
        <v>0.1</v>
      </c>
    </row>
    <row r="99">
      <c r="A99" s="23" t="inlineStr">
        <is>
          <t>Basement</t>
        </is>
      </c>
      <c r="B99" s="24" t="inlineStr"/>
      <c r="C99" s="24" t="inlineStr"/>
      <c r="D99" s="24" t="inlineStr"/>
      <c r="E99" s="24" t="inlineStr"/>
      <c r="F99" s="24" t="inlineStr"/>
      <c r="G99" s="24" t="inlineStr"/>
    </row>
    <row r="100">
      <c r="A100" s="7" t="inlineStr">
        <is>
          <t>Yes</t>
        </is>
      </c>
      <c r="B100" s="25" t="n">
        <v>36.83</v>
      </c>
      <c r="C100" s="25" t="n">
        <v>33.86</v>
      </c>
      <c r="D100" s="25" t="n">
        <v>2.98</v>
      </c>
      <c r="E100" s="25" t="inlineStr">
        <is>
          <t>N</t>
        </is>
      </c>
      <c r="F100" s="25" t="inlineStr">
        <is>
          <t>N</t>
        </is>
      </c>
      <c r="G100" s="25" t="inlineStr">
        <is>
          <t>N</t>
        </is>
      </c>
    </row>
    <row r="101">
      <c r="A101" s="26" t="inlineStr">
        <is>
          <t>Finished basement</t>
        </is>
      </c>
      <c r="B101" s="25" t="n">
        <v>21.71</v>
      </c>
      <c r="C101" s="25" t="n">
        <v>19.85</v>
      </c>
      <c r="D101" s="25" t="n">
        <v>1.87</v>
      </c>
      <c r="E101" s="25" t="inlineStr">
        <is>
          <t>N</t>
        </is>
      </c>
      <c r="F101" s="25" t="inlineStr">
        <is>
          <t>N</t>
        </is>
      </c>
      <c r="G101" s="25" t="inlineStr">
        <is>
          <t>N</t>
        </is>
      </c>
    </row>
    <row r="102" ht="24" customHeight="1">
      <c r="A102" s="26" t="inlineStr">
        <is>
          <t>Unfinished basement</t>
        </is>
      </c>
      <c r="B102" s="25" t="n">
        <v>15.12</v>
      </c>
      <c r="C102" s="25" t="n">
        <v>14.01</v>
      </c>
      <c r="D102" s="25" t="n">
        <v>1.11</v>
      </c>
      <c r="E102" s="25" t="inlineStr">
        <is>
          <t>N</t>
        </is>
      </c>
      <c r="F102" s="25" t="inlineStr">
        <is>
          <t>N</t>
        </is>
      </c>
      <c r="G102" s="25" t="inlineStr">
        <is>
          <t>N</t>
        </is>
      </c>
    </row>
    <row r="103">
      <c r="A103" s="28" t="inlineStr">
        <is>
          <t>No</t>
        </is>
      </c>
      <c r="B103" s="25" t="n">
        <v>47.68</v>
      </c>
      <c r="C103" s="25" t="n">
        <v>43.21</v>
      </c>
      <c r="D103" s="25" t="n">
        <v>4.47</v>
      </c>
      <c r="E103" s="25" t="inlineStr">
        <is>
          <t>N</t>
        </is>
      </c>
      <c r="F103" s="25" t="inlineStr">
        <is>
          <t>N</t>
        </is>
      </c>
      <c r="G103" s="25" t="inlineStr">
        <is>
          <t>N</t>
        </is>
      </c>
    </row>
    <row r="104" ht="27.25" customHeight="1">
      <c r="A104" s="28" t="inlineStr">
        <is>
          <t>Not asked (apartments and mobile homes)</t>
        </is>
      </c>
      <c r="B104" s="25" t="n">
        <v>39.01</v>
      </c>
      <c r="C104" s="25" t="inlineStr">
        <is>
          <t>N</t>
        </is>
      </c>
      <c r="D104" s="25" t="inlineStr">
        <is>
          <t>N</t>
        </is>
      </c>
      <c r="E104" s="25" t="n">
        <v>9.34</v>
      </c>
      <c r="F104" s="25" t="n">
        <v>22.84</v>
      </c>
      <c r="G104" s="25" t="n">
        <v>6.83</v>
      </c>
    </row>
    <row r="105">
      <c r="A105" s="23" t="inlineStr">
        <is>
          <t>Attic</t>
        </is>
      </c>
      <c r="B105" s="24" t="inlineStr"/>
      <c r="C105" s="24" t="inlineStr"/>
      <c r="D105" s="24" t="inlineStr"/>
      <c r="E105" s="24" t="inlineStr"/>
      <c r="F105" s="24" t="inlineStr"/>
      <c r="G105" s="24" t="inlineStr"/>
    </row>
    <row r="106">
      <c r="A106" s="7" t="inlineStr">
        <is>
          <t>Yes</t>
        </is>
      </c>
      <c r="B106" s="25" t="n">
        <v>56.5</v>
      </c>
      <c r="C106" s="25" t="n">
        <v>52.99</v>
      </c>
      <c r="D106" s="25" t="n">
        <v>3.52</v>
      </c>
      <c r="E106" s="25" t="inlineStr">
        <is>
          <t>N</t>
        </is>
      </c>
      <c r="F106" s="25" t="inlineStr">
        <is>
          <t>N</t>
        </is>
      </c>
      <c r="G106" s="25" t="inlineStr">
        <is>
          <t>N</t>
        </is>
      </c>
    </row>
    <row r="107">
      <c r="A107" s="26" t="inlineStr">
        <is>
          <t>Finished attic</t>
        </is>
      </c>
      <c r="B107" s="25" t="n">
        <v>7.68</v>
      </c>
      <c r="C107" s="25" t="n">
        <v>7.1</v>
      </c>
      <c r="D107" s="25" t="n">
        <v>0.57</v>
      </c>
      <c r="E107" s="25" t="inlineStr">
        <is>
          <t>N</t>
        </is>
      </c>
      <c r="F107" s="25" t="inlineStr">
        <is>
          <t>N</t>
        </is>
      </c>
      <c r="G107" s="25" t="inlineStr">
        <is>
          <t>N</t>
        </is>
      </c>
    </row>
    <row r="108" ht="24" customHeight="1">
      <c r="A108" s="26" t="inlineStr">
        <is>
          <t>Unfinished attic</t>
        </is>
      </c>
      <c r="B108" s="25" t="n">
        <v>48.83</v>
      </c>
      <c r="C108" s="25" t="n">
        <v>45.88</v>
      </c>
      <c r="D108" s="25" t="n">
        <v>2.94</v>
      </c>
      <c r="E108" s="25" t="inlineStr">
        <is>
          <t>N</t>
        </is>
      </c>
      <c r="F108" s="25" t="inlineStr">
        <is>
          <t>N</t>
        </is>
      </c>
      <c r="G108" s="25" t="inlineStr">
        <is>
          <t>N</t>
        </is>
      </c>
    </row>
    <row r="109">
      <c r="A109" s="7" t="inlineStr">
        <is>
          <t>No</t>
        </is>
      </c>
      <c r="B109" s="25" t="n">
        <v>28.01</v>
      </c>
      <c r="C109" s="25" t="n">
        <v>24.08</v>
      </c>
      <c r="D109" s="25" t="n">
        <v>3.94</v>
      </c>
      <c r="E109" s="25" t="inlineStr">
        <is>
          <t>N</t>
        </is>
      </c>
      <c r="F109" s="25" t="inlineStr">
        <is>
          <t>N</t>
        </is>
      </c>
      <c r="G109" s="25" t="inlineStr">
        <is>
          <t>N</t>
        </is>
      </c>
    </row>
    <row r="110" ht="27.25" customHeight="1">
      <c r="A110" s="28" t="inlineStr">
        <is>
          <t>Not asked (apartments and mobile homes)</t>
        </is>
      </c>
      <c r="B110" s="25" t="n">
        <v>39.01</v>
      </c>
      <c r="C110" s="25" t="inlineStr">
        <is>
          <t>N</t>
        </is>
      </c>
      <c r="D110" s="25" t="inlineStr">
        <is>
          <t>N</t>
        </is>
      </c>
      <c r="E110" s="25" t="n">
        <v>9.34</v>
      </c>
      <c r="F110" s="25" t="n">
        <v>22.84</v>
      </c>
      <c r="G110" s="25" t="n">
        <v>6.83</v>
      </c>
    </row>
    <row r="111">
      <c r="A111" s="23" t="inlineStr">
        <is>
          <t>Attached garage</t>
        </is>
      </c>
      <c r="B111" s="24" t="inlineStr"/>
      <c r="C111" s="24" t="inlineStr"/>
      <c r="D111" s="24" t="inlineStr"/>
      <c r="E111" s="24" t="inlineStr"/>
      <c r="F111" s="24" t="inlineStr"/>
      <c r="G111" s="24" t="inlineStr"/>
    </row>
    <row r="112">
      <c r="A112" s="7" t="inlineStr">
        <is>
          <t>Yes</t>
        </is>
      </c>
      <c r="B112" s="25" t="n">
        <v>51.79</v>
      </c>
      <c r="C112" s="25" t="n">
        <v>48.19</v>
      </c>
      <c r="D112" s="25" t="n">
        <v>3.6</v>
      </c>
      <c r="E112" s="25" t="inlineStr">
        <is>
          <t>N</t>
        </is>
      </c>
      <c r="F112" s="25" t="inlineStr">
        <is>
          <t>N</t>
        </is>
      </c>
      <c r="G112" s="25" t="inlineStr">
        <is>
          <t>N</t>
        </is>
      </c>
    </row>
    <row r="113">
      <c r="A113" s="26" t="inlineStr">
        <is>
          <t>1-car garage</t>
        </is>
      </c>
      <c r="B113" s="25" t="n">
        <v>11.27</v>
      </c>
      <c r="C113" s="25" t="n">
        <v>9.640000000000001</v>
      </c>
      <c r="D113" s="25" t="n">
        <v>1.64</v>
      </c>
      <c r="E113" s="25" t="inlineStr">
        <is>
          <t>N</t>
        </is>
      </c>
      <c r="F113" s="25" t="inlineStr">
        <is>
          <t>N</t>
        </is>
      </c>
      <c r="G113" s="25" t="inlineStr">
        <is>
          <t>N</t>
        </is>
      </c>
    </row>
    <row r="114" ht="24" customHeight="1">
      <c r="A114" s="26" t="inlineStr">
        <is>
          <t>2-car garage</t>
        </is>
      </c>
      <c r="B114" s="25" t="n">
        <v>34.18</v>
      </c>
      <c r="C114" s="25" t="n">
        <v>32.27</v>
      </c>
      <c r="D114" s="25" t="n">
        <v>1.91</v>
      </c>
      <c r="E114" s="25" t="inlineStr">
        <is>
          <t>N</t>
        </is>
      </c>
      <c r="F114" s="25" t="inlineStr">
        <is>
          <t>N</t>
        </is>
      </c>
      <c r="G114" s="25" t="inlineStr">
        <is>
          <t>N</t>
        </is>
      </c>
    </row>
    <row r="115" ht="24" customHeight="1">
      <c r="A115" s="26" t="inlineStr">
        <is>
          <t>3 or more car garage</t>
        </is>
      </c>
      <c r="B115" s="25" t="n">
        <v>6.34</v>
      </c>
      <c r="C115" s="25" t="n">
        <v>6.28</v>
      </c>
      <c r="D115" s="25" t="n">
        <v>0.06</v>
      </c>
      <c r="E115" s="25" t="inlineStr">
        <is>
          <t>N</t>
        </is>
      </c>
      <c r="F115" s="25" t="inlineStr">
        <is>
          <t>N</t>
        </is>
      </c>
      <c r="G115" s="25" t="inlineStr">
        <is>
          <t>N</t>
        </is>
      </c>
    </row>
    <row r="116">
      <c r="A116" s="7" t="inlineStr">
        <is>
          <t>No</t>
        </is>
      </c>
      <c r="B116" s="25" t="n">
        <v>32.72</v>
      </c>
      <c r="C116" s="25" t="n">
        <v>28.88</v>
      </c>
      <c r="D116" s="25" t="n">
        <v>3.85</v>
      </c>
      <c r="E116" s="25" t="inlineStr">
        <is>
          <t>N</t>
        </is>
      </c>
      <c r="F116" s="25" t="inlineStr">
        <is>
          <t>N</t>
        </is>
      </c>
      <c r="G116" s="25" t="inlineStr">
        <is>
          <t>N</t>
        </is>
      </c>
    </row>
    <row r="117" ht="27.25" customHeight="1">
      <c r="A117" s="28" t="inlineStr">
        <is>
          <t>Not asked (apartments and mobile homes)</t>
        </is>
      </c>
      <c r="B117" s="25" t="n">
        <v>39.01</v>
      </c>
      <c r="C117" s="25" t="inlineStr">
        <is>
          <t>N</t>
        </is>
      </c>
      <c r="D117" s="25" t="inlineStr">
        <is>
          <t>N</t>
        </is>
      </c>
      <c r="E117" s="25" t="n">
        <v>9.34</v>
      </c>
      <c r="F117" s="25" t="n">
        <v>22.84</v>
      </c>
      <c r="G117" s="25" t="n">
        <v>6.83</v>
      </c>
    </row>
    <row r="118">
      <c r="A118" s="23" t="inlineStr">
        <is>
          <t>Adequacy of insulation</t>
        </is>
      </c>
      <c r="B118" s="24" t="inlineStr"/>
      <c r="C118" s="24" t="inlineStr"/>
      <c r="D118" s="24" t="inlineStr"/>
      <c r="E118" s="24" t="inlineStr"/>
      <c r="F118" s="24" t="inlineStr"/>
      <c r="G118" s="24" t="inlineStr"/>
    </row>
    <row r="119">
      <c r="A119" s="7" t="inlineStr">
        <is>
          <t>Well insulated</t>
        </is>
      </c>
      <c r="B119" s="25" t="n">
        <v>34.34</v>
      </c>
      <c r="C119" s="25" t="n">
        <v>24.33</v>
      </c>
      <c r="D119" s="25" t="n">
        <v>1.8</v>
      </c>
      <c r="E119" s="25" t="n">
        <v>1.59</v>
      </c>
      <c r="F119" s="25" t="n">
        <v>5.22</v>
      </c>
      <c r="G119" s="25" t="n">
        <v>1.39</v>
      </c>
    </row>
    <row r="120">
      <c r="A120" s="7" t="inlineStr">
        <is>
          <t>Adequately insulated</t>
        </is>
      </c>
      <c r="B120" s="25" t="n">
        <v>64.27</v>
      </c>
      <c r="C120" s="25" t="n">
        <v>40.37</v>
      </c>
      <c r="D120" s="25" t="n">
        <v>3.98</v>
      </c>
      <c r="E120" s="25" t="n">
        <v>4.41</v>
      </c>
      <c r="F120" s="25" t="n">
        <v>12.22</v>
      </c>
      <c r="G120" s="25" t="n">
        <v>3.28</v>
      </c>
    </row>
    <row r="121" ht="24" customHeight="1">
      <c r="A121" s="7" t="inlineStr">
        <is>
          <t>Poorly insulated</t>
        </is>
      </c>
      <c r="B121" s="25" t="n">
        <v>21.29</v>
      </c>
      <c r="C121" s="25" t="n">
        <v>11.11</v>
      </c>
      <c r="D121" s="25" t="n">
        <v>1.45</v>
      </c>
      <c r="E121" s="25" t="n">
        <v>2.7</v>
      </c>
      <c r="F121" s="25" t="n">
        <v>4.15</v>
      </c>
      <c r="G121" s="25" t="n">
        <v>1.87</v>
      </c>
    </row>
    <row r="122">
      <c r="A122" s="7" t="inlineStr">
        <is>
          <t>Not insulated</t>
        </is>
      </c>
      <c r="B122" s="25" t="n">
        <v>3.63</v>
      </c>
      <c r="C122" s="25" t="n">
        <v>1.25</v>
      </c>
      <c r="D122" s="25" t="n">
        <v>0.21</v>
      </c>
      <c r="E122" s="25" t="n">
        <v>0.64</v>
      </c>
      <c r="F122" s="25" t="n">
        <v>1.24</v>
      </c>
      <c r="G122" s="25" t="n">
        <v>0.29</v>
      </c>
    </row>
    <row r="123" ht="27.25" customHeight="1">
      <c r="A123" s="23" t="inlineStr">
        <is>
          <t>Home is too drafty during the winter</t>
        </is>
      </c>
      <c r="B123" s="24" t="inlineStr"/>
      <c r="C123" s="24" t="inlineStr"/>
      <c r="D123" s="24" t="inlineStr"/>
      <c r="E123" s="24" t="inlineStr"/>
      <c r="F123" s="24" t="inlineStr"/>
      <c r="G123" s="24" t="inlineStr"/>
    </row>
    <row r="124">
      <c r="A124" s="7" t="inlineStr">
        <is>
          <t>Never</t>
        </is>
      </c>
      <c r="B124" s="25" t="n">
        <v>55.37</v>
      </c>
      <c r="C124" s="25" t="n">
        <v>37.02</v>
      </c>
      <c r="D124" s="25" t="n">
        <v>2.91</v>
      </c>
      <c r="E124" s="25" t="n">
        <v>2.9</v>
      </c>
      <c r="F124" s="25" t="n">
        <v>10.13</v>
      </c>
      <c r="G124" s="25" t="n">
        <v>2.41</v>
      </c>
    </row>
    <row r="125">
      <c r="A125" s="7" t="inlineStr">
        <is>
          <t>Some of the time</t>
        </is>
      </c>
      <c r="B125" s="25" t="n">
        <v>52.63</v>
      </c>
      <c r="C125" s="25" t="n">
        <v>32.53</v>
      </c>
      <c r="D125" s="25" t="n">
        <v>3.35</v>
      </c>
      <c r="E125" s="25" t="n">
        <v>4.22</v>
      </c>
      <c r="F125" s="25" t="n">
        <v>9.35</v>
      </c>
      <c r="G125" s="25" t="n">
        <v>3.19</v>
      </c>
    </row>
    <row r="126" ht="24" customFormat="1" customHeight="1" s="6">
      <c r="A126" s="7" t="inlineStr">
        <is>
          <t>Most of the time</t>
        </is>
      </c>
      <c r="B126" s="25" t="n">
        <v>10.39</v>
      </c>
      <c r="C126" s="25" t="n">
        <v>5.3</v>
      </c>
      <c r="D126" s="25" t="n">
        <v>0.76</v>
      </c>
      <c r="E126" s="25" t="n">
        <v>1.43</v>
      </c>
      <c r="F126" s="25" t="n">
        <v>2.15</v>
      </c>
      <c r="G126" s="25" t="n">
        <v>0.75</v>
      </c>
    </row>
    <row r="127" customFormat="1" s="6">
      <c r="A127" s="7" t="inlineStr">
        <is>
          <t>All of the time</t>
        </is>
      </c>
      <c r="B127" s="25" t="n">
        <v>5.14</v>
      </c>
      <c r="C127" s="25" t="n">
        <v>2.22</v>
      </c>
      <c r="D127" s="25" t="n">
        <v>0.44</v>
      </c>
      <c r="E127" s="25" t="n">
        <v>0.8</v>
      </c>
      <c r="F127" s="25" t="n">
        <v>1.2</v>
      </c>
      <c r="G127" s="25" t="n">
        <v>0.48</v>
      </c>
    </row>
    <row r="128" customFormat="1" s="6">
      <c r="A128" s="23" t="inlineStr">
        <is>
          <t>Any ceilings higher than 8 feet</t>
        </is>
      </c>
      <c r="B128" s="24" t="inlineStr"/>
      <c r="C128" s="24" t="inlineStr"/>
      <c r="D128" s="24" t="inlineStr"/>
      <c r="E128" s="24" t="inlineStr"/>
      <c r="F128" s="24" t="inlineStr"/>
      <c r="G128" s="24" t="inlineStr"/>
    </row>
    <row r="129">
      <c r="A129" s="7" t="inlineStr">
        <is>
          <t>Yes</t>
        </is>
      </c>
      <c r="B129" s="25" t="n">
        <v>55.18</v>
      </c>
      <c r="C129" s="25" t="n">
        <v>39.22</v>
      </c>
      <c r="D129" s="25" t="n">
        <v>3.72</v>
      </c>
      <c r="E129" s="25" t="n">
        <v>3.49</v>
      </c>
      <c r="F129" s="25" t="n">
        <v>8.75</v>
      </c>
      <c r="G129" s="25" t="inlineStr">
        <is>
          <t>N</t>
        </is>
      </c>
    </row>
    <row r="130">
      <c r="A130" s="7" t="inlineStr">
        <is>
          <t>No</t>
        </is>
      </c>
      <c r="B130" s="25" t="n">
        <v>61.52</v>
      </c>
      <c r="C130" s="25" t="n">
        <v>37.85</v>
      </c>
      <c r="D130" s="25" t="n">
        <v>3.73</v>
      </c>
      <c r="E130" s="25" t="n">
        <v>5.85</v>
      </c>
      <c r="F130" s="25" t="n">
        <v>14.08</v>
      </c>
      <c r="G130" s="25" t="inlineStr">
        <is>
          <t>N</t>
        </is>
      </c>
    </row>
    <row r="131" ht="24" customHeight="1">
      <c r="A131" s="28" t="inlineStr">
        <is>
          <t>Not asked (mobile homes)</t>
        </is>
      </c>
      <c r="B131" s="25" t="n">
        <v>6.83</v>
      </c>
      <c r="C131" s="25" t="inlineStr">
        <is>
          <t>N</t>
        </is>
      </c>
      <c r="D131" s="25" t="inlineStr">
        <is>
          <t>N</t>
        </is>
      </c>
      <c r="E131" s="25" t="inlineStr">
        <is>
          <t>N</t>
        </is>
      </c>
      <c r="F131" s="25" t="inlineStr">
        <is>
          <t>N</t>
        </is>
      </c>
      <c r="G131" s="25" t="n">
        <v>6.83</v>
      </c>
    </row>
    <row r="132">
      <c r="A132" s="23" t="inlineStr">
        <is>
          <t>Number of windows</t>
        </is>
      </c>
      <c r="B132" s="24" t="inlineStr"/>
      <c r="C132" s="24" t="inlineStr"/>
      <c r="D132" s="24" t="inlineStr"/>
      <c r="E132" s="24" t="inlineStr"/>
      <c r="F132" s="24" t="inlineStr"/>
      <c r="G132" s="24" t="inlineStr"/>
    </row>
    <row r="133">
      <c r="A133" s="7" t="inlineStr">
        <is>
          <t>1 to 2</t>
        </is>
      </c>
      <c r="B133" s="25" t="n">
        <v>6.95</v>
      </c>
      <c r="C133" s="25" t="n">
        <v>0.1</v>
      </c>
      <c r="D133" s="25" t="n">
        <v>0.22</v>
      </c>
      <c r="E133" s="25" t="n">
        <v>0.77</v>
      </c>
      <c r="F133" s="25" t="n">
        <v>5.85</v>
      </c>
      <c r="G133" s="25" t="inlineStr">
        <is>
          <t>Q</t>
        </is>
      </c>
    </row>
    <row r="134">
      <c r="A134" s="7" t="inlineStr">
        <is>
          <t>3 to 5</t>
        </is>
      </c>
      <c r="B134" s="25" t="n">
        <v>18.15</v>
      </c>
      <c r="C134" s="25" t="n">
        <v>1.72</v>
      </c>
      <c r="D134" s="25" t="n">
        <v>1.79</v>
      </c>
      <c r="E134" s="25" t="n">
        <v>3.81</v>
      </c>
      <c r="F134" s="25" t="n">
        <v>10.54</v>
      </c>
      <c r="G134" s="25" t="n">
        <v>0.29</v>
      </c>
    </row>
    <row r="135" ht="24" customHeight="1">
      <c r="A135" s="7" t="inlineStr">
        <is>
          <t>6 to 9</t>
        </is>
      </c>
      <c r="B135" s="25" t="n">
        <v>29.35</v>
      </c>
      <c r="C135" s="25" t="n">
        <v>16.16</v>
      </c>
      <c r="D135" s="25" t="n">
        <v>2.6</v>
      </c>
      <c r="E135" s="25" t="n">
        <v>2.86</v>
      </c>
      <c r="F135" s="25" t="n">
        <v>5.09</v>
      </c>
      <c r="G135" s="25" t="n">
        <v>2.66</v>
      </c>
    </row>
    <row r="136">
      <c r="A136" s="29" t="inlineStr">
        <is>
          <t>10 to 15</t>
        </is>
      </c>
      <c r="B136" s="25" t="n">
        <v>38.42</v>
      </c>
      <c r="C136" s="25" t="n">
        <v>30.76</v>
      </c>
      <c r="D136" s="25" t="n">
        <v>1.97</v>
      </c>
      <c r="E136" s="25" t="n">
        <v>1.42</v>
      </c>
      <c r="F136" s="25" t="n">
        <v>1.04</v>
      </c>
      <c r="G136" s="25" t="n">
        <v>3.23</v>
      </c>
    </row>
    <row r="137">
      <c r="A137" s="29" t="inlineStr">
        <is>
          <t>16 to 19</t>
        </is>
      </c>
      <c r="B137" s="25" t="n">
        <v>13.61</v>
      </c>
      <c r="C137" s="25" t="n">
        <v>12.28</v>
      </c>
      <c r="D137" s="25" t="n">
        <v>0.43</v>
      </c>
      <c r="E137" s="25" t="n">
        <v>0.25</v>
      </c>
      <c r="F137" s="25" t="n">
        <v>0.14</v>
      </c>
      <c r="G137" s="25" t="n">
        <v>0.51</v>
      </c>
    </row>
    <row r="138">
      <c r="A138" s="29" t="inlineStr">
        <is>
          <t>20 to 29</t>
        </is>
      </c>
      <c r="B138" s="25" t="n">
        <v>12.43</v>
      </c>
      <c r="C138" s="25" t="n">
        <v>11.7</v>
      </c>
      <c r="D138" s="25" t="n">
        <v>0.35</v>
      </c>
      <c r="E138" s="25" t="n">
        <v>0.14</v>
      </c>
      <c r="F138" s="25" t="inlineStr">
        <is>
          <t>Q</t>
        </is>
      </c>
      <c r="G138" s="25" t="n">
        <v>0.13</v>
      </c>
    </row>
    <row r="139">
      <c r="A139" s="29" t="inlineStr">
        <is>
          <t>30 or more</t>
        </is>
      </c>
      <c r="B139" s="25" t="n">
        <v>4.62</v>
      </c>
      <c r="C139" s="25" t="n">
        <v>4.35</v>
      </c>
      <c r="D139" s="25" t="n">
        <v>0.1</v>
      </c>
      <c r="E139" s="25" t="n">
        <v>0.09</v>
      </c>
      <c r="F139" s="25" t="inlineStr">
        <is>
          <t>Q</t>
        </is>
      </c>
      <c r="G139" s="25" t="inlineStr">
        <is>
          <t>Q</t>
        </is>
      </c>
    </row>
    <row r="140">
      <c r="A140" s="23" t="inlineStr">
        <is>
          <t>Type of glass in windows</t>
        </is>
      </c>
      <c r="B140" s="24" t="inlineStr"/>
      <c r="C140" s="24" t="inlineStr"/>
      <c r="D140" s="24" t="inlineStr"/>
      <c r="E140" s="24" t="inlineStr"/>
      <c r="F140" s="24" t="inlineStr"/>
      <c r="G140" s="24" t="inlineStr"/>
    </row>
    <row r="141">
      <c r="A141" s="7" t="inlineStr">
        <is>
          <t>Single-pane glass</t>
        </is>
      </c>
      <c r="B141" s="25" t="n">
        <v>43.51</v>
      </c>
      <c r="C141" s="25" t="n">
        <v>21.45</v>
      </c>
      <c r="D141" s="25" t="n">
        <v>2.81</v>
      </c>
      <c r="E141" s="25" t="n">
        <v>4.94</v>
      </c>
      <c r="F141" s="25" t="n">
        <v>10.84</v>
      </c>
      <c r="G141" s="25" t="n">
        <v>3.46</v>
      </c>
    </row>
    <row r="142">
      <c r="A142" s="7" t="inlineStr">
        <is>
          <t>Double-pane glass</t>
        </is>
      </c>
      <c r="B142" s="25" t="n">
        <v>77.95</v>
      </c>
      <c r="C142" s="25" t="n">
        <v>54.09</v>
      </c>
      <c r="D142" s="25" t="n">
        <v>4.52</v>
      </c>
      <c r="E142" s="25" t="n">
        <v>4.33</v>
      </c>
      <c r="F142" s="25" t="n">
        <v>11.72</v>
      </c>
      <c r="G142" s="25" t="n">
        <v>3.29</v>
      </c>
    </row>
    <row r="143" ht="24" customHeight="1">
      <c r="A143" s="7" t="inlineStr">
        <is>
          <t>Triple-pane glass</t>
        </is>
      </c>
      <c r="B143" s="25" t="n">
        <v>2.07</v>
      </c>
      <c r="C143" s="25" t="n">
        <v>1.53</v>
      </c>
      <c r="D143" s="25" t="n">
        <v>0.12</v>
      </c>
      <c r="E143" s="25" t="n">
        <v>0.07000000000000001</v>
      </c>
      <c r="F143" s="25" t="n">
        <v>0.27</v>
      </c>
      <c r="G143" s="25" t="inlineStr">
        <is>
          <t>Q</t>
        </is>
      </c>
    </row>
    <row r="144">
      <c r="A144" s="23" t="inlineStr">
        <is>
          <t>Window frame material</t>
        </is>
      </c>
      <c r="B144" s="24" t="inlineStr"/>
      <c r="C144" s="24" t="inlineStr"/>
      <c r="D144" s="24" t="inlineStr"/>
      <c r="E144" s="24" t="inlineStr"/>
      <c r="F144" s="24" t="inlineStr"/>
      <c r="G144" s="24" t="inlineStr"/>
    </row>
    <row r="145">
      <c r="A145" s="7" t="inlineStr">
        <is>
          <t>Metal (aluminum)</t>
        </is>
      </c>
      <c r="B145" s="25" t="n">
        <v>47.4</v>
      </c>
      <c r="C145" s="25" t="n">
        <v>23.3</v>
      </c>
      <c r="D145" s="25" t="n">
        <v>2.89</v>
      </c>
      <c r="E145" s="25" t="n">
        <v>4.23</v>
      </c>
      <c r="F145" s="25" t="n">
        <v>13.02</v>
      </c>
      <c r="G145" s="25" t="n">
        <v>3.94</v>
      </c>
    </row>
    <row r="146">
      <c r="A146" s="7" t="inlineStr">
        <is>
          <t>Wood</t>
        </is>
      </c>
      <c r="B146" s="25" t="n">
        <v>40.31</v>
      </c>
      <c r="C146" s="25" t="n">
        <v>27.87</v>
      </c>
      <c r="D146" s="25" t="n">
        <v>2.26</v>
      </c>
      <c r="E146" s="25" t="n">
        <v>3.23</v>
      </c>
      <c r="F146" s="25" t="n">
        <v>5.52</v>
      </c>
      <c r="G146" s="25" t="n">
        <v>1.43</v>
      </c>
    </row>
    <row r="147" ht="24" customHeight="1">
      <c r="A147" s="7" t="inlineStr">
        <is>
          <t>Vinyl</t>
        </is>
      </c>
      <c r="B147" s="25" t="n">
        <v>31.85</v>
      </c>
      <c r="C147" s="25" t="n">
        <v>23.39</v>
      </c>
      <c r="D147" s="25" t="n">
        <v>1.95</v>
      </c>
      <c r="E147" s="25" t="n">
        <v>1.54</v>
      </c>
      <c r="F147" s="25" t="n">
        <v>3.66</v>
      </c>
      <c r="G147" s="25" t="n">
        <v>1.3</v>
      </c>
    </row>
    <row r="148">
      <c r="A148" s="29" t="inlineStr">
        <is>
          <t>Fiberglass</t>
        </is>
      </c>
      <c r="B148" s="25" t="n">
        <v>1.72</v>
      </c>
      <c r="C148" s="25" t="n">
        <v>0.9399999999999999</v>
      </c>
      <c r="D148" s="25" t="n">
        <v>0.15</v>
      </c>
      <c r="E148" s="25" t="n">
        <v>0.19</v>
      </c>
      <c r="F148" s="25" t="n">
        <v>0.34</v>
      </c>
      <c r="G148" s="25" t="n">
        <v>0.1</v>
      </c>
    </row>
    <row r="149">
      <c r="A149" s="29" t="inlineStr">
        <is>
          <t>Composite</t>
        </is>
      </c>
      <c r="B149" s="25" t="n">
        <v>2.25</v>
      </c>
      <c r="C149" s="25" t="n">
        <v>1.56</v>
      </c>
      <c r="D149" s="25" t="n">
        <v>0.19</v>
      </c>
      <c r="E149" s="25" t="n">
        <v>0.15</v>
      </c>
      <c r="F149" s="25" t="n">
        <v>0.3</v>
      </c>
      <c r="G149" s="25" t="inlineStr">
        <is>
          <t>Q</t>
        </is>
      </c>
    </row>
    <row r="150" ht="27.25" customHeight="1">
      <c r="A150" s="23" t="inlineStr">
        <is>
          <t>Number of sliding glass or French doors</t>
        </is>
      </c>
      <c r="B150" s="24" t="inlineStr"/>
      <c r="C150" s="24" t="inlineStr"/>
      <c r="D150" s="24" t="inlineStr"/>
      <c r="E150" s="24" t="inlineStr"/>
      <c r="F150" s="24" t="inlineStr"/>
      <c r="G150" s="24" t="inlineStr"/>
    </row>
    <row r="151">
      <c r="A151" s="28" t="n">
        <v>0</v>
      </c>
      <c r="B151" s="25" t="n">
        <v>60.38</v>
      </c>
      <c r="C151" s="25" t="n">
        <v>33.83</v>
      </c>
      <c r="D151" s="25" t="n">
        <v>3.24</v>
      </c>
      <c r="E151" s="25" t="n">
        <v>6.19</v>
      </c>
      <c r="F151" s="25" t="n">
        <v>12.3</v>
      </c>
      <c r="G151" s="25" t="n">
        <v>4.8</v>
      </c>
    </row>
    <row r="152">
      <c r="A152" s="28" t="n">
        <v>1</v>
      </c>
      <c r="B152" s="25" t="n">
        <v>39.81</v>
      </c>
      <c r="C152" s="25" t="n">
        <v>25.64</v>
      </c>
      <c r="D152" s="25" t="n">
        <v>2.57</v>
      </c>
      <c r="E152" s="25" t="n">
        <v>2.27</v>
      </c>
      <c r="F152" s="25" t="n">
        <v>8.06</v>
      </c>
      <c r="G152" s="25" t="n">
        <v>1.27</v>
      </c>
    </row>
    <row r="153" ht="24" customHeight="1">
      <c r="A153" s="28" t="n">
        <v>2</v>
      </c>
      <c r="B153" s="25" t="n">
        <v>15.19</v>
      </c>
      <c r="C153" s="25" t="n">
        <v>10.85</v>
      </c>
      <c r="D153" s="25" t="n">
        <v>1.26</v>
      </c>
      <c r="E153" s="25" t="n">
        <v>0.67</v>
      </c>
      <c r="F153" s="25" t="n">
        <v>1.84</v>
      </c>
      <c r="G153" s="25" t="n">
        <v>0.5600000000000001</v>
      </c>
    </row>
    <row r="154">
      <c r="A154" s="28" t="inlineStr">
        <is>
          <t>3 or more</t>
        </is>
      </c>
      <c r="B154" s="25" t="n">
        <v>8.16</v>
      </c>
      <c r="C154" s="25" t="n">
        <v>6.75</v>
      </c>
      <c r="D154" s="25" t="n">
        <v>0.38</v>
      </c>
      <c r="E154" s="25" t="n">
        <v>0.2</v>
      </c>
      <c r="F154" s="25" t="n">
        <v>0.64</v>
      </c>
      <c r="G154" s="25" t="n">
        <v>0.19</v>
      </c>
    </row>
    <row r="155">
      <c r="A155" s="23" t="inlineStr">
        <is>
          <t>Electricity meter is a smart meter</t>
        </is>
      </c>
      <c r="B155" s="24" t="inlineStr"/>
      <c r="C155" s="24" t="inlineStr"/>
      <c r="D155" s="24" t="inlineStr"/>
      <c r="E155" s="24" t="inlineStr"/>
      <c r="F155" s="24" t="inlineStr"/>
      <c r="G155" s="24" t="inlineStr"/>
    </row>
    <row r="156">
      <c r="A156" s="7" t="inlineStr">
        <is>
          <t>Yes</t>
        </is>
      </c>
      <c r="B156" s="25" t="n">
        <v>34.3</v>
      </c>
      <c r="C156" s="25" t="n">
        <v>25.3</v>
      </c>
      <c r="D156" s="25" t="n">
        <v>1.83</v>
      </c>
      <c r="E156" s="25" t="n">
        <v>1.97</v>
      </c>
      <c r="F156" s="25" t="n">
        <v>3.38</v>
      </c>
      <c r="G156" s="25" t="n">
        <v>1.82</v>
      </c>
    </row>
    <row r="157">
      <c r="A157" s="7" t="inlineStr">
        <is>
          <t>No</t>
        </is>
      </c>
      <c r="B157" s="25" t="n">
        <v>36.81</v>
      </c>
      <c r="C157" s="25" t="n">
        <v>22.8</v>
      </c>
      <c r="D157" s="25" t="n">
        <v>2.2</v>
      </c>
      <c r="E157" s="25" t="n">
        <v>2.74</v>
      </c>
      <c r="F157" s="25" t="n">
        <v>6.71</v>
      </c>
      <c r="G157" s="25" t="n">
        <v>2.35</v>
      </c>
    </row>
    <row r="158" ht="24" customHeight="1">
      <c r="A158" s="7" t="inlineStr">
        <is>
          <t>Don't know</t>
        </is>
      </c>
      <c r="B158" s="25" t="n">
        <v>52.42</v>
      </c>
      <c r="C158" s="25" t="n">
        <v>28.96</v>
      </c>
      <c r="D158" s="25" t="n">
        <v>3.43</v>
      </c>
      <c r="E158" s="25" t="n">
        <v>4.62</v>
      </c>
      <c r="F158" s="25" t="n">
        <v>12.74</v>
      </c>
      <c r="G158" s="25" t="n">
        <v>2.66</v>
      </c>
    </row>
    <row r="159" ht="27.25" customHeight="1">
      <c r="A159" s="23" t="inlineStr">
        <is>
          <t>Park a car within 20 feet of electrical outlet</t>
        </is>
      </c>
      <c r="B159" s="24" t="inlineStr"/>
      <c r="C159" s="24" t="inlineStr"/>
      <c r="D159" s="24" t="inlineStr"/>
      <c r="E159" s="24" t="inlineStr"/>
      <c r="F159" s="24" t="inlineStr"/>
      <c r="G159" s="24" t="inlineStr"/>
    </row>
    <row r="160">
      <c r="A160" s="7" t="inlineStr">
        <is>
          <t>Yes</t>
        </is>
      </c>
      <c r="B160" s="25" t="n">
        <v>67.83</v>
      </c>
      <c r="C160" s="25" t="n">
        <v>58.09</v>
      </c>
      <c r="D160" s="25" t="n">
        <v>4.22</v>
      </c>
      <c r="E160" s="25" t="n">
        <v>2.11</v>
      </c>
      <c r="F160" s="25" t="inlineStr">
        <is>
          <t>N</t>
        </is>
      </c>
      <c r="G160" s="25" t="n">
        <v>3.41</v>
      </c>
    </row>
    <row r="161">
      <c r="A161" s="7" t="inlineStr">
        <is>
          <t>No</t>
        </is>
      </c>
      <c r="B161" s="25" t="n">
        <v>32.87</v>
      </c>
      <c r="C161" s="25" t="n">
        <v>18.97</v>
      </c>
      <c r="D161" s="25" t="n">
        <v>3.24</v>
      </c>
      <c r="E161" s="25" t="n">
        <v>7.23</v>
      </c>
      <c r="F161" s="25" t="inlineStr">
        <is>
          <t>N</t>
        </is>
      </c>
      <c r="G161" s="25" t="n">
        <v>3.42</v>
      </c>
    </row>
    <row r="162" ht="24" customHeight="1">
      <c r="A162" s="7" t="inlineStr">
        <is>
          <t>Not asked (apartments in buildings with 5 or more units)</t>
        </is>
      </c>
      <c r="B162" s="25" t="n">
        <v>22.84</v>
      </c>
      <c r="C162" s="25" t="inlineStr">
        <is>
          <t>N</t>
        </is>
      </c>
      <c r="D162" s="25" t="inlineStr">
        <is>
          <t>N</t>
        </is>
      </c>
      <c r="E162" s="25" t="inlineStr">
        <is>
          <t>N</t>
        </is>
      </c>
      <c r="F162" s="25" t="n">
        <v>22.84</v>
      </c>
      <c r="G162" s="25" t="inlineStr">
        <is>
          <t>N</t>
        </is>
      </c>
    </row>
    <row r="163" ht="27.25" customHeight="1">
      <c r="A163" s="23" t="inlineStr">
        <is>
          <t>Own or lease an all-electric or plug-in hybrid electric vehicle</t>
        </is>
      </c>
      <c r="B163" s="30" t="inlineStr"/>
      <c r="C163" s="30" t="inlineStr"/>
      <c r="D163" s="30" t="inlineStr"/>
      <c r="E163" s="30" t="inlineStr"/>
      <c r="F163" s="30" t="inlineStr"/>
      <c r="G163" s="30" t="inlineStr"/>
    </row>
    <row r="164">
      <c r="A164" s="7" t="inlineStr">
        <is>
          <t>Yes</t>
        </is>
      </c>
      <c r="B164" s="30" t="n">
        <v>1.82</v>
      </c>
      <c r="C164" s="30" t="n">
        <v>1.46</v>
      </c>
      <c r="D164" s="30" t="n">
        <v>0.11</v>
      </c>
      <c r="E164" s="30" t="inlineStr">
        <is>
          <t>Q</t>
        </is>
      </c>
      <c r="F164" s="30" t="n">
        <v>0.17</v>
      </c>
      <c r="G164" s="30" t="inlineStr">
        <is>
          <t>Q</t>
        </is>
      </c>
    </row>
    <row r="165">
      <c r="A165" s="26" t="inlineStr">
        <is>
          <t>Charge at home</t>
        </is>
      </c>
      <c r="B165" s="30" t="n">
        <v>1.39</v>
      </c>
      <c r="C165" s="30" t="n">
        <v>1.22</v>
      </c>
      <c r="D165" s="30" t="n">
        <v>0.09</v>
      </c>
      <c r="E165" s="30" t="inlineStr">
        <is>
          <t>Q</t>
        </is>
      </c>
      <c r="F165" s="30" t="inlineStr">
        <is>
          <t>Q</t>
        </is>
      </c>
      <c r="G165" s="30" t="inlineStr">
        <is>
          <t>Q</t>
        </is>
      </c>
    </row>
    <row r="166" ht="33.75" customHeight="1">
      <c r="A166" s="7" t="inlineStr">
        <is>
          <t>No</t>
        </is>
      </c>
      <c r="B166" s="30" t="n">
        <v>121.71</v>
      </c>
      <c r="C166" s="30" t="n">
        <v>75.61</v>
      </c>
      <c r="D166" s="30" t="n">
        <v>7.34</v>
      </c>
      <c r="E166" s="30" t="n">
        <v>9.289999999999999</v>
      </c>
      <c r="F166" s="30" t="n">
        <v>22.67</v>
      </c>
      <c r="G166" s="30" t="n">
        <v>6.79</v>
      </c>
    </row>
    <row r="167" ht="27.25" customHeight="1">
      <c r="A167" s="23" t="inlineStr">
        <is>
          <t>Natural gas available in neighborhood</t>
        </is>
      </c>
      <c r="B167" s="23" t="inlineStr"/>
      <c r="C167" s="23" t="inlineStr"/>
      <c r="D167" s="23" t="inlineStr"/>
      <c r="E167" s="23" t="inlineStr"/>
      <c r="F167" s="23" t="inlineStr"/>
      <c r="G167" s="23" t="inlineStr"/>
    </row>
    <row r="168">
      <c r="A168" s="7" t="inlineStr">
        <is>
          <t>Yes</t>
        </is>
      </c>
      <c r="B168" s="25" t="n">
        <v>84.52</v>
      </c>
      <c r="C168" s="25" t="n">
        <v>54.13</v>
      </c>
      <c r="D168" s="25" t="n">
        <v>5.63</v>
      </c>
      <c r="E168" s="25" t="n">
        <v>6.95</v>
      </c>
      <c r="F168" s="25" t="n">
        <v>14.94</v>
      </c>
      <c r="G168" s="25" t="n">
        <v>2.87</v>
      </c>
    </row>
    <row r="169">
      <c r="A169" s="26" t="inlineStr">
        <is>
          <t>Uses natural gas</t>
        </is>
      </c>
      <c r="B169" s="25" t="n">
        <v>69.48999999999999</v>
      </c>
      <c r="C169" s="25" t="n">
        <v>47.14</v>
      </c>
      <c r="D169" s="25" t="n">
        <v>4.9</v>
      </c>
      <c r="E169" s="25" t="n">
        <v>5.27</v>
      </c>
      <c r="F169" s="25" t="n">
        <v>10.3</v>
      </c>
      <c r="G169" s="25" t="n">
        <v>1.89</v>
      </c>
    </row>
    <row r="170" ht="33.75" customHeight="1">
      <c r="A170" s="26" t="inlineStr">
        <is>
          <t>Does not use natural gas</t>
        </is>
      </c>
      <c r="B170" s="25" t="n">
        <v>15.03</v>
      </c>
      <c r="C170" s="25" t="n">
        <v>6.99</v>
      </c>
      <c r="D170" s="25" t="n">
        <v>0.74</v>
      </c>
      <c r="E170" s="25" t="n">
        <v>1.68</v>
      </c>
      <c r="F170" s="25" t="n">
        <v>4.64</v>
      </c>
      <c r="G170" s="25" t="n">
        <v>0.98</v>
      </c>
    </row>
    <row r="171">
      <c r="A171" s="7" t="inlineStr">
        <is>
          <t>No</t>
        </is>
      </c>
      <c r="B171" s="25" t="n">
        <v>39.01</v>
      </c>
      <c r="C171" s="25" t="n">
        <v>22.93</v>
      </c>
      <c r="D171" s="25" t="n">
        <v>1.82</v>
      </c>
      <c r="E171" s="25" t="n">
        <v>2.4</v>
      </c>
      <c r="F171" s="25" t="n">
        <v>7.9</v>
      </c>
      <c r="G171" s="25" t="n">
        <v>3.96</v>
      </c>
    </row>
    <row r="172">
      <c r="A172" s="23" t="inlineStr">
        <is>
          <t>Distributed solar generation</t>
        </is>
      </c>
      <c r="B172" s="24" t="inlineStr"/>
      <c r="C172" s="24" t="inlineStr"/>
      <c r="D172" s="24" t="inlineStr"/>
      <c r="E172" s="24" t="inlineStr"/>
      <c r="F172" s="24" t="inlineStr"/>
      <c r="G172" s="24" t="inlineStr"/>
    </row>
    <row r="173">
      <c r="A173" s="7" t="inlineStr">
        <is>
          <t>Yes</t>
        </is>
      </c>
      <c r="B173" s="25" t="n">
        <v>3.37</v>
      </c>
      <c r="C173" s="25" t="n">
        <v>3.16</v>
      </c>
      <c r="D173" s="25" t="n">
        <v>0.11</v>
      </c>
      <c r="E173" s="25" t="inlineStr">
        <is>
          <t>N</t>
        </is>
      </c>
      <c r="F173" s="25" t="inlineStr">
        <is>
          <t>N</t>
        </is>
      </c>
      <c r="G173" s="25" t="n">
        <v>0.1</v>
      </c>
    </row>
    <row r="174">
      <c r="A174" s="7" t="inlineStr">
        <is>
          <t>No</t>
        </is>
      </c>
      <c r="B174" s="25" t="n">
        <v>87.98</v>
      </c>
      <c r="C174" s="25" t="n">
        <v>73.91</v>
      </c>
      <c r="D174" s="25" t="n">
        <v>7.34</v>
      </c>
      <c r="E174" s="25" t="inlineStr">
        <is>
          <t>N</t>
        </is>
      </c>
      <c r="F174" s="25" t="inlineStr">
        <is>
          <t>N</t>
        </is>
      </c>
      <c r="G174" s="25" t="n">
        <v>6.73</v>
      </c>
    </row>
    <row r="175" ht="24" customHeight="1">
      <c r="A175" s="7" t="inlineStr">
        <is>
          <t>Not asked (apartments)</t>
        </is>
      </c>
      <c r="B175" s="25" t="n">
        <v>32.18</v>
      </c>
      <c r="C175" s="25" t="inlineStr">
        <is>
          <t>N</t>
        </is>
      </c>
      <c r="D175" s="25" t="inlineStr">
        <is>
          <t>N</t>
        </is>
      </c>
      <c r="E175" s="25" t="n">
        <v>9.34</v>
      </c>
      <c r="F175" s="25" t="n">
        <v>22.84</v>
      </c>
      <c r="G175" s="25" t="inlineStr">
        <is>
          <t>N</t>
        </is>
      </c>
    </row>
    <row r="176" ht="27.25" customHeight="1">
      <c r="A176" s="23" t="inlineStr">
        <is>
          <t>Experienced power outage lasting more than 24 hours</t>
        </is>
      </c>
      <c r="B176" s="24" t="inlineStr"/>
      <c r="C176" s="24" t="inlineStr"/>
      <c r="D176" s="24" t="inlineStr"/>
      <c r="E176" s="24" t="inlineStr"/>
      <c r="F176" s="24" t="inlineStr"/>
      <c r="G176" s="24" t="inlineStr"/>
    </row>
    <row r="177">
      <c r="A177" s="7" t="inlineStr">
        <is>
          <t>Yes</t>
        </is>
      </c>
      <c r="B177" s="25" t="n">
        <v>22.72</v>
      </c>
      <c r="C177" s="25" t="n">
        <v>15.11</v>
      </c>
      <c r="D177" s="25" t="n">
        <v>1.05</v>
      </c>
      <c r="E177" s="25" t="n">
        <v>1.42</v>
      </c>
      <c r="F177" s="25" t="n">
        <v>3.64</v>
      </c>
      <c r="G177" s="25" t="n">
        <v>1.5</v>
      </c>
    </row>
    <row r="178" ht="27.25" customHeight="1">
      <c r="A178" s="26" t="inlineStr">
        <is>
          <t>Natural disaster or weather      event</t>
        </is>
      </c>
      <c r="B178" s="25" t="n">
        <v>19</v>
      </c>
      <c r="C178" s="25" t="n">
        <v>13.08</v>
      </c>
      <c r="D178" s="25" t="n">
        <v>0.83</v>
      </c>
      <c r="E178" s="25" t="n">
        <v>1.08</v>
      </c>
      <c r="F178" s="25" t="n">
        <v>2.68</v>
      </c>
      <c r="G178" s="25" t="n">
        <v>1.32</v>
      </c>
    </row>
    <row r="179" ht="24" customHeight="1">
      <c r="A179" s="26" t="inlineStr">
        <is>
          <t>Unable to pay electric bill</t>
        </is>
      </c>
      <c r="B179" s="25" t="n">
        <v>0.25</v>
      </c>
      <c r="C179" s="25" t="n">
        <v>0.15</v>
      </c>
      <c r="D179" s="25" t="inlineStr">
        <is>
          <t>Q</t>
        </is>
      </c>
      <c r="E179" s="25" t="inlineStr">
        <is>
          <t>Q</t>
        </is>
      </c>
      <c r="F179" s="25" t="inlineStr">
        <is>
          <t>Q</t>
        </is>
      </c>
      <c r="G179" s="25" t="inlineStr">
        <is>
          <t>Q</t>
        </is>
      </c>
    </row>
    <row r="180" ht="27.25" customHeight="1">
      <c r="A180" s="26" t="inlineStr">
        <is>
          <t>Utility had planned or unplanned blackout</t>
        </is>
      </c>
      <c r="B180" s="25" t="n">
        <v>3.08</v>
      </c>
      <c r="C180" s="25" t="n">
        <v>1.71</v>
      </c>
      <c r="D180" s="25" t="n">
        <v>0.18</v>
      </c>
      <c r="E180" s="25" t="n">
        <v>0.29</v>
      </c>
      <c r="F180" s="25" t="n">
        <v>0.76</v>
      </c>
      <c r="G180" s="25" t="n">
        <v>0.14</v>
      </c>
    </row>
    <row r="181">
      <c r="A181" s="26" t="inlineStr">
        <is>
          <t>Other</t>
        </is>
      </c>
      <c r="B181" s="25" t="n">
        <v>0.39</v>
      </c>
      <c r="C181" s="25" t="n">
        <v>0.16</v>
      </c>
      <c r="D181" s="25" t="inlineStr">
        <is>
          <t>Q</t>
        </is>
      </c>
      <c r="E181" s="25" t="inlineStr">
        <is>
          <t>Q</t>
        </is>
      </c>
      <c r="F181" s="25" t="n">
        <v>0.18</v>
      </c>
      <c r="G181" s="25" t="inlineStr">
        <is>
          <t>Q</t>
        </is>
      </c>
    </row>
    <row r="182">
      <c r="A182" s="7" t="inlineStr">
        <is>
          <t>No</t>
        </is>
      </c>
      <c r="B182" s="25" t="n">
        <v>100.81</v>
      </c>
      <c r="C182" s="25" t="n">
        <v>61.96</v>
      </c>
      <c r="D182" s="25" t="n">
        <v>6.4</v>
      </c>
      <c r="E182" s="25" t="n">
        <v>7.92</v>
      </c>
      <c r="F182" s="25" t="n">
        <v>19.19</v>
      </c>
      <c r="G182" s="25" t="n">
        <v>5.33</v>
      </c>
    </row>
    <row r="183" ht="24" customHeight="1">
      <c r="A183" s="23" t="inlineStr">
        <is>
          <t>Back-up generator in home</t>
        </is>
      </c>
      <c r="B183" s="24" t="inlineStr"/>
      <c r="C183" s="24" t="inlineStr"/>
      <c r="D183" s="24" t="inlineStr"/>
      <c r="E183" s="24" t="inlineStr"/>
      <c r="F183" s="24" t="inlineStr"/>
      <c r="G183" s="24" t="inlineStr"/>
    </row>
    <row r="184">
      <c r="A184" s="7" t="inlineStr">
        <is>
          <t>Yes</t>
        </is>
      </c>
      <c r="B184" s="25" t="n">
        <v>17.66</v>
      </c>
      <c r="C184" s="25" t="n">
        <v>13.93</v>
      </c>
      <c r="D184" s="25" t="n">
        <v>0.34</v>
      </c>
      <c r="E184" s="25" t="n">
        <v>0.22</v>
      </c>
      <c r="F184" s="25" t="n">
        <v>2.15</v>
      </c>
      <c r="G184" s="25" t="n">
        <v>1.02</v>
      </c>
    </row>
    <row r="185">
      <c r="A185" s="7" t="inlineStr">
        <is>
          <t>No</t>
        </is>
      </c>
      <c r="B185" s="25" t="n">
        <v>105.87</v>
      </c>
      <c r="C185" s="25" t="n">
        <v>63.14</v>
      </c>
      <c r="D185" s="25" t="n">
        <v>7.11</v>
      </c>
      <c r="E185" s="25" t="n">
        <v>9.119999999999999</v>
      </c>
      <c r="F185" s="25" t="n">
        <v>20.69</v>
      </c>
      <c r="G185" s="25" t="n">
        <v>5.82</v>
      </c>
    </row>
    <row r="186">
      <c r="A186" s="23" t="inlineStr">
        <is>
          <t>Swimming pool</t>
        </is>
      </c>
      <c r="B186" s="24" t="inlineStr"/>
      <c r="C186" s="24" t="inlineStr"/>
      <c r="D186" s="24" t="inlineStr"/>
      <c r="E186" s="24" t="inlineStr"/>
      <c r="F186" s="24" t="inlineStr"/>
      <c r="G186" s="24" t="inlineStr"/>
    </row>
    <row r="187" ht="24" customHeight="1">
      <c r="A187" s="28" t="inlineStr">
        <is>
          <t>Yes</t>
        </is>
      </c>
      <c r="B187" s="25" t="n">
        <v>8.52</v>
      </c>
      <c r="C187" s="25" t="n">
        <v>8.09</v>
      </c>
      <c r="D187" s="25" t="n">
        <v>0.2</v>
      </c>
      <c r="E187" s="25" t="inlineStr">
        <is>
          <t>N</t>
        </is>
      </c>
      <c r="F187" s="25" t="inlineStr">
        <is>
          <t>N</t>
        </is>
      </c>
      <c r="G187" s="25" t="n">
        <v>0.23</v>
      </c>
    </row>
    <row r="188">
      <c r="A188" s="7" t="inlineStr">
        <is>
          <t>No</t>
        </is>
      </c>
      <c r="B188" s="25" t="n">
        <v>82.83</v>
      </c>
      <c r="C188" s="25" t="n">
        <v>68.98</v>
      </c>
      <c r="D188" s="25" t="n">
        <v>7.25</v>
      </c>
      <c r="E188" s="25" t="inlineStr">
        <is>
          <t>N</t>
        </is>
      </c>
      <c r="F188" s="25" t="inlineStr">
        <is>
          <t>N</t>
        </is>
      </c>
      <c r="G188" s="25" t="n">
        <v>6.6</v>
      </c>
    </row>
    <row r="189">
      <c r="A189" s="7" t="inlineStr">
        <is>
          <t>Not asked (apartments)</t>
        </is>
      </c>
      <c r="B189" s="25" t="n">
        <v>32.18</v>
      </c>
      <c r="C189" s="25" t="inlineStr">
        <is>
          <t>N</t>
        </is>
      </c>
      <c r="D189" s="25" t="inlineStr">
        <is>
          <t>N</t>
        </is>
      </c>
      <c r="E189" s="25" t="n">
        <v>9.34</v>
      </c>
      <c r="F189" s="25" t="n">
        <v>22.84</v>
      </c>
      <c r="G189" s="25" t="inlineStr">
        <is>
          <t>N</t>
        </is>
      </c>
    </row>
    <row r="190">
      <c r="A190" s="31" t="inlineStr">
        <is>
          <t>Months swimming pool is used</t>
        </is>
      </c>
      <c r="B190" s="24" t="inlineStr"/>
      <c r="C190" s="24" t="inlineStr"/>
      <c r="D190" s="24" t="inlineStr"/>
      <c r="E190" s="24" t="inlineStr"/>
      <c r="F190" s="24" t="inlineStr"/>
      <c r="G190" s="24" t="inlineStr"/>
    </row>
    <row r="191">
      <c r="A191" s="26" t="inlineStr">
        <is>
          <t>0 to 3</t>
        </is>
      </c>
      <c r="B191" s="25" t="n">
        <v>1.9</v>
      </c>
      <c r="C191" s="25" t="n">
        <v>1.77</v>
      </c>
      <c r="D191" s="25" t="n">
        <v>0.06</v>
      </c>
      <c r="E191" s="25" t="inlineStr">
        <is>
          <t>N</t>
        </is>
      </c>
      <c r="F191" s="25" t="inlineStr">
        <is>
          <t>N</t>
        </is>
      </c>
      <c r="G191" s="25" t="inlineStr">
        <is>
          <t>Q</t>
        </is>
      </c>
    </row>
    <row r="192">
      <c r="A192" s="26" t="inlineStr">
        <is>
          <t>4 to 7</t>
        </is>
      </c>
      <c r="B192" s="25" t="n">
        <v>5.08</v>
      </c>
      <c r="C192" s="25" t="n">
        <v>4.84</v>
      </c>
      <c r="D192" s="25" t="n">
        <v>0.1</v>
      </c>
      <c r="E192" s="25" t="inlineStr">
        <is>
          <t>N</t>
        </is>
      </c>
      <c r="F192" s="25" t="inlineStr">
        <is>
          <t>N</t>
        </is>
      </c>
      <c r="G192" s="25" t="n">
        <v>0.14</v>
      </c>
    </row>
    <row r="193" ht="24" customHeight="1">
      <c r="A193" s="26" t="inlineStr">
        <is>
          <t>8 to 12</t>
        </is>
      </c>
      <c r="B193" s="25" t="n">
        <v>1.54</v>
      </c>
      <c r="C193" s="25" t="n">
        <v>1.48</v>
      </c>
      <c r="D193" s="25" t="inlineStr">
        <is>
          <t>Q</t>
        </is>
      </c>
      <c r="E193" s="25" t="inlineStr">
        <is>
          <t>N</t>
        </is>
      </c>
      <c r="F193" s="25" t="inlineStr">
        <is>
          <t>N</t>
        </is>
      </c>
      <c r="G193" s="25" t="inlineStr">
        <is>
          <t>Q</t>
        </is>
      </c>
    </row>
    <row r="194">
      <c r="A194" s="26" t="inlineStr">
        <is>
          <t>No swimming pool</t>
        </is>
      </c>
      <c r="B194" s="25" t="n">
        <v>82.83</v>
      </c>
      <c r="C194" s="25" t="n">
        <v>68.98</v>
      </c>
      <c r="D194" s="25" t="n">
        <v>7.25</v>
      </c>
      <c r="E194" s="25" t="inlineStr">
        <is>
          <t>N</t>
        </is>
      </c>
      <c r="F194" s="25" t="inlineStr">
        <is>
          <t>N</t>
        </is>
      </c>
      <c r="G194" s="25" t="n">
        <v>6.6</v>
      </c>
    </row>
    <row r="195">
      <c r="A195" s="26" t="inlineStr">
        <is>
          <t>Not asked (apartments)</t>
        </is>
      </c>
      <c r="B195" s="25" t="n">
        <v>32.18</v>
      </c>
      <c r="C195" s="25" t="inlineStr">
        <is>
          <t>N</t>
        </is>
      </c>
      <c r="D195" s="25" t="inlineStr">
        <is>
          <t>N</t>
        </is>
      </c>
      <c r="E195" s="25" t="n">
        <v>9.34</v>
      </c>
      <c r="F195" s="25" t="n">
        <v>22.84</v>
      </c>
      <c r="G195" s="25" t="inlineStr">
        <is>
          <t>N</t>
        </is>
      </c>
    </row>
    <row r="196">
      <c r="A196" s="31" t="inlineStr">
        <is>
          <t>Heated swimming pool and fuel</t>
        </is>
      </c>
      <c r="B196" s="24" t="inlineStr"/>
      <c r="C196" s="24" t="inlineStr"/>
      <c r="D196" s="24" t="inlineStr"/>
      <c r="E196" s="24" t="inlineStr"/>
      <c r="F196" s="24" t="inlineStr"/>
      <c r="G196" s="24" t="inlineStr"/>
    </row>
    <row r="197">
      <c r="A197" s="26" t="inlineStr">
        <is>
          <t>Heated swimming pool</t>
        </is>
      </c>
      <c r="B197" s="25" t="n">
        <v>2.89</v>
      </c>
      <c r="C197" s="25" t="n">
        <v>2.82</v>
      </c>
      <c r="D197" s="25" t="n">
        <v>0.05</v>
      </c>
      <c r="E197" s="25" t="inlineStr">
        <is>
          <t>N</t>
        </is>
      </c>
      <c r="F197" s="25" t="inlineStr">
        <is>
          <t>N</t>
        </is>
      </c>
      <c r="G197" s="25" t="inlineStr">
        <is>
          <t>Q</t>
        </is>
      </c>
    </row>
    <row r="198">
      <c r="A198" s="27" t="inlineStr">
        <is>
          <t>Electricity</t>
        </is>
      </c>
      <c r="B198" s="25" t="n">
        <v>0.85</v>
      </c>
      <c r="C198" s="25" t="n">
        <v>0.82</v>
      </c>
      <c r="D198" s="25" t="inlineStr">
        <is>
          <t>Q</t>
        </is>
      </c>
      <c r="E198" s="25" t="inlineStr">
        <is>
          <t>N</t>
        </is>
      </c>
      <c r="F198" s="25" t="inlineStr">
        <is>
          <t>N</t>
        </is>
      </c>
      <c r="G198" s="25" t="inlineStr">
        <is>
          <t>Q</t>
        </is>
      </c>
    </row>
    <row r="199">
      <c r="A199" s="27" t="inlineStr">
        <is>
          <t>Natural gas</t>
        </is>
      </c>
      <c r="B199" s="25" t="n">
        <v>1.32</v>
      </c>
      <c r="C199" s="25" t="n">
        <v>1.3</v>
      </c>
      <c r="D199" s="25" t="inlineStr">
        <is>
          <t>Q</t>
        </is>
      </c>
      <c r="E199" s="25" t="inlineStr">
        <is>
          <t>N</t>
        </is>
      </c>
      <c r="F199" s="25" t="inlineStr">
        <is>
          <t>N</t>
        </is>
      </c>
      <c r="G199" s="25" t="inlineStr">
        <is>
          <t>Q</t>
        </is>
      </c>
    </row>
    <row r="200">
      <c r="A200" s="27" t="inlineStr">
        <is>
          <t>Propane</t>
        </is>
      </c>
      <c r="B200" s="25" t="n">
        <v>0.29</v>
      </c>
      <c r="C200" s="25" t="n">
        <v>0.28</v>
      </c>
      <c r="D200" s="25" t="inlineStr">
        <is>
          <t>Q</t>
        </is>
      </c>
      <c r="E200" s="25" t="inlineStr">
        <is>
          <t>N</t>
        </is>
      </c>
      <c r="F200" s="25" t="inlineStr">
        <is>
          <t>N</t>
        </is>
      </c>
      <c r="G200" s="25" t="inlineStr">
        <is>
          <t>N</t>
        </is>
      </c>
    </row>
    <row r="201">
      <c r="A201" s="27" t="inlineStr">
        <is>
          <t>Some other fuel</t>
        </is>
      </c>
      <c r="B201" s="25" t="n">
        <v>0.42</v>
      </c>
      <c r="C201" s="25" t="n">
        <v>0.42</v>
      </c>
      <c r="D201" s="25" t="inlineStr">
        <is>
          <t>Q</t>
        </is>
      </c>
      <c r="E201" s="25" t="inlineStr">
        <is>
          <t>N</t>
        </is>
      </c>
      <c r="F201" s="25" t="inlineStr">
        <is>
          <t>N</t>
        </is>
      </c>
      <c r="G201" s="25" t="inlineStr">
        <is>
          <t>N</t>
        </is>
      </c>
    </row>
    <row r="202">
      <c r="A202" s="26" t="inlineStr">
        <is>
          <t>Unheated swimming pool</t>
        </is>
      </c>
      <c r="B202" s="25" t="n">
        <v>5.63</v>
      </c>
      <c r="C202" s="25" t="n">
        <v>5.27</v>
      </c>
      <c r="D202" s="25" t="n">
        <v>0.15</v>
      </c>
      <c r="E202" s="25" t="inlineStr">
        <is>
          <t>N</t>
        </is>
      </c>
      <c r="F202" s="25" t="inlineStr">
        <is>
          <t>N</t>
        </is>
      </c>
      <c r="G202" s="25" t="n">
        <v>0.22</v>
      </c>
    </row>
    <row r="203" ht="24" customHeight="1">
      <c r="A203" s="26" t="inlineStr">
        <is>
          <t>No swimming pool</t>
        </is>
      </c>
      <c r="B203" s="25" t="n">
        <v>82.83</v>
      </c>
      <c r="C203" s="25" t="n">
        <v>68.98</v>
      </c>
      <c r="D203" s="25" t="n">
        <v>7.25</v>
      </c>
      <c r="E203" s="25" t="inlineStr">
        <is>
          <t>N</t>
        </is>
      </c>
      <c r="F203" s="25" t="inlineStr">
        <is>
          <t>N</t>
        </is>
      </c>
      <c r="G203" s="25" t="n">
        <v>6.6</v>
      </c>
    </row>
    <row r="204" customFormat="1" s="6">
      <c r="A204" s="26" t="inlineStr">
        <is>
          <t>Not asked (apartments)</t>
        </is>
      </c>
      <c r="B204" s="25" t="n">
        <v>32.18</v>
      </c>
      <c r="C204" s="25" t="inlineStr">
        <is>
          <t>N</t>
        </is>
      </c>
      <c r="D204" s="25" t="inlineStr">
        <is>
          <t>N</t>
        </is>
      </c>
      <c r="E204" s="25" t="n">
        <v>9.34</v>
      </c>
      <c r="F204" s="25" t="n">
        <v>22.84</v>
      </c>
      <c r="G204" s="25" t="inlineStr">
        <is>
          <t>N</t>
        </is>
      </c>
    </row>
    <row r="205" customFormat="1" s="6">
      <c r="A205" s="23" t="inlineStr">
        <is>
          <t>Hot tub</t>
        </is>
      </c>
      <c r="B205" s="24" t="inlineStr"/>
      <c r="C205" s="24" t="inlineStr"/>
      <c r="D205" s="24" t="inlineStr"/>
      <c r="E205" s="24" t="inlineStr"/>
      <c r="F205" s="24" t="inlineStr"/>
      <c r="G205" s="24" t="inlineStr"/>
    </row>
    <row r="206" ht="24" customFormat="1" customHeight="1" s="6">
      <c r="A206" s="7" t="inlineStr">
        <is>
          <t>Yes</t>
        </is>
      </c>
      <c r="B206" s="25" t="n">
        <v>8.84</v>
      </c>
      <c r="C206" s="25" t="n">
        <v>7.33</v>
      </c>
      <c r="D206" s="25" t="n">
        <v>0.28</v>
      </c>
      <c r="E206" s="25" t="n">
        <v>0.22</v>
      </c>
      <c r="F206" s="25" t="n">
        <v>0.73</v>
      </c>
      <c r="G206" s="25" t="n">
        <v>0.29</v>
      </c>
    </row>
    <row r="207" customFormat="1" s="6">
      <c r="A207" s="7" t="inlineStr">
        <is>
          <t>No</t>
        </is>
      </c>
      <c r="B207" s="25" t="n">
        <v>114.69</v>
      </c>
      <c r="C207" s="25" t="n">
        <v>69.73999999999999</v>
      </c>
      <c r="D207" s="25" t="n">
        <v>7.18</v>
      </c>
      <c r="E207" s="25" t="n">
        <v>9.119999999999999</v>
      </c>
      <c r="F207" s="25" t="n">
        <v>22.11</v>
      </c>
      <c r="G207" s="25" t="n">
        <v>6.55</v>
      </c>
    </row>
    <row r="208" customFormat="1" s="6">
      <c r="A208" s="31" t="inlineStr">
        <is>
          <t>Months hot tub is used</t>
        </is>
      </c>
      <c r="B208" s="24" t="inlineStr"/>
      <c r="C208" s="24" t="inlineStr"/>
      <c r="D208" s="24" t="inlineStr"/>
      <c r="E208" s="24" t="inlineStr"/>
      <c r="F208" s="24" t="inlineStr"/>
      <c r="G208" s="24" t="inlineStr"/>
    </row>
    <row r="209" customFormat="1" s="6">
      <c r="A209" s="26" t="inlineStr">
        <is>
          <t>0 to 3</t>
        </is>
      </c>
      <c r="B209" s="25" t="n">
        <v>4.22</v>
      </c>
      <c r="C209" s="25" t="n">
        <v>3.3</v>
      </c>
      <c r="D209" s="25" t="n">
        <v>0.17</v>
      </c>
      <c r="E209" s="25" t="n">
        <v>0.14</v>
      </c>
      <c r="F209" s="25" t="n">
        <v>0.44</v>
      </c>
      <c r="G209" s="25" t="n">
        <v>0.16</v>
      </c>
    </row>
    <row r="210" customFormat="1" s="6">
      <c r="A210" s="26" t="inlineStr">
        <is>
          <t>4 to 7</t>
        </is>
      </c>
      <c r="B210" s="25" t="n">
        <v>1.27</v>
      </c>
      <c r="C210" s="25" t="n">
        <v>1.13</v>
      </c>
      <c r="D210" s="25" t="inlineStr">
        <is>
          <t>Q</t>
        </is>
      </c>
      <c r="E210" s="25" t="inlineStr">
        <is>
          <t>Q</t>
        </is>
      </c>
      <c r="F210" s="25" t="inlineStr">
        <is>
          <t>Q</t>
        </is>
      </c>
      <c r="G210" s="25" t="inlineStr">
        <is>
          <t>Q</t>
        </is>
      </c>
    </row>
    <row r="211" ht="24" customHeight="1">
      <c r="A211" s="26" t="inlineStr">
        <is>
          <t>8 to 12</t>
        </is>
      </c>
      <c r="B211" s="25" t="n">
        <v>3.35</v>
      </c>
      <c r="C211" s="25" t="n">
        <v>2.9</v>
      </c>
      <c r="D211" s="25" t="n">
        <v>0.08</v>
      </c>
      <c r="E211" s="25" t="inlineStr">
        <is>
          <t>Q</t>
        </is>
      </c>
      <c r="F211" s="25" t="n">
        <v>0.21</v>
      </c>
      <c r="G211" s="25" t="n">
        <v>0.1</v>
      </c>
    </row>
    <row r="212">
      <c r="A212" s="26" t="inlineStr">
        <is>
          <t>No hot tub</t>
        </is>
      </c>
      <c r="B212" s="25" t="n">
        <v>114.69</v>
      </c>
      <c r="C212" s="25" t="n">
        <v>69.73999999999999</v>
      </c>
      <c r="D212" s="25" t="n">
        <v>7.18</v>
      </c>
      <c r="E212" s="25" t="n">
        <v>9.119999999999999</v>
      </c>
      <c r="F212" s="25" t="n">
        <v>22.11</v>
      </c>
      <c r="G212" s="25" t="n">
        <v>6.55</v>
      </c>
    </row>
    <row r="213">
      <c r="A213" s="31" t="inlineStr">
        <is>
          <t>Hot tub heating fuel</t>
        </is>
      </c>
      <c r="B213" s="24" t="inlineStr"/>
      <c r="C213" s="24" t="inlineStr"/>
      <c r="D213" s="24" t="inlineStr"/>
      <c r="E213" s="24" t="inlineStr"/>
      <c r="F213" s="24" t="inlineStr"/>
      <c r="G213" s="24" t="inlineStr"/>
    </row>
    <row r="214">
      <c r="A214" s="26" t="inlineStr">
        <is>
          <t>Electricity</t>
        </is>
      </c>
      <c r="B214" s="25" t="n">
        <v>4.41</v>
      </c>
      <c r="C214" s="25" t="n">
        <v>3.8</v>
      </c>
      <c r="D214" s="25" t="n">
        <v>0.1</v>
      </c>
      <c r="E214" s="25" t="inlineStr">
        <is>
          <t>Q</t>
        </is>
      </c>
      <c r="F214" s="25" t="n">
        <v>0.24</v>
      </c>
      <c r="G214" s="25" t="n">
        <v>0.17</v>
      </c>
    </row>
    <row r="215">
      <c r="A215" s="26" t="inlineStr">
        <is>
          <t>Natural gas</t>
        </is>
      </c>
      <c r="B215" s="25" t="n">
        <v>1.47</v>
      </c>
      <c r="C215" s="25" t="n">
        <v>1.23</v>
      </c>
      <c r="D215" s="25" t="n">
        <v>0.04</v>
      </c>
      <c r="E215" s="25" t="inlineStr">
        <is>
          <t>Q</t>
        </is>
      </c>
      <c r="F215" s="25" t="n">
        <v>0.11</v>
      </c>
      <c r="G215" s="25" t="inlineStr">
        <is>
          <t>Q</t>
        </is>
      </c>
    </row>
    <row r="216">
      <c r="A216" s="26" t="inlineStr">
        <is>
          <t>Some other fuel</t>
        </is>
      </c>
      <c r="B216" s="25" t="n">
        <v>0.36</v>
      </c>
      <c r="C216" s="25" t="n">
        <v>0.32</v>
      </c>
      <c r="D216" s="25" t="inlineStr">
        <is>
          <t>Q</t>
        </is>
      </c>
      <c r="E216" s="25" t="inlineStr">
        <is>
          <t>N</t>
        </is>
      </c>
      <c r="F216" s="25" t="inlineStr">
        <is>
          <t>Q</t>
        </is>
      </c>
      <c r="G216" s="25" t="inlineStr">
        <is>
          <t>N</t>
        </is>
      </c>
    </row>
    <row r="217" ht="43.5" customHeight="1">
      <c r="A217" s="26" t="inlineStr">
        <is>
          <t>Hot tub used 0 months</t>
        </is>
      </c>
      <c r="B217" s="25" t="n">
        <v>2.6</v>
      </c>
      <c r="C217" s="25" t="n">
        <v>1.98</v>
      </c>
      <c r="D217" s="25" t="n">
        <v>0.12</v>
      </c>
      <c r="E217" s="25" t="inlineStr">
        <is>
          <t>Q</t>
        </is>
      </c>
      <c r="F217" s="25" t="n">
        <v>0.34</v>
      </c>
      <c r="G217" s="25" t="n">
        <v>0.09</v>
      </c>
    </row>
    <row r="218">
      <c r="A218" s="26" t="inlineStr">
        <is>
          <t>No hot tub</t>
        </is>
      </c>
      <c r="B218" s="25" t="n">
        <v>114.69</v>
      </c>
      <c r="C218" s="25" t="n">
        <v>69.73999999999999</v>
      </c>
      <c r="D218" s="25" t="n">
        <v>7.18</v>
      </c>
      <c r="E218" s="25" t="n">
        <v>9.119999999999999</v>
      </c>
      <c r="F218" s="25" t="n">
        <v>22.11</v>
      </c>
      <c r="G218" s="25" t="n">
        <v>6.55</v>
      </c>
    </row>
    <row r="219">
      <c r="A219" s="7" t="n"/>
      <c r="B219" s="70" t="n"/>
      <c r="C219" s="70" t="n"/>
      <c r="D219" s="70" t="n"/>
      <c r="E219" s="70" t="n"/>
      <c r="F219" s="70" t="n"/>
      <c r="G219" s="70" t="n"/>
    </row>
    <row r="220" ht="15.5" customFormat="1" customHeight="1" s="6" thickBot="1">
      <c r="A220" s="26" t="n"/>
      <c r="B220" s="25" t="n"/>
      <c r="C220" s="25" t="n"/>
      <c r="D220" s="25" t="n"/>
      <c r="E220" s="25" t="n"/>
      <c r="F220" s="25" t="n"/>
      <c r="G220" s="25" t="n"/>
    </row>
    <row r="221" ht="206.25" customFormat="1" customHeight="1" s="6">
      <c r="A221" s="64" t="inlineStr">
        <is>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is>
      </c>
      <c r="B221" s="71" t="n"/>
      <c r="C221" s="71" t="n"/>
      <c r="D221" s="71" t="n"/>
      <c r="E221" s="71" t="n"/>
      <c r="F221" s="71" t="n"/>
      <c r="G221" s="71" t="n"/>
    </row>
    <row r="222" customFormat="1" s="6"/>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sheetPr>
    <tabColor theme="9"/>
    <outlinePr summaryBelow="1" summaryRight="1"/>
    <pageSetUpPr/>
  </sheetPr>
  <dimension ref="A1:A1"/>
  <sheetViews>
    <sheetView workbookViewId="0">
      <selection activeCell="A1" sqref="A1"/>
    </sheetView>
  </sheetViews>
  <sheetFormatPr baseColWidth="8" defaultRowHeight="14.75"/>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R121"/>
  <sheetViews>
    <sheetView topLeftCell="A27" zoomScale="70" zoomScaleNormal="70" workbookViewId="0">
      <selection activeCell="D47" sqref="D47"/>
    </sheetView>
  </sheetViews>
  <sheetFormatPr baseColWidth="8" defaultRowHeight="14.75"/>
  <cols>
    <col width="9.86328125" customWidth="1" min="1" max="1"/>
    <col width="60.54296875" customWidth="1" min="2" max="2"/>
    <col width="34.7265625" customWidth="1" min="3" max="3"/>
    <col width="11.54296875" customWidth="1" min="4" max="4"/>
    <col width="10.40625" customWidth="1" min="5" max="5"/>
    <col width="12" customWidth="1" min="6" max="6"/>
    <col width="9.54296875" bestFit="1" customWidth="1" min="7" max="7"/>
    <col width="9.7265625" bestFit="1" customWidth="1" min="8" max="9"/>
    <col width="9.54296875" bestFit="1" customWidth="1" min="10" max="11"/>
    <col width="9.7265625" bestFit="1" customWidth="1" min="12" max="12"/>
    <col width="9.26953125" bestFit="1" customWidth="1" min="13" max="14"/>
    <col width="13" customWidth="1" min="15" max="15"/>
    <col width="14.1328125" customWidth="1" min="16" max="16"/>
    <col width="9.26953125" bestFit="1" customWidth="1" min="17" max="17"/>
    <col width="9.7265625" bestFit="1" customWidth="1" min="18" max="18"/>
    <col width="9.26953125" bestFit="1" customWidth="1" min="19" max="19"/>
    <col width="12.1328125" customWidth="1" min="20" max="20"/>
    <col width="13.54296875" customWidth="1" min="21" max="21"/>
    <col width="9.26953125" bestFit="1" customWidth="1" min="22" max="25"/>
    <col width="12" bestFit="1" customWidth="1" min="26" max="30"/>
    <col width="13" customWidth="1" min="31" max="31"/>
    <col width="11.26953125" customWidth="1" min="45" max="45"/>
    <col width="12" customWidth="1" min="46" max="46"/>
    <col width="11" customWidth="1" min="47" max="47"/>
    <col width="9.54296875" bestFit="1" customWidth="1" min="48" max="48"/>
    <col width="9.40625" bestFit="1" customWidth="1" min="49" max="50"/>
    <col width="9.54296875" bestFit="1" customWidth="1" min="51" max="52"/>
  </cols>
  <sheetData>
    <row r="1" ht="18.5" customHeight="1">
      <c r="A1" s="51" t="inlineStr">
        <is>
          <t>Table 21</t>
        </is>
      </c>
      <c r="B1" s="52" t="inlineStr">
        <is>
          <t>AEO CODES</t>
        </is>
      </c>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c r="AA1" s="53" t="n"/>
      <c r="AB1" s="53" t="n"/>
      <c r="AC1" s="53" t="n"/>
      <c r="AD1" s="53" t="n"/>
      <c r="AE1" s="53" t="n"/>
      <c r="AF1" s="53" t="n"/>
      <c r="AG1" s="53" t="n"/>
      <c r="AH1" s="53" t="n"/>
      <c r="AI1" s="53" t="n"/>
      <c r="AJ1" s="53" t="n"/>
      <c r="AK1" s="53" t="n"/>
      <c r="AL1" s="53" t="n"/>
      <c r="AM1" s="53" t="n"/>
      <c r="AN1" s="53" t="n"/>
      <c r="AO1" s="53" t="n"/>
      <c r="AP1" s="53" t="n"/>
      <c r="AQ1" s="53" t="n"/>
      <c r="AR1" s="53" t="n"/>
    </row>
    <row r="2">
      <c r="A2" s="49" t="n"/>
      <c r="B2" s="49" t="n"/>
      <c r="C2" s="50" t="inlineStr">
        <is>
          <t>Net Generation (billion kilowatthours)</t>
        </is>
      </c>
      <c r="D2" s="49" t="n"/>
      <c r="E2" s="49" t="n"/>
      <c r="F2" s="49" t="n"/>
      <c r="G2" s="49" t="n"/>
      <c r="H2" s="49" t="n"/>
      <c r="I2" s="49" t="n"/>
      <c r="J2" s="49" t="n"/>
      <c r="K2" s="49" t="n"/>
      <c r="L2" s="49" t="n"/>
      <c r="M2" s="49" t="n"/>
      <c r="N2" s="49" t="n"/>
      <c r="O2" s="49" t="n"/>
      <c r="P2" s="49" t="n"/>
      <c r="Q2" s="49" t="n"/>
      <c r="R2" s="49" t="n"/>
      <c r="S2" s="49" t="n"/>
      <c r="T2" s="49" t="n"/>
      <c r="U2" s="49" t="n"/>
      <c r="V2" s="49" t="n"/>
      <c r="W2" s="49" t="n"/>
      <c r="X2" s="49" t="n"/>
      <c r="Y2" s="49" t="n"/>
      <c r="Z2" s="49" t="n"/>
      <c r="AA2" s="49" t="n"/>
      <c r="AB2" s="49" t="n"/>
      <c r="AC2" s="49" t="n"/>
      <c r="AD2" s="49" t="n"/>
      <c r="AE2" s="49" t="n"/>
      <c r="AF2" s="49" t="n"/>
      <c r="AG2" s="49" t="n"/>
      <c r="AH2" s="49" t="n"/>
      <c r="AI2" s="49" t="n"/>
      <c r="AJ2" s="49" t="n"/>
      <c r="AK2" s="49" t="n"/>
      <c r="AL2" s="49" t="n"/>
      <c r="AM2" s="49" t="n"/>
      <c r="AN2" s="49" t="n"/>
      <c r="AO2" s="49" t="n"/>
      <c r="AP2" s="49" t="n"/>
      <c r="AQ2" s="49" t="n"/>
      <c r="AR2" s="49" t="n"/>
    </row>
    <row r="3">
      <c r="C3" s="1" t="inlineStr">
        <is>
          <t>BDEQ-BEOfDS-urban-residential</t>
        </is>
      </c>
    </row>
    <row r="4">
      <c r="C4" s="1" t="inlineStr">
        <is>
          <t>MW*hour</t>
        </is>
      </c>
      <c r="D4" t="n">
        <v>2023</v>
      </c>
      <c r="E4" t="n">
        <v>2024</v>
      </c>
      <c r="F4" t="n">
        <v>2025</v>
      </c>
      <c r="G4" t="n">
        <v>2026</v>
      </c>
      <c r="H4" t="n">
        <v>2027</v>
      </c>
      <c r="I4" t="n">
        <v>2028</v>
      </c>
      <c r="J4" t="n">
        <v>2029</v>
      </c>
      <c r="K4" t="n">
        <v>2030</v>
      </c>
      <c r="L4" t="n">
        <v>2031</v>
      </c>
      <c r="M4" t="n">
        <v>2032</v>
      </c>
      <c r="N4" t="n">
        <v>2033</v>
      </c>
      <c r="O4" t="n">
        <v>2034</v>
      </c>
      <c r="P4" t="n">
        <v>2035</v>
      </c>
      <c r="Q4" t="n">
        <v>2036</v>
      </c>
      <c r="R4" t="n">
        <v>2037</v>
      </c>
      <c r="S4" t="n">
        <v>2038</v>
      </c>
      <c r="T4" t="n">
        <v>2039</v>
      </c>
      <c r="U4" t="n">
        <v>2040</v>
      </c>
      <c r="V4" t="n">
        <v>2041</v>
      </c>
      <c r="W4" t="n">
        <v>2042</v>
      </c>
      <c r="X4" t="n">
        <v>2043</v>
      </c>
      <c r="Y4" t="n">
        <v>2044</v>
      </c>
      <c r="Z4" t="n">
        <v>2045</v>
      </c>
      <c r="AA4" t="n">
        <v>2046</v>
      </c>
      <c r="AB4" t="n">
        <v>2047</v>
      </c>
      <c r="AC4" t="n">
        <v>2048</v>
      </c>
      <c r="AD4" t="n">
        <v>2049</v>
      </c>
      <c r="AE4" t="n">
        <v>2050</v>
      </c>
    </row>
    <row r="5">
      <c r="C5" t="inlineStr">
        <is>
          <t>hard coal</t>
        </is>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row>
    <row r="6">
      <c r="A6" t="inlineStr">
        <is>
          <t>Residential: Combined Heat and Power: Net Generation: Fuel Cells: Alternative Electricity and Transportation</t>
        </is>
      </c>
      <c r="B6" t="inlineStr">
        <is>
          <t>Residential: Combined Heat and Power: Net Generation: Fuel Cells: High Zero-Carbon Technology Cost</t>
        </is>
      </c>
      <c r="C6" t="inlineStr">
        <is>
          <t>natural gas nonpeaker</t>
        </is>
      </c>
      <c r="D6" s="47" t="n">
        <v>0</v>
      </c>
      <c r="E6">
        <f>INDEX(AEO25_Table_21._Residential!$F$82:$AG$93,MATCH($B6,AEO25_Table_21._Residential!$B$82:$B$93,0),MATCH(E$4,AEO25_Table_21._Residential!$F$5:$AG$5,0))*About!$A$25*About!$B$28</f>
        <v/>
      </c>
      <c r="F6">
        <f>INDEX(AEO26_Table_21._Residential!$E$6:$AD$92,MATCH($A6,AEO26_Table_21._Residential!$B$6:$B$92,0),MATCH(F$4,AEO26_Table_21._Residential!$E$5:$AD$5,0))*About!$A$25*About!$B$28</f>
        <v/>
      </c>
      <c r="G6">
        <f>INDEX(AEO26_Table_21._Residential!$E$6:$AD$92,MATCH($A6,AEO26_Table_21._Residential!$B$6:$B$92,0),MATCH(G$4,AEO26_Table_21._Residential!$E$5:$AD$5,0))*About!$A$25*About!$B$28</f>
        <v/>
      </c>
      <c r="H6">
        <f>INDEX(AEO26_Table_21._Residential!$E$6:$AD$92,MATCH($A6,AEO26_Table_21._Residential!$B$6:$B$92,0),MATCH(H$4,AEO26_Table_21._Residential!$E$5:$AD$5,0))*About!$A$25*About!$B$28</f>
        <v/>
      </c>
      <c r="I6">
        <f>INDEX(AEO26_Table_21._Residential!$E$6:$AD$92,MATCH($A6,AEO26_Table_21._Residential!$B$6:$B$92,0),MATCH(I$4,AEO26_Table_21._Residential!$E$5:$AD$5,0))*About!$A$25*About!$B$28</f>
        <v/>
      </c>
      <c r="J6">
        <f>INDEX(AEO26_Table_21._Residential!$E$6:$AD$92,MATCH($A6,AEO26_Table_21._Residential!$B$6:$B$92,0),MATCH(J$4,AEO26_Table_21._Residential!$E$5:$AD$5,0))*About!$A$25*About!$B$28</f>
        <v/>
      </c>
      <c r="K6">
        <f>INDEX(AEO26_Table_21._Residential!$E$6:$AD$92,MATCH($A6,AEO26_Table_21._Residential!$B$6:$B$92,0),MATCH(K$4,AEO26_Table_21._Residential!$E$5:$AD$5,0))*About!$A$25*About!$B$28</f>
        <v/>
      </c>
      <c r="L6">
        <f>INDEX(AEO26_Table_21._Residential!$E$6:$AD$92,MATCH($A6,AEO26_Table_21._Residential!$B$6:$B$92,0),MATCH(L$4,AEO26_Table_21._Residential!$E$5:$AD$5,0))*About!$A$25*About!$B$28</f>
        <v/>
      </c>
      <c r="M6">
        <f>INDEX(AEO26_Table_21._Residential!$E$6:$AD$92,MATCH($A6,AEO26_Table_21._Residential!$B$6:$B$92,0),MATCH(M$4,AEO26_Table_21._Residential!$E$5:$AD$5,0))*About!$A$25*About!$B$28</f>
        <v/>
      </c>
      <c r="N6">
        <f>INDEX(AEO26_Table_21._Residential!$E$6:$AD$92,MATCH($A6,AEO26_Table_21._Residential!$B$6:$B$92,0),MATCH(N$4,AEO26_Table_21._Residential!$E$5:$AD$5,0))*About!$A$25*About!$B$28</f>
        <v/>
      </c>
      <c r="O6">
        <f>INDEX(AEO26_Table_21._Residential!$E$6:$AD$92,MATCH($A6,AEO26_Table_21._Residential!$B$6:$B$92,0),MATCH(O$4,AEO26_Table_21._Residential!$E$5:$AD$5,0))*About!$A$25*About!$B$28</f>
        <v/>
      </c>
      <c r="P6">
        <f>INDEX(AEO26_Table_21._Residential!$E$6:$AD$92,MATCH($A6,AEO26_Table_21._Residential!$B$6:$B$92,0),MATCH(P$4,AEO26_Table_21._Residential!$E$5:$AD$5,0))*About!$A$25*About!$B$28</f>
        <v/>
      </c>
      <c r="Q6">
        <f>INDEX(AEO26_Table_21._Residential!$E$6:$AD$92,MATCH($A6,AEO26_Table_21._Residential!$B$6:$B$92,0),MATCH(Q$4,AEO26_Table_21._Residential!$E$5:$AD$5,0))*About!$A$25*About!$B$28</f>
        <v/>
      </c>
      <c r="R6">
        <f>INDEX(AEO26_Table_21._Residential!$E$6:$AD$92,MATCH($A6,AEO26_Table_21._Residential!$B$6:$B$92,0),MATCH(R$4,AEO26_Table_21._Residential!$E$5:$AD$5,0))*About!$A$25*About!$B$28</f>
        <v/>
      </c>
      <c r="S6">
        <f>INDEX(AEO26_Table_21._Residential!$E$6:$AD$92,MATCH($A6,AEO26_Table_21._Residential!$B$6:$B$92,0),MATCH(S$4,AEO26_Table_21._Residential!$E$5:$AD$5,0))*About!$A$25*About!$B$28</f>
        <v/>
      </c>
      <c r="T6">
        <f>INDEX(AEO26_Table_21._Residential!$E$6:$AD$92,MATCH($A6,AEO26_Table_21._Residential!$B$6:$B$92,0),MATCH(T$4,AEO26_Table_21._Residential!$E$5:$AD$5,0))*About!$A$25*About!$B$28</f>
        <v/>
      </c>
      <c r="U6">
        <f>INDEX(AEO26_Table_21._Residential!$E$6:$AD$92,MATCH($A6,AEO26_Table_21._Residential!$B$6:$B$92,0),MATCH(U$4,AEO26_Table_21._Residential!$E$5:$AD$5,0))*About!$A$25*About!$B$28</f>
        <v/>
      </c>
      <c r="V6">
        <f>INDEX(AEO26_Table_21._Residential!$E$6:$AD$92,MATCH($A6,AEO26_Table_21._Residential!$B$6:$B$92,0),MATCH(V$4,AEO26_Table_21._Residential!$E$5:$AD$5,0))*About!$A$25*About!$B$28</f>
        <v/>
      </c>
      <c r="W6">
        <f>INDEX(AEO26_Table_21._Residential!$E$6:$AD$92,MATCH($A6,AEO26_Table_21._Residential!$B$6:$B$92,0),MATCH(W$4,AEO26_Table_21._Residential!$E$5:$AD$5,0))*About!$A$25*About!$B$28</f>
        <v/>
      </c>
      <c r="X6">
        <f>INDEX(AEO26_Table_21._Residential!$E$6:$AD$92,MATCH($A6,AEO26_Table_21._Residential!$B$6:$B$92,0),MATCH(X$4,AEO26_Table_21._Residential!$E$5:$AD$5,0))*About!$A$25*About!$B$28</f>
        <v/>
      </c>
      <c r="Y6">
        <f>INDEX(AEO26_Table_21._Residential!$E$6:$AD$92,MATCH($A6,AEO26_Table_21._Residential!$B$6:$B$92,0),MATCH(Y$4,AEO26_Table_21._Residential!$E$5:$AD$5,0))*About!$A$25*About!$B$28</f>
        <v/>
      </c>
      <c r="Z6">
        <f>INDEX(AEO26_Table_21._Residential!$E$6:$AD$92,MATCH($A6,AEO26_Table_21._Residential!$B$6:$B$92,0),MATCH(Z$4,AEO26_Table_21._Residential!$E$5:$AD$5,0))*About!$A$25*About!$B$28</f>
        <v/>
      </c>
      <c r="AA6">
        <f>INDEX(AEO26_Table_21._Residential!$E$6:$AD$92,MATCH($A6,AEO26_Table_21._Residential!$B$6:$B$92,0),MATCH(AA$4,AEO26_Table_21._Residential!$E$5:$AD$5,0))*About!$A$25*About!$B$28</f>
        <v/>
      </c>
      <c r="AB6">
        <f>INDEX(AEO26_Table_21._Residential!$E$6:$AD$92,MATCH($A6,AEO26_Table_21._Residential!$B$6:$B$92,0),MATCH(AB$4,AEO26_Table_21._Residential!$E$5:$AD$5,0))*About!$A$25*About!$B$28</f>
        <v/>
      </c>
      <c r="AC6">
        <f>INDEX(AEO26_Table_21._Residential!$E$6:$AD$92,MATCH($A6,AEO26_Table_21._Residential!$B$6:$B$92,0),MATCH(AC$4,AEO26_Table_21._Residential!$E$5:$AD$5,0))*About!$A$25*About!$B$28</f>
        <v/>
      </c>
      <c r="AD6">
        <f>INDEX(AEO26_Table_21._Residential!$E$6:$AD$92,MATCH($A6,AEO26_Table_21._Residential!$B$6:$B$92,0),MATCH(AD$4,AEO26_Table_21._Residential!$E$5:$AD$5,0))*About!$A$25*About!$B$28</f>
        <v/>
      </c>
      <c r="AE6">
        <f>INDEX(AEO26_Table_21._Residential!$E$6:$AD$92,MATCH($A6,AEO26_Table_21._Residential!$B$6:$B$92,0),MATCH(AE$4,AEO26_Table_21._Residential!$E$5:$AD$5,0))*About!$A$25*About!$B$28</f>
        <v/>
      </c>
    </row>
    <row r="7">
      <c r="C7" t="inlineStr">
        <is>
          <t>nuclear</t>
        </is>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row>
    <row r="8">
      <c r="C8" t="inlineStr">
        <is>
          <t>hydro</t>
        </is>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row>
    <row r="9">
      <c r="A9" t="inlineStr">
        <is>
          <t>Residential: Combined Heat and Power: Net Generation: Wind: Alternative Electricity and Transportation</t>
        </is>
      </c>
      <c r="B9" t="inlineStr">
        <is>
          <t>Residential: Combined Heat and Power: Net Generation: Wind: High Zero-Carbon Technology Cost</t>
        </is>
      </c>
      <c r="C9" t="inlineStr">
        <is>
          <t>onshore wind</t>
        </is>
      </c>
      <c r="D9" s="47">
        <f>AEO23_Table_21._Residential!$G$84*About!$A$25*About!$B$28</f>
        <v/>
      </c>
      <c r="E9">
        <f>INDEX(AEO25_Table_21._Residential!$F$82:$AG$93,MATCH($B9,AEO25_Table_21._Residential!$B$82:$B$93,0),MATCH(E$4,AEO25_Table_21._Residential!$F$5:$AG$5,0))*About!$A$25*About!$B$28</f>
        <v/>
      </c>
      <c r="F9">
        <f>INDEX(AEO26_Table_21._Residential!$E$6:$AD$92,MATCH($A9,AEO26_Table_21._Residential!$B$6:$B$92,0),MATCH(F$4,AEO26_Table_21._Residential!$E$5:$AD$5,0))*About!$A$25*About!$B$28</f>
        <v/>
      </c>
      <c r="G9">
        <f>INDEX(AEO26_Table_21._Residential!$E$6:$AD$92,MATCH($A9,AEO26_Table_21._Residential!$B$6:$B$92,0),MATCH(G$4,AEO26_Table_21._Residential!$E$5:$AD$5,0))*About!$A$25*About!$B$28</f>
        <v/>
      </c>
      <c r="H9">
        <f>INDEX(AEO26_Table_21._Residential!$E$6:$AD$92,MATCH($A9,AEO26_Table_21._Residential!$B$6:$B$92,0),MATCH(H$4,AEO26_Table_21._Residential!$E$5:$AD$5,0))*About!$A$25*About!$B$28</f>
        <v/>
      </c>
      <c r="I9">
        <f>INDEX(AEO26_Table_21._Residential!$E$6:$AD$92,MATCH($A9,AEO26_Table_21._Residential!$B$6:$B$92,0),MATCH(I$4,AEO26_Table_21._Residential!$E$5:$AD$5,0))*About!$A$25*About!$B$28</f>
        <v/>
      </c>
      <c r="J9">
        <f>INDEX(AEO26_Table_21._Residential!$E$6:$AD$92,MATCH($A9,AEO26_Table_21._Residential!$B$6:$B$92,0),MATCH(J$4,AEO26_Table_21._Residential!$E$5:$AD$5,0))*About!$A$25*About!$B$28</f>
        <v/>
      </c>
      <c r="K9">
        <f>INDEX(AEO26_Table_21._Residential!$E$6:$AD$92,MATCH($A9,AEO26_Table_21._Residential!$B$6:$B$92,0),MATCH(K$4,AEO26_Table_21._Residential!$E$5:$AD$5,0))*About!$A$25*About!$B$28</f>
        <v/>
      </c>
      <c r="L9">
        <f>INDEX(AEO26_Table_21._Residential!$E$6:$AD$92,MATCH($A9,AEO26_Table_21._Residential!$B$6:$B$92,0),MATCH(L$4,AEO26_Table_21._Residential!$E$5:$AD$5,0))*About!$A$25*About!$B$28</f>
        <v/>
      </c>
      <c r="M9">
        <f>INDEX(AEO26_Table_21._Residential!$E$6:$AD$92,MATCH($A9,AEO26_Table_21._Residential!$B$6:$B$92,0),MATCH(M$4,AEO26_Table_21._Residential!$E$5:$AD$5,0))*About!$A$25*About!$B$28</f>
        <v/>
      </c>
      <c r="N9">
        <f>INDEX(AEO26_Table_21._Residential!$E$6:$AD$92,MATCH($A9,AEO26_Table_21._Residential!$B$6:$B$92,0),MATCH(N$4,AEO26_Table_21._Residential!$E$5:$AD$5,0))*About!$A$25*About!$B$28</f>
        <v/>
      </c>
      <c r="O9">
        <f>INDEX(AEO26_Table_21._Residential!$E$6:$AD$92,MATCH($A9,AEO26_Table_21._Residential!$B$6:$B$92,0),MATCH(O$4,AEO26_Table_21._Residential!$E$5:$AD$5,0))*About!$A$25*About!$B$28</f>
        <v/>
      </c>
      <c r="P9">
        <f>INDEX(AEO26_Table_21._Residential!$E$6:$AD$92,MATCH($A9,AEO26_Table_21._Residential!$B$6:$B$92,0),MATCH(P$4,AEO26_Table_21._Residential!$E$5:$AD$5,0))*About!$A$25*About!$B$28</f>
        <v/>
      </c>
      <c r="Q9">
        <f>INDEX(AEO26_Table_21._Residential!$E$6:$AD$92,MATCH($A9,AEO26_Table_21._Residential!$B$6:$B$92,0),MATCH(Q$4,AEO26_Table_21._Residential!$E$5:$AD$5,0))*About!$A$25*About!$B$28</f>
        <v/>
      </c>
      <c r="R9">
        <f>INDEX(AEO26_Table_21._Residential!$E$6:$AD$92,MATCH($A9,AEO26_Table_21._Residential!$B$6:$B$92,0),MATCH(R$4,AEO26_Table_21._Residential!$E$5:$AD$5,0))*About!$A$25*About!$B$28</f>
        <v/>
      </c>
      <c r="S9">
        <f>INDEX(AEO26_Table_21._Residential!$E$6:$AD$92,MATCH($A9,AEO26_Table_21._Residential!$B$6:$B$92,0),MATCH(S$4,AEO26_Table_21._Residential!$E$5:$AD$5,0))*About!$A$25*About!$B$28</f>
        <v/>
      </c>
      <c r="T9">
        <f>INDEX(AEO26_Table_21._Residential!$E$6:$AD$92,MATCH($A9,AEO26_Table_21._Residential!$B$6:$B$92,0),MATCH(T$4,AEO26_Table_21._Residential!$E$5:$AD$5,0))*About!$A$25*About!$B$28</f>
        <v/>
      </c>
      <c r="U9">
        <f>INDEX(AEO26_Table_21._Residential!$E$6:$AD$92,MATCH($A9,AEO26_Table_21._Residential!$B$6:$B$92,0),MATCH(U$4,AEO26_Table_21._Residential!$E$5:$AD$5,0))*About!$A$25*About!$B$28</f>
        <v/>
      </c>
      <c r="V9">
        <f>INDEX(AEO26_Table_21._Residential!$E$6:$AD$92,MATCH($A9,AEO26_Table_21._Residential!$B$6:$B$92,0),MATCH(V$4,AEO26_Table_21._Residential!$E$5:$AD$5,0))*About!$A$25*About!$B$28</f>
        <v/>
      </c>
      <c r="W9">
        <f>INDEX(AEO26_Table_21._Residential!$E$6:$AD$92,MATCH($A9,AEO26_Table_21._Residential!$B$6:$B$92,0),MATCH(W$4,AEO26_Table_21._Residential!$E$5:$AD$5,0))*About!$A$25*About!$B$28</f>
        <v/>
      </c>
      <c r="X9">
        <f>INDEX(AEO26_Table_21._Residential!$E$6:$AD$92,MATCH($A9,AEO26_Table_21._Residential!$B$6:$B$92,0),MATCH(X$4,AEO26_Table_21._Residential!$E$5:$AD$5,0))*About!$A$25*About!$B$28</f>
        <v/>
      </c>
      <c r="Y9">
        <f>INDEX(AEO26_Table_21._Residential!$E$6:$AD$92,MATCH($A9,AEO26_Table_21._Residential!$B$6:$B$92,0),MATCH(Y$4,AEO26_Table_21._Residential!$E$5:$AD$5,0))*About!$A$25*About!$B$28</f>
        <v/>
      </c>
      <c r="Z9">
        <f>INDEX(AEO26_Table_21._Residential!$E$6:$AD$92,MATCH($A9,AEO26_Table_21._Residential!$B$6:$B$92,0),MATCH(Z$4,AEO26_Table_21._Residential!$E$5:$AD$5,0))*About!$A$25*About!$B$28</f>
        <v/>
      </c>
      <c r="AA9">
        <f>INDEX(AEO26_Table_21._Residential!$E$6:$AD$92,MATCH($A9,AEO26_Table_21._Residential!$B$6:$B$92,0),MATCH(AA$4,AEO26_Table_21._Residential!$E$5:$AD$5,0))*About!$A$25*About!$B$28</f>
        <v/>
      </c>
      <c r="AB9">
        <f>INDEX(AEO26_Table_21._Residential!$E$6:$AD$92,MATCH($A9,AEO26_Table_21._Residential!$B$6:$B$92,0),MATCH(AB$4,AEO26_Table_21._Residential!$E$5:$AD$5,0))*About!$A$25*About!$B$28</f>
        <v/>
      </c>
      <c r="AC9">
        <f>INDEX(AEO26_Table_21._Residential!$E$6:$AD$92,MATCH($A9,AEO26_Table_21._Residential!$B$6:$B$92,0),MATCH(AC$4,AEO26_Table_21._Residential!$E$5:$AD$5,0))*About!$A$25*About!$B$28</f>
        <v/>
      </c>
      <c r="AD9">
        <f>INDEX(AEO26_Table_21._Residential!$E$6:$AD$92,MATCH($A9,AEO26_Table_21._Residential!$B$6:$B$92,0),MATCH(AD$4,AEO26_Table_21._Residential!$E$5:$AD$5,0))*About!$A$25*About!$B$28</f>
        <v/>
      </c>
      <c r="AE9">
        <f>INDEX(AEO26_Table_21._Residential!$E$6:$AD$92,MATCH($A9,AEO26_Table_21._Residential!$B$6:$B$92,0),MATCH(AE$4,AEO26_Table_21._Residential!$E$5:$AD$5,0))*About!$A$25*About!$B$28</f>
        <v/>
      </c>
    </row>
    <row r="10">
      <c r="A10" t="inlineStr">
        <is>
          <t>Residential: Combined Heat and Power: Net Generation: Solar Photovoltaic: Alternative Electricity and Transportation</t>
        </is>
      </c>
      <c r="B10" t="inlineStr">
        <is>
          <t>Residential: Combined Heat and Power: Net Generation: Solar Photovoltaic: High Zero-Carbon Technology Cost</t>
        </is>
      </c>
      <c r="C10" t="inlineStr">
        <is>
          <t>solar PV</t>
        </is>
      </c>
      <c r="D10" s="47">
        <f>AEO23_Table_21._Residential!$G$83*About!$A$25*About!$B$28</f>
        <v/>
      </c>
      <c r="E10">
        <f>INDEX(AEO25_Table_21._Residential!$F$82:$AG$93,MATCH($B10,AEO25_Table_21._Residential!$B$82:$B$93,0),MATCH(E$4,AEO25_Table_21._Residential!$F$5:$AG$5,0))*About!$A$25*About!$B$28</f>
        <v/>
      </c>
      <c r="F10">
        <f>INDEX(AEO26_Table_21._Residential!$E$6:$AD$92,MATCH($A10,AEO26_Table_21._Residential!$B$6:$B$92,0),MATCH(F$4,AEO26_Table_21._Residential!$E$5:$AD$5,0))*About!$A$25*About!$B$28</f>
        <v/>
      </c>
      <c r="G10">
        <f>INDEX(AEO26_Table_21._Residential!$E$6:$AD$92,MATCH($A10,AEO26_Table_21._Residential!$B$6:$B$92,0),MATCH(G$4,AEO26_Table_21._Residential!$E$5:$AD$5,0))*About!$A$25*About!$B$28</f>
        <v/>
      </c>
      <c r="H10">
        <f>INDEX(AEO26_Table_21._Residential!$E$6:$AD$92,MATCH($A10,AEO26_Table_21._Residential!$B$6:$B$92,0),MATCH(H$4,AEO26_Table_21._Residential!$E$5:$AD$5,0))*About!$A$25*About!$B$28</f>
        <v/>
      </c>
      <c r="I10">
        <f>INDEX(AEO26_Table_21._Residential!$E$6:$AD$92,MATCH($A10,AEO26_Table_21._Residential!$B$6:$B$92,0),MATCH(I$4,AEO26_Table_21._Residential!$E$5:$AD$5,0))*About!$A$25*About!$B$28</f>
        <v/>
      </c>
      <c r="J10">
        <f>INDEX(AEO26_Table_21._Residential!$E$6:$AD$92,MATCH($A10,AEO26_Table_21._Residential!$B$6:$B$92,0),MATCH(J$4,AEO26_Table_21._Residential!$E$5:$AD$5,0))*About!$A$25*About!$B$28</f>
        <v/>
      </c>
      <c r="K10">
        <f>INDEX(AEO26_Table_21._Residential!$E$6:$AD$92,MATCH($A10,AEO26_Table_21._Residential!$B$6:$B$92,0),MATCH(K$4,AEO26_Table_21._Residential!$E$5:$AD$5,0))*About!$A$25*About!$B$28</f>
        <v/>
      </c>
      <c r="L10">
        <f>INDEX(AEO26_Table_21._Residential!$E$6:$AD$92,MATCH($A10,AEO26_Table_21._Residential!$B$6:$B$92,0),MATCH(L$4,AEO26_Table_21._Residential!$E$5:$AD$5,0))*About!$A$25*About!$B$28</f>
        <v/>
      </c>
      <c r="M10">
        <f>INDEX(AEO26_Table_21._Residential!$E$6:$AD$92,MATCH($A10,AEO26_Table_21._Residential!$B$6:$B$92,0),MATCH(M$4,AEO26_Table_21._Residential!$E$5:$AD$5,0))*About!$A$25*About!$B$28</f>
        <v/>
      </c>
      <c r="N10">
        <f>INDEX(AEO26_Table_21._Residential!$E$6:$AD$92,MATCH($A10,AEO26_Table_21._Residential!$B$6:$B$92,0),MATCH(N$4,AEO26_Table_21._Residential!$E$5:$AD$5,0))*About!$A$25*About!$B$28</f>
        <v/>
      </c>
      <c r="O10">
        <f>INDEX(AEO26_Table_21._Residential!$E$6:$AD$92,MATCH($A10,AEO26_Table_21._Residential!$B$6:$B$92,0),MATCH(O$4,AEO26_Table_21._Residential!$E$5:$AD$5,0))*About!$A$25*About!$B$28</f>
        <v/>
      </c>
      <c r="P10">
        <f>INDEX(AEO26_Table_21._Residential!$E$6:$AD$92,MATCH($A10,AEO26_Table_21._Residential!$B$6:$B$92,0),MATCH(P$4,AEO26_Table_21._Residential!$E$5:$AD$5,0))*About!$A$25*About!$B$28</f>
        <v/>
      </c>
      <c r="Q10">
        <f>INDEX(AEO26_Table_21._Residential!$E$6:$AD$92,MATCH($A10,AEO26_Table_21._Residential!$B$6:$B$92,0),MATCH(Q$4,AEO26_Table_21._Residential!$E$5:$AD$5,0))*About!$A$25*About!$B$28</f>
        <v/>
      </c>
      <c r="R10">
        <f>INDEX(AEO26_Table_21._Residential!$E$6:$AD$92,MATCH($A10,AEO26_Table_21._Residential!$B$6:$B$92,0),MATCH(R$4,AEO26_Table_21._Residential!$E$5:$AD$5,0))*About!$A$25*About!$B$28</f>
        <v/>
      </c>
      <c r="S10">
        <f>INDEX(AEO26_Table_21._Residential!$E$6:$AD$92,MATCH($A10,AEO26_Table_21._Residential!$B$6:$B$92,0),MATCH(S$4,AEO26_Table_21._Residential!$E$5:$AD$5,0))*About!$A$25*About!$B$28</f>
        <v/>
      </c>
      <c r="T10">
        <f>INDEX(AEO26_Table_21._Residential!$E$6:$AD$92,MATCH($A10,AEO26_Table_21._Residential!$B$6:$B$92,0),MATCH(T$4,AEO26_Table_21._Residential!$E$5:$AD$5,0))*About!$A$25*About!$B$28</f>
        <v/>
      </c>
      <c r="U10">
        <f>INDEX(AEO26_Table_21._Residential!$E$6:$AD$92,MATCH($A10,AEO26_Table_21._Residential!$B$6:$B$92,0),MATCH(U$4,AEO26_Table_21._Residential!$E$5:$AD$5,0))*About!$A$25*About!$B$28</f>
        <v/>
      </c>
      <c r="V10">
        <f>INDEX(AEO26_Table_21._Residential!$E$6:$AD$92,MATCH($A10,AEO26_Table_21._Residential!$B$6:$B$92,0),MATCH(V$4,AEO26_Table_21._Residential!$E$5:$AD$5,0))*About!$A$25*About!$B$28</f>
        <v/>
      </c>
      <c r="W10">
        <f>INDEX(AEO26_Table_21._Residential!$E$6:$AD$92,MATCH($A10,AEO26_Table_21._Residential!$B$6:$B$92,0),MATCH(W$4,AEO26_Table_21._Residential!$E$5:$AD$5,0))*About!$A$25*About!$B$28</f>
        <v/>
      </c>
      <c r="X10">
        <f>INDEX(AEO26_Table_21._Residential!$E$6:$AD$92,MATCH($A10,AEO26_Table_21._Residential!$B$6:$B$92,0),MATCH(X$4,AEO26_Table_21._Residential!$E$5:$AD$5,0))*About!$A$25*About!$B$28</f>
        <v/>
      </c>
      <c r="Y10">
        <f>INDEX(AEO26_Table_21._Residential!$E$6:$AD$92,MATCH($A10,AEO26_Table_21._Residential!$B$6:$B$92,0),MATCH(Y$4,AEO26_Table_21._Residential!$E$5:$AD$5,0))*About!$A$25*About!$B$28</f>
        <v/>
      </c>
      <c r="Z10">
        <f>INDEX(AEO26_Table_21._Residential!$E$6:$AD$92,MATCH($A10,AEO26_Table_21._Residential!$B$6:$B$92,0),MATCH(Z$4,AEO26_Table_21._Residential!$E$5:$AD$5,0))*About!$A$25*About!$B$28</f>
        <v/>
      </c>
      <c r="AA10">
        <f>INDEX(AEO26_Table_21._Residential!$E$6:$AD$92,MATCH($A10,AEO26_Table_21._Residential!$B$6:$B$92,0),MATCH(AA$4,AEO26_Table_21._Residential!$E$5:$AD$5,0))*About!$A$25*About!$B$28</f>
        <v/>
      </c>
      <c r="AB10">
        <f>INDEX(AEO26_Table_21._Residential!$E$6:$AD$92,MATCH($A10,AEO26_Table_21._Residential!$B$6:$B$92,0),MATCH(AB$4,AEO26_Table_21._Residential!$E$5:$AD$5,0))*About!$A$25*About!$B$28</f>
        <v/>
      </c>
      <c r="AC10">
        <f>INDEX(AEO26_Table_21._Residential!$E$6:$AD$92,MATCH($A10,AEO26_Table_21._Residential!$B$6:$B$92,0),MATCH(AC$4,AEO26_Table_21._Residential!$E$5:$AD$5,0))*About!$A$25*About!$B$28</f>
        <v/>
      </c>
      <c r="AD10">
        <f>INDEX(AEO26_Table_21._Residential!$E$6:$AD$92,MATCH($A10,AEO26_Table_21._Residential!$B$6:$B$92,0),MATCH(AD$4,AEO26_Table_21._Residential!$E$5:$AD$5,0))*About!$A$25*About!$B$28</f>
        <v/>
      </c>
      <c r="AE10">
        <f>INDEX(AEO26_Table_21._Residential!$E$6:$AD$92,MATCH($A10,AEO26_Table_21._Residential!$B$6:$B$92,0),MATCH(AE$4,AEO26_Table_21._Residential!$E$5:$AD$5,0))*About!$A$25*About!$B$28</f>
        <v/>
      </c>
    </row>
    <row r="11">
      <c r="C11" t="inlineStr">
        <is>
          <t>solar thermal</t>
        </is>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row>
    <row r="12">
      <c r="C12" t="inlineStr">
        <is>
          <t>biomass</t>
        </is>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row>
    <row r="13">
      <c r="C13" t="inlineStr">
        <is>
          <t>geothermal</t>
        </is>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row>
    <row r="14">
      <c r="C14" t="inlineStr">
        <is>
          <t>petroleum</t>
        </is>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row>
    <row r="15">
      <c r="C15" t="inlineStr">
        <is>
          <t>natural gas peaker</t>
        </is>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row>
    <row r="16">
      <c r="C16" t="inlineStr">
        <is>
          <t>lignite</t>
        </is>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row>
    <row r="17">
      <c r="C17" t="inlineStr">
        <is>
          <t>offshore wind</t>
        </is>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row>
    <row r="18">
      <c r="C18" t="inlineStr">
        <is>
          <t>crude oil</t>
        </is>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row>
    <row r="19">
      <c r="C19" t="inlineStr">
        <is>
          <t>heavy or residual fuel oil</t>
        </is>
      </c>
      <c r="D19" t="n">
        <v>0</v>
      </c>
      <c r="E19" t="n">
        <v>0</v>
      </c>
      <c r="F19" t="n">
        <v>0</v>
      </c>
      <c r="G19" t="n">
        <v>0</v>
      </c>
      <c r="H19" t="n">
        <v>0</v>
      </c>
      <c r="I19" t="n">
        <v>0</v>
      </c>
      <c r="J19" t="n">
        <v>0</v>
      </c>
      <c r="K19" t="n">
        <v>0</v>
      </c>
      <c r="L19" t="n">
        <v>0</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0</v>
      </c>
    </row>
    <row r="20">
      <c r="C20" t="inlineStr">
        <is>
          <t>municipal solid waste</t>
        </is>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row>
    <row r="21"/>
    <row r="22">
      <c r="C22" s="1" t="inlineStr">
        <is>
          <t>BDEQ-BEOfDS-rural-residential</t>
        </is>
      </c>
    </row>
    <row r="23">
      <c r="C23" s="1" t="inlineStr">
        <is>
          <t>MW*hour</t>
        </is>
      </c>
      <c r="D23" t="n">
        <v>2023</v>
      </c>
      <c r="E23" t="n">
        <v>2024</v>
      </c>
      <c r="F23" t="n">
        <v>2025</v>
      </c>
      <c r="G23" t="n">
        <v>2026</v>
      </c>
      <c r="H23" t="n">
        <v>2027</v>
      </c>
      <c r="I23" t="n">
        <v>2028</v>
      </c>
      <c r="J23" t="n">
        <v>2029</v>
      </c>
      <c r="K23" t="n">
        <v>2030</v>
      </c>
      <c r="L23" t="n">
        <v>2031</v>
      </c>
      <c r="M23" t="n">
        <v>2032</v>
      </c>
      <c r="N23" t="n">
        <v>2033</v>
      </c>
      <c r="O23" t="n">
        <v>2034</v>
      </c>
      <c r="P23" t="n">
        <v>2035</v>
      </c>
      <c r="Q23" t="n">
        <v>2036</v>
      </c>
      <c r="R23" t="n">
        <v>2037</v>
      </c>
      <c r="S23" t="n">
        <v>2038</v>
      </c>
      <c r="T23" t="n">
        <v>2039</v>
      </c>
      <c r="U23" t="n">
        <v>2040</v>
      </c>
      <c r="V23" t="n">
        <v>2041</v>
      </c>
      <c r="W23" t="n">
        <v>2042</v>
      </c>
      <c r="X23" t="n">
        <v>2043</v>
      </c>
      <c r="Y23" t="n">
        <v>2044</v>
      </c>
      <c r="Z23" t="n">
        <v>2045</v>
      </c>
      <c r="AA23" t="n">
        <v>2046</v>
      </c>
      <c r="AB23" t="n">
        <v>2047</v>
      </c>
      <c r="AC23" t="n">
        <v>2048</v>
      </c>
      <c r="AD23" t="n">
        <v>2049</v>
      </c>
      <c r="AE23" t="n">
        <v>2050</v>
      </c>
    </row>
    <row r="24">
      <c r="C24" t="inlineStr">
        <is>
          <t>hard coal</t>
        </is>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row>
    <row r="25">
      <c r="A25" t="inlineStr">
        <is>
          <t>Residential: Combined Heat and Power: Net Generation: Fuel Cells: Alternative Electricity and Transportation</t>
        </is>
      </c>
      <c r="B25" t="inlineStr">
        <is>
          <t>Residential: Combined Heat and Power: Net Generation: Fuel Cells: High Zero-Carbon Technology Cost</t>
        </is>
      </c>
      <c r="C25" t="inlineStr">
        <is>
          <t>natural gas nonpeaker</t>
        </is>
      </c>
      <c r="D25" s="47" t="n">
        <v>0</v>
      </c>
      <c r="E25">
        <f>INDEX(AEO25_Table_21._Residential!$F$82:$AG$93,MATCH($B25,AEO25_Table_21._Residential!$B$82:$B$93,0),MATCH(E$4,AEO25_Table_21._Residential!$F$5:$AG$5,0))*About!$A$26*About!$B$28</f>
        <v/>
      </c>
      <c r="F25">
        <f>INDEX(AEO26_Table_21._Residential!$E$6:$AD$92,MATCH($A25,AEO26_Table_21._Residential!$B$6:$B$92,0),MATCH(F$4,AEO26_Table_21._Residential!$E$5:$AD$5,0))*About!$A$26*About!$B$28</f>
        <v/>
      </c>
      <c r="G25">
        <f>INDEX(AEO26_Table_21._Residential!$E$6:$AD$92,MATCH($A25,AEO26_Table_21._Residential!$B$6:$B$92,0),MATCH(G$4,AEO26_Table_21._Residential!$E$5:$AD$5,0))*About!$A$26*About!$B$28</f>
        <v/>
      </c>
      <c r="H25">
        <f>INDEX(AEO26_Table_21._Residential!$E$6:$AD$92,MATCH($A25,AEO26_Table_21._Residential!$B$6:$B$92,0),MATCH(H$4,AEO26_Table_21._Residential!$E$5:$AD$5,0))*About!$A$26*About!$B$28</f>
        <v/>
      </c>
      <c r="I25">
        <f>INDEX(AEO26_Table_21._Residential!$E$6:$AD$92,MATCH($A25,AEO26_Table_21._Residential!$B$6:$B$92,0),MATCH(I$4,AEO26_Table_21._Residential!$E$5:$AD$5,0))*About!$A$26*About!$B$28</f>
        <v/>
      </c>
      <c r="J25">
        <f>INDEX(AEO26_Table_21._Residential!$E$6:$AD$92,MATCH($A25,AEO26_Table_21._Residential!$B$6:$B$92,0),MATCH(J$4,AEO26_Table_21._Residential!$E$5:$AD$5,0))*About!$A$26*About!$B$28</f>
        <v/>
      </c>
      <c r="K25">
        <f>INDEX(AEO26_Table_21._Residential!$E$6:$AD$92,MATCH($A25,AEO26_Table_21._Residential!$B$6:$B$92,0),MATCH(K$4,AEO26_Table_21._Residential!$E$5:$AD$5,0))*About!$A$26*About!$B$28</f>
        <v/>
      </c>
      <c r="L25">
        <f>INDEX(AEO26_Table_21._Residential!$E$6:$AD$92,MATCH($A25,AEO26_Table_21._Residential!$B$6:$B$92,0),MATCH(L$4,AEO26_Table_21._Residential!$E$5:$AD$5,0))*About!$A$26*About!$B$28</f>
        <v/>
      </c>
      <c r="M25">
        <f>INDEX(AEO26_Table_21._Residential!$E$6:$AD$92,MATCH($A25,AEO26_Table_21._Residential!$B$6:$B$92,0),MATCH(M$4,AEO26_Table_21._Residential!$E$5:$AD$5,0))*About!$A$26*About!$B$28</f>
        <v/>
      </c>
      <c r="N25">
        <f>INDEX(AEO26_Table_21._Residential!$E$6:$AD$92,MATCH($A25,AEO26_Table_21._Residential!$B$6:$B$92,0),MATCH(N$4,AEO26_Table_21._Residential!$E$5:$AD$5,0))*About!$A$26*About!$B$28</f>
        <v/>
      </c>
      <c r="O25">
        <f>INDEX(AEO26_Table_21._Residential!$E$6:$AD$92,MATCH($A25,AEO26_Table_21._Residential!$B$6:$B$92,0),MATCH(O$4,AEO26_Table_21._Residential!$E$5:$AD$5,0))*About!$A$26*About!$B$28</f>
        <v/>
      </c>
      <c r="P25">
        <f>INDEX(AEO26_Table_21._Residential!$E$6:$AD$92,MATCH($A25,AEO26_Table_21._Residential!$B$6:$B$92,0),MATCH(P$4,AEO26_Table_21._Residential!$E$5:$AD$5,0))*About!$A$26*About!$B$28</f>
        <v/>
      </c>
      <c r="Q25">
        <f>INDEX(AEO26_Table_21._Residential!$E$6:$AD$92,MATCH($A25,AEO26_Table_21._Residential!$B$6:$B$92,0),MATCH(Q$4,AEO26_Table_21._Residential!$E$5:$AD$5,0))*About!$A$26*About!$B$28</f>
        <v/>
      </c>
      <c r="R25">
        <f>INDEX(AEO26_Table_21._Residential!$E$6:$AD$92,MATCH($A25,AEO26_Table_21._Residential!$B$6:$B$92,0),MATCH(R$4,AEO26_Table_21._Residential!$E$5:$AD$5,0))*About!$A$26*About!$B$28</f>
        <v/>
      </c>
      <c r="S25">
        <f>INDEX(AEO26_Table_21._Residential!$E$6:$AD$92,MATCH($A25,AEO26_Table_21._Residential!$B$6:$B$92,0),MATCH(S$4,AEO26_Table_21._Residential!$E$5:$AD$5,0))*About!$A$26*About!$B$28</f>
        <v/>
      </c>
      <c r="T25">
        <f>INDEX(AEO26_Table_21._Residential!$E$6:$AD$92,MATCH($A25,AEO26_Table_21._Residential!$B$6:$B$92,0),MATCH(T$4,AEO26_Table_21._Residential!$E$5:$AD$5,0))*About!$A$26*About!$B$28</f>
        <v/>
      </c>
      <c r="U25">
        <f>INDEX(AEO26_Table_21._Residential!$E$6:$AD$92,MATCH($A25,AEO26_Table_21._Residential!$B$6:$B$92,0),MATCH(U$4,AEO26_Table_21._Residential!$E$5:$AD$5,0))*About!$A$26*About!$B$28</f>
        <v/>
      </c>
      <c r="V25">
        <f>INDEX(AEO26_Table_21._Residential!$E$6:$AD$92,MATCH($A25,AEO26_Table_21._Residential!$B$6:$B$92,0),MATCH(V$4,AEO26_Table_21._Residential!$E$5:$AD$5,0))*About!$A$26*About!$B$28</f>
        <v/>
      </c>
      <c r="W25">
        <f>INDEX(AEO26_Table_21._Residential!$E$6:$AD$92,MATCH($A25,AEO26_Table_21._Residential!$B$6:$B$92,0),MATCH(W$4,AEO26_Table_21._Residential!$E$5:$AD$5,0))*About!$A$26*About!$B$28</f>
        <v/>
      </c>
      <c r="X25">
        <f>INDEX(AEO26_Table_21._Residential!$E$6:$AD$92,MATCH($A25,AEO26_Table_21._Residential!$B$6:$B$92,0),MATCH(X$4,AEO26_Table_21._Residential!$E$5:$AD$5,0))*About!$A$26*About!$B$28</f>
        <v/>
      </c>
      <c r="Y25">
        <f>INDEX(AEO26_Table_21._Residential!$E$6:$AD$92,MATCH($A25,AEO26_Table_21._Residential!$B$6:$B$92,0),MATCH(Y$4,AEO26_Table_21._Residential!$E$5:$AD$5,0))*About!$A$26*About!$B$28</f>
        <v/>
      </c>
      <c r="Z25">
        <f>INDEX(AEO26_Table_21._Residential!$E$6:$AD$92,MATCH($A25,AEO26_Table_21._Residential!$B$6:$B$92,0),MATCH(Z$4,AEO26_Table_21._Residential!$E$5:$AD$5,0))*About!$A$26*About!$B$28</f>
        <v/>
      </c>
      <c r="AA25">
        <f>INDEX(AEO26_Table_21._Residential!$E$6:$AD$92,MATCH($A25,AEO26_Table_21._Residential!$B$6:$B$92,0),MATCH(AA$4,AEO26_Table_21._Residential!$E$5:$AD$5,0))*About!$A$26*About!$B$28</f>
        <v/>
      </c>
      <c r="AB25">
        <f>INDEX(AEO26_Table_21._Residential!$E$6:$AD$92,MATCH($A25,AEO26_Table_21._Residential!$B$6:$B$92,0),MATCH(AB$4,AEO26_Table_21._Residential!$E$5:$AD$5,0))*About!$A$26*About!$B$28</f>
        <v/>
      </c>
      <c r="AC25">
        <f>INDEX(AEO26_Table_21._Residential!$E$6:$AD$92,MATCH($A25,AEO26_Table_21._Residential!$B$6:$B$92,0),MATCH(AC$4,AEO26_Table_21._Residential!$E$5:$AD$5,0))*About!$A$26*About!$B$28</f>
        <v/>
      </c>
      <c r="AD25">
        <f>INDEX(AEO26_Table_21._Residential!$E$6:$AD$92,MATCH($A25,AEO26_Table_21._Residential!$B$6:$B$92,0),MATCH(AD$4,AEO26_Table_21._Residential!$E$5:$AD$5,0))*About!$A$26*About!$B$28</f>
        <v/>
      </c>
      <c r="AE25">
        <f>INDEX(AEO26_Table_21._Residential!$E$6:$AD$92,MATCH($A25,AEO26_Table_21._Residential!$B$6:$B$92,0),MATCH(AE$4,AEO26_Table_21._Residential!$E$5:$AD$5,0))*About!$A$26*About!$B$28</f>
        <v/>
      </c>
    </row>
    <row r="26">
      <c r="C26" t="inlineStr">
        <is>
          <t>nuclear</t>
        </is>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row>
    <row r="27">
      <c r="C27" t="inlineStr">
        <is>
          <t>hydro</t>
        </is>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row>
    <row r="28">
      <c r="A28" t="inlineStr">
        <is>
          <t>Residential: Combined Heat and Power: Net Generation: Wind: Alternative Electricity and Transportation</t>
        </is>
      </c>
      <c r="B28" t="inlineStr">
        <is>
          <t>Residential: Combined Heat and Power: Net Generation: Wind: High Zero-Carbon Technology Cost</t>
        </is>
      </c>
      <c r="C28" t="inlineStr">
        <is>
          <t>onshore wind</t>
        </is>
      </c>
      <c r="D28" s="47">
        <f>AEO23_Table_21._Residential!$G$84*About!$A$26*About!$B$28</f>
        <v/>
      </c>
      <c r="E28">
        <f>INDEX(AEO25_Table_21._Residential!$F$82:$AG$93,MATCH($B28,AEO25_Table_21._Residential!$B$82:$B$93,0),MATCH(E$4,AEO25_Table_21._Residential!$F$5:$AG$5,0))*About!$A$26*About!$B$28</f>
        <v/>
      </c>
      <c r="F28">
        <f>INDEX(AEO26_Table_21._Residential!$E$6:$AD$92,MATCH($A28,AEO26_Table_21._Residential!$B$6:$B$92,0),MATCH(F$4,AEO26_Table_21._Residential!$E$5:$AD$5,0))*About!$A$26*About!$B$28</f>
        <v/>
      </c>
      <c r="G28">
        <f>INDEX(AEO26_Table_21._Residential!$E$6:$AD$92,MATCH($A28,AEO26_Table_21._Residential!$B$6:$B$92,0),MATCH(G$4,AEO26_Table_21._Residential!$E$5:$AD$5,0))*About!$A$26*About!$B$28</f>
        <v/>
      </c>
      <c r="H28">
        <f>INDEX(AEO26_Table_21._Residential!$E$6:$AD$92,MATCH($A28,AEO26_Table_21._Residential!$B$6:$B$92,0),MATCH(H$4,AEO26_Table_21._Residential!$E$5:$AD$5,0))*About!$A$26*About!$B$28</f>
        <v/>
      </c>
      <c r="I28">
        <f>INDEX(AEO26_Table_21._Residential!$E$6:$AD$92,MATCH($A28,AEO26_Table_21._Residential!$B$6:$B$92,0),MATCH(I$4,AEO26_Table_21._Residential!$E$5:$AD$5,0))*About!$A$26*About!$B$28</f>
        <v/>
      </c>
      <c r="J28">
        <f>INDEX(AEO26_Table_21._Residential!$E$6:$AD$92,MATCH($A28,AEO26_Table_21._Residential!$B$6:$B$92,0),MATCH(J$4,AEO26_Table_21._Residential!$E$5:$AD$5,0))*About!$A$26*About!$B$28</f>
        <v/>
      </c>
      <c r="K28">
        <f>INDEX(AEO26_Table_21._Residential!$E$6:$AD$92,MATCH($A28,AEO26_Table_21._Residential!$B$6:$B$92,0),MATCH(K$4,AEO26_Table_21._Residential!$E$5:$AD$5,0))*About!$A$26*About!$B$28</f>
        <v/>
      </c>
      <c r="L28">
        <f>INDEX(AEO26_Table_21._Residential!$E$6:$AD$92,MATCH($A28,AEO26_Table_21._Residential!$B$6:$B$92,0),MATCH(L$4,AEO26_Table_21._Residential!$E$5:$AD$5,0))*About!$A$26*About!$B$28</f>
        <v/>
      </c>
      <c r="M28">
        <f>INDEX(AEO26_Table_21._Residential!$E$6:$AD$92,MATCH($A28,AEO26_Table_21._Residential!$B$6:$B$92,0),MATCH(M$4,AEO26_Table_21._Residential!$E$5:$AD$5,0))*About!$A$26*About!$B$28</f>
        <v/>
      </c>
      <c r="N28">
        <f>INDEX(AEO26_Table_21._Residential!$E$6:$AD$92,MATCH($A28,AEO26_Table_21._Residential!$B$6:$B$92,0),MATCH(N$4,AEO26_Table_21._Residential!$E$5:$AD$5,0))*About!$A$26*About!$B$28</f>
        <v/>
      </c>
      <c r="O28">
        <f>INDEX(AEO26_Table_21._Residential!$E$6:$AD$92,MATCH($A28,AEO26_Table_21._Residential!$B$6:$B$92,0),MATCH(O$4,AEO26_Table_21._Residential!$E$5:$AD$5,0))*About!$A$26*About!$B$28</f>
        <v/>
      </c>
      <c r="P28">
        <f>INDEX(AEO26_Table_21._Residential!$E$6:$AD$92,MATCH($A28,AEO26_Table_21._Residential!$B$6:$B$92,0),MATCH(P$4,AEO26_Table_21._Residential!$E$5:$AD$5,0))*About!$A$26*About!$B$28</f>
        <v/>
      </c>
      <c r="Q28">
        <f>INDEX(AEO26_Table_21._Residential!$E$6:$AD$92,MATCH($A28,AEO26_Table_21._Residential!$B$6:$B$92,0),MATCH(Q$4,AEO26_Table_21._Residential!$E$5:$AD$5,0))*About!$A$26*About!$B$28</f>
        <v/>
      </c>
      <c r="R28">
        <f>INDEX(AEO26_Table_21._Residential!$E$6:$AD$92,MATCH($A28,AEO26_Table_21._Residential!$B$6:$B$92,0),MATCH(R$4,AEO26_Table_21._Residential!$E$5:$AD$5,0))*About!$A$26*About!$B$28</f>
        <v/>
      </c>
      <c r="S28">
        <f>INDEX(AEO26_Table_21._Residential!$E$6:$AD$92,MATCH($A28,AEO26_Table_21._Residential!$B$6:$B$92,0),MATCH(S$4,AEO26_Table_21._Residential!$E$5:$AD$5,0))*About!$A$26*About!$B$28</f>
        <v/>
      </c>
      <c r="T28">
        <f>INDEX(AEO26_Table_21._Residential!$E$6:$AD$92,MATCH($A28,AEO26_Table_21._Residential!$B$6:$B$92,0),MATCH(T$4,AEO26_Table_21._Residential!$E$5:$AD$5,0))*About!$A$26*About!$B$28</f>
        <v/>
      </c>
      <c r="U28">
        <f>INDEX(AEO26_Table_21._Residential!$E$6:$AD$92,MATCH($A28,AEO26_Table_21._Residential!$B$6:$B$92,0),MATCH(U$4,AEO26_Table_21._Residential!$E$5:$AD$5,0))*About!$A$26*About!$B$28</f>
        <v/>
      </c>
      <c r="V28">
        <f>INDEX(AEO26_Table_21._Residential!$E$6:$AD$92,MATCH($A28,AEO26_Table_21._Residential!$B$6:$B$92,0),MATCH(V$4,AEO26_Table_21._Residential!$E$5:$AD$5,0))*About!$A$26*About!$B$28</f>
        <v/>
      </c>
      <c r="W28">
        <f>INDEX(AEO26_Table_21._Residential!$E$6:$AD$92,MATCH($A28,AEO26_Table_21._Residential!$B$6:$B$92,0),MATCH(W$4,AEO26_Table_21._Residential!$E$5:$AD$5,0))*About!$A$26*About!$B$28</f>
        <v/>
      </c>
      <c r="X28">
        <f>INDEX(AEO26_Table_21._Residential!$E$6:$AD$92,MATCH($A28,AEO26_Table_21._Residential!$B$6:$B$92,0),MATCH(X$4,AEO26_Table_21._Residential!$E$5:$AD$5,0))*About!$A$26*About!$B$28</f>
        <v/>
      </c>
      <c r="Y28">
        <f>INDEX(AEO26_Table_21._Residential!$E$6:$AD$92,MATCH($A28,AEO26_Table_21._Residential!$B$6:$B$92,0),MATCH(Y$4,AEO26_Table_21._Residential!$E$5:$AD$5,0))*About!$A$26*About!$B$28</f>
        <v/>
      </c>
      <c r="Z28">
        <f>INDEX(AEO26_Table_21._Residential!$E$6:$AD$92,MATCH($A28,AEO26_Table_21._Residential!$B$6:$B$92,0),MATCH(Z$4,AEO26_Table_21._Residential!$E$5:$AD$5,0))*About!$A$26*About!$B$28</f>
        <v/>
      </c>
      <c r="AA28">
        <f>INDEX(AEO26_Table_21._Residential!$E$6:$AD$92,MATCH($A28,AEO26_Table_21._Residential!$B$6:$B$92,0),MATCH(AA$4,AEO26_Table_21._Residential!$E$5:$AD$5,0))*About!$A$26*About!$B$28</f>
        <v/>
      </c>
      <c r="AB28">
        <f>INDEX(AEO26_Table_21._Residential!$E$6:$AD$92,MATCH($A28,AEO26_Table_21._Residential!$B$6:$B$92,0),MATCH(AB$4,AEO26_Table_21._Residential!$E$5:$AD$5,0))*About!$A$26*About!$B$28</f>
        <v/>
      </c>
      <c r="AC28">
        <f>INDEX(AEO26_Table_21._Residential!$E$6:$AD$92,MATCH($A28,AEO26_Table_21._Residential!$B$6:$B$92,0),MATCH(AC$4,AEO26_Table_21._Residential!$E$5:$AD$5,0))*About!$A$26*About!$B$28</f>
        <v/>
      </c>
      <c r="AD28">
        <f>INDEX(AEO26_Table_21._Residential!$E$6:$AD$92,MATCH($A28,AEO26_Table_21._Residential!$B$6:$B$92,0),MATCH(AD$4,AEO26_Table_21._Residential!$E$5:$AD$5,0))*About!$A$26*About!$B$28</f>
        <v/>
      </c>
      <c r="AE28">
        <f>INDEX(AEO26_Table_21._Residential!$E$6:$AD$92,MATCH($A28,AEO26_Table_21._Residential!$B$6:$B$92,0),MATCH(AE$4,AEO26_Table_21._Residential!$E$5:$AD$5,0))*About!$A$26*About!$B$28</f>
        <v/>
      </c>
    </row>
    <row r="29">
      <c r="A29" t="inlineStr">
        <is>
          <t>Residential: Combined Heat and Power: Net Generation: Solar Photovoltaic: Alternative Electricity and Transportation</t>
        </is>
      </c>
      <c r="B29" t="inlineStr">
        <is>
          <t>Residential: Combined Heat and Power: Net Generation: Solar Photovoltaic: High Zero-Carbon Technology Cost</t>
        </is>
      </c>
      <c r="C29" t="inlineStr">
        <is>
          <t>solar PV</t>
        </is>
      </c>
      <c r="D29" s="47">
        <f>AEO23_Table_21._Residential!$G$83*About!$A$26*About!$B$28</f>
        <v/>
      </c>
      <c r="E29">
        <f>INDEX(AEO25_Table_21._Residential!$F$82:$AG$93,MATCH($B29,AEO25_Table_21._Residential!$B$82:$B$93,0),MATCH(E$4,AEO25_Table_21._Residential!$F$5:$AG$5,0))*About!$A$26*About!$B$28</f>
        <v/>
      </c>
      <c r="F29">
        <f>INDEX(AEO26_Table_21._Residential!$E$6:$AD$92,MATCH($A29,AEO26_Table_21._Residential!$B$6:$B$92,0),MATCH(F$4,AEO26_Table_21._Residential!$E$5:$AD$5,0))*About!$A$26*About!$B$28</f>
        <v/>
      </c>
      <c r="G29">
        <f>INDEX(AEO26_Table_21._Residential!$E$6:$AD$92,MATCH($A29,AEO26_Table_21._Residential!$B$6:$B$92,0),MATCH(G$4,AEO26_Table_21._Residential!$E$5:$AD$5,0))*About!$A$26*About!$B$28</f>
        <v/>
      </c>
      <c r="H29">
        <f>INDEX(AEO26_Table_21._Residential!$E$6:$AD$92,MATCH($A29,AEO26_Table_21._Residential!$B$6:$B$92,0),MATCH(H$4,AEO26_Table_21._Residential!$E$5:$AD$5,0))*About!$A$26*About!$B$28</f>
        <v/>
      </c>
      <c r="I29">
        <f>INDEX(AEO26_Table_21._Residential!$E$6:$AD$92,MATCH($A29,AEO26_Table_21._Residential!$B$6:$B$92,0),MATCH(I$4,AEO26_Table_21._Residential!$E$5:$AD$5,0))*About!$A$26*About!$B$28</f>
        <v/>
      </c>
      <c r="J29">
        <f>INDEX(AEO26_Table_21._Residential!$E$6:$AD$92,MATCH($A29,AEO26_Table_21._Residential!$B$6:$B$92,0),MATCH(J$4,AEO26_Table_21._Residential!$E$5:$AD$5,0))*About!$A$26*About!$B$28</f>
        <v/>
      </c>
      <c r="K29">
        <f>INDEX(AEO26_Table_21._Residential!$E$6:$AD$92,MATCH($A29,AEO26_Table_21._Residential!$B$6:$B$92,0),MATCH(K$4,AEO26_Table_21._Residential!$E$5:$AD$5,0))*About!$A$26*About!$B$28</f>
        <v/>
      </c>
      <c r="L29">
        <f>INDEX(AEO26_Table_21._Residential!$E$6:$AD$92,MATCH($A29,AEO26_Table_21._Residential!$B$6:$B$92,0),MATCH(L$4,AEO26_Table_21._Residential!$E$5:$AD$5,0))*About!$A$26*About!$B$28</f>
        <v/>
      </c>
      <c r="M29">
        <f>INDEX(AEO26_Table_21._Residential!$E$6:$AD$92,MATCH($A29,AEO26_Table_21._Residential!$B$6:$B$92,0),MATCH(M$4,AEO26_Table_21._Residential!$E$5:$AD$5,0))*About!$A$26*About!$B$28</f>
        <v/>
      </c>
      <c r="N29">
        <f>INDEX(AEO26_Table_21._Residential!$E$6:$AD$92,MATCH($A29,AEO26_Table_21._Residential!$B$6:$B$92,0),MATCH(N$4,AEO26_Table_21._Residential!$E$5:$AD$5,0))*About!$A$26*About!$B$28</f>
        <v/>
      </c>
      <c r="O29">
        <f>INDEX(AEO26_Table_21._Residential!$E$6:$AD$92,MATCH($A29,AEO26_Table_21._Residential!$B$6:$B$92,0),MATCH(O$4,AEO26_Table_21._Residential!$E$5:$AD$5,0))*About!$A$26*About!$B$28</f>
        <v/>
      </c>
      <c r="P29">
        <f>INDEX(AEO26_Table_21._Residential!$E$6:$AD$92,MATCH($A29,AEO26_Table_21._Residential!$B$6:$B$92,0),MATCH(P$4,AEO26_Table_21._Residential!$E$5:$AD$5,0))*About!$A$26*About!$B$28</f>
        <v/>
      </c>
      <c r="Q29">
        <f>INDEX(AEO26_Table_21._Residential!$E$6:$AD$92,MATCH($A29,AEO26_Table_21._Residential!$B$6:$B$92,0),MATCH(Q$4,AEO26_Table_21._Residential!$E$5:$AD$5,0))*About!$A$26*About!$B$28</f>
        <v/>
      </c>
      <c r="R29">
        <f>INDEX(AEO26_Table_21._Residential!$E$6:$AD$92,MATCH($A29,AEO26_Table_21._Residential!$B$6:$B$92,0),MATCH(R$4,AEO26_Table_21._Residential!$E$5:$AD$5,0))*About!$A$26*About!$B$28</f>
        <v/>
      </c>
      <c r="S29">
        <f>INDEX(AEO26_Table_21._Residential!$E$6:$AD$92,MATCH($A29,AEO26_Table_21._Residential!$B$6:$B$92,0),MATCH(S$4,AEO26_Table_21._Residential!$E$5:$AD$5,0))*About!$A$26*About!$B$28</f>
        <v/>
      </c>
      <c r="T29">
        <f>INDEX(AEO26_Table_21._Residential!$E$6:$AD$92,MATCH($A29,AEO26_Table_21._Residential!$B$6:$B$92,0),MATCH(T$4,AEO26_Table_21._Residential!$E$5:$AD$5,0))*About!$A$26*About!$B$28</f>
        <v/>
      </c>
      <c r="U29">
        <f>INDEX(AEO26_Table_21._Residential!$E$6:$AD$92,MATCH($A29,AEO26_Table_21._Residential!$B$6:$B$92,0),MATCH(U$4,AEO26_Table_21._Residential!$E$5:$AD$5,0))*About!$A$26*About!$B$28</f>
        <v/>
      </c>
      <c r="V29">
        <f>INDEX(AEO26_Table_21._Residential!$E$6:$AD$92,MATCH($A29,AEO26_Table_21._Residential!$B$6:$B$92,0),MATCH(V$4,AEO26_Table_21._Residential!$E$5:$AD$5,0))*About!$A$26*About!$B$28</f>
        <v/>
      </c>
      <c r="W29">
        <f>INDEX(AEO26_Table_21._Residential!$E$6:$AD$92,MATCH($A29,AEO26_Table_21._Residential!$B$6:$B$92,0),MATCH(W$4,AEO26_Table_21._Residential!$E$5:$AD$5,0))*About!$A$26*About!$B$28</f>
        <v/>
      </c>
      <c r="X29">
        <f>INDEX(AEO26_Table_21._Residential!$E$6:$AD$92,MATCH($A29,AEO26_Table_21._Residential!$B$6:$B$92,0),MATCH(X$4,AEO26_Table_21._Residential!$E$5:$AD$5,0))*About!$A$26*About!$B$28</f>
        <v/>
      </c>
      <c r="Y29">
        <f>INDEX(AEO26_Table_21._Residential!$E$6:$AD$92,MATCH($A29,AEO26_Table_21._Residential!$B$6:$B$92,0),MATCH(Y$4,AEO26_Table_21._Residential!$E$5:$AD$5,0))*About!$A$26*About!$B$28</f>
        <v/>
      </c>
      <c r="Z29">
        <f>INDEX(AEO26_Table_21._Residential!$E$6:$AD$92,MATCH($A29,AEO26_Table_21._Residential!$B$6:$B$92,0),MATCH(Z$4,AEO26_Table_21._Residential!$E$5:$AD$5,0))*About!$A$26*About!$B$28</f>
        <v/>
      </c>
      <c r="AA29">
        <f>INDEX(AEO26_Table_21._Residential!$E$6:$AD$92,MATCH($A29,AEO26_Table_21._Residential!$B$6:$B$92,0),MATCH(AA$4,AEO26_Table_21._Residential!$E$5:$AD$5,0))*About!$A$26*About!$B$28</f>
        <v/>
      </c>
      <c r="AB29">
        <f>INDEX(AEO26_Table_21._Residential!$E$6:$AD$92,MATCH($A29,AEO26_Table_21._Residential!$B$6:$B$92,0),MATCH(AB$4,AEO26_Table_21._Residential!$E$5:$AD$5,0))*About!$A$26*About!$B$28</f>
        <v/>
      </c>
      <c r="AC29">
        <f>INDEX(AEO26_Table_21._Residential!$E$6:$AD$92,MATCH($A29,AEO26_Table_21._Residential!$B$6:$B$92,0),MATCH(AC$4,AEO26_Table_21._Residential!$E$5:$AD$5,0))*About!$A$26*About!$B$28</f>
        <v/>
      </c>
      <c r="AD29">
        <f>INDEX(AEO26_Table_21._Residential!$E$6:$AD$92,MATCH($A29,AEO26_Table_21._Residential!$B$6:$B$92,0),MATCH(AD$4,AEO26_Table_21._Residential!$E$5:$AD$5,0))*About!$A$26*About!$B$28</f>
        <v/>
      </c>
      <c r="AE29">
        <f>INDEX(AEO26_Table_21._Residential!$E$6:$AD$92,MATCH($A29,AEO26_Table_21._Residential!$B$6:$B$92,0),MATCH(AE$4,AEO26_Table_21._Residential!$E$5:$AD$5,0))*About!$A$26*About!$B$28</f>
        <v/>
      </c>
    </row>
    <row r="30">
      <c r="C30" t="inlineStr">
        <is>
          <t>solar thermal</t>
        </is>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row>
    <row r="31">
      <c r="C31" t="inlineStr">
        <is>
          <t>biomass</t>
        </is>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row>
    <row r="32">
      <c r="C32" t="inlineStr">
        <is>
          <t>geothermal</t>
        </is>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row>
    <row r="33">
      <c r="C33" t="inlineStr">
        <is>
          <t>petroleum</t>
        </is>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row>
    <row r="34">
      <c r="C34" t="inlineStr">
        <is>
          <t>natural gas peaker</t>
        </is>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row>
    <row r="35">
      <c r="C35" t="inlineStr">
        <is>
          <t>lignite</t>
        </is>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row>
    <row r="36">
      <c r="C36" t="inlineStr">
        <is>
          <t>offshore wind</t>
        </is>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row>
    <row r="37">
      <c r="C37" t="inlineStr">
        <is>
          <t>crude oil</t>
        </is>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row>
    <row r="38">
      <c r="C38" t="inlineStr">
        <is>
          <t>heavy or residual fuel oil</t>
        </is>
      </c>
      <c r="D38" t="n">
        <v>0</v>
      </c>
      <c r="E38" t="n">
        <v>0</v>
      </c>
      <c r="F38" t="n">
        <v>0</v>
      </c>
      <c r="G38" t="n">
        <v>0</v>
      </c>
      <c r="H38" t="n">
        <v>0</v>
      </c>
      <c r="I38" t="n">
        <v>0</v>
      </c>
      <c r="J38" t="n">
        <v>0</v>
      </c>
      <c r="K38" t="n">
        <v>0</v>
      </c>
      <c r="L38" t="n">
        <v>0</v>
      </c>
      <c r="M38" t="n">
        <v>0</v>
      </c>
      <c r="N38" t="n">
        <v>0</v>
      </c>
      <c r="O38" t="n">
        <v>0</v>
      </c>
      <c r="P38" t="n">
        <v>0</v>
      </c>
      <c r="Q38" t="n">
        <v>0</v>
      </c>
      <c r="R38" t="n">
        <v>0</v>
      </c>
      <c r="S38" t="n">
        <v>0</v>
      </c>
      <c r="T38" t="n">
        <v>0</v>
      </c>
      <c r="U38" t="n">
        <v>0</v>
      </c>
      <c r="V38" t="n">
        <v>0</v>
      </c>
      <c r="W38" t="n">
        <v>0</v>
      </c>
      <c r="X38" t="n">
        <v>0</v>
      </c>
      <c r="Y38" t="n">
        <v>0</v>
      </c>
      <c r="Z38" t="n">
        <v>0</v>
      </c>
      <c r="AA38" t="n">
        <v>0</v>
      </c>
      <c r="AB38" t="n">
        <v>0</v>
      </c>
      <c r="AC38" t="n">
        <v>0</v>
      </c>
      <c r="AD38" t="n">
        <v>0</v>
      </c>
      <c r="AE38" t="n">
        <v>0</v>
      </c>
    </row>
    <row r="39">
      <c r="C39" t="inlineStr">
        <is>
          <t>municipal solid waste</t>
        </is>
      </c>
      <c r="D39" t="n">
        <v>0</v>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row>
    <row r="40">
      <c r="A40" s="49" t="n"/>
      <c r="B40" s="49" t="n"/>
      <c r="C40" s="50" t="inlineStr">
        <is>
          <t>Generating Capacity (gigawatts)</t>
        </is>
      </c>
      <c r="D40" s="49" t="n"/>
      <c r="E40" s="49" t="n"/>
      <c r="F40" s="49" t="n"/>
      <c r="G40" s="49" t="n"/>
      <c r="H40" s="49" t="n"/>
      <c r="I40" s="49" t="n"/>
      <c r="J40" s="49" t="n"/>
      <c r="K40" s="49" t="n"/>
      <c r="L40" s="49" t="n"/>
      <c r="M40" s="49" t="n"/>
      <c r="N40" s="49" t="n"/>
      <c r="O40" s="49" t="n"/>
      <c r="P40" s="49" t="n"/>
      <c r="Q40" s="49" t="n"/>
      <c r="R40" s="49" t="n"/>
      <c r="S40" s="49" t="n"/>
      <c r="T40" s="49" t="n"/>
      <c r="U40" s="49" t="n"/>
      <c r="V40" s="49" t="n"/>
      <c r="W40" s="49" t="n"/>
      <c r="X40" s="49" t="n"/>
      <c r="Y40" s="49" t="n"/>
      <c r="Z40" s="49" t="n"/>
      <c r="AA40" s="49" t="n"/>
      <c r="AB40" s="49" t="n"/>
      <c r="AC40" s="49" t="n"/>
      <c r="AD40" s="49" t="n"/>
      <c r="AE40" s="49" t="n"/>
      <c r="AF40" s="49" t="n"/>
      <c r="AG40" s="49" t="n"/>
      <c r="AH40" s="49" t="n"/>
      <c r="AI40" s="49" t="n"/>
      <c r="AJ40" s="49" t="n"/>
      <c r="AK40" s="49" t="n"/>
      <c r="AL40" s="49" t="n"/>
      <c r="AM40" s="49" t="n"/>
      <c r="AN40" s="49" t="n"/>
      <c r="AO40" s="49" t="n"/>
      <c r="AP40" s="49" t="n"/>
      <c r="AQ40" s="49" t="n"/>
      <c r="AR40" s="49" t="n"/>
    </row>
    <row r="41">
      <c r="C41" s="1" t="inlineStr">
        <is>
          <t>BDEQ-BDESC-urban-residential</t>
        </is>
      </c>
    </row>
    <row r="42">
      <c r="C42" s="1" t="inlineStr">
        <is>
          <t>MW</t>
        </is>
      </c>
      <c r="D42" t="n">
        <v>2023</v>
      </c>
      <c r="E42" t="n">
        <v>2024</v>
      </c>
      <c r="F42" t="n">
        <v>2025</v>
      </c>
      <c r="G42" t="n">
        <v>2026</v>
      </c>
      <c r="H42" t="n">
        <v>2027</v>
      </c>
      <c r="I42" t="n">
        <v>2028</v>
      </c>
      <c r="J42" t="n">
        <v>2029</v>
      </c>
      <c r="K42" t="n">
        <v>2030</v>
      </c>
      <c r="L42" t="n">
        <v>2031</v>
      </c>
      <c r="M42" t="n">
        <v>2032</v>
      </c>
      <c r="N42" t="n">
        <v>2033</v>
      </c>
      <c r="O42" t="n">
        <v>2034</v>
      </c>
      <c r="P42" t="n">
        <v>2035</v>
      </c>
      <c r="Q42" t="n">
        <v>2036</v>
      </c>
      <c r="R42" t="n">
        <v>2037</v>
      </c>
      <c r="S42" t="n">
        <v>2038</v>
      </c>
      <c r="T42" t="n">
        <v>2039</v>
      </c>
      <c r="U42" t="n">
        <v>2040</v>
      </c>
      <c r="V42" t="n">
        <v>2041</v>
      </c>
      <c r="W42" t="n">
        <v>2042</v>
      </c>
      <c r="X42" t="n">
        <v>2043</v>
      </c>
      <c r="Y42" t="n">
        <v>2044</v>
      </c>
      <c r="Z42" t="n">
        <v>2045</v>
      </c>
      <c r="AA42" t="n">
        <v>2046</v>
      </c>
      <c r="AB42" t="n">
        <v>2047</v>
      </c>
      <c r="AC42" t="n">
        <v>2048</v>
      </c>
      <c r="AD42" t="n">
        <v>2049</v>
      </c>
      <c r="AE42" t="n">
        <v>2050</v>
      </c>
    </row>
    <row r="43">
      <c r="C43" t="inlineStr">
        <is>
          <t>hard coal</t>
        </is>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row>
    <row r="44">
      <c r="A44" t="inlineStr">
        <is>
          <t>Residential: Combined Heat and Power: Generating Capacity: Fuel Cells: Alternative Electricity and Transportation</t>
        </is>
      </c>
      <c r="B44" t="inlineStr">
        <is>
          <t>Residential: Combined Heat and Power: Generating Capacity: Fuel Cells: High Zero-Carbon Technology Cost</t>
        </is>
      </c>
      <c r="C44" t="inlineStr">
        <is>
          <t>natural gas nonpeaker</t>
        </is>
      </c>
      <c r="D44" s="47" t="n">
        <v>0</v>
      </c>
      <c r="E44">
        <f>INDEX(AEO25_Table_21._Residential!$F$77:$AG$80,MATCH($B44,AEO25_Table_21._Residential!$B$77:$B$80,0),MATCH(E$42,AEO25_Table_21._Residential!$F$5:$AG$5,0))*About!$A$25*About!$B$29</f>
        <v/>
      </c>
      <c r="F44">
        <f>INDEX(AEO26_Table_21._Residential!$E$6:$AD$92,MATCH($A44,AEO26_Table_21._Residential!$B$6:$B$92,0),MATCH(F$42,AEO26_Table_21._Residential!$E$5:$AD$5,0))*About!$A$25*About!$B$29</f>
        <v/>
      </c>
      <c r="G44">
        <f>INDEX(AEO26_Table_21._Residential!$E$6:$AD$92,MATCH($A44,AEO26_Table_21._Residential!$B$6:$B$92,0),MATCH(G$42,AEO26_Table_21._Residential!$E$5:$AD$5,0))*About!$A$25*About!$B$29</f>
        <v/>
      </c>
      <c r="H44">
        <f>INDEX(AEO26_Table_21._Residential!$E$6:$AD$92,MATCH($A44,AEO26_Table_21._Residential!$B$6:$B$92,0),MATCH(H$42,AEO26_Table_21._Residential!$E$5:$AD$5,0))*About!$A$25*About!$B$29</f>
        <v/>
      </c>
      <c r="I44">
        <f>INDEX(AEO26_Table_21._Residential!$E$6:$AD$92,MATCH($A44,AEO26_Table_21._Residential!$B$6:$B$92,0),MATCH(I$42,AEO26_Table_21._Residential!$E$5:$AD$5,0))*About!$A$25*About!$B$29</f>
        <v/>
      </c>
      <c r="J44">
        <f>INDEX(AEO26_Table_21._Residential!$E$6:$AD$92,MATCH($A44,AEO26_Table_21._Residential!$B$6:$B$92,0),MATCH(J$42,AEO26_Table_21._Residential!$E$5:$AD$5,0))*About!$A$25*About!$B$29</f>
        <v/>
      </c>
      <c r="K44">
        <f>INDEX(AEO26_Table_21._Residential!$E$6:$AD$92,MATCH($A44,AEO26_Table_21._Residential!$B$6:$B$92,0),MATCH(K$42,AEO26_Table_21._Residential!$E$5:$AD$5,0))*About!$A$25*About!$B$29</f>
        <v/>
      </c>
      <c r="L44">
        <f>INDEX(AEO26_Table_21._Residential!$E$6:$AD$92,MATCH($A44,AEO26_Table_21._Residential!$B$6:$B$92,0),MATCH(L$42,AEO26_Table_21._Residential!$E$5:$AD$5,0))*About!$A$25*About!$B$29</f>
        <v/>
      </c>
      <c r="M44">
        <f>INDEX(AEO26_Table_21._Residential!$E$6:$AD$92,MATCH($A44,AEO26_Table_21._Residential!$B$6:$B$92,0),MATCH(M$42,AEO26_Table_21._Residential!$E$5:$AD$5,0))*About!$A$25*About!$B$29</f>
        <v/>
      </c>
      <c r="N44">
        <f>INDEX(AEO26_Table_21._Residential!$E$6:$AD$92,MATCH($A44,AEO26_Table_21._Residential!$B$6:$B$92,0),MATCH(N$42,AEO26_Table_21._Residential!$E$5:$AD$5,0))*About!$A$25*About!$B$29</f>
        <v/>
      </c>
      <c r="O44">
        <f>INDEX(AEO26_Table_21._Residential!$E$6:$AD$92,MATCH($A44,AEO26_Table_21._Residential!$B$6:$B$92,0),MATCH(O$42,AEO26_Table_21._Residential!$E$5:$AD$5,0))*About!$A$25*About!$B$29</f>
        <v/>
      </c>
      <c r="P44">
        <f>INDEX(AEO26_Table_21._Residential!$E$6:$AD$92,MATCH($A44,AEO26_Table_21._Residential!$B$6:$B$92,0),MATCH(P$42,AEO26_Table_21._Residential!$E$5:$AD$5,0))*About!$A$25*About!$B$29</f>
        <v/>
      </c>
      <c r="Q44">
        <f>INDEX(AEO26_Table_21._Residential!$E$6:$AD$92,MATCH($A44,AEO26_Table_21._Residential!$B$6:$B$92,0),MATCH(Q$42,AEO26_Table_21._Residential!$E$5:$AD$5,0))*About!$A$25*About!$B$29</f>
        <v/>
      </c>
      <c r="R44">
        <f>INDEX(AEO26_Table_21._Residential!$E$6:$AD$92,MATCH($A44,AEO26_Table_21._Residential!$B$6:$B$92,0),MATCH(R$42,AEO26_Table_21._Residential!$E$5:$AD$5,0))*About!$A$25*About!$B$29</f>
        <v/>
      </c>
      <c r="S44">
        <f>INDEX(AEO26_Table_21._Residential!$E$6:$AD$92,MATCH($A44,AEO26_Table_21._Residential!$B$6:$B$92,0),MATCH(S$42,AEO26_Table_21._Residential!$E$5:$AD$5,0))*About!$A$25*About!$B$29</f>
        <v/>
      </c>
      <c r="T44">
        <f>INDEX(AEO26_Table_21._Residential!$E$6:$AD$92,MATCH($A44,AEO26_Table_21._Residential!$B$6:$B$92,0),MATCH(T$42,AEO26_Table_21._Residential!$E$5:$AD$5,0))*About!$A$25*About!$B$29</f>
        <v/>
      </c>
      <c r="U44">
        <f>INDEX(AEO26_Table_21._Residential!$E$6:$AD$92,MATCH($A44,AEO26_Table_21._Residential!$B$6:$B$92,0),MATCH(U$42,AEO26_Table_21._Residential!$E$5:$AD$5,0))*About!$A$25*About!$B$29</f>
        <v/>
      </c>
      <c r="V44">
        <f>INDEX(AEO26_Table_21._Residential!$E$6:$AD$92,MATCH($A44,AEO26_Table_21._Residential!$B$6:$B$92,0),MATCH(V$42,AEO26_Table_21._Residential!$E$5:$AD$5,0))*About!$A$25*About!$B$29</f>
        <v/>
      </c>
      <c r="W44">
        <f>INDEX(AEO26_Table_21._Residential!$E$6:$AD$92,MATCH($A44,AEO26_Table_21._Residential!$B$6:$B$92,0),MATCH(W$42,AEO26_Table_21._Residential!$E$5:$AD$5,0))*About!$A$25*About!$B$29</f>
        <v/>
      </c>
      <c r="X44">
        <f>INDEX(AEO26_Table_21._Residential!$E$6:$AD$92,MATCH($A44,AEO26_Table_21._Residential!$B$6:$B$92,0),MATCH(X$42,AEO26_Table_21._Residential!$E$5:$AD$5,0))*About!$A$25*About!$B$29</f>
        <v/>
      </c>
      <c r="Y44">
        <f>INDEX(AEO26_Table_21._Residential!$E$6:$AD$92,MATCH($A44,AEO26_Table_21._Residential!$B$6:$B$92,0),MATCH(Y$42,AEO26_Table_21._Residential!$E$5:$AD$5,0))*About!$A$25*About!$B$29</f>
        <v/>
      </c>
      <c r="Z44">
        <f>INDEX(AEO26_Table_21._Residential!$E$6:$AD$92,MATCH($A44,AEO26_Table_21._Residential!$B$6:$B$92,0),MATCH(Z$42,AEO26_Table_21._Residential!$E$5:$AD$5,0))*About!$A$25*About!$B$29</f>
        <v/>
      </c>
      <c r="AA44">
        <f>INDEX(AEO26_Table_21._Residential!$E$6:$AD$92,MATCH($A44,AEO26_Table_21._Residential!$B$6:$B$92,0),MATCH(AA$42,AEO26_Table_21._Residential!$E$5:$AD$5,0))*About!$A$25*About!$B$29</f>
        <v/>
      </c>
      <c r="AB44">
        <f>INDEX(AEO26_Table_21._Residential!$E$6:$AD$92,MATCH($A44,AEO26_Table_21._Residential!$B$6:$B$92,0),MATCH(AB$42,AEO26_Table_21._Residential!$E$5:$AD$5,0))*About!$A$25*About!$B$29</f>
        <v/>
      </c>
      <c r="AC44">
        <f>INDEX(AEO26_Table_21._Residential!$E$6:$AD$92,MATCH($A44,AEO26_Table_21._Residential!$B$6:$B$92,0),MATCH(AC$42,AEO26_Table_21._Residential!$E$5:$AD$5,0))*About!$A$25*About!$B$29</f>
        <v/>
      </c>
      <c r="AD44">
        <f>INDEX(AEO26_Table_21._Residential!$E$6:$AD$92,MATCH($A44,AEO26_Table_21._Residential!$B$6:$B$92,0),MATCH(AD$42,AEO26_Table_21._Residential!$E$5:$AD$5,0))*About!$A$25*About!$B$29</f>
        <v/>
      </c>
      <c r="AE44">
        <f>INDEX(AEO26_Table_21._Residential!$E$6:$AD$92,MATCH($A44,AEO26_Table_21._Residential!$B$6:$B$92,0),MATCH(AE$42,AEO26_Table_21._Residential!$E$5:$AD$5,0))*About!$A$25*About!$B$29</f>
        <v/>
      </c>
    </row>
    <row r="45">
      <c r="C45" t="inlineStr">
        <is>
          <t>nuclear</t>
        </is>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row>
    <row r="46">
      <c r="C46" t="inlineStr">
        <is>
          <t>hydro</t>
        </is>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row>
    <row r="47">
      <c r="A47" t="inlineStr">
        <is>
          <t>Residential: Combined Heat and Power: Generating Capacity: Wind: Alternative Electricity and Transportation</t>
        </is>
      </c>
      <c r="B47" t="inlineStr">
        <is>
          <t>Residential: Combined Heat and Power: Generating Capacity: Wind: High Zero-Carbon Technology Cost</t>
        </is>
      </c>
      <c r="C47" t="inlineStr">
        <is>
          <t>onshore wind</t>
        </is>
      </c>
      <c r="D47" s="47">
        <f>AEO23_Table_21._Residential!$F$79*About!$A$25*About!$B$29</f>
        <v/>
      </c>
      <c r="E47">
        <f>INDEX(AEO25_Table_21._Residential!$F$77:$AG$80,MATCH($B47,AEO25_Table_21._Residential!$B$77:$B$80,0),MATCH(E$42,AEO25_Table_21._Residential!$F$5:$AG$5,0))*About!$A$25*About!$B$29</f>
        <v/>
      </c>
      <c r="F47">
        <f>INDEX(AEO26_Table_21._Residential!$E$6:$AD$92,MATCH($A47,AEO26_Table_21._Residential!$B$6:$B$92,0),MATCH(F$42,AEO26_Table_21._Residential!$E$5:$AD$5,0))*About!$A$25*About!$B$29</f>
        <v/>
      </c>
      <c r="G47">
        <f>INDEX(AEO26_Table_21._Residential!$E$6:$AD$92,MATCH($A47,AEO26_Table_21._Residential!$B$6:$B$92,0),MATCH(G$42,AEO26_Table_21._Residential!$E$5:$AD$5,0))*About!$A$25*About!$B$29</f>
        <v/>
      </c>
      <c r="H47">
        <f>INDEX(AEO26_Table_21._Residential!$E$6:$AD$92,MATCH($A47,AEO26_Table_21._Residential!$B$6:$B$92,0),MATCH(H$42,AEO26_Table_21._Residential!$E$5:$AD$5,0))*About!$A$25*About!$B$29</f>
        <v/>
      </c>
      <c r="I47">
        <f>INDEX(AEO26_Table_21._Residential!$E$6:$AD$92,MATCH($A47,AEO26_Table_21._Residential!$B$6:$B$92,0),MATCH(I$42,AEO26_Table_21._Residential!$E$5:$AD$5,0))*About!$A$25*About!$B$29</f>
        <v/>
      </c>
      <c r="J47">
        <f>INDEX(AEO26_Table_21._Residential!$E$6:$AD$92,MATCH($A47,AEO26_Table_21._Residential!$B$6:$B$92,0),MATCH(J$42,AEO26_Table_21._Residential!$E$5:$AD$5,0))*About!$A$25*About!$B$29</f>
        <v/>
      </c>
      <c r="K47">
        <f>INDEX(AEO26_Table_21._Residential!$E$6:$AD$92,MATCH($A47,AEO26_Table_21._Residential!$B$6:$B$92,0),MATCH(K$42,AEO26_Table_21._Residential!$E$5:$AD$5,0))*About!$A$25*About!$B$29</f>
        <v/>
      </c>
      <c r="L47">
        <f>INDEX(AEO26_Table_21._Residential!$E$6:$AD$92,MATCH($A47,AEO26_Table_21._Residential!$B$6:$B$92,0),MATCH(L$42,AEO26_Table_21._Residential!$E$5:$AD$5,0))*About!$A$25*About!$B$29</f>
        <v/>
      </c>
      <c r="M47">
        <f>INDEX(AEO26_Table_21._Residential!$E$6:$AD$92,MATCH($A47,AEO26_Table_21._Residential!$B$6:$B$92,0),MATCH(M$42,AEO26_Table_21._Residential!$E$5:$AD$5,0))*About!$A$25*About!$B$29</f>
        <v/>
      </c>
      <c r="N47">
        <f>INDEX(AEO26_Table_21._Residential!$E$6:$AD$92,MATCH($A47,AEO26_Table_21._Residential!$B$6:$B$92,0),MATCH(N$42,AEO26_Table_21._Residential!$E$5:$AD$5,0))*About!$A$25*About!$B$29</f>
        <v/>
      </c>
      <c r="O47">
        <f>INDEX(AEO26_Table_21._Residential!$E$6:$AD$92,MATCH($A47,AEO26_Table_21._Residential!$B$6:$B$92,0),MATCH(O$42,AEO26_Table_21._Residential!$E$5:$AD$5,0))*About!$A$25*About!$B$29</f>
        <v/>
      </c>
      <c r="P47">
        <f>INDEX(AEO26_Table_21._Residential!$E$6:$AD$92,MATCH($A47,AEO26_Table_21._Residential!$B$6:$B$92,0),MATCH(P$42,AEO26_Table_21._Residential!$E$5:$AD$5,0))*About!$A$25*About!$B$29</f>
        <v/>
      </c>
      <c r="Q47">
        <f>INDEX(AEO26_Table_21._Residential!$E$6:$AD$92,MATCH($A47,AEO26_Table_21._Residential!$B$6:$B$92,0),MATCH(Q$42,AEO26_Table_21._Residential!$E$5:$AD$5,0))*About!$A$25*About!$B$29</f>
        <v/>
      </c>
      <c r="R47">
        <f>INDEX(AEO26_Table_21._Residential!$E$6:$AD$92,MATCH($A47,AEO26_Table_21._Residential!$B$6:$B$92,0),MATCH(R$42,AEO26_Table_21._Residential!$E$5:$AD$5,0))*About!$A$25*About!$B$29</f>
        <v/>
      </c>
      <c r="S47">
        <f>INDEX(AEO26_Table_21._Residential!$E$6:$AD$92,MATCH($A47,AEO26_Table_21._Residential!$B$6:$B$92,0),MATCH(S$42,AEO26_Table_21._Residential!$E$5:$AD$5,0))*About!$A$25*About!$B$29</f>
        <v/>
      </c>
      <c r="T47">
        <f>INDEX(AEO26_Table_21._Residential!$E$6:$AD$92,MATCH($A47,AEO26_Table_21._Residential!$B$6:$B$92,0),MATCH(T$42,AEO26_Table_21._Residential!$E$5:$AD$5,0))*About!$A$25*About!$B$29</f>
        <v/>
      </c>
      <c r="U47">
        <f>INDEX(AEO26_Table_21._Residential!$E$6:$AD$92,MATCH($A47,AEO26_Table_21._Residential!$B$6:$B$92,0),MATCH(U$42,AEO26_Table_21._Residential!$E$5:$AD$5,0))*About!$A$25*About!$B$29</f>
        <v/>
      </c>
      <c r="V47">
        <f>INDEX(AEO26_Table_21._Residential!$E$6:$AD$92,MATCH($A47,AEO26_Table_21._Residential!$B$6:$B$92,0),MATCH(V$42,AEO26_Table_21._Residential!$E$5:$AD$5,0))*About!$A$25*About!$B$29</f>
        <v/>
      </c>
      <c r="W47">
        <f>INDEX(AEO26_Table_21._Residential!$E$6:$AD$92,MATCH($A47,AEO26_Table_21._Residential!$B$6:$B$92,0),MATCH(W$42,AEO26_Table_21._Residential!$E$5:$AD$5,0))*About!$A$25*About!$B$29</f>
        <v/>
      </c>
      <c r="X47">
        <f>INDEX(AEO26_Table_21._Residential!$E$6:$AD$92,MATCH($A47,AEO26_Table_21._Residential!$B$6:$B$92,0),MATCH(X$42,AEO26_Table_21._Residential!$E$5:$AD$5,0))*About!$A$25*About!$B$29</f>
        <v/>
      </c>
      <c r="Y47">
        <f>INDEX(AEO26_Table_21._Residential!$E$6:$AD$92,MATCH($A47,AEO26_Table_21._Residential!$B$6:$B$92,0),MATCH(Y$42,AEO26_Table_21._Residential!$E$5:$AD$5,0))*About!$A$25*About!$B$29</f>
        <v/>
      </c>
      <c r="Z47">
        <f>INDEX(AEO26_Table_21._Residential!$E$6:$AD$92,MATCH($A47,AEO26_Table_21._Residential!$B$6:$B$92,0),MATCH(Z$42,AEO26_Table_21._Residential!$E$5:$AD$5,0))*About!$A$25*About!$B$29</f>
        <v/>
      </c>
      <c r="AA47">
        <f>INDEX(AEO26_Table_21._Residential!$E$6:$AD$92,MATCH($A47,AEO26_Table_21._Residential!$B$6:$B$92,0),MATCH(AA$42,AEO26_Table_21._Residential!$E$5:$AD$5,0))*About!$A$25*About!$B$29</f>
        <v/>
      </c>
      <c r="AB47">
        <f>INDEX(AEO26_Table_21._Residential!$E$6:$AD$92,MATCH($A47,AEO26_Table_21._Residential!$B$6:$B$92,0),MATCH(AB$42,AEO26_Table_21._Residential!$E$5:$AD$5,0))*About!$A$25*About!$B$29</f>
        <v/>
      </c>
      <c r="AC47">
        <f>INDEX(AEO26_Table_21._Residential!$E$6:$AD$92,MATCH($A47,AEO26_Table_21._Residential!$B$6:$B$92,0),MATCH(AC$42,AEO26_Table_21._Residential!$E$5:$AD$5,0))*About!$A$25*About!$B$29</f>
        <v/>
      </c>
      <c r="AD47">
        <f>INDEX(AEO26_Table_21._Residential!$E$6:$AD$92,MATCH($A47,AEO26_Table_21._Residential!$B$6:$B$92,0),MATCH(AD$42,AEO26_Table_21._Residential!$E$5:$AD$5,0))*About!$A$25*About!$B$29</f>
        <v/>
      </c>
      <c r="AE47">
        <f>INDEX(AEO26_Table_21._Residential!$E$6:$AD$92,MATCH($A47,AEO26_Table_21._Residential!$B$6:$B$92,0),MATCH(AE$42,AEO26_Table_21._Residential!$E$5:$AD$5,0))*About!$A$25*About!$B$29</f>
        <v/>
      </c>
    </row>
    <row r="48">
      <c r="A48" t="inlineStr">
        <is>
          <t>Residential: Combined Heat and Power: Generating Capacity: Solar Photovoltaic: Alternative Electricity and Transportation</t>
        </is>
      </c>
      <c r="B48" t="inlineStr">
        <is>
          <t>Residential: Combined Heat and Power: Generating Capacity: Solar Photovoltaic: High Zero-Carbon Technology Cost</t>
        </is>
      </c>
      <c r="C48" t="inlineStr">
        <is>
          <t>solar PV</t>
        </is>
      </c>
      <c r="D48" s="47">
        <f>AEO23_Table_21._Residential!$F$78*About!$A$25*About!$B$29</f>
        <v/>
      </c>
      <c r="E48">
        <f>INDEX(AEO25_Table_21._Residential!$F$77:$AG$80,MATCH($B48,AEO25_Table_21._Residential!$B$77:$B$80,0),MATCH(E$42,AEO25_Table_21._Residential!$F$5:$AG$5,0))*About!$A$25*About!$B$29</f>
        <v/>
      </c>
      <c r="F48">
        <f>INDEX(AEO26_Table_21._Residential!$E$6:$AD$92,MATCH($A48,AEO26_Table_21._Residential!$B$6:$B$92,0),MATCH(F$42,AEO26_Table_21._Residential!$E$5:$AD$5,0))*About!$A$25*About!$B$29</f>
        <v/>
      </c>
      <c r="G48">
        <f>INDEX(AEO26_Table_21._Residential!$E$6:$AD$92,MATCH($A48,AEO26_Table_21._Residential!$B$6:$B$92,0),MATCH(G$42,AEO26_Table_21._Residential!$E$5:$AD$5,0))*About!$A$25*About!$B$29</f>
        <v/>
      </c>
      <c r="H48">
        <f>INDEX(AEO26_Table_21._Residential!$E$6:$AD$92,MATCH($A48,AEO26_Table_21._Residential!$B$6:$B$92,0),MATCH(H$42,AEO26_Table_21._Residential!$E$5:$AD$5,0))*About!$A$25*About!$B$29</f>
        <v/>
      </c>
      <c r="I48">
        <f>INDEX(AEO26_Table_21._Residential!$E$6:$AD$92,MATCH($A48,AEO26_Table_21._Residential!$B$6:$B$92,0),MATCH(I$42,AEO26_Table_21._Residential!$E$5:$AD$5,0))*About!$A$25*About!$B$29</f>
        <v/>
      </c>
      <c r="J48">
        <f>INDEX(AEO26_Table_21._Residential!$E$6:$AD$92,MATCH($A48,AEO26_Table_21._Residential!$B$6:$B$92,0),MATCH(J$42,AEO26_Table_21._Residential!$E$5:$AD$5,0))*About!$A$25*About!$B$29</f>
        <v/>
      </c>
      <c r="K48">
        <f>INDEX(AEO26_Table_21._Residential!$E$6:$AD$92,MATCH($A48,AEO26_Table_21._Residential!$B$6:$B$92,0),MATCH(K$42,AEO26_Table_21._Residential!$E$5:$AD$5,0))*About!$A$25*About!$B$29</f>
        <v/>
      </c>
      <c r="L48">
        <f>INDEX(AEO26_Table_21._Residential!$E$6:$AD$92,MATCH($A48,AEO26_Table_21._Residential!$B$6:$B$92,0),MATCH(L$42,AEO26_Table_21._Residential!$E$5:$AD$5,0))*About!$A$25*About!$B$29</f>
        <v/>
      </c>
      <c r="M48">
        <f>INDEX(AEO26_Table_21._Residential!$E$6:$AD$92,MATCH($A48,AEO26_Table_21._Residential!$B$6:$B$92,0),MATCH(M$42,AEO26_Table_21._Residential!$E$5:$AD$5,0))*About!$A$25*About!$B$29</f>
        <v/>
      </c>
      <c r="N48">
        <f>INDEX(AEO26_Table_21._Residential!$E$6:$AD$92,MATCH($A48,AEO26_Table_21._Residential!$B$6:$B$92,0),MATCH(N$42,AEO26_Table_21._Residential!$E$5:$AD$5,0))*About!$A$25*About!$B$29</f>
        <v/>
      </c>
      <c r="O48">
        <f>INDEX(AEO26_Table_21._Residential!$E$6:$AD$92,MATCH($A48,AEO26_Table_21._Residential!$B$6:$B$92,0),MATCH(O$42,AEO26_Table_21._Residential!$E$5:$AD$5,0))*About!$A$25*About!$B$29</f>
        <v/>
      </c>
      <c r="P48">
        <f>INDEX(AEO26_Table_21._Residential!$E$6:$AD$92,MATCH($A48,AEO26_Table_21._Residential!$B$6:$B$92,0),MATCH(P$42,AEO26_Table_21._Residential!$E$5:$AD$5,0))*About!$A$25*About!$B$29</f>
        <v/>
      </c>
      <c r="Q48">
        <f>INDEX(AEO26_Table_21._Residential!$E$6:$AD$92,MATCH($A48,AEO26_Table_21._Residential!$B$6:$B$92,0),MATCH(Q$42,AEO26_Table_21._Residential!$E$5:$AD$5,0))*About!$A$25*About!$B$29</f>
        <v/>
      </c>
      <c r="R48">
        <f>INDEX(AEO26_Table_21._Residential!$E$6:$AD$92,MATCH($A48,AEO26_Table_21._Residential!$B$6:$B$92,0),MATCH(R$42,AEO26_Table_21._Residential!$E$5:$AD$5,0))*About!$A$25*About!$B$29</f>
        <v/>
      </c>
      <c r="S48">
        <f>INDEX(AEO26_Table_21._Residential!$E$6:$AD$92,MATCH($A48,AEO26_Table_21._Residential!$B$6:$B$92,0),MATCH(S$42,AEO26_Table_21._Residential!$E$5:$AD$5,0))*About!$A$25*About!$B$29</f>
        <v/>
      </c>
      <c r="T48">
        <f>INDEX(AEO26_Table_21._Residential!$E$6:$AD$92,MATCH($A48,AEO26_Table_21._Residential!$B$6:$B$92,0),MATCH(T$42,AEO26_Table_21._Residential!$E$5:$AD$5,0))*About!$A$25*About!$B$29</f>
        <v/>
      </c>
      <c r="U48">
        <f>INDEX(AEO26_Table_21._Residential!$E$6:$AD$92,MATCH($A48,AEO26_Table_21._Residential!$B$6:$B$92,0),MATCH(U$42,AEO26_Table_21._Residential!$E$5:$AD$5,0))*About!$A$25*About!$B$29</f>
        <v/>
      </c>
      <c r="V48">
        <f>INDEX(AEO26_Table_21._Residential!$E$6:$AD$92,MATCH($A48,AEO26_Table_21._Residential!$B$6:$B$92,0),MATCH(V$42,AEO26_Table_21._Residential!$E$5:$AD$5,0))*About!$A$25*About!$B$29</f>
        <v/>
      </c>
      <c r="W48">
        <f>INDEX(AEO26_Table_21._Residential!$E$6:$AD$92,MATCH($A48,AEO26_Table_21._Residential!$B$6:$B$92,0),MATCH(W$42,AEO26_Table_21._Residential!$E$5:$AD$5,0))*About!$A$25*About!$B$29</f>
        <v/>
      </c>
      <c r="X48">
        <f>INDEX(AEO26_Table_21._Residential!$E$6:$AD$92,MATCH($A48,AEO26_Table_21._Residential!$B$6:$B$92,0),MATCH(X$42,AEO26_Table_21._Residential!$E$5:$AD$5,0))*About!$A$25*About!$B$29</f>
        <v/>
      </c>
      <c r="Y48">
        <f>INDEX(AEO26_Table_21._Residential!$E$6:$AD$92,MATCH($A48,AEO26_Table_21._Residential!$B$6:$B$92,0),MATCH(Y$42,AEO26_Table_21._Residential!$E$5:$AD$5,0))*About!$A$25*About!$B$29</f>
        <v/>
      </c>
      <c r="Z48">
        <f>INDEX(AEO26_Table_21._Residential!$E$6:$AD$92,MATCH($A48,AEO26_Table_21._Residential!$B$6:$B$92,0),MATCH(Z$42,AEO26_Table_21._Residential!$E$5:$AD$5,0))*About!$A$25*About!$B$29</f>
        <v/>
      </c>
      <c r="AA48">
        <f>INDEX(AEO26_Table_21._Residential!$E$6:$AD$92,MATCH($A48,AEO26_Table_21._Residential!$B$6:$B$92,0),MATCH(AA$42,AEO26_Table_21._Residential!$E$5:$AD$5,0))*About!$A$25*About!$B$29</f>
        <v/>
      </c>
      <c r="AB48">
        <f>INDEX(AEO26_Table_21._Residential!$E$6:$AD$92,MATCH($A48,AEO26_Table_21._Residential!$B$6:$B$92,0),MATCH(AB$42,AEO26_Table_21._Residential!$E$5:$AD$5,0))*About!$A$25*About!$B$29</f>
        <v/>
      </c>
      <c r="AC48">
        <f>INDEX(AEO26_Table_21._Residential!$E$6:$AD$92,MATCH($A48,AEO26_Table_21._Residential!$B$6:$B$92,0),MATCH(AC$42,AEO26_Table_21._Residential!$E$5:$AD$5,0))*About!$A$25*About!$B$29</f>
        <v/>
      </c>
      <c r="AD48">
        <f>INDEX(AEO26_Table_21._Residential!$E$6:$AD$92,MATCH($A48,AEO26_Table_21._Residential!$B$6:$B$92,0),MATCH(AD$42,AEO26_Table_21._Residential!$E$5:$AD$5,0))*About!$A$25*About!$B$29</f>
        <v/>
      </c>
      <c r="AE48">
        <f>INDEX(AEO26_Table_21._Residential!$E$6:$AD$92,MATCH($A48,AEO26_Table_21._Residential!$B$6:$B$92,0),MATCH(AE$42,AEO26_Table_21._Residential!$E$5:$AD$5,0))*About!$A$25*About!$B$29</f>
        <v/>
      </c>
    </row>
    <row r="49">
      <c r="C49" t="inlineStr">
        <is>
          <t>solar thermal</t>
        </is>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row>
    <row r="50">
      <c r="C50" t="inlineStr">
        <is>
          <t>biomass</t>
        </is>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row>
    <row r="51">
      <c r="C51" t="inlineStr">
        <is>
          <t>geothermal</t>
        </is>
      </c>
      <c r="D51" t="n">
        <v>0</v>
      </c>
      <c r="E51" t="n">
        <v>0</v>
      </c>
      <c r="F51" t="n">
        <v>0</v>
      </c>
      <c r="G51" t="n">
        <v>0</v>
      </c>
      <c r="H51" t="n">
        <v>0</v>
      </c>
      <c r="I51" t="n">
        <v>0</v>
      </c>
      <c r="J51" t="n">
        <v>0</v>
      </c>
      <c r="K51" t="n">
        <v>0</v>
      </c>
      <c r="L51" t="n">
        <v>0</v>
      </c>
      <c r="M51" t="n">
        <v>0</v>
      </c>
      <c r="N51" t="n">
        <v>0</v>
      </c>
      <c r="O51" t="n">
        <v>0</v>
      </c>
      <c r="P51" t="n">
        <v>0</v>
      </c>
      <c r="Q51" t="n">
        <v>0</v>
      </c>
      <c r="R51" t="n">
        <v>0</v>
      </c>
      <c r="S51" t="n">
        <v>0</v>
      </c>
      <c r="T51" t="n">
        <v>0</v>
      </c>
      <c r="U51" t="n">
        <v>0</v>
      </c>
      <c r="V51" t="n">
        <v>0</v>
      </c>
      <c r="W51" t="n">
        <v>0</v>
      </c>
      <c r="X51" t="n">
        <v>0</v>
      </c>
      <c r="Y51" t="n">
        <v>0</v>
      </c>
      <c r="Z51" t="n">
        <v>0</v>
      </c>
      <c r="AA51" t="n">
        <v>0</v>
      </c>
      <c r="AB51" t="n">
        <v>0</v>
      </c>
      <c r="AC51" t="n">
        <v>0</v>
      </c>
      <c r="AD51" t="n">
        <v>0</v>
      </c>
      <c r="AE51" t="n">
        <v>0</v>
      </c>
    </row>
    <row r="52">
      <c r="C52" t="inlineStr">
        <is>
          <t>petroleum</t>
        </is>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row>
    <row r="53">
      <c r="C53" t="inlineStr">
        <is>
          <t>natural gas peaker</t>
        </is>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row>
    <row r="54">
      <c r="C54" t="inlineStr">
        <is>
          <t>lignite</t>
        </is>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row>
    <row r="55">
      <c r="C55" t="inlineStr">
        <is>
          <t>offshore wind</t>
        </is>
      </c>
      <c r="D55" t="n">
        <v>0</v>
      </c>
      <c r="E55" t="n">
        <v>0</v>
      </c>
      <c r="F55" t="n">
        <v>0</v>
      </c>
      <c r="G55" t="n">
        <v>0</v>
      </c>
      <c r="H55" t="n">
        <v>0</v>
      </c>
      <c r="I55" t="n">
        <v>0</v>
      </c>
      <c r="J55" t="n">
        <v>0</v>
      </c>
      <c r="K55" t="n">
        <v>0</v>
      </c>
      <c r="L55" t="n">
        <v>0</v>
      </c>
      <c r="M55" t="n">
        <v>0</v>
      </c>
      <c r="N55" t="n">
        <v>0</v>
      </c>
      <c r="O55" t="n">
        <v>0</v>
      </c>
      <c r="P55" t="n">
        <v>0</v>
      </c>
      <c r="Q55" t="n">
        <v>0</v>
      </c>
      <c r="R55" t="n">
        <v>0</v>
      </c>
      <c r="S55" t="n">
        <v>0</v>
      </c>
      <c r="T55" t="n">
        <v>0</v>
      </c>
      <c r="U55" t="n">
        <v>0</v>
      </c>
      <c r="V55" t="n">
        <v>0</v>
      </c>
      <c r="W55" t="n">
        <v>0</v>
      </c>
      <c r="X55" t="n">
        <v>0</v>
      </c>
      <c r="Y55" t="n">
        <v>0</v>
      </c>
      <c r="Z55" t="n">
        <v>0</v>
      </c>
      <c r="AA55" t="n">
        <v>0</v>
      </c>
      <c r="AB55" t="n">
        <v>0</v>
      </c>
      <c r="AC55" t="n">
        <v>0</v>
      </c>
      <c r="AD55" t="n">
        <v>0</v>
      </c>
      <c r="AE55" t="n">
        <v>0</v>
      </c>
    </row>
    <row r="56">
      <c r="C56" t="inlineStr">
        <is>
          <t>crude oil</t>
        </is>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row>
    <row r="57">
      <c r="C57" t="inlineStr">
        <is>
          <t>heavy or residual fuel oil</t>
        </is>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row>
    <row r="58">
      <c r="C58" t="inlineStr">
        <is>
          <t>municipal solid waste</t>
        </is>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row>
    <row r="59"/>
    <row r="60">
      <c r="B60" s="1" t="inlineStr">
        <is>
          <t>BDEQ-BDESC-rural-residential</t>
        </is>
      </c>
    </row>
    <row r="61">
      <c r="C61" s="1" t="inlineStr">
        <is>
          <t>MW</t>
        </is>
      </c>
      <c r="D61" t="n">
        <v>2023</v>
      </c>
      <c r="E61" t="n">
        <v>2024</v>
      </c>
      <c r="F61" t="n">
        <v>2025</v>
      </c>
      <c r="G61" t="n">
        <v>2026</v>
      </c>
      <c r="H61" t="n">
        <v>2027</v>
      </c>
      <c r="I61" t="n">
        <v>2028</v>
      </c>
      <c r="J61" t="n">
        <v>2029</v>
      </c>
      <c r="K61" t="n">
        <v>2030</v>
      </c>
      <c r="L61" t="n">
        <v>2031</v>
      </c>
      <c r="M61" t="n">
        <v>2032</v>
      </c>
      <c r="N61" t="n">
        <v>2033</v>
      </c>
      <c r="O61" t="n">
        <v>2034</v>
      </c>
      <c r="P61" t="n">
        <v>2035</v>
      </c>
      <c r="Q61" t="n">
        <v>2036</v>
      </c>
      <c r="R61" t="n">
        <v>2037</v>
      </c>
      <c r="S61" t="n">
        <v>2038</v>
      </c>
      <c r="T61" t="n">
        <v>2039</v>
      </c>
      <c r="U61" t="n">
        <v>2040</v>
      </c>
      <c r="V61" t="n">
        <v>2041</v>
      </c>
      <c r="W61" t="n">
        <v>2042</v>
      </c>
      <c r="X61" t="n">
        <v>2043</v>
      </c>
      <c r="Y61" t="n">
        <v>2044</v>
      </c>
      <c r="Z61" t="n">
        <v>2045</v>
      </c>
      <c r="AA61" t="n">
        <v>2046</v>
      </c>
      <c r="AB61" t="n">
        <v>2047</v>
      </c>
      <c r="AC61" t="n">
        <v>2048</v>
      </c>
      <c r="AD61" t="n">
        <v>2049</v>
      </c>
      <c r="AE61" t="n">
        <v>2050</v>
      </c>
    </row>
    <row r="62">
      <c r="C62" t="inlineStr">
        <is>
          <t>hard coal</t>
        </is>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row>
    <row r="63">
      <c r="A63" t="inlineStr">
        <is>
          <t>Residential: Combined Heat and Power: Generating Capacity: Fuel Cells: Alternative Electricity and Transportation</t>
        </is>
      </c>
      <c r="B63" t="inlineStr">
        <is>
          <t>Residential: Combined Heat and Power: Generating Capacity: Fuel Cells: High Zero-Carbon Technology Cost</t>
        </is>
      </c>
      <c r="C63" t="inlineStr">
        <is>
          <t>natural gas nonpeaker</t>
        </is>
      </c>
      <c r="D63" s="47" t="n">
        <v>0</v>
      </c>
      <c r="E63">
        <f>INDEX(AEO25_Table_21._Residential!$F$77:$AG$80,MATCH($B63,AEO25_Table_21._Residential!$B$77:$B$80,0),MATCH(E$42,AEO25_Table_21._Residential!$F$5:$AG$5,0))*About!$A$26*About!$B$29</f>
        <v/>
      </c>
      <c r="F63">
        <f>INDEX(AEO26_Table_21._Residential!$E$6:$AD$92,MATCH($A63,AEO26_Table_21._Residential!$B$6:$B$92,0),MATCH(F$42,AEO26_Table_21._Residential!$E$5:$AD$5,0))*About!$A$26*About!$B$29</f>
        <v/>
      </c>
      <c r="G63">
        <f>INDEX(AEO26_Table_21._Residential!$E$6:$AD$92,MATCH($A63,AEO26_Table_21._Residential!$B$6:$B$92,0),MATCH(G$42,AEO26_Table_21._Residential!$E$5:$AD$5,0))*About!$A$26*About!$B$29</f>
        <v/>
      </c>
      <c r="H63">
        <f>INDEX(AEO26_Table_21._Residential!$E$6:$AD$92,MATCH($A63,AEO26_Table_21._Residential!$B$6:$B$92,0),MATCH(H$42,AEO26_Table_21._Residential!$E$5:$AD$5,0))*About!$A$26*About!$B$29</f>
        <v/>
      </c>
      <c r="I63">
        <f>INDEX(AEO26_Table_21._Residential!$E$6:$AD$92,MATCH($A63,AEO26_Table_21._Residential!$B$6:$B$92,0),MATCH(I$42,AEO26_Table_21._Residential!$E$5:$AD$5,0))*About!$A$26*About!$B$29</f>
        <v/>
      </c>
      <c r="J63">
        <f>INDEX(AEO26_Table_21._Residential!$E$6:$AD$92,MATCH($A63,AEO26_Table_21._Residential!$B$6:$B$92,0),MATCH(J$42,AEO26_Table_21._Residential!$E$5:$AD$5,0))*About!$A$26*About!$B$29</f>
        <v/>
      </c>
      <c r="K63">
        <f>INDEX(AEO26_Table_21._Residential!$E$6:$AD$92,MATCH($A63,AEO26_Table_21._Residential!$B$6:$B$92,0),MATCH(K$42,AEO26_Table_21._Residential!$E$5:$AD$5,0))*About!$A$26*About!$B$29</f>
        <v/>
      </c>
      <c r="L63">
        <f>INDEX(AEO26_Table_21._Residential!$E$6:$AD$92,MATCH($A63,AEO26_Table_21._Residential!$B$6:$B$92,0),MATCH(L$42,AEO26_Table_21._Residential!$E$5:$AD$5,0))*About!$A$26*About!$B$29</f>
        <v/>
      </c>
      <c r="M63">
        <f>INDEX(AEO26_Table_21._Residential!$E$6:$AD$92,MATCH($A63,AEO26_Table_21._Residential!$B$6:$B$92,0),MATCH(M$42,AEO26_Table_21._Residential!$E$5:$AD$5,0))*About!$A$26*About!$B$29</f>
        <v/>
      </c>
      <c r="N63">
        <f>INDEX(AEO26_Table_21._Residential!$E$6:$AD$92,MATCH($A63,AEO26_Table_21._Residential!$B$6:$B$92,0),MATCH(N$42,AEO26_Table_21._Residential!$E$5:$AD$5,0))*About!$A$26*About!$B$29</f>
        <v/>
      </c>
      <c r="O63">
        <f>INDEX(AEO26_Table_21._Residential!$E$6:$AD$92,MATCH($A63,AEO26_Table_21._Residential!$B$6:$B$92,0),MATCH(O$42,AEO26_Table_21._Residential!$E$5:$AD$5,0))*About!$A$26*About!$B$29</f>
        <v/>
      </c>
      <c r="P63">
        <f>INDEX(AEO26_Table_21._Residential!$E$6:$AD$92,MATCH($A63,AEO26_Table_21._Residential!$B$6:$B$92,0),MATCH(P$42,AEO26_Table_21._Residential!$E$5:$AD$5,0))*About!$A$26*About!$B$29</f>
        <v/>
      </c>
      <c r="Q63">
        <f>INDEX(AEO26_Table_21._Residential!$E$6:$AD$92,MATCH($A63,AEO26_Table_21._Residential!$B$6:$B$92,0),MATCH(Q$42,AEO26_Table_21._Residential!$E$5:$AD$5,0))*About!$A$26*About!$B$29</f>
        <v/>
      </c>
      <c r="R63">
        <f>INDEX(AEO26_Table_21._Residential!$E$6:$AD$92,MATCH($A63,AEO26_Table_21._Residential!$B$6:$B$92,0),MATCH(R$42,AEO26_Table_21._Residential!$E$5:$AD$5,0))*About!$A$26*About!$B$29</f>
        <v/>
      </c>
      <c r="S63">
        <f>INDEX(AEO26_Table_21._Residential!$E$6:$AD$92,MATCH($A63,AEO26_Table_21._Residential!$B$6:$B$92,0),MATCH(S$42,AEO26_Table_21._Residential!$E$5:$AD$5,0))*About!$A$26*About!$B$29</f>
        <v/>
      </c>
      <c r="T63">
        <f>INDEX(AEO26_Table_21._Residential!$E$6:$AD$92,MATCH($A63,AEO26_Table_21._Residential!$B$6:$B$92,0),MATCH(T$42,AEO26_Table_21._Residential!$E$5:$AD$5,0))*About!$A$26*About!$B$29</f>
        <v/>
      </c>
      <c r="U63">
        <f>INDEX(AEO26_Table_21._Residential!$E$6:$AD$92,MATCH($A63,AEO26_Table_21._Residential!$B$6:$B$92,0),MATCH(U$42,AEO26_Table_21._Residential!$E$5:$AD$5,0))*About!$A$26*About!$B$29</f>
        <v/>
      </c>
      <c r="V63">
        <f>INDEX(AEO26_Table_21._Residential!$E$6:$AD$92,MATCH($A63,AEO26_Table_21._Residential!$B$6:$B$92,0),MATCH(V$42,AEO26_Table_21._Residential!$E$5:$AD$5,0))*About!$A$26*About!$B$29</f>
        <v/>
      </c>
      <c r="W63">
        <f>INDEX(AEO26_Table_21._Residential!$E$6:$AD$92,MATCH($A63,AEO26_Table_21._Residential!$B$6:$B$92,0),MATCH(W$42,AEO26_Table_21._Residential!$E$5:$AD$5,0))*About!$A$26*About!$B$29</f>
        <v/>
      </c>
      <c r="X63">
        <f>INDEX(AEO26_Table_21._Residential!$E$6:$AD$92,MATCH($A63,AEO26_Table_21._Residential!$B$6:$B$92,0),MATCH(X$42,AEO26_Table_21._Residential!$E$5:$AD$5,0))*About!$A$26*About!$B$29</f>
        <v/>
      </c>
      <c r="Y63">
        <f>INDEX(AEO26_Table_21._Residential!$E$6:$AD$92,MATCH($A63,AEO26_Table_21._Residential!$B$6:$B$92,0),MATCH(Y$42,AEO26_Table_21._Residential!$E$5:$AD$5,0))*About!$A$26*About!$B$29</f>
        <v/>
      </c>
      <c r="Z63">
        <f>INDEX(AEO26_Table_21._Residential!$E$6:$AD$92,MATCH($A63,AEO26_Table_21._Residential!$B$6:$B$92,0),MATCH(Z$42,AEO26_Table_21._Residential!$E$5:$AD$5,0))*About!$A$26*About!$B$29</f>
        <v/>
      </c>
      <c r="AA63">
        <f>INDEX(AEO26_Table_21._Residential!$E$6:$AD$92,MATCH($A63,AEO26_Table_21._Residential!$B$6:$B$92,0),MATCH(AA$42,AEO26_Table_21._Residential!$E$5:$AD$5,0))*About!$A$26*About!$B$29</f>
        <v/>
      </c>
      <c r="AB63">
        <f>INDEX(AEO26_Table_21._Residential!$E$6:$AD$92,MATCH($A63,AEO26_Table_21._Residential!$B$6:$B$92,0),MATCH(AB$42,AEO26_Table_21._Residential!$E$5:$AD$5,0))*About!$A$26*About!$B$29</f>
        <v/>
      </c>
      <c r="AC63">
        <f>INDEX(AEO26_Table_21._Residential!$E$6:$AD$92,MATCH($A63,AEO26_Table_21._Residential!$B$6:$B$92,0),MATCH(AC$42,AEO26_Table_21._Residential!$E$5:$AD$5,0))*About!$A$26*About!$B$29</f>
        <v/>
      </c>
      <c r="AD63">
        <f>INDEX(AEO26_Table_21._Residential!$E$6:$AD$92,MATCH($A63,AEO26_Table_21._Residential!$B$6:$B$92,0),MATCH(AD$42,AEO26_Table_21._Residential!$E$5:$AD$5,0))*About!$A$26*About!$B$29</f>
        <v/>
      </c>
      <c r="AE63">
        <f>INDEX(AEO26_Table_21._Residential!$E$6:$AD$92,MATCH($A63,AEO26_Table_21._Residential!$B$6:$B$92,0),MATCH(AE$42,AEO26_Table_21._Residential!$E$5:$AD$5,0))*About!$A$26*About!$B$29</f>
        <v/>
      </c>
    </row>
    <row r="64">
      <c r="C64" t="inlineStr">
        <is>
          <t>nuclear</t>
        </is>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row>
    <row r="65">
      <c r="C65" t="inlineStr">
        <is>
          <t>hydro</t>
        </is>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row>
    <row r="66">
      <c r="A66" t="inlineStr">
        <is>
          <t>Residential: Combined Heat and Power: Generating Capacity: Wind: Alternative Electricity and Transportation</t>
        </is>
      </c>
      <c r="B66" t="inlineStr">
        <is>
          <t>Residential: Combined Heat and Power: Generating Capacity: Wind: High Zero-Carbon Technology Cost</t>
        </is>
      </c>
      <c r="C66" t="inlineStr">
        <is>
          <t>onshore wind</t>
        </is>
      </c>
      <c r="D66" s="47">
        <f>AEO23_Table_21._Residential!$F$79*About!$A$26*About!$B$29</f>
        <v/>
      </c>
      <c r="E66">
        <f>INDEX(AEO25_Table_21._Residential!$F$77:$AG$80,MATCH($B66,AEO25_Table_21._Residential!$B$77:$B$80,0),MATCH(E$42,AEO25_Table_21._Residential!$F$5:$AG$5,0))*About!$A$26*About!$B$29</f>
        <v/>
      </c>
      <c r="F66">
        <f>INDEX(AEO26_Table_21._Residential!$E$6:$AD$92,MATCH($A66,AEO26_Table_21._Residential!$B$6:$B$92,0),MATCH(F$42,AEO26_Table_21._Residential!$E$5:$AD$5,0))*About!$A$26*About!$B$29</f>
        <v/>
      </c>
      <c r="G66">
        <f>INDEX(AEO26_Table_21._Residential!$E$6:$AD$92,MATCH($A66,AEO26_Table_21._Residential!$B$6:$B$92,0),MATCH(G$42,AEO26_Table_21._Residential!$E$5:$AD$5,0))*About!$A$26*About!$B$29</f>
        <v/>
      </c>
      <c r="H66">
        <f>INDEX(AEO26_Table_21._Residential!$E$6:$AD$92,MATCH($A66,AEO26_Table_21._Residential!$B$6:$B$92,0),MATCH(H$42,AEO26_Table_21._Residential!$E$5:$AD$5,0))*About!$A$26*About!$B$29</f>
        <v/>
      </c>
      <c r="I66">
        <f>INDEX(AEO26_Table_21._Residential!$E$6:$AD$92,MATCH($A66,AEO26_Table_21._Residential!$B$6:$B$92,0),MATCH(I$42,AEO26_Table_21._Residential!$E$5:$AD$5,0))*About!$A$26*About!$B$29</f>
        <v/>
      </c>
      <c r="J66">
        <f>INDEX(AEO26_Table_21._Residential!$E$6:$AD$92,MATCH($A66,AEO26_Table_21._Residential!$B$6:$B$92,0),MATCH(J$42,AEO26_Table_21._Residential!$E$5:$AD$5,0))*About!$A$26*About!$B$29</f>
        <v/>
      </c>
      <c r="K66">
        <f>INDEX(AEO26_Table_21._Residential!$E$6:$AD$92,MATCH($A66,AEO26_Table_21._Residential!$B$6:$B$92,0),MATCH(K$42,AEO26_Table_21._Residential!$E$5:$AD$5,0))*About!$A$26*About!$B$29</f>
        <v/>
      </c>
      <c r="L66">
        <f>INDEX(AEO26_Table_21._Residential!$E$6:$AD$92,MATCH($A66,AEO26_Table_21._Residential!$B$6:$B$92,0),MATCH(L$42,AEO26_Table_21._Residential!$E$5:$AD$5,0))*About!$A$26*About!$B$29</f>
        <v/>
      </c>
      <c r="M66">
        <f>INDEX(AEO26_Table_21._Residential!$E$6:$AD$92,MATCH($A66,AEO26_Table_21._Residential!$B$6:$B$92,0),MATCH(M$42,AEO26_Table_21._Residential!$E$5:$AD$5,0))*About!$A$26*About!$B$29</f>
        <v/>
      </c>
      <c r="N66">
        <f>INDEX(AEO26_Table_21._Residential!$E$6:$AD$92,MATCH($A66,AEO26_Table_21._Residential!$B$6:$B$92,0),MATCH(N$42,AEO26_Table_21._Residential!$E$5:$AD$5,0))*About!$A$26*About!$B$29</f>
        <v/>
      </c>
      <c r="O66">
        <f>INDEX(AEO26_Table_21._Residential!$E$6:$AD$92,MATCH($A66,AEO26_Table_21._Residential!$B$6:$B$92,0),MATCH(O$42,AEO26_Table_21._Residential!$E$5:$AD$5,0))*About!$A$26*About!$B$29</f>
        <v/>
      </c>
      <c r="P66">
        <f>INDEX(AEO26_Table_21._Residential!$E$6:$AD$92,MATCH($A66,AEO26_Table_21._Residential!$B$6:$B$92,0),MATCH(P$42,AEO26_Table_21._Residential!$E$5:$AD$5,0))*About!$A$26*About!$B$29</f>
        <v/>
      </c>
      <c r="Q66">
        <f>INDEX(AEO26_Table_21._Residential!$E$6:$AD$92,MATCH($A66,AEO26_Table_21._Residential!$B$6:$B$92,0),MATCH(Q$42,AEO26_Table_21._Residential!$E$5:$AD$5,0))*About!$A$26*About!$B$29</f>
        <v/>
      </c>
      <c r="R66">
        <f>INDEX(AEO26_Table_21._Residential!$E$6:$AD$92,MATCH($A66,AEO26_Table_21._Residential!$B$6:$B$92,0),MATCH(R$42,AEO26_Table_21._Residential!$E$5:$AD$5,0))*About!$A$26*About!$B$29</f>
        <v/>
      </c>
      <c r="S66">
        <f>INDEX(AEO26_Table_21._Residential!$E$6:$AD$92,MATCH($A66,AEO26_Table_21._Residential!$B$6:$B$92,0),MATCH(S$42,AEO26_Table_21._Residential!$E$5:$AD$5,0))*About!$A$26*About!$B$29</f>
        <v/>
      </c>
      <c r="T66">
        <f>INDEX(AEO26_Table_21._Residential!$E$6:$AD$92,MATCH($A66,AEO26_Table_21._Residential!$B$6:$B$92,0),MATCH(T$42,AEO26_Table_21._Residential!$E$5:$AD$5,0))*About!$A$26*About!$B$29</f>
        <v/>
      </c>
      <c r="U66">
        <f>INDEX(AEO26_Table_21._Residential!$E$6:$AD$92,MATCH($A66,AEO26_Table_21._Residential!$B$6:$B$92,0),MATCH(U$42,AEO26_Table_21._Residential!$E$5:$AD$5,0))*About!$A$26*About!$B$29</f>
        <v/>
      </c>
      <c r="V66">
        <f>INDEX(AEO26_Table_21._Residential!$E$6:$AD$92,MATCH($A66,AEO26_Table_21._Residential!$B$6:$B$92,0),MATCH(V$42,AEO26_Table_21._Residential!$E$5:$AD$5,0))*About!$A$26*About!$B$29</f>
        <v/>
      </c>
      <c r="W66">
        <f>INDEX(AEO26_Table_21._Residential!$E$6:$AD$92,MATCH($A66,AEO26_Table_21._Residential!$B$6:$B$92,0),MATCH(W$42,AEO26_Table_21._Residential!$E$5:$AD$5,0))*About!$A$26*About!$B$29</f>
        <v/>
      </c>
      <c r="X66">
        <f>INDEX(AEO26_Table_21._Residential!$E$6:$AD$92,MATCH($A66,AEO26_Table_21._Residential!$B$6:$B$92,0),MATCH(X$42,AEO26_Table_21._Residential!$E$5:$AD$5,0))*About!$A$26*About!$B$29</f>
        <v/>
      </c>
      <c r="Y66">
        <f>INDEX(AEO26_Table_21._Residential!$E$6:$AD$92,MATCH($A66,AEO26_Table_21._Residential!$B$6:$B$92,0),MATCH(Y$42,AEO26_Table_21._Residential!$E$5:$AD$5,0))*About!$A$26*About!$B$29</f>
        <v/>
      </c>
      <c r="Z66">
        <f>INDEX(AEO26_Table_21._Residential!$E$6:$AD$92,MATCH($A66,AEO26_Table_21._Residential!$B$6:$B$92,0),MATCH(Z$42,AEO26_Table_21._Residential!$E$5:$AD$5,0))*About!$A$26*About!$B$29</f>
        <v/>
      </c>
      <c r="AA66">
        <f>INDEX(AEO26_Table_21._Residential!$E$6:$AD$92,MATCH($A66,AEO26_Table_21._Residential!$B$6:$B$92,0),MATCH(AA$42,AEO26_Table_21._Residential!$E$5:$AD$5,0))*About!$A$26*About!$B$29</f>
        <v/>
      </c>
      <c r="AB66">
        <f>INDEX(AEO26_Table_21._Residential!$E$6:$AD$92,MATCH($A66,AEO26_Table_21._Residential!$B$6:$B$92,0),MATCH(AB$42,AEO26_Table_21._Residential!$E$5:$AD$5,0))*About!$A$26*About!$B$29</f>
        <v/>
      </c>
      <c r="AC66">
        <f>INDEX(AEO26_Table_21._Residential!$E$6:$AD$92,MATCH($A66,AEO26_Table_21._Residential!$B$6:$B$92,0),MATCH(AC$42,AEO26_Table_21._Residential!$E$5:$AD$5,0))*About!$A$26*About!$B$29</f>
        <v/>
      </c>
      <c r="AD66">
        <f>INDEX(AEO26_Table_21._Residential!$E$6:$AD$92,MATCH($A66,AEO26_Table_21._Residential!$B$6:$B$92,0),MATCH(AD$42,AEO26_Table_21._Residential!$E$5:$AD$5,0))*About!$A$26*About!$B$29</f>
        <v/>
      </c>
      <c r="AE66">
        <f>INDEX(AEO26_Table_21._Residential!$E$6:$AD$92,MATCH($A66,AEO26_Table_21._Residential!$B$6:$B$92,0),MATCH(AE$42,AEO26_Table_21._Residential!$E$5:$AD$5,0))*About!$A$26*About!$B$29</f>
        <v/>
      </c>
    </row>
    <row r="67">
      <c r="A67" t="inlineStr">
        <is>
          <t>Residential: Combined Heat and Power: Generating Capacity: Solar Photovoltaic: Alternative Electricity and Transportation</t>
        </is>
      </c>
      <c r="B67" t="inlineStr">
        <is>
          <t>Residential: Combined Heat and Power: Generating Capacity: Solar Photovoltaic: High Zero-Carbon Technology Cost</t>
        </is>
      </c>
      <c r="C67" t="inlineStr">
        <is>
          <t>solar PV</t>
        </is>
      </c>
      <c r="D67" s="47">
        <f>AEO23_Table_21._Residential!$F$78*About!$A$26*About!$B$29</f>
        <v/>
      </c>
      <c r="E67">
        <f>INDEX(AEO25_Table_21._Residential!$F$77:$AG$80,MATCH($B67,AEO25_Table_21._Residential!$B$77:$B$80,0),MATCH(E$42,AEO25_Table_21._Residential!$F$5:$AG$5,0))*About!$A$26*About!$B$29</f>
        <v/>
      </c>
      <c r="F67">
        <f>INDEX(AEO26_Table_21._Residential!$E$6:$AD$92,MATCH($A67,AEO26_Table_21._Residential!$B$6:$B$92,0),MATCH(F$42,AEO26_Table_21._Residential!$E$5:$AD$5,0))*About!$A$26*About!$B$29</f>
        <v/>
      </c>
      <c r="G67">
        <f>INDEX(AEO26_Table_21._Residential!$E$6:$AD$92,MATCH($A67,AEO26_Table_21._Residential!$B$6:$B$92,0),MATCH(G$42,AEO26_Table_21._Residential!$E$5:$AD$5,0))*About!$A$26*About!$B$29</f>
        <v/>
      </c>
      <c r="H67">
        <f>INDEX(AEO26_Table_21._Residential!$E$6:$AD$92,MATCH($A67,AEO26_Table_21._Residential!$B$6:$B$92,0),MATCH(H$42,AEO26_Table_21._Residential!$E$5:$AD$5,0))*About!$A$26*About!$B$29</f>
        <v/>
      </c>
      <c r="I67">
        <f>INDEX(AEO26_Table_21._Residential!$E$6:$AD$92,MATCH($A67,AEO26_Table_21._Residential!$B$6:$B$92,0),MATCH(I$42,AEO26_Table_21._Residential!$E$5:$AD$5,0))*About!$A$26*About!$B$29</f>
        <v/>
      </c>
      <c r="J67">
        <f>INDEX(AEO26_Table_21._Residential!$E$6:$AD$92,MATCH($A67,AEO26_Table_21._Residential!$B$6:$B$92,0),MATCH(J$42,AEO26_Table_21._Residential!$E$5:$AD$5,0))*About!$A$26*About!$B$29</f>
        <v/>
      </c>
      <c r="K67">
        <f>INDEX(AEO26_Table_21._Residential!$E$6:$AD$92,MATCH($A67,AEO26_Table_21._Residential!$B$6:$B$92,0),MATCH(K$42,AEO26_Table_21._Residential!$E$5:$AD$5,0))*About!$A$26*About!$B$29</f>
        <v/>
      </c>
      <c r="L67">
        <f>INDEX(AEO26_Table_21._Residential!$E$6:$AD$92,MATCH($A67,AEO26_Table_21._Residential!$B$6:$B$92,0),MATCH(L$42,AEO26_Table_21._Residential!$E$5:$AD$5,0))*About!$A$26*About!$B$29</f>
        <v/>
      </c>
      <c r="M67">
        <f>INDEX(AEO26_Table_21._Residential!$E$6:$AD$92,MATCH($A67,AEO26_Table_21._Residential!$B$6:$B$92,0),MATCH(M$42,AEO26_Table_21._Residential!$E$5:$AD$5,0))*About!$A$26*About!$B$29</f>
        <v/>
      </c>
      <c r="N67">
        <f>INDEX(AEO26_Table_21._Residential!$E$6:$AD$92,MATCH($A67,AEO26_Table_21._Residential!$B$6:$B$92,0),MATCH(N$42,AEO26_Table_21._Residential!$E$5:$AD$5,0))*About!$A$26*About!$B$29</f>
        <v/>
      </c>
      <c r="O67">
        <f>INDEX(AEO26_Table_21._Residential!$E$6:$AD$92,MATCH($A67,AEO26_Table_21._Residential!$B$6:$B$92,0),MATCH(O$42,AEO26_Table_21._Residential!$E$5:$AD$5,0))*About!$A$26*About!$B$29</f>
        <v/>
      </c>
      <c r="P67">
        <f>INDEX(AEO26_Table_21._Residential!$E$6:$AD$92,MATCH($A67,AEO26_Table_21._Residential!$B$6:$B$92,0),MATCH(P$42,AEO26_Table_21._Residential!$E$5:$AD$5,0))*About!$A$26*About!$B$29</f>
        <v/>
      </c>
      <c r="Q67">
        <f>INDEX(AEO26_Table_21._Residential!$E$6:$AD$92,MATCH($A67,AEO26_Table_21._Residential!$B$6:$B$92,0),MATCH(Q$42,AEO26_Table_21._Residential!$E$5:$AD$5,0))*About!$A$26*About!$B$29</f>
        <v/>
      </c>
      <c r="R67">
        <f>INDEX(AEO26_Table_21._Residential!$E$6:$AD$92,MATCH($A67,AEO26_Table_21._Residential!$B$6:$B$92,0),MATCH(R$42,AEO26_Table_21._Residential!$E$5:$AD$5,0))*About!$A$26*About!$B$29</f>
        <v/>
      </c>
      <c r="S67">
        <f>INDEX(AEO26_Table_21._Residential!$E$6:$AD$92,MATCH($A67,AEO26_Table_21._Residential!$B$6:$B$92,0),MATCH(S$42,AEO26_Table_21._Residential!$E$5:$AD$5,0))*About!$A$26*About!$B$29</f>
        <v/>
      </c>
      <c r="T67">
        <f>INDEX(AEO26_Table_21._Residential!$E$6:$AD$92,MATCH($A67,AEO26_Table_21._Residential!$B$6:$B$92,0),MATCH(T$42,AEO26_Table_21._Residential!$E$5:$AD$5,0))*About!$A$26*About!$B$29</f>
        <v/>
      </c>
      <c r="U67">
        <f>INDEX(AEO26_Table_21._Residential!$E$6:$AD$92,MATCH($A67,AEO26_Table_21._Residential!$B$6:$B$92,0),MATCH(U$42,AEO26_Table_21._Residential!$E$5:$AD$5,0))*About!$A$26*About!$B$29</f>
        <v/>
      </c>
      <c r="V67">
        <f>INDEX(AEO26_Table_21._Residential!$E$6:$AD$92,MATCH($A67,AEO26_Table_21._Residential!$B$6:$B$92,0),MATCH(V$42,AEO26_Table_21._Residential!$E$5:$AD$5,0))*About!$A$26*About!$B$29</f>
        <v/>
      </c>
      <c r="W67">
        <f>INDEX(AEO26_Table_21._Residential!$E$6:$AD$92,MATCH($A67,AEO26_Table_21._Residential!$B$6:$B$92,0),MATCH(W$42,AEO26_Table_21._Residential!$E$5:$AD$5,0))*About!$A$26*About!$B$29</f>
        <v/>
      </c>
      <c r="X67">
        <f>INDEX(AEO26_Table_21._Residential!$E$6:$AD$92,MATCH($A67,AEO26_Table_21._Residential!$B$6:$B$92,0),MATCH(X$42,AEO26_Table_21._Residential!$E$5:$AD$5,0))*About!$A$26*About!$B$29</f>
        <v/>
      </c>
      <c r="Y67">
        <f>INDEX(AEO26_Table_21._Residential!$E$6:$AD$92,MATCH($A67,AEO26_Table_21._Residential!$B$6:$B$92,0),MATCH(Y$42,AEO26_Table_21._Residential!$E$5:$AD$5,0))*About!$A$26*About!$B$29</f>
        <v/>
      </c>
      <c r="Z67">
        <f>INDEX(AEO26_Table_21._Residential!$E$6:$AD$92,MATCH($A67,AEO26_Table_21._Residential!$B$6:$B$92,0),MATCH(Z$42,AEO26_Table_21._Residential!$E$5:$AD$5,0))*About!$A$26*About!$B$29</f>
        <v/>
      </c>
      <c r="AA67">
        <f>INDEX(AEO26_Table_21._Residential!$E$6:$AD$92,MATCH($A67,AEO26_Table_21._Residential!$B$6:$B$92,0),MATCH(AA$42,AEO26_Table_21._Residential!$E$5:$AD$5,0))*About!$A$26*About!$B$29</f>
        <v/>
      </c>
      <c r="AB67">
        <f>INDEX(AEO26_Table_21._Residential!$E$6:$AD$92,MATCH($A67,AEO26_Table_21._Residential!$B$6:$B$92,0),MATCH(AB$42,AEO26_Table_21._Residential!$E$5:$AD$5,0))*About!$A$26*About!$B$29</f>
        <v/>
      </c>
      <c r="AC67">
        <f>INDEX(AEO26_Table_21._Residential!$E$6:$AD$92,MATCH($A67,AEO26_Table_21._Residential!$B$6:$B$92,0),MATCH(AC$42,AEO26_Table_21._Residential!$E$5:$AD$5,0))*About!$A$26*About!$B$29</f>
        <v/>
      </c>
      <c r="AD67">
        <f>INDEX(AEO26_Table_21._Residential!$E$6:$AD$92,MATCH($A67,AEO26_Table_21._Residential!$B$6:$B$92,0),MATCH(AD$42,AEO26_Table_21._Residential!$E$5:$AD$5,0))*About!$A$26*About!$B$29</f>
        <v/>
      </c>
      <c r="AE67">
        <f>INDEX(AEO26_Table_21._Residential!$E$6:$AD$92,MATCH($A67,AEO26_Table_21._Residential!$B$6:$B$92,0),MATCH(AE$42,AEO26_Table_21._Residential!$E$5:$AD$5,0))*About!$A$26*About!$B$29</f>
        <v/>
      </c>
    </row>
    <row r="68">
      <c r="C68" t="inlineStr">
        <is>
          <t>solar thermal</t>
        </is>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row>
    <row r="69">
      <c r="C69" t="inlineStr">
        <is>
          <t>biomass</t>
        </is>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row>
    <row r="70">
      <c r="C70" t="inlineStr">
        <is>
          <t>geothermal</t>
        </is>
      </c>
      <c r="D70" t="n">
        <v>0</v>
      </c>
      <c r="E70" t="n">
        <v>0</v>
      </c>
      <c r="F70" t="n">
        <v>0</v>
      </c>
      <c r="G70" t="n">
        <v>0</v>
      </c>
      <c r="H70" t="n">
        <v>0</v>
      </c>
      <c r="I70" t="n">
        <v>0</v>
      </c>
      <c r="J70" t="n">
        <v>0</v>
      </c>
      <c r="K70" t="n">
        <v>0</v>
      </c>
      <c r="L70" t="n">
        <v>0</v>
      </c>
      <c r="M70" t="n">
        <v>0</v>
      </c>
      <c r="N70" t="n">
        <v>0</v>
      </c>
      <c r="O70" t="n">
        <v>0</v>
      </c>
      <c r="P70" t="n">
        <v>0</v>
      </c>
      <c r="Q70" t="n">
        <v>0</v>
      </c>
      <c r="R70" t="n">
        <v>0</v>
      </c>
      <c r="S70" t="n">
        <v>0</v>
      </c>
      <c r="T70" t="n">
        <v>0</v>
      </c>
      <c r="U70" t="n">
        <v>0</v>
      </c>
      <c r="V70" t="n">
        <v>0</v>
      </c>
      <c r="W70" t="n">
        <v>0</v>
      </c>
      <c r="X70" t="n">
        <v>0</v>
      </c>
      <c r="Y70" t="n">
        <v>0</v>
      </c>
      <c r="Z70" t="n">
        <v>0</v>
      </c>
      <c r="AA70" t="n">
        <v>0</v>
      </c>
      <c r="AB70" t="n">
        <v>0</v>
      </c>
      <c r="AC70" t="n">
        <v>0</v>
      </c>
      <c r="AD70" t="n">
        <v>0</v>
      </c>
      <c r="AE70" t="n">
        <v>0</v>
      </c>
    </row>
    <row r="71">
      <c r="C71" t="inlineStr">
        <is>
          <t>petroleum</t>
        </is>
      </c>
      <c r="D71" t="n">
        <v>0</v>
      </c>
      <c r="E71" t="n">
        <v>0</v>
      </c>
      <c r="F71" t="n">
        <v>0</v>
      </c>
      <c r="G71" t="n">
        <v>0</v>
      </c>
      <c r="H71" t="n">
        <v>0</v>
      </c>
      <c r="I71" t="n">
        <v>0</v>
      </c>
      <c r="J71" t="n">
        <v>0</v>
      </c>
      <c r="K71" t="n">
        <v>0</v>
      </c>
      <c r="L71" t="n">
        <v>0</v>
      </c>
      <c r="M71" t="n">
        <v>0</v>
      </c>
      <c r="N71" t="n">
        <v>0</v>
      </c>
      <c r="O71" t="n">
        <v>0</v>
      </c>
      <c r="P71" t="n">
        <v>0</v>
      </c>
      <c r="Q71" t="n">
        <v>0</v>
      </c>
      <c r="R71" t="n">
        <v>0</v>
      </c>
      <c r="S71" t="n">
        <v>0</v>
      </c>
      <c r="T71" t="n">
        <v>0</v>
      </c>
      <c r="U71" t="n">
        <v>0</v>
      </c>
      <c r="V71" t="n">
        <v>0</v>
      </c>
      <c r="W71" t="n">
        <v>0</v>
      </c>
      <c r="X71" t="n">
        <v>0</v>
      </c>
      <c r="Y71" t="n">
        <v>0</v>
      </c>
      <c r="Z71" t="n">
        <v>0</v>
      </c>
      <c r="AA71" t="n">
        <v>0</v>
      </c>
      <c r="AB71" t="n">
        <v>0</v>
      </c>
      <c r="AC71" t="n">
        <v>0</v>
      </c>
      <c r="AD71" t="n">
        <v>0</v>
      </c>
      <c r="AE71" t="n">
        <v>0</v>
      </c>
    </row>
    <row r="72">
      <c r="C72" t="inlineStr">
        <is>
          <t>natural gas peaker</t>
        </is>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row>
    <row r="73">
      <c r="C73" t="inlineStr">
        <is>
          <t>lignite</t>
        </is>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row>
    <row r="74">
      <c r="C74" t="inlineStr">
        <is>
          <t>offshore wind</t>
        </is>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row>
    <row r="75">
      <c r="C75" t="inlineStr">
        <is>
          <t>crude oil</t>
        </is>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row>
    <row r="76">
      <c r="C76" t="inlineStr">
        <is>
          <t>heavy or residual fuel oil</t>
        </is>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row>
    <row r="77">
      <c r="C77" t="inlineStr">
        <is>
          <t>municipal solid waste</t>
        </is>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row>
    <row r="78">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row>
    <row r="79" ht="18.5" customHeight="1">
      <c r="A79" s="51" t="inlineStr">
        <is>
          <t>Table 22</t>
        </is>
      </c>
      <c r="B79" s="52"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c r="AA79" s="53" t="n"/>
      <c r="AB79" s="53" t="n"/>
      <c r="AC79" s="53" t="n"/>
      <c r="AD79" s="53" t="n"/>
      <c r="AE79" s="53" t="n"/>
      <c r="AF79" s="53" t="n"/>
      <c r="AG79" s="53" t="n"/>
      <c r="AH79" s="53" t="n"/>
      <c r="AI79" s="53" t="n"/>
      <c r="AJ79" s="53" t="n"/>
      <c r="AK79" s="53" t="n"/>
      <c r="AL79" s="53" t="n"/>
      <c r="AM79" s="53" t="n"/>
      <c r="AN79" s="53" t="n"/>
      <c r="AO79" s="53" t="n"/>
      <c r="AP79" s="53" t="n"/>
      <c r="AQ79" s="53" t="n"/>
      <c r="AR79" s="53" t="n"/>
    </row>
    <row r="80" ht="18.5" customHeight="1">
      <c r="A80" s="14" t="n"/>
      <c r="B80" s="15" t="inlineStr">
        <is>
          <t>Generating Capacity (gigawatts)</t>
        </is>
      </c>
    </row>
    <row r="81">
      <c r="B81" s="1" t="inlineStr">
        <is>
          <t>BDEQ-BDESC-commercial</t>
        </is>
      </c>
      <c r="C81" s="1" t="inlineStr">
        <is>
          <t>MW</t>
        </is>
      </c>
    </row>
    <row r="82" customFormat="1" s="1">
      <c r="D82" s="1" t="n">
        <v>2023</v>
      </c>
      <c r="E82" s="1" t="n">
        <v>2024</v>
      </c>
      <c r="F82" s="1" t="n">
        <v>2025</v>
      </c>
      <c r="G82" s="1" t="n">
        <v>2026</v>
      </c>
      <c r="H82" s="1" t="n">
        <v>2027</v>
      </c>
      <c r="I82" s="1" t="n">
        <v>2028</v>
      </c>
      <c r="J82" s="1" t="n">
        <v>2029</v>
      </c>
      <c r="K82" s="1" t="n">
        <v>2030</v>
      </c>
      <c r="L82" s="1" t="n">
        <v>2031</v>
      </c>
      <c r="M82" s="1" t="n">
        <v>2032</v>
      </c>
      <c r="N82" s="1" t="n">
        <v>2033</v>
      </c>
      <c r="O82" s="1" t="n">
        <v>2034</v>
      </c>
      <c r="P82" s="1" t="n">
        <v>2035</v>
      </c>
      <c r="Q82" s="1" t="n">
        <v>2036</v>
      </c>
      <c r="R82" s="1" t="n">
        <v>2037</v>
      </c>
      <c r="S82" s="1" t="n">
        <v>2038</v>
      </c>
      <c r="T82" s="1" t="n">
        <v>2039</v>
      </c>
      <c r="U82" s="1" t="n">
        <v>2040</v>
      </c>
      <c r="V82" s="1" t="n">
        <v>2041</v>
      </c>
      <c r="W82" s="1" t="n">
        <v>2042</v>
      </c>
      <c r="X82" s="1" t="n">
        <v>2043</v>
      </c>
      <c r="Y82" s="1" t="n">
        <v>2044</v>
      </c>
      <c r="Z82" s="1" t="n">
        <v>2045</v>
      </c>
      <c r="AA82" s="1" t="n">
        <v>2046</v>
      </c>
      <c r="AB82" s="1" t="n">
        <v>2047</v>
      </c>
      <c r="AC82" s="1" t="n">
        <v>2048</v>
      </c>
      <c r="AD82" s="1" t="n">
        <v>2049</v>
      </c>
      <c r="AE82" s="1" t="n">
        <v>2050</v>
      </c>
    </row>
    <row r="83">
      <c r="C83" t="inlineStr">
        <is>
          <t>hard coal</t>
        </is>
      </c>
      <c r="D83" t="n">
        <v>0</v>
      </c>
      <c r="E83" t="n">
        <v>0</v>
      </c>
      <c r="F83" t="n">
        <v>0</v>
      </c>
      <c r="G83" t="n">
        <v>0</v>
      </c>
      <c r="H83" t="n">
        <v>0</v>
      </c>
      <c r="I83" t="n">
        <v>0</v>
      </c>
      <c r="J83" t="n">
        <v>0</v>
      </c>
      <c r="K83" t="n">
        <v>0</v>
      </c>
      <c r="L83" t="n">
        <v>0</v>
      </c>
      <c r="M83" t="n">
        <v>0</v>
      </c>
      <c r="N83" t="n">
        <v>0</v>
      </c>
      <c r="O83" t="n">
        <v>0</v>
      </c>
      <c r="P83" t="n">
        <v>0</v>
      </c>
      <c r="Q83" t="n">
        <v>0</v>
      </c>
      <c r="R83" t="n">
        <v>0</v>
      </c>
      <c r="S83" t="n">
        <v>0</v>
      </c>
      <c r="T83" t="n">
        <v>0</v>
      </c>
      <c r="U83" t="n">
        <v>0</v>
      </c>
      <c r="V83" t="n">
        <v>0</v>
      </c>
      <c r="W83" t="n">
        <v>0</v>
      </c>
      <c r="X83" t="n">
        <v>0</v>
      </c>
      <c r="Y83" t="n">
        <v>0</v>
      </c>
      <c r="Z83" t="n">
        <v>0</v>
      </c>
      <c r="AA83" t="n">
        <v>0</v>
      </c>
      <c r="AB83" t="n">
        <v>0</v>
      </c>
      <c r="AC83" t="n">
        <v>0</v>
      </c>
      <c r="AD83" t="n">
        <v>0</v>
      </c>
      <c r="AE83" t="n">
        <v>0</v>
      </c>
    </row>
    <row r="84">
      <c r="A84" t="inlineStr">
        <is>
          <t>Commercial: Combined Heat and Power: Generating Capacity: Natural Gas: Alternative Electricity and Transportation</t>
        </is>
      </c>
      <c r="B84" t="inlineStr">
        <is>
          <t>Commercial: Combined Heat and Power: Generating Capacity: Natural Gas: High Zero-Carbon Technology Cost</t>
        </is>
      </c>
      <c r="C84" t="inlineStr">
        <is>
          <t>natural gas nonpeaker</t>
        </is>
      </c>
      <c r="D84">
        <f>AEO23_table_22._Comm!G60*gigwatt_to_megawatt</f>
        <v/>
      </c>
      <c r="E84">
        <f>INDEX(AEO25_Table_22._Commercial!$F$59:$AG$71,MATCH($B84,AEO25_Table_22._Commercial!$B$59:$B$71,0),MATCH(E$82,AEO25_Table_22._Commercial!$F$5:$AG$5,0))*gigwatt_to_megawatt</f>
        <v/>
      </c>
      <c r="F84">
        <f>INDEX(AEO26_Table_22._Commercial!$E$6:$AD$81,MATCH($A84,AEO26_Table_22._Commercial!$B$6:$B$81,0),MATCH(F$82,AEO26_Table_22._Commercial!$E$5:$AD$5,0))*gigwatt_to_megawatt</f>
        <v/>
      </c>
      <c r="G84">
        <f>INDEX(AEO26_Table_22._Commercial!$E$6:$AD$81,MATCH($A84,AEO26_Table_22._Commercial!$B$6:$B$81,0),MATCH(G$82,AEO26_Table_22._Commercial!$E$5:$AD$5,0))*gigwatt_to_megawatt</f>
        <v/>
      </c>
      <c r="H84">
        <f>INDEX(AEO26_Table_22._Commercial!$E$6:$AD$81,MATCH($A84,AEO26_Table_22._Commercial!$B$6:$B$81,0),MATCH(H$82,AEO26_Table_22._Commercial!$E$5:$AD$5,0))*gigwatt_to_megawatt</f>
        <v/>
      </c>
      <c r="I84">
        <f>INDEX(AEO26_Table_22._Commercial!$E$6:$AD$81,MATCH($A84,AEO26_Table_22._Commercial!$B$6:$B$81,0),MATCH(I$82,AEO26_Table_22._Commercial!$E$5:$AD$5,0))*gigwatt_to_megawatt</f>
        <v/>
      </c>
      <c r="J84">
        <f>INDEX(AEO26_Table_22._Commercial!$E$6:$AD$81,MATCH($A84,AEO26_Table_22._Commercial!$B$6:$B$81,0),MATCH(J$82,AEO26_Table_22._Commercial!$E$5:$AD$5,0))*gigwatt_to_megawatt</f>
        <v/>
      </c>
      <c r="K84">
        <f>INDEX(AEO26_Table_22._Commercial!$E$6:$AD$81,MATCH($A84,AEO26_Table_22._Commercial!$B$6:$B$81,0),MATCH(K$82,AEO26_Table_22._Commercial!$E$5:$AD$5,0))*gigwatt_to_megawatt</f>
        <v/>
      </c>
      <c r="L84">
        <f>INDEX(AEO26_Table_22._Commercial!$E$6:$AD$81,MATCH($A84,AEO26_Table_22._Commercial!$B$6:$B$81,0),MATCH(L$82,AEO26_Table_22._Commercial!$E$5:$AD$5,0))*gigwatt_to_megawatt</f>
        <v/>
      </c>
      <c r="M84">
        <f>INDEX(AEO26_Table_22._Commercial!$E$6:$AD$81,MATCH($A84,AEO26_Table_22._Commercial!$B$6:$B$81,0),MATCH(M$82,AEO26_Table_22._Commercial!$E$5:$AD$5,0))*gigwatt_to_megawatt</f>
        <v/>
      </c>
      <c r="N84">
        <f>INDEX(AEO26_Table_22._Commercial!$E$6:$AD$81,MATCH($A84,AEO26_Table_22._Commercial!$B$6:$B$81,0),MATCH(N$82,AEO26_Table_22._Commercial!$E$5:$AD$5,0))*gigwatt_to_megawatt</f>
        <v/>
      </c>
      <c r="O84">
        <f>INDEX(AEO26_Table_22._Commercial!$E$6:$AD$81,MATCH($A84,AEO26_Table_22._Commercial!$B$6:$B$81,0),MATCH(O$82,AEO26_Table_22._Commercial!$E$5:$AD$5,0))*gigwatt_to_megawatt</f>
        <v/>
      </c>
      <c r="P84">
        <f>INDEX(AEO26_Table_22._Commercial!$E$6:$AD$81,MATCH($A84,AEO26_Table_22._Commercial!$B$6:$B$81,0),MATCH(P$82,AEO26_Table_22._Commercial!$E$5:$AD$5,0))*gigwatt_to_megawatt</f>
        <v/>
      </c>
      <c r="Q84">
        <f>INDEX(AEO26_Table_22._Commercial!$E$6:$AD$81,MATCH($A84,AEO26_Table_22._Commercial!$B$6:$B$81,0),MATCH(Q$82,AEO26_Table_22._Commercial!$E$5:$AD$5,0))*gigwatt_to_megawatt</f>
        <v/>
      </c>
      <c r="R84">
        <f>INDEX(AEO26_Table_22._Commercial!$E$6:$AD$81,MATCH($A84,AEO26_Table_22._Commercial!$B$6:$B$81,0),MATCH(R$82,AEO26_Table_22._Commercial!$E$5:$AD$5,0))*gigwatt_to_megawatt</f>
        <v/>
      </c>
      <c r="S84">
        <f>INDEX(AEO26_Table_22._Commercial!$E$6:$AD$81,MATCH($A84,AEO26_Table_22._Commercial!$B$6:$B$81,0),MATCH(S$82,AEO26_Table_22._Commercial!$E$5:$AD$5,0))*gigwatt_to_megawatt</f>
        <v/>
      </c>
      <c r="T84">
        <f>INDEX(AEO26_Table_22._Commercial!$E$6:$AD$81,MATCH($A84,AEO26_Table_22._Commercial!$B$6:$B$81,0),MATCH(T$82,AEO26_Table_22._Commercial!$E$5:$AD$5,0))*gigwatt_to_megawatt</f>
        <v/>
      </c>
      <c r="U84">
        <f>INDEX(AEO26_Table_22._Commercial!$E$6:$AD$81,MATCH($A84,AEO26_Table_22._Commercial!$B$6:$B$81,0),MATCH(U$82,AEO26_Table_22._Commercial!$E$5:$AD$5,0))*gigwatt_to_megawatt</f>
        <v/>
      </c>
      <c r="V84">
        <f>INDEX(AEO26_Table_22._Commercial!$E$6:$AD$81,MATCH($A84,AEO26_Table_22._Commercial!$B$6:$B$81,0),MATCH(V$82,AEO26_Table_22._Commercial!$E$5:$AD$5,0))*gigwatt_to_megawatt</f>
        <v/>
      </c>
      <c r="W84">
        <f>INDEX(AEO26_Table_22._Commercial!$E$6:$AD$81,MATCH($A84,AEO26_Table_22._Commercial!$B$6:$B$81,0),MATCH(W$82,AEO26_Table_22._Commercial!$E$5:$AD$5,0))*gigwatt_to_megawatt</f>
        <v/>
      </c>
      <c r="X84">
        <f>INDEX(AEO26_Table_22._Commercial!$E$6:$AD$81,MATCH($A84,AEO26_Table_22._Commercial!$B$6:$B$81,0),MATCH(X$82,AEO26_Table_22._Commercial!$E$5:$AD$5,0))*gigwatt_to_megawatt</f>
        <v/>
      </c>
      <c r="Y84">
        <f>INDEX(AEO26_Table_22._Commercial!$E$6:$AD$81,MATCH($A84,AEO26_Table_22._Commercial!$B$6:$B$81,0),MATCH(Y$82,AEO26_Table_22._Commercial!$E$5:$AD$5,0))*gigwatt_to_megawatt</f>
        <v/>
      </c>
      <c r="Z84">
        <f>INDEX(AEO26_Table_22._Commercial!$E$6:$AD$81,MATCH($A84,AEO26_Table_22._Commercial!$B$6:$B$81,0),MATCH(Z$82,AEO26_Table_22._Commercial!$E$5:$AD$5,0))*gigwatt_to_megawatt</f>
        <v/>
      </c>
      <c r="AA84">
        <f>INDEX(AEO26_Table_22._Commercial!$E$6:$AD$81,MATCH($A84,AEO26_Table_22._Commercial!$B$6:$B$81,0),MATCH(AA$82,AEO26_Table_22._Commercial!$E$5:$AD$5,0))*gigwatt_to_megawatt</f>
        <v/>
      </c>
      <c r="AB84">
        <f>INDEX(AEO26_Table_22._Commercial!$E$6:$AD$81,MATCH($A84,AEO26_Table_22._Commercial!$B$6:$B$81,0),MATCH(AB$82,AEO26_Table_22._Commercial!$E$5:$AD$5,0))*gigwatt_to_megawatt</f>
        <v/>
      </c>
      <c r="AC84">
        <f>INDEX(AEO26_Table_22._Commercial!$E$6:$AD$81,MATCH($A84,AEO26_Table_22._Commercial!$B$6:$B$81,0),MATCH(AC$82,AEO26_Table_22._Commercial!$E$5:$AD$5,0))*gigwatt_to_megawatt</f>
        <v/>
      </c>
      <c r="AD84">
        <f>INDEX(AEO26_Table_22._Commercial!$E$6:$AD$81,MATCH($A84,AEO26_Table_22._Commercial!$B$6:$B$81,0),MATCH(AD$82,AEO26_Table_22._Commercial!$E$5:$AD$5,0))*gigwatt_to_megawatt</f>
        <v/>
      </c>
      <c r="AE84">
        <f>INDEX(AEO26_Table_22._Commercial!$E$6:$AD$81,MATCH($A84,AEO26_Table_22._Commercial!$B$6:$B$81,0),MATCH(AE$82,AEO26_Table_22._Commercial!$E$5:$AD$5,0))*gigwatt_to_megawatt</f>
        <v/>
      </c>
    </row>
    <row r="85">
      <c r="C85" t="inlineStr">
        <is>
          <t>nuclear</t>
        </is>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row>
    <row r="86">
      <c r="C86" t="inlineStr">
        <is>
          <t>hydro</t>
        </is>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row>
    <row r="87">
      <c r="A87" t="inlineStr">
        <is>
          <t>Commercial: Combined Heat and Power: Generating Capacity: Wind: Alternative Electricity and Transportation</t>
        </is>
      </c>
      <c r="B87" t="inlineStr">
        <is>
          <t>Commercial: Combined Heat and Power: Generating Capacity: Wind: High Zero-Carbon Technology Cost</t>
        </is>
      </c>
      <c r="C87" t="inlineStr">
        <is>
          <t>onshore wind</t>
        </is>
      </c>
      <c r="D87">
        <f>AEO23_table_22._Comm!G62*gigwatt_to_megawatt</f>
        <v/>
      </c>
      <c r="E87">
        <f>INDEX(AEO25_Table_22._Commercial!$F$59:$AG$71,MATCH($B87,AEO25_Table_22._Commercial!$B$59:$B$71,0),MATCH(E$82,AEO25_Table_22._Commercial!$F$5:$AG$5,0))*gigwatt_to_megawatt</f>
        <v/>
      </c>
      <c r="F87">
        <f>INDEX(AEO26_Table_22._Commercial!$E$6:$AD$81,MATCH($A87,AEO26_Table_22._Commercial!$B$6:$B$81,0),MATCH(F$82,AEO26_Table_22._Commercial!$E$5:$AD$5,0))*gigwatt_to_megawatt</f>
        <v/>
      </c>
      <c r="G87">
        <f>INDEX(AEO26_Table_22._Commercial!$E$6:$AD$81,MATCH($A87,AEO26_Table_22._Commercial!$B$6:$B$81,0),MATCH(G$82,AEO26_Table_22._Commercial!$E$5:$AD$5,0))*gigwatt_to_megawatt</f>
        <v/>
      </c>
      <c r="H87">
        <f>INDEX(AEO26_Table_22._Commercial!$E$6:$AD$81,MATCH($A87,AEO26_Table_22._Commercial!$B$6:$B$81,0),MATCH(H$82,AEO26_Table_22._Commercial!$E$5:$AD$5,0))*gigwatt_to_megawatt</f>
        <v/>
      </c>
      <c r="I87">
        <f>INDEX(AEO26_Table_22._Commercial!$E$6:$AD$81,MATCH($A87,AEO26_Table_22._Commercial!$B$6:$B$81,0),MATCH(I$82,AEO26_Table_22._Commercial!$E$5:$AD$5,0))*gigwatt_to_megawatt</f>
        <v/>
      </c>
      <c r="J87">
        <f>INDEX(AEO26_Table_22._Commercial!$E$6:$AD$81,MATCH($A87,AEO26_Table_22._Commercial!$B$6:$B$81,0),MATCH(J$82,AEO26_Table_22._Commercial!$E$5:$AD$5,0))*gigwatt_to_megawatt</f>
        <v/>
      </c>
      <c r="K87">
        <f>INDEX(AEO26_Table_22._Commercial!$E$6:$AD$81,MATCH($A87,AEO26_Table_22._Commercial!$B$6:$B$81,0),MATCH(K$82,AEO26_Table_22._Commercial!$E$5:$AD$5,0))*gigwatt_to_megawatt</f>
        <v/>
      </c>
      <c r="L87">
        <f>INDEX(AEO26_Table_22._Commercial!$E$6:$AD$81,MATCH($A87,AEO26_Table_22._Commercial!$B$6:$B$81,0),MATCH(L$82,AEO26_Table_22._Commercial!$E$5:$AD$5,0))*gigwatt_to_megawatt</f>
        <v/>
      </c>
      <c r="M87">
        <f>INDEX(AEO26_Table_22._Commercial!$E$6:$AD$81,MATCH($A87,AEO26_Table_22._Commercial!$B$6:$B$81,0),MATCH(M$82,AEO26_Table_22._Commercial!$E$5:$AD$5,0))*gigwatt_to_megawatt</f>
        <v/>
      </c>
      <c r="N87">
        <f>INDEX(AEO26_Table_22._Commercial!$E$6:$AD$81,MATCH($A87,AEO26_Table_22._Commercial!$B$6:$B$81,0),MATCH(N$82,AEO26_Table_22._Commercial!$E$5:$AD$5,0))*gigwatt_to_megawatt</f>
        <v/>
      </c>
      <c r="O87">
        <f>INDEX(AEO26_Table_22._Commercial!$E$6:$AD$81,MATCH($A87,AEO26_Table_22._Commercial!$B$6:$B$81,0),MATCH(O$82,AEO26_Table_22._Commercial!$E$5:$AD$5,0))*gigwatt_to_megawatt</f>
        <v/>
      </c>
      <c r="P87">
        <f>INDEX(AEO26_Table_22._Commercial!$E$6:$AD$81,MATCH($A87,AEO26_Table_22._Commercial!$B$6:$B$81,0),MATCH(P$82,AEO26_Table_22._Commercial!$E$5:$AD$5,0))*gigwatt_to_megawatt</f>
        <v/>
      </c>
      <c r="Q87">
        <f>INDEX(AEO26_Table_22._Commercial!$E$6:$AD$81,MATCH($A87,AEO26_Table_22._Commercial!$B$6:$B$81,0),MATCH(Q$82,AEO26_Table_22._Commercial!$E$5:$AD$5,0))*gigwatt_to_megawatt</f>
        <v/>
      </c>
      <c r="R87">
        <f>INDEX(AEO26_Table_22._Commercial!$E$6:$AD$81,MATCH($A87,AEO26_Table_22._Commercial!$B$6:$B$81,0),MATCH(R$82,AEO26_Table_22._Commercial!$E$5:$AD$5,0))*gigwatt_to_megawatt</f>
        <v/>
      </c>
      <c r="S87">
        <f>INDEX(AEO26_Table_22._Commercial!$E$6:$AD$81,MATCH($A87,AEO26_Table_22._Commercial!$B$6:$B$81,0),MATCH(S$82,AEO26_Table_22._Commercial!$E$5:$AD$5,0))*gigwatt_to_megawatt</f>
        <v/>
      </c>
      <c r="T87">
        <f>INDEX(AEO26_Table_22._Commercial!$E$6:$AD$81,MATCH($A87,AEO26_Table_22._Commercial!$B$6:$B$81,0),MATCH(T$82,AEO26_Table_22._Commercial!$E$5:$AD$5,0))*gigwatt_to_megawatt</f>
        <v/>
      </c>
      <c r="U87">
        <f>INDEX(AEO26_Table_22._Commercial!$E$6:$AD$81,MATCH($A87,AEO26_Table_22._Commercial!$B$6:$B$81,0),MATCH(U$82,AEO26_Table_22._Commercial!$E$5:$AD$5,0))*gigwatt_to_megawatt</f>
        <v/>
      </c>
      <c r="V87">
        <f>INDEX(AEO26_Table_22._Commercial!$E$6:$AD$81,MATCH($A87,AEO26_Table_22._Commercial!$B$6:$B$81,0),MATCH(V$82,AEO26_Table_22._Commercial!$E$5:$AD$5,0))*gigwatt_to_megawatt</f>
        <v/>
      </c>
      <c r="W87">
        <f>INDEX(AEO26_Table_22._Commercial!$E$6:$AD$81,MATCH($A87,AEO26_Table_22._Commercial!$B$6:$B$81,0),MATCH(W$82,AEO26_Table_22._Commercial!$E$5:$AD$5,0))*gigwatt_to_megawatt</f>
        <v/>
      </c>
      <c r="X87">
        <f>INDEX(AEO26_Table_22._Commercial!$E$6:$AD$81,MATCH($A87,AEO26_Table_22._Commercial!$B$6:$B$81,0),MATCH(X$82,AEO26_Table_22._Commercial!$E$5:$AD$5,0))*gigwatt_to_megawatt</f>
        <v/>
      </c>
      <c r="Y87">
        <f>INDEX(AEO26_Table_22._Commercial!$E$6:$AD$81,MATCH($A87,AEO26_Table_22._Commercial!$B$6:$B$81,0),MATCH(Y$82,AEO26_Table_22._Commercial!$E$5:$AD$5,0))*gigwatt_to_megawatt</f>
        <v/>
      </c>
      <c r="Z87">
        <f>INDEX(AEO26_Table_22._Commercial!$E$6:$AD$81,MATCH($A87,AEO26_Table_22._Commercial!$B$6:$B$81,0),MATCH(Z$82,AEO26_Table_22._Commercial!$E$5:$AD$5,0))*gigwatt_to_megawatt</f>
        <v/>
      </c>
      <c r="AA87">
        <f>INDEX(AEO26_Table_22._Commercial!$E$6:$AD$81,MATCH($A87,AEO26_Table_22._Commercial!$B$6:$B$81,0),MATCH(AA$82,AEO26_Table_22._Commercial!$E$5:$AD$5,0))*gigwatt_to_megawatt</f>
        <v/>
      </c>
      <c r="AB87">
        <f>INDEX(AEO26_Table_22._Commercial!$E$6:$AD$81,MATCH($A87,AEO26_Table_22._Commercial!$B$6:$B$81,0),MATCH(AB$82,AEO26_Table_22._Commercial!$E$5:$AD$5,0))*gigwatt_to_megawatt</f>
        <v/>
      </c>
      <c r="AC87">
        <f>INDEX(AEO26_Table_22._Commercial!$E$6:$AD$81,MATCH($A87,AEO26_Table_22._Commercial!$B$6:$B$81,0),MATCH(AC$82,AEO26_Table_22._Commercial!$E$5:$AD$5,0))*gigwatt_to_megawatt</f>
        <v/>
      </c>
      <c r="AD87">
        <f>INDEX(AEO26_Table_22._Commercial!$E$6:$AD$81,MATCH($A87,AEO26_Table_22._Commercial!$B$6:$B$81,0),MATCH(AD$82,AEO26_Table_22._Commercial!$E$5:$AD$5,0))*gigwatt_to_megawatt</f>
        <v/>
      </c>
      <c r="AE87">
        <f>INDEX(AEO26_Table_22._Commercial!$E$6:$AD$81,MATCH($A87,AEO26_Table_22._Commercial!$B$6:$B$81,0),MATCH(AE$82,AEO26_Table_22._Commercial!$E$5:$AD$5,0))*gigwatt_to_megawatt</f>
        <v/>
      </c>
    </row>
    <row r="88">
      <c r="A88" t="inlineStr">
        <is>
          <t>Commercial: Combined Heat and Power: Generating Capacity: Solar Photovoltaic: Alternative Electricity and Transportation</t>
        </is>
      </c>
      <c r="B88" t="inlineStr">
        <is>
          <t>Commercial: Combined Heat and Power: Generating Capacity: Solar Photovoltaic: High Zero-Carbon Technology Cost</t>
        </is>
      </c>
      <c r="C88" t="inlineStr">
        <is>
          <t>solar PV</t>
        </is>
      </c>
      <c r="D88">
        <f>AEO23_table_22._Comm!G61*gigwatt_to_megawatt</f>
        <v/>
      </c>
      <c r="E88">
        <f>INDEX(AEO25_Table_22._Commercial!$F$59:$AG$71,MATCH($B88,AEO25_Table_22._Commercial!$B$59:$B$71,0),MATCH(E$82,AEO25_Table_22._Commercial!$F$5:$AG$5,0))*gigwatt_to_megawatt</f>
        <v/>
      </c>
      <c r="F88">
        <f>INDEX(AEO26_Table_22._Commercial!$E$6:$AD$81,MATCH($A88,AEO26_Table_22._Commercial!$B$6:$B$81,0),MATCH(F$82,AEO26_Table_22._Commercial!$E$5:$AD$5,0))*gigwatt_to_megawatt</f>
        <v/>
      </c>
      <c r="G88">
        <f>INDEX(AEO26_Table_22._Commercial!$E$6:$AD$81,MATCH($A88,AEO26_Table_22._Commercial!$B$6:$B$81,0),MATCH(G$82,AEO26_Table_22._Commercial!$E$5:$AD$5,0))*gigwatt_to_megawatt</f>
        <v/>
      </c>
      <c r="H88">
        <f>INDEX(AEO26_Table_22._Commercial!$E$6:$AD$81,MATCH($A88,AEO26_Table_22._Commercial!$B$6:$B$81,0),MATCH(H$82,AEO26_Table_22._Commercial!$E$5:$AD$5,0))*gigwatt_to_megawatt</f>
        <v/>
      </c>
      <c r="I88">
        <f>INDEX(AEO26_Table_22._Commercial!$E$6:$AD$81,MATCH($A88,AEO26_Table_22._Commercial!$B$6:$B$81,0),MATCH(I$82,AEO26_Table_22._Commercial!$E$5:$AD$5,0))*gigwatt_to_megawatt</f>
        <v/>
      </c>
      <c r="J88">
        <f>INDEX(AEO26_Table_22._Commercial!$E$6:$AD$81,MATCH($A88,AEO26_Table_22._Commercial!$B$6:$B$81,0),MATCH(J$82,AEO26_Table_22._Commercial!$E$5:$AD$5,0))*gigwatt_to_megawatt</f>
        <v/>
      </c>
      <c r="K88">
        <f>INDEX(AEO26_Table_22._Commercial!$E$6:$AD$81,MATCH($A88,AEO26_Table_22._Commercial!$B$6:$B$81,0),MATCH(K$82,AEO26_Table_22._Commercial!$E$5:$AD$5,0))*gigwatt_to_megawatt</f>
        <v/>
      </c>
      <c r="L88">
        <f>INDEX(AEO26_Table_22._Commercial!$E$6:$AD$81,MATCH($A88,AEO26_Table_22._Commercial!$B$6:$B$81,0),MATCH(L$82,AEO26_Table_22._Commercial!$E$5:$AD$5,0))*gigwatt_to_megawatt</f>
        <v/>
      </c>
      <c r="M88">
        <f>INDEX(AEO26_Table_22._Commercial!$E$6:$AD$81,MATCH($A88,AEO26_Table_22._Commercial!$B$6:$B$81,0),MATCH(M$82,AEO26_Table_22._Commercial!$E$5:$AD$5,0))*gigwatt_to_megawatt</f>
        <v/>
      </c>
      <c r="N88">
        <f>INDEX(AEO26_Table_22._Commercial!$E$6:$AD$81,MATCH($A88,AEO26_Table_22._Commercial!$B$6:$B$81,0),MATCH(N$82,AEO26_Table_22._Commercial!$E$5:$AD$5,0))*gigwatt_to_megawatt</f>
        <v/>
      </c>
      <c r="O88">
        <f>INDEX(AEO26_Table_22._Commercial!$E$6:$AD$81,MATCH($A88,AEO26_Table_22._Commercial!$B$6:$B$81,0),MATCH(O$82,AEO26_Table_22._Commercial!$E$5:$AD$5,0))*gigwatt_to_megawatt</f>
        <v/>
      </c>
      <c r="P88">
        <f>INDEX(AEO26_Table_22._Commercial!$E$6:$AD$81,MATCH($A88,AEO26_Table_22._Commercial!$B$6:$B$81,0),MATCH(P$82,AEO26_Table_22._Commercial!$E$5:$AD$5,0))*gigwatt_to_megawatt</f>
        <v/>
      </c>
      <c r="Q88">
        <f>INDEX(AEO26_Table_22._Commercial!$E$6:$AD$81,MATCH($A88,AEO26_Table_22._Commercial!$B$6:$B$81,0),MATCH(Q$82,AEO26_Table_22._Commercial!$E$5:$AD$5,0))*gigwatt_to_megawatt</f>
        <v/>
      </c>
      <c r="R88">
        <f>INDEX(AEO26_Table_22._Commercial!$E$6:$AD$81,MATCH($A88,AEO26_Table_22._Commercial!$B$6:$B$81,0),MATCH(R$82,AEO26_Table_22._Commercial!$E$5:$AD$5,0))*gigwatt_to_megawatt</f>
        <v/>
      </c>
      <c r="S88">
        <f>INDEX(AEO26_Table_22._Commercial!$E$6:$AD$81,MATCH($A88,AEO26_Table_22._Commercial!$B$6:$B$81,0),MATCH(S$82,AEO26_Table_22._Commercial!$E$5:$AD$5,0))*gigwatt_to_megawatt</f>
        <v/>
      </c>
      <c r="T88">
        <f>INDEX(AEO26_Table_22._Commercial!$E$6:$AD$81,MATCH($A88,AEO26_Table_22._Commercial!$B$6:$B$81,0),MATCH(T$82,AEO26_Table_22._Commercial!$E$5:$AD$5,0))*gigwatt_to_megawatt</f>
        <v/>
      </c>
      <c r="U88">
        <f>INDEX(AEO26_Table_22._Commercial!$E$6:$AD$81,MATCH($A88,AEO26_Table_22._Commercial!$B$6:$B$81,0),MATCH(U$82,AEO26_Table_22._Commercial!$E$5:$AD$5,0))*gigwatt_to_megawatt</f>
        <v/>
      </c>
      <c r="V88">
        <f>INDEX(AEO26_Table_22._Commercial!$E$6:$AD$81,MATCH($A88,AEO26_Table_22._Commercial!$B$6:$B$81,0),MATCH(V$82,AEO26_Table_22._Commercial!$E$5:$AD$5,0))*gigwatt_to_megawatt</f>
        <v/>
      </c>
      <c r="W88">
        <f>INDEX(AEO26_Table_22._Commercial!$E$6:$AD$81,MATCH($A88,AEO26_Table_22._Commercial!$B$6:$B$81,0),MATCH(W$82,AEO26_Table_22._Commercial!$E$5:$AD$5,0))*gigwatt_to_megawatt</f>
        <v/>
      </c>
      <c r="X88">
        <f>INDEX(AEO26_Table_22._Commercial!$E$6:$AD$81,MATCH($A88,AEO26_Table_22._Commercial!$B$6:$B$81,0),MATCH(X$82,AEO26_Table_22._Commercial!$E$5:$AD$5,0))*gigwatt_to_megawatt</f>
        <v/>
      </c>
      <c r="Y88">
        <f>INDEX(AEO26_Table_22._Commercial!$E$6:$AD$81,MATCH($A88,AEO26_Table_22._Commercial!$B$6:$B$81,0),MATCH(Y$82,AEO26_Table_22._Commercial!$E$5:$AD$5,0))*gigwatt_to_megawatt</f>
        <v/>
      </c>
      <c r="Z88">
        <f>INDEX(AEO26_Table_22._Commercial!$E$6:$AD$81,MATCH($A88,AEO26_Table_22._Commercial!$B$6:$B$81,0),MATCH(Z$82,AEO26_Table_22._Commercial!$E$5:$AD$5,0))*gigwatt_to_megawatt</f>
        <v/>
      </c>
      <c r="AA88">
        <f>INDEX(AEO26_Table_22._Commercial!$E$6:$AD$81,MATCH($A88,AEO26_Table_22._Commercial!$B$6:$B$81,0),MATCH(AA$82,AEO26_Table_22._Commercial!$E$5:$AD$5,0))*gigwatt_to_megawatt</f>
        <v/>
      </c>
      <c r="AB88">
        <f>INDEX(AEO26_Table_22._Commercial!$E$6:$AD$81,MATCH($A88,AEO26_Table_22._Commercial!$B$6:$B$81,0),MATCH(AB$82,AEO26_Table_22._Commercial!$E$5:$AD$5,0))*gigwatt_to_megawatt</f>
        <v/>
      </c>
      <c r="AC88">
        <f>INDEX(AEO26_Table_22._Commercial!$E$6:$AD$81,MATCH($A88,AEO26_Table_22._Commercial!$B$6:$B$81,0),MATCH(AC$82,AEO26_Table_22._Commercial!$E$5:$AD$5,0))*gigwatt_to_megawatt</f>
        <v/>
      </c>
      <c r="AD88">
        <f>INDEX(AEO26_Table_22._Commercial!$E$6:$AD$81,MATCH($A88,AEO26_Table_22._Commercial!$B$6:$B$81,0),MATCH(AD$82,AEO26_Table_22._Commercial!$E$5:$AD$5,0))*gigwatt_to_megawatt</f>
        <v/>
      </c>
      <c r="AE88">
        <f>INDEX(AEO26_Table_22._Commercial!$E$6:$AD$81,MATCH($A88,AEO26_Table_22._Commercial!$B$6:$B$81,0),MATCH(AE$82,AEO26_Table_22._Commercial!$E$5:$AD$5,0))*gigwatt_to_megawatt</f>
        <v/>
      </c>
    </row>
    <row r="89">
      <c r="C89" t="inlineStr">
        <is>
          <t>solar thermal</t>
        </is>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row>
    <row r="90">
      <c r="C90" t="inlineStr">
        <is>
          <t>biomass</t>
        </is>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row>
    <row r="91">
      <c r="C91" t="inlineStr">
        <is>
          <t>geothermal</t>
        </is>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row>
    <row r="92">
      <c r="A92" t="inlineStr">
        <is>
          <t>Commercial: Combined Heat and Power: Generating Capacity: Petroleum: Alternative Electricity and Transportation</t>
        </is>
      </c>
      <c r="B92" t="inlineStr">
        <is>
          <t>Commercial: Combined Heat and Power: Generating Capacity: Petroleum: High Zero-Carbon Technology Cost</t>
        </is>
      </c>
      <c r="C92" t="inlineStr">
        <is>
          <t>petroleum</t>
        </is>
      </c>
      <c r="D92">
        <f>AEO23_table_22._Comm!G59*gigwatt_to_megawatt</f>
        <v/>
      </c>
      <c r="E92">
        <f>INDEX(AEO25_Table_22._Commercial!$F$59:$AG$71,MATCH($B92,AEO25_Table_22._Commercial!$B$59:$B$71,0),MATCH(E$82,AEO25_Table_22._Commercial!$F$5:$AG$5,0))*gigwatt_to_megawatt</f>
        <v/>
      </c>
      <c r="F92">
        <f>INDEX(AEO26_Table_22._Commercial!$E$6:$AD$81,MATCH($A92,AEO26_Table_22._Commercial!$B$6:$B$81,0),MATCH(F$82,AEO26_Table_22._Commercial!$E$5:$AD$5,0))*gigwatt_to_megawatt</f>
        <v/>
      </c>
      <c r="G92">
        <f>INDEX(AEO26_Table_22._Commercial!$E$6:$AD$81,MATCH($A92,AEO26_Table_22._Commercial!$B$6:$B$81,0),MATCH(G$82,AEO26_Table_22._Commercial!$E$5:$AD$5,0))*gigwatt_to_megawatt</f>
        <v/>
      </c>
      <c r="H92">
        <f>INDEX(AEO26_Table_22._Commercial!$E$6:$AD$81,MATCH($A92,AEO26_Table_22._Commercial!$B$6:$B$81,0),MATCH(H$82,AEO26_Table_22._Commercial!$E$5:$AD$5,0))*gigwatt_to_megawatt</f>
        <v/>
      </c>
      <c r="I92">
        <f>INDEX(AEO26_Table_22._Commercial!$E$6:$AD$81,MATCH($A92,AEO26_Table_22._Commercial!$B$6:$B$81,0),MATCH(I$82,AEO26_Table_22._Commercial!$E$5:$AD$5,0))*gigwatt_to_megawatt</f>
        <v/>
      </c>
      <c r="J92">
        <f>INDEX(AEO26_Table_22._Commercial!$E$6:$AD$81,MATCH($A92,AEO26_Table_22._Commercial!$B$6:$B$81,0),MATCH(J$82,AEO26_Table_22._Commercial!$E$5:$AD$5,0))*gigwatt_to_megawatt</f>
        <v/>
      </c>
      <c r="K92">
        <f>INDEX(AEO26_Table_22._Commercial!$E$6:$AD$81,MATCH($A92,AEO26_Table_22._Commercial!$B$6:$B$81,0),MATCH(K$82,AEO26_Table_22._Commercial!$E$5:$AD$5,0))*gigwatt_to_megawatt</f>
        <v/>
      </c>
      <c r="L92">
        <f>INDEX(AEO26_Table_22._Commercial!$E$6:$AD$81,MATCH($A92,AEO26_Table_22._Commercial!$B$6:$B$81,0),MATCH(L$82,AEO26_Table_22._Commercial!$E$5:$AD$5,0))*gigwatt_to_megawatt</f>
        <v/>
      </c>
      <c r="M92">
        <f>INDEX(AEO26_Table_22._Commercial!$E$6:$AD$81,MATCH($A92,AEO26_Table_22._Commercial!$B$6:$B$81,0),MATCH(M$82,AEO26_Table_22._Commercial!$E$5:$AD$5,0))*gigwatt_to_megawatt</f>
        <v/>
      </c>
      <c r="N92">
        <f>INDEX(AEO26_Table_22._Commercial!$E$6:$AD$81,MATCH($A92,AEO26_Table_22._Commercial!$B$6:$B$81,0),MATCH(N$82,AEO26_Table_22._Commercial!$E$5:$AD$5,0))*gigwatt_to_megawatt</f>
        <v/>
      </c>
      <c r="O92">
        <f>INDEX(AEO26_Table_22._Commercial!$E$6:$AD$81,MATCH($A92,AEO26_Table_22._Commercial!$B$6:$B$81,0),MATCH(O$82,AEO26_Table_22._Commercial!$E$5:$AD$5,0))*gigwatt_to_megawatt</f>
        <v/>
      </c>
      <c r="P92">
        <f>INDEX(AEO26_Table_22._Commercial!$E$6:$AD$81,MATCH($A92,AEO26_Table_22._Commercial!$B$6:$B$81,0),MATCH(P$82,AEO26_Table_22._Commercial!$E$5:$AD$5,0))*gigwatt_to_megawatt</f>
        <v/>
      </c>
      <c r="Q92">
        <f>INDEX(AEO26_Table_22._Commercial!$E$6:$AD$81,MATCH($A92,AEO26_Table_22._Commercial!$B$6:$B$81,0),MATCH(Q$82,AEO26_Table_22._Commercial!$E$5:$AD$5,0))*gigwatt_to_megawatt</f>
        <v/>
      </c>
      <c r="R92">
        <f>INDEX(AEO26_Table_22._Commercial!$E$6:$AD$81,MATCH($A92,AEO26_Table_22._Commercial!$B$6:$B$81,0),MATCH(R$82,AEO26_Table_22._Commercial!$E$5:$AD$5,0))*gigwatt_to_megawatt</f>
        <v/>
      </c>
      <c r="S92">
        <f>INDEX(AEO26_Table_22._Commercial!$E$6:$AD$81,MATCH($A92,AEO26_Table_22._Commercial!$B$6:$B$81,0),MATCH(S$82,AEO26_Table_22._Commercial!$E$5:$AD$5,0))*gigwatt_to_megawatt</f>
        <v/>
      </c>
      <c r="T92">
        <f>INDEX(AEO26_Table_22._Commercial!$E$6:$AD$81,MATCH($A92,AEO26_Table_22._Commercial!$B$6:$B$81,0),MATCH(T$82,AEO26_Table_22._Commercial!$E$5:$AD$5,0))*gigwatt_to_megawatt</f>
        <v/>
      </c>
      <c r="U92">
        <f>INDEX(AEO26_Table_22._Commercial!$E$6:$AD$81,MATCH($A92,AEO26_Table_22._Commercial!$B$6:$B$81,0),MATCH(U$82,AEO26_Table_22._Commercial!$E$5:$AD$5,0))*gigwatt_to_megawatt</f>
        <v/>
      </c>
      <c r="V92">
        <f>INDEX(AEO26_Table_22._Commercial!$E$6:$AD$81,MATCH($A92,AEO26_Table_22._Commercial!$B$6:$B$81,0),MATCH(V$82,AEO26_Table_22._Commercial!$E$5:$AD$5,0))*gigwatt_to_megawatt</f>
        <v/>
      </c>
      <c r="W92">
        <f>INDEX(AEO26_Table_22._Commercial!$E$6:$AD$81,MATCH($A92,AEO26_Table_22._Commercial!$B$6:$B$81,0),MATCH(W$82,AEO26_Table_22._Commercial!$E$5:$AD$5,0))*gigwatt_to_megawatt</f>
        <v/>
      </c>
      <c r="X92">
        <f>INDEX(AEO26_Table_22._Commercial!$E$6:$AD$81,MATCH($A92,AEO26_Table_22._Commercial!$B$6:$B$81,0),MATCH(X$82,AEO26_Table_22._Commercial!$E$5:$AD$5,0))*gigwatt_to_megawatt</f>
        <v/>
      </c>
      <c r="Y92">
        <f>INDEX(AEO26_Table_22._Commercial!$E$6:$AD$81,MATCH($A92,AEO26_Table_22._Commercial!$B$6:$B$81,0),MATCH(Y$82,AEO26_Table_22._Commercial!$E$5:$AD$5,0))*gigwatt_to_megawatt</f>
        <v/>
      </c>
      <c r="Z92">
        <f>INDEX(AEO26_Table_22._Commercial!$E$6:$AD$81,MATCH($A92,AEO26_Table_22._Commercial!$B$6:$B$81,0),MATCH(Z$82,AEO26_Table_22._Commercial!$E$5:$AD$5,0))*gigwatt_to_megawatt</f>
        <v/>
      </c>
      <c r="AA92">
        <f>INDEX(AEO26_Table_22._Commercial!$E$6:$AD$81,MATCH($A92,AEO26_Table_22._Commercial!$B$6:$B$81,0),MATCH(AA$82,AEO26_Table_22._Commercial!$E$5:$AD$5,0))*gigwatt_to_megawatt</f>
        <v/>
      </c>
      <c r="AB92">
        <f>INDEX(AEO26_Table_22._Commercial!$E$6:$AD$81,MATCH($A92,AEO26_Table_22._Commercial!$B$6:$B$81,0),MATCH(AB$82,AEO26_Table_22._Commercial!$E$5:$AD$5,0))*gigwatt_to_megawatt</f>
        <v/>
      </c>
      <c r="AC92">
        <f>INDEX(AEO26_Table_22._Commercial!$E$6:$AD$81,MATCH($A92,AEO26_Table_22._Commercial!$B$6:$B$81,0),MATCH(AC$82,AEO26_Table_22._Commercial!$E$5:$AD$5,0))*gigwatt_to_megawatt</f>
        <v/>
      </c>
      <c r="AD92">
        <f>INDEX(AEO26_Table_22._Commercial!$E$6:$AD$81,MATCH($A92,AEO26_Table_22._Commercial!$B$6:$B$81,0),MATCH(AD$82,AEO26_Table_22._Commercial!$E$5:$AD$5,0))*gigwatt_to_megawatt</f>
        <v/>
      </c>
      <c r="AE92">
        <f>INDEX(AEO26_Table_22._Commercial!$E$6:$AD$81,MATCH($A92,AEO26_Table_22._Commercial!$B$6:$B$81,0),MATCH(AE$82,AEO26_Table_22._Commercial!$E$5:$AD$5,0))*gigwatt_to_megawatt</f>
        <v/>
      </c>
    </row>
    <row r="93">
      <c r="C93" t="inlineStr">
        <is>
          <t>natural gas peaker</t>
        </is>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row>
    <row r="94">
      <c r="C94" t="inlineStr">
        <is>
          <t>lignite</t>
        </is>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row>
    <row r="95">
      <c r="C95" t="inlineStr">
        <is>
          <t>offshore wind</t>
        </is>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row>
    <row r="96">
      <c r="C96" t="inlineStr">
        <is>
          <t>crude oil</t>
        </is>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row>
    <row r="97">
      <c r="C97" t="inlineStr">
        <is>
          <t>heavy or residual fuel oil</t>
        </is>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row>
    <row r="98">
      <c r="C98" t="inlineStr">
        <is>
          <t>municipal solid waste</t>
        </is>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row>
    <row r="99">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row>
    <row r="100">
      <c r="B100" s="15" t="inlineStr">
        <is>
          <t>Net Generation (billion kilowatthours)</t>
        </is>
      </c>
    </row>
    <row r="101">
      <c r="B101" s="1" t="inlineStr">
        <is>
          <t>BDEQ-BEOfDS-commercial</t>
        </is>
      </c>
      <c r="C101" s="1" t="inlineStr">
        <is>
          <t>MW*hour</t>
        </is>
      </c>
    </row>
    <row r="102" customFormat="1" s="1">
      <c r="D102" s="1" t="n">
        <v>2023</v>
      </c>
      <c r="E102" s="1" t="n">
        <v>2024</v>
      </c>
      <c r="F102" s="1" t="n">
        <v>2025</v>
      </c>
      <c r="G102" s="1" t="n">
        <v>2026</v>
      </c>
      <c r="H102" s="1" t="n">
        <v>2027</v>
      </c>
      <c r="I102" s="1" t="n">
        <v>2028</v>
      </c>
      <c r="J102" s="1" t="n">
        <v>2029</v>
      </c>
      <c r="K102" s="1" t="n">
        <v>2030</v>
      </c>
      <c r="L102" s="1" t="n">
        <v>2031</v>
      </c>
      <c r="M102" s="1" t="n">
        <v>2032</v>
      </c>
      <c r="N102" s="1" t="n">
        <v>2033</v>
      </c>
      <c r="O102" s="1" t="n">
        <v>2034</v>
      </c>
      <c r="P102" s="1" t="n">
        <v>2035</v>
      </c>
      <c r="Q102" s="1" t="n">
        <v>2036</v>
      </c>
      <c r="R102" s="1" t="n">
        <v>2037</v>
      </c>
      <c r="S102" s="1" t="n">
        <v>2038</v>
      </c>
      <c r="T102" s="1" t="n">
        <v>2039</v>
      </c>
      <c r="U102" s="1" t="n">
        <v>2040</v>
      </c>
      <c r="V102" s="1" t="n">
        <v>2041</v>
      </c>
      <c r="W102" s="1" t="n">
        <v>2042</v>
      </c>
      <c r="X102" s="1" t="n">
        <v>2043</v>
      </c>
      <c r="Y102" s="1" t="n">
        <v>2044</v>
      </c>
      <c r="Z102" s="1" t="n">
        <v>2045</v>
      </c>
      <c r="AA102" s="1" t="n">
        <v>2046</v>
      </c>
      <c r="AB102" s="1" t="n">
        <v>2047</v>
      </c>
      <c r="AC102" s="1" t="n">
        <v>2048</v>
      </c>
      <c r="AD102" s="1" t="n">
        <v>2049</v>
      </c>
      <c r="AE102" s="1" t="n">
        <v>2050</v>
      </c>
    </row>
    <row r="103">
      <c r="C103" t="inlineStr">
        <is>
          <t>hard coal</t>
        </is>
      </c>
      <c r="D103" t="n">
        <v>0</v>
      </c>
      <c r="E103" t="n">
        <v>0</v>
      </c>
      <c r="F103" t="n">
        <v>0</v>
      </c>
      <c r="G103" t="n">
        <v>0</v>
      </c>
      <c r="H103" t="n">
        <v>0</v>
      </c>
      <c r="I103" t="n">
        <v>0</v>
      </c>
      <c r="J103" t="n">
        <v>0</v>
      </c>
      <c r="K103" t="n">
        <v>0</v>
      </c>
      <c r="L103" t="n">
        <v>0</v>
      </c>
      <c r="M103" t="n">
        <v>0</v>
      </c>
      <c r="N103" t="n">
        <v>0</v>
      </c>
      <c r="O103" t="n">
        <v>0</v>
      </c>
      <c r="P103" t="n">
        <v>0</v>
      </c>
      <c r="Q103" t="n">
        <v>0</v>
      </c>
      <c r="R103" t="n">
        <v>0</v>
      </c>
      <c r="S103" t="n">
        <v>0</v>
      </c>
      <c r="T103" t="n">
        <v>0</v>
      </c>
      <c r="U103" t="n">
        <v>0</v>
      </c>
      <c r="V103" t="n">
        <v>0</v>
      </c>
      <c r="W103" t="n">
        <v>0</v>
      </c>
      <c r="X103" t="n">
        <v>0</v>
      </c>
      <c r="Y103" t="n">
        <v>0</v>
      </c>
      <c r="Z103" t="n">
        <v>0</v>
      </c>
      <c r="AA103" t="n">
        <v>0</v>
      </c>
      <c r="AB103" t="n">
        <v>0</v>
      </c>
      <c r="AC103" t="n">
        <v>0</v>
      </c>
      <c r="AD103" t="n">
        <v>0</v>
      </c>
      <c r="AE103" t="n">
        <v>0</v>
      </c>
    </row>
    <row r="104">
      <c r="A104" t="inlineStr">
        <is>
          <t>Commercial: Combined Heat and Power: Net Generation: Natural Gas: Alternative Electricity and Transportation</t>
        </is>
      </c>
      <c r="B104" t="inlineStr">
        <is>
          <t>Commercial: Combined Heat and Power: Net Generation: Natural Gas: High Zero-Carbon Technology Cost</t>
        </is>
      </c>
      <c r="C104" t="inlineStr">
        <is>
          <t>natural gas nonpeaker</t>
        </is>
      </c>
      <c r="D104">
        <f>AEO23_table_22._Comm!G67*billion_kw_to_MW</f>
        <v/>
      </c>
      <c r="E104">
        <f>INDEX(AEO25_Table_22._Commercial!$F$59:$AG$71,MATCH($B104,AEO25_Table_22._Commercial!$B$59:$B$71,0),MATCH(E$82,AEO25_Table_22._Commercial!$F$5:$AG$5,0))*billion_kw_to_MW</f>
        <v/>
      </c>
      <c r="F104">
        <f>INDEX(AEO26_Table_22._Commercial!$E$6:$AD$81,MATCH($A104,AEO26_Table_22._Commercial!$B$6:$B$81,0),MATCH(F$82,AEO26_Table_22._Commercial!$E$5:$AD$5,0))*billion_kw_to_MW</f>
        <v/>
      </c>
      <c r="G104">
        <f>INDEX(AEO26_Table_22._Commercial!$E$6:$AD$81,MATCH($A104,AEO26_Table_22._Commercial!$B$6:$B$81,0),MATCH(G$82,AEO26_Table_22._Commercial!$E$5:$AD$5,0))*billion_kw_to_MW</f>
        <v/>
      </c>
      <c r="H104">
        <f>INDEX(AEO26_Table_22._Commercial!$E$6:$AD$81,MATCH($A104,AEO26_Table_22._Commercial!$B$6:$B$81,0),MATCH(H$82,AEO26_Table_22._Commercial!$E$5:$AD$5,0))*billion_kw_to_MW</f>
        <v/>
      </c>
      <c r="I104">
        <f>INDEX(AEO26_Table_22._Commercial!$E$6:$AD$81,MATCH($A104,AEO26_Table_22._Commercial!$B$6:$B$81,0),MATCH(I$82,AEO26_Table_22._Commercial!$E$5:$AD$5,0))*billion_kw_to_MW</f>
        <v/>
      </c>
      <c r="J104">
        <f>INDEX(AEO26_Table_22._Commercial!$E$6:$AD$81,MATCH($A104,AEO26_Table_22._Commercial!$B$6:$B$81,0),MATCH(J$82,AEO26_Table_22._Commercial!$E$5:$AD$5,0))*billion_kw_to_MW</f>
        <v/>
      </c>
      <c r="K104">
        <f>INDEX(AEO26_Table_22._Commercial!$E$6:$AD$81,MATCH($A104,AEO26_Table_22._Commercial!$B$6:$B$81,0),MATCH(K$82,AEO26_Table_22._Commercial!$E$5:$AD$5,0))*billion_kw_to_MW</f>
        <v/>
      </c>
      <c r="L104">
        <f>INDEX(AEO26_Table_22._Commercial!$E$6:$AD$81,MATCH($A104,AEO26_Table_22._Commercial!$B$6:$B$81,0),MATCH(L$82,AEO26_Table_22._Commercial!$E$5:$AD$5,0))*billion_kw_to_MW</f>
        <v/>
      </c>
      <c r="M104">
        <f>INDEX(AEO26_Table_22._Commercial!$E$6:$AD$81,MATCH($A104,AEO26_Table_22._Commercial!$B$6:$B$81,0),MATCH(M$82,AEO26_Table_22._Commercial!$E$5:$AD$5,0))*billion_kw_to_MW</f>
        <v/>
      </c>
      <c r="N104">
        <f>INDEX(AEO26_Table_22._Commercial!$E$6:$AD$81,MATCH($A104,AEO26_Table_22._Commercial!$B$6:$B$81,0),MATCH(N$82,AEO26_Table_22._Commercial!$E$5:$AD$5,0))*billion_kw_to_MW</f>
        <v/>
      </c>
      <c r="O104">
        <f>INDEX(AEO26_Table_22._Commercial!$E$6:$AD$81,MATCH($A104,AEO26_Table_22._Commercial!$B$6:$B$81,0),MATCH(O$82,AEO26_Table_22._Commercial!$E$5:$AD$5,0))*billion_kw_to_MW</f>
        <v/>
      </c>
      <c r="P104">
        <f>INDEX(AEO26_Table_22._Commercial!$E$6:$AD$81,MATCH($A104,AEO26_Table_22._Commercial!$B$6:$B$81,0),MATCH(P$82,AEO26_Table_22._Commercial!$E$5:$AD$5,0))*billion_kw_to_MW</f>
        <v/>
      </c>
      <c r="Q104">
        <f>INDEX(AEO26_Table_22._Commercial!$E$6:$AD$81,MATCH($A104,AEO26_Table_22._Commercial!$B$6:$B$81,0),MATCH(Q$82,AEO26_Table_22._Commercial!$E$5:$AD$5,0))*billion_kw_to_MW</f>
        <v/>
      </c>
      <c r="R104">
        <f>INDEX(AEO26_Table_22._Commercial!$E$6:$AD$81,MATCH($A104,AEO26_Table_22._Commercial!$B$6:$B$81,0),MATCH(R$82,AEO26_Table_22._Commercial!$E$5:$AD$5,0))*billion_kw_to_MW</f>
        <v/>
      </c>
      <c r="S104">
        <f>INDEX(AEO26_Table_22._Commercial!$E$6:$AD$81,MATCH($A104,AEO26_Table_22._Commercial!$B$6:$B$81,0),MATCH(S$82,AEO26_Table_22._Commercial!$E$5:$AD$5,0))*billion_kw_to_MW</f>
        <v/>
      </c>
      <c r="T104">
        <f>INDEX(AEO26_Table_22._Commercial!$E$6:$AD$81,MATCH($A104,AEO26_Table_22._Commercial!$B$6:$B$81,0),MATCH(T$82,AEO26_Table_22._Commercial!$E$5:$AD$5,0))*billion_kw_to_MW</f>
        <v/>
      </c>
      <c r="U104">
        <f>INDEX(AEO26_Table_22._Commercial!$E$6:$AD$81,MATCH($A104,AEO26_Table_22._Commercial!$B$6:$B$81,0),MATCH(U$82,AEO26_Table_22._Commercial!$E$5:$AD$5,0))*billion_kw_to_MW</f>
        <v/>
      </c>
      <c r="V104">
        <f>INDEX(AEO26_Table_22._Commercial!$E$6:$AD$81,MATCH($A104,AEO26_Table_22._Commercial!$B$6:$B$81,0),MATCH(V$82,AEO26_Table_22._Commercial!$E$5:$AD$5,0))*billion_kw_to_MW</f>
        <v/>
      </c>
      <c r="W104">
        <f>INDEX(AEO26_Table_22._Commercial!$E$6:$AD$81,MATCH($A104,AEO26_Table_22._Commercial!$B$6:$B$81,0),MATCH(W$82,AEO26_Table_22._Commercial!$E$5:$AD$5,0))*billion_kw_to_MW</f>
        <v/>
      </c>
      <c r="X104">
        <f>INDEX(AEO26_Table_22._Commercial!$E$6:$AD$81,MATCH($A104,AEO26_Table_22._Commercial!$B$6:$B$81,0),MATCH(X$82,AEO26_Table_22._Commercial!$E$5:$AD$5,0))*billion_kw_to_MW</f>
        <v/>
      </c>
      <c r="Y104">
        <f>INDEX(AEO26_Table_22._Commercial!$E$6:$AD$81,MATCH($A104,AEO26_Table_22._Commercial!$B$6:$B$81,0),MATCH(Y$82,AEO26_Table_22._Commercial!$E$5:$AD$5,0))*billion_kw_to_MW</f>
        <v/>
      </c>
      <c r="Z104">
        <f>INDEX(AEO26_Table_22._Commercial!$E$6:$AD$81,MATCH($A104,AEO26_Table_22._Commercial!$B$6:$B$81,0),MATCH(Z$82,AEO26_Table_22._Commercial!$E$5:$AD$5,0))*billion_kw_to_MW</f>
        <v/>
      </c>
      <c r="AA104">
        <f>INDEX(AEO26_Table_22._Commercial!$E$6:$AD$81,MATCH($A104,AEO26_Table_22._Commercial!$B$6:$B$81,0),MATCH(AA$82,AEO26_Table_22._Commercial!$E$5:$AD$5,0))*billion_kw_to_MW</f>
        <v/>
      </c>
      <c r="AB104">
        <f>INDEX(AEO26_Table_22._Commercial!$E$6:$AD$81,MATCH($A104,AEO26_Table_22._Commercial!$B$6:$B$81,0),MATCH(AB$82,AEO26_Table_22._Commercial!$E$5:$AD$5,0))*billion_kw_to_MW</f>
        <v/>
      </c>
      <c r="AC104">
        <f>INDEX(AEO26_Table_22._Commercial!$E$6:$AD$81,MATCH($A104,AEO26_Table_22._Commercial!$B$6:$B$81,0),MATCH(AC$82,AEO26_Table_22._Commercial!$E$5:$AD$5,0))*billion_kw_to_MW</f>
        <v/>
      </c>
      <c r="AD104">
        <f>INDEX(AEO26_Table_22._Commercial!$E$6:$AD$81,MATCH($A104,AEO26_Table_22._Commercial!$B$6:$B$81,0),MATCH(AD$82,AEO26_Table_22._Commercial!$E$5:$AD$5,0))*billion_kw_to_MW</f>
        <v/>
      </c>
      <c r="AE104">
        <f>INDEX(AEO26_Table_22._Commercial!$E$6:$AD$81,MATCH($A104,AEO26_Table_22._Commercial!$B$6:$B$81,0),MATCH(AE$82,AEO26_Table_22._Commercial!$E$5:$AD$5,0))*billion_kw_to_MW</f>
        <v/>
      </c>
    </row>
    <row r="105">
      <c r="C105" t="inlineStr">
        <is>
          <t>nuclear</t>
        </is>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row>
    <row r="106">
      <c r="C106" t="inlineStr">
        <is>
          <t>hydro</t>
        </is>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row>
    <row r="107">
      <c r="A107" t="inlineStr">
        <is>
          <t>Commercial: Combined Heat and Power: Net Generation: Wind: Alternative Electricity and Transportation</t>
        </is>
      </c>
      <c r="B107" t="inlineStr">
        <is>
          <t>Commercial: Combined Heat and Power: Net Generation: Wind: High Zero-Carbon Technology Cost</t>
        </is>
      </c>
      <c r="C107" t="inlineStr">
        <is>
          <t>onshore wind</t>
        </is>
      </c>
      <c r="D107">
        <f>AEO23_table_22._Comm!G69*billion_kw_to_MW</f>
        <v/>
      </c>
      <c r="E107">
        <f>INDEX(AEO25_Table_22._Commercial!$F$59:$AG$71,MATCH($B107,AEO25_Table_22._Commercial!$B$59:$B$71,0),MATCH(E$82,AEO25_Table_22._Commercial!$F$5:$AG$5,0))*billion_kw_to_MW</f>
        <v/>
      </c>
      <c r="F107">
        <f>INDEX(AEO26_Table_22._Commercial!$E$6:$AD$81,MATCH($A107,AEO26_Table_22._Commercial!$B$6:$B$81,0),MATCH(F$82,AEO26_Table_22._Commercial!$E$5:$AD$5,0))*billion_kw_to_MW</f>
        <v/>
      </c>
      <c r="G107">
        <f>INDEX(AEO26_Table_22._Commercial!$E$6:$AD$81,MATCH($A107,AEO26_Table_22._Commercial!$B$6:$B$81,0),MATCH(G$82,AEO26_Table_22._Commercial!$E$5:$AD$5,0))*billion_kw_to_MW</f>
        <v/>
      </c>
      <c r="H107">
        <f>INDEX(AEO26_Table_22._Commercial!$E$6:$AD$81,MATCH($A107,AEO26_Table_22._Commercial!$B$6:$B$81,0),MATCH(H$82,AEO26_Table_22._Commercial!$E$5:$AD$5,0))*billion_kw_to_MW</f>
        <v/>
      </c>
      <c r="I107">
        <f>INDEX(AEO26_Table_22._Commercial!$E$6:$AD$81,MATCH($A107,AEO26_Table_22._Commercial!$B$6:$B$81,0),MATCH(I$82,AEO26_Table_22._Commercial!$E$5:$AD$5,0))*billion_kw_to_MW</f>
        <v/>
      </c>
      <c r="J107">
        <f>INDEX(AEO26_Table_22._Commercial!$E$6:$AD$81,MATCH($A107,AEO26_Table_22._Commercial!$B$6:$B$81,0),MATCH(J$82,AEO26_Table_22._Commercial!$E$5:$AD$5,0))*billion_kw_to_MW</f>
        <v/>
      </c>
      <c r="K107">
        <f>INDEX(AEO26_Table_22._Commercial!$E$6:$AD$81,MATCH($A107,AEO26_Table_22._Commercial!$B$6:$B$81,0),MATCH(K$82,AEO26_Table_22._Commercial!$E$5:$AD$5,0))*billion_kw_to_MW</f>
        <v/>
      </c>
      <c r="L107">
        <f>INDEX(AEO26_Table_22._Commercial!$E$6:$AD$81,MATCH($A107,AEO26_Table_22._Commercial!$B$6:$B$81,0),MATCH(L$82,AEO26_Table_22._Commercial!$E$5:$AD$5,0))*billion_kw_to_MW</f>
        <v/>
      </c>
      <c r="M107">
        <f>INDEX(AEO26_Table_22._Commercial!$E$6:$AD$81,MATCH($A107,AEO26_Table_22._Commercial!$B$6:$B$81,0),MATCH(M$82,AEO26_Table_22._Commercial!$E$5:$AD$5,0))*billion_kw_to_MW</f>
        <v/>
      </c>
      <c r="N107">
        <f>INDEX(AEO26_Table_22._Commercial!$E$6:$AD$81,MATCH($A107,AEO26_Table_22._Commercial!$B$6:$B$81,0),MATCH(N$82,AEO26_Table_22._Commercial!$E$5:$AD$5,0))*billion_kw_to_MW</f>
        <v/>
      </c>
      <c r="O107">
        <f>INDEX(AEO26_Table_22._Commercial!$E$6:$AD$81,MATCH($A107,AEO26_Table_22._Commercial!$B$6:$B$81,0),MATCH(O$82,AEO26_Table_22._Commercial!$E$5:$AD$5,0))*billion_kw_to_MW</f>
        <v/>
      </c>
      <c r="P107">
        <f>INDEX(AEO26_Table_22._Commercial!$E$6:$AD$81,MATCH($A107,AEO26_Table_22._Commercial!$B$6:$B$81,0),MATCH(P$82,AEO26_Table_22._Commercial!$E$5:$AD$5,0))*billion_kw_to_MW</f>
        <v/>
      </c>
      <c r="Q107">
        <f>INDEX(AEO26_Table_22._Commercial!$E$6:$AD$81,MATCH($A107,AEO26_Table_22._Commercial!$B$6:$B$81,0),MATCH(Q$82,AEO26_Table_22._Commercial!$E$5:$AD$5,0))*billion_kw_to_MW</f>
        <v/>
      </c>
      <c r="R107">
        <f>INDEX(AEO26_Table_22._Commercial!$E$6:$AD$81,MATCH($A107,AEO26_Table_22._Commercial!$B$6:$B$81,0),MATCH(R$82,AEO26_Table_22._Commercial!$E$5:$AD$5,0))*billion_kw_to_MW</f>
        <v/>
      </c>
      <c r="S107">
        <f>INDEX(AEO26_Table_22._Commercial!$E$6:$AD$81,MATCH($A107,AEO26_Table_22._Commercial!$B$6:$B$81,0),MATCH(S$82,AEO26_Table_22._Commercial!$E$5:$AD$5,0))*billion_kw_to_MW</f>
        <v/>
      </c>
      <c r="T107">
        <f>INDEX(AEO26_Table_22._Commercial!$E$6:$AD$81,MATCH($A107,AEO26_Table_22._Commercial!$B$6:$B$81,0),MATCH(T$82,AEO26_Table_22._Commercial!$E$5:$AD$5,0))*billion_kw_to_MW</f>
        <v/>
      </c>
      <c r="U107">
        <f>INDEX(AEO26_Table_22._Commercial!$E$6:$AD$81,MATCH($A107,AEO26_Table_22._Commercial!$B$6:$B$81,0),MATCH(U$82,AEO26_Table_22._Commercial!$E$5:$AD$5,0))*billion_kw_to_MW</f>
        <v/>
      </c>
      <c r="V107">
        <f>INDEX(AEO26_Table_22._Commercial!$E$6:$AD$81,MATCH($A107,AEO26_Table_22._Commercial!$B$6:$B$81,0),MATCH(V$82,AEO26_Table_22._Commercial!$E$5:$AD$5,0))*billion_kw_to_MW</f>
        <v/>
      </c>
      <c r="W107">
        <f>INDEX(AEO26_Table_22._Commercial!$E$6:$AD$81,MATCH($A107,AEO26_Table_22._Commercial!$B$6:$B$81,0),MATCH(W$82,AEO26_Table_22._Commercial!$E$5:$AD$5,0))*billion_kw_to_MW</f>
        <v/>
      </c>
      <c r="X107">
        <f>INDEX(AEO26_Table_22._Commercial!$E$6:$AD$81,MATCH($A107,AEO26_Table_22._Commercial!$B$6:$B$81,0),MATCH(X$82,AEO26_Table_22._Commercial!$E$5:$AD$5,0))*billion_kw_to_MW</f>
        <v/>
      </c>
      <c r="Y107">
        <f>INDEX(AEO26_Table_22._Commercial!$E$6:$AD$81,MATCH($A107,AEO26_Table_22._Commercial!$B$6:$B$81,0),MATCH(Y$82,AEO26_Table_22._Commercial!$E$5:$AD$5,0))*billion_kw_to_MW</f>
        <v/>
      </c>
      <c r="Z107">
        <f>INDEX(AEO26_Table_22._Commercial!$E$6:$AD$81,MATCH($A107,AEO26_Table_22._Commercial!$B$6:$B$81,0),MATCH(Z$82,AEO26_Table_22._Commercial!$E$5:$AD$5,0))*billion_kw_to_MW</f>
        <v/>
      </c>
      <c r="AA107">
        <f>INDEX(AEO26_Table_22._Commercial!$E$6:$AD$81,MATCH($A107,AEO26_Table_22._Commercial!$B$6:$B$81,0),MATCH(AA$82,AEO26_Table_22._Commercial!$E$5:$AD$5,0))*billion_kw_to_MW</f>
        <v/>
      </c>
      <c r="AB107">
        <f>INDEX(AEO26_Table_22._Commercial!$E$6:$AD$81,MATCH($A107,AEO26_Table_22._Commercial!$B$6:$B$81,0),MATCH(AB$82,AEO26_Table_22._Commercial!$E$5:$AD$5,0))*billion_kw_to_MW</f>
        <v/>
      </c>
      <c r="AC107">
        <f>INDEX(AEO26_Table_22._Commercial!$E$6:$AD$81,MATCH($A107,AEO26_Table_22._Commercial!$B$6:$B$81,0),MATCH(AC$82,AEO26_Table_22._Commercial!$E$5:$AD$5,0))*billion_kw_to_MW</f>
        <v/>
      </c>
      <c r="AD107">
        <f>INDEX(AEO26_Table_22._Commercial!$E$6:$AD$81,MATCH($A107,AEO26_Table_22._Commercial!$B$6:$B$81,0),MATCH(AD$82,AEO26_Table_22._Commercial!$E$5:$AD$5,0))*billion_kw_to_MW</f>
        <v/>
      </c>
      <c r="AE107">
        <f>INDEX(AEO26_Table_22._Commercial!$E$6:$AD$81,MATCH($A107,AEO26_Table_22._Commercial!$B$6:$B$81,0),MATCH(AE$82,AEO26_Table_22._Commercial!$E$5:$AD$5,0))*billion_kw_to_MW</f>
        <v/>
      </c>
    </row>
    <row r="108">
      <c r="A108" t="inlineStr">
        <is>
          <t>Commercial: Combined Heat and Power: Net Generation: Solar Photovoltaic: Alternative Electricity and Transportation</t>
        </is>
      </c>
      <c r="B108" t="inlineStr">
        <is>
          <t>Commercial: Combined Heat and Power: Net Generation: Solar Photovoltaic: High Zero-Carbon Technology Cost</t>
        </is>
      </c>
      <c r="C108" t="inlineStr">
        <is>
          <t>solar PV</t>
        </is>
      </c>
      <c r="D108">
        <f>AEO23_table_22._Comm!G68*billion_kw_to_MW</f>
        <v/>
      </c>
      <c r="E108">
        <f>INDEX(AEO25_Table_22._Commercial!$F$59:$AG$71,MATCH($B108,AEO25_Table_22._Commercial!$B$59:$B$71,0),MATCH(E$82,AEO25_Table_22._Commercial!$F$5:$AG$5,0))*billion_kw_to_MW</f>
        <v/>
      </c>
      <c r="F108">
        <f>INDEX(AEO26_Table_22._Commercial!$E$6:$AD$81,MATCH($A108,AEO26_Table_22._Commercial!$B$6:$B$81,0),MATCH(F$82,AEO26_Table_22._Commercial!$E$5:$AD$5,0))*billion_kw_to_MW</f>
        <v/>
      </c>
      <c r="G108">
        <f>INDEX(AEO26_Table_22._Commercial!$E$6:$AD$81,MATCH($A108,AEO26_Table_22._Commercial!$B$6:$B$81,0),MATCH(G$82,AEO26_Table_22._Commercial!$E$5:$AD$5,0))*billion_kw_to_MW</f>
        <v/>
      </c>
      <c r="H108">
        <f>INDEX(AEO26_Table_22._Commercial!$E$6:$AD$81,MATCH($A108,AEO26_Table_22._Commercial!$B$6:$B$81,0),MATCH(H$82,AEO26_Table_22._Commercial!$E$5:$AD$5,0))*billion_kw_to_MW</f>
        <v/>
      </c>
      <c r="I108">
        <f>INDEX(AEO26_Table_22._Commercial!$E$6:$AD$81,MATCH($A108,AEO26_Table_22._Commercial!$B$6:$B$81,0),MATCH(I$82,AEO26_Table_22._Commercial!$E$5:$AD$5,0))*billion_kw_to_MW</f>
        <v/>
      </c>
      <c r="J108">
        <f>INDEX(AEO26_Table_22._Commercial!$E$6:$AD$81,MATCH($A108,AEO26_Table_22._Commercial!$B$6:$B$81,0),MATCH(J$82,AEO26_Table_22._Commercial!$E$5:$AD$5,0))*billion_kw_to_MW</f>
        <v/>
      </c>
      <c r="K108">
        <f>INDEX(AEO26_Table_22._Commercial!$E$6:$AD$81,MATCH($A108,AEO26_Table_22._Commercial!$B$6:$B$81,0),MATCH(K$82,AEO26_Table_22._Commercial!$E$5:$AD$5,0))*billion_kw_to_MW</f>
        <v/>
      </c>
      <c r="L108">
        <f>INDEX(AEO26_Table_22._Commercial!$E$6:$AD$81,MATCH($A108,AEO26_Table_22._Commercial!$B$6:$B$81,0),MATCH(L$82,AEO26_Table_22._Commercial!$E$5:$AD$5,0))*billion_kw_to_MW</f>
        <v/>
      </c>
      <c r="M108">
        <f>INDEX(AEO26_Table_22._Commercial!$E$6:$AD$81,MATCH($A108,AEO26_Table_22._Commercial!$B$6:$B$81,0),MATCH(M$82,AEO26_Table_22._Commercial!$E$5:$AD$5,0))*billion_kw_to_MW</f>
        <v/>
      </c>
      <c r="N108">
        <f>INDEX(AEO26_Table_22._Commercial!$E$6:$AD$81,MATCH($A108,AEO26_Table_22._Commercial!$B$6:$B$81,0),MATCH(N$82,AEO26_Table_22._Commercial!$E$5:$AD$5,0))*billion_kw_to_MW</f>
        <v/>
      </c>
      <c r="O108">
        <f>INDEX(AEO26_Table_22._Commercial!$E$6:$AD$81,MATCH($A108,AEO26_Table_22._Commercial!$B$6:$B$81,0),MATCH(O$82,AEO26_Table_22._Commercial!$E$5:$AD$5,0))*billion_kw_to_MW</f>
        <v/>
      </c>
      <c r="P108">
        <f>INDEX(AEO26_Table_22._Commercial!$E$6:$AD$81,MATCH($A108,AEO26_Table_22._Commercial!$B$6:$B$81,0),MATCH(P$82,AEO26_Table_22._Commercial!$E$5:$AD$5,0))*billion_kw_to_MW</f>
        <v/>
      </c>
      <c r="Q108">
        <f>INDEX(AEO26_Table_22._Commercial!$E$6:$AD$81,MATCH($A108,AEO26_Table_22._Commercial!$B$6:$B$81,0),MATCH(Q$82,AEO26_Table_22._Commercial!$E$5:$AD$5,0))*billion_kw_to_MW</f>
        <v/>
      </c>
      <c r="R108">
        <f>INDEX(AEO26_Table_22._Commercial!$E$6:$AD$81,MATCH($A108,AEO26_Table_22._Commercial!$B$6:$B$81,0),MATCH(R$82,AEO26_Table_22._Commercial!$E$5:$AD$5,0))*billion_kw_to_MW</f>
        <v/>
      </c>
      <c r="S108">
        <f>INDEX(AEO26_Table_22._Commercial!$E$6:$AD$81,MATCH($A108,AEO26_Table_22._Commercial!$B$6:$B$81,0),MATCH(S$82,AEO26_Table_22._Commercial!$E$5:$AD$5,0))*billion_kw_to_MW</f>
        <v/>
      </c>
      <c r="T108">
        <f>INDEX(AEO26_Table_22._Commercial!$E$6:$AD$81,MATCH($A108,AEO26_Table_22._Commercial!$B$6:$B$81,0),MATCH(T$82,AEO26_Table_22._Commercial!$E$5:$AD$5,0))*billion_kw_to_MW</f>
        <v/>
      </c>
      <c r="U108">
        <f>INDEX(AEO26_Table_22._Commercial!$E$6:$AD$81,MATCH($A108,AEO26_Table_22._Commercial!$B$6:$B$81,0),MATCH(U$82,AEO26_Table_22._Commercial!$E$5:$AD$5,0))*billion_kw_to_MW</f>
        <v/>
      </c>
      <c r="V108">
        <f>INDEX(AEO26_Table_22._Commercial!$E$6:$AD$81,MATCH($A108,AEO26_Table_22._Commercial!$B$6:$B$81,0),MATCH(V$82,AEO26_Table_22._Commercial!$E$5:$AD$5,0))*billion_kw_to_MW</f>
        <v/>
      </c>
      <c r="W108">
        <f>INDEX(AEO26_Table_22._Commercial!$E$6:$AD$81,MATCH($A108,AEO26_Table_22._Commercial!$B$6:$B$81,0),MATCH(W$82,AEO26_Table_22._Commercial!$E$5:$AD$5,0))*billion_kw_to_MW</f>
        <v/>
      </c>
      <c r="X108">
        <f>INDEX(AEO26_Table_22._Commercial!$E$6:$AD$81,MATCH($A108,AEO26_Table_22._Commercial!$B$6:$B$81,0),MATCH(X$82,AEO26_Table_22._Commercial!$E$5:$AD$5,0))*billion_kw_to_MW</f>
        <v/>
      </c>
      <c r="Y108">
        <f>INDEX(AEO26_Table_22._Commercial!$E$6:$AD$81,MATCH($A108,AEO26_Table_22._Commercial!$B$6:$B$81,0),MATCH(Y$82,AEO26_Table_22._Commercial!$E$5:$AD$5,0))*billion_kw_to_MW</f>
        <v/>
      </c>
      <c r="Z108">
        <f>INDEX(AEO26_Table_22._Commercial!$E$6:$AD$81,MATCH($A108,AEO26_Table_22._Commercial!$B$6:$B$81,0),MATCH(Z$82,AEO26_Table_22._Commercial!$E$5:$AD$5,0))*billion_kw_to_MW</f>
        <v/>
      </c>
      <c r="AA108">
        <f>INDEX(AEO26_Table_22._Commercial!$E$6:$AD$81,MATCH($A108,AEO26_Table_22._Commercial!$B$6:$B$81,0),MATCH(AA$82,AEO26_Table_22._Commercial!$E$5:$AD$5,0))*billion_kw_to_MW</f>
        <v/>
      </c>
      <c r="AB108">
        <f>INDEX(AEO26_Table_22._Commercial!$E$6:$AD$81,MATCH($A108,AEO26_Table_22._Commercial!$B$6:$B$81,0),MATCH(AB$82,AEO26_Table_22._Commercial!$E$5:$AD$5,0))*billion_kw_to_MW</f>
        <v/>
      </c>
      <c r="AC108">
        <f>INDEX(AEO26_Table_22._Commercial!$E$6:$AD$81,MATCH($A108,AEO26_Table_22._Commercial!$B$6:$B$81,0),MATCH(AC$82,AEO26_Table_22._Commercial!$E$5:$AD$5,0))*billion_kw_to_MW</f>
        <v/>
      </c>
      <c r="AD108">
        <f>INDEX(AEO26_Table_22._Commercial!$E$6:$AD$81,MATCH($A108,AEO26_Table_22._Commercial!$B$6:$B$81,0),MATCH(AD$82,AEO26_Table_22._Commercial!$E$5:$AD$5,0))*billion_kw_to_MW</f>
        <v/>
      </c>
      <c r="AE108">
        <f>INDEX(AEO26_Table_22._Commercial!$E$6:$AD$81,MATCH($A108,AEO26_Table_22._Commercial!$B$6:$B$81,0),MATCH(AE$82,AEO26_Table_22._Commercial!$E$5:$AD$5,0))*billion_kw_to_MW</f>
        <v/>
      </c>
    </row>
    <row r="109">
      <c r="C109" t="inlineStr">
        <is>
          <t>solar thermal</t>
        </is>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row>
    <row r="110">
      <c r="C110" t="inlineStr">
        <is>
          <t>biomass</t>
        </is>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row>
    <row r="111">
      <c r="C111" t="inlineStr">
        <is>
          <t>geothermal</t>
        </is>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row>
    <row r="112">
      <c r="A112" t="inlineStr">
        <is>
          <t>Commercial: Combined Heat and Power: Net Generation: Petroleum: Alternative Electricity and Transportation</t>
        </is>
      </c>
      <c r="B112" t="inlineStr">
        <is>
          <t>Commercial: Combined Heat and Power: Net Generation: Petroleum: High Zero-Carbon Technology Cost</t>
        </is>
      </c>
      <c r="C112" t="inlineStr">
        <is>
          <t>petroleum</t>
        </is>
      </c>
      <c r="D112">
        <f>AEO23_table_22._Comm!G66*billion_kw_to_MW</f>
        <v/>
      </c>
      <c r="E112">
        <f>INDEX(AEO25_Table_22._Commercial!$F$59:$AG$71,MATCH($B112,AEO25_Table_22._Commercial!$B$59:$B$71,0),MATCH(E$82,AEO25_Table_22._Commercial!$F$5:$AG$5,0))*billion_kw_to_MW</f>
        <v/>
      </c>
      <c r="F112">
        <f>INDEX(AEO26_Table_22._Commercial!$E$6:$AD$81,MATCH($A112,AEO26_Table_22._Commercial!$B$6:$B$81,0),MATCH(F$82,AEO26_Table_22._Commercial!$E$5:$AD$5,0))*billion_kw_to_MW</f>
        <v/>
      </c>
      <c r="G112">
        <f>INDEX(AEO26_Table_22._Commercial!$E$6:$AD$81,MATCH($A112,AEO26_Table_22._Commercial!$B$6:$B$81,0),MATCH(G$82,AEO26_Table_22._Commercial!$E$5:$AD$5,0))*billion_kw_to_MW</f>
        <v/>
      </c>
      <c r="H112">
        <f>INDEX(AEO26_Table_22._Commercial!$E$6:$AD$81,MATCH($A112,AEO26_Table_22._Commercial!$B$6:$B$81,0),MATCH(H$82,AEO26_Table_22._Commercial!$E$5:$AD$5,0))*billion_kw_to_MW</f>
        <v/>
      </c>
      <c r="I112">
        <f>INDEX(AEO26_Table_22._Commercial!$E$6:$AD$81,MATCH($A112,AEO26_Table_22._Commercial!$B$6:$B$81,0),MATCH(I$82,AEO26_Table_22._Commercial!$E$5:$AD$5,0))*billion_kw_to_MW</f>
        <v/>
      </c>
      <c r="J112">
        <f>INDEX(AEO26_Table_22._Commercial!$E$6:$AD$81,MATCH($A112,AEO26_Table_22._Commercial!$B$6:$B$81,0),MATCH(J$82,AEO26_Table_22._Commercial!$E$5:$AD$5,0))*billion_kw_to_MW</f>
        <v/>
      </c>
      <c r="K112">
        <f>INDEX(AEO26_Table_22._Commercial!$E$6:$AD$81,MATCH($A112,AEO26_Table_22._Commercial!$B$6:$B$81,0),MATCH(K$82,AEO26_Table_22._Commercial!$E$5:$AD$5,0))*billion_kw_to_MW</f>
        <v/>
      </c>
      <c r="L112">
        <f>INDEX(AEO26_Table_22._Commercial!$E$6:$AD$81,MATCH($A112,AEO26_Table_22._Commercial!$B$6:$B$81,0),MATCH(L$82,AEO26_Table_22._Commercial!$E$5:$AD$5,0))*billion_kw_to_MW</f>
        <v/>
      </c>
      <c r="M112">
        <f>INDEX(AEO26_Table_22._Commercial!$E$6:$AD$81,MATCH($A112,AEO26_Table_22._Commercial!$B$6:$B$81,0),MATCH(M$82,AEO26_Table_22._Commercial!$E$5:$AD$5,0))*billion_kw_to_MW</f>
        <v/>
      </c>
      <c r="N112">
        <f>INDEX(AEO26_Table_22._Commercial!$E$6:$AD$81,MATCH($A112,AEO26_Table_22._Commercial!$B$6:$B$81,0),MATCH(N$82,AEO26_Table_22._Commercial!$E$5:$AD$5,0))*billion_kw_to_MW</f>
        <v/>
      </c>
      <c r="O112">
        <f>INDEX(AEO26_Table_22._Commercial!$E$6:$AD$81,MATCH($A112,AEO26_Table_22._Commercial!$B$6:$B$81,0),MATCH(O$82,AEO26_Table_22._Commercial!$E$5:$AD$5,0))*billion_kw_to_MW</f>
        <v/>
      </c>
      <c r="P112">
        <f>INDEX(AEO26_Table_22._Commercial!$E$6:$AD$81,MATCH($A112,AEO26_Table_22._Commercial!$B$6:$B$81,0),MATCH(P$82,AEO26_Table_22._Commercial!$E$5:$AD$5,0))*billion_kw_to_MW</f>
        <v/>
      </c>
      <c r="Q112">
        <f>INDEX(AEO26_Table_22._Commercial!$E$6:$AD$81,MATCH($A112,AEO26_Table_22._Commercial!$B$6:$B$81,0),MATCH(Q$82,AEO26_Table_22._Commercial!$E$5:$AD$5,0))*billion_kw_to_MW</f>
        <v/>
      </c>
      <c r="R112">
        <f>INDEX(AEO26_Table_22._Commercial!$E$6:$AD$81,MATCH($A112,AEO26_Table_22._Commercial!$B$6:$B$81,0),MATCH(R$82,AEO26_Table_22._Commercial!$E$5:$AD$5,0))*billion_kw_to_MW</f>
        <v/>
      </c>
      <c r="S112">
        <f>INDEX(AEO26_Table_22._Commercial!$E$6:$AD$81,MATCH($A112,AEO26_Table_22._Commercial!$B$6:$B$81,0),MATCH(S$82,AEO26_Table_22._Commercial!$E$5:$AD$5,0))*billion_kw_to_MW</f>
        <v/>
      </c>
      <c r="T112">
        <f>INDEX(AEO26_Table_22._Commercial!$E$6:$AD$81,MATCH($A112,AEO26_Table_22._Commercial!$B$6:$B$81,0),MATCH(T$82,AEO26_Table_22._Commercial!$E$5:$AD$5,0))*billion_kw_to_MW</f>
        <v/>
      </c>
      <c r="U112">
        <f>INDEX(AEO26_Table_22._Commercial!$E$6:$AD$81,MATCH($A112,AEO26_Table_22._Commercial!$B$6:$B$81,0),MATCH(U$82,AEO26_Table_22._Commercial!$E$5:$AD$5,0))*billion_kw_to_MW</f>
        <v/>
      </c>
      <c r="V112">
        <f>INDEX(AEO26_Table_22._Commercial!$E$6:$AD$81,MATCH($A112,AEO26_Table_22._Commercial!$B$6:$B$81,0),MATCH(V$82,AEO26_Table_22._Commercial!$E$5:$AD$5,0))*billion_kw_to_MW</f>
        <v/>
      </c>
      <c r="W112">
        <f>INDEX(AEO26_Table_22._Commercial!$E$6:$AD$81,MATCH($A112,AEO26_Table_22._Commercial!$B$6:$B$81,0),MATCH(W$82,AEO26_Table_22._Commercial!$E$5:$AD$5,0))*billion_kw_to_MW</f>
        <v/>
      </c>
      <c r="X112">
        <f>INDEX(AEO26_Table_22._Commercial!$E$6:$AD$81,MATCH($A112,AEO26_Table_22._Commercial!$B$6:$B$81,0),MATCH(X$82,AEO26_Table_22._Commercial!$E$5:$AD$5,0))*billion_kw_to_MW</f>
        <v/>
      </c>
      <c r="Y112">
        <f>INDEX(AEO26_Table_22._Commercial!$E$6:$AD$81,MATCH($A112,AEO26_Table_22._Commercial!$B$6:$B$81,0),MATCH(Y$82,AEO26_Table_22._Commercial!$E$5:$AD$5,0))*billion_kw_to_MW</f>
        <v/>
      </c>
      <c r="Z112">
        <f>INDEX(AEO26_Table_22._Commercial!$E$6:$AD$81,MATCH($A112,AEO26_Table_22._Commercial!$B$6:$B$81,0),MATCH(Z$82,AEO26_Table_22._Commercial!$E$5:$AD$5,0))*billion_kw_to_MW</f>
        <v/>
      </c>
      <c r="AA112">
        <f>INDEX(AEO26_Table_22._Commercial!$E$6:$AD$81,MATCH($A112,AEO26_Table_22._Commercial!$B$6:$B$81,0),MATCH(AA$82,AEO26_Table_22._Commercial!$E$5:$AD$5,0))*billion_kw_to_MW</f>
        <v/>
      </c>
      <c r="AB112">
        <f>INDEX(AEO26_Table_22._Commercial!$E$6:$AD$81,MATCH($A112,AEO26_Table_22._Commercial!$B$6:$B$81,0),MATCH(AB$82,AEO26_Table_22._Commercial!$E$5:$AD$5,0))*billion_kw_to_MW</f>
        <v/>
      </c>
      <c r="AC112">
        <f>INDEX(AEO26_Table_22._Commercial!$E$6:$AD$81,MATCH($A112,AEO26_Table_22._Commercial!$B$6:$B$81,0),MATCH(AC$82,AEO26_Table_22._Commercial!$E$5:$AD$5,0))*billion_kw_to_MW</f>
        <v/>
      </c>
      <c r="AD112">
        <f>INDEX(AEO26_Table_22._Commercial!$E$6:$AD$81,MATCH($A112,AEO26_Table_22._Commercial!$B$6:$B$81,0),MATCH(AD$82,AEO26_Table_22._Commercial!$E$5:$AD$5,0))*billion_kw_to_MW</f>
        <v/>
      </c>
      <c r="AE112">
        <f>INDEX(AEO26_Table_22._Commercial!$E$6:$AD$81,MATCH($A112,AEO26_Table_22._Commercial!$B$6:$B$81,0),MATCH(AE$82,AEO26_Table_22._Commercial!$E$5:$AD$5,0))*billion_kw_to_MW</f>
        <v/>
      </c>
    </row>
    <row r="113">
      <c r="C113" t="inlineStr">
        <is>
          <t>natural gas peaker</t>
        </is>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row>
    <row r="114">
      <c r="C114" t="inlineStr">
        <is>
          <t>lignite</t>
        </is>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row>
    <row r="115">
      <c r="C115" t="inlineStr">
        <is>
          <t>offshore wind</t>
        </is>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t="n">
        <v>0</v>
      </c>
      <c r="U115" t="n">
        <v>0</v>
      </c>
      <c r="V115" t="n">
        <v>0</v>
      </c>
      <c r="W115" t="n">
        <v>0</v>
      </c>
      <c r="X115" t="n">
        <v>0</v>
      </c>
      <c r="Y115" t="n">
        <v>0</v>
      </c>
      <c r="Z115" t="n">
        <v>0</v>
      </c>
      <c r="AA115" t="n">
        <v>0</v>
      </c>
      <c r="AB115" t="n">
        <v>0</v>
      </c>
      <c r="AC115" t="n">
        <v>0</v>
      </c>
      <c r="AD115" t="n">
        <v>0</v>
      </c>
      <c r="AE115" t="n">
        <v>0</v>
      </c>
    </row>
    <row r="116">
      <c r="C116" t="inlineStr">
        <is>
          <t>crude oil</t>
        </is>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row>
    <row r="117">
      <c r="C117" t="inlineStr">
        <is>
          <t>heavy or residual fuel oil</t>
        </is>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row>
    <row r="118">
      <c r="C118" t="inlineStr">
        <is>
          <t>municipal solid waste</t>
        </is>
      </c>
      <c r="D118" t="n">
        <v>0</v>
      </c>
      <c r="E118" t="n">
        <v>0</v>
      </c>
      <c r="F118" t="n">
        <v>0</v>
      </c>
      <c r="G118" t="n">
        <v>0</v>
      </c>
      <c r="H118" t="n">
        <v>0</v>
      </c>
      <c r="I118" t="n">
        <v>0</v>
      </c>
      <c r="J118" t="n">
        <v>0</v>
      </c>
      <c r="K118" t="n">
        <v>0</v>
      </c>
      <c r="L118" t="n">
        <v>0</v>
      </c>
      <c r="M118" t="n">
        <v>0</v>
      </c>
      <c r="N118" t="n">
        <v>0</v>
      </c>
      <c r="O118" t="n">
        <v>0</v>
      </c>
      <c r="P118" t="n">
        <v>0</v>
      </c>
      <c r="Q118" t="n">
        <v>0</v>
      </c>
      <c r="R118" t="n">
        <v>0</v>
      </c>
      <c r="S118" t="n">
        <v>0</v>
      </c>
      <c r="T118" t="n">
        <v>0</v>
      </c>
      <c r="U118" t="n">
        <v>0</v>
      </c>
      <c r="V118" t="n">
        <v>0</v>
      </c>
      <c r="W118" t="n">
        <v>0</v>
      </c>
      <c r="X118" t="n">
        <v>0</v>
      </c>
      <c r="Y118" t="n">
        <v>0</v>
      </c>
      <c r="Z118" t="n">
        <v>0</v>
      </c>
      <c r="AA118" t="n">
        <v>0</v>
      </c>
      <c r="AB118" t="n">
        <v>0</v>
      </c>
      <c r="AC118" t="n">
        <v>0</v>
      </c>
      <c r="AD118" t="n">
        <v>0</v>
      </c>
      <c r="AE118" t="n">
        <v>0</v>
      </c>
    </row>
    <row r="119"/>
    <row r="120"/>
    <row r="121">
      <c r="A121" t="inlineStr">
        <is>
          <t>Residential Capacity Factor</t>
        </is>
      </c>
      <c r="D121" s="42">
        <f>D10/(D48*8760)</f>
        <v/>
      </c>
      <c r="E121" s="42">
        <f>E10/(E48*8760)</f>
        <v/>
      </c>
      <c r="F121" s="42">
        <f>F10/(F48*8760)</f>
        <v/>
      </c>
      <c r="G121" s="42">
        <f>G10/(G48*8760)</f>
        <v/>
      </c>
      <c r="H121" s="42">
        <f>H10/(H48*8760)</f>
        <v/>
      </c>
      <c r="I121" s="42">
        <f>I10/(I48*8760)</f>
        <v/>
      </c>
      <c r="J121" s="42">
        <f>J10/(J48*8760)</f>
        <v/>
      </c>
      <c r="K121" s="42">
        <f>K10/(K48*8760)</f>
        <v/>
      </c>
      <c r="L121" s="42">
        <f>L10/(L48*8760)</f>
        <v/>
      </c>
      <c r="M121" s="42">
        <f>M10/(M48*8760)</f>
        <v/>
      </c>
      <c r="N121" s="42">
        <f>N10/(N48*8760)</f>
        <v/>
      </c>
      <c r="O121" s="42">
        <f>O10/(O48*8760)</f>
        <v/>
      </c>
      <c r="P121" s="42">
        <f>P10/(P48*8760)</f>
        <v/>
      </c>
      <c r="Q121" s="42">
        <f>Q10/(Q48*8760)</f>
        <v/>
      </c>
      <c r="R121" s="42">
        <f>R10/(R48*8760)</f>
        <v/>
      </c>
      <c r="S121" s="42">
        <f>S10/(S48*8760)</f>
        <v/>
      </c>
      <c r="T121" s="42">
        <f>T10/(T48*8760)</f>
        <v/>
      </c>
      <c r="U121" s="42">
        <f>U10/(U48*8760)</f>
        <v/>
      </c>
      <c r="V121" s="42">
        <f>V10/(V48*8760)</f>
        <v/>
      </c>
      <c r="W121" s="42">
        <f>W10/(W48*8760)</f>
        <v/>
      </c>
      <c r="X121" s="42">
        <f>X10/(X48*8760)</f>
        <v/>
      </c>
      <c r="Y121" s="42">
        <f>Y10/(Y48*8760)</f>
        <v/>
      </c>
      <c r="Z121" s="42">
        <f>Z10/(Z48*8760)</f>
        <v/>
      </c>
      <c r="AA121" s="42">
        <f>AA10/(AA48*8760)</f>
        <v/>
      </c>
      <c r="AB121" s="42">
        <f>AB10/(AB48*8760)</f>
        <v/>
      </c>
      <c r="AC121" s="42">
        <f>AC10/(AC48*8760)</f>
        <v/>
      </c>
      <c r="AD121" s="42">
        <f>AD10/(AD48*8760)</f>
        <v/>
      </c>
      <c r="AE121" s="42">
        <f>AE10/(AE48*8760)</f>
        <v/>
      </c>
    </row>
  </sheetData>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tabColor rgb="FF6AA84F"/>
    <outlinePr summaryBelow="0" summaryRight="0"/>
    <pageSetUpPr/>
  </sheetPr>
  <dimension ref="A1:AL79"/>
  <sheetViews>
    <sheetView workbookViewId="0">
      <selection activeCell="A1" sqref="A1"/>
    </sheetView>
  </sheetViews>
  <sheetFormatPr baseColWidth="8" defaultColWidth="12.54296875" defaultRowHeight="15.75" customHeight="1"/>
  <cols>
    <col width="50.54296875" customWidth="1" style="34" min="1" max="1"/>
    <col width="16.40625" customWidth="1" style="34" min="2" max="2"/>
    <col width="15.26953125" customWidth="1" style="34" min="3" max="3"/>
    <col width="15.40625" customWidth="1" style="34" min="4" max="4"/>
    <col width="12.54296875" customWidth="1" style="34" min="5" max="16384"/>
  </cols>
  <sheetData>
    <row r="1" ht="14.25" customHeight="1">
      <c r="A1" s="32" t="inlineStr">
        <is>
          <t>Methodology:</t>
        </is>
      </c>
      <c r="B1" s="33" t="n"/>
      <c r="C1" s="33" t="n"/>
      <c r="D1" s="33" t="n"/>
      <c r="E1" s="33" t="n"/>
      <c r="F1" s="33" t="n"/>
      <c r="G1" s="33" t="n"/>
      <c r="H1" s="33" t="n"/>
      <c r="I1" s="33" t="n"/>
      <c r="J1" s="33" t="n"/>
      <c r="K1" s="33" t="n"/>
      <c r="L1" s="33" t="n"/>
      <c r="M1" s="33" t="n"/>
      <c r="N1" s="33" t="n"/>
      <c r="O1" s="33" t="n"/>
      <c r="P1" s="33" t="n"/>
      <c r="Q1" s="33" t="n"/>
      <c r="R1" s="33" t="n"/>
      <c r="S1" s="33" t="n"/>
      <c r="T1" s="33" t="n"/>
      <c r="U1" s="33" t="n"/>
      <c r="V1" s="33" t="n"/>
      <c r="W1" s="33" t="n"/>
      <c r="X1" s="33" t="n"/>
      <c r="Y1" s="33" t="n"/>
      <c r="Z1" s="33" t="n"/>
      <c r="AA1" s="33" t="n"/>
      <c r="AB1" s="33" t="n"/>
      <c r="AC1" s="33" t="n"/>
      <c r="AD1" s="33" t="n"/>
      <c r="AE1" s="33" t="n"/>
      <c r="AF1" s="33" t="n"/>
      <c r="AG1" s="33" t="n"/>
      <c r="AH1" s="33" t="n"/>
      <c r="AI1" s="33" t="n"/>
      <c r="AJ1" s="33" t="n"/>
      <c r="AK1" s="33" t="n"/>
      <c r="AL1" s="33" t="n"/>
    </row>
    <row r="2" ht="13.5" customHeight="1">
      <c r="A2" s="35" t="inlineStr">
        <is>
          <t>The tab includes calculations for three provisions of the Inflation Reduction Act that would increase distributed solar deployment.</t>
        </is>
      </c>
    </row>
    <row r="3" ht="13.5" customHeight="1">
      <c r="A3" s="35" t="n"/>
    </row>
    <row r="4" ht="13.5" customHeight="1">
      <c r="A4" s="35" t="inlineStr">
        <is>
          <t>The Greenhouse Gas Reduction Fund includes a $7 billion Zero Emission Technologies Grant Program, which will prioritize</t>
        </is>
      </c>
    </row>
    <row r="5" ht="13.5" customHeight="1">
      <c r="A5" s="35" t="inlineStr">
        <is>
          <t>residential and community solar projects. We assume this funding will go entirely to new distributed solar build-out, using</t>
        </is>
      </c>
    </row>
    <row r="6" ht="13.5" customHeight="1">
      <c r="A6" s="35" t="inlineStr">
        <is>
          <t>a government leverage rate of 30%.</t>
        </is>
      </c>
    </row>
    <row r="7" ht="13.5" customHeight="1">
      <c r="A7" s="35" t="n"/>
    </row>
    <row r="8" ht="13.5" customHeight="1">
      <c r="A8" s="35" t="inlineStr">
        <is>
          <t>The clean electricity tax credits include credits for solar placed in connection with low-income communities, with an annual</t>
        </is>
      </c>
    </row>
    <row r="9" ht="13.5" customHeight="1">
      <c r="A9" s="35" t="inlineStr">
        <is>
          <t>cap of 1.8 GW. We assume this will go entirely toward distributed solar.</t>
        </is>
      </c>
    </row>
    <row r="10" ht="13.5" customHeight="1">
      <c r="A10" s="35" t="n"/>
    </row>
    <row r="11" ht="13.5" customHeight="1">
      <c r="A11" s="35" t="inlineStr">
        <is>
          <t>Finally, the 25D residential tax credits provide incentives for distributed solar. We rely on analysis by RMI that suggests</t>
        </is>
      </c>
    </row>
    <row r="12" ht="13.5" customHeight="1">
      <c r="A12" s="35" t="inlineStr">
        <is>
          <t>this could lead to 1 GW per year annual additions.</t>
        </is>
      </c>
    </row>
    <row r="13" ht="13.5" customHeight="1">
      <c r="A13" s="35" t="n"/>
    </row>
    <row r="14" ht="14.25" customHeight="1">
      <c r="A14" s="32" t="inlineStr">
        <is>
          <t>Calculations:</t>
        </is>
      </c>
      <c r="B14" s="33" t="n"/>
      <c r="C14" s="33" t="n"/>
      <c r="D14" s="33" t="n"/>
      <c r="E14" s="33" t="n"/>
      <c r="F14" s="33" t="n"/>
      <c r="G14" s="33" t="n"/>
      <c r="H14" s="33" t="n"/>
      <c r="I14" s="33" t="n"/>
      <c r="J14" s="33" t="n"/>
      <c r="K14" s="33" t="n"/>
      <c r="L14" s="33" t="n"/>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row>
    <row r="15" ht="13.5" customHeight="1">
      <c r="A15" s="36" t="n"/>
      <c r="B15" s="37" t="n"/>
    </row>
    <row r="16" ht="13.5" customHeight="1">
      <c r="A16" s="35" t="inlineStr">
        <is>
          <t>$7 billion is carved out for zero-emission technologies in low income communities in the GHG Reduction fund. We adjust</t>
        </is>
      </c>
      <c r="B16" s="37" t="n"/>
    </row>
    <row r="17" ht="13.5" customHeight="1">
      <c r="A17" s="35" t="inlineStr">
        <is>
          <t xml:space="preserve">the $7 billion by the ratio of outlays to budget authority in the CBO score, and assume the same spending time frame. </t>
        </is>
      </c>
      <c r="B17" s="37" t="n"/>
    </row>
    <row r="18" ht="13.5" customHeight="1">
      <c r="A18" s="35" t="n"/>
      <c r="B18" s="37" t="n"/>
    </row>
    <row r="19" ht="13.5" customHeight="1">
      <c r="A19" s="35" t="inlineStr">
        <is>
          <t>Distributed Solar Cost, per RMI ($/watt)</t>
        </is>
      </c>
      <c r="B19" s="35" t="n">
        <v>3.3</v>
      </c>
    </row>
    <row r="20" ht="13.5" customHeight="1">
      <c r="A20" s="35" t="inlineStr">
        <is>
          <t>Government Leverage Assumption</t>
        </is>
      </c>
      <c r="B20" s="37" t="n">
        <v>0.3</v>
      </c>
    </row>
    <row r="21" ht="13.5" customHeight="1">
      <c r="A21" s="35" t="n"/>
      <c r="B21" s="37" t="n"/>
    </row>
    <row r="22" ht="13.5" customHeight="1">
      <c r="A22" s="35" t="n"/>
      <c r="B22" s="37" t="n"/>
    </row>
    <row r="23" ht="27" customHeight="1">
      <c r="A23" s="40" t="inlineStr">
        <is>
          <t>Annual Additions, low-income provision of clean energy tax credits (MW)</t>
        </is>
      </c>
      <c r="B23" s="35" t="n">
        <v>0</v>
      </c>
    </row>
    <row r="24" ht="13.5" customHeight="1">
      <c r="A24" s="35" t="inlineStr">
        <is>
          <t>Annual Additions, 25D (MW)</t>
        </is>
      </c>
      <c r="B24" s="35" t="n">
        <v>0</v>
      </c>
    </row>
    <row r="25" ht="14.75" customHeight="1">
      <c r="A25" s="39" t="n"/>
      <c r="C25" s="38" t="n"/>
    </row>
    <row r="26" ht="14.75" customFormat="1" customHeight="1" s="44">
      <c r="A26" s="43" t="inlineStr">
        <is>
          <t>Solar For All</t>
        </is>
      </c>
    </row>
    <row r="27" ht="14.75" customFormat="1" customHeight="1" s="44">
      <c r="A27" s="45" t="inlineStr">
        <is>
          <t>Solar For All</t>
        </is>
      </c>
    </row>
    <row r="28" ht="14.75" customFormat="1" customHeight="1" s="44">
      <c r="A28" s="44" t="inlineStr">
        <is>
          <t>EPA Press Release, cumulative GW distributed solar:</t>
        </is>
      </c>
      <c r="B28" s="44" t="n">
        <v>4</v>
      </c>
      <c r="C28" s="44" t="inlineStr">
        <is>
          <t>https://www.epa.gov/greenhouse-gas-reduction-fund/solar-all-fast-facts</t>
        </is>
      </c>
    </row>
    <row r="29" ht="14.75" customFormat="1" customHeight="1" s="44">
      <c r="A29" s="44" t="inlineStr">
        <is>
          <t>Funds distributed between 2025-2029</t>
        </is>
      </c>
    </row>
    <row r="30" ht="14.75" customFormat="1" customHeight="1" s="44"/>
    <row r="31" ht="14.75" customFormat="1" customHeight="1" s="44">
      <c r="B31" s="44" t="n">
        <v>2021</v>
      </c>
      <c r="C31" s="44" t="n">
        <v>2022</v>
      </c>
      <c r="D31" s="44" t="n">
        <v>2023</v>
      </c>
      <c r="E31" s="44" t="n">
        <v>2024</v>
      </c>
      <c r="F31" s="44" t="n">
        <v>2025</v>
      </c>
      <c r="G31" s="44" t="n">
        <v>2026</v>
      </c>
      <c r="H31" s="44" t="n">
        <v>2027</v>
      </c>
      <c r="I31" s="44" t="n">
        <v>2028</v>
      </c>
      <c r="J31" s="44" t="n">
        <v>2029</v>
      </c>
      <c r="K31" s="44" t="n">
        <v>2030</v>
      </c>
      <c r="L31" s="44" t="n">
        <v>2031</v>
      </c>
      <c r="M31" s="44" t="n">
        <v>2032</v>
      </c>
      <c r="N31" s="44" t="n">
        <v>2033</v>
      </c>
      <c r="O31" s="44" t="n">
        <v>2034</v>
      </c>
      <c r="P31" s="44" t="n">
        <v>2035</v>
      </c>
      <c r="Q31" s="44" t="n">
        <v>2036</v>
      </c>
      <c r="R31" s="44" t="n">
        <v>2037</v>
      </c>
      <c r="S31" s="44" t="n">
        <v>2038</v>
      </c>
      <c r="T31" s="44" t="n">
        <v>2039</v>
      </c>
      <c r="U31" s="44" t="n">
        <v>2040</v>
      </c>
      <c r="V31" s="44" t="n">
        <v>2041</v>
      </c>
      <c r="W31" s="44" t="n">
        <v>2042</v>
      </c>
      <c r="X31" s="44" t="n">
        <v>2043</v>
      </c>
      <c r="Y31" s="44" t="n">
        <v>2044</v>
      </c>
      <c r="Z31" s="44" t="n">
        <v>2045</v>
      </c>
      <c r="AA31" s="44" t="n">
        <v>2046</v>
      </c>
      <c r="AB31" s="44" t="n">
        <v>2047</v>
      </c>
      <c r="AC31" s="44" t="n">
        <v>2048</v>
      </c>
      <c r="AD31" s="44" t="n">
        <v>2049</v>
      </c>
      <c r="AE31" s="44" t="n">
        <v>2050</v>
      </c>
    </row>
    <row r="32" ht="14.75" customFormat="1" customHeight="1" s="44">
      <c r="A32" s="44" t="inlineStr">
        <is>
          <t>Additional Deployment (MW)</t>
        </is>
      </c>
      <c r="B32" s="44" t="n">
        <v>0</v>
      </c>
      <c r="C32" s="44" t="n">
        <v>0</v>
      </c>
      <c r="D32" s="44" t="n">
        <v>0</v>
      </c>
      <c r="E32" s="44" t="n">
        <v>0</v>
      </c>
      <c r="F32" s="44" t="n">
        <v>800</v>
      </c>
      <c r="G32" s="44" t="n">
        <v>800</v>
      </c>
      <c r="H32" s="44" t="n">
        <v>800</v>
      </c>
      <c r="I32" s="44" t="n">
        <v>800</v>
      </c>
      <c r="J32" s="44" t="n">
        <v>800</v>
      </c>
      <c r="K32" s="44" t="n">
        <v>0</v>
      </c>
      <c r="L32" s="44" t="n">
        <v>0</v>
      </c>
      <c r="M32" s="44" t="n">
        <v>0</v>
      </c>
      <c r="N32" s="44" t="n">
        <v>0</v>
      </c>
      <c r="O32" s="44" t="n">
        <v>0</v>
      </c>
      <c r="P32" s="44" t="n">
        <v>0</v>
      </c>
      <c r="Q32" s="44" t="n">
        <v>0</v>
      </c>
      <c r="R32" s="44" t="n">
        <v>0</v>
      </c>
      <c r="S32" s="44" t="n">
        <v>0</v>
      </c>
      <c r="T32" s="44" t="n">
        <v>0</v>
      </c>
      <c r="U32" s="44" t="n">
        <v>0</v>
      </c>
      <c r="V32" s="44" t="n">
        <v>0</v>
      </c>
      <c r="W32" s="44" t="n">
        <v>0</v>
      </c>
      <c r="X32" s="44" t="n">
        <v>0</v>
      </c>
      <c r="Y32" s="44" t="n">
        <v>0</v>
      </c>
      <c r="Z32" s="44" t="n">
        <v>0</v>
      </c>
      <c r="AA32" s="44" t="n">
        <v>0</v>
      </c>
      <c r="AB32" s="44" t="n">
        <v>0</v>
      </c>
      <c r="AC32" s="44" t="n">
        <v>0</v>
      </c>
      <c r="AD32" s="44" t="n">
        <v>0</v>
      </c>
      <c r="AE32" s="44" t="n">
        <v>0</v>
      </c>
    </row>
    <row r="33" ht="14.75" customFormat="1" customHeight="1" s="44"/>
    <row r="34" ht="14.75" customFormat="1" customHeight="1" s="44"/>
    <row r="35" ht="14.75" customFormat="1" customHeight="1" s="44">
      <c r="A35" s="43" t="inlineStr">
        <is>
          <t>Other Distributed Solar</t>
        </is>
      </c>
    </row>
    <row r="36" ht="14.75" customFormat="1" customHeight="1" s="44"/>
    <row r="37" ht="29.5" customFormat="1" customHeight="1" s="44">
      <c r="A37" s="45" t="inlineStr">
        <is>
          <t>Ratio of "Other Distributed Solar" Funds to Solar For All Funds:</t>
        </is>
      </c>
      <c r="B37" s="44" t="n">
        <v>2.480530478879699</v>
      </c>
    </row>
    <row r="38" ht="14.75" customFormat="1" customHeight="1" s="44">
      <c r="A38" s="45" t="inlineStr">
        <is>
          <t>Total GW Deployed from "Other Distributed Solar"</t>
        </is>
      </c>
      <c r="B38" s="44" t="n">
        <v>9.922121915518797</v>
      </c>
    </row>
    <row r="39" ht="14.75" customFormat="1" customHeight="1" s="44">
      <c r="A39" s="44" t="inlineStr">
        <is>
          <t>Years to Distribute Deployment:</t>
        </is>
      </c>
      <c r="B39" s="44" t="n">
        <v>7</v>
      </c>
    </row>
    <row r="40" ht="14.75" customFormat="1" customHeight="1" s="44"/>
    <row r="41" ht="14.75" customFormat="1" customHeight="1" s="44">
      <c r="B41" s="44" t="n">
        <v>2021</v>
      </c>
      <c r="C41" s="44" t="n">
        <v>2022</v>
      </c>
      <c r="D41" s="44" t="n">
        <v>2023</v>
      </c>
      <c r="E41" s="44" t="n">
        <v>2024</v>
      </c>
      <c r="F41" s="44" t="n">
        <v>2025</v>
      </c>
      <c r="G41" s="44" t="n">
        <v>2026</v>
      </c>
      <c r="H41" s="44" t="n">
        <v>2027</v>
      </c>
      <c r="I41" s="44" t="n">
        <v>2028</v>
      </c>
      <c r="J41" s="44" t="n">
        <v>2029</v>
      </c>
      <c r="K41" s="44" t="n">
        <v>2030</v>
      </c>
      <c r="L41" s="44" t="n">
        <v>2031</v>
      </c>
      <c r="M41" s="44" t="n">
        <v>2032</v>
      </c>
      <c r="N41" s="44" t="n">
        <v>2033</v>
      </c>
      <c r="O41" s="44" t="n">
        <v>2034</v>
      </c>
      <c r="P41" s="44" t="n">
        <v>2035</v>
      </c>
      <c r="Q41" s="44" t="n">
        <v>2036</v>
      </c>
      <c r="R41" s="44" t="n">
        <v>2037</v>
      </c>
      <c r="S41" s="44" t="n">
        <v>2038</v>
      </c>
      <c r="T41" s="44" t="n">
        <v>2039</v>
      </c>
      <c r="U41" s="44" t="n">
        <v>2040</v>
      </c>
      <c r="V41" s="44" t="n">
        <v>2041</v>
      </c>
      <c r="W41" s="44" t="n">
        <v>2042</v>
      </c>
      <c r="X41" s="44" t="n">
        <v>2043</v>
      </c>
      <c r="Y41" s="44" t="n">
        <v>2044</v>
      </c>
      <c r="Z41" s="44" t="n">
        <v>2045</v>
      </c>
      <c r="AA41" s="44" t="n">
        <v>2046</v>
      </c>
      <c r="AB41" s="44" t="n">
        <v>2047</v>
      </c>
      <c r="AC41" s="44" t="n">
        <v>2048</v>
      </c>
      <c r="AD41" s="44" t="n">
        <v>2049</v>
      </c>
      <c r="AE41" s="44" t="n">
        <v>2050</v>
      </c>
    </row>
    <row r="42" ht="14.75" customFormat="1" customHeight="1" s="44">
      <c r="A42" s="44" t="inlineStr">
        <is>
          <t>Additional Deployment (MW)</t>
        </is>
      </c>
      <c r="B42" s="44" t="n">
        <v>0</v>
      </c>
      <c r="C42" s="44" t="n">
        <v>0</v>
      </c>
      <c r="D42" s="44" t="n">
        <v>0</v>
      </c>
      <c r="E42" s="44" t="n">
        <v>0</v>
      </c>
      <c r="F42" s="44" t="n">
        <v>1417.445987931257</v>
      </c>
      <c r="G42" s="44" t="n">
        <v>1417.445987931257</v>
      </c>
      <c r="H42" s="44" t="n">
        <v>1417.445987931257</v>
      </c>
      <c r="I42" s="44" t="n">
        <v>1417.445987931257</v>
      </c>
      <c r="J42" s="44" t="n">
        <v>1417.445987931257</v>
      </c>
      <c r="K42" s="44" t="n">
        <v>1417.445987931257</v>
      </c>
      <c r="L42" s="44" t="n">
        <v>1417.445987931257</v>
      </c>
      <c r="M42" s="44" t="n">
        <v>0</v>
      </c>
      <c r="N42" s="44" t="n">
        <v>0</v>
      </c>
      <c r="O42" s="44" t="n">
        <v>0</v>
      </c>
      <c r="P42" s="44" t="n">
        <v>0</v>
      </c>
      <c r="Q42" s="44" t="n">
        <v>0</v>
      </c>
      <c r="R42" s="44" t="n">
        <v>0</v>
      </c>
      <c r="S42" s="44" t="n">
        <v>0</v>
      </c>
      <c r="T42" s="44" t="n">
        <v>0</v>
      </c>
      <c r="U42" s="44" t="n">
        <v>0</v>
      </c>
      <c r="V42" s="44" t="n">
        <v>0</v>
      </c>
      <c r="W42" s="44" t="n">
        <v>0</v>
      </c>
      <c r="X42" s="44" t="n">
        <v>0</v>
      </c>
      <c r="Y42" s="44" t="n">
        <v>0</v>
      </c>
      <c r="Z42" s="44" t="n">
        <v>0</v>
      </c>
      <c r="AA42" s="44" t="n">
        <v>0</v>
      </c>
      <c r="AB42" s="44" t="n">
        <v>0</v>
      </c>
      <c r="AC42" s="44" t="n">
        <v>0</v>
      </c>
      <c r="AD42" s="44" t="n">
        <v>0</v>
      </c>
      <c r="AE42" s="44" t="n">
        <v>0</v>
      </c>
    </row>
    <row r="43" ht="15.75" customFormat="1" customHeight="1" s="46"/>
    <row r="44" ht="14.75" customFormat="1" customHeight="1" s="44">
      <c r="A44" s="43" t="inlineStr">
        <is>
          <t>Justice Climate Fund</t>
        </is>
      </c>
    </row>
    <row r="45" ht="14.75" customFormat="1" customHeight="1" s="44"/>
    <row r="46" ht="14.75" customFormat="1" customHeight="1" s="44">
      <c r="A46" s="44" t="inlineStr">
        <is>
          <t>Total solar PV capacity (MW)</t>
        </is>
      </c>
      <c r="B46" s="44" t="n">
        <v>281</v>
      </c>
    </row>
    <row r="47" ht="14.75" customFormat="1" customHeight="1" s="44"/>
    <row r="48" ht="14.75" customFormat="1" customHeight="1" s="44">
      <c r="B48" s="44" t="n">
        <v>2021</v>
      </c>
      <c r="C48" s="44" t="n">
        <v>2022</v>
      </c>
      <c r="D48" s="44" t="n">
        <v>2023</v>
      </c>
      <c r="E48" s="44" t="n">
        <v>2024</v>
      </c>
      <c r="F48" s="44" t="n">
        <v>2025</v>
      </c>
      <c r="G48" s="44" t="n">
        <v>2026</v>
      </c>
      <c r="H48" s="44" t="n">
        <v>2027</v>
      </c>
      <c r="I48" s="44" t="n">
        <v>2028</v>
      </c>
      <c r="J48" s="44" t="n">
        <v>2029</v>
      </c>
      <c r="K48" s="44" t="n">
        <v>2030</v>
      </c>
      <c r="L48" s="44" t="n">
        <v>2031</v>
      </c>
      <c r="M48" s="44" t="n">
        <v>2032</v>
      </c>
      <c r="N48" s="44" t="n">
        <v>2033</v>
      </c>
      <c r="O48" s="44" t="n">
        <v>2034</v>
      </c>
      <c r="P48" s="44" t="n">
        <v>2035</v>
      </c>
      <c r="Q48" s="44" t="n">
        <v>2036</v>
      </c>
      <c r="R48" s="44" t="n">
        <v>2037</v>
      </c>
      <c r="S48" s="44" t="n">
        <v>2038</v>
      </c>
      <c r="T48" s="44" t="n">
        <v>2039</v>
      </c>
      <c r="U48" s="44" t="n">
        <v>2040</v>
      </c>
      <c r="V48" s="44" t="n">
        <v>2041</v>
      </c>
      <c r="W48" s="44" t="n">
        <v>2042</v>
      </c>
      <c r="X48" s="44" t="n">
        <v>2043</v>
      </c>
      <c r="Y48" s="44" t="n">
        <v>2044</v>
      </c>
      <c r="Z48" s="44" t="n">
        <v>2045</v>
      </c>
      <c r="AA48" s="44" t="n">
        <v>2046</v>
      </c>
      <c r="AB48" s="44" t="n">
        <v>2047</v>
      </c>
      <c r="AC48" s="44" t="n">
        <v>2048</v>
      </c>
      <c r="AD48" s="44" t="n">
        <v>2049</v>
      </c>
      <c r="AE48" s="44" t="n">
        <v>2050</v>
      </c>
    </row>
    <row r="49" ht="14.75" customFormat="1" customHeight="1" s="44">
      <c r="A49" s="44" t="inlineStr">
        <is>
          <t>Additional Deployment (MW)</t>
        </is>
      </c>
      <c r="B49" s="44" t="n">
        <v>0</v>
      </c>
      <c r="C49" s="44" t="n">
        <v>0</v>
      </c>
      <c r="D49" s="44" t="n">
        <v>0</v>
      </c>
      <c r="E49" s="44" t="n">
        <v>0</v>
      </c>
      <c r="F49" s="44" t="n">
        <v>40.14285714285715</v>
      </c>
      <c r="G49" s="44" t="n">
        <v>40.14285714285715</v>
      </c>
      <c r="H49" s="44" t="n">
        <v>40.14285714285715</v>
      </c>
      <c r="I49" s="44" t="n">
        <v>40.14285714285715</v>
      </c>
      <c r="J49" s="44" t="n">
        <v>40.14285714285715</v>
      </c>
      <c r="K49" s="44" t="n">
        <v>40.14285714285715</v>
      </c>
      <c r="L49" s="44" t="n">
        <v>40.14285714285715</v>
      </c>
      <c r="M49" s="44" t="n">
        <v>0</v>
      </c>
      <c r="N49" s="44" t="n">
        <v>0</v>
      </c>
      <c r="O49" s="44" t="n">
        <v>0</v>
      </c>
      <c r="P49" s="44" t="n">
        <v>0</v>
      </c>
      <c r="Q49" s="44" t="n">
        <v>0</v>
      </c>
      <c r="R49" s="44" t="n">
        <v>0</v>
      </c>
      <c r="S49" s="44" t="n">
        <v>0</v>
      </c>
      <c r="T49" s="44" t="n">
        <v>0</v>
      </c>
      <c r="U49" s="44" t="n">
        <v>0</v>
      </c>
      <c r="V49" s="44" t="n">
        <v>0</v>
      </c>
      <c r="W49" s="44" t="n">
        <v>0</v>
      </c>
      <c r="X49" s="44" t="n">
        <v>0</v>
      </c>
      <c r="Y49" s="44" t="n">
        <v>0</v>
      </c>
      <c r="Z49" s="44" t="n">
        <v>0</v>
      </c>
      <c r="AA49" s="44" t="n">
        <v>0</v>
      </c>
      <c r="AB49" s="44" t="n">
        <v>0</v>
      </c>
      <c r="AC49" s="44" t="n">
        <v>0</v>
      </c>
      <c r="AD49" s="44" t="n">
        <v>0</v>
      </c>
      <c r="AE49" s="44" t="n">
        <v>0</v>
      </c>
    </row>
    <row r="56" ht="15.75" customHeight="1">
      <c r="B56" s="34" t="n">
        <v>2023</v>
      </c>
      <c r="C56" s="34" t="n">
        <v>2024</v>
      </c>
      <c r="D56" s="34" t="n">
        <v>2025</v>
      </c>
      <c r="E56" s="34" t="n">
        <v>2026</v>
      </c>
      <c r="F56" s="34" t="n">
        <v>2027</v>
      </c>
      <c r="G56" s="34" t="n">
        <v>2028</v>
      </c>
      <c r="H56" s="34" t="n">
        <v>2029</v>
      </c>
      <c r="I56" s="34" t="n">
        <v>2030</v>
      </c>
      <c r="J56" s="34" t="n">
        <v>2031</v>
      </c>
      <c r="K56" s="34" t="n">
        <v>2032</v>
      </c>
      <c r="L56" s="34" t="n">
        <v>2033</v>
      </c>
      <c r="M56" s="34" t="n">
        <v>2034</v>
      </c>
      <c r="N56" s="34" t="n">
        <v>2035</v>
      </c>
      <c r="O56" s="34" t="n">
        <v>2036</v>
      </c>
      <c r="P56" s="34" t="n">
        <v>2037</v>
      </c>
      <c r="Q56" s="34" t="n">
        <v>2038</v>
      </c>
      <c r="R56" s="34" t="n">
        <v>2039</v>
      </c>
      <c r="S56" s="34" t="n">
        <v>2040</v>
      </c>
      <c r="T56" s="34" t="n">
        <v>2041</v>
      </c>
      <c r="U56" s="34" t="n">
        <v>2042</v>
      </c>
      <c r="V56" s="34" t="n">
        <v>2043</v>
      </c>
      <c r="W56" s="34" t="n">
        <v>2044</v>
      </c>
      <c r="X56" s="34" t="n">
        <v>2045</v>
      </c>
      <c r="Y56" s="34" t="n">
        <v>2046</v>
      </c>
      <c r="Z56" s="34" t="n">
        <v>2047</v>
      </c>
      <c r="AA56" s="34" t="n">
        <v>2048</v>
      </c>
      <c r="AB56" s="34" t="n">
        <v>2049</v>
      </c>
      <c r="AC56" s="34" t="n">
        <v>2050</v>
      </c>
    </row>
    <row r="57" ht="15.75" customHeight="1">
      <c r="A57" s="34" t="inlineStr">
        <is>
          <t>Total Annual Additions (MW)</t>
        </is>
      </c>
      <c r="B57" s="41">
        <f>$B$24+$B$23+D32+D42+D49</f>
        <v/>
      </c>
      <c r="C57" s="41">
        <f>$B$24+$B$23+E32+E42+E49</f>
        <v/>
      </c>
      <c r="D57" s="41">
        <f>$B$24+$B$23+F32+F42+F49</f>
        <v/>
      </c>
      <c r="E57" s="41">
        <f>$B$24+$B$23+G32+G42+G49</f>
        <v/>
      </c>
      <c r="F57" s="41">
        <f>$B$24+$B$23+H32+H42+H49</f>
        <v/>
      </c>
      <c r="G57" s="41">
        <f>$B$24+$B$23+I32+I42+I49</f>
        <v/>
      </c>
      <c r="H57" s="41">
        <f>$B$24+$B$23+J32+J42+J49</f>
        <v/>
      </c>
      <c r="I57" s="41">
        <f>$B$24+$B$23+K32+K42+K49</f>
        <v/>
      </c>
      <c r="J57" s="41">
        <f>$B$24+$B$23+L32+L42+L49</f>
        <v/>
      </c>
      <c r="K57" s="41">
        <f>$B$24+$B$23+M32+M42+M49</f>
        <v/>
      </c>
      <c r="L57" s="41">
        <f>$B$23+N32+N42</f>
        <v/>
      </c>
      <c r="M57" s="41">
        <f>$B$23+O32+O42</f>
        <v/>
      </c>
      <c r="N57" s="41">
        <f>$B$23+P32+P42</f>
        <v/>
      </c>
      <c r="O57" s="41">
        <f>$B$23+Q32+Q42</f>
        <v/>
      </c>
      <c r="P57" s="41">
        <f>$B$23+R32+R42</f>
        <v/>
      </c>
      <c r="Q57" s="41">
        <f>$B$23*0.75+S32+S42</f>
        <v/>
      </c>
      <c r="R57" s="41">
        <f>$B$23*0.5+T32+T42</f>
        <v/>
      </c>
      <c r="S57" s="41">
        <f>U32+U42</f>
        <v/>
      </c>
      <c r="T57" s="41">
        <f>V32+V42</f>
        <v/>
      </c>
      <c r="U57" s="41">
        <f>W32+W42</f>
        <v/>
      </c>
      <c r="V57" s="41">
        <f>X32+X42</f>
        <v/>
      </c>
      <c r="W57" s="41">
        <f>Y32+Y42</f>
        <v/>
      </c>
      <c r="X57" s="41">
        <f>Z32+Z42</f>
        <v/>
      </c>
      <c r="Y57" s="41">
        <f>AA32+AA42</f>
        <v/>
      </c>
      <c r="Z57" s="41">
        <f>AB32+AB42</f>
        <v/>
      </c>
      <c r="AA57" s="41">
        <f>AC32+AC42</f>
        <v/>
      </c>
      <c r="AB57" s="41">
        <f>AD32+AD42</f>
        <v/>
      </c>
      <c r="AC57" s="41">
        <f>AE32+AE42</f>
        <v/>
      </c>
    </row>
    <row r="58" ht="15.75" customHeight="1">
      <c r="A58" s="34" t="inlineStr">
        <is>
          <t>Total Cumulative Additions (MW)</t>
        </is>
      </c>
      <c r="B58" s="41">
        <f>B57</f>
        <v/>
      </c>
      <c r="C58" s="41">
        <f>B58+C57</f>
        <v/>
      </c>
      <c r="D58" s="41">
        <f>C58+D57</f>
        <v/>
      </c>
      <c r="E58" s="41">
        <f>D58+E57</f>
        <v/>
      </c>
      <c r="F58" s="41">
        <f>E58+F57</f>
        <v/>
      </c>
      <c r="G58" s="41">
        <f>F58+G57</f>
        <v/>
      </c>
      <c r="H58" s="41">
        <f>G58+H57</f>
        <v/>
      </c>
      <c r="I58" s="41">
        <f>H58+I57</f>
        <v/>
      </c>
      <c r="J58" s="41">
        <f>I58+J57</f>
        <v/>
      </c>
      <c r="K58" s="41">
        <f>J58+K57</f>
        <v/>
      </c>
      <c r="L58" s="41">
        <f>K58+L57</f>
        <v/>
      </c>
      <c r="M58" s="41">
        <f>L58+M57</f>
        <v/>
      </c>
      <c r="N58" s="41">
        <f>M58+N57</f>
        <v/>
      </c>
      <c r="O58" s="41">
        <f>N58+O57</f>
        <v/>
      </c>
      <c r="P58" s="41">
        <f>O58+P57</f>
        <v/>
      </c>
      <c r="Q58" s="41">
        <f>P58+Q57</f>
        <v/>
      </c>
      <c r="R58" s="41">
        <f>Q58+R57</f>
        <v/>
      </c>
      <c r="S58" s="41">
        <f>R58+S57</f>
        <v/>
      </c>
      <c r="T58" s="41">
        <f>S58+T57</f>
        <v/>
      </c>
      <c r="U58" s="41">
        <f>T58+U57</f>
        <v/>
      </c>
      <c r="V58" s="41">
        <f>U58+V57</f>
        <v/>
      </c>
      <c r="W58" s="41">
        <f>V58+W57</f>
        <v/>
      </c>
      <c r="X58" s="41">
        <f>W58+X57</f>
        <v/>
      </c>
      <c r="Y58" s="41">
        <f>X58+Y57</f>
        <v/>
      </c>
      <c r="Z58" s="41">
        <f>Y58+Z57</f>
        <v/>
      </c>
      <c r="AA58" s="41">
        <f>Z58+AA57</f>
        <v/>
      </c>
      <c r="AB58" s="41">
        <f>AA58+AB57</f>
        <v/>
      </c>
      <c r="AC58" s="41">
        <f>AB58+AC57</f>
        <v/>
      </c>
    </row>
    <row r="59" ht="15.75" customHeight="1">
      <c r="A59" s="34" t="inlineStr">
        <is>
          <t>Urban Residential Additions (MW)</t>
        </is>
      </c>
      <c r="B59" s="41">
        <f>B58*Percent_Urban</f>
        <v/>
      </c>
      <c r="C59" s="41">
        <f>C58*Percent_Urban</f>
        <v/>
      </c>
      <c r="D59" s="41">
        <f>D58*Percent_Urban</f>
        <v/>
      </c>
      <c r="E59" s="41">
        <f>E58*Percent_Urban</f>
        <v/>
      </c>
      <c r="F59" s="41">
        <f>F58*Percent_Urban</f>
        <v/>
      </c>
      <c r="G59" s="41">
        <f>G58*Percent_Urban</f>
        <v/>
      </c>
      <c r="H59" s="41">
        <f>H58*Percent_Urban</f>
        <v/>
      </c>
      <c r="I59" s="41">
        <f>I58*Percent_Urban</f>
        <v/>
      </c>
      <c r="J59" s="41">
        <f>J58*Percent_Urban</f>
        <v/>
      </c>
      <c r="K59" s="41">
        <f>K58*Percent_Urban</f>
        <v/>
      </c>
      <c r="L59" s="41">
        <f>L58*Percent_Urban</f>
        <v/>
      </c>
      <c r="M59" s="41">
        <f>M58*Percent_Urban</f>
        <v/>
      </c>
      <c r="N59" s="41">
        <f>N58*Percent_Urban</f>
        <v/>
      </c>
      <c r="O59" s="41">
        <f>O58*Percent_Urban</f>
        <v/>
      </c>
      <c r="P59" s="41">
        <f>P58*Percent_Urban</f>
        <v/>
      </c>
      <c r="Q59" s="41">
        <f>Q58*Percent_Urban</f>
        <v/>
      </c>
      <c r="R59" s="41">
        <f>R58*Percent_Urban</f>
        <v/>
      </c>
      <c r="S59" s="41">
        <f>S58*Percent_Urban</f>
        <v/>
      </c>
      <c r="T59" s="41">
        <f>T58*Percent_Urban</f>
        <v/>
      </c>
      <c r="U59" s="41">
        <f>U58*Percent_Urban</f>
        <v/>
      </c>
      <c r="V59" s="41">
        <f>V58*Percent_Urban</f>
        <v/>
      </c>
      <c r="W59" s="41">
        <f>W58*Percent_Urban</f>
        <v/>
      </c>
      <c r="X59" s="41">
        <f>X58*Percent_Urban</f>
        <v/>
      </c>
      <c r="Y59" s="41">
        <f>Y58*Percent_Urban</f>
        <v/>
      </c>
      <c r="Z59" s="41">
        <f>Z58*Percent_Urban</f>
        <v/>
      </c>
      <c r="AA59" s="41">
        <f>AA58*Percent_Urban</f>
        <v/>
      </c>
      <c r="AB59" s="41">
        <f>AB58*Percent_Urban</f>
        <v/>
      </c>
      <c r="AC59" s="41">
        <f>AC58*Percent_Urban</f>
        <v/>
      </c>
    </row>
    <row r="60" ht="15.75" customHeight="1">
      <c r="A60" s="34" t="inlineStr">
        <is>
          <t>Rural Residential Additions (MW)</t>
        </is>
      </c>
      <c r="B60" s="41">
        <f>B58*Percent_rural</f>
        <v/>
      </c>
      <c r="C60" s="41">
        <f>C58*Percent_rural</f>
        <v/>
      </c>
      <c r="D60" s="41">
        <f>D58*Percent_rural</f>
        <v/>
      </c>
      <c r="E60" s="41">
        <f>E58*Percent_rural</f>
        <v/>
      </c>
      <c r="F60" s="41">
        <f>F58*Percent_rural</f>
        <v/>
      </c>
      <c r="G60" s="41">
        <f>G58*Percent_rural</f>
        <v/>
      </c>
      <c r="H60" s="41">
        <f>H58*Percent_rural</f>
        <v/>
      </c>
      <c r="I60" s="41">
        <f>I58*Percent_rural</f>
        <v/>
      </c>
      <c r="J60" s="41">
        <f>J58*Percent_rural</f>
        <v/>
      </c>
      <c r="K60" s="41">
        <f>K58*Percent_rural</f>
        <v/>
      </c>
      <c r="L60" s="41">
        <f>L58*Percent_rural</f>
        <v/>
      </c>
      <c r="M60" s="41">
        <f>M58*Percent_rural</f>
        <v/>
      </c>
      <c r="N60" s="41">
        <f>N58*Percent_rural</f>
        <v/>
      </c>
      <c r="O60" s="41">
        <f>O58*Percent_rural</f>
        <v/>
      </c>
      <c r="P60" s="41">
        <f>P58*Percent_rural</f>
        <v/>
      </c>
      <c r="Q60" s="41">
        <f>Q58*Percent_rural</f>
        <v/>
      </c>
      <c r="R60" s="41">
        <f>R58*Percent_rural</f>
        <v/>
      </c>
      <c r="S60" s="41">
        <f>S58*Percent_rural</f>
        <v/>
      </c>
      <c r="T60" s="41">
        <f>T58*Percent_rural</f>
        <v/>
      </c>
      <c r="U60" s="41">
        <f>U58*Percent_rural</f>
        <v/>
      </c>
      <c r="V60" s="41">
        <f>V58*Percent_rural</f>
        <v/>
      </c>
      <c r="W60" s="41">
        <f>W58*Percent_rural</f>
        <v/>
      </c>
      <c r="X60" s="41">
        <f>X58*Percent_rural</f>
        <v/>
      </c>
      <c r="Y60" s="41">
        <f>Y58*Percent_rural</f>
        <v/>
      </c>
      <c r="Z60" s="41">
        <f>Z58*Percent_rural</f>
        <v/>
      </c>
      <c r="AA60" s="41">
        <f>AA58*Percent_rural</f>
        <v/>
      </c>
      <c r="AB60" s="41">
        <f>AB58*Percent_rural</f>
        <v/>
      </c>
      <c r="AC60" s="41">
        <f>AC58*Percent_rural</f>
        <v/>
      </c>
    </row>
    <row r="61" ht="15.75" customHeight="1">
      <c r="A61" s="34" t="inlineStr">
        <is>
          <t>Urban Residential Incremental Generation (MWh)</t>
        </is>
      </c>
      <c r="B61" s="41">
        <f>B59*Calculations!D121*8760</f>
        <v/>
      </c>
      <c r="C61" s="41">
        <f>C59*Calculations!E121*8760</f>
        <v/>
      </c>
      <c r="D61" s="41">
        <f>D59*Calculations!F121*8760</f>
        <v/>
      </c>
      <c r="E61" s="41">
        <f>E59*Calculations!G121*8760</f>
        <v/>
      </c>
      <c r="F61" s="41">
        <f>F59*Calculations!H121*8760</f>
        <v/>
      </c>
      <c r="G61" s="41">
        <f>G59*Calculations!I121*8760</f>
        <v/>
      </c>
      <c r="H61" s="41">
        <f>H59*Calculations!J121*8760</f>
        <v/>
      </c>
      <c r="I61" s="41">
        <f>I59*Calculations!K121*8760</f>
        <v/>
      </c>
      <c r="J61" s="41">
        <f>J59*Calculations!L121*8760</f>
        <v/>
      </c>
      <c r="K61" s="41">
        <f>K59*Calculations!M121*8760</f>
        <v/>
      </c>
      <c r="L61" s="41">
        <f>L59*Calculations!N121*8760</f>
        <v/>
      </c>
      <c r="M61" s="41">
        <f>M59*Calculations!O121*8760</f>
        <v/>
      </c>
      <c r="N61" s="41">
        <f>N59*Calculations!P121*8760</f>
        <v/>
      </c>
      <c r="O61" s="41">
        <f>O59*Calculations!Q121*8760</f>
        <v/>
      </c>
      <c r="P61" s="41">
        <f>P59*Calculations!R121*8760</f>
        <v/>
      </c>
      <c r="Q61" s="41">
        <f>Q59*Calculations!S121*8760</f>
        <v/>
      </c>
      <c r="R61" s="41">
        <f>R59*Calculations!T121*8760</f>
        <v/>
      </c>
      <c r="S61" s="41">
        <f>S59*Calculations!U121*8760</f>
        <v/>
      </c>
      <c r="T61" s="41">
        <f>T59*Calculations!V121*8760</f>
        <v/>
      </c>
      <c r="U61" s="41">
        <f>U59*Calculations!W121*8760</f>
        <v/>
      </c>
      <c r="V61" s="41">
        <f>V59*Calculations!X121*8760</f>
        <v/>
      </c>
      <c r="W61" s="41">
        <f>W59*Calculations!Y121*8760</f>
        <v/>
      </c>
      <c r="X61" s="41">
        <f>X59*Calculations!Z121*8760</f>
        <v/>
      </c>
      <c r="Y61" s="41">
        <f>Y59*Calculations!AA121*8760</f>
        <v/>
      </c>
      <c r="Z61" s="41">
        <f>Z59*Calculations!AB121*8760</f>
        <v/>
      </c>
      <c r="AA61" s="41">
        <f>AA59*Calculations!AC121*8760</f>
        <v/>
      </c>
      <c r="AB61" s="41">
        <f>AB59*Calculations!AD121*8760</f>
        <v/>
      </c>
      <c r="AC61" s="41">
        <f>AC59*Calculations!AE121*8760</f>
        <v/>
      </c>
    </row>
    <row r="62" ht="15.75" customHeight="1">
      <c r="A62" s="34" t="inlineStr">
        <is>
          <t>Rural Residential Incremental Generation (MWh)</t>
        </is>
      </c>
      <c r="B62" s="41">
        <f>B60*Calculations!D121*8760</f>
        <v/>
      </c>
      <c r="C62" s="41">
        <f>C60*Calculations!E121*8760</f>
        <v/>
      </c>
      <c r="D62" s="41">
        <f>D60*Calculations!F121*8760</f>
        <v/>
      </c>
      <c r="E62" s="41">
        <f>E60*Calculations!G121*8760</f>
        <v/>
      </c>
      <c r="F62" s="41">
        <f>F60*Calculations!H121*8760</f>
        <v/>
      </c>
      <c r="G62" s="41">
        <f>G60*Calculations!I121*8760</f>
        <v/>
      </c>
      <c r="H62" s="41">
        <f>H60*Calculations!J121*8760</f>
        <v/>
      </c>
      <c r="I62" s="41">
        <f>I60*Calculations!K121*8760</f>
        <v/>
      </c>
      <c r="J62" s="41">
        <f>J60*Calculations!L121*8760</f>
        <v/>
      </c>
      <c r="K62" s="41">
        <f>K60*Calculations!M121*8760</f>
        <v/>
      </c>
      <c r="L62" s="41">
        <f>L60*Calculations!N121*8760</f>
        <v/>
      </c>
      <c r="M62" s="41">
        <f>M60*Calculations!O121*8760</f>
        <v/>
      </c>
      <c r="N62" s="41">
        <f>N60*Calculations!P121*8760</f>
        <v/>
      </c>
      <c r="O62" s="41">
        <f>O60*Calculations!Q121*8760</f>
        <v/>
      </c>
      <c r="P62" s="41">
        <f>P60*Calculations!R121*8760</f>
        <v/>
      </c>
      <c r="Q62" s="41">
        <f>Q60*Calculations!S121*8760</f>
        <v/>
      </c>
      <c r="R62" s="41">
        <f>R60*Calculations!T121*8760</f>
        <v/>
      </c>
      <c r="S62" s="41">
        <f>S60*Calculations!U121*8760</f>
        <v/>
      </c>
      <c r="T62" s="41">
        <f>T60*Calculations!V121*8760</f>
        <v/>
      </c>
      <c r="U62" s="41">
        <f>U60*Calculations!W121*8760</f>
        <v/>
      </c>
      <c r="V62" s="41">
        <f>V60*Calculations!X121*8760</f>
        <v/>
      </c>
      <c r="W62" s="41">
        <f>W60*Calculations!Y121*8760</f>
        <v/>
      </c>
      <c r="X62" s="41">
        <f>X60*Calculations!Z121*8760</f>
        <v/>
      </c>
      <c r="Y62" s="41">
        <f>Y60*Calculations!AA121*8760</f>
        <v/>
      </c>
      <c r="Z62" s="41">
        <f>Z60*Calculations!AB121*8760</f>
        <v/>
      </c>
      <c r="AA62" s="41">
        <f>AA60*Calculations!AC121*8760</f>
        <v/>
      </c>
      <c r="AB62" s="41">
        <f>AB60*Calculations!AD121*8760</f>
        <v/>
      </c>
      <c r="AC62" s="41">
        <f>AC60*Calculations!AE121*8760</f>
        <v/>
      </c>
    </row>
    <row r="65" ht="14.75" customHeight="1">
      <c r="C65" s="38" t="n"/>
    </row>
    <row r="66" ht="13.5" customHeight="1"/>
    <row r="67" ht="13.5" customHeight="1"/>
    <row r="68" ht="13.5" customHeight="1"/>
    <row r="79" ht="13.5" customHeight="1">
      <c r="A79" s="35" t="inlineStr">
        <is>
          <t>Source: RMI Direct Pay Residential Solar Tax Incentives memo</t>
        </is>
      </c>
    </row>
  </sheetData>
  <pageMargins left="0.7" right="0.7" top="0.75" bottom="0.75" header="0.3" footer="0.3"/>
</worksheet>
</file>

<file path=xl/worksheets/sheet11.xml><?xml version="1.0" encoding="utf-8"?>
<worksheet xmlns="http://schemas.openxmlformats.org/spreadsheetml/2006/main">
  <sheetPr>
    <tabColor theme="3"/>
    <outlinePr summaryBelow="1" summaryRight="1"/>
    <pageSetUpPr/>
  </sheetPr>
  <dimension ref="A1:AC25"/>
  <sheetViews>
    <sheetView workbookViewId="0">
      <selection activeCell="I33" sqref="I33"/>
    </sheetView>
  </sheetViews>
  <sheetFormatPr baseColWidth="8" defaultColWidth="8.7265625" defaultRowHeight="14.75"/>
  <cols>
    <col width="31.1328125" bestFit="1" customWidth="1" min="1" max="1"/>
    <col width="9.54296875" bestFit="1" customWidth="1" min="2" max="29"/>
  </cols>
  <sheetData>
    <row r="1">
      <c r="A1" t="inlineStr">
        <is>
          <t>MW</t>
        </is>
      </c>
      <c r="B1" t="n">
        <v>2023</v>
      </c>
      <c r="C1" t="n">
        <v>2024</v>
      </c>
      <c r="D1" t="n">
        <v>2025</v>
      </c>
      <c r="E1" t="n">
        <v>2026</v>
      </c>
      <c r="F1" t="n">
        <v>2027</v>
      </c>
      <c r="G1" t="n">
        <v>2028</v>
      </c>
      <c r="H1" t="n">
        <v>2029</v>
      </c>
      <c r="I1" t="n">
        <v>2030</v>
      </c>
      <c r="J1" t="n">
        <v>2031</v>
      </c>
      <c r="K1" t="n">
        <v>2032</v>
      </c>
      <c r="L1" t="n">
        <v>2033</v>
      </c>
      <c r="M1" t="n">
        <v>2034</v>
      </c>
      <c r="N1" t="n">
        <v>2035</v>
      </c>
      <c r="O1" t="n">
        <v>2036</v>
      </c>
      <c r="P1" t="n">
        <v>2037</v>
      </c>
      <c r="Q1" t="n">
        <v>2038</v>
      </c>
      <c r="R1" t="n">
        <v>2039</v>
      </c>
      <c r="S1" t="n">
        <v>2040</v>
      </c>
      <c r="T1" t="n">
        <v>2041</v>
      </c>
      <c r="U1" t="n">
        <v>2042</v>
      </c>
      <c r="V1" t="n">
        <v>2043</v>
      </c>
      <c r="W1" t="n">
        <v>2044</v>
      </c>
      <c r="X1" t="n">
        <v>2045</v>
      </c>
      <c r="Y1" t="n">
        <v>2046</v>
      </c>
      <c r="Z1" t="n">
        <v>2047</v>
      </c>
      <c r="AA1" t="n">
        <v>2048</v>
      </c>
      <c r="AB1" t="n">
        <v>2049</v>
      </c>
      <c r="AC1" t="n">
        <v>2050</v>
      </c>
    </row>
    <row r="2">
      <c r="A2" t="inlineStr">
        <is>
          <t>hard coal</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row>
    <row r="3">
      <c r="A3" t="inlineStr">
        <is>
          <t>natural gas steam turbine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row>
    <row r="4">
      <c r="A4" t="inlineStr">
        <is>
          <t>natural gas combined cycle</t>
        </is>
      </c>
      <c r="B4">
        <f>Calculations!D44</f>
        <v/>
      </c>
      <c r="C4">
        <f>Calculations!E44</f>
        <v/>
      </c>
      <c r="D4">
        <f>Calculations!F44</f>
        <v/>
      </c>
      <c r="E4">
        <f>Calculations!G44</f>
        <v/>
      </c>
      <c r="F4">
        <f>Calculations!H44</f>
        <v/>
      </c>
      <c r="G4">
        <f>Calculations!I44</f>
        <v/>
      </c>
      <c r="H4">
        <f>Calculations!J44</f>
        <v/>
      </c>
      <c r="I4">
        <f>Calculations!K44</f>
        <v/>
      </c>
      <c r="J4">
        <f>Calculations!L44</f>
        <v/>
      </c>
      <c r="K4">
        <f>Calculations!M44</f>
        <v/>
      </c>
      <c r="L4">
        <f>Calculations!N44</f>
        <v/>
      </c>
      <c r="M4">
        <f>Calculations!O44</f>
        <v/>
      </c>
      <c r="N4">
        <f>Calculations!P44</f>
        <v/>
      </c>
      <c r="O4">
        <f>Calculations!Q44</f>
        <v/>
      </c>
      <c r="P4">
        <f>Calculations!R44</f>
        <v/>
      </c>
      <c r="Q4">
        <f>Calculations!S44</f>
        <v/>
      </c>
      <c r="R4">
        <f>Calculations!T44</f>
        <v/>
      </c>
      <c r="S4">
        <f>Calculations!U44</f>
        <v/>
      </c>
      <c r="T4">
        <f>Calculations!V44</f>
        <v/>
      </c>
      <c r="U4">
        <f>Calculations!W44</f>
        <v/>
      </c>
      <c r="V4">
        <f>Calculations!X44</f>
        <v/>
      </c>
      <c r="W4">
        <f>Calculations!Y44</f>
        <v/>
      </c>
      <c r="X4">
        <f>Calculations!Z44</f>
        <v/>
      </c>
      <c r="Y4">
        <f>Calculations!AA44</f>
        <v/>
      </c>
      <c r="Z4">
        <f>Calculations!AB44</f>
        <v/>
      </c>
      <c r="AA4">
        <f>Calculations!AC44</f>
        <v/>
      </c>
      <c r="AB4">
        <f>Calculations!AD44</f>
        <v/>
      </c>
      <c r="AC4">
        <f>Calculations!AE44</f>
        <v/>
      </c>
    </row>
    <row r="5">
      <c r="A5" t="inlineStr">
        <is>
          <t>nuclear</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row>
    <row r="6">
      <c r="A6" t="inlineStr">
        <is>
          <t>hydro</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row>
    <row r="7">
      <c r="A7" t="inlineStr">
        <is>
          <t>onshore wind</t>
        </is>
      </c>
      <c r="B7">
        <f>Calculations!D47</f>
        <v/>
      </c>
      <c r="C7">
        <f>Calculations!E47</f>
        <v/>
      </c>
      <c r="D7">
        <f>Calculations!F47</f>
        <v/>
      </c>
      <c r="E7">
        <f>Calculations!G47</f>
        <v/>
      </c>
      <c r="F7">
        <f>Calculations!H47</f>
        <v/>
      </c>
      <c r="G7">
        <f>Calculations!I47</f>
        <v/>
      </c>
      <c r="H7">
        <f>Calculations!J47</f>
        <v/>
      </c>
      <c r="I7">
        <f>Calculations!K47</f>
        <v/>
      </c>
      <c r="J7">
        <f>Calculations!L47</f>
        <v/>
      </c>
      <c r="K7">
        <f>Calculations!M47</f>
        <v/>
      </c>
      <c r="L7">
        <f>Calculations!N47</f>
        <v/>
      </c>
      <c r="M7">
        <f>Calculations!O47</f>
        <v/>
      </c>
      <c r="N7">
        <f>Calculations!P47</f>
        <v/>
      </c>
      <c r="O7">
        <f>Calculations!Q47</f>
        <v/>
      </c>
      <c r="P7">
        <f>Calculations!R47</f>
        <v/>
      </c>
      <c r="Q7">
        <f>Calculations!S47</f>
        <v/>
      </c>
      <c r="R7">
        <f>Calculations!T47</f>
        <v/>
      </c>
      <c r="S7">
        <f>Calculations!U47</f>
        <v/>
      </c>
      <c r="T7">
        <f>Calculations!V47</f>
        <v/>
      </c>
      <c r="U7">
        <f>Calculations!W47</f>
        <v/>
      </c>
      <c r="V7">
        <f>Calculations!X47</f>
        <v/>
      </c>
      <c r="W7">
        <f>Calculations!Y47</f>
        <v/>
      </c>
      <c r="X7">
        <f>Calculations!Z47</f>
        <v/>
      </c>
      <c r="Y7">
        <f>Calculations!AA47</f>
        <v/>
      </c>
      <c r="Z7">
        <f>Calculations!AB47</f>
        <v/>
      </c>
      <c r="AA7">
        <f>Calculations!AC47</f>
        <v/>
      </c>
      <c r="AB7">
        <f>Calculations!AD47</f>
        <v/>
      </c>
      <c r="AC7">
        <f>Calculations!AE47</f>
        <v/>
      </c>
    </row>
    <row r="8">
      <c r="A8" t="inlineStr">
        <is>
          <t>solar PV</t>
        </is>
      </c>
      <c r="B8" s="57">
        <f>Calculations!D48+'Inflation Reduction Act'!B59</f>
        <v/>
      </c>
      <c r="C8" s="57">
        <f>Calculations!E48+'Inflation Reduction Act'!C59</f>
        <v/>
      </c>
      <c r="D8" s="57">
        <f>Calculations!F48+'Inflation Reduction Act'!D59</f>
        <v/>
      </c>
      <c r="E8" s="58">
        <f>Calculations!G48</f>
        <v/>
      </c>
      <c r="F8" s="58">
        <f>Calculations!H48</f>
        <v/>
      </c>
      <c r="G8" s="58">
        <f>Calculations!I48</f>
        <v/>
      </c>
      <c r="H8" s="58">
        <f>Calculations!J48</f>
        <v/>
      </c>
      <c r="I8" s="58">
        <f>Calculations!K48</f>
        <v/>
      </c>
      <c r="J8" s="58">
        <f>Calculations!L48</f>
        <v/>
      </c>
      <c r="K8" s="58">
        <f>Calculations!M48</f>
        <v/>
      </c>
      <c r="L8" s="58">
        <f>Calculations!N48</f>
        <v/>
      </c>
      <c r="M8" s="58">
        <f>Calculations!O48</f>
        <v/>
      </c>
      <c r="N8" s="58">
        <f>Calculations!P48</f>
        <v/>
      </c>
      <c r="O8" s="58">
        <f>Calculations!Q48</f>
        <v/>
      </c>
      <c r="P8" s="58">
        <f>Calculations!R48</f>
        <v/>
      </c>
      <c r="Q8" s="58">
        <f>Calculations!S48</f>
        <v/>
      </c>
      <c r="R8" s="58">
        <f>Calculations!T48</f>
        <v/>
      </c>
      <c r="S8" s="58">
        <f>Calculations!U48</f>
        <v/>
      </c>
      <c r="T8" s="58">
        <f>Calculations!V48</f>
        <v/>
      </c>
      <c r="U8" s="58">
        <f>Calculations!W48</f>
        <v/>
      </c>
      <c r="V8" s="58">
        <f>Calculations!X48</f>
        <v/>
      </c>
      <c r="W8" s="58">
        <f>Calculations!Y48</f>
        <v/>
      </c>
      <c r="X8" s="58">
        <f>Calculations!Z48</f>
        <v/>
      </c>
      <c r="Y8" s="58">
        <f>Calculations!AA48</f>
        <v/>
      </c>
      <c r="Z8" s="58">
        <f>Calculations!AB48</f>
        <v/>
      </c>
      <c r="AA8" s="58">
        <f>Calculations!AC48</f>
        <v/>
      </c>
      <c r="AB8" s="58">
        <f>Calculations!AD48</f>
        <v/>
      </c>
      <c r="AC8" s="58">
        <f>Calculations!AE48</f>
        <v/>
      </c>
    </row>
    <row r="9">
      <c r="A9" t="inlineStr">
        <is>
          <t>solar thermal</t>
        </is>
      </c>
      <c r="B9" t="n">
        <v>0</v>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row>
    <row r="10">
      <c r="A10" t="inlineStr">
        <is>
          <t>biomass</t>
        </is>
      </c>
      <c r="B10" t="n">
        <v>0</v>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row>
    <row r="11">
      <c r="A11" t="inlineStr">
        <is>
          <t>geothermal</t>
        </is>
      </c>
      <c r="B11" t="n">
        <v>0</v>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row>
    <row r="12">
      <c r="A12" t="inlineStr">
        <is>
          <t>petroleum</t>
        </is>
      </c>
      <c r="B12" t="n">
        <v>0</v>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row>
    <row r="13">
      <c r="A13" t="inlineStr">
        <is>
          <t>natural gas peaker</t>
        </is>
      </c>
      <c r="B13" t="n">
        <v>0</v>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row>
    <row r="14">
      <c r="A14" t="inlineStr">
        <is>
          <t>lignite</t>
        </is>
      </c>
      <c r="B14" t="n">
        <v>0</v>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row>
    <row r="15">
      <c r="A15" t="inlineStr">
        <is>
          <t>offshore wind</t>
        </is>
      </c>
      <c r="B15" t="n">
        <v>0</v>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row>
    <row r="16">
      <c r="A16" t="inlineStr">
        <is>
          <t>crude oil</t>
        </is>
      </c>
      <c r="B16" t="n">
        <v>0</v>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row>
    <row r="17">
      <c r="A17" t="inlineStr">
        <is>
          <t>heavy or residual fuel oil</t>
        </is>
      </c>
      <c r="B17" t="n">
        <v>0</v>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row>
    <row r="18">
      <c r="A18" t="inlineStr">
        <is>
          <t>municipal solid waste</t>
        </is>
      </c>
      <c r="B18" t="n">
        <v>0</v>
      </c>
      <c r="C18" t="n">
        <v>0</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row>
    <row r="19">
      <c r="A19" s="55" t="inlineStr">
        <is>
          <t>hard coal w CCS</t>
        </is>
      </c>
      <c r="B19" t="n">
        <v>0</v>
      </c>
      <c r="C19" t="n">
        <v>0</v>
      </c>
      <c r="D19" t="n">
        <v>0</v>
      </c>
      <c r="E19" t="n">
        <v>0</v>
      </c>
      <c r="F19" t="n">
        <v>0</v>
      </c>
      <c r="G19" t="n">
        <v>0</v>
      </c>
      <c r="H19" t="n">
        <v>0</v>
      </c>
      <c r="I19" t="n">
        <v>0</v>
      </c>
      <c r="J19" t="n">
        <v>0</v>
      </c>
      <c r="K19" t="n">
        <v>0</v>
      </c>
      <c r="L19" t="n">
        <v>0</v>
      </c>
      <c r="M19" t="n">
        <v>0</v>
      </c>
      <c r="N19" t="n">
        <v>0</v>
      </c>
      <c r="O19" t="n">
        <v>0</v>
      </c>
      <c r="P19" t="n">
        <v>0</v>
      </c>
      <c r="Q19" t="n">
        <v>0</v>
      </c>
      <c r="R19" t="n">
        <v>0</v>
      </c>
      <c r="S19" t="n">
        <v>0</v>
      </c>
      <c r="T19" t="n">
        <v>0</v>
      </c>
      <c r="U19" t="n">
        <v>0</v>
      </c>
      <c r="V19" t="n">
        <v>0</v>
      </c>
      <c r="W19" t="n">
        <v>0</v>
      </c>
      <c r="X19" t="n">
        <v>0</v>
      </c>
      <c r="Y19" t="n">
        <v>0</v>
      </c>
      <c r="Z19" t="n">
        <v>0</v>
      </c>
      <c r="AA19" t="n">
        <v>0</v>
      </c>
      <c r="AB19" t="n">
        <v>0</v>
      </c>
      <c r="AC19" t="n">
        <v>0</v>
      </c>
    </row>
    <row r="20">
      <c r="A20" s="55" t="inlineStr">
        <is>
          <t>natural gas combined cycle w CCS</t>
        </is>
      </c>
      <c r="B20" t="n">
        <v>0</v>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row>
    <row r="21">
      <c r="A21" s="55" t="inlineStr">
        <is>
          <t>biomass w CCS</t>
        </is>
      </c>
      <c r="B21" t="n">
        <v>0</v>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row>
    <row r="22">
      <c r="A22" s="55" t="inlineStr">
        <is>
          <t>lignite w CCS</t>
        </is>
      </c>
      <c r="B22" t="n">
        <v>0</v>
      </c>
      <c r="C22" t="n">
        <v>0</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row>
    <row r="23">
      <c r="A23" s="55" t="inlineStr">
        <is>
          <t>small modular reactor</t>
        </is>
      </c>
      <c r="B23" t="n">
        <v>0</v>
      </c>
      <c r="C23" t="n">
        <v>0</v>
      </c>
      <c r="D23" t="n">
        <v>0</v>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row>
    <row r="24">
      <c r="A24" s="56" t="inlineStr">
        <is>
          <t>hydrogen combustion turbine</t>
        </is>
      </c>
      <c r="B24" t="n">
        <v>0</v>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row>
    <row r="25">
      <c r="A25" s="56" t="inlineStr">
        <is>
          <t>hydrogen combined cycle</t>
        </is>
      </c>
      <c r="B25" t="n">
        <v>0</v>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row>
  </sheetData>
  <pageMargins left="0.7" right="0.7" top="0.75" bottom="0.75" header="0.3" footer="0.3"/>
</worksheet>
</file>

<file path=xl/worksheets/sheet12.xml><?xml version="1.0" encoding="utf-8"?>
<worksheet xmlns="http://schemas.openxmlformats.org/spreadsheetml/2006/main">
  <sheetPr>
    <tabColor theme="3"/>
    <outlinePr summaryBelow="1" summaryRight="1"/>
    <pageSetUpPr/>
  </sheetPr>
  <dimension ref="A1:AC25"/>
  <sheetViews>
    <sheetView workbookViewId="0">
      <selection activeCell="B3" sqref="B3"/>
    </sheetView>
  </sheetViews>
  <sheetFormatPr baseColWidth="8" defaultColWidth="8.7265625" defaultRowHeight="14.75"/>
  <cols>
    <col width="23.40625" customWidth="1" min="1" max="1"/>
    <col width="9.54296875" bestFit="1" customWidth="1" min="2" max="29"/>
  </cols>
  <sheetData>
    <row r="1">
      <c r="A1" t="inlineStr">
        <is>
          <t>MW</t>
        </is>
      </c>
      <c r="B1" t="n">
        <v>2023</v>
      </c>
      <c r="C1" t="n">
        <v>2024</v>
      </c>
      <c r="D1" t="n">
        <v>2025</v>
      </c>
      <c r="E1" t="n">
        <v>2026</v>
      </c>
      <c r="F1" t="n">
        <v>2027</v>
      </c>
      <c r="G1" t="n">
        <v>2028</v>
      </c>
      <c r="H1" t="n">
        <v>2029</v>
      </c>
      <c r="I1" t="n">
        <v>2030</v>
      </c>
      <c r="J1" t="n">
        <v>2031</v>
      </c>
      <c r="K1" t="n">
        <v>2032</v>
      </c>
      <c r="L1" t="n">
        <v>2033</v>
      </c>
      <c r="M1" t="n">
        <v>2034</v>
      </c>
      <c r="N1" t="n">
        <v>2035</v>
      </c>
      <c r="O1" t="n">
        <v>2036</v>
      </c>
      <c r="P1" t="n">
        <v>2037</v>
      </c>
      <c r="Q1" t="n">
        <v>2038</v>
      </c>
      <c r="R1" t="n">
        <v>2039</v>
      </c>
      <c r="S1" t="n">
        <v>2040</v>
      </c>
      <c r="T1" t="n">
        <v>2041</v>
      </c>
      <c r="U1" t="n">
        <v>2042</v>
      </c>
      <c r="V1" t="n">
        <v>2043</v>
      </c>
      <c r="W1" t="n">
        <v>2044</v>
      </c>
      <c r="X1" t="n">
        <v>2045</v>
      </c>
      <c r="Y1" t="n">
        <v>2046</v>
      </c>
      <c r="Z1" t="n">
        <v>2047</v>
      </c>
      <c r="AA1" t="n">
        <v>2048</v>
      </c>
      <c r="AB1" t="n">
        <v>2049</v>
      </c>
      <c r="AC1" t="n">
        <v>2050</v>
      </c>
    </row>
    <row r="2">
      <c r="A2" t="inlineStr">
        <is>
          <t>hard coal</t>
        </is>
      </c>
      <c r="B2" t="n">
        <v>0</v>
      </c>
      <c r="C2">
        <f>Calculations!E62</f>
        <v/>
      </c>
      <c r="D2">
        <f>Calculations!F62</f>
        <v/>
      </c>
      <c r="E2">
        <f>Calculations!G62</f>
        <v/>
      </c>
      <c r="F2">
        <f>Calculations!H62</f>
        <v/>
      </c>
      <c r="G2">
        <f>Calculations!I62</f>
        <v/>
      </c>
      <c r="H2">
        <f>Calculations!J62</f>
        <v/>
      </c>
      <c r="I2">
        <f>Calculations!K62</f>
        <v/>
      </c>
      <c r="J2">
        <f>Calculations!L62</f>
        <v/>
      </c>
      <c r="K2">
        <f>Calculations!M62</f>
        <v/>
      </c>
      <c r="L2">
        <f>Calculations!N62</f>
        <v/>
      </c>
      <c r="M2">
        <f>Calculations!O62</f>
        <v/>
      </c>
      <c r="N2">
        <f>Calculations!P62</f>
        <v/>
      </c>
      <c r="O2">
        <f>Calculations!Q62</f>
        <v/>
      </c>
      <c r="P2">
        <f>Calculations!R62</f>
        <v/>
      </c>
      <c r="Q2">
        <f>Calculations!S62</f>
        <v/>
      </c>
      <c r="R2">
        <f>Calculations!T62</f>
        <v/>
      </c>
      <c r="S2">
        <f>Calculations!U62</f>
        <v/>
      </c>
      <c r="T2">
        <f>Calculations!V62</f>
        <v/>
      </c>
      <c r="U2">
        <f>Calculations!W62</f>
        <v/>
      </c>
      <c r="V2">
        <f>Calculations!X62</f>
        <v/>
      </c>
      <c r="W2">
        <f>Calculations!Y62</f>
        <v/>
      </c>
      <c r="X2">
        <f>Calculations!Z62</f>
        <v/>
      </c>
      <c r="Y2">
        <f>Calculations!AA62</f>
        <v/>
      </c>
      <c r="Z2">
        <f>Calculations!AB62</f>
        <v/>
      </c>
      <c r="AA2">
        <f>Calculations!AC62</f>
        <v/>
      </c>
      <c r="AB2">
        <f>Calculations!AD62</f>
        <v/>
      </c>
      <c r="AC2">
        <f>Calculations!AE62</f>
        <v/>
      </c>
    </row>
    <row r="3">
      <c r="A3" t="inlineStr">
        <is>
          <t>natural gas steam turbine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row>
    <row r="4">
      <c r="A4" t="inlineStr">
        <is>
          <t>natural gas combined cycle</t>
        </is>
      </c>
      <c r="B4">
        <f>Calculations!D63</f>
        <v/>
      </c>
      <c r="C4">
        <f>Calculations!E63</f>
        <v/>
      </c>
      <c r="D4">
        <f>Calculations!F63</f>
        <v/>
      </c>
      <c r="E4">
        <f>Calculations!G63</f>
        <v/>
      </c>
      <c r="F4">
        <f>Calculations!H63</f>
        <v/>
      </c>
      <c r="G4">
        <f>Calculations!I63</f>
        <v/>
      </c>
      <c r="H4">
        <f>Calculations!J63</f>
        <v/>
      </c>
      <c r="I4">
        <f>Calculations!K63</f>
        <v/>
      </c>
      <c r="J4">
        <f>Calculations!L63</f>
        <v/>
      </c>
      <c r="K4">
        <f>Calculations!M63</f>
        <v/>
      </c>
      <c r="L4">
        <f>Calculations!N63</f>
        <v/>
      </c>
      <c r="M4">
        <f>Calculations!O63</f>
        <v/>
      </c>
      <c r="N4">
        <f>Calculations!P63</f>
        <v/>
      </c>
      <c r="O4">
        <f>Calculations!Q63</f>
        <v/>
      </c>
      <c r="P4">
        <f>Calculations!R63</f>
        <v/>
      </c>
      <c r="Q4">
        <f>Calculations!S63</f>
        <v/>
      </c>
      <c r="R4">
        <f>Calculations!T63</f>
        <v/>
      </c>
      <c r="S4">
        <f>Calculations!U63</f>
        <v/>
      </c>
      <c r="T4">
        <f>Calculations!V63</f>
        <v/>
      </c>
      <c r="U4">
        <f>Calculations!W63</f>
        <v/>
      </c>
      <c r="V4">
        <f>Calculations!X63</f>
        <v/>
      </c>
      <c r="W4">
        <f>Calculations!Y63</f>
        <v/>
      </c>
      <c r="X4">
        <f>Calculations!Z63</f>
        <v/>
      </c>
      <c r="Y4">
        <f>Calculations!AA63</f>
        <v/>
      </c>
      <c r="Z4">
        <f>Calculations!AB63</f>
        <v/>
      </c>
      <c r="AA4">
        <f>Calculations!AC63</f>
        <v/>
      </c>
      <c r="AB4">
        <f>Calculations!AD63</f>
        <v/>
      </c>
      <c r="AC4">
        <f>Calculations!AE63</f>
        <v/>
      </c>
    </row>
    <row r="5">
      <c r="A5" t="inlineStr">
        <is>
          <t>nuclear</t>
        </is>
      </c>
      <c r="B5">
        <f>Calculations!D64</f>
        <v/>
      </c>
      <c r="C5">
        <f>Calculations!E64</f>
        <v/>
      </c>
      <c r="D5">
        <f>Calculations!F64</f>
        <v/>
      </c>
      <c r="E5">
        <f>Calculations!G64</f>
        <v/>
      </c>
      <c r="F5">
        <f>Calculations!H64</f>
        <v/>
      </c>
      <c r="G5">
        <f>Calculations!I64</f>
        <v/>
      </c>
      <c r="H5">
        <f>Calculations!J64</f>
        <v/>
      </c>
      <c r="I5">
        <f>Calculations!K64</f>
        <v/>
      </c>
      <c r="J5">
        <f>Calculations!L64</f>
        <v/>
      </c>
      <c r="K5">
        <f>Calculations!M64</f>
        <v/>
      </c>
      <c r="L5">
        <f>Calculations!N64</f>
        <v/>
      </c>
      <c r="M5">
        <f>Calculations!O64</f>
        <v/>
      </c>
      <c r="N5">
        <f>Calculations!P64</f>
        <v/>
      </c>
      <c r="O5">
        <f>Calculations!Q64</f>
        <v/>
      </c>
      <c r="P5">
        <f>Calculations!R64</f>
        <v/>
      </c>
      <c r="Q5">
        <f>Calculations!S64</f>
        <v/>
      </c>
      <c r="R5">
        <f>Calculations!T64</f>
        <v/>
      </c>
      <c r="S5">
        <f>Calculations!U64</f>
        <v/>
      </c>
      <c r="T5">
        <f>Calculations!V64</f>
        <v/>
      </c>
      <c r="U5">
        <f>Calculations!W64</f>
        <v/>
      </c>
      <c r="V5">
        <f>Calculations!X64</f>
        <v/>
      </c>
      <c r="W5">
        <f>Calculations!Y64</f>
        <v/>
      </c>
      <c r="X5">
        <f>Calculations!Z64</f>
        <v/>
      </c>
      <c r="Y5">
        <f>Calculations!AA64</f>
        <v/>
      </c>
      <c r="Z5">
        <f>Calculations!AB64</f>
        <v/>
      </c>
      <c r="AA5">
        <f>Calculations!AC64</f>
        <v/>
      </c>
      <c r="AB5">
        <f>Calculations!AD64</f>
        <v/>
      </c>
      <c r="AC5">
        <f>Calculations!AE64</f>
        <v/>
      </c>
    </row>
    <row r="6">
      <c r="A6" t="inlineStr">
        <is>
          <t>hydro</t>
        </is>
      </c>
      <c r="B6">
        <f>Calculations!D65</f>
        <v/>
      </c>
      <c r="C6">
        <f>Calculations!E65</f>
        <v/>
      </c>
      <c r="D6">
        <f>Calculations!F65</f>
        <v/>
      </c>
      <c r="E6">
        <f>Calculations!G65</f>
        <v/>
      </c>
      <c r="F6">
        <f>Calculations!H65</f>
        <v/>
      </c>
      <c r="G6">
        <f>Calculations!I65</f>
        <v/>
      </c>
      <c r="H6">
        <f>Calculations!J65</f>
        <v/>
      </c>
      <c r="I6">
        <f>Calculations!K65</f>
        <v/>
      </c>
      <c r="J6">
        <f>Calculations!L65</f>
        <v/>
      </c>
      <c r="K6">
        <f>Calculations!M65</f>
        <v/>
      </c>
      <c r="L6">
        <f>Calculations!N65</f>
        <v/>
      </c>
      <c r="M6">
        <f>Calculations!O65</f>
        <v/>
      </c>
      <c r="N6">
        <f>Calculations!P65</f>
        <v/>
      </c>
      <c r="O6">
        <f>Calculations!Q65</f>
        <v/>
      </c>
      <c r="P6">
        <f>Calculations!R65</f>
        <v/>
      </c>
      <c r="Q6">
        <f>Calculations!S65</f>
        <v/>
      </c>
      <c r="R6">
        <f>Calculations!T65</f>
        <v/>
      </c>
      <c r="S6">
        <f>Calculations!U65</f>
        <v/>
      </c>
      <c r="T6">
        <f>Calculations!V65</f>
        <v/>
      </c>
      <c r="U6">
        <f>Calculations!W65</f>
        <v/>
      </c>
      <c r="V6">
        <f>Calculations!X65</f>
        <v/>
      </c>
      <c r="W6">
        <f>Calculations!Y65</f>
        <v/>
      </c>
      <c r="X6">
        <f>Calculations!Z65</f>
        <v/>
      </c>
      <c r="Y6">
        <f>Calculations!AA65</f>
        <v/>
      </c>
      <c r="Z6">
        <f>Calculations!AB65</f>
        <v/>
      </c>
      <c r="AA6">
        <f>Calculations!AC65</f>
        <v/>
      </c>
      <c r="AB6">
        <f>Calculations!AD65</f>
        <v/>
      </c>
      <c r="AC6">
        <f>Calculations!AE65</f>
        <v/>
      </c>
    </row>
    <row r="7">
      <c r="A7" t="inlineStr">
        <is>
          <t>onshore wind</t>
        </is>
      </c>
      <c r="B7">
        <f>Calculations!D66</f>
        <v/>
      </c>
      <c r="C7">
        <f>Calculations!E66</f>
        <v/>
      </c>
      <c r="D7">
        <f>Calculations!F66</f>
        <v/>
      </c>
      <c r="E7">
        <f>Calculations!G66</f>
        <v/>
      </c>
      <c r="F7">
        <f>Calculations!H66</f>
        <v/>
      </c>
      <c r="G7">
        <f>Calculations!I66</f>
        <v/>
      </c>
      <c r="H7">
        <f>Calculations!J66</f>
        <v/>
      </c>
      <c r="I7">
        <f>Calculations!K66</f>
        <v/>
      </c>
      <c r="J7">
        <f>Calculations!L66</f>
        <v/>
      </c>
      <c r="K7">
        <f>Calculations!M66</f>
        <v/>
      </c>
      <c r="L7">
        <f>Calculations!N66</f>
        <v/>
      </c>
      <c r="M7">
        <f>Calculations!O66</f>
        <v/>
      </c>
      <c r="N7">
        <f>Calculations!P66</f>
        <v/>
      </c>
      <c r="O7">
        <f>Calculations!Q66</f>
        <v/>
      </c>
      <c r="P7">
        <f>Calculations!R66</f>
        <v/>
      </c>
      <c r="Q7">
        <f>Calculations!S66</f>
        <v/>
      </c>
      <c r="R7">
        <f>Calculations!T66</f>
        <v/>
      </c>
      <c r="S7">
        <f>Calculations!U66</f>
        <v/>
      </c>
      <c r="T7">
        <f>Calculations!V66</f>
        <v/>
      </c>
      <c r="U7">
        <f>Calculations!W66</f>
        <v/>
      </c>
      <c r="V7">
        <f>Calculations!X66</f>
        <v/>
      </c>
      <c r="W7">
        <f>Calculations!Y66</f>
        <v/>
      </c>
      <c r="X7">
        <f>Calculations!Z66</f>
        <v/>
      </c>
      <c r="Y7">
        <f>Calculations!AA66</f>
        <v/>
      </c>
      <c r="Z7">
        <f>Calculations!AB66</f>
        <v/>
      </c>
      <c r="AA7">
        <f>Calculations!AC66</f>
        <v/>
      </c>
      <c r="AB7">
        <f>Calculations!AD66</f>
        <v/>
      </c>
      <c r="AC7">
        <f>Calculations!AE66</f>
        <v/>
      </c>
    </row>
    <row r="8">
      <c r="A8" t="inlineStr">
        <is>
          <t>solar PV</t>
        </is>
      </c>
      <c r="B8" s="54">
        <f>Calculations!D67+'Inflation Reduction Act'!B60</f>
        <v/>
      </c>
      <c r="C8" s="54">
        <f>Calculations!E67+'Inflation Reduction Act'!C60</f>
        <v/>
      </c>
      <c r="D8" s="54">
        <f>Calculations!F67+'Inflation Reduction Act'!D60</f>
        <v/>
      </c>
      <c r="E8">
        <f>Calculations!G67</f>
        <v/>
      </c>
      <c r="F8">
        <f>Calculations!H67</f>
        <v/>
      </c>
      <c r="G8">
        <f>Calculations!I67</f>
        <v/>
      </c>
      <c r="H8">
        <f>Calculations!J67</f>
        <v/>
      </c>
      <c r="I8">
        <f>Calculations!K67</f>
        <v/>
      </c>
      <c r="J8">
        <f>Calculations!L67</f>
        <v/>
      </c>
      <c r="K8">
        <f>Calculations!M67</f>
        <v/>
      </c>
      <c r="L8">
        <f>Calculations!N67</f>
        <v/>
      </c>
      <c r="M8">
        <f>Calculations!O67</f>
        <v/>
      </c>
      <c r="N8">
        <f>Calculations!P67</f>
        <v/>
      </c>
      <c r="O8">
        <f>Calculations!Q67</f>
        <v/>
      </c>
      <c r="P8">
        <f>Calculations!R67</f>
        <v/>
      </c>
      <c r="Q8">
        <f>Calculations!S67</f>
        <v/>
      </c>
      <c r="R8">
        <f>Calculations!T67</f>
        <v/>
      </c>
      <c r="S8">
        <f>Calculations!U67</f>
        <v/>
      </c>
      <c r="T8">
        <f>Calculations!V67</f>
        <v/>
      </c>
      <c r="U8">
        <f>Calculations!W67</f>
        <v/>
      </c>
      <c r="V8">
        <f>Calculations!X67</f>
        <v/>
      </c>
      <c r="W8">
        <f>Calculations!Y67</f>
        <v/>
      </c>
      <c r="X8">
        <f>Calculations!Z67</f>
        <v/>
      </c>
      <c r="Y8">
        <f>Calculations!AA67</f>
        <v/>
      </c>
      <c r="Z8">
        <f>Calculations!AB67</f>
        <v/>
      </c>
      <c r="AA8">
        <f>Calculations!AC67</f>
        <v/>
      </c>
      <c r="AB8">
        <f>Calculations!AD67</f>
        <v/>
      </c>
      <c r="AC8">
        <f>Calculations!AE67</f>
        <v/>
      </c>
    </row>
    <row r="9">
      <c r="A9" t="inlineStr">
        <is>
          <t>solar thermal</t>
        </is>
      </c>
      <c r="B9">
        <f>Calculations!D68</f>
        <v/>
      </c>
      <c r="C9">
        <f>Calculations!E68</f>
        <v/>
      </c>
      <c r="D9">
        <f>Calculations!F68</f>
        <v/>
      </c>
      <c r="E9">
        <f>Calculations!G68</f>
        <v/>
      </c>
      <c r="F9">
        <f>Calculations!H68</f>
        <v/>
      </c>
      <c r="G9">
        <f>Calculations!I68</f>
        <v/>
      </c>
      <c r="H9">
        <f>Calculations!J68</f>
        <v/>
      </c>
      <c r="I9">
        <f>Calculations!K68</f>
        <v/>
      </c>
      <c r="J9">
        <f>Calculations!L68</f>
        <v/>
      </c>
      <c r="K9">
        <f>Calculations!M68</f>
        <v/>
      </c>
      <c r="L9">
        <f>Calculations!N68</f>
        <v/>
      </c>
      <c r="M9">
        <f>Calculations!O68</f>
        <v/>
      </c>
      <c r="N9">
        <f>Calculations!P68</f>
        <v/>
      </c>
      <c r="O9">
        <f>Calculations!Q68</f>
        <v/>
      </c>
      <c r="P9">
        <f>Calculations!R68</f>
        <v/>
      </c>
      <c r="Q9">
        <f>Calculations!S68</f>
        <v/>
      </c>
      <c r="R9">
        <f>Calculations!T68</f>
        <v/>
      </c>
      <c r="S9">
        <f>Calculations!U68</f>
        <v/>
      </c>
      <c r="T9">
        <f>Calculations!V68</f>
        <v/>
      </c>
      <c r="U9">
        <f>Calculations!W68</f>
        <v/>
      </c>
      <c r="V9">
        <f>Calculations!X68</f>
        <v/>
      </c>
      <c r="W9">
        <f>Calculations!Y68</f>
        <v/>
      </c>
      <c r="X9">
        <f>Calculations!Z68</f>
        <v/>
      </c>
      <c r="Y9">
        <f>Calculations!AA68</f>
        <v/>
      </c>
      <c r="Z9">
        <f>Calculations!AB68</f>
        <v/>
      </c>
      <c r="AA9">
        <f>Calculations!AC68</f>
        <v/>
      </c>
      <c r="AB9">
        <f>Calculations!AD68</f>
        <v/>
      </c>
      <c r="AC9">
        <f>Calculations!AE68</f>
        <v/>
      </c>
    </row>
    <row r="10">
      <c r="A10" t="inlineStr">
        <is>
          <t>biomass</t>
        </is>
      </c>
      <c r="B10">
        <f>Calculations!D69</f>
        <v/>
      </c>
      <c r="C10">
        <f>Calculations!E69</f>
        <v/>
      </c>
      <c r="D10">
        <f>Calculations!F69</f>
        <v/>
      </c>
      <c r="E10">
        <f>Calculations!G69</f>
        <v/>
      </c>
      <c r="F10">
        <f>Calculations!H69</f>
        <v/>
      </c>
      <c r="G10">
        <f>Calculations!I69</f>
        <v/>
      </c>
      <c r="H10">
        <f>Calculations!J69</f>
        <v/>
      </c>
      <c r="I10">
        <f>Calculations!K69</f>
        <v/>
      </c>
      <c r="J10">
        <f>Calculations!L69</f>
        <v/>
      </c>
      <c r="K10">
        <f>Calculations!M69</f>
        <v/>
      </c>
      <c r="L10">
        <f>Calculations!N69</f>
        <v/>
      </c>
      <c r="M10">
        <f>Calculations!O69</f>
        <v/>
      </c>
      <c r="N10">
        <f>Calculations!P69</f>
        <v/>
      </c>
      <c r="O10">
        <f>Calculations!Q69</f>
        <v/>
      </c>
      <c r="P10">
        <f>Calculations!R69</f>
        <v/>
      </c>
      <c r="Q10">
        <f>Calculations!S69</f>
        <v/>
      </c>
      <c r="R10">
        <f>Calculations!T69</f>
        <v/>
      </c>
      <c r="S10">
        <f>Calculations!U69</f>
        <v/>
      </c>
      <c r="T10">
        <f>Calculations!V69</f>
        <v/>
      </c>
      <c r="U10">
        <f>Calculations!W69</f>
        <v/>
      </c>
      <c r="V10">
        <f>Calculations!X69</f>
        <v/>
      </c>
      <c r="W10">
        <f>Calculations!Y69</f>
        <v/>
      </c>
      <c r="X10">
        <f>Calculations!Z69</f>
        <v/>
      </c>
      <c r="Y10">
        <f>Calculations!AA69</f>
        <v/>
      </c>
      <c r="Z10">
        <f>Calculations!AB69</f>
        <v/>
      </c>
      <c r="AA10">
        <f>Calculations!AC69</f>
        <v/>
      </c>
      <c r="AB10">
        <f>Calculations!AD69</f>
        <v/>
      </c>
      <c r="AC10">
        <f>Calculations!AE69</f>
        <v/>
      </c>
    </row>
    <row r="11">
      <c r="A11" t="inlineStr">
        <is>
          <t>geothermal</t>
        </is>
      </c>
      <c r="B11">
        <f>Calculations!D70</f>
        <v/>
      </c>
      <c r="C11">
        <f>Calculations!E70</f>
        <v/>
      </c>
      <c r="D11">
        <f>Calculations!F70</f>
        <v/>
      </c>
      <c r="E11">
        <f>Calculations!G70</f>
        <v/>
      </c>
      <c r="F11">
        <f>Calculations!H70</f>
        <v/>
      </c>
      <c r="G11">
        <f>Calculations!I70</f>
        <v/>
      </c>
      <c r="H11">
        <f>Calculations!J70</f>
        <v/>
      </c>
      <c r="I11">
        <f>Calculations!K70</f>
        <v/>
      </c>
      <c r="J11">
        <f>Calculations!L70</f>
        <v/>
      </c>
      <c r="K11">
        <f>Calculations!M70</f>
        <v/>
      </c>
      <c r="L11">
        <f>Calculations!N70</f>
        <v/>
      </c>
      <c r="M11">
        <f>Calculations!O70</f>
        <v/>
      </c>
      <c r="N11">
        <f>Calculations!P70</f>
        <v/>
      </c>
      <c r="O11">
        <f>Calculations!Q70</f>
        <v/>
      </c>
      <c r="P11">
        <f>Calculations!R70</f>
        <v/>
      </c>
      <c r="Q11">
        <f>Calculations!S70</f>
        <v/>
      </c>
      <c r="R11">
        <f>Calculations!T70</f>
        <v/>
      </c>
      <c r="S11">
        <f>Calculations!U70</f>
        <v/>
      </c>
      <c r="T11">
        <f>Calculations!V70</f>
        <v/>
      </c>
      <c r="U11">
        <f>Calculations!W70</f>
        <v/>
      </c>
      <c r="V11">
        <f>Calculations!X70</f>
        <v/>
      </c>
      <c r="W11">
        <f>Calculations!Y70</f>
        <v/>
      </c>
      <c r="X11">
        <f>Calculations!Z70</f>
        <v/>
      </c>
      <c r="Y11">
        <f>Calculations!AA70</f>
        <v/>
      </c>
      <c r="Z11">
        <f>Calculations!AB70</f>
        <v/>
      </c>
      <c r="AA11">
        <f>Calculations!AC70</f>
        <v/>
      </c>
      <c r="AB11">
        <f>Calculations!AD70</f>
        <v/>
      </c>
      <c r="AC11">
        <f>Calculations!AE70</f>
        <v/>
      </c>
    </row>
    <row r="12">
      <c r="A12" t="inlineStr">
        <is>
          <t>petroleum</t>
        </is>
      </c>
      <c r="B12">
        <f>Calculations!D71</f>
        <v/>
      </c>
      <c r="C12">
        <f>Calculations!E71</f>
        <v/>
      </c>
      <c r="D12">
        <f>Calculations!F71</f>
        <v/>
      </c>
      <c r="E12">
        <f>Calculations!G71</f>
        <v/>
      </c>
      <c r="F12">
        <f>Calculations!H71</f>
        <v/>
      </c>
      <c r="G12">
        <f>Calculations!I71</f>
        <v/>
      </c>
      <c r="H12">
        <f>Calculations!J71</f>
        <v/>
      </c>
      <c r="I12">
        <f>Calculations!K71</f>
        <v/>
      </c>
      <c r="J12">
        <f>Calculations!L71</f>
        <v/>
      </c>
      <c r="K12">
        <f>Calculations!M71</f>
        <v/>
      </c>
      <c r="L12">
        <f>Calculations!N71</f>
        <v/>
      </c>
      <c r="M12">
        <f>Calculations!O71</f>
        <v/>
      </c>
      <c r="N12">
        <f>Calculations!P71</f>
        <v/>
      </c>
      <c r="O12">
        <f>Calculations!Q71</f>
        <v/>
      </c>
      <c r="P12">
        <f>Calculations!R71</f>
        <v/>
      </c>
      <c r="Q12">
        <f>Calculations!S71</f>
        <v/>
      </c>
      <c r="R12">
        <f>Calculations!T71</f>
        <v/>
      </c>
      <c r="S12">
        <f>Calculations!U71</f>
        <v/>
      </c>
      <c r="T12">
        <f>Calculations!V71</f>
        <v/>
      </c>
      <c r="U12">
        <f>Calculations!W71</f>
        <v/>
      </c>
      <c r="V12">
        <f>Calculations!X71</f>
        <v/>
      </c>
      <c r="W12">
        <f>Calculations!Y71</f>
        <v/>
      </c>
      <c r="X12">
        <f>Calculations!Z71</f>
        <v/>
      </c>
      <c r="Y12">
        <f>Calculations!AA71</f>
        <v/>
      </c>
      <c r="Z12">
        <f>Calculations!AB71</f>
        <v/>
      </c>
      <c r="AA12">
        <f>Calculations!AC71</f>
        <v/>
      </c>
      <c r="AB12">
        <f>Calculations!AD71</f>
        <v/>
      </c>
      <c r="AC12">
        <f>Calculations!AE71</f>
        <v/>
      </c>
    </row>
    <row r="13">
      <c r="A13" t="inlineStr">
        <is>
          <t>natural gas peaker</t>
        </is>
      </c>
      <c r="B13">
        <f>Calculations!D72</f>
        <v/>
      </c>
      <c r="C13">
        <f>Calculations!E72</f>
        <v/>
      </c>
      <c r="D13">
        <f>Calculations!F72</f>
        <v/>
      </c>
      <c r="E13">
        <f>Calculations!G72</f>
        <v/>
      </c>
      <c r="F13">
        <f>Calculations!H72</f>
        <v/>
      </c>
      <c r="G13">
        <f>Calculations!I72</f>
        <v/>
      </c>
      <c r="H13">
        <f>Calculations!J72</f>
        <v/>
      </c>
      <c r="I13">
        <f>Calculations!K72</f>
        <v/>
      </c>
      <c r="J13">
        <f>Calculations!L72</f>
        <v/>
      </c>
      <c r="K13">
        <f>Calculations!M72</f>
        <v/>
      </c>
      <c r="L13">
        <f>Calculations!N72</f>
        <v/>
      </c>
      <c r="M13">
        <f>Calculations!O72</f>
        <v/>
      </c>
      <c r="N13">
        <f>Calculations!P72</f>
        <v/>
      </c>
      <c r="O13">
        <f>Calculations!Q72</f>
        <v/>
      </c>
      <c r="P13">
        <f>Calculations!R72</f>
        <v/>
      </c>
      <c r="Q13">
        <f>Calculations!S72</f>
        <v/>
      </c>
      <c r="R13">
        <f>Calculations!T72</f>
        <v/>
      </c>
      <c r="S13">
        <f>Calculations!U72</f>
        <v/>
      </c>
      <c r="T13">
        <f>Calculations!V72</f>
        <v/>
      </c>
      <c r="U13">
        <f>Calculations!W72</f>
        <v/>
      </c>
      <c r="V13">
        <f>Calculations!X72</f>
        <v/>
      </c>
      <c r="W13">
        <f>Calculations!Y72</f>
        <v/>
      </c>
      <c r="X13">
        <f>Calculations!Z72</f>
        <v/>
      </c>
      <c r="Y13">
        <f>Calculations!AA72</f>
        <v/>
      </c>
      <c r="Z13">
        <f>Calculations!AB72</f>
        <v/>
      </c>
      <c r="AA13">
        <f>Calculations!AC72</f>
        <v/>
      </c>
      <c r="AB13">
        <f>Calculations!AD72</f>
        <v/>
      </c>
      <c r="AC13">
        <f>Calculations!AE72</f>
        <v/>
      </c>
    </row>
    <row r="14">
      <c r="A14" t="inlineStr">
        <is>
          <t>lignite</t>
        </is>
      </c>
      <c r="B14">
        <f>Calculations!D73</f>
        <v/>
      </c>
      <c r="C14">
        <f>Calculations!E73</f>
        <v/>
      </c>
      <c r="D14">
        <f>Calculations!F73</f>
        <v/>
      </c>
      <c r="E14">
        <f>Calculations!G73</f>
        <v/>
      </c>
      <c r="F14">
        <f>Calculations!H73</f>
        <v/>
      </c>
      <c r="G14">
        <f>Calculations!I73</f>
        <v/>
      </c>
      <c r="H14">
        <f>Calculations!J73</f>
        <v/>
      </c>
      <c r="I14">
        <f>Calculations!K73</f>
        <v/>
      </c>
      <c r="J14">
        <f>Calculations!L73</f>
        <v/>
      </c>
      <c r="K14">
        <f>Calculations!M73</f>
        <v/>
      </c>
      <c r="L14">
        <f>Calculations!N73</f>
        <v/>
      </c>
      <c r="M14">
        <f>Calculations!O73</f>
        <v/>
      </c>
      <c r="N14">
        <f>Calculations!P73</f>
        <v/>
      </c>
      <c r="O14">
        <f>Calculations!Q73</f>
        <v/>
      </c>
      <c r="P14">
        <f>Calculations!R73</f>
        <v/>
      </c>
      <c r="Q14">
        <f>Calculations!S73</f>
        <v/>
      </c>
      <c r="R14">
        <f>Calculations!T73</f>
        <v/>
      </c>
      <c r="S14">
        <f>Calculations!U73</f>
        <v/>
      </c>
      <c r="T14">
        <f>Calculations!V73</f>
        <v/>
      </c>
      <c r="U14">
        <f>Calculations!W73</f>
        <v/>
      </c>
      <c r="V14">
        <f>Calculations!X73</f>
        <v/>
      </c>
      <c r="W14">
        <f>Calculations!Y73</f>
        <v/>
      </c>
      <c r="X14">
        <f>Calculations!Z73</f>
        <v/>
      </c>
      <c r="Y14">
        <f>Calculations!AA73</f>
        <v/>
      </c>
      <c r="Z14">
        <f>Calculations!AB73</f>
        <v/>
      </c>
      <c r="AA14">
        <f>Calculations!AC73</f>
        <v/>
      </c>
      <c r="AB14">
        <f>Calculations!AD73</f>
        <v/>
      </c>
      <c r="AC14">
        <f>Calculations!AE73</f>
        <v/>
      </c>
    </row>
    <row r="15">
      <c r="A15" t="inlineStr">
        <is>
          <t>offshore wind</t>
        </is>
      </c>
      <c r="B15">
        <f>Calculations!D74</f>
        <v/>
      </c>
      <c r="C15">
        <f>Calculations!E74</f>
        <v/>
      </c>
      <c r="D15">
        <f>Calculations!F74</f>
        <v/>
      </c>
      <c r="E15">
        <f>Calculations!G74</f>
        <v/>
      </c>
      <c r="F15">
        <f>Calculations!H74</f>
        <v/>
      </c>
      <c r="G15">
        <f>Calculations!I74</f>
        <v/>
      </c>
      <c r="H15">
        <f>Calculations!J74</f>
        <v/>
      </c>
      <c r="I15">
        <f>Calculations!K74</f>
        <v/>
      </c>
      <c r="J15">
        <f>Calculations!L74</f>
        <v/>
      </c>
      <c r="K15">
        <f>Calculations!M74</f>
        <v/>
      </c>
      <c r="L15">
        <f>Calculations!N74</f>
        <v/>
      </c>
      <c r="M15">
        <f>Calculations!O74</f>
        <v/>
      </c>
      <c r="N15">
        <f>Calculations!P74</f>
        <v/>
      </c>
      <c r="O15">
        <f>Calculations!Q74</f>
        <v/>
      </c>
      <c r="P15">
        <f>Calculations!R74</f>
        <v/>
      </c>
      <c r="Q15">
        <f>Calculations!S74</f>
        <v/>
      </c>
      <c r="R15">
        <f>Calculations!T74</f>
        <v/>
      </c>
      <c r="S15">
        <f>Calculations!U74</f>
        <v/>
      </c>
      <c r="T15">
        <f>Calculations!V74</f>
        <v/>
      </c>
      <c r="U15">
        <f>Calculations!W74</f>
        <v/>
      </c>
      <c r="V15">
        <f>Calculations!X74</f>
        <v/>
      </c>
      <c r="W15">
        <f>Calculations!Y74</f>
        <v/>
      </c>
      <c r="X15">
        <f>Calculations!Z74</f>
        <v/>
      </c>
      <c r="Y15">
        <f>Calculations!AA74</f>
        <v/>
      </c>
      <c r="Z15">
        <f>Calculations!AB74</f>
        <v/>
      </c>
      <c r="AA15">
        <f>Calculations!AC74</f>
        <v/>
      </c>
      <c r="AB15">
        <f>Calculations!AD74</f>
        <v/>
      </c>
      <c r="AC15">
        <f>Calculations!AE74</f>
        <v/>
      </c>
    </row>
    <row r="16">
      <c r="A16" t="inlineStr">
        <is>
          <t>crude oil</t>
        </is>
      </c>
      <c r="B16">
        <f>Calculations!D75</f>
        <v/>
      </c>
      <c r="C16">
        <f>Calculations!E75</f>
        <v/>
      </c>
      <c r="D16">
        <f>Calculations!F75</f>
        <v/>
      </c>
      <c r="E16">
        <f>Calculations!G75</f>
        <v/>
      </c>
      <c r="F16">
        <f>Calculations!H75</f>
        <v/>
      </c>
      <c r="G16">
        <f>Calculations!I75</f>
        <v/>
      </c>
      <c r="H16">
        <f>Calculations!J75</f>
        <v/>
      </c>
      <c r="I16">
        <f>Calculations!K75</f>
        <v/>
      </c>
      <c r="J16">
        <f>Calculations!L75</f>
        <v/>
      </c>
      <c r="K16">
        <f>Calculations!M75</f>
        <v/>
      </c>
      <c r="L16">
        <f>Calculations!N75</f>
        <v/>
      </c>
      <c r="M16">
        <f>Calculations!O75</f>
        <v/>
      </c>
      <c r="N16">
        <f>Calculations!P75</f>
        <v/>
      </c>
      <c r="O16">
        <f>Calculations!Q75</f>
        <v/>
      </c>
      <c r="P16">
        <f>Calculations!R75</f>
        <v/>
      </c>
      <c r="Q16">
        <f>Calculations!S75</f>
        <v/>
      </c>
      <c r="R16">
        <f>Calculations!T75</f>
        <v/>
      </c>
      <c r="S16">
        <f>Calculations!U75</f>
        <v/>
      </c>
      <c r="T16">
        <f>Calculations!V75</f>
        <v/>
      </c>
      <c r="U16">
        <f>Calculations!W75</f>
        <v/>
      </c>
      <c r="V16">
        <f>Calculations!X75</f>
        <v/>
      </c>
      <c r="W16">
        <f>Calculations!Y75</f>
        <v/>
      </c>
      <c r="X16">
        <f>Calculations!Z75</f>
        <v/>
      </c>
      <c r="Y16">
        <f>Calculations!AA75</f>
        <v/>
      </c>
      <c r="Z16">
        <f>Calculations!AB75</f>
        <v/>
      </c>
      <c r="AA16">
        <f>Calculations!AC75</f>
        <v/>
      </c>
      <c r="AB16">
        <f>Calculations!AD75</f>
        <v/>
      </c>
      <c r="AC16">
        <f>Calculations!AE75</f>
        <v/>
      </c>
    </row>
    <row r="17">
      <c r="A17" t="inlineStr">
        <is>
          <t>heavy or residual fuel oil</t>
        </is>
      </c>
      <c r="B17">
        <f>Calculations!D76</f>
        <v/>
      </c>
      <c r="C17">
        <f>Calculations!E76</f>
        <v/>
      </c>
      <c r="D17">
        <f>Calculations!F76</f>
        <v/>
      </c>
      <c r="E17">
        <f>Calculations!G76</f>
        <v/>
      </c>
      <c r="F17">
        <f>Calculations!H76</f>
        <v/>
      </c>
      <c r="G17">
        <f>Calculations!I76</f>
        <v/>
      </c>
      <c r="H17">
        <f>Calculations!J76</f>
        <v/>
      </c>
      <c r="I17">
        <f>Calculations!K76</f>
        <v/>
      </c>
      <c r="J17">
        <f>Calculations!L76</f>
        <v/>
      </c>
      <c r="K17">
        <f>Calculations!M76</f>
        <v/>
      </c>
      <c r="L17">
        <f>Calculations!N76</f>
        <v/>
      </c>
      <c r="M17">
        <f>Calculations!O76</f>
        <v/>
      </c>
      <c r="N17">
        <f>Calculations!P76</f>
        <v/>
      </c>
      <c r="O17">
        <f>Calculations!Q76</f>
        <v/>
      </c>
      <c r="P17">
        <f>Calculations!R76</f>
        <v/>
      </c>
      <c r="Q17">
        <f>Calculations!S76</f>
        <v/>
      </c>
      <c r="R17">
        <f>Calculations!T76</f>
        <v/>
      </c>
      <c r="S17">
        <f>Calculations!U76</f>
        <v/>
      </c>
      <c r="T17">
        <f>Calculations!V76</f>
        <v/>
      </c>
      <c r="U17">
        <f>Calculations!W76</f>
        <v/>
      </c>
      <c r="V17">
        <f>Calculations!X76</f>
        <v/>
      </c>
      <c r="W17">
        <f>Calculations!Y76</f>
        <v/>
      </c>
      <c r="X17">
        <f>Calculations!Z76</f>
        <v/>
      </c>
      <c r="Y17">
        <f>Calculations!AA76</f>
        <v/>
      </c>
      <c r="Z17">
        <f>Calculations!AB76</f>
        <v/>
      </c>
      <c r="AA17">
        <f>Calculations!AC76</f>
        <v/>
      </c>
      <c r="AB17">
        <f>Calculations!AD76</f>
        <v/>
      </c>
      <c r="AC17">
        <f>Calculations!AE76</f>
        <v/>
      </c>
    </row>
    <row r="18">
      <c r="A18" t="inlineStr">
        <is>
          <t>municipal solid waste</t>
        </is>
      </c>
      <c r="B18">
        <f>Calculations!D77</f>
        <v/>
      </c>
      <c r="C18">
        <f>Calculations!E77</f>
        <v/>
      </c>
      <c r="D18">
        <f>Calculations!F77</f>
        <v/>
      </c>
      <c r="E18">
        <f>Calculations!G77</f>
        <v/>
      </c>
      <c r="F18">
        <f>Calculations!H77</f>
        <v/>
      </c>
      <c r="G18">
        <f>Calculations!I77</f>
        <v/>
      </c>
      <c r="H18">
        <f>Calculations!J77</f>
        <v/>
      </c>
      <c r="I18">
        <f>Calculations!K77</f>
        <v/>
      </c>
      <c r="J18">
        <f>Calculations!L77</f>
        <v/>
      </c>
      <c r="K18">
        <f>Calculations!M77</f>
        <v/>
      </c>
      <c r="L18">
        <f>Calculations!N77</f>
        <v/>
      </c>
      <c r="M18">
        <f>Calculations!O77</f>
        <v/>
      </c>
      <c r="N18">
        <f>Calculations!P77</f>
        <v/>
      </c>
      <c r="O18">
        <f>Calculations!Q77</f>
        <v/>
      </c>
      <c r="P18">
        <f>Calculations!R77</f>
        <v/>
      </c>
      <c r="Q18">
        <f>Calculations!S77</f>
        <v/>
      </c>
      <c r="R18">
        <f>Calculations!T77</f>
        <v/>
      </c>
      <c r="S18">
        <f>Calculations!U77</f>
        <v/>
      </c>
      <c r="T18">
        <f>Calculations!V77</f>
        <v/>
      </c>
      <c r="U18">
        <f>Calculations!W77</f>
        <v/>
      </c>
      <c r="V18">
        <f>Calculations!X77</f>
        <v/>
      </c>
      <c r="W18">
        <f>Calculations!Y77</f>
        <v/>
      </c>
      <c r="X18">
        <f>Calculations!Z77</f>
        <v/>
      </c>
      <c r="Y18">
        <f>Calculations!AA77</f>
        <v/>
      </c>
      <c r="Z18">
        <f>Calculations!AB77</f>
        <v/>
      </c>
      <c r="AA18">
        <f>Calculations!AC77</f>
        <v/>
      </c>
      <c r="AB18">
        <f>Calculations!AD77</f>
        <v/>
      </c>
      <c r="AC18">
        <f>Calculations!AE77</f>
        <v/>
      </c>
    </row>
    <row r="19">
      <c r="A19" s="55" t="inlineStr">
        <is>
          <t>hard coal w CCS</t>
        </is>
      </c>
      <c r="B19" t="n">
        <v>0</v>
      </c>
      <c r="C19" t="n">
        <v>0</v>
      </c>
      <c r="D19" t="n">
        <v>0</v>
      </c>
      <c r="E19" t="n">
        <v>0</v>
      </c>
      <c r="F19" t="n">
        <v>0</v>
      </c>
      <c r="G19" t="n">
        <v>0</v>
      </c>
      <c r="H19" t="n">
        <v>0</v>
      </c>
      <c r="I19" t="n">
        <v>0</v>
      </c>
      <c r="J19" t="n">
        <v>0</v>
      </c>
      <c r="K19" t="n">
        <v>0</v>
      </c>
      <c r="L19" t="n">
        <v>0</v>
      </c>
      <c r="M19" t="n">
        <v>0</v>
      </c>
      <c r="N19" t="n">
        <v>0</v>
      </c>
      <c r="O19" t="n">
        <v>0</v>
      </c>
      <c r="P19" t="n">
        <v>0</v>
      </c>
      <c r="Q19" t="n">
        <v>0</v>
      </c>
      <c r="R19" t="n">
        <v>0</v>
      </c>
      <c r="S19" t="n">
        <v>0</v>
      </c>
      <c r="T19" t="n">
        <v>0</v>
      </c>
      <c r="U19" t="n">
        <v>0</v>
      </c>
      <c r="V19" t="n">
        <v>0</v>
      </c>
      <c r="W19" t="n">
        <v>0</v>
      </c>
      <c r="X19" t="n">
        <v>0</v>
      </c>
      <c r="Y19" t="n">
        <v>0</v>
      </c>
      <c r="Z19" t="n">
        <v>0</v>
      </c>
      <c r="AA19" t="n">
        <v>0</v>
      </c>
      <c r="AB19" t="n">
        <v>0</v>
      </c>
      <c r="AC19" t="n">
        <v>0</v>
      </c>
    </row>
    <row r="20">
      <c r="A20" s="55" t="inlineStr">
        <is>
          <t>natural gas combined cycle w CCS</t>
        </is>
      </c>
      <c r="B20" t="n">
        <v>0</v>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row>
    <row r="21">
      <c r="A21" s="55" t="inlineStr">
        <is>
          <t>biomass w CCS</t>
        </is>
      </c>
      <c r="B21" t="n">
        <v>0</v>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row>
    <row r="22">
      <c r="A22" s="55" t="inlineStr">
        <is>
          <t>lignite w CCS</t>
        </is>
      </c>
      <c r="B22" t="n">
        <v>0</v>
      </c>
      <c r="C22" t="n">
        <v>0</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row>
    <row r="23">
      <c r="A23" s="55" t="inlineStr">
        <is>
          <t>small modular reactor</t>
        </is>
      </c>
      <c r="B23" t="n">
        <v>0</v>
      </c>
      <c r="C23" t="n">
        <v>0</v>
      </c>
      <c r="D23" t="n">
        <v>0</v>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row>
    <row r="24">
      <c r="A24" s="56" t="inlineStr">
        <is>
          <t>hydrogen combustion turbine</t>
        </is>
      </c>
      <c r="B24" t="n">
        <v>0</v>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row>
    <row r="25">
      <c r="A25" s="56" t="inlineStr">
        <is>
          <t>hydrogen combined cycle</t>
        </is>
      </c>
      <c r="B25" t="n">
        <v>0</v>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row>
  </sheetData>
  <pageMargins left="0.7" right="0.7" top="0.75" bottom="0.75" header="0.3" footer="0.3"/>
</worksheet>
</file>

<file path=xl/worksheets/sheet13.xml><?xml version="1.0" encoding="utf-8"?>
<worksheet xmlns="http://schemas.openxmlformats.org/spreadsheetml/2006/main">
  <sheetPr>
    <tabColor theme="3"/>
    <outlinePr summaryBelow="1" summaryRight="1"/>
    <pageSetUpPr/>
  </sheetPr>
  <dimension ref="A1:AC25"/>
  <sheetViews>
    <sheetView workbookViewId="0">
      <selection activeCell="D28" sqref="D28"/>
    </sheetView>
  </sheetViews>
  <sheetFormatPr baseColWidth="8" defaultColWidth="8.7265625" defaultRowHeight="14.75"/>
  <cols>
    <col width="23.40625" customWidth="1" min="1" max="1"/>
    <col width="9.54296875" bestFit="1" customWidth="1" min="2" max="29"/>
  </cols>
  <sheetData>
    <row r="1">
      <c r="A1" t="inlineStr">
        <is>
          <t>MW</t>
        </is>
      </c>
      <c r="B1" t="n">
        <v>2023</v>
      </c>
      <c r="C1" t="n">
        <v>2024</v>
      </c>
      <c r="D1" t="n">
        <v>2025</v>
      </c>
      <c r="E1" t="n">
        <v>2026</v>
      </c>
      <c r="F1" t="n">
        <v>2027</v>
      </c>
      <c r="G1" t="n">
        <v>2028</v>
      </c>
      <c r="H1" t="n">
        <v>2029</v>
      </c>
      <c r="I1" t="n">
        <v>2030</v>
      </c>
      <c r="J1" t="n">
        <v>2031</v>
      </c>
      <c r="K1" t="n">
        <v>2032</v>
      </c>
      <c r="L1" t="n">
        <v>2033</v>
      </c>
      <c r="M1" t="n">
        <v>2034</v>
      </c>
      <c r="N1" t="n">
        <v>2035</v>
      </c>
      <c r="O1" t="n">
        <v>2036</v>
      </c>
      <c r="P1" t="n">
        <v>2037</v>
      </c>
      <c r="Q1" t="n">
        <v>2038</v>
      </c>
      <c r="R1" t="n">
        <v>2039</v>
      </c>
      <c r="S1" t="n">
        <v>2040</v>
      </c>
      <c r="T1" t="n">
        <v>2041</v>
      </c>
      <c r="U1" t="n">
        <v>2042</v>
      </c>
      <c r="V1" t="n">
        <v>2043</v>
      </c>
      <c r="W1" t="n">
        <v>2044</v>
      </c>
      <c r="X1" t="n">
        <v>2045</v>
      </c>
      <c r="Y1" t="n">
        <v>2046</v>
      </c>
      <c r="Z1" t="n">
        <v>2047</v>
      </c>
      <c r="AA1" t="n">
        <v>2048</v>
      </c>
      <c r="AB1" t="n">
        <v>2049</v>
      </c>
      <c r="AC1" t="n">
        <v>2050</v>
      </c>
    </row>
    <row r="2">
      <c r="A2" t="inlineStr">
        <is>
          <t>hard coal</t>
        </is>
      </c>
      <c r="B2">
        <f>Calculations!D83</f>
        <v/>
      </c>
      <c r="C2">
        <f>Calculations!E83</f>
        <v/>
      </c>
      <c r="D2">
        <f>Calculations!F83</f>
        <v/>
      </c>
      <c r="E2">
        <f>Calculations!G83</f>
        <v/>
      </c>
      <c r="F2">
        <f>Calculations!H83</f>
        <v/>
      </c>
      <c r="G2">
        <f>Calculations!I83</f>
        <v/>
      </c>
      <c r="H2">
        <f>Calculations!J83</f>
        <v/>
      </c>
      <c r="I2">
        <f>Calculations!K83</f>
        <v/>
      </c>
      <c r="J2">
        <f>Calculations!L83</f>
        <v/>
      </c>
      <c r="K2">
        <f>Calculations!M83</f>
        <v/>
      </c>
      <c r="L2">
        <f>Calculations!N83</f>
        <v/>
      </c>
      <c r="M2">
        <f>Calculations!O83</f>
        <v/>
      </c>
      <c r="N2">
        <f>Calculations!P83</f>
        <v/>
      </c>
      <c r="O2">
        <f>Calculations!Q83</f>
        <v/>
      </c>
      <c r="P2">
        <f>Calculations!R83</f>
        <v/>
      </c>
      <c r="Q2">
        <f>Calculations!S83</f>
        <v/>
      </c>
      <c r="R2">
        <f>Calculations!T83</f>
        <v/>
      </c>
      <c r="S2">
        <f>Calculations!U83</f>
        <v/>
      </c>
      <c r="T2">
        <f>Calculations!V83</f>
        <v/>
      </c>
      <c r="U2">
        <f>Calculations!W83</f>
        <v/>
      </c>
      <c r="V2">
        <f>Calculations!X83</f>
        <v/>
      </c>
      <c r="W2">
        <f>Calculations!Y83</f>
        <v/>
      </c>
      <c r="X2">
        <f>Calculations!Z83</f>
        <v/>
      </c>
      <c r="Y2">
        <f>Calculations!AA83</f>
        <v/>
      </c>
      <c r="Z2">
        <f>Calculations!AB83</f>
        <v/>
      </c>
      <c r="AA2">
        <f>Calculations!AC83</f>
        <v/>
      </c>
      <c r="AB2">
        <f>Calculations!AD83</f>
        <v/>
      </c>
      <c r="AC2">
        <f>Calculations!AE83</f>
        <v/>
      </c>
    </row>
    <row r="3">
      <c r="A3" t="inlineStr">
        <is>
          <t>natural gas steam turbine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row>
    <row r="4">
      <c r="A4" t="inlineStr">
        <is>
          <t>natural gas combined cycle</t>
        </is>
      </c>
      <c r="B4">
        <f>Calculations!D84</f>
        <v/>
      </c>
      <c r="C4">
        <f>Calculations!E84</f>
        <v/>
      </c>
      <c r="D4">
        <f>Calculations!F84</f>
        <v/>
      </c>
      <c r="E4">
        <f>Calculations!G84</f>
        <v/>
      </c>
      <c r="F4">
        <f>Calculations!H84</f>
        <v/>
      </c>
      <c r="G4">
        <f>Calculations!I84</f>
        <v/>
      </c>
      <c r="H4">
        <f>Calculations!J84</f>
        <v/>
      </c>
      <c r="I4">
        <f>Calculations!K84</f>
        <v/>
      </c>
      <c r="J4">
        <f>Calculations!L84</f>
        <v/>
      </c>
      <c r="K4">
        <f>Calculations!M84</f>
        <v/>
      </c>
      <c r="L4">
        <f>Calculations!N84</f>
        <v/>
      </c>
      <c r="M4">
        <f>Calculations!O84</f>
        <v/>
      </c>
      <c r="N4">
        <f>Calculations!P84</f>
        <v/>
      </c>
      <c r="O4">
        <f>Calculations!Q84</f>
        <v/>
      </c>
      <c r="P4">
        <f>Calculations!R84</f>
        <v/>
      </c>
      <c r="Q4">
        <f>Calculations!S84</f>
        <v/>
      </c>
      <c r="R4">
        <f>Calculations!T84</f>
        <v/>
      </c>
      <c r="S4">
        <f>Calculations!U84</f>
        <v/>
      </c>
      <c r="T4">
        <f>Calculations!V84</f>
        <v/>
      </c>
      <c r="U4">
        <f>Calculations!W84</f>
        <v/>
      </c>
      <c r="V4">
        <f>Calculations!X84</f>
        <v/>
      </c>
      <c r="W4">
        <f>Calculations!Y84</f>
        <v/>
      </c>
      <c r="X4">
        <f>Calculations!Z84</f>
        <v/>
      </c>
      <c r="Y4">
        <f>Calculations!AA84</f>
        <v/>
      </c>
      <c r="Z4">
        <f>Calculations!AB84</f>
        <v/>
      </c>
      <c r="AA4">
        <f>Calculations!AC84</f>
        <v/>
      </c>
      <c r="AB4">
        <f>Calculations!AD84</f>
        <v/>
      </c>
      <c r="AC4">
        <f>Calculations!AE84</f>
        <v/>
      </c>
    </row>
    <row r="5">
      <c r="A5" t="inlineStr">
        <is>
          <t>nuclear</t>
        </is>
      </c>
      <c r="B5">
        <f>Calculations!D85</f>
        <v/>
      </c>
      <c r="C5">
        <f>Calculations!E85</f>
        <v/>
      </c>
      <c r="D5">
        <f>Calculations!F85</f>
        <v/>
      </c>
      <c r="E5">
        <f>Calculations!G85</f>
        <v/>
      </c>
      <c r="F5">
        <f>Calculations!H85</f>
        <v/>
      </c>
      <c r="G5">
        <f>Calculations!I85</f>
        <v/>
      </c>
      <c r="H5">
        <f>Calculations!J85</f>
        <v/>
      </c>
      <c r="I5">
        <f>Calculations!K85</f>
        <v/>
      </c>
      <c r="J5">
        <f>Calculations!L85</f>
        <v/>
      </c>
      <c r="K5">
        <f>Calculations!M85</f>
        <v/>
      </c>
      <c r="L5">
        <f>Calculations!N85</f>
        <v/>
      </c>
      <c r="M5">
        <f>Calculations!O85</f>
        <v/>
      </c>
      <c r="N5">
        <f>Calculations!P85</f>
        <v/>
      </c>
      <c r="O5">
        <f>Calculations!Q85</f>
        <v/>
      </c>
      <c r="P5">
        <f>Calculations!R85</f>
        <v/>
      </c>
      <c r="Q5">
        <f>Calculations!S85</f>
        <v/>
      </c>
      <c r="R5">
        <f>Calculations!T85</f>
        <v/>
      </c>
      <c r="S5">
        <f>Calculations!U85</f>
        <v/>
      </c>
      <c r="T5">
        <f>Calculations!V85</f>
        <v/>
      </c>
      <c r="U5">
        <f>Calculations!W85</f>
        <v/>
      </c>
      <c r="V5">
        <f>Calculations!X85</f>
        <v/>
      </c>
      <c r="W5">
        <f>Calculations!Y85</f>
        <v/>
      </c>
      <c r="X5">
        <f>Calculations!Z85</f>
        <v/>
      </c>
      <c r="Y5">
        <f>Calculations!AA85</f>
        <v/>
      </c>
      <c r="Z5">
        <f>Calculations!AB85</f>
        <v/>
      </c>
      <c r="AA5">
        <f>Calculations!AC85</f>
        <v/>
      </c>
      <c r="AB5">
        <f>Calculations!AD85</f>
        <v/>
      </c>
      <c r="AC5">
        <f>Calculations!AE85</f>
        <v/>
      </c>
    </row>
    <row r="6">
      <c r="A6" t="inlineStr">
        <is>
          <t>hydro</t>
        </is>
      </c>
      <c r="B6">
        <f>Calculations!D86</f>
        <v/>
      </c>
      <c r="C6">
        <f>Calculations!E86</f>
        <v/>
      </c>
      <c r="D6">
        <f>Calculations!F86</f>
        <v/>
      </c>
      <c r="E6">
        <f>Calculations!G86</f>
        <v/>
      </c>
      <c r="F6">
        <f>Calculations!H86</f>
        <v/>
      </c>
      <c r="G6">
        <f>Calculations!I86</f>
        <v/>
      </c>
      <c r="H6">
        <f>Calculations!J86</f>
        <v/>
      </c>
      <c r="I6">
        <f>Calculations!K86</f>
        <v/>
      </c>
      <c r="J6">
        <f>Calculations!L86</f>
        <v/>
      </c>
      <c r="K6">
        <f>Calculations!M86</f>
        <v/>
      </c>
      <c r="L6">
        <f>Calculations!N86</f>
        <v/>
      </c>
      <c r="M6">
        <f>Calculations!O86</f>
        <v/>
      </c>
      <c r="N6">
        <f>Calculations!P86</f>
        <v/>
      </c>
      <c r="O6">
        <f>Calculations!Q86</f>
        <v/>
      </c>
      <c r="P6">
        <f>Calculations!R86</f>
        <v/>
      </c>
      <c r="Q6">
        <f>Calculations!S86</f>
        <v/>
      </c>
      <c r="R6">
        <f>Calculations!T86</f>
        <v/>
      </c>
      <c r="S6">
        <f>Calculations!U86</f>
        <v/>
      </c>
      <c r="T6">
        <f>Calculations!V86</f>
        <v/>
      </c>
      <c r="U6">
        <f>Calculations!W86</f>
        <v/>
      </c>
      <c r="V6">
        <f>Calculations!X86</f>
        <v/>
      </c>
      <c r="W6">
        <f>Calculations!Y86</f>
        <v/>
      </c>
      <c r="X6">
        <f>Calculations!Z86</f>
        <v/>
      </c>
      <c r="Y6">
        <f>Calculations!AA86</f>
        <v/>
      </c>
      <c r="Z6">
        <f>Calculations!AB86</f>
        <v/>
      </c>
      <c r="AA6">
        <f>Calculations!AC86</f>
        <v/>
      </c>
      <c r="AB6">
        <f>Calculations!AD86</f>
        <v/>
      </c>
      <c r="AC6">
        <f>Calculations!AE86</f>
        <v/>
      </c>
    </row>
    <row r="7">
      <c r="A7" t="inlineStr">
        <is>
          <t>onshore wind</t>
        </is>
      </c>
      <c r="B7">
        <f>Calculations!D87</f>
        <v/>
      </c>
      <c r="C7">
        <f>Calculations!E87</f>
        <v/>
      </c>
      <c r="D7">
        <f>Calculations!F87</f>
        <v/>
      </c>
      <c r="E7">
        <f>Calculations!G87</f>
        <v/>
      </c>
      <c r="F7">
        <f>Calculations!H87</f>
        <v/>
      </c>
      <c r="G7">
        <f>Calculations!I87</f>
        <v/>
      </c>
      <c r="H7">
        <f>Calculations!J87</f>
        <v/>
      </c>
      <c r="I7">
        <f>Calculations!K87</f>
        <v/>
      </c>
      <c r="J7">
        <f>Calculations!L87</f>
        <v/>
      </c>
      <c r="K7">
        <f>Calculations!M87</f>
        <v/>
      </c>
      <c r="L7">
        <f>Calculations!N87</f>
        <v/>
      </c>
      <c r="M7">
        <f>Calculations!O87</f>
        <v/>
      </c>
      <c r="N7">
        <f>Calculations!P87</f>
        <v/>
      </c>
      <c r="O7">
        <f>Calculations!Q87</f>
        <v/>
      </c>
      <c r="P7">
        <f>Calculations!R87</f>
        <v/>
      </c>
      <c r="Q7">
        <f>Calculations!S87</f>
        <v/>
      </c>
      <c r="R7">
        <f>Calculations!T87</f>
        <v/>
      </c>
      <c r="S7">
        <f>Calculations!U87</f>
        <v/>
      </c>
      <c r="T7">
        <f>Calculations!V87</f>
        <v/>
      </c>
      <c r="U7">
        <f>Calculations!W87</f>
        <v/>
      </c>
      <c r="V7">
        <f>Calculations!X87</f>
        <v/>
      </c>
      <c r="W7">
        <f>Calculations!Y87</f>
        <v/>
      </c>
      <c r="X7">
        <f>Calculations!Z87</f>
        <v/>
      </c>
      <c r="Y7">
        <f>Calculations!AA87</f>
        <v/>
      </c>
      <c r="Z7">
        <f>Calculations!AB87</f>
        <v/>
      </c>
      <c r="AA7">
        <f>Calculations!AC87</f>
        <v/>
      </c>
      <c r="AB7">
        <f>Calculations!AD87</f>
        <v/>
      </c>
      <c r="AC7">
        <f>Calculations!AE87</f>
        <v/>
      </c>
    </row>
    <row r="8">
      <c r="A8" t="inlineStr">
        <is>
          <t>solar PV</t>
        </is>
      </c>
      <c r="B8">
        <f>Calculations!D88</f>
        <v/>
      </c>
      <c r="C8">
        <f>Calculations!E88</f>
        <v/>
      </c>
      <c r="D8">
        <f>Calculations!F88</f>
        <v/>
      </c>
      <c r="E8">
        <f>Calculations!G88</f>
        <v/>
      </c>
      <c r="F8">
        <f>Calculations!H88</f>
        <v/>
      </c>
      <c r="G8">
        <f>Calculations!I88</f>
        <v/>
      </c>
      <c r="H8">
        <f>Calculations!J88</f>
        <v/>
      </c>
      <c r="I8">
        <f>Calculations!K88</f>
        <v/>
      </c>
      <c r="J8">
        <f>Calculations!L88</f>
        <v/>
      </c>
      <c r="K8">
        <f>Calculations!M88</f>
        <v/>
      </c>
      <c r="L8">
        <f>Calculations!N88</f>
        <v/>
      </c>
      <c r="M8">
        <f>Calculations!O88</f>
        <v/>
      </c>
      <c r="N8">
        <f>Calculations!P88</f>
        <v/>
      </c>
      <c r="O8">
        <f>Calculations!Q88</f>
        <v/>
      </c>
      <c r="P8">
        <f>Calculations!R88</f>
        <v/>
      </c>
      <c r="Q8">
        <f>Calculations!S88</f>
        <v/>
      </c>
      <c r="R8">
        <f>Calculations!T88</f>
        <v/>
      </c>
      <c r="S8">
        <f>Calculations!U88</f>
        <v/>
      </c>
      <c r="T8">
        <f>Calculations!V88</f>
        <v/>
      </c>
      <c r="U8">
        <f>Calculations!W88</f>
        <v/>
      </c>
      <c r="V8">
        <f>Calculations!X88</f>
        <v/>
      </c>
      <c r="W8">
        <f>Calculations!Y88</f>
        <v/>
      </c>
      <c r="X8">
        <f>Calculations!Z88</f>
        <v/>
      </c>
      <c r="Y8">
        <f>Calculations!AA88</f>
        <v/>
      </c>
      <c r="Z8">
        <f>Calculations!AB88</f>
        <v/>
      </c>
      <c r="AA8">
        <f>Calculations!AC88</f>
        <v/>
      </c>
      <c r="AB8">
        <f>Calculations!AD88</f>
        <v/>
      </c>
      <c r="AC8">
        <f>Calculations!AE88</f>
        <v/>
      </c>
    </row>
    <row r="9">
      <c r="A9" t="inlineStr">
        <is>
          <t>solar thermal</t>
        </is>
      </c>
      <c r="B9">
        <f>Calculations!D89</f>
        <v/>
      </c>
      <c r="C9">
        <f>Calculations!E89</f>
        <v/>
      </c>
      <c r="D9">
        <f>Calculations!F89</f>
        <v/>
      </c>
      <c r="E9">
        <f>Calculations!G89</f>
        <v/>
      </c>
      <c r="F9">
        <f>Calculations!H89</f>
        <v/>
      </c>
      <c r="G9">
        <f>Calculations!I89</f>
        <v/>
      </c>
      <c r="H9">
        <f>Calculations!J89</f>
        <v/>
      </c>
      <c r="I9">
        <f>Calculations!K89</f>
        <v/>
      </c>
      <c r="J9">
        <f>Calculations!L89</f>
        <v/>
      </c>
      <c r="K9">
        <f>Calculations!M89</f>
        <v/>
      </c>
      <c r="L9">
        <f>Calculations!N89</f>
        <v/>
      </c>
      <c r="M9">
        <f>Calculations!O89</f>
        <v/>
      </c>
      <c r="N9">
        <f>Calculations!P89</f>
        <v/>
      </c>
      <c r="O9">
        <f>Calculations!Q89</f>
        <v/>
      </c>
      <c r="P9">
        <f>Calculations!R89</f>
        <v/>
      </c>
      <c r="Q9">
        <f>Calculations!S89</f>
        <v/>
      </c>
      <c r="R9">
        <f>Calculations!T89</f>
        <v/>
      </c>
      <c r="S9">
        <f>Calculations!U89</f>
        <v/>
      </c>
      <c r="T9">
        <f>Calculations!V89</f>
        <v/>
      </c>
      <c r="U9">
        <f>Calculations!W89</f>
        <v/>
      </c>
      <c r="V9">
        <f>Calculations!X89</f>
        <v/>
      </c>
      <c r="W9">
        <f>Calculations!Y89</f>
        <v/>
      </c>
      <c r="X9">
        <f>Calculations!Z89</f>
        <v/>
      </c>
      <c r="Y9">
        <f>Calculations!AA89</f>
        <v/>
      </c>
      <c r="Z9">
        <f>Calculations!AB89</f>
        <v/>
      </c>
      <c r="AA9">
        <f>Calculations!AC89</f>
        <v/>
      </c>
      <c r="AB9">
        <f>Calculations!AD89</f>
        <v/>
      </c>
      <c r="AC9">
        <f>Calculations!AE89</f>
        <v/>
      </c>
    </row>
    <row r="10">
      <c r="A10" t="inlineStr">
        <is>
          <t>biomass</t>
        </is>
      </c>
      <c r="B10">
        <f>Calculations!D90</f>
        <v/>
      </c>
      <c r="C10">
        <f>Calculations!E90</f>
        <v/>
      </c>
      <c r="D10">
        <f>Calculations!F90</f>
        <v/>
      </c>
      <c r="E10">
        <f>Calculations!G90</f>
        <v/>
      </c>
      <c r="F10">
        <f>Calculations!H90</f>
        <v/>
      </c>
      <c r="G10">
        <f>Calculations!I90</f>
        <v/>
      </c>
      <c r="H10">
        <f>Calculations!J90</f>
        <v/>
      </c>
      <c r="I10">
        <f>Calculations!K90</f>
        <v/>
      </c>
      <c r="J10">
        <f>Calculations!L90</f>
        <v/>
      </c>
      <c r="K10">
        <f>Calculations!M90</f>
        <v/>
      </c>
      <c r="L10">
        <f>Calculations!N90</f>
        <v/>
      </c>
      <c r="M10">
        <f>Calculations!O90</f>
        <v/>
      </c>
      <c r="N10">
        <f>Calculations!P90</f>
        <v/>
      </c>
      <c r="O10">
        <f>Calculations!Q90</f>
        <v/>
      </c>
      <c r="P10">
        <f>Calculations!R90</f>
        <v/>
      </c>
      <c r="Q10">
        <f>Calculations!S90</f>
        <v/>
      </c>
      <c r="R10">
        <f>Calculations!T90</f>
        <v/>
      </c>
      <c r="S10">
        <f>Calculations!U90</f>
        <v/>
      </c>
      <c r="T10">
        <f>Calculations!V90</f>
        <v/>
      </c>
      <c r="U10">
        <f>Calculations!W90</f>
        <v/>
      </c>
      <c r="V10">
        <f>Calculations!X90</f>
        <v/>
      </c>
      <c r="W10">
        <f>Calculations!Y90</f>
        <v/>
      </c>
      <c r="X10">
        <f>Calculations!Z90</f>
        <v/>
      </c>
      <c r="Y10">
        <f>Calculations!AA90</f>
        <v/>
      </c>
      <c r="Z10">
        <f>Calculations!AB90</f>
        <v/>
      </c>
      <c r="AA10">
        <f>Calculations!AC90</f>
        <v/>
      </c>
      <c r="AB10">
        <f>Calculations!AD90</f>
        <v/>
      </c>
      <c r="AC10">
        <f>Calculations!AE90</f>
        <v/>
      </c>
    </row>
    <row r="11">
      <c r="A11" t="inlineStr">
        <is>
          <t>geothermal</t>
        </is>
      </c>
      <c r="B11">
        <f>Calculations!D91</f>
        <v/>
      </c>
      <c r="C11">
        <f>Calculations!E91</f>
        <v/>
      </c>
      <c r="D11">
        <f>Calculations!F91</f>
        <v/>
      </c>
      <c r="E11">
        <f>Calculations!G91</f>
        <v/>
      </c>
      <c r="F11">
        <f>Calculations!H91</f>
        <v/>
      </c>
      <c r="G11">
        <f>Calculations!I91</f>
        <v/>
      </c>
      <c r="H11">
        <f>Calculations!J91</f>
        <v/>
      </c>
      <c r="I11">
        <f>Calculations!K91</f>
        <v/>
      </c>
      <c r="J11">
        <f>Calculations!L91</f>
        <v/>
      </c>
      <c r="K11">
        <f>Calculations!M91</f>
        <v/>
      </c>
      <c r="L11">
        <f>Calculations!N91</f>
        <v/>
      </c>
      <c r="M11">
        <f>Calculations!O91</f>
        <v/>
      </c>
      <c r="N11">
        <f>Calculations!P91</f>
        <v/>
      </c>
      <c r="O11">
        <f>Calculations!Q91</f>
        <v/>
      </c>
      <c r="P11">
        <f>Calculations!R91</f>
        <v/>
      </c>
      <c r="Q11">
        <f>Calculations!S91</f>
        <v/>
      </c>
      <c r="R11">
        <f>Calculations!T91</f>
        <v/>
      </c>
      <c r="S11">
        <f>Calculations!U91</f>
        <v/>
      </c>
      <c r="T11">
        <f>Calculations!V91</f>
        <v/>
      </c>
      <c r="U11">
        <f>Calculations!W91</f>
        <v/>
      </c>
      <c r="V11">
        <f>Calculations!X91</f>
        <v/>
      </c>
      <c r="W11">
        <f>Calculations!Y91</f>
        <v/>
      </c>
      <c r="X11">
        <f>Calculations!Z91</f>
        <v/>
      </c>
      <c r="Y11">
        <f>Calculations!AA91</f>
        <v/>
      </c>
      <c r="Z11">
        <f>Calculations!AB91</f>
        <v/>
      </c>
      <c r="AA11">
        <f>Calculations!AC91</f>
        <v/>
      </c>
      <c r="AB11">
        <f>Calculations!AD91</f>
        <v/>
      </c>
      <c r="AC11">
        <f>Calculations!AE91</f>
        <v/>
      </c>
    </row>
    <row r="12">
      <c r="A12" t="inlineStr">
        <is>
          <t>petroleum</t>
        </is>
      </c>
      <c r="B12">
        <f>Calculations!D92</f>
        <v/>
      </c>
      <c r="C12">
        <f>Calculations!E92</f>
        <v/>
      </c>
      <c r="D12">
        <f>Calculations!F92</f>
        <v/>
      </c>
      <c r="E12">
        <f>Calculations!G92</f>
        <v/>
      </c>
      <c r="F12">
        <f>Calculations!H92</f>
        <v/>
      </c>
      <c r="G12">
        <f>Calculations!I92</f>
        <v/>
      </c>
      <c r="H12">
        <f>Calculations!J92</f>
        <v/>
      </c>
      <c r="I12">
        <f>Calculations!K92</f>
        <v/>
      </c>
      <c r="J12">
        <f>Calculations!L92</f>
        <v/>
      </c>
      <c r="K12">
        <f>Calculations!M92</f>
        <v/>
      </c>
      <c r="L12">
        <f>Calculations!N92</f>
        <v/>
      </c>
      <c r="M12">
        <f>Calculations!O92</f>
        <v/>
      </c>
      <c r="N12">
        <f>Calculations!P92</f>
        <v/>
      </c>
      <c r="O12">
        <f>Calculations!Q92</f>
        <v/>
      </c>
      <c r="P12">
        <f>Calculations!R92</f>
        <v/>
      </c>
      <c r="Q12">
        <f>Calculations!S92</f>
        <v/>
      </c>
      <c r="R12">
        <f>Calculations!T92</f>
        <v/>
      </c>
      <c r="S12">
        <f>Calculations!U92</f>
        <v/>
      </c>
      <c r="T12">
        <f>Calculations!V92</f>
        <v/>
      </c>
      <c r="U12">
        <f>Calculations!W92</f>
        <v/>
      </c>
      <c r="V12">
        <f>Calculations!X92</f>
        <v/>
      </c>
      <c r="W12">
        <f>Calculations!Y92</f>
        <v/>
      </c>
      <c r="X12">
        <f>Calculations!Z92</f>
        <v/>
      </c>
      <c r="Y12">
        <f>Calculations!AA92</f>
        <v/>
      </c>
      <c r="Z12">
        <f>Calculations!AB92</f>
        <v/>
      </c>
      <c r="AA12">
        <f>Calculations!AC92</f>
        <v/>
      </c>
      <c r="AB12">
        <f>Calculations!AD92</f>
        <v/>
      </c>
      <c r="AC12">
        <f>Calculations!AE92</f>
        <v/>
      </c>
    </row>
    <row r="13">
      <c r="A13" t="inlineStr">
        <is>
          <t>natural gas peaker</t>
        </is>
      </c>
      <c r="B13">
        <f>Calculations!D93</f>
        <v/>
      </c>
      <c r="C13">
        <f>Calculations!E93</f>
        <v/>
      </c>
      <c r="D13">
        <f>Calculations!F93</f>
        <v/>
      </c>
      <c r="E13">
        <f>Calculations!G93</f>
        <v/>
      </c>
      <c r="F13">
        <f>Calculations!H93</f>
        <v/>
      </c>
      <c r="G13">
        <f>Calculations!I93</f>
        <v/>
      </c>
      <c r="H13">
        <f>Calculations!J93</f>
        <v/>
      </c>
      <c r="I13">
        <f>Calculations!K93</f>
        <v/>
      </c>
      <c r="J13">
        <f>Calculations!L93</f>
        <v/>
      </c>
      <c r="K13">
        <f>Calculations!M93</f>
        <v/>
      </c>
      <c r="L13">
        <f>Calculations!N93</f>
        <v/>
      </c>
      <c r="M13">
        <f>Calculations!O93</f>
        <v/>
      </c>
      <c r="N13">
        <f>Calculations!P93</f>
        <v/>
      </c>
      <c r="O13">
        <f>Calculations!Q93</f>
        <v/>
      </c>
      <c r="P13">
        <f>Calculations!R93</f>
        <v/>
      </c>
      <c r="Q13">
        <f>Calculations!S93</f>
        <v/>
      </c>
      <c r="R13">
        <f>Calculations!T93</f>
        <v/>
      </c>
      <c r="S13">
        <f>Calculations!U93</f>
        <v/>
      </c>
      <c r="T13">
        <f>Calculations!V93</f>
        <v/>
      </c>
      <c r="U13">
        <f>Calculations!W93</f>
        <v/>
      </c>
      <c r="V13">
        <f>Calculations!X93</f>
        <v/>
      </c>
      <c r="W13">
        <f>Calculations!Y93</f>
        <v/>
      </c>
      <c r="X13">
        <f>Calculations!Z93</f>
        <v/>
      </c>
      <c r="Y13">
        <f>Calculations!AA93</f>
        <v/>
      </c>
      <c r="Z13">
        <f>Calculations!AB93</f>
        <v/>
      </c>
      <c r="AA13">
        <f>Calculations!AC93</f>
        <v/>
      </c>
      <c r="AB13">
        <f>Calculations!AD93</f>
        <v/>
      </c>
      <c r="AC13">
        <f>Calculations!AE93</f>
        <v/>
      </c>
    </row>
    <row r="14">
      <c r="A14" t="inlineStr">
        <is>
          <t>lignite</t>
        </is>
      </c>
      <c r="B14">
        <f>Calculations!D94</f>
        <v/>
      </c>
      <c r="C14">
        <f>Calculations!E94</f>
        <v/>
      </c>
      <c r="D14">
        <f>Calculations!F94</f>
        <v/>
      </c>
      <c r="E14">
        <f>Calculations!G94</f>
        <v/>
      </c>
      <c r="F14">
        <f>Calculations!H94</f>
        <v/>
      </c>
      <c r="G14">
        <f>Calculations!I94</f>
        <v/>
      </c>
      <c r="H14">
        <f>Calculations!J94</f>
        <v/>
      </c>
      <c r="I14">
        <f>Calculations!K94</f>
        <v/>
      </c>
      <c r="J14">
        <f>Calculations!L94</f>
        <v/>
      </c>
      <c r="K14">
        <f>Calculations!M94</f>
        <v/>
      </c>
      <c r="L14">
        <f>Calculations!N94</f>
        <v/>
      </c>
      <c r="M14">
        <f>Calculations!O94</f>
        <v/>
      </c>
      <c r="N14">
        <f>Calculations!P94</f>
        <v/>
      </c>
      <c r="O14">
        <f>Calculations!Q94</f>
        <v/>
      </c>
      <c r="P14">
        <f>Calculations!R94</f>
        <v/>
      </c>
      <c r="Q14">
        <f>Calculations!S94</f>
        <v/>
      </c>
      <c r="R14">
        <f>Calculations!T94</f>
        <v/>
      </c>
      <c r="S14">
        <f>Calculations!U94</f>
        <v/>
      </c>
      <c r="T14">
        <f>Calculations!V94</f>
        <v/>
      </c>
      <c r="U14">
        <f>Calculations!W94</f>
        <v/>
      </c>
      <c r="V14">
        <f>Calculations!X94</f>
        <v/>
      </c>
      <c r="W14">
        <f>Calculations!Y94</f>
        <v/>
      </c>
      <c r="X14">
        <f>Calculations!Z94</f>
        <v/>
      </c>
      <c r="Y14">
        <f>Calculations!AA94</f>
        <v/>
      </c>
      <c r="Z14">
        <f>Calculations!AB94</f>
        <v/>
      </c>
      <c r="AA14">
        <f>Calculations!AC94</f>
        <v/>
      </c>
      <c r="AB14">
        <f>Calculations!AD94</f>
        <v/>
      </c>
      <c r="AC14">
        <f>Calculations!AE94</f>
        <v/>
      </c>
    </row>
    <row r="15">
      <c r="A15" t="inlineStr">
        <is>
          <t>offshore wind</t>
        </is>
      </c>
      <c r="B15">
        <f>Calculations!D95</f>
        <v/>
      </c>
      <c r="C15">
        <f>Calculations!E95</f>
        <v/>
      </c>
      <c r="D15">
        <f>Calculations!F95</f>
        <v/>
      </c>
      <c r="E15">
        <f>Calculations!G95</f>
        <v/>
      </c>
      <c r="F15">
        <f>Calculations!H95</f>
        <v/>
      </c>
      <c r="G15">
        <f>Calculations!I95</f>
        <v/>
      </c>
      <c r="H15">
        <f>Calculations!J95</f>
        <v/>
      </c>
      <c r="I15">
        <f>Calculations!K95</f>
        <v/>
      </c>
      <c r="J15">
        <f>Calculations!L95</f>
        <v/>
      </c>
      <c r="K15">
        <f>Calculations!M95</f>
        <v/>
      </c>
      <c r="L15">
        <f>Calculations!N95</f>
        <v/>
      </c>
      <c r="M15">
        <f>Calculations!O95</f>
        <v/>
      </c>
      <c r="N15">
        <f>Calculations!P95</f>
        <v/>
      </c>
      <c r="O15">
        <f>Calculations!Q95</f>
        <v/>
      </c>
      <c r="P15">
        <f>Calculations!R95</f>
        <v/>
      </c>
      <c r="Q15">
        <f>Calculations!S95</f>
        <v/>
      </c>
      <c r="R15">
        <f>Calculations!T95</f>
        <v/>
      </c>
      <c r="S15">
        <f>Calculations!U95</f>
        <v/>
      </c>
      <c r="T15">
        <f>Calculations!V95</f>
        <v/>
      </c>
      <c r="U15">
        <f>Calculations!W95</f>
        <v/>
      </c>
      <c r="V15">
        <f>Calculations!X95</f>
        <v/>
      </c>
      <c r="W15">
        <f>Calculations!Y95</f>
        <v/>
      </c>
      <c r="X15">
        <f>Calculations!Z95</f>
        <v/>
      </c>
      <c r="Y15">
        <f>Calculations!AA95</f>
        <v/>
      </c>
      <c r="Z15">
        <f>Calculations!AB95</f>
        <v/>
      </c>
      <c r="AA15">
        <f>Calculations!AC95</f>
        <v/>
      </c>
      <c r="AB15">
        <f>Calculations!AD95</f>
        <v/>
      </c>
      <c r="AC15">
        <f>Calculations!AE95</f>
        <v/>
      </c>
    </row>
    <row r="16">
      <c r="A16" t="inlineStr">
        <is>
          <t>crude oil</t>
        </is>
      </c>
      <c r="B16">
        <f>Calculations!D96</f>
        <v/>
      </c>
      <c r="C16">
        <f>Calculations!E96</f>
        <v/>
      </c>
      <c r="D16">
        <f>Calculations!F96</f>
        <v/>
      </c>
      <c r="E16">
        <f>Calculations!G96</f>
        <v/>
      </c>
      <c r="F16">
        <f>Calculations!H96</f>
        <v/>
      </c>
      <c r="G16">
        <f>Calculations!I96</f>
        <v/>
      </c>
      <c r="H16">
        <f>Calculations!J96</f>
        <v/>
      </c>
      <c r="I16">
        <f>Calculations!K96</f>
        <v/>
      </c>
      <c r="J16">
        <f>Calculations!L96</f>
        <v/>
      </c>
      <c r="K16">
        <f>Calculations!M96</f>
        <v/>
      </c>
      <c r="L16">
        <f>Calculations!N96</f>
        <v/>
      </c>
      <c r="M16">
        <f>Calculations!O96</f>
        <v/>
      </c>
      <c r="N16">
        <f>Calculations!P96</f>
        <v/>
      </c>
      <c r="O16">
        <f>Calculations!Q96</f>
        <v/>
      </c>
      <c r="P16">
        <f>Calculations!R96</f>
        <v/>
      </c>
      <c r="Q16">
        <f>Calculations!S96</f>
        <v/>
      </c>
      <c r="R16">
        <f>Calculations!T96</f>
        <v/>
      </c>
      <c r="S16">
        <f>Calculations!U96</f>
        <v/>
      </c>
      <c r="T16">
        <f>Calculations!V96</f>
        <v/>
      </c>
      <c r="U16">
        <f>Calculations!W96</f>
        <v/>
      </c>
      <c r="V16">
        <f>Calculations!X96</f>
        <v/>
      </c>
      <c r="W16">
        <f>Calculations!Y96</f>
        <v/>
      </c>
      <c r="X16">
        <f>Calculations!Z96</f>
        <v/>
      </c>
      <c r="Y16">
        <f>Calculations!AA96</f>
        <v/>
      </c>
      <c r="Z16">
        <f>Calculations!AB96</f>
        <v/>
      </c>
      <c r="AA16">
        <f>Calculations!AC96</f>
        <v/>
      </c>
      <c r="AB16">
        <f>Calculations!AD96</f>
        <v/>
      </c>
      <c r="AC16">
        <f>Calculations!AE96</f>
        <v/>
      </c>
    </row>
    <row r="17">
      <c r="A17" t="inlineStr">
        <is>
          <t>heavy or residual fuel oil</t>
        </is>
      </c>
      <c r="B17">
        <f>Calculations!D97</f>
        <v/>
      </c>
      <c r="C17">
        <f>Calculations!E97</f>
        <v/>
      </c>
      <c r="D17">
        <f>Calculations!F97</f>
        <v/>
      </c>
      <c r="E17">
        <f>Calculations!G97</f>
        <v/>
      </c>
      <c r="F17">
        <f>Calculations!H97</f>
        <v/>
      </c>
      <c r="G17">
        <f>Calculations!I97</f>
        <v/>
      </c>
      <c r="H17">
        <f>Calculations!J97</f>
        <v/>
      </c>
      <c r="I17">
        <f>Calculations!K97</f>
        <v/>
      </c>
      <c r="J17">
        <f>Calculations!L97</f>
        <v/>
      </c>
      <c r="K17">
        <f>Calculations!M97</f>
        <v/>
      </c>
      <c r="L17">
        <f>Calculations!N97</f>
        <v/>
      </c>
      <c r="M17">
        <f>Calculations!O97</f>
        <v/>
      </c>
      <c r="N17">
        <f>Calculations!P97</f>
        <v/>
      </c>
      <c r="O17">
        <f>Calculations!Q97</f>
        <v/>
      </c>
      <c r="P17">
        <f>Calculations!R97</f>
        <v/>
      </c>
      <c r="Q17">
        <f>Calculations!S97</f>
        <v/>
      </c>
      <c r="R17">
        <f>Calculations!T97</f>
        <v/>
      </c>
      <c r="S17">
        <f>Calculations!U97</f>
        <v/>
      </c>
      <c r="T17">
        <f>Calculations!V97</f>
        <v/>
      </c>
      <c r="U17">
        <f>Calculations!W97</f>
        <v/>
      </c>
      <c r="V17">
        <f>Calculations!X97</f>
        <v/>
      </c>
      <c r="W17">
        <f>Calculations!Y97</f>
        <v/>
      </c>
      <c r="X17">
        <f>Calculations!Z97</f>
        <v/>
      </c>
      <c r="Y17">
        <f>Calculations!AA97</f>
        <v/>
      </c>
      <c r="Z17">
        <f>Calculations!AB97</f>
        <v/>
      </c>
      <c r="AA17">
        <f>Calculations!AC97</f>
        <v/>
      </c>
      <c r="AB17">
        <f>Calculations!AD97</f>
        <v/>
      </c>
      <c r="AC17">
        <f>Calculations!AE97</f>
        <v/>
      </c>
    </row>
    <row r="18">
      <c r="A18" t="inlineStr">
        <is>
          <t>municipal solid waste</t>
        </is>
      </c>
      <c r="B18">
        <f>Calculations!D98</f>
        <v/>
      </c>
      <c r="C18">
        <f>Calculations!E98</f>
        <v/>
      </c>
      <c r="D18">
        <f>Calculations!F98</f>
        <v/>
      </c>
      <c r="E18">
        <f>Calculations!G98</f>
        <v/>
      </c>
      <c r="F18">
        <f>Calculations!H98</f>
        <v/>
      </c>
      <c r="G18">
        <f>Calculations!I98</f>
        <v/>
      </c>
      <c r="H18">
        <f>Calculations!J98</f>
        <v/>
      </c>
      <c r="I18">
        <f>Calculations!K98</f>
        <v/>
      </c>
      <c r="J18">
        <f>Calculations!L98</f>
        <v/>
      </c>
      <c r="K18">
        <f>Calculations!M98</f>
        <v/>
      </c>
      <c r="L18">
        <f>Calculations!N98</f>
        <v/>
      </c>
      <c r="M18">
        <f>Calculations!O98</f>
        <v/>
      </c>
      <c r="N18">
        <f>Calculations!P98</f>
        <v/>
      </c>
      <c r="O18">
        <f>Calculations!Q98</f>
        <v/>
      </c>
      <c r="P18">
        <f>Calculations!R98</f>
        <v/>
      </c>
      <c r="Q18">
        <f>Calculations!S98</f>
        <v/>
      </c>
      <c r="R18">
        <f>Calculations!T98</f>
        <v/>
      </c>
      <c r="S18">
        <f>Calculations!U98</f>
        <v/>
      </c>
      <c r="T18">
        <f>Calculations!V98</f>
        <v/>
      </c>
      <c r="U18">
        <f>Calculations!W98</f>
        <v/>
      </c>
      <c r="V18">
        <f>Calculations!X98</f>
        <v/>
      </c>
      <c r="W18">
        <f>Calculations!Y98</f>
        <v/>
      </c>
      <c r="X18">
        <f>Calculations!Z98</f>
        <v/>
      </c>
      <c r="Y18">
        <f>Calculations!AA98</f>
        <v/>
      </c>
      <c r="Z18">
        <f>Calculations!AB98</f>
        <v/>
      </c>
      <c r="AA18">
        <f>Calculations!AC98</f>
        <v/>
      </c>
      <c r="AB18">
        <f>Calculations!AD98</f>
        <v/>
      </c>
      <c r="AC18">
        <f>Calculations!AE98</f>
        <v/>
      </c>
    </row>
    <row r="19">
      <c r="A19" s="55" t="inlineStr">
        <is>
          <t>hard coal w CCS</t>
        </is>
      </c>
      <c r="B19" t="n">
        <v>0</v>
      </c>
      <c r="C19" t="n">
        <v>0</v>
      </c>
      <c r="D19" t="n">
        <v>0</v>
      </c>
      <c r="E19" t="n">
        <v>0</v>
      </c>
      <c r="F19" t="n">
        <v>0</v>
      </c>
      <c r="G19" t="n">
        <v>0</v>
      </c>
      <c r="H19" t="n">
        <v>0</v>
      </c>
      <c r="I19" t="n">
        <v>0</v>
      </c>
      <c r="J19" t="n">
        <v>0</v>
      </c>
      <c r="K19" t="n">
        <v>0</v>
      </c>
      <c r="L19" t="n">
        <v>0</v>
      </c>
      <c r="M19" t="n">
        <v>0</v>
      </c>
      <c r="N19" t="n">
        <v>0</v>
      </c>
      <c r="O19" t="n">
        <v>0</v>
      </c>
      <c r="P19" t="n">
        <v>0</v>
      </c>
      <c r="Q19" t="n">
        <v>0</v>
      </c>
      <c r="R19" t="n">
        <v>0</v>
      </c>
      <c r="S19" t="n">
        <v>0</v>
      </c>
      <c r="T19" t="n">
        <v>0</v>
      </c>
      <c r="U19" t="n">
        <v>0</v>
      </c>
      <c r="V19" t="n">
        <v>0</v>
      </c>
      <c r="W19" t="n">
        <v>0</v>
      </c>
      <c r="X19" t="n">
        <v>0</v>
      </c>
      <c r="Y19" t="n">
        <v>0</v>
      </c>
      <c r="Z19" t="n">
        <v>0</v>
      </c>
      <c r="AA19" t="n">
        <v>0</v>
      </c>
      <c r="AB19" t="n">
        <v>0</v>
      </c>
      <c r="AC19" t="n">
        <v>0</v>
      </c>
    </row>
    <row r="20">
      <c r="A20" s="55" t="inlineStr">
        <is>
          <t>natural gas combined cycle w CCS</t>
        </is>
      </c>
      <c r="B20" t="n">
        <v>0</v>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row>
    <row r="21">
      <c r="A21" s="55" t="inlineStr">
        <is>
          <t>biomass w CCS</t>
        </is>
      </c>
      <c r="B21" t="n">
        <v>0</v>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row>
    <row r="22">
      <c r="A22" s="55" t="inlineStr">
        <is>
          <t>lignite w CCS</t>
        </is>
      </c>
      <c r="B22" t="n">
        <v>0</v>
      </c>
      <c r="C22" t="n">
        <v>0</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row>
    <row r="23">
      <c r="A23" s="55" t="inlineStr">
        <is>
          <t>small modular reactor</t>
        </is>
      </c>
      <c r="B23" t="n">
        <v>0</v>
      </c>
      <c r="C23" t="n">
        <v>0</v>
      </c>
      <c r="D23" t="n">
        <v>0</v>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row>
    <row r="24">
      <c r="A24" s="56" t="inlineStr">
        <is>
          <t>hydrogen combustion turbine</t>
        </is>
      </c>
      <c r="B24" t="n">
        <v>0</v>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row>
    <row r="25">
      <c r="A25" s="56" t="inlineStr">
        <is>
          <t>hydrogen combined cycle</t>
        </is>
      </c>
      <c r="B25" t="n">
        <v>0</v>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E92"/>
  <sheetViews>
    <sheetView workbookViewId="0">
      <selection activeCell="A1" sqref="A1"/>
    </sheetView>
  </sheetViews>
  <sheetFormatPr baseColWidth="8" defaultRowHeight="15"/>
  <sheetData>
    <row r="1">
      <c r="A1" t="inlineStr">
        <is>
          <t>Table 21.  Residential Sector Equipment Stock and Efficiency, and Distributed Generation</t>
        </is>
      </c>
    </row>
    <row r="2">
      <c r="A2" t="inlineStr">
        <is>
          <t>https://www.eia.gov/outlooks/aeo/data/browser/#/?id=30-AEO2026&amp;cases=electrnp&amp;sourcekey=0</t>
        </is>
      </c>
    </row>
    <row r="3">
      <c r="A3" t="inlineStr">
        <is>
          <t>Thu Apr 23 2026 15:00:43 GMT-0700 (Pacific Daylight Time)</t>
        </is>
      </c>
    </row>
    <row r="4">
      <c r="A4" t="inlineStr">
        <is>
          <t>Source: U.S. Energy Information Administration</t>
        </is>
      </c>
    </row>
    <row r="5">
      <c r="B5" t="inlineStr">
        <is>
          <t>full name</t>
        </is>
      </c>
      <c r="C5" t="inlineStr">
        <is>
          <t>api key</t>
        </is>
      </c>
      <c r="D5" t="inlineStr">
        <is>
          <t>units</t>
        </is>
      </c>
      <c r="E5" t="n">
        <v>2025</v>
      </c>
      <c r="F5" t="n">
        <v>2026</v>
      </c>
      <c r="G5" t="n">
        <v>2027</v>
      </c>
      <c r="H5" t="n">
        <v>2028</v>
      </c>
      <c r="I5" t="n">
        <v>2029</v>
      </c>
      <c r="J5" t="n">
        <v>2030</v>
      </c>
      <c r="K5" t="n">
        <v>2031</v>
      </c>
      <c r="L5" t="n">
        <v>2032</v>
      </c>
      <c r="M5" t="n">
        <v>2033</v>
      </c>
      <c r="N5" t="n">
        <v>2034</v>
      </c>
      <c r="O5" t="n">
        <v>2035</v>
      </c>
      <c r="P5" t="n">
        <v>2036</v>
      </c>
      <c r="Q5" t="n">
        <v>2037</v>
      </c>
      <c r="R5" t="n">
        <v>2038</v>
      </c>
      <c r="S5" t="n">
        <v>2039</v>
      </c>
      <c r="T5" t="n">
        <v>2040</v>
      </c>
      <c r="U5" t="n">
        <v>2041</v>
      </c>
      <c r="V5" t="n">
        <v>2042</v>
      </c>
      <c r="W5" t="n">
        <v>2043</v>
      </c>
      <c r="X5" t="n">
        <v>2044</v>
      </c>
      <c r="Y5" t="n">
        <v>2045</v>
      </c>
      <c r="Z5" t="n">
        <v>2046</v>
      </c>
      <c r="AA5" t="n">
        <v>2047</v>
      </c>
      <c r="AB5" t="n">
        <v>2048</v>
      </c>
      <c r="AC5" t="n">
        <v>2049</v>
      </c>
      <c r="AD5" t="n">
        <v>2050</v>
      </c>
      <c r="AE5" t="inlineStr">
        <is>
          <t>Growth (2025-2050)</t>
        </is>
      </c>
    </row>
    <row r="6">
      <c r="A6" t="inlineStr">
        <is>
          <t>Equipment Stock (million units)</t>
        </is>
      </c>
    </row>
    <row r="7">
      <c r="A7" t="inlineStr">
        <is>
          <t>Main Space Heaters</t>
        </is>
      </c>
    </row>
    <row r="8">
      <c r="A8" t="inlineStr">
        <is>
          <t>Electric Heat Pumps</t>
        </is>
      </c>
      <c r="B8" t="inlineStr">
        <is>
          <t>Residential Equipment: Equipment Stock: Main Space Heaters: Electric Heat Pumps: Alternative Electricity and Transportation</t>
        </is>
      </c>
      <c r="C8" t="inlineStr">
        <is>
          <t>AEO.2026.ELECTRNP.EQNR_STK_RESD_MSHR_EHP_NA_NA_MILL.A</t>
        </is>
      </c>
      <c r="D8" t="inlineStr">
        <is>
          <t>millions</t>
        </is>
      </c>
      <c r="E8" t="n">
        <v>17.311983</v>
      </c>
      <c r="F8" t="n">
        <v>17.749022</v>
      </c>
      <c r="G8" t="n">
        <v>18.189438</v>
      </c>
      <c r="H8" t="n">
        <v>18.620296</v>
      </c>
      <c r="I8" t="n">
        <v>19.048622</v>
      </c>
      <c r="J8" t="n">
        <v>19.472925</v>
      </c>
      <c r="K8" t="n">
        <v>19.896326</v>
      </c>
      <c r="L8" t="n">
        <v>20.319126</v>
      </c>
      <c r="M8" t="n">
        <v>20.735678</v>
      </c>
      <c r="N8" t="n">
        <v>21.139624</v>
      </c>
      <c r="O8" t="n">
        <v>21.534763</v>
      </c>
      <c r="P8" t="n">
        <v>21.918703</v>
      </c>
      <c r="Q8" t="n">
        <v>22.287914</v>
      </c>
      <c r="R8" t="n">
        <v>22.643486</v>
      </c>
      <c r="S8" t="n">
        <v>22.982574</v>
      </c>
      <c r="T8" t="n">
        <v>23.308935</v>
      </c>
      <c r="U8" t="n">
        <v>23.62145</v>
      </c>
      <c r="V8" t="n">
        <v>23.92503</v>
      </c>
      <c r="W8" t="n">
        <v>24.216194</v>
      </c>
      <c r="X8" t="n">
        <v>24.49782</v>
      </c>
      <c r="Y8" t="n">
        <v>24.778502</v>
      </c>
      <c r="Z8" t="n">
        <v>25.059135</v>
      </c>
      <c r="AA8" t="n">
        <v>25.339226</v>
      </c>
      <c r="AB8" t="n">
        <v>25.618916</v>
      </c>
      <c r="AC8" t="n">
        <v>25.898472</v>
      </c>
      <c r="AD8" t="n">
        <v>26.179152</v>
      </c>
      <c r="AE8" t="inlineStr">
        <is>
          <t>1.7%</t>
        </is>
      </c>
    </row>
    <row r="9">
      <c r="A9" t="inlineStr">
        <is>
          <t>Electric Other</t>
        </is>
      </c>
      <c r="B9" t="inlineStr">
        <is>
          <t>Residential Equipment: Equipment Stock: Main Space Heaters: Electric Other: Alternative Electricity and Transportation</t>
        </is>
      </c>
      <c r="C9" t="inlineStr">
        <is>
          <t>AEO.2026.ELECTRNP.EQNR_STK_RESD_MSHR_ELO_NA_NA_MILL.A</t>
        </is>
      </c>
      <c r="D9" t="inlineStr">
        <is>
          <t>millions</t>
        </is>
      </c>
      <c r="E9" t="n">
        <v>27.181431</v>
      </c>
      <c r="F9" t="n">
        <v>27.515512</v>
      </c>
      <c r="G9" t="n">
        <v>27.865957</v>
      </c>
      <c r="H9" t="n">
        <v>28.217012</v>
      </c>
      <c r="I9" t="n">
        <v>28.567572</v>
      </c>
      <c r="J9" t="n">
        <v>28.915745</v>
      </c>
      <c r="K9" t="n">
        <v>29.279917</v>
      </c>
      <c r="L9" t="n">
        <v>29.647375</v>
      </c>
      <c r="M9" t="n">
        <v>30.01017</v>
      </c>
      <c r="N9" t="n">
        <v>30.363132</v>
      </c>
      <c r="O9" t="n">
        <v>30.709728</v>
      </c>
      <c r="P9" t="n">
        <v>31.049109</v>
      </c>
      <c r="Q9" t="n">
        <v>31.363337</v>
      </c>
      <c r="R9" t="n">
        <v>31.661715</v>
      </c>
      <c r="S9" t="n">
        <v>31.943415</v>
      </c>
      <c r="T9" t="n">
        <v>32.213226</v>
      </c>
      <c r="U9" t="n">
        <v>32.469131</v>
      </c>
      <c r="V9" t="n">
        <v>32.713242</v>
      </c>
      <c r="W9" t="n">
        <v>32.952084</v>
      </c>
      <c r="X9" t="n">
        <v>33.19083</v>
      </c>
      <c r="Y9" t="n">
        <v>33.431499</v>
      </c>
      <c r="Z9" t="n">
        <v>33.672844</v>
      </c>
      <c r="AA9" t="n">
        <v>33.914619</v>
      </c>
      <c r="AB9" t="n">
        <v>34.156719</v>
      </c>
      <c r="AC9" t="n">
        <v>34.399776</v>
      </c>
      <c r="AD9" t="n">
        <v>34.644348</v>
      </c>
      <c r="AE9" t="inlineStr">
        <is>
          <t>1.0%</t>
        </is>
      </c>
    </row>
    <row r="10">
      <c r="A10" t="inlineStr">
        <is>
          <t>Natural Gas Heat Pumps</t>
        </is>
      </c>
      <c r="B10" t="inlineStr">
        <is>
          <t>Residential Equipment: Equipment Stock: Main Space Heaters: Natural Gas Heat Pumps: Alternative Electricity and Transportation</t>
        </is>
      </c>
      <c r="C10" t="inlineStr">
        <is>
          <t>AEO.2026.ELECTRNP.EQNR_STK_RESD_MSHR_NHU_NA_NA_MILL.A</t>
        </is>
      </c>
      <c r="D10" t="inlineStr">
        <is>
          <t>millions</t>
        </is>
      </c>
      <c r="E10" t="n">
        <v>1.353481</v>
      </c>
      <c r="F10" t="n">
        <v>1.362886</v>
      </c>
      <c r="G10" t="n">
        <v>1.372539</v>
      </c>
      <c r="H10" t="n">
        <v>1.381982</v>
      </c>
      <c r="I10" t="n">
        <v>1.391457</v>
      </c>
      <c r="J10" t="n">
        <v>1.401143</v>
      </c>
      <c r="K10" t="n">
        <v>1.411546</v>
      </c>
      <c r="L10" t="n">
        <v>1.422006</v>
      </c>
      <c r="M10" t="n">
        <v>1.432234</v>
      </c>
      <c r="N10" t="n">
        <v>1.442105</v>
      </c>
      <c r="O10" t="n">
        <v>1.451719</v>
      </c>
      <c r="P10" t="n">
        <v>1.461083</v>
      </c>
      <c r="Q10" t="n">
        <v>1.469427</v>
      </c>
      <c r="R10" t="n">
        <v>1.477178</v>
      </c>
      <c r="S10" t="n">
        <v>1.484383</v>
      </c>
      <c r="T10" t="n">
        <v>1.491171</v>
      </c>
      <c r="U10" t="n">
        <v>1.497475</v>
      </c>
      <c r="V10" t="n">
        <v>1.50339</v>
      </c>
      <c r="W10" t="n">
        <v>1.509154</v>
      </c>
      <c r="X10" t="n">
        <v>1.51497</v>
      </c>
      <c r="Y10" t="n">
        <v>1.520823</v>
      </c>
      <c r="Z10" t="n">
        <v>1.526682</v>
      </c>
      <c r="AA10" t="n">
        <v>1.532497</v>
      </c>
      <c r="AB10" t="n">
        <v>1.538285</v>
      </c>
      <c r="AC10" t="n">
        <v>1.544062</v>
      </c>
      <c r="AD10" t="n">
        <v>1.549853</v>
      </c>
      <c r="AE10" t="inlineStr">
        <is>
          <t>0.5%</t>
        </is>
      </c>
    </row>
    <row r="11">
      <c r="A11" t="inlineStr">
        <is>
          <t>Natural Gas Other</t>
        </is>
      </c>
      <c r="B11" t="inlineStr">
        <is>
          <t>Residential Equipment: Equipment Stock: Main Space Heaters: Natural Gas Other: Alternative Electricity and Transportation</t>
        </is>
      </c>
      <c r="C11" t="inlineStr">
        <is>
          <t>AEO.2026.ELECTRNP.EQNR_STK_RESD_MSHR_NGO_NA_NA_MILL.A</t>
        </is>
      </c>
      <c r="D11" t="inlineStr">
        <is>
          <t>millions</t>
        </is>
      </c>
      <c r="E11" t="n">
        <v>65.676498</v>
      </c>
      <c r="F11" t="n">
        <v>66.27507799999999</v>
      </c>
      <c r="G11" t="n">
        <v>66.880844</v>
      </c>
      <c r="H11" t="n">
        <v>67.47545599999999</v>
      </c>
      <c r="I11" t="n">
        <v>68.067947</v>
      </c>
      <c r="J11" t="n">
        <v>68.658012</v>
      </c>
      <c r="K11" t="n">
        <v>69.24447600000001</v>
      </c>
      <c r="L11" t="n">
        <v>69.829483</v>
      </c>
      <c r="M11" t="n">
        <v>70.404747</v>
      </c>
      <c r="N11" t="n">
        <v>70.963165</v>
      </c>
      <c r="O11" t="n">
        <v>71.50958300000001</v>
      </c>
      <c r="P11" t="n">
        <v>72.040466</v>
      </c>
      <c r="Q11" t="n">
        <v>72.550301</v>
      </c>
      <c r="R11" t="n">
        <v>73.04048899999999</v>
      </c>
      <c r="S11" t="n">
        <v>73.50748400000001</v>
      </c>
      <c r="T11" t="n">
        <v>73.95564299999999</v>
      </c>
      <c r="U11" t="n">
        <v>74.38256800000001</v>
      </c>
      <c r="V11" t="n">
        <v>74.796257</v>
      </c>
      <c r="W11" t="n">
        <v>75.19498400000001</v>
      </c>
      <c r="X11" t="n">
        <v>75.58287799999999</v>
      </c>
      <c r="Y11" t="n">
        <v>75.97184</v>
      </c>
      <c r="Z11" t="n">
        <v>76.362976</v>
      </c>
      <c r="AA11" t="n">
        <v>76.752701</v>
      </c>
      <c r="AB11" t="n">
        <v>77.141457</v>
      </c>
      <c r="AC11" t="n">
        <v>77.52977</v>
      </c>
      <c r="AD11" t="n">
        <v>77.919685</v>
      </c>
      <c r="AE11" t="inlineStr">
        <is>
          <t>0.7%</t>
        </is>
      </c>
    </row>
    <row r="12">
      <c r="A12" t="inlineStr">
        <is>
          <t>Distillate Fuel Oil</t>
        </is>
      </c>
      <c r="B12" t="inlineStr">
        <is>
          <t>Residential Equipment: Equipment Stock: Main Space Heaters: Distillate Fuel Oil: Alternative Electricity and Transportation</t>
        </is>
      </c>
      <c r="C12" t="inlineStr">
        <is>
          <t>AEO.2026.ELECTRNP.EQNR_STK_RESD_MSHR_DFO_NA_NA_MILL.A</t>
        </is>
      </c>
      <c r="D12" t="inlineStr">
        <is>
          <t>millions</t>
        </is>
      </c>
      <c r="E12" t="n">
        <v>4.673755</v>
      </c>
      <c r="F12" t="n">
        <v>4.64228</v>
      </c>
      <c r="G12" t="n">
        <v>4.610223</v>
      </c>
      <c r="H12" t="n">
        <v>4.578134</v>
      </c>
      <c r="I12" t="n">
        <v>4.546576</v>
      </c>
      <c r="J12" t="n">
        <v>4.515469</v>
      </c>
      <c r="K12" t="n">
        <v>4.483974</v>
      </c>
      <c r="L12" t="n">
        <v>4.453804</v>
      </c>
      <c r="M12" t="n">
        <v>4.424804</v>
      </c>
      <c r="N12" t="n">
        <v>4.397667</v>
      </c>
      <c r="O12" t="n">
        <v>4.372064</v>
      </c>
      <c r="P12" t="n">
        <v>4.347501</v>
      </c>
      <c r="Q12" t="n">
        <v>4.324221</v>
      </c>
      <c r="R12" t="n">
        <v>4.301682</v>
      </c>
      <c r="S12" t="n">
        <v>4.279857</v>
      </c>
      <c r="T12" t="n">
        <v>4.258628</v>
      </c>
      <c r="U12" t="n">
        <v>4.237717</v>
      </c>
      <c r="V12" t="n">
        <v>4.217582</v>
      </c>
      <c r="W12" t="n">
        <v>4.198093</v>
      </c>
      <c r="X12" t="n">
        <v>4.179298</v>
      </c>
      <c r="Y12" t="n">
        <v>4.161189</v>
      </c>
      <c r="Z12" t="n">
        <v>4.143591</v>
      </c>
      <c r="AA12" t="n">
        <v>4.125104</v>
      </c>
      <c r="AB12" t="n">
        <v>4.105833</v>
      </c>
      <c r="AC12" t="n">
        <v>4.085906</v>
      </c>
      <c r="AD12" t="n">
        <v>4.065665</v>
      </c>
      <c r="AE12" t="inlineStr">
        <is>
          <t>-0.6%</t>
        </is>
      </c>
    </row>
    <row r="13">
      <c r="A13" t="inlineStr">
        <is>
          <t>Propane</t>
        </is>
      </c>
      <c r="B13" t="inlineStr">
        <is>
          <t>Residential Equipment: Equipment Stock: Main Space Heaters: Propane: Alternative Electricity and Transportation</t>
        </is>
      </c>
      <c r="C13" t="inlineStr">
        <is>
          <t>AEO.2026.ELECTRNP.EQNR_STK_RESD_MSHR_PROP_NA_NA_MILL.A</t>
        </is>
      </c>
      <c r="D13" t="inlineStr">
        <is>
          <t>millions</t>
        </is>
      </c>
      <c r="E13" t="n">
        <v>5.239571</v>
      </c>
      <c r="F13" t="n">
        <v>5.254901</v>
      </c>
      <c r="G13" t="n">
        <v>5.275189</v>
      </c>
      <c r="H13" t="n">
        <v>5.292929</v>
      </c>
      <c r="I13" t="n">
        <v>5.315268</v>
      </c>
      <c r="J13" t="n">
        <v>5.332719</v>
      </c>
      <c r="K13" t="n">
        <v>5.345144</v>
      </c>
      <c r="L13" t="n">
        <v>5.356366</v>
      </c>
      <c r="M13" t="n">
        <v>5.366018</v>
      </c>
      <c r="N13" t="n">
        <v>5.374754</v>
      </c>
      <c r="O13" t="n">
        <v>5.382975</v>
      </c>
      <c r="P13" t="n">
        <v>5.390388</v>
      </c>
      <c r="Q13" t="n">
        <v>5.397145</v>
      </c>
      <c r="R13" t="n">
        <v>5.402469</v>
      </c>
      <c r="S13" t="n">
        <v>5.406065</v>
      </c>
      <c r="T13" t="n">
        <v>5.409037</v>
      </c>
      <c r="U13" t="n">
        <v>5.411285</v>
      </c>
      <c r="V13" t="n">
        <v>5.41324</v>
      </c>
      <c r="W13" t="n">
        <v>5.41502</v>
      </c>
      <c r="X13" t="n">
        <v>5.416883</v>
      </c>
      <c r="Y13" t="n">
        <v>5.419633</v>
      </c>
      <c r="Z13" t="n">
        <v>5.423519</v>
      </c>
      <c r="AA13" t="n">
        <v>5.425779</v>
      </c>
      <c r="AB13" t="n">
        <v>5.426469</v>
      </c>
      <c r="AC13" t="n">
        <v>5.425906</v>
      </c>
      <c r="AD13" t="n">
        <v>5.424696</v>
      </c>
      <c r="AE13" t="inlineStr">
        <is>
          <t>0.1%</t>
        </is>
      </c>
    </row>
    <row r="14">
      <c r="A14" t="inlineStr">
        <is>
          <t>Wood Stoves</t>
        </is>
      </c>
      <c r="B14" t="inlineStr">
        <is>
          <t>Residential Equipment: Equipment Stock: Main Space Heaters: Wood Stoves: Alternative Electricity and Transportation</t>
        </is>
      </c>
      <c r="C14" t="inlineStr">
        <is>
          <t>AEO.2026.ELECTRNP.EQNR_STK_RESD_MSHR_WDS_NA_NA_MILL.A</t>
        </is>
      </c>
      <c r="D14" t="inlineStr">
        <is>
          <t>millions</t>
        </is>
      </c>
      <c r="E14" t="n">
        <v>2.209099</v>
      </c>
      <c r="F14" t="n">
        <v>2.206372</v>
      </c>
      <c r="G14" t="n">
        <v>2.204716</v>
      </c>
      <c r="H14" t="n">
        <v>2.202679</v>
      </c>
      <c r="I14" t="n">
        <v>2.200257</v>
      </c>
      <c r="J14" t="n">
        <v>2.196498</v>
      </c>
      <c r="K14" t="n">
        <v>2.192493</v>
      </c>
      <c r="L14" t="n">
        <v>2.188411</v>
      </c>
      <c r="M14" t="n">
        <v>2.183818</v>
      </c>
      <c r="N14" t="n">
        <v>2.179103</v>
      </c>
      <c r="O14" t="n">
        <v>2.174059</v>
      </c>
      <c r="P14" t="n">
        <v>2.168741</v>
      </c>
      <c r="Q14" t="n">
        <v>2.162688</v>
      </c>
      <c r="R14" t="n">
        <v>2.15609</v>
      </c>
      <c r="S14" t="n">
        <v>2.148804</v>
      </c>
      <c r="T14" t="n">
        <v>2.141142</v>
      </c>
      <c r="U14" t="n">
        <v>2.133082</v>
      </c>
      <c r="V14" t="n">
        <v>2.125569</v>
      </c>
      <c r="W14" t="n">
        <v>2.118644</v>
      </c>
      <c r="X14" t="n">
        <v>2.112358</v>
      </c>
      <c r="Y14" t="n">
        <v>2.106657</v>
      </c>
      <c r="Z14" t="n">
        <v>2.101425</v>
      </c>
      <c r="AA14" t="n">
        <v>2.096687</v>
      </c>
      <c r="AB14" t="n">
        <v>2.092404</v>
      </c>
      <c r="AC14" t="n">
        <v>2.088661</v>
      </c>
      <c r="AD14" t="n">
        <v>2.085513</v>
      </c>
      <c r="AE14" t="inlineStr">
        <is>
          <t>-0.2%</t>
        </is>
      </c>
    </row>
    <row r="15">
      <c r="A15" t="inlineStr">
        <is>
          <t>Geothermal Heat Pumps</t>
        </is>
      </c>
      <c r="B15" t="inlineStr">
        <is>
          <t>Residential Equipment: Equipment Stock: Main Space Heaters: Geothermal Heat Pumps: Alternative Electricity and Transportation</t>
        </is>
      </c>
      <c r="C15" t="inlineStr">
        <is>
          <t>AEO.2026.ELECTRNP.EQNR_STK_RESD_MSHR_GEHP_NA_NA_MILL.A</t>
        </is>
      </c>
      <c r="D15" t="inlineStr">
        <is>
          <t>millions</t>
        </is>
      </c>
      <c r="E15" t="n">
        <v>1.313477</v>
      </c>
      <c r="F15" t="n">
        <v>1.323818</v>
      </c>
      <c r="G15" t="n">
        <v>1.335508</v>
      </c>
      <c r="H15" t="n">
        <v>1.347146</v>
      </c>
      <c r="I15" t="n">
        <v>1.358514</v>
      </c>
      <c r="J15" t="n">
        <v>1.368395</v>
      </c>
      <c r="K15" t="n">
        <v>1.378022</v>
      </c>
      <c r="L15" t="n">
        <v>1.387662</v>
      </c>
      <c r="M15" t="n">
        <v>1.397142</v>
      </c>
      <c r="N15" t="n">
        <v>1.406364</v>
      </c>
      <c r="O15" t="n">
        <v>1.415457</v>
      </c>
      <c r="P15" t="n">
        <v>1.424366</v>
      </c>
      <c r="Q15" t="n">
        <v>1.432796</v>
      </c>
      <c r="R15" t="n">
        <v>1.440846</v>
      </c>
      <c r="S15" t="n">
        <v>1.448364</v>
      </c>
      <c r="T15" t="n">
        <v>1.455673</v>
      </c>
      <c r="U15" t="n">
        <v>1.462747</v>
      </c>
      <c r="V15" t="n">
        <v>1.469619</v>
      </c>
      <c r="W15" t="n">
        <v>1.476322</v>
      </c>
      <c r="X15" t="n">
        <v>1.48297</v>
      </c>
      <c r="Y15" t="n">
        <v>1.489655</v>
      </c>
      <c r="Z15" t="n">
        <v>1.496316</v>
      </c>
      <c r="AA15" t="n">
        <v>1.502908</v>
      </c>
      <c r="AB15" t="n">
        <v>1.509388</v>
      </c>
      <c r="AC15" t="n">
        <v>1.515807</v>
      </c>
      <c r="AD15" t="n">
        <v>1.522205</v>
      </c>
      <c r="AE15" t="inlineStr">
        <is>
          <t>0.6%</t>
        </is>
      </c>
    </row>
    <row r="16">
      <c r="A16" t="inlineStr">
        <is>
          <t>Total</t>
        </is>
      </c>
      <c r="B16" t="inlineStr">
        <is>
          <t>Residential Equipment: Equipment Stock: Main Space Heaters: Total: Alternative Electricity and Transportation</t>
        </is>
      </c>
      <c r="C16" t="inlineStr">
        <is>
          <t>AEO.2026.ELECTRNP.EQNR_STK_RESD_MSHR_TOT_NA_NA_MILL.A</t>
        </is>
      </c>
      <c r="D16" t="inlineStr">
        <is>
          <t>millions</t>
        </is>
      </c>
      <c r="E16" t="n">
        <v>124.95929</v>
      </c>
      <c r="F16" t="n">
        <v>126.329865</v>
      </c>
      <c r="G16" t="n">
        <v>127.734421</v>
      </c>
      <c r="H16" t="n">
        <v>129.115646</v>
      </c>
      <c r="I16" t="n">
        <v>130.496231</v>
      </c>
      <c r="J16" t="n">
        <v>131.860916</v>
      </c>
      <c r="K16" t="n">
        <v>133.231888</v>
      </c>
      <c r="L16" t="n">
        <v>134.604233</v>
      </c>
      <c r="M16" t="n">
        <v>135.95462</v>
      </c>
      <c r="N16" t="n">
        <v>137.265915</v>
      </c>
      <c r="O16" t="n">
        <v>138.550354</v>
      </c>
      <c r="P16" t="n">
        <v>139.800354</v>
      </c>
      <c r="Q16" t="n">
        <v>140.987823</v>
      </c>
      <c r="R16" t="n">
        <v>142.123932</v>
      </c>
      <c r="S16" t="n">
        <v>143.200943</v>
      </c>
      <c r="T16" t="n">
        <v>144.233459</v>
      </c>
      <c r="U16" t="n">
        <v>145.215469</v>
      </c>
      <c r="V16" t="n">
        <v>146.163925</v>
      </c>
      <c r="W16" t="n">
        <v>147.08049</v>
      </c>
      <c r="X16" t="n">
        <v>147.977997</v>
      </c>
      <c r="Y16" t="n">
        <v>148.879807</v>
      </c>
      <c r="Z16" t="n">
        <v>149.786499</v>
      </c>
      <c r="AA16" t="n">
        <v>150.689529</v>
      </c>
      <c r="AB16" t="n">
        <v>151.589478</v>
      </c>
      <c r="AC16" t="n">
        <v>152.488342</v>
      </c>
      <c r="AD16" t="n">
        <v>153.391113</v>
      </c>
      <c r="AE16" t="inlineStr">
        <is>
          <t>0.8%</t>
        </is>
      </c>
    </row>
    <row r="17">
      <c r="A17" t="inlineStr">
        <is>
          <t>Space Cooling (million units)</t>
        </is>
      </c>
    </row>
    <row r="18">
      <c r="A18" t="inlineStr">
        <is>
          <t>Electric Heat Pumps</t>
        </is>
      </c>
      <c r="B18" t="inlineStr">
        <is>
          <t>Residential Equipment: Equipment Stock: Space Cooling: Electric Heat Pumps: Alternative Electricity and Transportation</t>
        </is>
      </c>
      <c r="C18" t="inlineStr">
        <is>
          <t>AEO.2026.ELECTRNP.EQNR_STK_RESD_SPC_EHP_NA_NA_MILL.A</t>
        </is>
      </c>
      <c r="D18" t="inlineStr">
        <is>
          <t>millions</t>
        </is>
      </c>
      <c r="E18" t="n">
        <v>17.311981</v>
      </c>
      <c r="F18" t="n">
        <v>17.749023</v>
      </c>
      <c r="G18" t="n">
        <v>18.189428</v>
      </c>
      <c r="H18" t="n">
        <v>18.620302</v>
      </c>
      <c r="I18" t="n">
        <v>19.048615</v>
      </c>
      <c r="J18" t="n">
        <v>19.472927</v>
      </c>
      <c r="K18" t="n">
        <v>19.89633</v>
      </c>
      <c r="L18" t="n">
        <v>20.319124</v>
      </c>
      <c r="M18" t="n">
        <v>20.735674</v>
      </c>
      <c r="N18" t="n">
        <v>21.139622</v>
      </c>
      <c r="O18" t="n">
        <v>21.534761</v>
      </c>
      <c r="P18" t="n">
        <v>21.918699</v>
      </c>
      <c r="Q18" t="n">
        <v>22.287916</v>
      </c>
      <c r="R18" t="n">
        <v>22.643476</v>
      </c>
      <c r="S18" t="n">
        <v>22.982578</v>
      </c>
      <c r="T18" t="n">
        <v>23.308931</v>
      </c>
      <c r="U18" t="n">
        <v>23.621456</v>
      </c>
      <c r="V18" t="n">
        <v>23.925043</v>
      </c>
      <c r="W18" t="n">
        <v>24.216196</v>
      </c>
      <c r="X18" t="n">
        <v>24.497822</v>
      </c>
      <c r="Y18" t="n">
        <v>24.778507</v>
      </c>
      <c r="Z18" t="n">
        <v>25.059124</v>
      </c>
      <c r="AA18" t="n">
        <v>25.339233</v>
      </c>
      <c r="AB18" t="n">
        <v>25.618923</v>
      </c>
      <c r="AC18" t="n">
        <v>25.898476</v>
      </c>
      <c r="AD18" t="n">
        <v>26.179153</v>
      </c>
      <c r="AE18" t="inlineStr">
        <is>
          <t>1.7%</t>
        </is>
      </c>
    </row>
    <row r="19">
      <c r="A19" t="inlineStr">
        <is>
          <t>Natural Gas Heat Pumps</t>
        </is>
      </c>
      <c r="B19" t="inlineStr">
        <is>
          <t>Residential Equipment: Equipment Stock: Space Cooling: Natural Gas Heat Pumps: Alternative Electricity and Transportation</t>
        </is>
      </c>
      <c r="C19" t="inlineStr">
        <is>
          <t>AEO.2026.ELECTRNP.EQNR_STK_RESD_SPC_NHU_NA_NA_MILL.A</t>
        </is>
      </c>
      <c r="D19" t="inlineStr">
        <is>
          <t>millions</t>
        </is>
      </c>
      <c r="E19" t="n">
        <v>1.353481</v>
      </c>
      <c r="F19" t="n">
        <v>1.362886</v>
      </c>
      <c r="G19" t="n">
        <v>1.372539</v>
      </c>
      <c r="H19" t="n">
        <v>1.381982</v>
      </c>
      <c r="I19" t="n">
        <v>1.391457</v>
      </c>
      <c r="J19" t="n">
        <v>1.401143</v>
      </c>
      <c r="K19" t="n">
        <v>1.411546</v>
      </c>
      <c r="L19" t="n">
        <v>1.422006</v>
      </c>
      <c r="M19" t="n">
        <v>1.432234</v>
      </c>
      <c r="N19" t="n">
        <v>1.442105</v>
      </c>
      <c r="O19" t="n">
        <v>1.45172</v>
      </c>
      <c r="P19" t="n">
        <v>1.461082</v>
      </c>
      <c r="Q19" t="n">
        <v>1.469427</v>
      </c>
      <c r="R19" t="n">
        <v>1.477178</v>
      </c>
      <c r="S19" t="n">
        <v>1.484383</v>
      </c>
      <c r="T19" t="n">
        <v>1.491172</v>
      </c>
      <c r="U19" t="n">
        <v>1.497475</v>
      </c>
      <c r="V19" t="n">
        <v>1.503389</v>
      </c>
      <c r="W19" t="n">
        <v>1.509155</v>
      </c>
      <c r="X19" t="n">
        <v>1.51497</v>
      </c>
      <c r="Y19" t="n">
        <v>1.520824</v>
      </c>
      <c r="Z19" t="n">
        <v>1.526682</v>
      </c>
      <c r="AA19" t="n">
        <v>1.532497</v>
      </c>
      <c r="AB19" t="n">
        <v>1.538285</v>
      </c>
      <c r="AC19" t="n">
        <v>1.544062</v>
      </c>
      <c r="AD19" t="n">
        <v>1.549853</v>
      </c>
      <c r="AE19" t="inlineStr">
        <is>
          <t>0.5%</t>
        </is>
      </c>
    </row>
    <row r="20">
      <c r="A20" t="inlineStr">
        <is>
          <t>Geothermal Heat Pumps</t>
        </is>
      </c>
      <c r="B20" t="inlineStr">
        <is>
          <t>Residential Equipment: Equipment Stock: Space Cooling: Geothermal Heat Pumps: Alternative Electricity and Transportation</t>
        </is>
      </c>
      <c r="C20" t="inlineStr">
        <is>
          <t>AEO.2026.ELECTRNP.EQNR_STK_RESD_SPC_GEHP_NA_NA_MILL.A</t>
        </is>
      </c>
      <c r="D20" t="inlineStr">
        <is>
          <t>millions</t>
        </is>
      </c>
      <c r="E20" t="n">
        <v>1.313476</v>
      </c>
      <c r="F20" t="n">
        <v>1.323818</v>
      </c>
      <c r="G20" t="n">
        <v>1.335508</v>
      </c>
      <c r="H20" t="n">
        <v>1.347146</v>
      </c>
      <c r="I20" t="n">
        <v>1.358514</v>
      </c>
      <c r="J20" t="n">
        <v>1.368396</v>
      </c>
      <c r="K20" t="n">
        <v>1.378022</v>
      </c>
      <c r="L20" t="n">
        <v>1.387662</v>
      </c>
      <c r="M20" t="n">
        <v>1.397142</v>
      </c>
      <c r="N20" t="n">
        <v>1.406364</v>
      </c>
      <c r="O20" t="n">
        <v>1.415457</v>
      </c>
      <c r="P20" t="n">
        <v>1.424366</v>
      </c>
      <c r="Q20" t="n">
        <v>1.432797</v>
      </c>
      <c r="R20" t="n">
        <v>1.440846</v>
      </c>
      <c r="S20" t="n">
        <v>1.448364</v>
      </c>
      <c r="T20" t="n">
        <v>1.455673</v>
      </c>
      <c r="U20" t="n">
        <v>1.462748</v>
      </c>
      <c r="V20" t="n">
        <v>1.469619</v>
      </c>
      <c r="W20" t="n">
        <v>1.476323</v>
      </c>
      <c r="X20" t="n">
        <v>1.482969</v>
      </c>
      <c r="Y20" t="n">
        <v>1.489655</v>
      </c>
      <c r="Z20" t="n">
        <v>1.496316</v>
      </c>
      <c r="AA20" t="n">
        <v>1.502908</v>
      </c>
      <c r="AB20" t="n">
        <v>1.509388</v>
      </c>
      <c r="AC20" t="n">
        <v>1.515807</v>
      </c>
      <c r="AD20" t="n">
        <v>1.522205</v>
      </c>
      <c r="AE20" t="inlineStr">
        <is>
          <t>0.6%</t>
        </is>
      </c>
    </row>
    <row r="21">
      <c r="A21" t="inlineStr">
        <is>
          <t>Central Air Conditioners</t>
        </is>
      </c>
      <c r="B21" t="inlineStr">
        <is>
          <t>Residential Equipment: Equipment Stock: Space Cooling: Central Air Conditioners: Alternative Electricity and Transportation</t>
        </is>
      </c>
      <c r="C21" t="inlineStr">
        <is>
          <t>AEO.2026.ELECTRNP.EQNR_STK_RESD_SPC_CAC_NA_NA_MILL.A</t>
        </is>
      </c>
      <c r="D21" t="inlineStr">
        <is>
          <t>millions</t>
        </is>
      </c>
      <c r="E21" t="n">
        <v>80.644836</v>
      </c>
      <c r="F21" t="n">
        <v>81.803375</v>
      </c>
      <c r="G21" t="n">
        <v>82.981056</v>
      </c>
      <c r="H21" t="n">
        <v>84.147583</v>
      </c>
      <c r="I21" t="n">
        <v>85.314003</v>
      </c>
      <c r="J21" t="n">
        <v>86.473328</v>
      </c>
      <c r="K21" t="n">
        <v>87.635994</v>
      </c>
      <c r="L21" t="n">
        <v>88.79895</v>
      </c>
      <c r="M21" t="n">
        <v>89.949646</v>
      </c>
      <c r="N21" t="n">
        <v>91.078987</v>
      </c>
      <c r="O21" t="n">
        <v>92.193398</v>
      </c>
      <c r="P21" t="n">
        <v>93.288849</v>
      </c>
      <c r="Q21" t="n">
        <v>94.35051</v>
      </c>
      <c r="R21" t="n">
        <v>95.384315</v>
      </c>
      <c r="S21" t="n">
        <v>96.3862</v>
      </c>
      <c r="T21" t="n">
        <v>97.36377</v>
      </c>
      <c r="U21" t="n">
        <v>98.313896</v>
      </c>
      <c r="V21" t="n">
        <v>99.24588</v>
      </c>
      <c r="W21" t="n">
        <v>100.160545</v>
      </c>
      <c r="X21" t="n">
        <v>101.064911</v>
      </c>
      <c r="Y21" t="n">
        <v>101.971619</v>
      </c>
      <c r="Z21" t="n">
        <v>102.881165</v>
      </c>
      <c r="AA21" t="n">
        <v>103.788918</v>
      </c>
      <c r="AB21" t="n">
        <v>104.695221</v>
      </c>
      <c r="AC21" t="n">
        <v>105.601059</v>
      </c>
      <c r="AD21" t="n">
        <v>106.509247</v>
      </c>
      <c r="AE21" t="inlineStr">
        <is>
          <t>1.1%</t>
        </is>
      </c>
    </row>
    <row r="22">
      <c r="A22" t="inlineStr">
        <is>
          <t>Room Air Conditioners</t>
        </is>
      </c>
      <c r="B22" t="inlineStr">
        <is>
          <t>Residential Equipment: Equipment Stock: Space Cooling: Room Air Conditioners: Alternative Electricity and Transportation</t>
        </is>
      </c>
      <c r="C22" t="inlineStr">
        <is>
          <t>AEO.2026.ELECTRNP.EQNR_STK_RESD_SPC_RAC_NA_NA_MILL.A</t>
        </is>
      </c>
      <c r="D22" t="inlineStr">
        <is>
          <t>millions</t>
        </is>
      </c>
      <c r="E22" t="n">
        <v>43.230812</v>
      </c>
      <c r="F22" t="n">
        <v>43.332207</v>
      </c>
      <c r="G22" t="n">
        <v>43.4426</v>
      </c>
      <c r="H22" t="n">
        <v>43.551468</v>
      </c>
      <c r="I22" t="n">
        <v>43.660194</v>
      </c>
      <c r="J22" t="n">
        <v>43.765266</v>
      </c>
      <c r="K22" t="n">
        <v>43.876236</v>
      </c>
      <c r="L22" t="n">
        <v>43.988445</v>
      </c>
      <c r="M22" t="n">
        <v>44.098244</v>
      </c>
      <c r="N22" t="n">
        <v>44.203854</v>
      </c>
      <c r="O22" t="n">
        <v>44.306885</v>
      </c>
      <c r="P22" t="n">
        <v>44.407001</v>
      </c>
      <c r="Q22" t="n">
        <v>44.495968</v>
      </c>
      <c r="R22" t="n">
        <v>44.577995</v>
      </c>
      <c r="S22" t="n">
        <v>44.652718</v>
      </c>
      <c r="T22" t="n">
        <v>44.722828</v>
      </c>
      <c r="U22" t="n">
        <v>44.787525</v>
      </c>
      <c r="V22" t="n">
        <v>44.848129</v>
      </c>
      <c r="W22" t="n">
        <v>44.906857</v>
      </c>
      <c r="X22" t="n">
        <v>44.966091</v>
      </c>
      <c r="Y22" t="n">
        <v>45.026669</v>
      </c>
      <c r="Z22" t="n">
        <v>45.088047</v>
      </c>
      <c r="AA22" t="n">
        <v>45.149471</v>
      </c>
      <c r="AB22" t="n">
        <v>45.210838</v>
      </c>
      <c r="AC22" t="n">
        <v>45.272564</v>
      </c>
      <c r="AD22" t="n">
        <v>45.335133</v>
      </c>
      <c r="AE22" t="inlineStr">
        <is>
          <t>0.2%</t>
        </is>
      </c>
    </row>
    <row r="23">
      <c r="A23" t="inlineStr">
        <is>
          <t>Total</t>
        </is>
      </c>
      <c r="B23" t="inlineStr">
        <is>
          <t>Residential Equipment: Equipment Stock: Space Cooling: Total: Alternative Electricity and Transportation</t>
        </is>
      </c>
      <c r="C23" t="inlineStr">
        <is>
          <t>AEO.2026.ELECTRNP.EQNR_STK_RESD_SPC_TOT_NA_NA_MILL.A</t>
        </is>
      </c>
      <c r="D23" t="inlineStr">
        <is>
          <t>millions</t>
        </is>
      </c>
      <c r="E23" t="n">
        <v>143.854584</v>
      </c>
      <c r="F23" t="n">
        <v>145.57132</v>
      </c>
      <c r="G23" t="n">
        <v>147.321136</v>
      </c>
      <c r="H23" t="n">
        <v>149.048492</v>
      </c>
      <c r="I23" t="n">
        <v>150.772781</v>
      </c>
      <c r="J23" t="n">
        <v>152.481049</v>
      </c>
      <c r="K23" t="n">
        <v>154.19812</v>
      </c>
      <c r="L23" t="n">
        <v>155.916183</v>
      </c>
      <c r="M23" t="n">
        <v>157.612946</v>
      </c>
      <c r="N23" t="n">
        <v>159.270935</v>
      </c>
      <c r="O23" t="n">
        <v>160.902222</v>
      </c>
      <c r="P23" t="n">
        <v>162.5</v>
      </c>
      <c r="Q23" t="n">
        <v>164.036621</v>
      </c>
      <c r="R23" t="n">
        <v>165.523804</v>
      </c>
      <c r="S23" t="n">
        <v>166.954254</v>
      </c>
      <c r="T23" t="n">
        <v>168.342377</v>
      </c>
      <c r="U23" t="n">
        <v>169.683105</v>
      </c>
      <c r="V23" t="n">
        <v>170.992065</v>
      </c>
      <c r="W23" t="n">
        <v>172.269073</v>
      </c>
      <c r="X23" t="n">
        <v>173.526764</v>
      </c>
      <c r="Y23" t="n">
        <v>174.787277</v>
      </c>
      <c r="Z23" t="n">
        <v>176.051331</v>
      </c>
      <c r="AA23" t="n">
        <v>177.313034</v>
      </c>
      <c r="AB23" t="n">
        <v>178.572662</v>
      </c>
      <c r="AC23" t="n">
        <v>179.83197</v>
      </c>
      <c r="AD23" t="n">
        <v>181.095581</v>
      </c>
      <c r="AE23" t="inlineStr">
        <is>
          <t>0.9%</t>
        </is>
      </c>
    </row>
    <row r="24">
      <c r="A24" t="inlineStr">
        <is>
          <t>Water Heaters (million units)</t>
        </is>
      </c>
    </row>
    <row r="25">
      <c r="A25" t="inlineStr">
        <is>
          <t>Electric</t>
        </is>
      </c>
      <c r="B25" t="inlineStr">
        <is>
          <t>Residential Equipment: Equipment Stock: Water Heaters: Electric: Alternative Electricity and Transportation</t>
        </is>
      </c>
      <c r="C25" t="inlineStr">
        <is>
          <t>AEO.2026.ELECTRNP.EQNR_STK_RESD_WHT_ELE_NA_NA_MILL.A</t>
        </is>
      </c>
      <c r="D25" t="inlineStr">
        <is>
          <t>millions</t>
        </is>
      </c>
      <c r="E25" t="n">
        <v>62.475159</v>
      </c>
      <c r="F25" t="n">
        <v>63.120701</v>
      </c>
      <c r="G25" t="n">
        <v>63.779793</v>
      </c>
      <c r="H25" t="n">
        <v>64.43132</v>
      </c>
      <c r="I25" t="n">
        <v>65.35385100000001</v>
      </c>
      <c r="J25" t="n">
        <v>66.246185</v>
      </c>
      <c r="K25" t="n">
        <v>67.135971</v>
      </c>
      <c r="L25" t="n">
        <v>68.01544199999999</v>
      </c>
      <c r="M25" t="n">
        <v>68.872505</v>
      </c>
      <c r="N25" t="n">
        <v>69.689301</v>
      </c>
      <c r="O25" t="n">
        <v>70.473305</v>
      </c>
      <c r="P25" t="n">
        <v>71.249405</v>
      </c>
      <c r="Q25" t="n">
        <v>71.99559000000001</v>
      </c>
      <c r="R25" t="n">
        <v>72.71917000000001</v>
      </c>
      <c r="S25" t="n">
        <v>73.41553500000001</v>
      </c>
      <c r="T25" t="n">
        <v>74.092468</v>
      </c>
      <c r="U25" t="n">
        <v>74.745132</v>
      </c>
      <c r="V25" t="n">
        <v>75.379486</v>
      </c>
      <c r="W25" t="n">
        <v>75.998474</v>
      </c>
      <c r="X25" t="n">
        <v>76.60758199999999</v>
      </c>
      <c r="Y25" t="n">
        <v>77.21809399999999</v>
      </c>
      <c r="Z25" t="n">
        <v>77.830139</v>
      </c>
      <c r="AA25" t="n">
        <v>78.438873</v>
      </c>
      <c r="AB25" t="n">
        <v>79.044281</v>
      </c>
      <c r="AC25" t="n">
        <v>79.64774300000001</v>
      </c>
      <c r="AD25" t="n">
        <v>80.251228</v>
      </c>
      <c r="AE25" t="inlineStr">
        <is>
          <t>1.0%</t>
        </is>
      </c>
    </row>
    <row r="26">
      <c r="A26" t="inlineStr">
        <is>
          <t>Natural Gas</t>
        </is>
      </c>
      <c r="B26" t="inlineStr">
        <is>
          <t>Residential Equipment: Equipment Stock: Water Heaters: Natural Gas: Alternative Electricity and Transportation</t>
        </is>
      </c>
      <c r="C26" t="inlineStr">
        <is>
          <t>AEO.2026.ELECTRNP.EQNR_STK_RESD_WHT_NG_NA_NA_MILL.A</t>
        </is>
      </c>
      <c r="D26" t="inlineStr">
        <is>
          <t>millions</t>
        </is>
      </c>
      <c r="E26" t="n">
        <v>65.115173</v>
      </c>
      <c r="F26" t="n">
        <v>65.88417099999999</v>
      </c>
      <c r="G26" t="n">
        <v>66.651428</v>
      </c>
      <c r="H26" t="n">
        <v>67.398285</v>
      </c>
      <c r="I26" t="n">
        <v>67.943634</v>
      </c>
      <c r="J26" t="n">
        <v>68.493774</v>
      </c>
      <c r="K26" t="n">
        <v>69.045731</v>
      </c>
      <c r="L26" t="n">
        <v>69.599312</v>
      </c>
      <c r="M26" t="n">
        <v>70.14283</v>
      </c>
      <c r="N26" t="n">
        <v>70.67482800000001</v>
      </c>
      <c r="O26" t="n">
        <v>71.197998</v>
      </c>
      <c r="P26" t="n">
        <v>71.701553</v>
      </c>
      <c r="Q26" t="n">
        <v>72.178955</v>
      </c>
      <c r="R26" t="n">
        <v>72.63323200000001</v>
      </c>
      <c r="S26" t="n">
        <v>73.061043</v>
      </c>
      <c r="T26" t="n">
        <v>73.46719400000001</v>
      </c>
      <c r="U26" t="n">
        <v>73.849609</v>
      </c>
      <c r="V26" t="n">
        <v>74.217758</v>
      </c>
      <c r="W26" t="n">
        <v>74.569519</v>
      </c>
      <c r="X26" t="n">
        <v>74.911041</v>
      </c>
      <c r="Y26" t="n">
        <v>75.25355500000001</v>
      </c>
      <c r="Z26" t="n">
        <v>75.59766399999999</v>
      </c>
      <c r="AA26" t="n">
        <v>75.939888</v>
      </c>
      <c r="AB26" t="n">
        <v>76.280815</v>
      </c>
      <c r="AC26" t="n">
        <v>76.620628</v>
      </c>
      <c r="AD26" t="n">
        <v>76.962227</v>
      </c>
      <c r="AE26" t="inlineStr">
        <is>
          <t>0.7%</t>
        </is>
      </c>
    </row>
    <row r="27">
      <c r="A27" t="inlineStr">
        <is>
          <t>Distillate Fuel Oil</t>
        </is>
      </c>
      <c r="B27" t="inlineStr">
        <is>
          <t>Residential Equipment: Equipment Stock: Water Heaters: Distillate Fuel Oil: Alternative Electricity and Transportation</t>
        </is>
      </c>
      <c r="C27" t="inlineStr">
        <is>
          <t>AEO.2026.ELECTRNP.EQNR_STK_RESD_WHT_DFO_NA_NA_MILL.A</t>
        </is>
      </c>
      <c r="D27" t="inlineStr">
        <is>
          <t>millions</t>
        </is>
      </c>
      <c r="E27" t="n">
        <v>2.224999</v>
      </c>
      <c r="F27" t="n">
        <v>2.137243</v>
      </c>
      <c r="G27" t="n">
        <v>2.054813</v>
      </c>
      <c r="H27" t="n">
        <v>1.979005</v>
      </c>
      <c r="I27" t="n">
        <v>1.905996</v>
      </c>
      <c r="J27" t="n">
        <v>1.841834</v>
      </c>
      <c r="K27" t="n">
        <v>1.785774</v>
      </c>
      <c r="L27" t="n">
        <v>1.73822</v>
      </c>
      <c r="M27" t="n">
        <v>1.699196</v>
      </c>
      <c r="N27" t="n">
        <v>1.669075</v>
      </c>
      <c r="O27" t="n">
        <v>1.648035</v>
      </c>
      <c r="P27" t="n">
        <v>1.625744</v>
      </c>
      <c r="Q27" t="n">
        <v>1.602431</v>
      </c>
      <c r="R27" t="n">
        <v>1.578433</v>
      </c>
      <c r="S27" t="n">
        <v>1.553985</v>
      </c>
      <c r="T27" t="n">
        <v>1.529364</v>
      </c>
      <c r="U27" t="n">
        <v>1.50473</v>
      </c>
      <c r="V27" t="n">
        <v>1.480259</v>
      </c>
      <c r="W27" t="n">
        <v>1.4561</v>
      </c>
      <c r="X27" t="n">
        <v>1.432403</v>
      </c>
      <c r="Y27" t="n">
        <v>1.409256</v>
      </c>
      <c r="Z27" t="n">
        <v>1.386725</v>
      </c>
      <c r="AA27" t="n">
        <v>1.364848</v>
      </c>
      <c r="AB27" t="n">
        <v>1.343653</v>
      </c>
      <c r="AC27" t="n">
        <v>1.32317</v>
      </c>
      <c r="AD27" t="n">
        <v>1.303432</v>
      </c>
      <c r="AE27" t="inlineStr">
        <is>
          <t>-2.1%</t>
        </is>
      </c>
    </row>
    <row r="28">
      <c r="A28" t="inlineStr">
        <is>
          <t>Propane</t>
        </is>
      </c>
      <c r="B28" t="inlineStr">
        <is>
          <t>Residential Equipment: Equipment Stock: Water Heaters: Propane: Alternative Electricity and Transportation</t>
        </is>
      </c>
      <c r="C28" t="inlineStr">
        <is>
          <t>AEO.2026.ELECTRNP.EQNR_STK_RESD_WHT_PROP_NA_NA_MILL.A</t>
        </is>
      </c>
      <c r="D28" t="inlineStr">
        <is>
          <t>millions</t>
        </is>
      </c>
      <c r="E28" t="n">
        <v>4.199949</v>
      </c>
      <c r="F28" t="n">
        <v>4.230966</v>
      </c>
      <c r="G28" t="n">
        <v>4.274209</v>
      </c>
      <c r="H28" t="n">
        <v>4.316001</v>
      </c>
      <c r="I28" t="n">
        <v>4.294023</v>
      </c>
      <c r="J28" t="n">
        <v>4.272385</v>
      </c>
      <c r="K28" t="n">
        <v>4.249826</v>
      </c>
      <c r="L28" t="n">
        <v>4.228853</v>
      </c>
      <c r="M28" t="n">
        <v>4.20994</v>
      </c>
      <c r="N28" t="n">
        <v>4.195131</v>
      </c>
      <c r="O28" t="n">
        <v>4.186061</v>
      </c>
      <c r="P28" t="n">
        <v>4.171363</v>
      </c>
      <c r="Q28" t="n">
        <v>4.151415</v>
      </c>
      <c r="R28" t="n">
        <v>4.126579</v>
      </c>
      <c r="S28" t="n">
        <v>4.096916</v>
      </c>
      <c r="T28" t="n">
        <v>4.06407</v>
      </c>
      <c r="U28" t="n">
        <v>4.028924</v>
      </c>
      <c r="V28" t="n">
        <v>3.992864</v>
      </c>
      <c r="W28" t="n">
        <v>3.956489</v>
      </c>
      <c r="X28" t="n">
        <v>3.92079</v>
      </c>
      <c r="Y28" t="n">
        <v>3.886379</v>
      </c>
      <c r="Z28" t="n">
        <v>3.853128</v>
      </c>
      <c r="AA28" t="n">
        <v>3.82083</v>
      </c>
      <c r="AB28" t="n">
        <v>3.789447</v>
      </c>
      <c r="AC28" t="n">
        <v>3.759233</v>
      </c>
      <c r="AD28" t="n">
        <v>3.730529</v>
      </c>
      <c r="AE28" t="inlineStr">
        <is>
          <t>-0.5%</t>
        </is>
      </c>
    </row>
    <row r="29">
      <c r="A29" t="inlineStr">
        <is>
          <t>Solar Thermal</t>
        </is>
      </c>
      <c r="B29" t="inlineStr">
        <is>
          <t>Residential Equipment: Equipment Stock: Water Heaters: Solar Thermal: Alternative Electricity and Transportation</t>
        </is>
      </c>
      <c r="C29" t="inlineStr">
        <is>
          <t>AEO.2026.ELECTRNP.EQNR_STK_RESD_WHT_SLR_THERM_NA_MILL.A</t>
        </is>
      </c>
      <c r="D29" t="inlineStr">
        <is>
          <t>millions</t>
        </is>
      </c>
      <c r="E29" t="n">
        <v>2.17795</v>
      </c>
      <c r="F29" t="n">
        <v>2.185155</v>
      </c>
      <c r="G29" t="n">
        <v>2.197155</v>
      </c>
      <c r="H29" t="n">
        <v>2.208678</v>
      </c>
      <c r="I29" t="n">
        <v>2.211119</v>
      </c>
      <c r="J29" t="n">
        <v>2.213908</v>
      </c>
      <c r="K29" t="n">
        <v>2.216808</v>
      </c>
      <c r="L29" t="n">
        <v>2.219646</v>
      </c>
      <c r="M29" t="n">
        <v>2.22244</v>
      </c>
      <c r="N29" t="n">
        <v>2.225163</v>
      </c>
      <c r="O29" t="n">
        <v>2.227813</v>
      </c>
      <c r="P29" t="n">
        <v>2.230457</v>
      </c>
      <c r="Q29" t="n">
        <v>2.233098</v>
      </c>
      <c r="R29" t="n">
        <v>2.235716</v>
      </c>
      <c r="S29" t="n">
        <v>2.238299</v>
      </c>
      <c r="T29" t="n">
        <v>2.240829</v>
      </c>
      <c r="U29" t="n">
        <v>2.243291</v>
      </c>
      <c r="V29" t="n">
        <v>2.245664</v>
      </c>
      <c r="W29" t="n">
        <v>2.247927</v>
      </c>
      <c r="X29" t="n">
        <v>2.250247</v>
      </c>
      <c r="Y29" t="n">
        <v>2.252614</v>
      </c>
      <c r="Z29" t="n">
        <v>2.25503</v>
      </c>
      <c r="AA29" t="n">
        <v>2.257498</v>
      </c>
      <c r="AB29" t="n">
        <v>2.260012</v>
      </c>
      <c r="AC29" t="n">
        <v>2.262555</v>
      </c>
      <c r="AD29" t="n">
        <v>2.265137</v>
      </c>
      <c r="AE29" t="inlineStr">
        <is>
          <t>0.2%</t>
        </is>
      </c>
    </row>
    <row r="30">
      <c r="A30" t="inlineStr">
        <is>
          <t>Total</t>
        </is>
      </c>
      <c r="B30" t="inlineStr">
        <is>
          <t>Residential Equipment: Equipment Stock: Water Heaters: Total: Alternative Electricity and Transportation</t>
        </is>
      </c>
      <c r="C30" t="inlineStr">
        <is>
          <t>AEO.2026.ELECTRNP.EQNR_STK_RESD_WHT_TOT_NA_NA_MILL.A</t>
        </is>
      </c>
      <c r="D30" t="inlineStr">
        <is>
          <t>millions</t>
        </is>
      </c>
      <c r="E30" t="n">
        <v>136.193237</v>
      </c>
      <c r="F30" t="n">
        <v>137.558228</v>
      </c>
      <c r="G30" t="n">
        <v>138.957397</v>
      </c>
      <c r="H30" t="n">
        <v>140.333282</v>
      </c>
      <c r="I30" t="n">
        <v>141.708618</v>
      </c>
      <c r="J30" t="n">
        <v>143.068085</v>
      </c>
      <c r="K30" t="n">
        <v>144.434113</v>
      </c>
      <c r="L30" t="n">
        <v>145.801468</v>
      </c>
      <c r="M30" t="n">
        <v>147.146927</v>
      </c>
      <c r="N30" t="n">
        <v>148.453491</v>
      </c>
      <c r="O30" t="n">
        <v>149.733215</v>
      </c>
      <c r="P30" t="n">
        <v>150.978516</v>
      </c>
      <c r="Q30" t="n">
        <v>152.161484</v>
      </c>
      <c r="R30" t="n">
        <v>153.293121</v>
      </c>
      <c r="S30" t="n">
        <v>154.365768</v>
      </c>
      <c r="T30" t="n">
        <v>155.393921</v>
      </c>
      <c r="U30" t="n">
        <v>156.371689</v>
      </c>
      <c r="V30" t="n">
        <v>157.316025</v>
      </c>
      <c r="W30" t="n">
        <v>158.2285</v>
      </c>
      <c r="X30" t="n">
        <v>159.122055</v>
      </c>
      <c r="Y30" t="n">
        <v>160.019897</v>
      </c>
      <c r="Z30" t="n">
        <v>160.922684</v>
      </c>
      <c r="AA30" t="n">
        <v>161.82193</v>
      </c>
      <c r="AB30" t="n">
        <v>162.718216</v>
      </c>
      <c r="AC30" t="n">
        <v>163.613327</v>
      </c>
      <c r="AD30" t="n">
        <v>164.512558</v>
      </c>
      <c r="AE30" t="inlineStr">
        <is>
          <t>0.8%</t>
        </is>
      </c>
    </row>
    <row r="31">
      <c r="A31" t="inlineStr">
        <is>
          <t>Cooking Equipment (million units)</t>
        </is>
      </c>
    </row>
    <row r="32">
      <c r="A32" t="inlineStr">
        <is>
          <t>Electric</t>
        </is>
      </c>
      <c r="B32" t="inlineStr">
        <is>
          <t>Residential Equipment: Equipment Stock: Cooking Equipment: Electric: Alternative Electricity and Transportation</t>
        </is>
      </c>
      <c r="C32" t="inlineStr">
        <is>
          <t>AEO.2026.ELECTRNP.EQNR_STK_RESD_CER_ELE_NA_NA_MILL.A</t>
        </is>
      </c>
      <c r="D32" t="inlineStr">
        <is>
          <t>millions</t>
        </is>
      </c>
      <c r="E32" t="n">
        <v>101.44487</v>
      </c>
      <c r="F32" t="n">
        <v>102.380219</v>
      </c>
      <c r="G32" t="n">
        <v>103.333115</v>
      </c>
      <c r="H32" t="n">
        <v>104.261024</v>
      </c>
      <c r="I32" t="n">
        <v>105.182686</v>
      </c>
      <c r="J32" t="n">
        <v>106.088013</v>
      </c>
      <c r="K32" t="n">
        <v>106.99604</v>
      </c>
      <c r="L32" t="n">
        <v>107.898102</v>
      </c>
      <c r="M32" t="n">
        <v>108.775696</v>
      </c>
      <c r="N32" t="n">
        <v>109.595596</v>
      </c>
      <c r="O32" t="n">
        <v>110.364578</v>
      </c>
      <c r="P32" t="n">
        <v>111.068726</v>
      </c>
      <c r="Q32" t="n">
        <v>111.677895</v>
      </c>
      <c r="R32" t="n">
        <v>112.264961</v>
      </c>
      <c r="S32" t="n">
        <v>112.842308</v>
      </c>
      <c r="T32" t="n">
        <v>113.424797</v>
      </c>
      <c r="U32" t="n">
        <v>114.018433</v>
      </c>
      <c r="V32" t="n">
        <v>114.642784</v>
      </c>
      <c r="W32" t="n">
        <v>115.23735</v>
      </c>
      <c r="X32" t="n">
        <v>115.812965</v>
      </c>
      <c r="Y32" t="n">
        <v>116.385933</v>
      </c>
      <c r="Z32" t="n">
        <v>116.955498</v>
      </c>
      <c r="AA32" t="n">
        <v>117.514168</v>
      </c>
      <c r="AB32" t="n">
        <v>118.061089</v>
      </c>
      <c r="AC32" t="n">
        <v>118.59642</v>
      </c>
      <c r="AD32" t="n">
        <v>119.122154</v>
      </c>
      <c r="AE32" t="inlineStr">
        <is>
          <t>0.6%</t>
        </is>
      </c>
    </row>
    <row r="33">
      <c r="A33" t="inlineStr">
        <is>
          <t>Natural Gas</t>
        </is>
      </c>
      <c r="B33" t="inlineStr">
        <is>
          <t>Residential Equipment: Equipment Stock: Cooking Equipment: Natural Gas: Alternative Electricity and Transportation</t>
        </is>
      </c>
      <c r="C33" t="inlineStr">
        <is>
          <t>AEO.2026.ELECTRNP.EQNR_STK_RESD_CER_NG_NA_NA_MILL.A</t>
        </is>
      </c>
      <c r="D33" t="inlineStr">
        <is>
          <t>millions</t>
        </is>
      </c>
      <c r="E33" t="n">
        <v>54.077557</v>
      </c>
      <c r="F33" t="n">
        <v>54.473881</v>
      </c>
      <c r="G33" t="n">
        <v>54.882652</v>
      </c>
      <c r="H33" t="n">
        <v>55.293209</v>
      </c>
      <c r="I33" t="n">
        <v>55.709217</v>
      </c>
      <c r="J33" t="n">
        <v>56.129211</v>
      </c>
      <c r="K33" t="n">
        <v>56.555218</v>
      </c>
      <c r="L33" t="n">
        <v>56.989883</v>
      </c>
      <c r="M33" t="n">
        <v>57.42915</v>
      </c>
      <c r="N33" t="n">
        <v>57.889847</v>
      </c>
      <c r="O33" t="n">
        <v>58.377193</v>
      </c>
      <c r="P33" t="n">
        <v>58.898079</v>
      </c>
      <c r="Q33" t="n">
        <v>59.454914</v>
      </c>
      <c r="R33" t="n">
        <v>59.983089</v>
      </c>
      <c r="S33" t="n">
        <v>60.462696</v>
      </c>
      <c r="T33" t="n">
        <v>60.892117</v>
      </c>
      <c r="U33" t="n">
        <v>61.25919</v>
      </c>
      <c r="V33" t="n">
        <v>61.560585</v>
      </c>
      <c r="W33" t="n">
        <v>61.861618</v>
      </c>
      <c r="X33" t="n">
        <v>62.164097</v>
      </c>
      <c r="Y33" t="n">
        <v>62.474186</v>
      </c>
      <c r="Z33" t="n">
        <v>62.793369</v>
      </c>
      <c r="AA33" t="n">
        <v>63.121021</v>
      </c>
      <c r="AB33" t="n">
        <v>63.458534</v>
      </c>
      <c r="AC33" t="n">
        <v>63.807617</v>
      </c>
      <c r="AD33" t="n">
        <v>64.17113500000001</v>
      </c>
      <c r="AE33" t="inlineStr">
        <is>
          <t>0.7%</t>
        </is>
      </c>
    </row>
    <row r="34">
      <c r="A34" t="inlineStr">
        <is>
          <t>Propane</t>
        </is>
      </c>
      <c r="B34" t="inlineStr">
        <is>
          <t>Residential Equipment: Equipment Stock: Cooking Equipment: Propane: Alternative Electricity and Transportation</t>
        </is>
      </c>
      <c r="C34" t="inlineStr">
        <is>
          <t>AEO.2026.ELECTRNP.EQNR_STK_RESD_CER_PROP_NA_NA_MILL.A</t>
        </is>
      </c>
      <c r="D34" t="inlineStr">
        <is>
          <t>millions</t>
        </is>
      </c>
      <c r="E34" t="n">
        <v>6.313086</v>
      </c>
      <c r="F34" t="n">
        <v>6.337418</v>
      </c>
      <c r="G34" t="n">
        <v>6.366057</v>
      </c>
      <c r="H34" t="n">
        <v>6.394745</v>
      </c>
      <c r="I34" t="n">
        <v>6.4238</v>
      </c>
      <c r="J34" t="n">
        <v>6.449594</v>
      </c>
      <c r="K34" t="n">
        <v>6.473336</v>
      </c>
      <c r="L34" t="n">
        <v>6.495827</v>
      </c>
      <c r="M34" t="n">
        <v>6.516507</v>
      </c>
      <c r="N34" t="n">
        <v>6.534659</v>
      </c>
      <c r="O34" t="n">
        <v>6.550374</v>
      </c>
      <c r="P34" t="n">
        <v>6.563093</v>
      </c>
      <c r="Q34" t="n">
        <v>6.572578</v>
      </c>
      <c r="R34" t="n">
        <v>6.581728</v>
      </c>
      <c r="S34" t="n">
        <v>6.59024</v>
      </c>
      <c r="T34" t="n">
        <v>6.599422</v>
      </c>
      <c r="U34" t="n">
        <v>6.609622</v>
      </c>
      <c r="V34" t="n">
        <v>6.621453</v>
      </c>
      <c r="W34" t="n">
        <v>6.631668</v>
      </c>
      <c r="X34" t="n">
        <v>6.640575</v>
      </c>
      <c r="Y34" t="n">
        <v>6.648939</v>
      </c>
      <c r="Z34" t="n">
        <v>6.656644</v>
      </c>
      <c r="AA34" t="n">
        <v>6.663402</v>
      </c>
      <c r="AB34" t="n">
        <v>6.669089</v>
      </c>
      <c r="AC34" t="n">
        <v>6.673856</v>
      </c>
      <c r="AD34" t="n">
        <v>6.678013</v>
      </c>
      <c r="AE34" t="inlineStr">
        <is>
          <t>0.2%</t>
        </is>
      </c>
    </row>
    <row r="35">
      <c r="A35" t="inlineStr">
        <is>
          <t>Total</t>
        </is>
      </c>
      <c r="B35" t="inlineStr">
        <is>
          <t>Residential Equipment: Equipment Stock: Cooking Equipment: Total: Alternative Electricity and Transportation</t>
        </is>
      </c>
      <c r="C35" t="inlineStr">
        <is>
          <t>AEO.2026.ELECTRNP.EQNR_STK_RESD_CER_TOT_NA_NA_MILL.A</t>
        </is>
      </c>
      <c r="D35" t="inlineStr">
        <is>
          <t>millions</t>
        </is>
      </c>
      <c r="E35" t="n">
        <v>161.83551</v>
      </c>
      <c r="F35" t="n">
        <v>163.191513</v>
      </c>
      <c r="G35" t="n">
        <v>164.581818</v>
      </c>
      <c r="H35" t="n">
        <v>165.948975</v>
      </c>
      <c r="I35" t="n">
        <v>167.315704</v>
      </c>
      <c r="J35" t="n">
        <v>168.666824</v>
      </c>
      <c r="K35" t="n">
        <v>170.024597</v>
      </c>
      <c r="L35" t="n">
        <v>171.38382</v>
      </c>
      <c r="M35" t="n">
        <v>172.721359</v>
      </c>
      <c r="N35" t="n">
        <v>174.020096</v>
      </c>
      <c r="O35" t="n">
        <v>175.292145</v>
      </c>
      <c r="P35" t="n">
        <v>176.529892</v>
      </c>
      <c r="Q35" t="n">
        <v>177.705383</v>
      </c>
      <c r="R35" t="n">
        <v>178.829773</v>
      </c>
      <c r="S35" t="n">
        <v>179.895248</v>
      </c>
      <c r="T35" t="n">
        <v>180.916336</v>
      </c>
      <c r="U35" t="n">
        <v>181.887238</v>
      </c>
      <c r="V35" t="n">
        <v>182.824829</v>
      </c>
      <c r="W35" t="n">
        <v>183.730637</v>
      </c>
      <c r="X35" t="n">
        <v>184.617645</v>
      </c>
      <c r="Y35" t="n">
        <v>185.509064</v>
      </c>
      <c r="Z35" t="n">
        <v>186.405518</v>
      </c>
      <c r="AA35" t="n">
        <v>187.298599</v>
      </c>
      <c r="AB35" t="n">
        <v>188.188705</v>
      </c>
      <c r="AC35" t="n">
        <v>189.077896</v>
      </c>
      <c r="AD35" t="n">
        <v>189.971298</v>
      </c>
      <c r="AE35" t="inlineStr">
        <is>
          <t>0.6%</t>
        </is>
      </c>
    </row>
    <row r="36">
      <c r="A36" t="inlineStr">
        <is>
          <t>Clothes Dryers (million units)</t>
        </is>
      </c>
    </row>
    <row r="37">
      <c r="A37" t="inlineStr">
        <is>
          <t>Electric</t>
        </is>
      </c>
      <c r="B37" t="inlineStr">
        <is>
          <t>Residential Equipment: Equipment Stock: Clothes Dryers: Electric: Alternative Electricity and Transportation</t>
        </is>
      </c>
      <c r="C37" t="inlineStr">
        <is>
          <t>AEO.2026.ELECTRNP.EQNR_STK_RESD_CDR_ELE_NA_NA_MILL.A</t>
        </is>
      </c>
      <c r="D37" t="inlineStr">
        <is>
          <t>millions</t>
        </is>
      </c>
      <c r="E37" t="n">
        <v>95.14431</v>
      </c>
      <c r="F37" t="n">
        <v>97.87314600000001</v>
      </c>
      <c r="G37" t="n">
        <v>100.648087</v>
      </c>
      <c r="H37" t="n">
        <v>103.425682</v>
      </c>
      <c r="I37" t="n">
        <v>106.189522</v>
      </c>
      <c r="J37" t="n">
        <v>108.940674</v>
      </c>
      <c r="K37" t="n">
        <v>111.672546</v>
      </c>
      <c r="L37" t="n">
        <v>114.384888</v>
      </c>
      <c r="M37" t="n">
        <v>117.081833</v>
      </c>
      <c r="N37" t="n">
        <v>119.745583</v>
      </c>
      <c r="O37" t="n">
        <v>122.390137</v>
      </c>
      <c r="P37" t="n">
        <v>125.005318</v>
      </c>
      <c r="Q37" t="n">
        <v>127.570015</v>
      </c>
      <c r="R37" t="n">
        <v>130.093079</v>
      </c>
      <c r="S37" t="n">
        <v>132.56723</v>
      </c>
      <c r="T37" t="n">
        <v>135.008743</v>
      </c>
      <c r="U37" t="n">
        <v>137.421295</v>
      </c>
      <c r="V37" t="n">
        <v>139.789841</v>
      </c>
      <c r="W37" t="n">
        <v>142.116501</v>
      </c>
      <c r="X37" t="n">
        <v>144.413208</v>
      </c>
      <c r="Y37" t="n">
        <v>146.704849</v>
      </c>
      <c r="Z37" t="n">
        <v>148.996155</v>
      </c>
      <c r="AA37" t="n">
        <v>151.276718</v>
      </c>
      <c r="AB37" t="n">
        <v>153.54921</v>
      </c>
      <c r="AC37" t="n">
        <v>155.817474</v>
      </c>
      <c r="AD37" t="n">
        <v>158.084946</v>
      </c>
      <c r="AE37" t="inlineStr">
        <is>
          <t>2.1%</t>
        </is>
      </c>
    </row>
    <row r="38">
      <c r="A38" t="inlineStr">
        <is>
          <t>Natural Gas</t>
        </is>
      </c>
      <c r="B38" t="inlineStr">
        <is>
          <t>Residential Equipment: Equipment Stock: Clothes Dryers: Natural Gas: Alternative Electricity and Transportation</t>
        </is>
      </c>
      <c r="C38" t="inlineStr">
        <is>
          <t>AEO.2026.ELECTRNP.EQNR_STK_RESD_CDR_NG_NA_NA_MILL.A</t>
        </is>
      </c>
      <c r="D38" t="inlineStr">
        <is>
          <t>millions</t>
        </is>
      </c>
      <c r="E38" t="n">
        <v>20.463491</v>
      </c>
      <c r="F38" t="n">
        <v>20.786949</v>
      </c>
      <c r="G38" t="n">
        <v>21.119661</v>
      </c>
      <c r="H38" t="n">
        <v>21.460751</v>
      </c>
      <c r="I38" t="n">
        <v>21.814619</v>
      </c>
      <c r="J38" t="n">
        <v>22.183361</v>
      </c>
      <c r="K38" t="n">
        <v>22.569464</v>
      </c>
      <c r="L38" t="n">
        <v>22.975388</v>
      </c>
      <c r="M38" t="n">
        <v>23.374451</v>
      </c>
      <c r="N38" t="n">
        <v>23.767054</v>
      </c>
      <c r="O38" t="n">
        <v>24.153271</v>
      </c>
      <c r="P38" t="n">
        <v>24.532173</v>
      </c>
      <c r="Q38" t="n">
        <v>24.902653</v>
      </c>
      <c r="R38" t="n">
        <v>25.263342</v>
      </c>
      <c r="S38" t="n">
        <v>25.611776</v>
      </c>
      <c r="T38" t="n">
        <v>25.946064</v>
      </c>
      <c r="U38" t="n">
        <v>26.263985</v>
      </c>
      <c r="V38" t="n">
        <v>26.590998</v>
      </c>
      <c r="W38" t="n">
        <v>26.924614</v>
      </c>
      <c r="X38" t="n">
        <v>27.264744</v>
      </c>
      <c r="Y38" t="n">
        <v>27.613161</v>
      </c>
      <c r="Z38" t="n">
        <v>27.969189</v>
      </c>
      <c r="AA38" t="n">
        <v>28.330772</v>
      </c>
      <c r="AB38" t="n">
        <v>28.696926</v>
      </c>
      <c r="AC38" t="n">
        <v>29.066328</v>
      </c>
      <c r="AD38" t="n">
        <v>29.43947</v>
      </c>
      <c r="AE38" t="inlineStr">
        <is>
          <t>1.5%</t>
        </is>
      </c>
    </row>
    <row r="39">
      <c r="A39" t="inlineStr">
        <is>
          <t>Total</t>
        </is>
      </c>
      <c r="B39" t="inlineStr">
        <is>
          <t>Residential Equipment: Equipment Stock: Clothes Dryers: Total: Alternative Electricity and Transportation</t>
        </is>
      </c>
      <c r="C39" t="inlineStr">
        <is>
          <t>AEO.2026.ELECTRNP.EQNR_STK_RESD_CDR_TOT_NA_NA_MILL.A</t>
        </is>
      </c>
      <c r="D39" t="inlineStr">
        <is>
          <t>millions</t>
        </is>
      </c>
      <c r="E39" t="n">
        <v>115.607803</v>
      </c>
      <c r="F39" t="n">
        <v>118.660095</v>
      </c>
      <c r="G39" t="n">
        <v>121.767746</v>
      </c>
      <c r="H39" t="n">
        <v>124.886429</v>
      </c>
      <c r="I39" t="n">
        <v>128.004135</v>
      </c>
      <c r="J39" t="n">
        <v>131.124039</v>
      </c>
      <c r="K39" t="n">
        <v>134.242004</v>
      </c>
      <c r="L39" t="n">
        <v>137.360275</v>
      </c>
      <c r="M39" t="n">
        <v>140.456284</v>
      </c>
      <c r="N39" t="n">
        <v>143.512634</v>
      </c>
      <c r="O39" t="n">
        <v>146.543411</v>
      </c>
      <c r="P39" t="n">
        <v>149.537491</v>
      </c>
      <c r="Q39" t="n">
        <v>152.472672</v>
      </c>
      <c r="R39" t="n">
        <v>155.356415</v>
      </c>
      <c r="S39" t="n">
        <v>158.179001</v>
      </c>
      <c r="T39" t="n">
        <v>160.954803</v>
      </c>
      <c r="U39" t="n">
        <v>163.685272</v>
      </c>
      <c r="V39" t="n">
        <v>166.380844</v>
      </c>
      <c r="W39" t="n">
        <v>169.041107</v>
      </c>
      <c r="X39" t="n">
        <v>171.677948</v>
      </c>
      <c r="Y39" t="n">
        <v>174.318008</v>
      </c>
      <c r="Z39" t="n">
        <v>176.965347</v>
      </c>
      <c r="AA39" t="n">
        <v>179.607483</v>
      </c>
      <c r="AB39" t="n">
        <v>182.24614</v>
      </c>
      <c r="AC39" t="n">
        <v>184.883804</v>
      </c>
      <c r="AD39" t="n">
        <v>187.524414</v>
      </c>
      <c r="AE39" t="inlineStr">
        <is>
          <t>2.0%</t>
        </is>
      </c>
    </row>
    <row r="40">
      <c r="A40" t="inlineStr">
        <is>
          <t>Other Appliances (million units)</t>
        </is>
      </c>
    </row>
    <row r="41">
      <c r="A41" t="inlineStr">
        <is>
          <t>Refrigerators</t>
        </is>
      </c>
      <c r="B41" t="inlineStr">
        <is>
          <t>Residential Equipment: Equipment Stock: Other Appliances: Refrigerators: Alternative Electricity and Transportation</t>
        </is>
      </c>
      <c r="C41" t="inlineStr">
        <is>
          <t>AEO.2026.ELECTRNP.EQNR_STK_RESD_OTAR_RFG_NA_NA_MILL.A</t>
        </is>
      </c>
      <c r="D41" t="inlineStr">
        <is>
          <t>millions</t>
        </is>
      </c>
      <c r="E41" t="n">
        <v>187.507324</v>
      </c>
      <c r="F41" t="n">
        <v>189.531998</v>
      </c>
      <c r="G41" t="n">
        <v>191.598602</v>
      </c>
      <c r="H41" t="n">
        <v>193.630844</v>
      </c>
      <c r="I41" t="n">
        <v>195.663559</v>
      </c>
      <c r="J41" t="n">
        <v>197.673782</v>
      </c>
      <c r="K41" t="n">
        <v>199.677979</v>
      </c>
      <c r="L41" t="n">
        <v>201.682709</v>
      </c>
      <c r="M41" t="n">
        <v>203.657333</v>
      </c>
      <c r="N41" t="n">
        <v>205.576859</v>
      </c>
      <c r="O41" t="n">
        <v>207.458237</v>
      </c>
      <c r="P41" t="n">
        <v>209.288742</v>
      </c>
      <c r="Q41" t="n">
        <v>211.043335</v>
      </c>
      <c r="R41" t="n">
        <v>212.728531</v>
      </c>
      <c r="S41" t="n">
        <v>214.331223</v>
      </c>
      <c r="T41" t="n">
        <v>215.870193</v>
      </c>
      <c r="U41" t="n">
        <v>217.337494</v>
      </c>
      <c r="V41" t="n">
        <v>218.759247</v>
      </c>
      <c r="W41" t="n">
        <v>220.13121</v>
      </c>
      <c r="X41" t="n">
        <v>221.469589</v>
      </c>
      <c r="Y41" t="n">
        <v>222.813278</v>
      </c>
      <c r="Z41" t="n">
        <v>224.164856</v>
      </c>
      <c r="AA41" t="n">
        <v>225.511566</v>
      </c>
      <c r="AB41" t="n">
        <v>226.854141</v>
      </c>
      <c r="AC41" t="n">
        <v>228.195084</v>
      </c>
      <c r="AD41" t="n">
        <v>229.54213</v>
      </c>
      <c r="AE41" t="inlineStr">
        <is>
          <t>0.8%</t>
        </is>
      </c>
    </row>
    <row r="42">
      <c r="A42" t="inlineStr">
        <is>
          <t>Freezers</t>
        </is>
      </c>
      <c r="B42" t="inlineStr">
        <is>
          <t>Residential Equipment: Equipment Stock: Other Appliances: Freezers: Alternative Electricity and Transportation</t>
        </is>
      </c>
      <c r="C42" t="inlineStr">
        <is>
          <t>AEO.2026.ELECTRNP.EQNR_STK_RESD_OTAR_FRZ_NA_NA_MILL.A</t>
        </is>
      </c>
      <c r="D42" t="inlineStr">
        <is>
          <t>millions</t>
        </is>
      </c>
      <c r="E42" t="n">
        <v>48.868607</v>
      </c>
      <c r="F42" t="n">
        <v>49.328506</v>
      </c>
      <c r="G42" t="n">
        <v>49.801876</v>
      </c>
      <c r="H42" t="n">
        <v>50.26841</v>
      </c>
      <c r="I42" t="n">
        <v>50.734222</v>
      </c>
      <c r="J42" t="n">
        <v>51.187572</v>
      </c>
      <c r="K42" t="n">
        <v>51.631802</v>
      </c>
      <c r="L42" t="n">
        <v>52.075958</v>
      </c>
      <c r="M42" t="n">
        <v>52.514103</v>
      </c>
      <c r="N42" t="n">
        <v>52.940769</v>
      </c>
      <c r="O42" t="n">
        <v>53.359661</v>
      </c>
      <c r="P42" t="n">
        <v>53.767311</v>
      </c>
      <c r="Q42" t="n">
        <v>54.163525</v>
      </c>
      <c r="R42" t="n">
        <v>54.546295</v>
      </c>
      <c r="S42" t="n">
        <v>54.911201</v>
      </c>
      <c r="T42" t="n">
        <v>55.263004</v>
      </c>
      <c r="U42" t="n">
        <v>55.600151</v>
      </c>
      <c r="V42" t="n">
        <v>55.928661</v>
      </c>
      <c r="W42" t="n">
        <v>56.245289</v>
      </c>
      <c r="X42" t="n">
        <v>56.55265</v>
      </c>
      <c r="Y42" t="n">
        <v>56.861313</v>
      </c>
      <c r="Z42" t="n">
        <v>57.172104</v>
      </c>
      <c r="AA42" t="n">
        <v>57.481895</v>
      </c>
      <c r="AB42" t="n">
        <v>57.790634</v>
      </c>
      <c r="AC42" t="n">
        <v>58.099026</v>
      </c>
      <c r="AD42" t="n">
        <v>58.408916</v>
      </c>
      <c r="AE42" t="inlineStr">
        <is>
          <t>0.7%</t>
        </is>
      </c>
    </row>
    <row r="43">
      <c r="A43" t="inlineStr">
        <is>
          <t>Stock Average Equipment Efficiency</t>
        </is>
      </c>
    </row>
    <row r="44">
      <c r="A44" t="inlineStr">
        <is>
          <t>Main Space Heaters</t>
        </is>
      </c>
    </row>
    <row r="45">
      <c r="A45" t="inlineStr">
        <is>
          <t>Electric Heat Pumps (HSPF)</t>
        </is>
      </c>
      <c r="B45" t="inlineStr">
        <is>
          <t>Residential Equipment: Stock Average Efficiency: Main Space Heaters: Electric Heat Pumps: Alternative Electricity and Transportation</t>
        </is>
      </c>
      <c r="C45" t="inlineStr">
        <is>
          <t>AEO.2026.ELECTRNP.EFI_STK_RESD_SPHR_EHP_NA_NA_HSPF.A</t>
        </is>
      </c>
      <c r="D45" t="inlineStr">
        <is>
          <t>HSPF</t>
        </is>
      </c>
      <c r="E45" t="n">
        <v>8.494412000000001</v>
      </c>
      <c r="F45" t="n">
        <v>8.614711</v>
      </c>
      <c r="G45" t="n">
        <v>8.735021</v>
      </c>
      <c r="H45" t="n">
        <v>8.858002000000001</v>
      </c>
      <c r="I45" t="n">
        <v>8.971166999999999</v>
      </c>
      <c r="J45" t="n">
        <v>9.075111</v>
      </c>
      <c r="K45" t="n">
        <v>9.169779</v>
      </c>
      <c r="L45" t="n">
        <v>9.255559</v>
      </c>
      <c r="M45" t="n">
        <v>9.332383</v>
      </c>
      <c r="N45" t="n">
        <v>9.401033999999999</v>
      </c>
      <c r="O45" t="n">
        <v>9.461356</v>
      </c>
      <c r="P45" t="n">
        <v>9.51375</v>
      </c>
      <c r="Q45" t="n">
        <v>9.558479</v>
      </c>
      <c r="R45" t="n">
        <v>9.595476</v>
      </c>
      <c r="S45" t="n">
        <v>9.624993</v>
      </c>
      <c r="T45" t="n">
        <v>9.648189</v>
      </c>
      <c r="U45" t="n">
        <v>9.662559</v>
      </c>
      <c r="V45" t="n">
        <v>9.667149999999999</v>
      </c>
      <c r="W45" t="n">
        <v>9.672117999999999</v>
      </c>
      <c r="X45" t="n">
        <v>9.677267000000001</v>
      </c>
      <c r="Y45" t="n">
        <v>9.682276</v>
      </c>
      <c r="Z45" t="n">
        <v>9.687082999999999</v>
      </c>
      <c r="AA45" t="n">
        <v>9.691750000000001</v>
      </c>
      <c r="AB45" t="n">
        <v>9.696254</v>
      </c>
      <c r="AC45" t="n">
        <v>9.700517</v>
      </c>
      <c r="AD45" t="n">
        <v>9.704503000000001</v>
      </c>
      <c r="AE45" t="inlineStr">
        <is>
          <t>0.5%</t>
        </is>
      </c>
    </row>
    <row r="46">
      <c r="A46" t="inlineStr">
        <is>
          <t>Natural Gas Heat Pumps (GCOP)</t>
        </is>
      </c>
      <c r="B46" t="inlineStr">
        <is>
          <t>Residential Equipment: Stock Average Efficiency: Main Space Heaters: Natural Gas Heat Pumps: Alternative Electricity and Transportation</t>
        </is>
      </c>
      <c r="C46" t="inlineStr">
        <is>
          <t>AEO.2026.ELECTRNP.EFI_STK_RESD_SPHR_NHU_NA_NA_GCOP.A</t>
        </is>
      </c>
      <c r="D46" t="inlineStr">
        <is>
          <t>GCOP</t>
        </is>
      </c>
      <c r="E46" t="n">
        <v>1.3</v>
      </c>
      <c r="F46" t="n">
        <v>1.3</v>
      </c>
      <c r="G46" t="n">
        <v>1.3</v>
      </c>
      <c r="H46" t="n">
        <v>1.3</v>
      </c>
      <c r="I46" t="n">
        <v>1.3</v>
      </c>
      <c r="J46" t="n">
        <v>1.3</v>
      </c>
      <c r="K46" t="n">
        <v>1.3</v>
      </c>
      <c r="L46" t="n">
        <v>1.3</v>
      </c>
      <c r="M46" t="n">
        <v>1.3</v>
      </c>
      <c r="N46" t="n">
        <v>1.3</v>
      </c>
      <c r="O46" t="n">
        <v>1.3</v>
      </c>
      <c r="P46" t="n">
        <v>1.3</v>
      </c>
      <c r="Q46" t="n">
        <v>1.3</v>
      </c>
      <c r="R46" t="n">
        <v>1.3</v>
      </c>
      <c r="S46" t="n">
        <v>1.3</v>
      </c>
      <c r="T46" t="n">
        <v>1.3</v>
      </c>
      <c r="U46" t="n">
        <v>1.3</v>
      </c>
      <c r="V46" t="n">
        <v>1.3</v>
      </c>
      <c r="W46" t="n">
        <v>1.3</v>
      </c>
      <c r="X46" t="n">
        <v>1.3</v>
      </c>
      <c r="Y46" t="n">
        <v>1.3</v>
      </c>
      <c r="Z46" t="n">
        <v>1.3</v>
      </c>
      <c r="AA46" t="n">
        <v>1.3</v>
      </c>
      <c r="AB46" t="n">
        <v>1.3</v>
      </c>
      <c r="AC46" t="n">
        <v>1.3</v>
      </c>
      <c r="AD46" t="n">
        <v>1.3</v>
      </c>
      <c r="AE46" t="inlineStr">
        <is>
          <t>0.0%</t>
        </is>
      </c>
    </row>
    <row r="47">
      <c r="A47" t="inlineStr">
        <is>
          <t>Geothermal Heat Pumps (COP)</t>
        </is>
      </c>
      <c r="B47" t="inlineStr">
        <is>
          <t>Residential Equipment: Stock Average Efficiency: Main Space Heaters: Geothermal Heat Pumps: Alternative Electricity and Transportation</t>
        </is>
      </c>
      <c r="C47" t="inlineStr">
        <is>
          <t>AEO.2026.ELECTRNP.EFI_STK_RESD_SPHR_GEHP_NA_NA_COP.A</t>
        </is>
      </c>
      <c r="D47" t="inlineStr">
        <is>
          <t>COP</t>
        </is>
      </c>
      <c r="E47" t="n">
        <v>3.202069</v>
      </c>
      <c r="F47" t="n">
        <v>3.220859</v>
      </c>
      <c r="G47" t="n">
        <v>3.239262</v>
      </c>
      <c r="H47" t="n">
        <v>3.258008</v>
      </c>
      <c r="I47" t="n">
        <v>3.276937</v>
      </c>
      <c r="J47" t="n">
        <v>3.295919</v>
      </c>
      <c r="K47" t="n">
        <v>3.315187</v>
      </c>
      <c r="L47" t="n">
        <v>3.333605</v>
      </c>
      <c r="M47" t="n">
        <v>3.35116</v>
      </c>
      <c r="N47" t="n">
        <v>3.367886</v>
      </c>
      <c r="O47" t="n">
        <v>3.383748</v>
      </c>
      <c r="P47" t="n">
        <v>3.398742</v>
      </c>
      <c r="Q47" t="n">
        <v>3.412921</v>
      </c>
      <c r="R47" t="n">
        <v>3.426215</v>
      </c>
      <c r="S47" t="n">
        <v>3.438614</v>
      </c>
      <c r="T47" t="n">
        <v>3.450181</v>
      </c>
      <c r="U47" t="n">
        <v>3.460697</v>
      </c>
      <c r="V47" t="n">
        <v>3.470215</v>
      </c>
      <c r="W47" t="n">
        <v>3.478648</v>
      </c>
      <c r="X47" t="n">
        <v>3.486041</v>
      </c>
      <c r="Y47" t="n">
        <v>3.492233</v>
      </c>
      <c r="Z47" t="n">
        <v>3.497434</v>
      </c>
      <c r="AA47" t="n">
        <v>3.501589</v>
      </c>
      <c r="AB47" t="n">
        <v>3.504642</v>
      </c>
      <c r="AC47" t="n">
        <v>3.506805</v>
      </c>
      <c r="AD47" t="n">
        <v>3.507983</v>
      </c>
      <c r="AE47" t="inlineStr">
        <is>
          <t>0.4%</t>
        </is>
      </c>
    </row>
    <row r="48">
      <c r="A48" t="inlineStr">
        <is>
          <t>Natural Gas Furnace (AFUE)</t>
        </is>
      </c>
      <c r="B48" t="inlineStr">
        <is>
          <t>Residential Equipment: Stock Average Efficiency: Main Space Heaters: Natural Gas Furnace: Alternative Electricity and Transportation</t>
        </is>
      </c>
      <c r="C48" t="inlineStr">
        <is>
          <t>AEO.2026.ELECTRNP.EFI_STK_RESD_SPHR_NFR_NA_NA_AFUE.A</t>
        </is>
      </c>
      <c r="D48" t="inlineStr">
        <is>
          <t>AFUE</t>
        </is>
      </c>
      <c r="E48" t="n">
        <v>0.821949</v>
      </c>
      <c r="F48" t="n">
        <v>0.826215</v>
      </c>
      <c r="G48" t="n">
        <v>0.8304</v>
      </c>
      <c r="H48" t="n">
        <v>0.83462</v>
      </c>
      <c r="I48" t="n">
        <v>0.842838</v>
      </c>
      <c r="J48" t="n">
        <v>0.851978</v>
      </c>
      <c r="K48" t="n">
        <v>0.861225</v>
      </c>
      <c r="L48" t="n">
        <v>0.870013</v>
      </c>
      <c r="M48" t="n">
        <v>0.878359</v>
      </c>
      <c r="N48" t="n">
        <v>0.886196</v>
      </c>
      <c r="O48" t="n">
        <v>0.893502</v>
      </c>
      <c r="P48" t="n">
        <v>0.900356</v>
      </c>
      <c r="Q48" t="n">
        <v>0.906728</v>
      </c>
      <c r="R48" t="n">
        <v>0.912645</v>
      </c>
      <c r="S48" t="n">
        <v>0.918086</v>
      </c>
      <c r="T48" t="n">
        <v>0.923074</v>
      </c>
      <c r="U48" t="n">
        <v>0.927592</v>
      </c>
      <c r="V48" t="n">
        <v>0.931675</v>
      </c>
      <c r="W48" t="n">
        <v>0.935279</v>
      </c>
      <c r="X48" t="n">
        <v>0.938381</v>
      </c>
      <c r="Y48" t="n">
        <v>0.940932</v>
      </c>
      <c r="Z48" t="n">
        <v>0.942906</v>
      </c>
      <c r="AA48" t="n">
        <v>0.944887</v>
      </c>
      <c r="AB48" t="n">
        <v>0.946836</v>
      </c>
      <c r="AC48" t="n">
        <v>0.948715</v>
      </c>
      <c r="AD48" t="n">
        <v>0.950491</v>
      </c>
      <c r="AE48" t="inlineStr">
        <is>
          <t>0.6%</t>
        </is>
      </c>
    </row>
    <row r="49">
      <c r="A49" t="inlineStr">
        <is>
          <t>Distillate Furnace (AFUE)</t>
        </is>
      </c>
      <c r="B49" t="inlineStr">
        <is>
          <t>Residential Equipment: Stock Average Efficiency: Main Space Heaters: Distillate Furnace: Alternative Electricity and Transportation</t>
        </is>
      </c>
      <c r="C49" t="inlineStr">
        <is>
          <t>AEO.2026.ELECTRNP.EFI_STK_RESD_SPHR_DFR_NA_NA_AFUE.A</t>
        </is>
      </c>
      <c r="D49" t="inlineStr">
        <is>
          <t>AFUE</t>
        </is>
      </c>
      <c r="E49" t="n">
        <v>0.832116</v>
      </c>
      <c r="F49" t="n">
        <v>0.8326440000000001</v>
      </c>
      <c r="G49" t="n">
        <v>0.833143</v>
      </c>
      <c r="H49" t="n">
        <v>0.833627</v>
      </c>
      <c r="I49" t="n">
        <v>0.834101</v>
      </c>
      <c r="J49" t="n">
        <v>0.834582</v>
      </c>
      <c r="K49" t="n">
        <v>0.835062</v>
      </c>
      <c r="L49" t="n">
        <v>0.835526</v>
      </c>
      <c r="M49" t="n">
        <v>0.835963</v>
      </c>
      <c r="N49" t="n">
        <v>0.836377</v>
      </c>
      <c r="O49" t="n">
        <v>0.836758</v>
      </c>
      <c r="P49" t="n">
        <v>0.837116</v>
      </c>
      <c r="Q49" t="n">
        <v>0.837445</v>
      </c>
      <c r="R49" t="n">
        <v>0.83775</v>
      </c>
      <c r="S49" t="n">
        <v>0.838033</v>
      </c>
      <c r="T49" t="n">
        <v>0.838292</v>
      </c>
      <c r="U49" t="n">
        <v>0.838525</v>
      </c>
      <c r="V49" t="n">
        <v>0.838736</v>
      </c>
      <c r="W49" t="n">
        <v>0.83892</v>
      </c>
      <c r="X49" t="n">
        <v>0.839077</v>
      </c>
      <c r="Y49" t="n">
        <v>0.839199</v>
      </c>
      <c r="Z49" t="n">
        <v>0.839295</v>
      </c>
      <c r="AA49" t="n">
        <v>0.839398</v>
      </c>
      <c r="AB49" t="n">
        <v>0.8395049999999999</v>
      </c>
      <c r="AC49" t="n">
        <v>0.839618</v>
      </c>
      <c r="AD49" t="n">
        <v>0.839736</v>
      </c>
      <c r="AE49" t="inlineStr">
        <is>
          <t>0.0%</t>
        </is>
      </c>
    </row>
    <row r="50">
      <c r="A50" t="inlineStr">
        <is>
          <t>Space Cooling</t>
        </is>
      </c>
    </row>
    <row r="51">
      <c r="A51" t="inlineStr">
        <is>
          <t>Electric Heat Pumps (SEER)</t>
        </is>
      </c>
      <c r="B51" t="inlineStr">
        <is>
          <t>Residential Equipment: Stock Average Efficiency: Space Cooling: Electric Heat Pumps: Alternative Electricity and Transportation</t>
        </is>
      </c>
      <c r="C51" t="inlineStr">
        <is>
          <t>AEO.2026.ELECTRNP.EFI_STK_RESD_SPC_EHP_NA_NA_SEER.A</t>
        </is>
      </c>
      <c r="D51" t="inlineStr">
        <is>
          <t>SEER</t>
        </is>
      </c>
      <c r="E51" t="n">
        <v>14.394477</v>
      </c>
      <c r="F51" t="n">
        <v>14.649236</v>
      </c>
      <c r="G51" t="n">
        <v>14.903358</v>
      </c>
      <c r="H51" t="n">
        <v>15.162802</v>
      </c>
      <c r="I51" t="n">
        <v>15.401136</v>
      </c>
      <c r="J51" t="n">
        <v>15.619678</v>
      </c>
      <c r="K51" t="n">
        <v>15.818392</v>
      </c>
      <c r="L51" t="n">
        <v>15.998156</v>
      </c>
      <c r="M51" t="n">
        <v>16.158895</v>
      </c>
      <c r="N51" t="n">
        <v>16.302317</v>
      </c>
      <c r="O51" t="n">
        <v>16.428106</v>
      </c>
      <c r="P51" t="n">
        <v>16.537176</v>
      </c>
      <c r="Q51" t="n">
        <v>16.630083</v>
      </c>
      <c r="R51" t="n">
        <v>16.706705</v>
      </c>
      <c r="S51" t="n">
        <v>16.767574</v>
      </c>
      <c r="T51" t="n">
        <v>16.818882</v>
      </c>
      <c r="U51" t="n">
        <v>16.85113</v>
      </c>
      <c r="V51" t="n">
        <v>16.862507</v>
      </c>
      <c r="W51" t="n">
        <v>16.874935</v>
      </c>
      <c r="X51" t="n">
        <v>16.887955</v>
      </c>
      <c r="Y51" t="n">
        <v>16.900826</v>
      </c>
      <c r="Z51" t="n">
        <v>16.913347</v>
      </c>
      <c r="AA51" t="n">
        <v>16.925617</v>
      </c>
      <c r="AB51" t="n">
        <v>16.937542</v>
      </c>
      <c r="AC51" t="n">
        <v>16.948915</v>
      </c>
      <c r="AD51" t="n">
        <v>16.959635</v>
      </c>
      <c r="AE51" t="inlineStr">
        <is>
          <t>0.7%</t>
        </is>
      </c>
    </row>
    <row r="52">
      <c r="A52" t="inlineStr">
        <is>
          <t>Natural Gas Heat Pumps (GCOP)</t>
        </is>
      </c>
      <c r="B52" t="inlineStr">
        <is>
          <t>Residential Equipment: Stock Average Efficiency: Space Cooling: Natural Gas Heat Pumps: Alternative Electricity and Transportation</t>
        </is>
      </c>
      <c r="C52" t="inlineStr">
        <is>
          <t>AEO.2026.ELECTRNP.EFI_STK_RESD_SPC_NHU_NA_NA_GCOP.A</t>
        </is>
      </c>
      <c r="D52" t="inlineStr">
        <is>
          <t>GCOP</t>
        </is>
      </c>
      <c r="E52" t="n">
        <v>0.629929</v>
      </c>
      <c r="F52" t="n">
        <v>0.636247</v>
      </c>
      <c r="G52" t="n">
        <v>0.642884</v>
      </c>
      <c r="H52" t="n">
        <v>0.649906</v>
      </c>
      <c r="I52" t="n">
        <v>0.65655</v>
      </c>
      <c r="J52" t="n">
        <v>0.662793</v>
      </c>
      <c r="K52" t="n">
        <v>0.668605</v>
      </c>
      <c r="L52" t="n">
        <v>0.673974</v>
      </c>
      <c r="M52" t="n">
        <v>0.678862</v>
      </c>
      <c r="N52" t="n">
        <v>0.683288</v>
      </c>
      <c r="O52" t="n">
        <v>0.687221</v>
      </c>
      <c r="P52" t="n">
        <v>0.690665</v>
      </c>
      <c r="Q52" t="n">
        <v>0.693611</v>
      </c>
      <c r="R52" t="n">
        <v>0.696038</v>
      </c>
      <c r="S52" t="n">
        <v>0.697942</v>
      </c>
      <c r="T52" t="n">
        <v>0.699288</v>
      </c>
      <c r="U52" t="n">
        <v>0.7</v>
      </c>
      <c r="V52" t="n">
        <v>0.7</v>
      </c>
      <c r="W52" t="n">
        <v>0.7</v>
      </c>
      <c r="X52" t="n">
        <v>0.7</v>
      </c>
      <c r="Y52" t="n">
        <v>0.7</v>
      </c>
      <c r="Z52" t="n">
        <v>0.7</v>
      </c>
      <c r="AA52" t="n">
        <v>0.7</v>
      </c>
      <c r="AB52" t="n">
        <v>0.7</v>
      </c>
      <c r="AC52" t="n">
        <v>0.7</v>
      </c>
      <c r="AD52" t="n">
        <v>0.7</v>
      </c>
      <c r="AE52" t="inlineStr">
        <is>
          <t>0.4%</t>
        </is>
      </c>
    </row>
    <row r="53">
      <c r="A53" t="inlineStr">
        <is>
          <t>Geothermal Heat Pumps (EER)</t>
        </is>
      </c>
      <c r="B53" t="inlineStr">
        <is>
          <t>Residential Equipment: Stock Average Efficiency: Space Cooling: Geothermal Heat Pumps: Alternative Electricity and Transportation</t>
        </is>
      </c>
      <c r="C53" t="inlineStr">
        <is>
          <t>AEO.2026.ELECTRNP.EFI_STK_RESD_SPC_GEHP_NA_NA_EER.A</t>
        </is>
      </c>
      <c r="D53" t="inlineStr">
        <is>
          <t>EER</t>
        </is>
      </c>
      <c r="E53" t="n">
        <v>14.018055</v>
      </c>
      <c r="F53" t="n">
        <v>14.153003</v>
      </c>
      <c r="G53" t="n">
        <v>14.285445</v>
      </c>
      <c r="H53" t="n">
        <v>14.420227</v>
      </c>
      <c r="I53" t="n">
        <v>14.556438</v>
      </c>
      <c r="J53" t="n">
        <v>14.693085</v>
      </c>
      <c r="K53" t="n">
        <v>14.831795</v>
      </c>
      <c r="L53" t="n">
        <v>14.964412</v>
      </c>
      <c r="M53" t="n">
        <v>15.090815</v>
      </c>
      <c r="N53" t="n">
        <v>15.211212</v>
      </c>
      <c r="O53" t="n">
        <v>15.325381</v>
      </c>
      <c r="P53" t="n">
        <v>15.433255</v>
      </c>
      <c r="Q53" t="n">
        <v>15.535234</v>
      </c>
      <c r="R53" t="n">
        <v>15.630803</v>
      </c>
      <c r="S53" t="n">
        <v>15.719887</v>
      </c>
      <c r="T53" t="n">
        <v>15.802962</v>
      </c>
      <c r="U53" t="n">
        <v>15.878443</v>
      </c>
      <c r="V53" t="n">
        <v>15.946691</v>
      </c>
      <c r="W53" t="n">
        <v>16.007122</v>
      </c>
      <c r="X53" t="n">
        <v>16.060036</v>
      </c>
      <c r="Y53" t="n">
        <v>16.104307</v>
      </c>
      <c r="Z53" t="n">
        <v>16.141459</v>
      </c>
      <c r="AA53" t="n">
        <v>16.171091</v>
      </c>
      <c r="AB53" t="n">
        <v>16.192818</v>
      </c>
      <c r="AC53" t="n">
        <v>16.208145</v>
      </c>
      <c r="AD53" t="n">
        <v>16.216425</v>
      </c>
      <c r="AE53" t="inlineStr">
        <is>
          <t>0.6%</t>
        </is>
      </c>
    </row>
    <row r="54">
      <c r="A54" t="inlineStr">
        <is>
          <t>Central Air Conditioners (SEER)</t>
        </is>
      </c>
      <c r="B54" t="inlineStr">
        <is>
          <t>Residential Equipment: Stock Average Efficiency: Space Cooling: Central Air Conditioners: Alternative Electricity and Transportation</t>
        </is>
      </c>
      <c r="C54" t="inlineStr">
        <is>
          <t>AEO.2026.ELECTRNP.EFI_STK_RESD_SPC_CAC_NA_NA_SEER.A</t>
        </is>
      </c>
      <c r="D54" t="inlineStr">
        <is>
          <t>SEER</t>
        </is>
      </c>
      <c r="E54" t="n">
        <v>13.182222</v>
      </c>
      <c r="F54" t="n">
        <v>13.332609</v>
      </c>
      <c r="G54" t="n">
        <v>13.483406</v>
      </c>
      <c r="H54" t="n">
        <v>13.636544</v>
      </c>
      <c r="I54" t="n">
        <v>13.779715</v>
      </c>
      <c r="J54" t="n">
        <v>13.925951</v>
      </c>
      <c r="K54" t="n">
        <v>14.060987</v>
      </c>
      <c r="L54" t="n">
        <v>14.184299</v>
      </c>
      <c r="M54" t="n">
        <v>14.295242</v>
      </c>
      <c r="N54" t="n">
        <v>14.394967</v>
      </c>
      <c r="O54" t="n">
        <v>14.482498</v>
      </c>
      <c r="P54" t="n">
        <v>14.557345</v>
      </c>
      <c r="Q54" t="n">
        <v>14.620028</v>
      </c>
      <c r="R54" t="n">
        <v>14.671937</v>
      </c>
      <c r="S54" t="n">
        <v>14.712533</v>
      </c>
      <c r="T54" t="n">
        <v>14.742565</v>
      </c>
      <c r="U54" t="n">
        <v>14.761471</v>
      </c>
      <c r="V54" t="n">
        <v>14.768062</v>
      </c>
      <c r="W54" t="n">
        <v>14.774351</v>
      </c>
      <c r="X54" t="n">
        <v>14.780355</v>
      </c>
      <c r="Y54" t="n">
        <v>14.786111</v>
      </c>
      <c r="Z54" t="n">
        <v>14.791622</v>
      </c>
      <c r="AA54" t="n">
        <v>14.796846</v>
      </c>
      <c r="AB54" t="n">
        <v>14.801774</v>
      </c>
      <c r="AC54" t="n">
        <v>14.806413</v>
      </c>
      <c r="AD54" t="n">
        <v>14.810778</v>
      </c>
      <c r="AE54" t="inlineStr">
        <is>
          <t>0.5%</t>
        </is>
      </c>
    </row>
    <row r="55">
      <c r="A55" t="inlineStr">
        <is>
          <t>Room Air Conditioners (EER)</t>
        </is>
      </c>
      <c r="B55" t="inlineStr">
        <is>
          <t>Residential Equipment: Stock Average Efficiency: Space Cooling: Room Air Conditioners: Alternative Electricity and Transportation</t>
        </is>
      </c>
      <c r="C55" t="inlineStr">
        <is>
          <t>AEO.2026.ELECTRNP.EFI_STK_RESD_SPC_RAC_NA_NA_EER.A</t>
        </is>
      </c>
      <c r="D55" t="inlineStr">
        <is>
          <t>EER</t>
        </is>
      </c>
      <c r="E55" t="n">
        <v>11.645765</v>
      </c>
      <c r="F55" t="n">
        <v>11.861027</v>
      </c>
      <c r="G55" t="n">
        <v>12.310933</v>
      </c>
      <c r="H55" t="n">
        <v>12.76936</v>
      </c>
      <c r="I55" t="n">
        <v>13.284547</v>
      </c>
      <c r="J55" t="n">
        <v>13.782188</v>
      </c>
      <c r="K55" t="n">
        <v>14.243883</v>
      </c>
      <c r="L55" t="n">
        <v>14.660746</v>
      </c>
      <c r="M55" t="n">
        <v>15.032824</v>
      </c>
      <c r="N55" t="n">
        <v>15.34953</v>
      </c>
      <c r="O55" t="n">
        <v>15.587445</v>
      </c>
      <c r="P55" t="n">
        <v>15.743828</v>
      </c>
      <c r="Q55" t="n">
        <v>15.817233</v>
      </c>
      <c r="R55" t="n">
        <v>15.875089</v>
      </c>
      <c r="S55" t="n">
        <v>15.918317</v>
      </c>
      <c r="T55" t="n">
        <v>15.94899</v>
      </c>
      <c r="U55" t="n">
        <v>15.969603</v>
      </c>
      <c r="V55" t="n">
        <v>15.982771</v>
      </c>
      <c r="W55" t="n">
        <v>15.990712</v>
      </c>
      <c r="X55" t="n">
        <v>15.995247</v>
      </c>
      <c r="Y55" t="n">
        <v>15.997692</v>
      </c>
      <c r="Z55" t="n">
        <v>15.998946</v>
      </c>
      <c r="AA55" t="n">
        <v>15.999543</v>
      </c>
      <c r="AB55" t="n">
        <v>15.999808</v>
      </c>
      <c r="AC55" t="n">
        <v>15.999928</v>
      </c>
      <c r="AD55" t="n">
        <v>15.999976</v>
      </c>
      <c r="AE55" t="inlineStr">
        <is>
          <t>1.3%</t>
        </is>
      </c>
    </row>
    <row r="56">
      <c r="A56" t="inlineStr">
        <is>
          <t>Water Heaters</t>
        </is>
      </c>
    </row>
    <row r="57">
      <c r="A57" t="inlineStr">
        <is>
          <t>Electric (EF)</t>
        </is>
      </c>
      <c r="B57" t="inlineStr">
        <is>
          <t>Residential Equipment: Stock Average Efficiency: Water Heaters: Electric: Alternative Electricity and Transportation</t>
        </is>
      </c>
      <c r="C57" t="inlineStr">
        <is>
          <t>AEO.2026.ELECTRNP.EFI_STK_RESD_WHT_ELE_NA_NA_EF.A</t>
        </is>
      </c>
      <c r="D57" t="inlineStr">
        <is>
          <t>EF</t>
        </is>
      </c>
      <c r="E57" t="n">
        <v>1.149943</v>
      </c>
      <c r="F57" t="n">
        <v>1.174917</v>
      </c>
      <c r="G57" t="n">
        <v>1.19136</v>
      </c>
      <c r="H57" t="n">
        <v>1.209078</v>
      </c>
      <c r="I57" t="n">
        <v>1.322374</v>
      </c>
      <c r="J57" t="n">
        <v>1.415462</v>
      </c>
      <c r="K57" t="n">
        <v>1.513617</v>
      </c>
      <c r="L57" t="n">
        <v>1.607691</v>
      </c>
      <c r="M57" t="n">
        <v>1.697708</v>
      </c>
      <c r="N57" t="n">
        <v>1.782251</v>
      </c>
      <c r="O57" t="n">
        <v>1.860952</v>
      </c>
      <c r="P57" t="n">
        <v>1.933254</v>
      </c>
      <c r="Q57" t="n">
        <v>1.998485</v>
      </c>
      <c r="R57" t="n">
        <v>2.05664</v>
      </c>
      <c r="S57" t="n">
        <v>2.107246</v>
      </c>
      <c r="T57" t="n">
        <v>2.15043</v>
      </c>
      <c r="U57" t="n">
        <v>2.185891</v>
      </c>
      <c r="V57" t="n">
        <v>2.213363</v>
      </c>
      <c r="W57" t="n">
        <v>2.233032</v>
      </c>
      <c r="X57" t="n">
        <v>2.251643</v>
      </c>
      <c r="Y57" t="n">
        <v>2.26908</v>
      </c>
      <c r="Z57" t="n">
        <v>2.285292</v>
      </c>
      <c r="AA57" t="n">
        <v>2.300254</v>
      </c>
      <c r="AB57" t="n">
        <v>2.313976</v>
      </c>
      <c r="AC57" t="n">
        <v>2.326515</v>
      </c>
      <c r="AD57" t="n">
        <v>2.337879</v>
      </c>
      <c r="AE57" t="inlineStr">
        <is>
          <t>2.9%</t>
        </is>
      </c>
    </row>
    <row r="58">
      <c r="A58" t="inlineStr">
        <is>
          <t>Natural Gas (EF)</t>
        </is>
      </c>
      <c r="B58" t="inlineStr">
        <is>
          <t>Residential Equipment: Stock Average Efficiency: Water Heaters: Natural Gas: Alternative Electricity and Transportation</t>
        </is>
      </c>
      <c r="C58" t="inlineStr">
        <is>
          <t>AEO.2026.ELECTRNP.EFI_STK_RESD_WHT_NG_NA_NA_EF.A</t>
        </is>
      </c>
      <c r="D58" t="inlineStr">
        <is>
          <t>EF</t>
        </is>
      </c>
      <c r="E58" t="n">
        <v>0.613419</v>
      </c>
      <c r="F58" t="n">
        <v>0.616896</v>
      </c>
      <c r="G58" t="n">
        <v>0.619763</v>
      </c>
      <c r="H58" t="n">
        <v>0.622133</v>
      </c>
      <c r="I58" t="n">
        <v>0.628677</v>
      </c>
      <c r="J58" t="n">
        <v>0.634337</v>
      </c>
      <c r="K58" t="n">
        <v>0.639269</v>
      </c>
      <c r="L58" t="n">
        <v>0.643449</v>
      </c>
      <c r="M58" t="n">
        <v>0.646743</v>
      </c>
      <c r="N58" t="n">
        <v>0.649166</v>
      </c>
      <c r="O58" t="n">
        <v>0.650777</v>
      </c>
      <c r="P58" t="n">
        <v>0.6523870000000001</v>
      </c>
      <c r="Q58" t="n">
        <v>0.653966</v>
      </c>
      <c r="R58" t="n">
        <v>0.6554990000000001</v>
      </c>
      <c r="S58" t="n">
        <v>0.656969</v>
      </c>
      <c r="T58" t="n">
        <v>0.658368</v>
      </c>
      <c r="U58" t="n">
        <v>0.659685</v>
      </c>
      <c r="V58" t="n">
        <v>0.660917</v>
      </c>
      <c r="W58" t="n">
        <v>0.662059</v>
      </c>
      <c r="X58" t="n">
        <v>0.66311</v>
      </c>
      <c r="Y58" t="n">
        <v>0.664071</v>
      </c>
      <c r="Z58" t="n">
        <v>0.664942</v>
      </c>
      <c r="AA58" t="n">
        <v>0.665724</v>
      </c>
      <c r="AB58" t="n">
        <v>0.666422</v>
      </c>
      <c r="AC58" t="n">
        <v>0.667041</v>
      </c>
      <c r="AD58" t="n">
        <v>0.667586</v>
      </c>
      <c r="AE58" t="inlineStr">
        <is>
          <t>0.3%</t>
        </is>
      </c>
    </row>
    <row r="59">
      <c r="A59" t="inlineStr">
        <is>
          <t>Distillate Fuel Oil (EF)</t>
        </is>
      </c>
      <c r="B59" t="inlineStr">
        <is>
          <t>Residential Equipment: Stock Average Efficiency: Water Heaters: Distillate Fuel Oil: Alternative Electricity and Transportation</t>
        </is>
      </c>
      <c r="C59" t="inlineStr">
        <is>
          <t>AEO.2026.ELECTRNP.EFI_STK_RESD_WHT_DFO_NA_NA_EF.A</t>
        </is>
      </c>
      <c r="D59" t="inlineStr">
        <is>
          <t>EF</t>
        </is>
      </c>
      <c r="E59" t="n">
        <v>0.55984</v>
      </c>
      <c r="F59" t="n">
        <v>0.572169</v>
      </c>
      <c r="G59" t="n">
        <v>0.584079</v>
      </c>
      <c r="H59" t="n">
        <v>0.595341</v>
      </c>
      <c r="I59" t="n">
        <v>0.606766</v>
      </c>
      <c r="J59" t="n">
        <v>0.616869</v>
      </c>
      <c r="K59" t="n">
        <v>0.6255849999999999</v>
      </c>
      <c r="L59" t="n">
        <v>0.632601</v>
      </c>
      <c r="M59" t="n">
        <v>0.637676</v>
      </c>
      <c r="N59" t="n">
        <v>0.640564</v>
      </c>
      <c r="O59" t="n">
        <v>0.641109</v>
      </c>
      <c r="P59" t="n">
        <v>0.641668</v>
      </c>
      <c r="Q59" t="n">
        <v>0.6422330000000001</v>
      </c>
      <c r="R59" t="n">
        <v>0.642799</v>
      </c>
      <c r="S59" t="n">
        <v>0.643363</v>
      </c>
      <c r="T59" t="n">
        <v>0.643918</v>
      </c>
      <c r="U59" t="n">
        <v>0.644462</v>
      </c>
      <c r="V59" t="n">
        <v>0.64499</v>
      </c>
      <c r="W59" t="n">
        <v>0.6455</v>
      </c>
      <c r="X59" t="n">
        <v>0.645988</v>
      </c>
      <c r="Y59" t="n">
        <v>0.6464530000000001</v>
      </c>
      <c r="Z59" t="n">
        <v>0.646892</v>
      </c>
      <c r="AA59" t="n">
        <v>0.647304</v>
      </c>
      <c r="AB59" t="n">
        <v>0.647688</v>
      </c>
      <c r="AC59" t="n">
        <v>0.648044</v>
      </c>
      <c r="AD59" t="n">
        <v>0.6483719999999999</v>
      </c>
      <c r="AE59" t="inlineStr">
        <is>
          <t>0.6%</t>
        </is>
      </c>
    </row>
    <row r="60">
      <c r="A60" t="inlineStr">
        <is>
          <t>Propane (EF)</t>
        </is>
      </c>
      <c r="B60" t="inlineStr">
        <is>
          <t>Residential Equipment: Stock Average Efficiency: Water Heaters: Propane: Alternative Electricity and Transportation</t>
        </is>
      </c>
      <c r="C60" t="inlineStr">
        <is>
          <t>AEO.2026.ELECTRNP.EFI_STK_RESD_WHT_PROP_NA_NA_EF.A</t>
        </is>
      </c>
      <c r="D60" t="inlineStr">
        <is>
          <t>EF</t>
        </is>
      </c>
      <c r="E60" t="n">
        <v>0.621927</v>
      </c>
      <c r="F60" t="n">
        <v>0.625153</v>
      </c>
      <c r="G60" t="n">
        <v>0.627432</v>
      </c>
      <c r="H60" t="n">
        <v>0.629172</v>
      </c>
      <c r="I60" t="n">
        <v>0.634517</v>
      </c>
      <c r="J60" t="n">
        <v>0.63917</v>
      </c>
      <c r="K60" t="n">
        <v>0.643133</v>
      </c>
      <c r="L60" t="n">
        <v>0.646393</v>
      </c>
      <c r="M60" t="n">
        <v>0.6488969999999999</v>
      </c>
      <c r="N60" t="n">
        <v>0.650628</v>
      </c>
      <c r="O60" t="n">
        <v>0.651559</v>
      </c>
      <c r="P60" t="n">
        <v>0.6525030000000001</v>
      </c>
      <c r="Q60" t="n">
        <v>0.6534450000000001</v>
      </c>
      <c r="R60" t="n">
        <v>0.654375</v>
      </c>
      <c r="S60" t="n">
        <v>0.655284</v>
      </c>
      <c r="T60" t="n">
        <v>0.6561669999999999</v>
      </c>
      <c r="U60" t="n">
        <v>0.657018</v>
      </c>
      <c r="V60" t="n">
        <v>0.657833</v>
      </c>
      <c r="W60" t="n">
        <v>0.658609</v>
      </c>
      <c r="X60" t="n">
        <v>0.659341</v>
      </c>
      <c r="Y60" t="n">
        <v>0.6600279999999999</v>
      </c>
      <c r="Z60" t="n">
        <v>0.6606649999999999</v>
      </c>
      <c r="AA60" t="n">
        <v>0.661251</v>
      </c>
      <c r="AB60" t="n">
        <v>0.661785</v>
      </c>
      <c r="AC60" t="n">
        <v>0.662269</v>
      </c>
      <c r="AD60" t="n">
        <v>0.662704</v>
      </c>
      <c r="AE60" t="inlineStr">
        <is>
          <t>0.3%</t>
        </is>
      </c>
    </row>
    <row r="61">
      <c r="A61" t="inlineStr">
        <is>
          <t>Other Appliances (kilowatthours per year)</t>
        </is>
      </c>
    </row>
    <row r="62">
      <c r="A62" t="inlineStr">
        <is>
          <t>Refrigerators</t>
        </is>
      </c>
      <c r="B62" t="inlineStr">
        <is>
          <t>Residential Equipment: Stock Average Efficiency: Other Appliances: Refrigerators: Alternative Electricity and Transportation</t>
        </is>
      </c>
      <c r="C62" t="inlineStr">
        <is>
          <t>AEO.2026.ELECTRNP.EFI_STK_RESD_OTAR_RFG_NA_NA_KWH.A</t>
        </is>
      </c>
      <c r="D62" t="inlineStr">
        <is>
          <t>kWh</t>
        </is>
      </c>
      <c r="E62" t="n">
        <v>596.525574</v>
      </c>
      <c r="F62" t="n">
        <v>587.685242</v>
      </c>
      <c r="G62" t="n">
        <v>578.720154</v>
      </c>
      <c r="H62" t="n">
        <v>569.706848</v>
      </c>
      <c r="I62" t="n">
        <v>561.178101</v>
      </c>
      <c r="J62" t="n">
        <v>548.501343</v>
      </c>
      <c r="K62" t="n">
        <v>536.269104</v>
      </c>
      <c r="L62" t="n">
        <v>524.465759</v>
      </c>
      <c r="M62" t="n">
        <v>513.087463</v>
      </c>
      <c r="N62" t="n">
        <v>502.114105</v>
      </c>
      <c r="O62" t="n">
        <v>491.578186</v>
      </c>
      <c r="P62" t="n">
        <v>481.782928</v>
      </c>
      <c r="Q62" t="n">
        <v>472.797028</v>
      </c>
      <c r="R62" t="n">
        <v>464.654297</v>
      </c>
      <c r="S62" t="n">
        <v>457.365601</v>
      </c>
      <c r="T62" t="n">
        <v>450.895355</v>
      </c>
      <c r="U62" t="n">
        <v>445.244843</v>
      </c>
      <c r="V62" t="n">
        <v>440.373627</v>
      </c>
      <c r="W62" t="n">
        <v>436.319031</v>
      </c>
      <c r="X62" t="n">
        <v>433.03894</v>
      </c>
      <c r="Y62" t="n">
        <v>430.560669</v>
      </c>
      <c r="Z62" t="n">
        <v>428.906555</v>
      </c>
      <c r="AA62" t="n">
        <v>428.04953</v>
      </c>
      <c r="AB62" t="n">
        <v>427.281921</v>
      </c>
      <c r="AC62" t="n">
        <v>426.600159</v>
      </c>
      <c r="AD62" t="n">
        <v>425.988586</v>
      </c>
      <c r="AE62" t="inlineStr">
        <is>
          <t>-1.3%</t>
        </is>
      </c>
    </row>
    <row r="63">
      <c r="A63" t="inlineStr">
        <is>
          <t>Freezers</t>
        </is>
      </c>
      <c r="B63" t="inlineStr">
        <is>
          <t>Residential Equipment: Stock Average Efficiency: Other Appliances: Freezers: Alternative Electricity and Transportation</t>
        </is>
      </c>
      <c r="C63" t="inlineStr">
        <is>
          <t>AEO.2026.ELECTRNP.EFI_STK_RESD_OTAR_FRZ_NA_NA_KWH.A</t>
        </is>
      </c>
      <c r="D63" t="inlineStr">
        <is>
          <t>kWh</t>
        </is>
      </c>
      <c r="E63" t="n">
        <v>458.943054</v>
      </c>
      <c r="F63" t="n">
        <v>454.386353</v>
      </c>
      <c r="G63" t="n">
        <v>449.854584</v>
      </c>
      <c r="H63" t="n">
        <v>445.281952</v>
      </c>
      <c r="I63" t="n">
        <v>440.632965</v>
      </c>
      <c r="J63" t="n">
        <v>433.892456</v>
      </c>
      <c r="K63" t="n">
        <v>427.017548</v>
      </c>
      <c r="L63" t="n">
        <v>420.047577</v>
      </c>
      <c r="M63" t="n">
        <v>413.356567</v>
      </c>
      <c r="N63" t="n">
        <v>406.947083</v>
      </c>
      <c r="O63" t="n">
        <v>400.83316</v>
      </c>
      <c r="P63" t="n">
        <v>395.00174</v>
      </c>
      <c r="Q63" t="n">
        <v>389.434753</v>
      </c>
      <c r="R63" t="n">
        <v>384.164764</v>
      </c>
      <c r="S63" t="n">
        <v>379.21167</v>
      </c>
      <c r="T63" t="n">
        <v>374.553558</v>
      </c>
      <c r="U63" t="n">
        <v>370.243713</v>
      </c>
      <c r="V63" t="n">
        <v>366.249695</v>
      </c>
      <c r="W63" t="n">
        <v>362.591187</v>
      </c>
      <c r="X63" t="n">
        <v>359.250061</v>
      </c>
      <c r="Y63" t="n">
        <v>356.207977</v>
      </c>
      <c r="Z63" t="n">
        <v>353.528564</v>
      </c>
      <c r="AA63" t="n">
        <v>351.185089</v>
      </c>
      <c r="AB63" t="n">
        <v>349.228699</v>
      </c>
      <c r="AC63" t="n">
        <v>347.686554</v>
      </c>
      <c r="AD63" t="n">
        <v>346.562897</v>
      </c>
      <c r="AE63" t="inlineStr">
        <is>
          <t>-1.1%</t>
        </is>
      </c>
    </row>
    <row r="64">
      <c r="A64" t="inlineStr">
        <is>
          <t>Building Shell Efficiency Index</t>
        </is>
      </c>
    </row>
    <row r="65">
      <c r="A65" t="inlineStr">
        <is>
          <t>Space Heating</t>
        </is>
      </c>
    </row>
    <row r="66">
      <c r="A66" t="inlineStr">
        <is>
          <t>Pre-2020 Homes</t>
        </is>
      </c>
      <c r="B66" t="inlineStr">
        <is>
          <t>Residential Equipment: Building Shell Efficiency Index: Space Heating: Pre-2020 Homes: Alternative Electricity and Transportation</t>
        </is>
      </c>
      <c r="C66" t="inlineStr">
        <is>
          <t>AEO.2026.ELECTRNP.EFI_BSE_RESD_SPH_OLD_NA_NA_Y15EQ1.A</t>
        </is>
      </c>
      <c r="D66" t="inlineStr">
        <is>
          <t>2020=1.00</t>
        </is>
      </c>
      <c r="E66" t="n">
        <v>0.956101</v>
      </c>
      <c r="F66" t="n">
        <v>0.950758</v>
      </c>
      <c r="G66" t="n">
        <v>0.945052</v>
      </c>
      <c r="H66" t="n">
        <v>0.938998</v>
      </c>
      <c r="I66" t="n">
        <v>0.932345</v>
      </c>
      <c r="J66" t="n">
        <v>0.925172</v>
      </c>
      <c r="K66" t="n">
        <v>0.917816</v>
      </c>
      <c r="L66" t="n">
        <v>0.910537</v>
      </c>
      <c r="M66" t="n">
        <v>0.90305</v>
      </c>
      <c r="N66" t="n">
        <v>0.895764</v>
      </c>
      <c r="O66" t="n">
        <v>0.888572</v>
      </c>
      <c r="P66" t="n">
        <v>0.881558</v>
      </c>
      <c r="Q66" t="n">
        <v>0.874511</v>
      </c>
      <c r="R66" t="n">
        <v>0.867545</v>
      </c>
      <c r="S66" t="n">
        <v>0.860613</v>
      </c>
      <c r="T66" t="n">
        <v>0.853716</v>
      </c>
      <c r="U66" t="n">
        <v>0.846866</v>
      </c>
      <c r="V66" t="n">
        <v>0.840177</v>
      </c>
      <c r="W66" t="n">
        <v>0.83362</v>
      </c>
      <c r="X66" t="n">
        <v>0.8271500000000001</v>
      </c>
      <c r="Y66" t="n">
        <v>0.82065</v>
      </c>
      <c r="Z66" t="n">
        <v>0.814016</v>
      </c>
      <c r="AA66" t="n">
        <v>0.807256</v>
      </c>
      <c r="AB66" t="n">
        <v>0.800451</v>
      </c>
      <c r="AC66" t="n">
        <v>0.793677</v>
      </c>
      <c r="AD66" t="n">
        <v>0.786926</v>
      </c>
      <c r="AE66" t="inlineStr">
        <is>
          <t>-0.8%</t>
        </is>
      </c>
    </row>
    <row r="67">
      <c r="A67" t="inlineStr">
        <is>
          <t>New Construction</t>
        </is>
      </c>
      <c r="B67" t="inlineStr">
        <is>
          <t>Residential Equipment: Building Shell Efficiency Index: Space Heating: New Construction: Alternative Electricity and Transportation</t>
        </is>
      </c>
      <c r="C67" t="inlineStr">
        <is>
          <t>AEO.2026.ELECTRNP.EFI_BSE_RESD_SPH_NCO_NA_NA_Y15EQ1.A</t>
        </is>
      </c>
      <c r="D67" t="inlineStr">
        <is>
          <t>2020=1.00</t>
        </is>
      </c>
      <c r="E67" t="n">
        <v>0.789724</v>
      </c>
      <c r="F67" t="n">
        <v>0.865747</v>
      </c>
      <c r="G67" t="n">
        <v>0.901509</v>
      </c>
      <c r="H67" t="n">
        <v>0.900807</v>
      </c>
      <c r="I67" t="n">
        <v>0.898675</v>
      </c>
      <c r="J67" t="n">
        <v>0.902115</v>
      </c>
      <c r="K67" t="n">
        <v>0.908102</v>
      </c>
      <c r="L67" t="n">
        <v>0.90784</v>
      </c>
      <c r="M67" t="n">
        <v>0.906341</v>
      </c>
      <c r="N67" t="n">
        <v>0.904926</v>
      </c>
      <c r="O67" t="n">
        <v>0.90334</v>
      </c>
      <c r="P67" t="n">
        <v>0.902405</v>
      </c>
      <c r="Q67" t="n">
        <v>0.895033</v>
      </c>
      <c r="R67" t="n">
        <v>0.891202</v>
      </c>
      <c r="S67" t="n">
        <v>0.888339</v>
      </c>
      <c r="T67" t="n">
        <v>0.885432</v>
      </c>
      <c r="U67" t="n">
        <v>0.881966</v>
      </c>
      <c r="V67" t="n">
        <v>0.8786</v>
      </c>
      <c r="W67" t="n">
        <v>0.878308</v>
      </c>
      <c r="X67" t="n">
        <v>0.879787</v>
      </c>
      <c r="Y67" t="n">
        <v>0.879173</v>
      </c>
      <c r="Z67" t="n">
        <v>0.877908</v>
      </c>
      <c r="AA67" t="n">
        <v>0.876591</v>
      </c>
      <c r="AB67" t="n">
        <v>0.875545</v>
      </c>
      <c r="AC67" t="n">
        <v>0.874588</v>
      </c>
      <c r="AD67" t="n">
        <v>0.873561</v>
      </c>
      <c r="AE67" t="inlineStr">
        <is>
          <t>0.4%</t>
        </is>
      </c>
    </row>
    <row r="68">
      <c r="A68" t="inlineStr">
        <is>
          <t>All Homes</t>
        </is>
      </c>
      <c r="B68" t="inlineStr">
        <is>
          <t>Residential Equipment: Building Shell Efficiency Index: Space Heating: All Homes: Alternative Electricity and Transportation</t>
        </is>
      </c>
      <c r="C68" t="inlineStr">
        <is>
          <t>AEO.2026.ELECTRNP.EFI_BSE_RESD_SPH_AHM_NA_NA_Y15EQ1.A</t>
        </is>
      </c>
      <c r="D68" t="inlineStr">
        <is>
          <t>2020=1.00</t>
        </is>
      </c>
      <c r="E68" t="n">
        <v>0.9475</v>
      </c>
      <c r="F68" t="n">
        <v>0.94159</v>
      </c>
      <c r="G68" t="n">
        <v>0.935891</v>
      </c>
      <c r="H68" t="n">
        <v>0.930009</v>
      </c>
      <c r="I68" t="n">
        <v>0.923702</v>
      </c>
      <c r="J68" t="n">
        <v>0.91712</v>
      </c>
      <c r="K68" t="n">
        <v>0.910592</v>
      </c>
      <c r="L68" t="n">
        <v>0.904272</v>
      </c>
      <c r="M68" t="n">
        <v>0.897896</v>
      </c>
      <c r="N68" t="n">
        <v>0.891807</v>
      </c>
      <c r="O68" t="n">
        <v>0.885903</v>
      </c>
      <c r="P68" t="n">
        <v>0.880253</v>
      </c>
      <c r="Q68" t="n">
        <v>0.874602</v>
      </c>
      <c r="R68" t="n">
        <v>0.869078</v>
      </c>
      <c r="S68" t="n">
        <v>0.863643</v>
      </c>
      <c r="T68" t="n">
        <v>0.858293</v>
      </c>
      <c r="U68" t="n">
        <v>0.853028</v>
      </c>
      <c r="V68" t="n">
        <v>0.847936</v>
      </c>
      <c r="W68" t="n">
        <v>0.84301</v>
      </c>
      <c r="X68" t="n">
        <v>0.838226</v>
      </c>
      <c r="Y68" t="n">
        <v>0.83348</v>
      </c>
      <c r="Z68" t="n">
        <v>0.828688</v>
      </c>
      <c r="AA68" t="n">
        <v>0.8238529999999999</v>
      </c>
      <c r="AB68" t="n">
        <v>0.81904</v>
      </c>
      <c r="AC68" t="n">
        <v>0.814306</v>
      </c>
      <c r="AD68" t="n">
        <v>0.809646</v>
      </c>
      <c r="AE68" t="inlineStr">
        <is>
          <t>-0.6%</t>
        </is>
      </c>
    </row>
    <row r="69">
      <c r="A69" t="inlineStr">
        <is>
          <t>Space Cooling</t>
        </is>
      </c>
    </row>
    <row r="70">
      <c r="A70" t="inlineStr">
        <is>
          <t>Pre-2020 Homes</t>
        </is>
      </c>
      <c r="B70" t="inlineStr">
        <is>
          <t>Residential Equipment: Building Shell Efficiency Index: Space Cooling: Pre-2020 Homes: Alternative Electricity and Transportation</t>
        </is>
      </c>
      <c r="C70" t="inlineStr">
        <is>
          <t>AEO.2026.ELECTRNP.EFI_BSE_RESD_SPC_OLD_NA_NA_Y15EQ1.A</t>
        </is>
      </c>
      <c r="D70" t="inlineStr">
        <is>
          <t>2020=1.00</t>
        </is>
      </c>
      <c r="E70" t="n">
        <v>0.984865</v>
      </c>
      <c r="F70" t="n">
        <v>0.983098</v>
      </c>
      <c r="G70" t="n">
        <v>0.9811299999999999</v>
      </c>
      <c r="H70" t="n">
        <v>0.978977</v>
      </c>
      <c r="I70" t="n">
        <v>0.976576</v>
      </c>
      <c r="J70" t="n">
        <v>0.974012</v>
      </c>
      <c r="K70" t="n">
        <v>0.971383</v>
      </c>
      <c r="L70" t="n">
        <v>0.968805</v>
      </c>
      <c r="M70" t="n">
        <v>0.966197</v>
      </c>
      <c r="N70" t="n">
        <v>0.963654</v>
      </c>
      <c r="O70" t="n">
        <v>0.9611189999999999</v>
      </c>
      <c r="P70" t="n">
        <v>0.958638</v>
      </c>
      <c r="Q70" t="n">
        <v>0.956141</v>
      </c>
      <c r="R70" t="n">
        <v>0.953668</v>
      </c>
      <c r="S70" t="n">
        <v>0.951209</v>
      </c>
      <c r="T70" t="n">
        <v>0.94877</v>
      </c>
      <c r="U70" t="n">
        <v>0.946343</v>
      </c>
      <c r="V70" t="n">
        <v>0.94397</v>
      </c>
      <c r="W70" t="n">
        <v>0.9416369999999999</v>
      </c>
      <c r="X70" t="n">
        <v>0.939331</v>
      </c>
      <c r="Y70" t="n">
        <v>0.937013</v>
      </c>
      <c r="Z70" t="n">
        <v>0.934647</v>
      </c>
      <c r="AA70" t="n">
        <v>0.932236</v>
      </c>
      <c r="AB70" t="n">
        <v>0.9298070000000001</v>
      </c>
      <c r="AC70" t="n">
        <v>0.927389</v>
      </c>
      <c r="AD70" t="n">
        <v>0.924984</v>
      </c>
      <c r="AE70" t="inlineStr">
        <is>
          <t>-0.3%</t>
        </is>
      </c>
    </row>
    <row r="71">
      <c r="A71" t="inlineStr">
        <is>
          <t>New Construction</t>
        </is>
      </c>
      <c r="B71" t="inlineStr">
        <is>
          <t>Residential Equipment: Building Shell Efficiency Index: Space Cooling: New Construction: Alternative Electricity and Transportation</t>
        </is>
      </c>
      <c r="C71" t="inlineStr">
        <is>
          <t>AEO.2026.ELECTRNP.EFI_BSE_RESD_SPC_NCO_NA_NA_Y15EQ1.A</t>
        </is>
      </c>
      <c r="D71" t="inlineStr">
        <is>
          <t>2020=1.00</t>
        </is>
      </c>
      <c r="E71" t="n">
        <v>0.9789330000000001</v>
      </c>
      <c r="F71" t="n">
        <v>1.006527</v>
      </c>
      <c r="G71" t="n">
        <v>1.023568</v>
      </c>
      <c r="H71" t="n">
        <v>1.023448</v>
      </c>
      <c r="I71" t="n">
        <v>1.022484</v>
      </c>
      <c r="J71" t="n">
        <v>1.022529</v>
      </c>
      <c r="K71" t="n">
        <v>1.026335</v>
      </c>
      <c r="L71" t="n">
        <v>1.026398</v>
      </c>
      <c r="M71" t="n">
        <v>1.025671</v>
      </c>
      <c r="N71" t="n">
        <v>1.025067</v>
      </c>
      <c r="O71" t="n">
        <v>1.024506</v>
      </c>
      <c r="P71" t="n">
        <v>1.024467</v>
      </c>
      <c r="Q71" t="n">
        <v>1.019954</v>
      </c>
      <c r="R71" t="n">
        <v>1.017898</v>
      </c>
      <c r="S71" t="n">
        <v>1.016372</v>
      </c>
      <c r="T71" t="n">
        <v>1.015388</v>
      </c>
      <c r="U71" t="n">
        <v>1.014135</v>
      </c>
      <c r="V71" t="n">
        <v>1.01255</v>
      </c>
      <c r="W71" t="n">
        <v>1.013225</v>
      </c>
      <c r="X71" t="n">
        <v>1.015143</v>
      </c>
      <c r="Y71" t="n">
        <v>1.015255</v>
      </c>
      <c r="Z71" t="n">
        <v>1.01481</v>
      </c>
      <c r="AA71" t="n">
        <v>1.014474</v>
      </c>
      <c r="AB71" t="n">
        <v>1.014172</v>
      </c>
      <c r="AC71" t="n">
        <v>1.014011</v>
      </c>
      <c r="AD71" t="n">
        <v>1.013783</v>
      </c>
      <c r="AE71" t="inlineStr">
        <is>
          <t>0.1%</t>
        </is>
      </c>
    </row>
    <row r="72">
      <c r="A72" t="inlineStr">
        <is>
          <t>All Homes</t>
        </is>
      </c>
      <c r="B72" t="inlineStr">
        <is>
          <t>Residential Equipment: Building Shell Efficiency Index: Space Cooling: All Homes: Alternative Electricity and Transportation</t>
        </is>
      </c>
      <c r="C72" t="inlineStr">
        <is>
          <t>AEO.2026.ELECTRNP.EFI_BSE_RESD_SPC_AHM_NA_NA_Y15EQ1.A</t>
        </is>
      </c>
      <c r="D72" t="inlineStr">
        <is>
          <t>2020=1.00</t>
        </is>
      </c>
      <c r="E72" t="n">
        <v>0.985082</v>
      </c>
      <c r="F72" t="n">
        <v>0.9836279999999999</v>
      </c>
      <c r="G72" t="n">
        <v>0.982187</v>
      </c>
      <c r="H72" t="n">
        <v>0.98059</v>
      </c>
      <c r="I72" t="n">
        <v>0.978785</v>
      </c>
      <c r="J72" t="n">
        <v>0.976858</v>
      </c>
      <c r="K72" t="n">
        <v>0.9749409999999999</v>
      </c>
      <c r="L72" t="n">
        <v>0.973101</v>
      </c>
      <c r="M72" t="n">
        <v>0.971248</v>
      </c>
      <c r="N72" t="n">
        <v>0.969462</v>
      </c>
      <c r="O72" t="n">
        <v>0.967695</v>
      </c>
      <c r="P72" t="n">
        <v>0.965988</v>
      </c>
      <c r="Q72" t="n">
        <v>0.9642309999999999</v>
      </c>
      <c r="R72" t="n">
        <v>0.962486</v>
      </c>
      <c r="S72" t="n">
        <v>0.960742</v>
      </c>
      <c r="T72" t="n">
        <v>0.959014</v>
      </c>
      <c r="U72" t="n">
        <v>0.95729</v>
      </c>
      <c r="V72" t="n">
        <v>0.955606</v>
      </c>
      <c r="W72" t="n">
        <v>0.953964</v>
      </c>
      <c r="X72" t="n">
        <v>0.952364</v>
      </c>
      <c r="Y72" t="n">
        <v>0.950769</v>
      </c>
      <c r="Z72" t="n">
        <v>0.949148</v>
      </c>
      <c r="AA72" t="n">
        <v>0.947501</v>
      </c>
      <c r="AB72" t="n">
        <v>0.9458490000000001</v>
      </c>
      <c r="AC72" t="n">
        <v>0.944219</v>
      </c>
      <c r="AD72" t="n">
        <v>0.942611</v>
      </c>
      <c r="AE72" t="inlineStr">
        <is>
          <t>-0.2%</t>
        </is>
      </c>
    </row>
    <row r="73">
      <c r="A73" t="inlineStr">
        <is>
          <t>Distributed Generation and</t>
        </is>
      </c>
    </row>
    <row r="74">
      <c r="A74" t="inlineStr">
        <is>
          <t>Combined Heat and Power</t>
        </is>
      </c>
    </row>
    <row r="75">
      <c r="A75" t="inlineStr">
        <is>
          <t>Generating Capacity (gigawatts)</t>
        </is>
      </c>
    </row>
    <row r="76">
      <c r="A76" t="inlineStr">
        <is>
          <t>Natural Gas Fuel Cells</t>
        </is>
      </c>
      <c r="B76" t="inlineStr">
        <is>
          <t>Residential: Combined Heat and Power: Generating Capacity: Fuel Cells: Alternative Electricity and Transportation</t>
        </is>
      </c>
      <c r="C76" t="inlineStr">
        <is>
          <t>AEO.2026.ELECTRNP.CAP_NA_COMM_CHP_FCL_NA_NA_MW.A</t>
        </is>
      </c>
      <c r="D76" t="inlineStr">
        <is>
          <t>GW</t>
        </is>
      </c>
      <c r="E76" t="n">
        <v>0.000505</v>
      </c>
      <c r="F76" t="n">
        <v>0.001105</v>
      </c>
      <c r="G76" t="n">
        <v>0.001689</v>
      </c>
      <c r="H76" t="n">
        <v>0.001702</v>
      </c>
      <c r="I76" t="n">
        <v>0.001715</v>
      </c>
      <c r="J76" t="n">
        <v>0.002529</v>
      </c>
      <c r="K76" t="n">
        <v>0.003616</v>
      </c>
      <c r="L76" t="n">
        <v>0.004737</v>
      </c>
      <c r="M76" t="n">
        <v>0.005609</v>
      </c>
      <c r="N76" t="n">
        <v>0.006702</v>
      </c>
      <c r="O76" t="n">
        <v>0.006715</v>
      </c>
      <c r="P76" t="n">
        <v>0.006728</v>
      </c>
      <c r="Q76" t="n">
        <v>0.006741</v>
      </c>
      <c r="R76" t="n">
        <v>0.006754</v>
      </c>
      <c r="S76" t="n">
        <v>0.006768</v>
      </c>
      <c r="T76" t="n">
        <v>0.006782</v>
      </c>
      <c r="U76" t="n">
        <v>0.006798</v>
      </c>
      <c r="V76" t="n">
        <v>0.006819</v>
      </c>
      <c r="W76" t="n">
        <v>0.006848</v>
      </c>
      <c r="X76" t="n">
        <v>0.006894</v>
      </c>
      <c r="Y76" t="n">
        <v>0.006973</v>
      </c>
      <c r="Z76" t="n">
        <v>0.007111</v>
      </c>
      <c r="AA76" t="n">
        <v>0.007249</v>
      </c>
      <c r="AB76" t="n">
        <v>0.007388</v>
      </c>
      <c r="AC76" t="n">
        <v>0.007528</v>
      </c>
      <c r="AD76" t="n">
        <v>0.007669</v>
      </c>
      <c r="AE76" t="inlineStr">
        <is>
          <t>11.5%</t>
        </is>
      </c>
    </row>
    <row r="77">
      <c r="A77" t="inlineStr">
        <is>
          <t>Solar Photovoltaic</t>
        </is>
      </c>
      <c r="B77" t="inlineStr">
        <is>
          <t>Residential: Combined Heat and Power: Generating Capacity: Solar Photovoltaic: Alternative Electricity and Transportation</t>
        </is>
      </c>
      <c r="C77" t="inlineStr">
        <is>
          <t>AEO.2026.ELECTRNP.CAP_NA_RESD_CHP_SLR_PHTVL_NA_MW.A</t>
        </is>
      </c>
      <c r="D77" t="inlineStr">
        <is>
          <t>GW</t>
        </is>
      </c>
      <c r="E77" t="n">
        <v>44.365597</v>
      </c>
      <c r="F77" t="n">
        <v>47.055515</v>
      </c>
      <c r="G77" t="n">
        <v>50.09021</v>
      </c>
      <c r="H77" t="n">
        <v>53.229542</v>
      </c>
      <c r="I77" t="n">
        <v>56.177746</v>
      </c>
      <c r="J77" t="n">
        <v>59.281429</v>
      </c>
      <c r="K77" t="n">
        <v>62.644226</v>
      </c>
      <c r="L77" t="n">
        <v>66.00039700000001</v>
      </c>
      <c r="M77" t="n">
        <v>69.527916</v>
      </c>
      <c r="N77" t="n">
        <v>73.271034</v>
      </c>
      <c r="O77" t="n">
        <v>77.27243799999999</v>
      </c>
      <c r="P77" t="n">
        <v>81.47043600000001</v>
      </c>
      <c r="Q77" t="n">
        <v>85.978043</v>
      </c>
      <c r="R77" t="n">
        <v>90.70051599999999</v>
      </c>
      <c r="S77" t="n">
        <v>95.67862700000001</v>
      </c>
      <c r="T77" t="n">
        <v>100.839439</v>
      </c>
      <c r="U77" t="n">
        <v>106.218834</v>
      </c>
      <c r="V77" t="n">
        <v>111.758263</v>
      </c>
      <c r="W77" t="n">
        <v>117.472054</v>
      </c>
      <c r="X77" t="n">
        <v>123.408279</v>
      </c>
      <c r="Y77" t="n">
        <v>129.492126</v>
      </c>
      <c r="Z77" t="n">
        <v>135.761734</v>
      </c>
      <c r="AA77" t="n">
        <v>142.224899</v>
      </c>
      <c r="AB77" t="n">
        <v>148.972382</v>
      </c>
      <c r="AC77" t="n">
        <v>155.844299</v>
      </c>
      <c r="AD77" t="n">
        <v>162.963379</v>
      </c>
      <c r="AE77" t="inlineStr">
        <is>
          <t>5.3%</t>
        </is>
      </c>
    </row>
    <row r="78">
      <c r="A78" t="inlineStr">
        <is>
          <t>Wind</t>
        </is>
      </c>
      <c r="B78" t="inlineStr">
        <is>
          <t>Residential: Combined Heat and Power: Generating Capacity: Wind: Alternative Electricity and Transportation</t>
        </is>
      </c>
      <c r="C78" t="inlineStr">
        <is>
          <t>AEO.2026.ELECTRNP.CAP_NA_RESD_CHP_WND_NA_NA_MW.A</t>
        </is>
      </c>
      <c r="D78" t="inlineStr">
        <is>
          <t>GW</t>
        </is>
      </c>
      <c r="E78" t="n">
        <v>0.161232</v>
      </c>
      <c r="F78" t="n">
        <v>0.161366</v>
      </c>
      <c r="G78" t="n">
        <v>0.16153</v>
      </c>
      <c r="H78" t="n">
        <v>0.161692</v>
      </c>
      <c r="I78" t="n">
        <v>0.161954</v>
      </c>
      <c r="J78" t="n">
        <v>0.16241</v>
      </c>
      <c r="K78" t="n">
        <v>0.163239</v>
      </c>
      <c r="L78" t="n">
        <v>0.164534</v>
      </c>
      <c r="M78" t="n">
        <v>0.166535</v>
      </c>
      <c r="N78" t="n">
        <v>0.169296</v>
      </c>
      <c r="O78" t="n">
        <v>0.1726</v>
      </c>
      <c r="P78" t="n">
        <v>0.176311</v>
      </c>
      <c r="Q78" t="n">
        <v>0.180427</v>
      </c>
      <c r="R78" t="n">
        <v>0.184751</v>
      </c>
      <c r="S78" t="n">
        <v>0.189183</v>
      </c>
      <c r="T78" t="n">
        <v>0.193883</v>
      </c>
      <c r="U78" t="n">
        <v>0.199127</v>
      </c>
      <c r="V78" t="n">
        <v>0.204729</v>
      </c>
      <c r="W78" t="n">
        <v>0.210513</v>
      </c>
      <c r="X78" t="n">
        <v>0.21644</v>
      </c>
      <c r="Y78" t="n">
        <v>0.222562</v>
      </c>
      <c r="Z78" t="n">
        <v>0.229229</v>
      </c>
      <c r="AA78" t="n">
        <v>0.236147</v>
      </c>
      <c r="AB78" t="n">
        <v>0.244054</v>
      </c>
      <c r="AC78" t="n">
        <v>0.252049</v>
      </c>
      <c r="AD78" t="n">
        <v>0.260129</v>
      </c>
      <c r="AE78" t="inlineStr">
        <is>
          <t>1.9%</t>
        </is>
      </c>
    </row>
    <row r="79">
      <c r="A79" t="inlineStr">
        <is>
          <t>Total</t>
        </is>
      </c>
      <c r="B79" t="inlineStr">
        <is>
          <t>Residential: Combined Heat and Power: Generating Capacity: Total: Alternative Electricity and Transportation</t>
        </is>
      </c>
      <c r="C79" t="inlineStr">
        <is>
          <t>AEO.2026.ELECTRNP.CAP_NA_RESD_CHP_TOT_NA_NA_MW.A</t>
        </is>
      </c>
      <c r="D79" t="inlineStr">
        <is>
          <t>GW</t>
        </is>
      </c>
      <c r="E79" t="n">
        <v>44.527336</v>
      </c>
      <c r="F79" t="n">
        <v>47.217987</v>
      </c>
      <c r="G79" t="n">
        <v>50.253429</v>
      </c>
      <c r="H79" t="n">
        <v>53.392937</v>
      </c>
      <c r="I79" t="n">
        <v>56.341415</v>
      </c>
      <c r="J79" t="n">
        <v>59.446369</v>
      </c>
      <c r="K79" t="n">
        <v>62.811081</v>
      </c>
      <c r="L79" t="n">
        <v>66.16967</v>
      </c>
      <c r="M79" t="n">
        <v>69.700058</v>
      </c>
      <c r="N79" t="n">
        <v>73.447029</v>
      </c>
      <c r="O79" t="n">
        <v>77.451752</v>
      </c>
      <c r="P79" t="n">
        <v>81.65347300000001</v>
      </c>
      <c r="Q79" t="n">
        <v>86.165215</v>
      </c>
      <c r="R79" t="n">
        <v>90.892021</v>
      </c>
      <c r="S79" t="n">
        <v>95.87457999999999</v>
      </c>
      <c r="T79" t="n">
        <v>101.040108</v>
      </c>
      <c r="U79" t="n">
        <v>106.424759</v>
      </c>
      <c r="V79" t="n">
        <v>111.96981</v>
      </c>
      <c r="W79" t="n">
        <v>117.689415</v>
      </c>
      <c r="X79" t="n">
        <v>123.631615</v>
      </c>
      <c r="Y79" t="n">
        <v>129.721664</v>
      </c>
      <c r="Z79" t="n">
        <v>135.998077</v>
      </c>
      <c r="AA79" t="n">
        <v>142.468292</v>
      </c>
      <c r="AB79" t="n">
        <v>149.223816</v>
      </c>
      <c r="AC79" t="n">
        <v>156.103867</v>
      </c>
      <c r="AD79" t="n">
        <v>163.231186</v>
      </c>
      <c r="AE79" t="inlineStr">
        <is>
          <t>5.3%</t>
        </is>
      </c>
    </row>
    <row r="80">
      <c r="A80" t="inlineStr">
        <is>
          <t>Net Generation (billion kilowatthours)</t>
        </is>
      </c>
    </row>
    <row r="81">
      <c r="A81" t="inlineStr">
        <is>
          <t>Natural Gas Fuel Cells</t>
        </is>
      </c>
      <c r="B81" t="inlineStr">
        <is>
          <t>Residential: Combined Heat and Power: Net Generation: Fuel Cells: Alternative Electricity and Transportation</t>
        </is>
      </c>
      <c r="C81" t="inlineStr">
        <is>
          <t>AEO.2026.ELECTRNP.GEN_NA_COMM_CHP_FCL_NA_NA_MILLKWH.A</t>
        </is>
      </c>
      <c r="D81" t="inlineStr">
        <is>
          <t>billion kWh</t>
        </is>
      </c>
      <c r="E81" t="n">
        <v>0.002002</v>
      </c>
      <c r="F81" t="n">
        <v>0.004375</v>
      </c>
      <c r="G81" t="n">
        <v>0.006688</v>
      </c>
      <c r="H81" t="n">
        <v>0.006739</v>
      </c>
      <c r="I81" t="n">
        <v>0.006791</v>
      </c>
      <c r="J81" t="n">
        <v>0.010015</v>
      </c>
      <c r="K81" t="n">
        <v>0.014319</v>
      </c>
      <c r="L81" t="n">
        <v>0.018757</v>
      </c>
      <c r="M81" t="n">
        <v>0.022213</v>
      </c>
      <c r="N81" t="n">
        <v>0.026542</v>
      </c>
      <c r="O81" t="n">
        <v>0.026593</v>
      </c>
      <c r="P81" t="n">
        <v>0.026644</v>
      </c>
      <c r="Q81" t="n">
        <v>0.026696</v>
      </c>
      <c r="R81" t="n">
        <v>0.026747</v>
      </c>
      <c r="S81" t="n">
        <v>0.026799</v>
      </c>
      <c r="T81" t="n">
        <v>0.026855</v>
      </c>
      <c r="U81" t="n">
        <v>0.026919</v>
      </c>
      <c r="V81" t="n">
        <v>0.027001</v>
      </c>
      <c r="W81" t="n">
        <v>0.027117</v>
      </c>
      <c r="X81" t="n">
        <v>0.027301</v>
      </c>
      <c r="Y81" t="n">
        <v>0.027612</v>
      </c>
      <c r="Z81" t="n">
        <v>0.028158</v>
      </c>
      <c r="AA81" t="n">
        <v>0.028707</v>
      </c>
      <c r="AB81" t="n">
        <v>0.029258</v>
      </c>
      <c r="AC81" t="n">
        <v>0.029812</v>
      </c>
      <c r="AD81" t="n">
        <v>0.030371</v>
      </c>
      <c r="AE81" t="inlineStr">
        <is>
          <t>11.5%</t>
        </is>
      </c>
    </row>
    <row r="82">
      <c r="A82" t="inlineStr">
        <is>
          <t>Solar Photovoltaic</t>
        </is>
      </c>
      <c r="B82" t="inlineStr">
        <is>
          <t>Residential: Combined Heat and Power: Net Generation: Solar Photovoltaic: Alternative Electricity and Transportation</t>
        </is>
      </c>
      <c r="C82" t="inlineStr">
        <is>
          <t>AEO.2026.ELECTRNP.GEN_NA_COMM_CHP_SLR_PHTVL_NA_MILLKWH.A</t>
        </is>
      </c>
      <c r="D82" t="inlineStr">
        <is>
          <t>billion kWh</t>
        </is>
      </c>
      <c r="E82" t="n">
        <v>65.763306</v>
      </c>
      <c r="F82" t="n">
        <v>69.51488500000001</v>
      </c>
      <c r="G82" t="n">
        <v>73.74960299999999</v>
      </c>
      <c r="H82" t="n">
        <v>78.11758399999999</v>
      </c>
      <c r="I82" t="n">
        <v>82.188416</v>
      </c>
      <c r="J82" t="n">
        <v>86.46453099999999</v>
      </c>
      <c r="K82" t="n">
        <v>91.093109</v>
      </c>
      <c r="L82" t="n">
        <v>95.70141599999999</v>
      </c>
      <c r="M82" t="n">
        <v>100.530121</v>
      </c>
      <c r="N82" t="n">
        <v>105.647018</v>
      </c>
      <c r="O82" t="n">
        <v>111.102661</v>
      </c>
      <c r="P82" t="n">
        <v>116.817886</v>
      </c>
      <c r="Q82" t="n">
        <v>122.939804</v>
      </c>
      <c r="R82" t="n">
        <v>129.349823</v>
      </c>
      <c r="S82" t="n">
        <v>136.10321</v>
      </c>
      <c r="T82" t="n">
        <v>143.093597</v>
      </c>
      <c r="U82" t="n">
        <v>150.360107</v>
      </c>
      <c r="V82" t="n">
        <v>157.830475</v>
      </c>
      <c r="W82" t="n">
        <v>165.531601</v>
      </c>
      <c r="X82" t="n">
        <v>173.530792</v>
      </c>
      <c r="Y82" t="n">
        <v>181.710403</v>
      </c>
      <c r="Z82" t="n">
        <v>190.129639</v>
      </c>
      <c r="AA82" t="n">
        <v>198.795319</v>
      </c>
      <c r="AB82" t="n">
        <v>207.822784</v>
      </c>
      <c r="AC82" t="n">
        <v>216.993149</v>
      </c>
      <c r="AD82" t="n">
        <v>226.492813</v>
      </c>
      <c r="AE82" t="inlineStr">
        <is>
          <t>5.1%</t>
        </is>
      </c>
    </row>
    <row r="83">
      <c r="A83" t="inlineStr">
        <is>
          <t>Wind</t>
        </is>
      </c>
      <c r="B83" t="inlineStr">
        <is>
          <t>Residential: Combined Heat and Power: Net Generation: Wind: Alternative Electricity and Transportation</t>
        </is>
      </c>
      <c r="C83" t="inlineStr">
        <is>
          <t>AEO.2026.ELECTRNP.GEN_NA_COMM_CHP_WND_NA_NA_MILLKWH.A</t>
        </is>
      </c>
      <c r="D83" t="inlineStr">
        <is>
          <t>billion kWh</t>
        </is>
      </c>
      <c r="E83" t="n">
        <v>0.172274</v>
      </c>
      <c r="F83" t="n">
        <v>0.172428</v>
      </c>
      <c r="G83" t="n">
        <v>0.172616</v>
      </c>
      <c r="H83" t="n">
        <v>0.172802</v>
      </c>
      <c r="I83" t="n">
        <v>0.173103</v>
      </c>
      <c r="J83" t="n">
        <v>0.173625</v>
      </c>
      <c r="K83" t="n">
        <v>0.174572</v>
      </c>
      <c r="L83" t="n">
        <v>0.176045</v>
      </c>
      <c r="M83" t="n">
        <v>0.178308</v>
      </c>
      <c r="N83" t="n">
        <v>0.181417</v>
      </c>
      <c r="O83" t="n">
        <v>0.185126</v>
      </c>
      <c r="P83" t="n">
        <v>0.189283</v>
      </c>
      <c r="Q83" t="n">
        <v>0.193886</v>
      </c>
      <c r="R83" t="n">
        <v>0.198717</v>
      </c>
      <c r="S83" t="n">
        <v>0.203668</v>
      </c>
      <c r="T83" t="n">
        <v>0.208914</v>
      </c>
      <c r="U83" t="n">
        <v>0.214761</v>
      </c>
      <c r="V83" t="n">
        <v>0.221002</v>
      </c>
      <c r="W83" t="n">
        <v>0.227441</v>
      </c>
      <c r="X83" t="n">
        <v>0.234035</v>
      </c>
      <c r="Y83" t="n">
        <v>0.240839</v>
      </c>
      <c r="Z83" t="n">
        <v>0.248212</v>
      </c>
      <c r="AA83" t="n">
        <v>0.255867</v>
      </c>
      <c r="AB83" t="n">
        <v>0.264578</v>
      </c>
      <c r="AC83" t="n">
        <v>0.273387</v>
      </c>
      <c r="AD83" t="n">
        <v>0.282286</v>
      </c>
      <c r="AE83" t="inlineStr">
        <is>
          <t>2.0%</t>
        </is>
      </c>
    </row>
    <row r="84">
      <c r="A84" t="inlineStr">
        <is>
          <t>Total</t>
        </is>
      </c>
      <c r="B84" t="inlineStr">
        <is>
          <t>Residential: Combined Heat and Power: Net Generation: Total: Alternative Electricity and Transportation</t>
        </is>
      </c>
      <c r="C84" t="inlineStr">
        <is>
          <t>AEO.2026.ELECTRNP.GEN_NA_COMM_CHP_TOT_NA_NA_MILLKWH.A</t>
        </is>
      </c>
      <c r="D84" t="inlineStr">
        <is>
          <t>billion kWh</t>
        </is>
      </c>
      <c r="E84" t="n">
        <v>65.93757600000001</v>
      </c>
      <c r="F84" t="n">
        <v>69.691681</v>
      </c>
      <c r="G84" t="n">
        <v>73.928909</v>
      </c>
      <c r="H84" t="n">
        <v>78.297127</v>
      </c>
      <c r="I84" t="n">
        <v>82.368309</v>
      </c>
      <c r="J84" t="n">
        <v>86.64816999999999</v>
      </c>
      <c r="K84" t="n">
        <v>91.282005</v>
      </c>
      <c r="L84" t="n">
        <v>95.89621699999999</v>
      </c>
      <c r="M84" t="n">
        <v>100.730644</v>
      </c>
      <c r="N84" t="n">
        <v>105.85498</v>
      </c>
      <c r="O84" t="n">
        <v>111.314384</v>
      </c>
      <c r="P84" t="n">
        <v>117.033813</v>
      </c>
      <c r="Q84" t="n">
        <v>123.160385</v>
      </c>
      <c r="R84" t="n">
        <v>129.575287</v>
      </c>
      <c r="S84" t="n">
        <v>136.333679</v>
      </c>
      <c r="T84" t="n">
        <v>143.329361</v>
      </c>
      <c r="U84" t="n">
        <v>150.601791</v>
      </c>
      <c r="V84" t="n">
        <v>158.078491</v>
      </c>
      <c r="W84" t="n">
        <v>165.786163</v>
      </c>
      <c r="X84" t="n">
        <v>173.79213</v>
      </c>
      <c r="Y84" t="n">
        <v>181.978867</v>
      </c>
      <c r="Z84" t="n">
        <v>190.406006</v>
      </c>
      <c r="AA84" t="n">
        <v>199.07988</v>
      </c>
      <c r="AB84" t="n">
        <v>208.116608</v>
      </c>
      <c r="AC84" t="n">
        <v>217.296356</v>
      </c>
      <c r="AD84" t="n">
        <v>226.805466</v>
      </c>
      <c r="AE84" t="inlineStr">
        <is>
          <t>5.1%</t>
        </is>
      </c>
    </row>
    <row r="85">
      <c r="A85" t="inlineStr">
        <is>
          <t>Disposition</t>
        </is>
      </c>
    </row>
    <row r="86">
      <c r="A86" t="inlineStr">
        <is>
          <t>Sales to the Grid</t>
        </is>
      </c>
      <c r="B86" t="inlineStr">
        <is>
          <t>Residential: Combined Heat and Power: Net Generation: Sales to the Grid: Alternative Electricity and Transportation</t>
        </is>
      </c>
      <c r="C86" t="inlineStr">
        <is>
          <t>AEO.2026.ELECTRNP.GEN_NA_COMM_CHP_STG_NA_NA_MILLKWH.A</t>
        </is>
      </c>
      <c r="D86" t="inlineStr">
        <is>
          <t>billion kWh</t>
        </is>
      </c>
      <c r="E86" t="n">
        <v>11.67818</v>
      </c>
      <c r="F86" t="n">
        <v>12.194283</v>
      </c>
      <c r="G86" t="n">
        <v>12.947095</v>
      </c>
      <c r="H86" t="n">
        <v>13.733868</v>
      </c>
      <c r="I86" t="n">
        <v>14.398316</v>
      </c>
      <c r="J86" t="n">
        <v>15.122087</v>
      </c>
      <c r="K86" t="n">
        <v>15.963413</v>
      </c>
      <c r="L86" t="n">
        <v>16.765619</v>
      </c>
      <c r="M86" t="n">
        <v>17.624851</v>
      </c>
      <c r="N86" t="n">
        <v>18.541655</v>
      </c>
      <c r="O86" t="n">
        <v>19.535112</v>
      </c>
      <c r="P86" t="n">
        <v>20.570559</v>
      </c>
      <c r="Q86" t="n">
        <v>21.70586</v>
      </c>
      <c r="R86" t="n">
        <v>22.895941</v>
      </c>
      <c r="S86" t="n">
        <v>24.190172</v>
      </c>
      <c r="T86" t="n">
        <v>25.53442</v>
      </c>
      <c r="U86" t="n">
        <v>26.944834</v>
      </c>
      <c r="V86" t="n">
        <v>28.379297</v>
      </c>
      <c r="W86" t="n">
        <v>29.894018</v>
      </c>
      <c r="X86" t="n">
        <v>31.475761</v>
      </c>
      <c r="Y86" t="n">
        <v>33.075306</v>
      </c>
      <c r="Z86" t="n">
        <v>34.696655</v>
      </c>
      <c r="AA86" t="n">
        <v>36.351891</v>
      </c>
      <c r="AB86" t="n">
        <v>38.104988</v>
      </c>
      <c r="AC86" t="n">
        <v>39.860676</v>
      </c>
      <c r="AD86" t="n">
        <v>41.713696</v>
      </c>
      <c r="AE86" t="inlineStr">
        <is>
          <t>5.2%</t>
        </is>
      </c>
    </row>
    <row r="87">
      <c r="A87" t="inlineStr">
        <is>
          <t>Generation for Own Use</t>
        </is>
      </c>
      <c r="B87" t="inlineStr">
        <is>
          <t>Residential: Combined Heat and Power: Net Generation: Generation for Own Use: Alternative Electricity and Transportation</t>
        </is>
      </c>
      <c r="C87" t="inlineStr">
        <is>
          <t>AEO.2026.ELECTRNP.GEN_NA_COMM_CHP_GFO_NA_NA_MILLKWH.A</t>
        </is>
      </c>
      <c r="D87" t="inlineStr">
        <is>
          <t>billion kWh</t>
        </is>
      </c>
      <c r="E87" t="n">
        <v>54.259399</v>
      </c>
      <c r="F87" t="n">
        <v>57.497406</v>
      </c>
      <c r="G87" t="n">
        <v>60.981812</v>
      </c>
      <c r="H87" t="n">
        <v>64.56326300000001</v>
      </c>
      <c r="I87" t="n">
        <v>67.970001</v>
      </c>
      <c r="J87" t="n">
        <v>71.52608499999999</v>
      </c>
      <c r="K87" t="n">
        <v>75.31858800000001</v>
      </c>
      <c r="L87" t="n">
        <v>79.1306</v>
      </c>
      <c r="M87" t="n">
        <v>83.105789</v>
      </c>
      <c r="N87" t="n">
        <v>87.31332399999999</v>
      </c>
      <c r="O87" t="n">
        <v>91.77926600000001</v>
      </c>
      <c r="P87" t="n">
        <v>96.463249</v>
      </c>
      <c r="Q87" t="n">
        <v>101.454521</v>
      </c>
      <c r="R87" t="n">
        <v>106.679352</v>
      </c>
      <c r="S87" t="n">
        <v>112.143501</v>
      </c>
      <c r="T87" t="n">
        <v>117.794945</v>
      </c>
      <c r="U87" t="n">
        <v>123.656952</v>
      </c>
      <c r="V87" t="n">
        <v>129.699173</v>
      </c>
      <c r="W87" t="n">
        <v>135.892136</v>
      </c>
      <c r="X87" t="n">
        <v>142.316376</v>
      </c>
      <c r="Y87" t="n">
        <v>148.903549</v>
      </c>
      <c r="Z87" t="n">
        <v>155.709351</v>
      </c>
      <c r="AA87" t="n">
        <v>162.727982</v>
      </c>
      <c r="AB87" t="n">
        <v>170.011642</v>
      </c>
      <c r="AC87" t="n">
        <v>177.435684</v>
      </c>
      <c r="AD87" t="n">
        <v>185.091766</v>
      </c>
      <c r="AE87" t="inlineStr">
        <is>
          <t>5.0%</t>
        </is>
      </c>
    </row>
    <row r="88">
      <c r="A88" t="inlineStr">
        <is>
          <t>Energy Input (trillion Btu)</t>
        </is>
      </c>
    </row>
    <row r="89">
      <c r="A89" t="inlineStr">
        <is>
          <t>Natural Gas Fuel Cells</t>
        </is>
      </c>
      <c r="B89" t="inlineStr">
        <is>
          <t>Residential: Combined Heat and Power: Energy Input: Fuel Cells: Alternative Electricity and Transportation</t>
        </is>
      </c>
      <c r="C89" t="inlineStr">
        <is>
          <t>AEO.2026.ELECTRNP.CNSM_NA_COMM_CHP_FCL_NA_NA_TRLBTU.A</t>
        </is>
      </c>
      <c r="D89" t="inlineStr">
        <is>
          <t>trillion Btu</t>
        </is>
      </c>
      <c r="E89" t="n">
        <v>0.015282</v>
      </c>
      <c r="F89" t="n">
        <v>0.033397</v>
      </c>
      <c r="G89" t="n">
        <v>0.051051</v>
      </c>
      <c r="H89" t="n">
        <v>0.051444</v>
      </c>
      <c r="I89" t="n">
        <v>0.051837</v>
      </c>
      <c r="J89" t="n">
        <v>0.076448</v>
      </c>
      <c r="K89" t="n">
        <v>0.109298</v>
      </c>
      <c r="L89" t="n">
        <v>0.143174</v>
      </c>
      <c r="M89" t="n">
        <v>0.169559</v>
      </c>
      <c r="N89" t="n">
        <v>0.202596</v>
      </c>
      <c r="O89" t="n">
        <v>0.202989</v>
      </c>
      <c r="P89" t="n">
        <v>0.203382</v>
      </c>
      <c r="Q89" t="n">
        <v>0.203775</v>
      </c>
      <c r="R89" t="n">
        <v>0.204168</v>
      </c>
      <c r="S89" t="n">
        <v>0.204565</v>
      </c>
      <c r="T89" t="n">
        <v>0.20499</v>
      </c>
      <c r="U89" t="n">
        <v>0.20548</v>
      </c>
      <c r="V89" t="n">
        <v>0.206107</v>
      </c>
      <c r="W89" t="n">
        <v>0.206993</v>
      </c>
      <c r="X89" t="n">
        <v>0.208397</v>
      </c>
      <c r="Y89" t="n">
        <v>0.210771</v>
      </c>
      <c r="Z89" t="n">
        <v>0.214935</v>
      </c>
      <c r="AA89" t="n">
        <v>0.219124</v>
      </c>
      <c r="AB89" t="n">
        <v>0.22333</v>
      </c>
      <c r="AC89" t="n">
        <v>0.227564</v>
      </c>
      <c r="AD89" t="n">
        <v>0.231824</v>
      </c>
      <c r="AE89" t="inlineStr">
        <is>
          <t>11.5%</t>
        </is>
      </c>
    </row>
    <row r="90">
      <c r="A90" t="inlineStr">
        <is>
          <t>Solar Photovoltaic</t>
        </is>
      </c>
      <c r="B90" t="inlineStr">
        <is>
          <t>Residential: Combined Heat and Power: Energy Input: Solar Photovoltaic: Alternative Electricity and Transportation</t>
        </is>
      </c>
      <c r="C90" t="inlineStr">
        <is>
          <t>AEO.2026.ELECTRNP.CNSM_NA_COMM_CHP_SLR_PHTVL_NA_TRLBTU.A</t>
        </is>
      </c>
      <c r="D90" t="inlineStr">
        <is>
          <t>trillion Btu</t>
        </is>
      </c>
      <c r="E90" t="n">
        <v>224.384369</v>
      </c>
      <c r="F90" t="n">
        <v>237.184769</v>
      </c>
      <c r="G90" t="n">
        <v>251.633636</v>
      </c>
      <c r="H90" t="n">
        <v>266.537201</v>
      </c>
      <c r="I90" t="n">
        <v>280.42688</v>
      </c>
      <c r="J90" t="n">
        <v>295.016968</v>
      </c>
      <c r="K90" t="n">
        <v>310.809692</v>
      </c>
      <c r="L90" t="n">
        <v>326.533203</v>
      </c>
      <c r="M90" t="n">
        <v>343.008728</v>
      </c>
      <c r="N90" t="n">
        <v>360.46759</v>
      </c>
      <c r="O90" t="n">
        <v>379.082275</v>
      </c>
      <c r="P90" t="n">
        <v>398.582581</v>
      </c>
      <c r="Q90" t="n">
        <v>419.470642</v>
      </c>
      <c r="R90" t="n">
        <v>441.341553</v>
      </c>
      <c r="S90" t="n">
        <v>464.384125</v>
      </c>
      <c r="T90" t="n">
        <v>488.235291</v>
      </c>
      <c r="U90" t="n">
        <v>513.028687</v>
      </c>
      <c r="V90" t="n">
        <v>538.517456</v>
      </c>
      <c r="W90" t="n">
        <v>564.793823</v>
      </c>
      <c r="X90" t="n">
        <v>592.0869750000001</v>
      </c>
      <c r="Y90" t="n">
        <v>619.995911</v>
      </c>
      <c r="Z90" t="n">
        <v>648.72229</v>
      </c>
      <c r="AA90" t="n">
        <v>678.289551</v>
      </c>
      <c r="AB90" t="n">
        <v>709.091309</v>
      </c>
      <c r="AC90" t="n">
        <v>740.380615</v>
      </c>
      <c r="AD90" t="n">
        <v>772.793457</v>
      </c>
      <c r="AE90" t="inlineStr">
        <is>
          <t>5.1%</t>
        </is>
      </c>
    </row>
    <row r="91">
      <c r="A91" t="inlineStr">
        <is>
          <t>Wind</t>
        </is>
      </c>
      <c r="B91" t="inlineStr">
        <is>
          <t>Residential: Combined Heat and Power: Energy Input: Wind: Alternative Electricity and Transportation</t>
        </is>
      </c>
      <c r="C91" t="inlineStr">
        <is>
          <t>AEO.2026.ELECTRNP.CNSM_NA_COMM_CHP_WND_NA_NA_TRLBTU.A</t>
        </is>
      </c>
      <c r="D91" t="inlineStr">
        <is>
          <t>trillion Btu</t>
        </is>
      </c>
      <c r="E91" t="n">
        <v>0.587799</v>
      </c>
      <c r="F91" t="n">
        <v>0.588324</v>
      </c>
      <c r="G91" t="n">
        <v>0.588965</v>
      </c>
      <c r="H91" t="n">
        <v>0.589601</v>
      </c>
      <c r="I91" t="n">
        <v>0.590628</v>
      </c>
      <c r="J91" t="n">
        <v>0.59241</v>
      </c>
      <c r="K91" t="n">
        <v>0.5956399999999999</v>
      </c>
      <c r="L91" t="n">
        <v>0.600666</v>
      </c>
      <c r="M91" t="n">
        <v>0.608387</v>
      </c>
      <c r="N91" t="n">
        <v>0.618995</v>
      </c>
      <c r="O91" t="n">
        <v>0.631648</v>
      </c>
      <c r="P91" t="n">
        <v>0.645833</v>
      </c>
      <c r="Q91" t="n">
        <v>0.661538</v>
      </c>
      <c r="R91" t="n">
        <v>0.678022</v>
      </c>
      <c r="S91" t="n">
        <v>0.6949149999999999</v>
      </c>
      <c r="T91" t="n">
        <v>0.712813</v>
      </c>
      <c r="U91" t="n">
        <v>0.732765</v>
      </c>
      <c r="V91" t="n">
        <v>0.754058</v>
      </c>
      <c r="W91" t="n">
        <v>0.77603</v>
      </c>
      <c r="X91" t="n">
        <v>0.798529</v>
      </c>
      <c r="Y91" t="n">
        <v>0.821743</v>
      </c>
      <c r="Z91" t="n">
        <v>0.846899</v>
      </c>
      <c r="AA91" t="n">
        <v>0.873017</v>
      </c>
      <c r="AB91" t="n">
        <v>0.90274</v>
      </c>
      <c r="AC91" t="n">
        <v>0.932795</v>
      </c>
      <c r="AD91" t="n">
        <v>0.963161</v>
      </c>
      <c r="AE91" t="inlineStr">
        <is>
          <t>2.0%</t>
        </is>
      </c>
    </row>
    <row r="92">
      <c r="A92" t="inlineStr">
        <is>
          <t>Total</t>
        </is>
      </c>
      <c r="B92" t="inlineStr">
        <is>
          <t>Residential: Combined Heat and Power: Energy Input: Total: Alternative Electricity and Transportation</t>
        </is>
      </c>
      <c r="C92" t="inlineStr">
        <is>
          <t>AEO.2026.ELECTRNP.CNSM_NA_COMM_CHP_TOT_NA_NA_TRLBTU.A</t>
        </is>
      </c>
      <c r="D92" t="inlineStr">
        <is>
          <t>trillion Btu</t>
        </is>
      </c>
      <c r="E92" t="n">
        <v>224.987442</v>
      </c>
      <c r="F92" t="n">
        <v>237.806488</v>
      </c>
      <c r="G92" t="n">
        <v>252.273651</v>
      </c>
      <c r="H92" t="n">
        <v>267.178253</v>
      </c>
      <c r="I92" t="n">
        <v>281.069366</v>
      </c>
      <c r="J92" t="n">
        <v>295.685822</v>
      </c>
      <c r="K92" t="n">
        <v>311.514618</v>
      </c>
      <c r="L92" t="n">
        <v>327.277069</v>
      </c>
      <c r="M92" t="n">
        <v>343.786682</v>
      </c>
      <c r="N92" t="n">
        <v>361.289185</v>
      </c>
      <c r="O92" t="n">
        <v>379.916931</v>
      </c>
      <c r="P92" t="n">
        <v>399.431793</v>
      </c>
      <c r="Q92" t="n">
        <v>420.335938</v>
      </c>
      <c r="R92" t="n">
        <v>442.223724</v>
      </c>
      <c r="S92" t="n">
        <v>465.2836</v>
      </c>
      <c r="T92" t="n">
        <v>489.153076</v>
      </c>
      <c r="U92" t="n">
        <v>513.96698</v>
      </c>
      <c r="V92" t="n">
        <v>539.4776000000001</v>
      </c>
      <c r="W92" t="n">
        <v>565.776794</v>
      </c>
      <c r="X92" t="n">
        <v>593.093872</v>
      </c>
      <c r="Y92" t="n">
        <v>621.028381</v>
      </c>
      <c r="Z92" t="n">
        <v>649.784119</v>
      </c>
      <c r="AA92" t="n">
        <v>679.381714</v>
      </c>
      <c r="AB92" t="n">
        <v>710.217346</v>
      </c>
      <c r="AC92" t="n">
        <v>741.5409550000001</v>
      </c>
      <c r="AD92" t="n">
        <v>773.9884029999999</v>
      </c>
      <c r="AE92" t="inlineStr">
        <is>
          <t>5.1%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E81"/>
  <sheetViews>
    <sheetView workbookViewId="0">
      <selection activeCell="A1" sqref="A1"/>
    </sheetView>
  </sheetViews>
  <sheetFormatPr baseColWidth="8" defaultRowHeight="15"/>
  <sheetData>
    <row r="1">
      <c r="A1" t="inlineStr">
        <is>
          <t>Table 22.  Commercial Sector Energy Consumption, Floorspace, Equipment Efficiency, and Distributed Generation</t>
        </is>
      </c>
    </row>
    <row r="2">
      <c r="A2" t="inlineStr">
        <is>
          <t>https://www.eia.gov/outlooks/aeo/data/browser/#/?id=32-AEO2026&amp;cases=electrnp&amp;sourcekey=0</t>
        </is>
      </c>
    </row>
    <row r="3">
      <c r="A3" t="inlineStr">
        <is>
          <t>Thu Apr 23 2026 15:00:54 GMT-0700 (Pacific Daylight Time)</t>
        </is>
      </c>
    </row>
    <row r="4">
      <c r="A4" t="inlineStr">
        <is>
          <t>Source: U.S. Energy Information Administration</t>
        </is>
      </c>
    </row>
    <row r="5">
      <c r="B5" t="inlineStr">
        <is>
          <t>full name</t>
        </is>
      </c>
      <c r="C5" t="inlineStr">
        <is>
          <t>api key</t>
        </is>
      </c>
      <c r="D5" t="inlineStr">
        <is>
          <t>units</t>
        </is>
      </c>
      <c r="E5" t="n">
        <v>2025</v>
      </c>
      <c r="F5" t="n">
        <v>2026</v>
      </c>
      <c r="G5" t="n">
        <v>2027</v>
      </c>
      <c r="H5" t="n">
        <v>2028</v>
      </c>
      <c r="I5" t="n">
        <v>2029</v>
      </c>
      <c r="J5" t="n">
        <v>2030</v>
      </c>
      <c r="K5" t="n">
        <v>2031</v>
      </c>
      <c r="L5" t="n">
        <v>2032</v>
      </c>
      <c r="M5" t="n">
        <v>2033</v>
      </c>
      <c r="N5" t="n">
        <v>2034</v>
      </c>
      <c r="O5" t="n">
        <v>2035</v>
      </c>
      <c r="P5" t="n">
        <v>2036</v>
      </c>
      <c r="Q5" t="n">
        <v>2037</v>
      </c>
      <c r="R5" t="n">
        <v>2038</v>
      </c>
      <c r="S5" t="n">
        <v>2039</v>
      </c>
      <c r="T5" t="n">
        <v>2040</v>
      </c>
      <c r="U5" t="n">
        <v>2041</v>
      </c>
      <c r="V5" t="n">
        <v>2042</v>
      </c>
      <c r="W5" t="n">
        <v>2043</v>
      </c>
      <c r="X5" t="n">
        <v>2044</v>
      </c>
      <c r="Y5" t="n">
        <v>2045</v>
      </c>
      <c r="Z5" t="n">
        <v>2046</v>
      </c>
      <c r="AA5" t="n">
        <v>2047</v>
      </c>
      <c r="AB5" t="n">
        <v>2048</v>
      </c>
      <c r="AC5" t="n">
        <v>2049</v>
      </c>
      <c r="AD5" t="n">
        <v>2050</v>
      </c>
      <c r="AE5" t="inlineStr">
        <is>
          <t>Growth (2025-2050)</t>
        </is>
      </c>
    </row>
    <row r="6">
      <c r="A6" t="inlineStr">
        <is>
          <t>Commercial Building Delivered</t>
        </is>
      </c>
    </row>
    <row r="7">
      <c r="A7" t="inlineStr">
        <is>
          <t>Energy Consumption (quadrillion Btu)</t>
        </is>
      </c>
    </row>
    <row r="8">
      <c r="A8" t="inlineStr">
        <is>
          <t>Assembly</t>
        </is>
      </c>
      <c r="B8" t="inlineStr">
        <is>
          <t>Commercial: Gross End-use: Assembly: Alternative Electricity and Transportation</t>
        </is>
      </c>
      <c r="C8" t="inlineStr">
        <is>
          <t>AEO.2026.ELECTRNP.CNSM_NA_COMM_ASB_GROSENUS_NA_NA_QBTU.A</t>
        </is>
      </c>
      <c r="D8" t="inlineStr">
        <is>
          <t>quads</t>
        </is>
      </c>
      <c r="E8" t="n">
        <v>0.798393</v>
      </c>
      <c r="F8" t="n">
        <v>0.798346</v>
      </c>
      <c r="G8" t="n">
        <v>0.797746</v>
      </c>
      <c r="H8" t="n">
        <v>0.795914</v>
      </c>
      <c r="I8" t="n">
        <v>0.791532</v>
      </c>
      <c r="J8" t="n">
        <v>0.785054</v>
      </c>
      <c r="K8" t="n">
        <v>0.779371</v>
      </c>
      <c r="L8" t="n">
        <v>0.775827</v>
      </c>
      <c r="M8" t="n">
        <v>0.773515</v>
      </c>
      <c r="N8" t="n">
        <v>0.7723139999999999</v>
      </c>
      <c r="O8" t="n">
        <v>0.771226</v>
      </c>
      <c r="P8" t="n">
        <v>0.771</v>
      </c>
      <c r="Q8" t="n">
        <v>0.770784</v>
      </c>
      <c r="R8" t="n">
        <v>0.770581</v>
      </c>
      <c r="S8" t="n">
        <v>0.770303</v>
      </c>
      <c r="T8" t="n">
        <v>0.769909</v>
      </c>
      <c r="U8" t="n">
        <v>0.769671</v>
      </c>
      <c r="V8" t="n">
        <v>0.769976</v>
      </c>
      <c r="W8" t="n">
        <v>0.770456</v>
      </c>
      <c r="X8" t="n">
        <v>0.771107</v>
      </c>
      <c r="Y8" t="n">
        <v>0.771685</v>
      </c>
      <c r="Z8" t="n">
        <v>0.77163</v>
      </c>
      <c r="AA8" t="n">
        <v>0.770888</v>
      </c>
      <c r="AB8" t="n">
        <v>0.7699319999999999</v>
      </c>
      <c r="AC8" t="n">
        <v>0.769008</v>
      </c>
      <c r="AD8" t="n">
        <v>0.768099</v>
      </c>
      <c r="AE8" t="inlineStr">
        <is>
          <t>-0.2%</t>
        </is>
      </c>
    </row>
    <row r="9">
      <c r="A9" t="inlineStr">
        <is>
          <t>Education</t>
        </is>
      </c>
      <c r="B9" t="inlineStr">
        <is>
          <t>Commercial: Gross End-use: Education: Alternative Electricity and Transportation</t>
        </is>
      </c>
      <c r="C9" t="inlineStr">
        <is>
          <t>AEO.2026.ELECTRNP.CNSM_NA_COMM_EDD_GROSENUS_NA_NA_QBTU.A</t>
        </is>
      </c>
      <c r="D9" t="inlineStr">
        <is>
          <t>quads</t>
        </is>
      </c>
      <c r="E9" t="n">
        <v>0.982778</v>
      </c>
      <c r="F9" t="n">
        <v>0.983853</v>
      </c>
      <c r="G9" t="n">
        <v>0.9862340000000001</v>
      </c>
      <c r="H9" t="n">
        <v>0.987217</v>
      </c>
      <c r="I9" t="n">
        <v>0.985215</v>
      </c>
      <c r="J9" t="n">
        <v>0.980407</v>
      </c>
      <c r="K9" t="n">
        <v>0.976163</v>
      </c>
      <c r="L9" t="n">
        <v>0.974343</v>
      </c>
      <c r="M9" t="n">
        <v>0.974015</v>
      </c>
      <c r="N9" t="n">
        <v>0.9748559999999999</v>
      </c>
      <c r="O9" t="n">
        <v>0.975973</v>
      </c>
      <c r="P9" t="n">
        <v>0.978173</v>
      </c>
      <c r="Q9" t="n">
        <v>0.980478</v>
      </c>
      <c r="R9" t="n">
        <v>0.982897</v>
      </c>
      <c r="S9" t="n">
        <v>0.985248</v>
      </c>
      <c r="T9" t="n">
        <v>0.987267</v>
      </c>
      <c r="U9" t="n">
        <v>0.989484</v>
      </c>
      <c r="V9" t="n">
        <v>0.992228</v>
      </c>
      <c r="W9" t="n">
        <v>0.995148</v>
      </c>
      <c r="X9" t="n">
        <v>0.998236</v>
      </c>
      <c r="Y9" t="n">
        <v>1.001189</v>
      </c>
      <c r="Z9" t="n">
        <v>1.003302</v>
      </c>
      <c r="AA9" t="n">
        <v>1.004586</v>
      </c>
      <c r="AB9" t="n">
        <v>1.005568</v>
      </c>
      <c r="AC9" t="n">
        <v>1.006474</v>
      </c>
      <c r="AD9" t="n">
        <v>1.007384</v>
      </c>
      <c r="AE9" t="inlineStr">
        <is>
          <t>0.1%</t>
        </is>
      </c>
    </row>
    <row r="10">
      <c r="A10" t="inlineStr">
        <is>
          <t>Food Sales</t>
        </is>
      </c>
      <c r="B10" t="inlineStr">
        <is>
          <t>Commercial: Gross End-use: Food Sales: Alternative Electricity and Transportation</t>
        </is>
      </c>
      <c r="C10" t="inlineStr">
        <is>
          <t>AEO.2026.ELECTRNP.CNSM_NA_COMM_FDSA_GROSENUS_NA_NA_QBTU.A</t>
        </is>
      </c>
      <c r="D10" t="inlineStr">
        <is>
          <t>quads</t>
        </is>
      </c>
      <c r="E10" t="n">
        <v>0.183664</v>
      </c>
      <c r="F10" t="n">
        <v>0.182663</v>
      </c>
      <c r="G10" t="n">
        <v>0.18171</v>
      </c>
      <c r="H10" t="n">
        <v>0.180825</v>
      </c>
      <c r="I10" t="n">
        <v>0.179493</v>
      </c>
      <c r="J10" t="n">
        <v>0.177487</v>
      </c>
      <c r="K10" t="n">
        <v>0.175814</v>
      </c>
      <c r="L10" t="n">
        <v>0.174454</v>
      </c>
      <c r="M10" t="n">
        <v>0.173298</v>
      </c>
      <c r="N10" t="n">
        <v>0.17233</v>
      </c>
      <c r="O10" t="n">
        <v>0.171446</v>
      </c>
      <c r="P10" t="n">
        <v>0.170715</v>
      </c>
      <c r="Q10" t="n">
        <v>0.169992</v>
      </c>
      <c r="R10" t="n">
        <v>0.169261</v>
      </c>
      <c r="S10" t="n">
        <v>0.168497</v>
      </c>
      <c r="T10" t="n">
        <v>0.167657</v>
      </c>
      <c r="U10" t="n">
        <v>0.16699</v>
      </c>
      <c r="V10" t="n">
        <v>0.166381</v>
      </c>
      <c r="W10" t="n">
        <v>0.165774</v>
      </c>
      <c r="X10" t="n">
        <v>0.165187</v>
      </c>
      <c r="Y10" t="n">
        <v>0.164564</v>
      </c>
      <c r="Z10" t="n">
        <v>0.163821</v>
      </c>
      <c r="AA10" t="n">
        <v>0.162964</v>
      </c>
      <c r="AB10" t="n">
        <v>0.162059</v>
      </c>
      <c r="AC10" t="n">
        <v>0.161172</v>
      </c>
      <c r="AD10" t="n">
        <v>0.160244</v>
      </c>
      <c r="AE10" t="inlineStr">
        <is>
          <t>-0.5%</t>
        </is>
      </c>
    </row>
    <row r="11">
      <c r="A11" t="inlineStr">
        <is>
          <t>Food Service</t>
        </is>
      </c>
      <c r="B11" t="inlineStr">
        <is>
          <t>Commercial: Gross End-use: Food Service: Alternative Electricity and Transportation</t>
        </is>
      </c>
      <c r="C11" t="inlineStr">
        <is>
          <t>AEO.2026.ELECTRNP.CNSM_NA_COMM_FSC_GROSENUS_NA_NA_QBTU.A</t>
        </is>
      </c>
      <c r="D11" t="inlineStr">
        <is>
          <t>quads</t>
        </is>
      </c>
      <c r="E11" t="n">
        <v>0.345192</v>
      </c>
      <c r="F11" t="n">
        <v>0.345684</v>
      </c>
      <c r="G11" t="n">
        <v>0.3449</v>
      </c>
      <c r="H11" t="n">
        <v>0.34352</v>
      </c>
      <c r="I11" t="n">
        <v>0.341055</v>
      </c>
      <c r="J11" t="n">
        <v>0.337517</v>
      </c>
      <c r="K11" t="n">
        <v>0.334346</v>
      </c>
      <c r="L11" t="n">
        <v>0.332188</v>
      </c>
      <c r="M11" t="n">
        <v>0.330601</v>
      </c>
      <c r="N11" t="n">
        <v>0.329607</v>
      </c>
      <c r="O11" t="n">
        <v>0.328695</v>
      </c>
      <c r="P11" t="n">
        <v>0.328122</v>
      </c>
      <c r="Q11" t="n">
        <v>0.327537</v>
      </c>
      <c r="R11" t="n">
        <v>0.326932</v>
      </c>
      <c r="S11" t="n">
        <v>0.326215</v>
      </c>
      <c r="T11" t="n">
        <v>0.325404</v>
      </c>
      <c r="U11" t="n">
        <v>0.324816</v>
      </c>
      <c r="V11" t="n">
        <v>0.324435</v>
      </c>
      <c r="W11" t="n">
        <v>0.324152</v>
      </c>
      <c r="X11" t="n">
        <v>0.323941</v>
      </c>
      <c r="Y11" t="n">
        <v>0.323631</v>
      </c>
      <c r="Z11" t="n">
        <v>0.322961</v>
      </c>
      <c r="AA11" t="n">
        <v>0.321986</v>
      </c>
      <c r="AB11" t="n">
        <v>0.320897</v>
      </c>
      <c r="AC11" t="n">
        <v>0.319785</v>
      </c>
      <c r="AD11" t="n">
        <v>0.318646</v>
      </c>
      <c r="AE11" t="inlineStr">
        <is>
          <t>-0.3%</t>
        </is>
      </c>
    </row>
    <row r="12">
      <c r="A12" t="inlineStr">
        <is>
          <t>Health Care</t>
        </is>
      </c>
      <c r="B12" t="inlineStr">
        <is>
          <t>Commercial: Gross End-use: Health Care: Alternative Electricity and Transportation</t>
        </is>
      </c>
      <c r="C12" t="inlineStr">
        <is>
          <t>AEO.2026.ELECTRNP.CNSM_NA_COMM_HLC_GROSENUS_NA_NA_QBTU.A</t>
        </is>
      </c>
      <c r="D12" t="inlineStr">
        <is>
          <t>quads</t>
        </is>
      </c>
      <c r="E12" t="n">
        <v>0.451008</v>
      </c>
      <c r="F12" t="n">
        <v>0.456312</v>
      </c>
      <c r="G12" t="n">
        <v>0.462263</v>
      </c>
      <c r="H12" t="n">
        <v>0.467495</v>
      </c>
      <c r="I12" t="n">
        <v>0.47119</v>
      </c>
      <c r="J12" t="n">
        <v>0.473513</v>
      </c>
      <c r="K12" t="n">
        <v>0.476042</v>
      </c>
      <c r="L12" t="n">
        <v>0.479988</v>
      </c>
      <c r="M12" t="n">
        <v>0.484745</v>
      </c>
      <c r="N12" t="n">
        <v>0.49035</v>
      </c>
      <c r="O12" t="n">
        <v>0.496216</v>
      </c>
      <c r="P12" t="n">
        <v>0.502656</v>
      </c>
      <c r="Q12" t="n">
        <v>0.509114</v>
      </c>
      <c r="R12" t="n">
        <v>0.515613</v>
      </c>
      <c r="S12" t="n">
        <v>0.522029</v>
      </c>
      <c r="T12" t="n">
        <v>0.528266</v>
      </c>
      <c r="U12" t="n">
        <v>0.534514</v>
      </c>
      <c r="V12" t="n">
        <v>0.540961</v>
      </c>
      <c r="W12" t="n">
        <v>0.54741</v>
      </c>
      <c r="X12" t="n">
        <v>0.553828</v>
      </c>
      <c r="Y12" t="n">
        <v>0.560011</v>
      </c>
      <c r="Z12" t="n">
        <v>0.565497</v>
      </c>
      <c r="AA12" t="n">
        <v>0.570303</v>
      </c>
      <c r="AB12" t="n">
        <v>0.574702</v>
      </c>
      <c r="AC12" t="n">
        <v>0.578839</v>
      </c>
      <c r="AD12" t="n">
        <v>0.582862</v>
      </c>
      <c r="AE12" t="inlineStr">
        <is>
          <t>1.0%</t>
        </is>
      </c>
    </row>
    <row r="13">
      <c r="A13" t="inlineStr">
        <is>
          <t>Lodging</t>
        </is>
      </c>
      <c r="B13" t="inlineStr">
        <is>
          <t>Commercial: Gross End-use: Lodging: Alternative Electricity and Transportation</t>
        </is>
      </c>
      <c r="C13" t="inlineStr">
        <is>
          <t>AEO.2026.ELECTRNP.CNSM_NA_COMM_LGC_GROSENUS_NA_NA_QBTU.A</t>
        </is>
      </c>
      <c r="D13" t="inlineStr">
        <is>
          <t>quads</t>
        </is>
      </c>
      <c r="E13" t="n">
        <v>0.64882</v>
      </c>
      <c r="F13" t="n">
        <v>0.65629</v>
      </c>
      <c r="G13" t="n">
        <v>0.662237</v>
      </c>
      <c r="H13" t="n">
        <v>0.667631</v>
      </c>
      <c r="I13" t="n">
        <v>0.67116</v>
      </c>
      <c r="J13" t="n">
        <v>0.672438</v>
      </c>
      <c r="K13" t="n">
        <v>0.674133</v>
      </c>
      <c r="L13" t="n">
        <v>0.677586</v>
      </c>
      <c r="M13" t="n">
        <v>0.682059</v>
      </c>
      <c r="N13" t="n">
        <v>0.687544</v>
      </c>
      <c r="O13" t="n">
        <v>0.69328</v>
      </c>
      <c r="P13" t="n">
        <v>0.699808</v>
      </c>
      <c r="Q13" t="n">
        <v>0.706342</v>
      </c>
      <c r="R13" t="n">
        <v>0.712898</v>
      </c>
      <c r="S13" t="n">
        <v>0.719409</v>
      </c>
      <c r="T13" t="n">
        <v>0.725678</v>
      </c>
      <c r="U13" t="n">
        <v>0.732035</v>
      </c>
      <c r="V13" t="n">
        <v>0.738814</v>
      </c>
      <c r="W13" t="n">
        <v>0.745714</v>
      </c>
      <c r="X13" t="n">
        <v>0.752812</v>
      </c>
      <c r="Y13" t="n">
        <v>0.75972</v>
      </c>
      <c r="Z13" t="n">
        <v>0.765918</v>
      </c>
      <c r="AA13" t="n">
        <v>0.771306</v>
      </c>
      <c r="AB13" t="n">
        <v>0.776323</v>
      </c>
      <c r="AC13" t="n">
        <v>0.781218</v>
      </c>
      <c r="AD13" t="n">
        <v>0.786031</v>
      </c>
      <c r="AE13" t="inlineStr">
        <is>
          <t>0.8%</t>
        </is>
      </c>
    </row>
    <row r="14">
      <c r="A14" t="inlineStr">
        <is>
          <t>Office - Large</t>
        </is>
      </c>
      <c r="B14" t="inlineStr">
        <is>
          <t>Commercial: Gross End-use: Office - Large: Alternative Electricity and Transportation</t>
        </is>
      </c>
      <c r="C14" t="inlineStr">
        <is>
          <t>AEO.2026.ELECTRNP.CNSM_NA_COMM_OFLC_GROSENUS_NA_NA_QBTU.A</t>
        </is>
      </c>
      <c r="D14" t="inlineStr">
        <is>
          <t>quads</t>
        </is>
      </c>
      <c r="E14" t="n">
        <v>0.801929</v>
      </c>
      <c r="F14" t="n">
        <v>0.804321</v>
      </c>
      <c r="G14" t="n">
        <v>0.806955</v>
      </c>
      <c r="H14" t="n">
        <v>0.8104</v>
      </c>
      <c r="I14" t="n">
        <v>0.812076</v>
      </c>
      <c r="J14" t="n">
        <v>0.810736</v>
      </c>
      <c r="K14" t="n">
        <v>0.809361</v>
      </c>
      <c r="L14" t="n">
        <v>0.8095869999999999</v>
      </c>
      <c r="M14" t="n">
        <v>0.810821</v>
      </c>
      <c r="N14" t="n">
        <v>0.812833</v>
      </c>
      <c r="O14" t="n">
        <v>0.814724</v>
      </c>
      <c r="P14" t="n">
        <v>0.817451</v>
      </c>
      <c r="Q14" t="n">
        <v>0.820066</v>
      </c>
      <c r="R14" t="n">
        <v>0.822631</v>
      </c>
      <c r="S14" t="n">
        <v>0.824925</v>
      </c>
      <c r="T14" t="n">
        <v>0.826586</v>
      </c>
      <c r="U14" t="n">
        <v>0.827931</v>
      </c>
      <c r="V14" t="n">
        <v>0.829198</v>
      </c>
      <c r="W14" t="n">
        <v>0.830067</v>
      </c>
      <c r="X14" t="n">
        <v>0.8305360000000001</v>
      </c>
      <c r="Y14" t="n">
        <v>0.830445</v>
      </c>
      <c r="Z14" t="n">
        <v>0.8293199999999999</v>
      </c>
      <c r="AA14" t="n">
        <v>0.826983</v>
      </c>
      <c r="AB14" t="n">
        <v>0.823789</v>
      </c>
      <c r="AC14" t="n">
        <v>0.81995</v>
      </c>
      <c r="AD14" t="n">
        <v>0.815692</v>
      </c>
      <c r="AE14" t="inlineStr">
        <is>
          <t>0.1%</t>
        </is>
      </c>
    </row>
    <row r="15">
      <c r="A15" t="inlineStr">
        <is>
          <t>Office - Small</t>
        </is>
      </c>
      <c r="B15" t="inlineStr">
        <is>
          <t>Commercial: Gross End-use: Office - Small: Alternative Electricity and Transportation</t>
        </is>
      </c>
      <c r="C15" t="inlineStr">
        <is>
          <t>AEO.2026.ELECTRNP.CNSM_NA_COMM_OFSC_GROSENUS_NA_NA_QBTU.A</t>
        </is>
      </c>
      <c r="D15" t="inlineStr">
        <is>
          <t>quads</t>
        </is>
      </c>
      <c r="E15" t="n">
        <v>0.498724</v>
      </c>
      <c r="F15" t="n">
        <v>0.498815</v>
      </c>
      <c r="G15" t="n">
        <v>0.49858</v>
      </c>
      <c r="H15" t="n">
        <v>0.498555</v>
      </c>
      <c r="I15" t="n">
        <v>0.497218</v>
      </c>
      <c r="J15" t="n">
        <v>0.494001</v>
      </c>
      <c r="K15" t="n">
        <v>0.49094</v>
      </c>
      <c r="L15" t="n">
        <v>0.488762</v>
      </c>
      <c r="M15" t="n">
        <v>0.487216</v>
      </c>
      <c r="N15" t="n">
        <v>0.486219</v>
      </c>
      <c r="O15" t="n">
        <v>0.485182</v>
      </c>
      <c r="P15" t="n">
        <v>0.484648</v>
      </c>
      <c r="Q15" t="n">
        <v>0.484107</v>
      </c>
      <c r="R15" t="n">
        <v>0.483597</v>
      </c>
      <c r="S15" t="n">
        <v>0.483065</v>
      </c>
      <c r="T15" t="n">
        <v>0.482464</v>
      </c>
      <c r="U15" t="n">
        <v>0.481961</v>
      </c>
      <c r="V15" t="n">
        <v>0.481616</v>
      </c>
      <c r="W15" t="n">
        <v>0.481218</v>
      </c>
      <c r="X15" t="n">
        <v>0.48084</v>
      </c>
      <c r="Y15" t="n">
        <v>0.48031</v>
      </c>
      <c r="Z15" t="n">
        <v>0.479365</v>
      </c>
      <c r="AA15" t="n">
        <v>0.477905</v>
      </c>
      <c r="AB15" t="n">
        <v>0.476214</v>
      </c>
      <c r="AC15" t="n">
        <v>0.474434</v>
      </c>
      <c r="AD15" t="n">
        <v>0.472531</v>
      </c>
      <c r="AE15" t="inlineStr">
        <is>
          <t>-0.2%</t>
        </is>
      </c>
    </row>
    <row r="16">
      <c r="A16" t="inlineStr">
        <is>
          <t>Mercantile/Service</t>
        </is>
      </c>
      <c r="B16" t="inlineStr">
        <is>
          <t>Commercial: Gross End-use: Mercantile/Service: Alternative Electricity and Transportation</t>
        </is>
      </c>
      <c r="C16" t="inlineStr">
        <is>
          <t>AEO.2026.ELECTRNP.CNSM_NA_COMM_MCSC_GROSENUS_NA_NA_QBTU.A</t>
        </is>
      </c>
      <c r="D16" t="inlineStr">
        <is>
          <t>quads</t>
        </is>
      </c>
      <c r="E16" t="n">
        <v>1.189819</v>
      </c>
      <c r="F16" t="n">
        <v>1.18958</v>
      </c>
      <c r="G16" t="n">
        <v>1.189654</v>
      </c>
      <c r="H16" t="n">
        <v>1.189061</v>
      </c>
      <c r="I16" t="n">
        <v>1.185241</v>
      </c>
      <c r="J16" t="n">
        <v>1.176496</v>
      </c>
      <c r="K16" t="n">
        <v>1.169314</v>
      </c>
      <c r="L16" t="n">
        <v>1.16508</v>
      </c>
      <c r="M16" t="n">
        <v>1.162234</v>
      </c>
      <c r="N16" t="n">
        <v>1.160745</v>
      </c>
      <c r="O16" t="n">
        <v>1.159884</v>
      </c>
      <c r="P16" t="n">
        <v>1.160475</v>
      </c>
      <c r="Q16" t="n">
        <v>1.161225</v>
      </c>
      <c r="R16" t="n">
        <v>1.162109</v>
      </c>
      <c r="S16" t="n">
        <v>1.16296</v>
      </c>
      <c r="T16" t="n">
        <v>1.163027</v>
      </c>
      <c r="U16" t="n">
        <v>1.163576</v>
      </c>
      <c r="V16" t="n">
        <v>1.164814</v>
      </c>
      <c r="W16" t="n">
        <v>1.166417</v>
      </c>
      <c r="X16" t="n">
        <v>1.168296</v>
      </c>
      <c r="Y16" t="n">
        <v>1.16999</v>
      </c>
      <c r="Z16" t="n">
        <v>1.170813</v>
      </c>
      <c r="AA16" t="n">
        <v>1.170721</v>
      </c>
      <c r="AB16" t="n">
        <v>1.170308</v>
      </c>
      <c r="AC16" t="n">
        <v>1.169911</v>
      </c>
      <c r="AD16" t="n">
        <v>1.169465</v>
      </c>
      <c r="AE16" t="inlineStr">
        <is>
          <t>-0.1%</t>
        </is>
      </c>
    </row>
    <row r="17">
      <c r="A17" t="inlineStr">
        <is>
          <t>Warehouse</t>
        </is>
      </c>
      <c r="B17" t="inlineStr">
        <is>
          <t>Commercial: Gross End-use: Warehouse: Alternative Electricity and Transportation</t>
        </is>
      </c>
      <c r="C17" t="inlineStr">
        <is>
          <t>AEO.2026.ELECTRNP.CNSM_NA_COMM_WHRC_GROSENUS_NA_NA_QBTU.A</t>
        </is>
      </c>
      <c r="D17" t="inlineStr">
        <is>
          <t>quads</t>
        </is>
      </c>
      <c r="E17" t="n">
        <v>0.646551</v>
      </c>
      <c r="F17" t="n">
        <v>0.658644</v>
      </c>
      <c r="G17" t="n">
        <v>0.668871</v>
      </c>
      <c r="H17" t="n">
        <v>0.67948</v>
      </c>
      <c r="I17" t="n">
        <v>0.688774</v>
      </c>
      <c r="J17" t="n">
        <v>0.695749</v>
      </c>
      <c r="K17" t="n">
        <v>0.703276</v>
      </c>
      <c r="L17" t="n">
        <v>0.712484</v>
      </c>
      <c r="M17" t="n">
        <v>0.723058</v>
      </c>
      <c r="N17" t="n">
        <v>0.734805</v>
      </c>
      <c r="O17" t="n">
        <v>0.746688</v>
      </c>
      <c r="P17" t="n">
        <v>0.759415</v>
      </c>
      <c r="Q17" t="n">
        <v>0.772583</v>
      </c>
      <c r="R17" t="n">
        <v>0.786062</v>
      </c>
      <c r="S17" t="n">
        <v>0.799777</v>
      </c>
      <c r="T17" t="n">
        <v>0.813905</v>
      </c>
      <c r="U17" t="n">
        <v>0.828523</v>
      </c>
      <c r="V17" t="n">
        <v>0.843687</v>
      </c>
      <c r="W17" t="n">
        <v>0.859209</v>
      </c>
      <c r="X17" t="n">
        <v>0.8750830000000001</v>
      </c>
      <c r="Y17" t="n">
        <v>0.891169</v>
      </c>
      <c r="Z17" t="n">
        <v>0.907009</v>
      </c>
      <c r="AA17" t="n">
        <v>0.9225100000000001</v>
      </c>
      <c r="AB17" t="n">
        <v>0.938057</v>
      </c>
      <c r="AC17" t="n">
        <v>0.9538450000000001</v>
      </c>
      <c r="AD17" t="n">
        <v>0.969854</v>
      </c>
      <c r="AE17" t="inlineStr">
        <is>
          <t>1.6%</t>
        </is>
      </c>
    </row>
    <row r="18">
      <c r="A18" t="inlineStr">
        <is>
          <t>Other</t>
        </is>
      </c>
      <c r="B18" t="inlineStr">
        <is>
          <t>Commercial: Gross End-use: Other: Alternative Electricity and Transportation</t>
        </is>
      </c>
      <c r="C18" t="inlineStr">
        <is>
          <t>AEO.2026.ELECTRNP.CNSM_NA_COMM_OTHU_GROSENUS_NA_NA_QBTU.A</t>
        </is>
      </c>
      <c r="D18" t="inlineStr">
        <is>
          <t>quads</t>
        </is>
      </c>
      <c r="E18" t="n">
        <v>0.72055</v>
      </c>
      <c r="F18" t="n">
        <v>0.760972</v>
      </c>
      <c r="G18" t="n">
        <v>0.80172</v>
      </c>
      <c r="H18" t="n">
        <v>0.844215</v>
      </c>
      <c r="I18" t="n">
        <v>0.886414</v>
      </c>
      <c r="J18" t="n">
        <v>0.927216</v>
      </c>
      <c r="K18" t="n">
        <v>0.9688290000000001</v>
      </c>
      <c r="L18" t="n">
        <v>1.012759</v>
      </c>
      <c r="M18" t="n">
        <v>1.058524</v>
      </c>
      <c r="N18" t="n">
        <v>1.105927</v>
      </c>
      <c r="O18" t="n">
        <v>1.154145</v>
      </c>
      <c r="P18" t="n">
        <v>1.203743</v>
      </c>
      <c r="Q18" t="n">
        <v>1.253842</v>
      </c>
      <c r="R18" t="n">
        <v>1.304093</v>
      </c>
      <c r="S18" t="n">
        <v>1.353945</v>
      </c>
      <c r="T18" t="n">
        <v>1.402955</v>
      </c>
      <c r="U18" t="n">
        <v>1.451097</v>
      </c>
      <c r="V18" t="n">
        <v>1.49822</v>
      </c>
      <c r="W18" t="n">
        <v>1.543973</v>
      </c>
      <c r="X18" t="n">
        <v>1.587851</v>
      </c>
      <c r="Y18" t="n">
        <v>1.629809</v>
      </c>
      <c r="Z18" t="n">
        <v>1.668623</v>
      </c>
      <c r="AA18" t="n">
        <v>1.703866</v>
      </c>
      <c r="AB18" t="n">
        <v>1.73581</v>
      </c>
      <c r="AC18" t="n">
        <v>1.764405</v>
      </c>
      <c r="AD18" t="n">
        <v>1.791514</v>
      </c>
      <c r="AE18" t="inlineStr">
        <is>
          <t>3.7%</t>
        </is>
      </c>
    </row>
    <row r="19">
      <c r="A19" t="inlineStr">
        <is>
          <t>Total</t>
        </is>
      </c>
      <c r="B19" t="inlineStr">
        <is>
          <t>Commercial: Gross End-use: Total: Alternative Electricity and Transportation</t>
        </is>
      </c>
      <c r="C19" t="inlineStr">
        <is>
          <t>AEO.2026.ELECTRNP.CNSM_NA_COMM_NA_GROSENUS_NA_NA_QBTU.A</t>
        </is>
      </c>
      <c r="D19" t="inlineStr">
        <is>
          <t>quads</t>
        </is>
      </c>
      <c r="E19" t="n">
        <v>7.267428</v>
      </c>
      <c r="F19" t="n">
        <v>7.33548</v>
      </c>
      <c r="G19" t="n">
        <v>7.400869</v>
      </c>
      <c r="H19" t="n">
        <v>7.464311</v>
      </c>
      <c r="I19" t="n">
        <v>7.509368</v>
      </c>
      <c r="J19" t="n">
        <v>7.530614</v>
      </c>
      <c r="K19" t="n">
        <v>7.55759</v>
      </c>
      <c r="L19" t="n">
        <v>7.603058</v>
      </c>
      <c r="M19" t="n">
        <v>7.660086</v>
      </c>
      <c r="N19" t="n">
        <v>7.727529</v>
      </c>
      <c r="O19" t="n">
        <v>7.79746</v>
      </c>
      <c r="P19" t="n">
        <v>7.876206</v>
      </c>
      <c r="Q19" t="n">
        <v>7.956069</v>
      </c>
      <c r="R19" t="n">
        <v>8.036675000000001</v>
      </c>
      <c r="S19" t="n">
        <v>8.116375</v>
      </c>
      <c r="T19" t="n">
        <v>8.193117000000001</v>
      </c>
      <c r="U19" t="n">
        <v>8.270598</v>
      </c>
      <c r="V19" t="n">
        <v>8.35033</v>
      </c>
      <c r="W19" t="n">
        <v>8.429537</v>
      </c>
      <c r="X19" t="n">
        <v>8.507717</v>
      </c>
      <c r="Y19" t="n">
        <v>8.582525</v>
      </c>
      <c r="Z19" t="n">
        <v>8.648260000000001</v>
      </c>
      <c r="AA19" t="n">
        <v>8.70402</v>
      </c>
      <c r="AB19" t="n">
        <v>8.753658</v>
      </c>
      <c r="AC19" t="n">
        <v>8.79904</v>
      </c>
      <c r="AD19" t="n">
        <v>8.842321</v>
      </c>
      <c r="AE19" t="inlineStr">
        <is>
          <t>0.8%</t>
        </is>
      </c>
    </row>
    <row r="20">
      <c r="A20" t="inlineStr">
        <is>
          <t>Commercial Building Floorspace</t>
        </is>
      </c>
    </row>
    <row r="21">
      <c r="A21" t="inlineStr">
        <is>
          <t>(billion square feet)</t>
        </is>
      </c>
    </row>
    <row r="22">
      <c r="A22" t="inlineStr">
        <is>
          <t>Assembly</t>
        </is>
      </c>
      <c r="B22" t="inlineStr">
        <is>
          <t>Commercial: Floorspace: Assembly: Alternative Electricity and Transportation</t>
        </is>
      </c>
      <c r="C22" t="inlineStr">
        <is>
          <t>AEO.2026.ELECTRNP.KEI_FLR_COMM_ASB_NA_NA_NA_BLNSQFT.A</t>
        </is>
      </c>
      <c r="D22" t="inlineStr">
        <is>
          <t>billion sq ft</t>
        </is>
      </c>
      <c r="E22" t="n">
        <v>12.847167</v>
      </c>
      <c r="F22" t="n">
        <v>12.890592</v>
      </c>
      <c r="G22" t="n">
        <v>12.938591</v>
      </c>
      <c r="H22" t="n">
        <v>12.982117</v>
      </c>
      <c r="I22" t="n">
        <v>13.022087</v>
      </c>
      <c r="J22" t="n">
        <v>13.061621</v>
      </c>
      <c r="K22" t="n">
        <v>13.102445</v>
      </c>
      <c r="L22" t="n">
        <v>13.144851</v>
      </c>
      <c r="M22" t="n">
        <v>13.189493</v>
      </c>
      <c r="N22" t="n">
        <v>13.236426</v>
      </c>
      <c r="O22" t="n">
        <v>13.285571</v>
      </c>
      <c r="P22" t="n">
        <v>13.336675</v>
      </c>
      <c r="Q22" t="n">
        <v>13.388561</v>
      </c>
      <c r="R22" t="n">
        <v>13.434659</v>
      </c>
      <c r="S22" t="n">
        <v>13.474827</v>
      </c>
      <c r="T22" t="n">
        <v>13.509396</v>
      </c>
      <c r="U22" t="n">
        <v>13.535755</v>
      </c>
      <c r="V22" t="n">
        <v>13.554975</v>
      </c>
      <c r="W22" t="n">
        <v>13.568811</v>
      </c>
      <c r="X22" t="n">
        <v>13.578412</v>
      </c>
      <c r="Y22" t="n">
        <v>13.585127</v>
      </c>
      <c r="Z22" t="n">
        <v>13.589354</v>
      </c>
      <c r="AA22" t="n">
        <v>13.59126</v>
      </c>
      <c r="AB22" t="n">
        <v>13.59103</v>
      </c>
      <c r="AC22" t="n">
        <v>13.588768</v>
      </c>
      <c r="AD22" t="n">
        <v>13.584612</v>
      </c>
      <c r="AE22" t="inlineStr">
        <is>
          <t>0.2%</t>
        </is>
      </c>
    </row>
    <row r="23">
      <c r="A23" t="inlineStr">
        <is>
          <t>Education</t>
        </is>
      </c>
      <c r="B23" t="inlineStr">
        <is>
          <t>Commercial: Floorspace: Education: Alternative Electricity and Transportation</t>
        </is>
      </c>
      <c r="C23" t="inlineStr">
        <is>
          <t>AEO.2026.ELECTRNP.KEI_FLR_COMM_EDD_NA_NA_NA_BLNSQFT.A</t>
        </is>
      </c>
      <c r="D23" t="inlineStr">
        <is>
          <t>billion sq ft</t>
        </is>
      </c>
      <c r="E23" t="n">
        <v>14.618995</v>
      </c>
      <c r="F23" t="n">
        <v>14.779117</v>
      </c>
      <c r="G23" t="n">
        <v>14.948379</v>
      </c>
      <c r="H23" t="n">
        <v>15.115026</v>
      </c>
      <c r="I23" t="n">
        <v>15.280071</v>
      </c>
      <c r="J23" t="n">
        <v>15.447127</v>
      </c>
      <c r="K23" t="n">
        <v>15.618289</v>
      </c>
      <c r="L23" t="n">
        <v>15.793993</v>
      </c>
      <c r="M23" t="n">
        <v>15.975135</v>
      </c>
      <c r="N23" t="n">
        <v>16.161909</v>
      </c>
      <c r="O23" t="n">
        <v>16.354359</v>
      </c>
      <c r="P23" t="n">
        <v>16.552303</v>
      </c>
      <c r="Q23" t="n">
        <v>16.754421</v>
      </c>
      <c r="R23" t="n">
        <v>16.952585</v>
      </c>
      <c r="S23" t="n">
        <v>17.146523</v>
      </c>
      <c r="T23" t="n">
        <v>17.33654</v>
      </c>
      <c r="U23" t="n">
        <v>17.51919</v>
      </c>
      <c r="V23" t="n">
        <v>17.695663</v>
      </c>
      <c r="W23" t="n">
        <v>17.868092</v>
      </c>
      <c r="X23" t="n">
        <v>18.037401</v>
      </c>
      <c r="Y23" t="n">
        <v>18.204842</v>
      </c>
      <c r="Z23" t="n">
        <v>18.370932</v>
      </c>
      <c r="AA23" t="n">
        <v>18.535896</v>
      </c>
      <c r="AB23" t="n">
        <v>18.699968</v>
      </c>
      <c r="AC23" t="n">
        <v>18.863297</v>
      </c>
      <c r="AD23" t="n">
        <v>19.02606</v>
      </c>
      <c r="AE23" t="inlineStr">
        <is>
          <t>1.1%</t>
        </is>
      </c>
    </row>
    <row r="24">
      <c r="A24" t="inlineStr">
        <is>
          <t>Food Sales</t>
        </is>
      </c>
      <c r="B24" t="inlineStr">
        <is>
          <t>Commercial: Floorspace: Food Sales: Alternative Electricity and Transportation</t>
        </is>
      </c>
      <c r="C24" t="inlineStr">
        <is>
          <t>AEO.2026.ELECTRNP.KEI_FLR_COMM_FDSA_NA_NA_NA_BLNSQFT.A</t>
        </is>
      </c>
      <c r="D24" t="inlineStr">
        <is>
          <t>billion sq ft</t>
        </is>
      </c>
      <c r="E24" t="n">
        <v>1.014614</v>
      </c>
      <c r="F24" t="n">
        <v>1.01733</v>
      </c>
      <c r="G24" t="n">
        <v>1.020503</v>
      </c>
      <c r="H24" t="n">
        <v>1.023309</v>
      </c>
      <c r="I24" t="n">
        <v>1.025822</v>
      </c>
      <c r="J24" t="n">
        <v>1.028287</v>
      </c>
      <c r="K24" t="n">
        <v>1.030839</v>
      </c>
      <c r="L24" t="n">
        <v>1.033501</v>
      </c>
      <c r="M24" t="n">
        <v>1.036324</v>
      </c>
      <c r="N24" t="n">
        <v>1.039312</v>
      </c>
      <c r="O24" t="n">
        <v>1.042457</v>
      </c>
      <c r="P24" t="n">
        <v>1.045739</v>
      </c>
      <c r="Q24" t="n">
        <v>1.049065</v>
      </c>
      <c r="R24" t="n">
        <v>1.05192</v>
      </c>
      <c r="S24" t="n">
        <v>1.054294</v>
      </c>
      <c r="T24" t="n">
        <v>1.056211</v>
      </c>
      <c r="U24" t="n">
        <v>1.05747</v>
      </c>
      <c r="V24" t="n">
        <v>1.058154</v>
      </c>
      <c r="W24" t="n">
        <v>1.058401</v>
      </c>
      <c r="X24" t="n">
        <v>1.058275</v>
      </c>
      <c r="Y24" t="n">
        <v>1.057852</v>
      </c>
      <c r="Z24" t="n">
        <v>1.057167</v>
      </c>
      <c r="AA24" t="n">
        <v>1.056235</v>
      </c>
      <c r="AB24" t="n">
        <v>1.055072</v>
      </c>
      <c r="AC24" t="n">
        <v>1.053686</v>
      </c>
      <c r="AD24" t="n">
        <v>1.052091</v>
      </c>
      <c r="AE24" t="inlineStr">
        <is>
          <t>0.1%</t>
        </is>
      </c>
    </row>
    <row r="25">
      <c r="A25" t="inlineStr">
        <is>
          <t>Food Service</t>
        </is>
      </c>
      <c r="B25" t="inlineStr">
        <is>
          <t>Commercial: Floorspace: Food Service: Alternative Electricity and Transportation</t>
        </is>
      </c>
      <c r="C25" t="inlineStr">
        <is>
          <t>AEO.2026.ELECTRNP.KEI_FLR_COMM_FSC_NA_NA_NA_BLNSQFT.A</t>
        </is>
      </c>
      <c r="D25" t="inlineStr">
        <is>
          <t>billion sq ft</t>
        </is>
      </c>
      <c r="E25" t="n">
        <v>1.40471</v>
      </c>
      <c r="F25" t="n">
        <v>1.410306</v>
      </c>
      <c r="G25" t="n">
        <v>1.416958</v>
      </c>
      <c r="H25" t="n">
        <v>1.423151</v>
      </c>
      <c r="I25" t="n">
        <v>1.428986</v>
      </c>
      <c r="J25" t="n">
        <v>1.434804</v>
      </c>
      <c r="K25" t="n">
        <v>1.440796</v>
      </c>
      <c r="L25" t="n">
        <v>1.446994</v>
      </c>
      <c r="M25" t="n">
        <v>1.453472</v>
      </c>
      <c r="N25" t="n">
        <v>1.460237</v>
      </c>
      <c r="O25" t="n">
        <v>1.467283</v>
      </c>
      <c r="P25" t="n">
        <v>1.474584</v>
      </c>
      <c r="Q25" t="n">
        <v>1.48201</v>
      </c>
      <c r="R25" t="n">
        <v>1.488837</v>
      </c>
      <c r="S25" t="n">
        <v>1.495046</v>
      </c>
      <c r="T25" t="n">
        <v>1.500673</v>
      </c>
      <c r="U25" t="n">
        <v>1.505427</v>
      </c>
      <c r="V25" t="n">
        <v>1.509426</v>
      </c>
      <c r="W25" t="n">
        <v>1.512861</v>
      </c>
      <c r="X25" t="n">
        <v>1.51582</v>
      </c>
      <c r="Y25" t="n">
        <v>1.518413</v>
      </c>
      <c r="Z25" t="n">
        <v>1.520688</v>
      </c>
      <c r="AA25" t="n">
        <v>1.522666</v>
      </c>
      <c r="AB25" t="n">
        <v>1.524368</v>
      </c>
      <c r="AC25" t="n">
        <v>1.525809</v>
      </c>
      <c r="AD25" t="n">
        <v>1.527003</v>
      </c>
      <c r="AE25" t="inlineStr">
        <is>
          <t>0.3%</t>
        </is>
      </c>
    </row>
    <row r="26">
      <c r="A26" t="inlineStr">
        <is>
          <t>Health Care</t>
        </is>
      </c>
      <c r="B26" t="inlineStr">
        <is>
          <t>Commercial: Floorspace: Health Care: Alternative Electricity and Transportation</t>
        </is>
      </c>
      <c r="C26" t="inlineStr">
        <is>
          <t>AEO.2026.ELECTRNP.KEI_FLR_COMM_HLC_NA_NA_NA_BLNSQFT.A</t>
        </is>
      </c>
      <c r="D26" t="inlineStr">
        <is>
          <t>billion sq ft</t>
        </is>
      </c>
      <c r="E26" t="n">
        <v>2.515118</v>
      </c>
      <c r="F26" t="n">
        <v>2.552223</v>
      </c>
      <c r="G26" t="n">
        <v>2.59225</v>
      </c>
      <c r="H26" t="n">
        <v>2.632062</v>
      </c>
      <c r="I26" t="n">
        <v>2.67183</v>
      </c>
      <c r="J26" t="n">
        <v>2.712181</v>
      </c>
      <c r="K26" t="n">
        <v>2.753487</v>
      </c>
      <c r="L26" t="n">
        <v>2.795834</v>
      </c>
      <c r="M26" t="n">
        <v>2.83939</v>
      </c>
      <c r="N26" t="n">
        <v>2.884202</v>
      </c>
      <c r="O26" t="n">
        <v>2.930288</v>
      </c>
      <c r="P26" t="n">
        <v>2.977628</v>
      </c>
      <c r="Q26" t="n">
        <v>3.025997</v>
      </c>
      <c r="R26" t="n">
        <v>3.073934</v>
      </c>
      <c r="S26" t="n">
        <v>3.121382</v>
      </c>
      <c r="T26" t="n">
        <v>3.168388</v>
      </c>
      <c r="U26" t="n">
        <v>3.214312</v>
      </c>
      <c r="V26" t="n">
        <v>3.259358</v>
      </c>
      <c r="W26" t="n">
        <v>3.303904</v>
      </c>
      <c r="X26" t="n">
        <v>3.348114</v>
      </c>
      <c r="Y26" t="n">
        <v>3.392211</v>
      </c>
      <c r="Z26" t="n">
        <v>3.436289</v>
      </c>
      <c r="AA26" t="n">
        <v>3.480385</v>
      </c>
      <c r="AB26" t="n">
        <v>3.524543</v>
      </c>
      <c r="AC26" t="n">
        <v>3.568787</v>
      </c>
      <c r="AD26" t="n">
        <v>3.613149</v>
      </c>
      <c r="AE26" t="inlineStr">
        <is>
          <t>1.5%</t>
        </is>
      </c>
    </row>
    <row r="27">
      <c r="A27" t="inlineStr">
        <is>
          <t>Lodging</t>
        </is>
      </c>
      <c r="B27" t="inlineStr">
        <is>
          <t>Commercial: Floorspace: Lodging: Alternative Electricity and Transportation</t>
        </is>
      </c>
      <c r="C27" t="inlineStr">
        <is>
          <t>AEO.2026.ELECTRNP.KEI_FLR_COMM_LGC_NA_NA_NA_BLNSQFT.A</t>
        </is>
      </c>
      <c r="D27" t="inlineStr">
        <is>
          <t>billion sq ft</t>
        </is>
      </c>
      <c r="E27" t="n">
        <v>7.501079</v>
      </c>
      <c r="F27" t="n">
        <v>7.592427</v>
      </c>
      <c r="G27" t="n">
        <v>7.687127</v>
      </c>
      <c r="H27" t="n">
        <v>7.780598</v>
      </c>
      <c r="I27" t="n">
        <v>7.873361</v>
      </c>
      <c r="J27" t="n">
        <v>7.967273</v>
      </c>
      <c r="K27" t="n">
        <v>8.063416</v>
      </c>
      <c r="L27" t="n">
        <v>8.162022</v>
      </c>
      <c r="M27" t="n">
        <v>8.26356</v>
      </c>
      <c r="N27" t="n">
        <v>8.36814</v>
      </c>
      <c r="O27" t="n">
        <v>8.47579</v>
      </c>
      <c r="P27" t="n">
        <v>8.586425</v>
      </c>
      <c r="Q27" t="n">
        <v>8.699363999999999</v>
      </c>
      <c r="R27" t="n">
        <v>8.810394000000001</v>
      </c>
      <c r="S27" t="n">
        <v>8.919369</v>
      </c>
      <c r="T27" t="n">
        <v>9.026439</v>
      </c>
      <c r="U27" t="n">
        <v>9.129804</v>
      </c>
      <c r="V27" t="n">
        <v>9.230073000000001</v>
      </c>
      <c r="W27" t="n">
        <v>9.328345000000001</v>
      </c>
      <c r="X27" t="n">
        <v>9.425105</v>
      </c>
      <c r="Y27" t="n">
        <v>9.520993000000001</v>
      </c>
      <c r="Z27" t="n">
        <v>9.616282999999999</v>
      </c>
      <c r="AA27" t="n">
        <v>9.711085000000001</v>
      </c>
      <c r="AB27" t="n">
        <v>9.805524999999999</v>
      </c>
      <c r="AC27" t="n">
        <v>9.899673</v>
      </c>
      <c r="AD27" t="n">
        <v>9.993622999999999</v>
      </c>
      <c r="AE27" t="inlineStr">
        <is>
          <t>1.2%</t>
        </is>
      </c>
    </row>
    <row r="28">
      <c r="A28" t="inlineStr">
        <is>
          <t>Office - Large</t>
        </is>
      </c>
      <c r="B28" t="inlineStr">
        <is>
          <t>Commercial: Floorspace: Office - Large: Alternative Electricity and Transportation</t>
        </is>
      </c>
      <c r="C28" t="inlineStr">
        <is>
          <t>AEO.2026.ELECTRNP.KEI_FLR_COMM_OFLC_NA_NA_NA_BLNSQFT.A</t>
        </is>
      </c>
      <c r="D28" t="inlineStr">
        <is>
          <t>billion sq ft</t>
        </is>
      </c>
      <c r="E28" t="n">
        <v>11.108781</v>
      </c>
      <c r="F28" t="n">
        <v>11.169916</v>
      </c>
      <c r="G28" t="n">
        <v>11.219959</v>
      </c>
      <c r="H28" t="n">
        <v>11.266199</v>
      </c>
      <c r="I28" t="n">
        <v>11.309428</v>
      </c>
      <c r="J28" t="n">
        <v>11.352346</v>
      </c>
      <c r="K28" t="n">
        <v>11.39646</v>
      </c>
      <c r="L28" t="n">
        <v>11.442016</v>
      </c>
      <c r="M28" t="n">
        <v>11.489596</v>
      </c>
      <c r="N28" t="n">
        <v>11.539253</v>
      </c>
      <c r="O28" t="n">
        <v>11.590923</v>
      </c>
      <c r="P28" t="n">
        <v>11.644387</v>
      </c>
      <c r="Q28" t="n">
        <v>11.698627</v>
      </c>
      <c r="R28" t="n">
        <v>11.747905</v>
      </c>
      <c r="S28" t="n">
        <v>11.792084</v>
      </c>
      <c r="T28" t="n">
        <v>11.831443</v>
      </c>
      <c r="U28" t="n">
        <v>11.863685</v>
      </c>
      <c r="V28" t="n">
        <v>11.88973</v>
      </c>
      <c r="W28" t="n">
        <v>11.911108</v>
      </c>
      <c r="X28" t="n">
        <v>11.928499</v>
      </c>
      <c r="Y28" t="n">
        <v>11.942775</v>
      </c>
      <c r="Z28" t="n">
        <v>11.954301</v>
      </c>
      <c r="AA28" t="n">
        <v>11.963244</v>
      </c>
      <c r="AB28" t="n">
        <v>11.969772</v>
      </c>
      <c r="AC28" t="n">
        <v>11.973985</v>
      </c>
      <c r="AD28" t="n">
        <v>11.976011</v>
      </c>
      <c r="AE28" t="inlineStr">
        <is>
          <t>0.3%</t>
        </is>
      </c>
    </row>
    <row r="29">
      <c r="A29" t="inlineStr">
        <is>
          <t>Office - Small</t>
        </is>
      </c>
      <c r="B29" t="inlineStr">
        <is>
          <t>Commercial: Floorspace: Office - Small: Alternative Electricity and Transportation</t>
        </is>
      </c>
      <c r="C29" t="inlineStr">
        <is>
          <t>AEO.2026.ELECTRNP.KEI_FLR_COMM_OFSC_NA_NA_NA_BLNSQFT.A</t>
        </is>
      </c>
      <c r="D29" t="inlineStr">
        <is>
          <t>billion sq ft</t>
        </is>
      </c>
      <c r="E29" t="n">
        <v>8.152811</v>
      </c>
      <c r="F29" t="n">
        <v>8.20369</v>
      </c>
      <c r="G29" t="n">
        <v>8.248288000000001</v>
      </c>
      <c r="H29" t="n">
        <v>8.290196999999999</v>
      </c>
      <c r="I29" t="n">
        <v>8.329997000000001</v>
      </c>
      <c r="J29" t="n">
        <v>8.369668000000001</v>
      </c>
      <c r="K29" t="n">
        <v>8.41032</v>
      </c>
      <c r="L29" t="n">
        <v>8.452147</v>
      </c>
      <c r="M29" t="n">
        <v>8.495578</v>
      </c>
      <c r="N29" t="n">
        <v>8.540658000000001</v>
      </c>
      <c r="O29" t="n">
        <v>8.587348</v>
      </c>
      <c r="P29" t="n">
        <v>8.635493</v>
      </c>
      <c r="Q29" t="n">
        <v>8.684341</v>
      </c>
      <c r="R29" t="n">
        <v>8.729635</v>
      </c>
      <c r="S29" t="n">
        <v>8.771269</v>
      </c>
      <c r="T29" t="n">
        <v>8.809438999999999</v>
      </c>
      <c r="U29" t="n">
        <v>8.842423999999999</v>
      </c>
      <c r="V29" t="n">
        <v>8.870899</v>
      </c>
      <c r="W29" t="n">
        <v>8.895989999999999</v>
      </c>
      <c r="X29" t="n">
        <v>8.918196999999999</v>
      </c>
      <c r="Y29" t="n">
        <v>8.93816</v>
      </c>
      <c r="Z29" t="n">
        <v>8.956154</v>
      </c>
      <c r="AA29" t="n">
        <v>8.972295000000001</v>
      </c>
      <c r="AB29" t="n">
        <v>8.986701999999999</v>
      </c>
      <c r="AC29" t="n">
        <v>8.999452</v>
      </c>
      <c r="AD29" t="n">
        <v>9.010630000000001</v>
      </c>
      <c r="AE29" t="inlineStr">
        <is>
          <t>0.4%</t>
        </is>
      </c>
    </row>
    <row r="30">
      <c r="A30" t="inlineStr">
        <is>
          <t>Mercantile/Service</t>
        </is>
      </c>
      <c r="B30" t="inlineStr">
        <is>
          <t>Commercial: Floorspace: Mercantile/Service: Alternative Electricity and Transportation</t>
        </is>
      </c>
      <c r="C30" t="inlineStr">
        <is>
          <t>AEO.2026.ELECTRNP.KEI_FLR_COMM_MCSC_NA_NA_NA_BLNSQFT.A</t>
        </is>
      </c>
      <c r="D30" t="inlineStr">
        <is>
          <t>billion sq ft</t>
        </is>
      </c>
      <c r="E30" t="n">
        <v>17.903934</v>
      </c>
      <c r="F30" t="n">
        <v>18.059</v>
      </c>
      <c r="G30" t="n">
        <v>18.239119</v>
      </c>
      <c r="H30" t="n">
        <v>18.413471</v>
      </c>
      <c r="I30" t="n">
        <v>18.583286</v>
      </c>
      <c r="J30" t="n">
        <v>18.752941</v>
      </c>
      <c r="K30" t="n">
        <v>18.924946</v>
      </c>
      <c r="L30" t="n">
        <v>19.099779</v>
      </c>
      <c r="M30" t="n">
        <v>19.278463</v>
      </c>
      <c r="N30" t="n">
        <v>19.461161</v>
      </c>
      <c r="O30" t="n">
        <v>19.647844</v>
      </c>
      <c r="P30" t="n">
        <v>19.838217</v>
      </c>
      <c r="Q30" t="n">
        <v>20.030611</v>
      </c>
      <c r="R30" t="n">
        <v>20.215233</v>
      </c>
      <c r="S30" t="n">
        <v>20.391752</v>
      </c>
      <c r="T30" t="n">
        <v>20.560534</v>
      </c>
      <c r="U30" t="n">
        <v>20.717485</v>
      </c>
      <c r="V30" t="n">
        <v>20.864054</v>
      </c>
      <c r="W30" t="n">
        <v>21.002777</v>
      </c>
      <c r="X30" t="n">
        <v>21.134754</v>
      </c>
      <c r="Y30" t="n">
        <v>21.261448</v>
      </c>
      <c r="Z30" t="n">
        <v>21.383446</v>
      </c>
      <c r="AA30" t="n">
        <v>21.50099</v>
      </c>
      <c r="AB30" t="n">
        <v>21.614332</v>
      </c>
      <c r="AC30" t="n">
        <v>21.723608</v>
      </c>
      <c r="AD30" t="n">
        <v>21.829004</v>
      </c>
      <c r="AE30" t="inlineStr">
        <is>
          <t>0.8%</t>
        </is>
      </c>
    </row>
    <row r="31">
      <c r="A31" t="inlineStr">
        <is>
          <t>Warehouse</t>
        </is>
      </c>
      <c r="B31" t="inlineStr">
        <is>
          <t>Commercial: Floorspace: Warehouse: Alternative Electricity and Transportation</t>
        </is>
      </c>
      <c r="C31" t="inlineStr">
        <is>
          <t>AEO.2026.ELECTRNP.KEI_FLR_COMM_WHRC_NA_NA_NA_BLNSQFT.A</t>
        </is>
      </c>
      <c r="D31" t="inlineStr">
        <is>
          <t>billion sq ft</t>
        </is>
      </c>
      <c r="E31" t="n">
        <v>21.484148</v>
      </c>
      <c r="F31" t="n">
        <v>22.011978</v>
      </c>
      <c r="G31" t="n">
        <v>22.458651</v>
      </c>
      <c r="H31" t="n">
        <v>22.905676</v>
      </c>
      <c r="I31" t="n">
        <v>23.354492</v>
      </c>
      <c r="J31" t="n">
        <v>23.810555</v>
      </c>
      <c r="K31" t="n">
        <v>24.277159</v>
      </c>
      <c r="L31" t="n">
        <v>24.755138</v>
      </c>
      <c r="M31" t="n">
        <v>25.246082</v>
      </c>
      <c r="N31" t="n">
        <v>25.750494</v>
      </c>
      <c r="O31" t="n">
        <v>26.268658</v>
      </c>
      <c r="P31" t="n">
        <v>26.800499</v>
      </c>
      <c r="Q31" t="n">
        <v>27.344082</v>
      </c>
      <c r="R31" t="n">
        <v>27.886297</v>
      </c>
      <c r="S31" t="n">
        <v>28.426554</v>
      </c>
      <c r="T31" t="n">
        <v>28.965183</v>
      </c>
      <c r="U31" t="n">
        <v>29.496269</v>
      </c>
      <c r="V31" t="n">
        <v>30.02154</v>
      </c>
      <c r="W31" t="n">
        <v>30.544353</v>
      </c>
      <c r="X31" t="n">
        <v>31.066156</v>
      </c>
      <c r="Y31" t="n">
        <v>31.588955</v>
      </c>
      <c r="Z31" t="n">
        <v>32.113586</v>
      </c>
      <c r="AA31" t="n">
        <v>32.640377</v>
      </c>
      <c r="AB31" t="n">
        <v>33.169704</v>
      </c>
      <c r="AC31" t="n">
        <v>33.701778</v>
      </c>
      <c r="AD31" t="n">
        <v>34.236904</v>
      </c>
      <c r="AE31" t="inlineStr">
        <is>
          <t>1.9%</t>
        </is>
      </c>
    </row>
    <row r="32">
      <c r="A32" t="inlineStr">
        <is>
          <t>Other</t>
        </is>
      </c>
      <c r="B32" t="inlineStr">
        <is>
          <t>Commercial: Floorspace: Other: Alternative Electricity and Transportation</t>
        </is>
      </c>
      <c r="C32" t="inlineStr">
        <is>
          <t>AEO.2026.ELECTRNP.KEI_FLR_COMM_OTHU_NA_NA_NA_BLNSQFT.A</t>
        </is>
      </c>
      <c r="D32" t="inlineStr">
        <is>
          <t>billion sq ft</t>
        </is>
      </c>
      <c r="E32" t="n">
        <v>6.092497</v>
      </c>
      <c r="F32" t="n">
        <v>6.180977</v>
      </c>
      <c r="G32" t="n">
        <v>6.280053</v>
      </c>
      <c r="H32" t="n">
        <v>6.378653</v>
      </c>
      <c r="I32" t="n">
        <v>6.47719</v>
      </c>
      <c r="J32" t="n">
        <v>6.577188</v>
      </c>
      <c r="K32" t="n">
        <v>6.679545</v>
      </c>
      <c r="L32" t="n">
        <v>6.784476</v>
      </c>
      <c r="M32" t="n">
        <v>6.892387</v>
      </c>
      <c r="N32" t="n">
        <v>7.003395</v>
      </c>
      <c r="O32" t="n">
        <v>7.117546</v>
      </c>
      <c r="P32" t="n">
        <v>7.234796</v>
      </c>
      <c r="Q32" t="n">
        <v>7.354595</v>
      </c>
      <c r="R32" t="n">
        <v>7.473399</v>
      </c>
      <c r="S32" t="n">
        <v>7.591066</v>
      </c>
      <c r="T32" t="n">
        <v>7.707708</v>
      </c>
      <c r="U32" t="n">
        <v>7.821768</v>
      </c>
      <c r="V32" t="n">
        <v>7.933737</v>
      </c>
      <c r="W32" t="n">
        <v>8.044535</v>
      </c>
      <c r="X32" t="n">
        <v>8.154557</v>
      </c>
      <c r="Y32" t="n">
        <v>8.264348</v>
      </c>
      <c r="Z32" t="n">
        <v>8.374131999999999</v>
      </c>
      <c r="AA32" t="n">
        <v>8.484007</v>
      </c>
      <c r="AB32" t="n">
        <v>8.59407</v>
      </c>
      <c r="AC32" t="n">
        <v>8.704383999999999</v>
      </c>
      <c r="AD32" t="n">
        <v>8.815026</v>
      </c>
      <c r="AE32" t="inlineStr">
        <is>
          <t>1.5%</t>
        </is>
      </c>
    </row>
    <row r="33">
      <c r="A33" t="inlineStr">
        <is>
          <t>Total</t>
        </is>
      </c>
      <c r="B33" t="inlineStr">
        <is>
          <t>Commercial: Floorspace: Total: Alternative Electricity and Transportation</t>
        </is>
      </c>
      <c r="C33" t="inlineStr">
        <is>
          <t>AEO.2026.ELECTRNP.KEI_FLR_COMM_NA_NA_NA_NA_BLNSQFT.A</t>
        </is>
      </c>
      <c r="D33" t="inlineStr">
        <is>
          <t>billion sq ft</t>
        </is>
      </c>
      <c r="E33" t="n">
        <v>104.64386</v>
      </c>
      <c r="F33" t="n">
        <v>105.867554</v>
      </c>
      <c r="G33" t="n">
        <v>107.049873</v>
      </c>
      <c r="H33" t="n">
        <v>108.210464</v>
      </c>
      <c r="I33" t="n">
        <v>109.356552</v>
      </c>
      <c r="J33" t="n">
        <v>110.513992</v>
      </c>
      <c r="K33" t="n">
        <v>111.697701</v>
      </c>
      <c r="L33" t="n">
        <v>112.910744</v>
      </c>
      <c r="M33" t="n">
        <v>114.159477</v>
      </c>
      <c r="N33" t="n">
        <v>115.44519</v>
      </c>
      <c r="O33" t="n">
        <v>116.768074</v>
      </c>
      <c r="P33" t="n">
        <v>118.126747</v>
      </c>
      <c r="Q33" t="n">
        <v>119.511673</v>
      </c>
      <c r="R33" t="n">
        <v>120.864799</v>
      </c>
      <c r="S33" t="n">
        <v>122.184166</v>
      </c>
      <c r="T33" t="n">
        <v>123.471962</v>
      </c>
      <c r="U33" t="n">
        <v>124.70359</v>
      </c>
      <c r="V33" t="n">
        <v>125.887611</v>
      </c>
      <c r="W33" t="n">
        <v>127.039177</v>
      </c>
      <c r="X33" t="n">
        <v>128.165298</v>
      </c>
      <c r="Y33" t="n">
        <v>129.275116</v>
      </c>
      <c r="Z33" t="n">
        <v>130.37233</v>
      </c>
      <c r="AA33" t="n">
        <v>131.45845</v>
      </c>
      <c r="AB33" t="n">
        <v>132.535095</v>
      </c>
      <c r="AC33" t="n">
        <v>133.603241</v>
      </c>
      <c r="AD33" t="n">
        <v>134.664108</v>
      </c>
      <c r="AE33" t="inlineStr">
        <is>
          <t>1.0%</t>
        </is>
      </c>
    </row>
    <row r="34">
      <c r="A34" t="inlineStr">
        <is>
          <t>Stock Average Equipment Efficiency</t>
        </is>
      </c>
    </row>
    <row r="35">
      <c r="A35" t="inlineStr">
        <is>
          <t>Space Heating</t>
        </is>
      </c>
    </row>
    <row r="36">
      <c r="A36" t="inlineStr">
        <is>
          <t>Electricity</t>
        </is>
      </c>
      <c r="B36" t="inlineStr">
        <is>
          <t>Commercial: Stock Average Efficiency: Space Heating: Electricity: Alternative Electricity and Transportation</t>
        </is>
      </c>
      <c r="C36" t="inlineStr">
        <is>
          <t>AEO.2026.ELECTRNP.EFF_STKE_COMM_SPH_ELC_NA_NA_BTUOTPBTUIN.A</t>
        </is>
      </c>
      <c r="D36" t="inlineStr">
        <is>
          <t>Btu Out/Btu In</t>
        </is>
      </c>
      <c r="E36" t="n">
        <v>1.611694</v>
      </c>
      <c r="F36" t="n">
        <v>1.590258</v>
      </c>
      <c r="G36" t="n">
        <v>1.569868</v>
      </c>
      <c r="H36" t="n">
        <v>1.550575</v>
      </c>
      <c r="I36" t="n">
        <v>1.535559</v>
      </c>
      <c r="J36" t="n">
        <v>1.516059</v>
      </c>
      <c r="K36" t="n">
        <v>1.498035</v>
      </c>
      <c r="L36" t="n">
        <v>1.481197</v>
      </c>
      <c r="M36" t="n">
        <v>1.465628</v>
      </c>
      <c r="N36" t="n">
        <v>1.451155</v>
      </c>
      <c r="O36" t="n">
        <v>1.437577</v>
      </c>
      <c r="P36" t="n">
        <v>1.424856</v>
      </c>
      <c r="Q36" t="n">
        <v>1.41311</v>
      </c>
      <c r="R36" t="n">
        <v>1.40228</v>
      </c>
      <c r="S36" t="n">
        <v>1.392202</v>
      </c>
      <c r="T36" t="n">
        <v>1.382776</v>
      </c>
      <c r="U36" t="n">
        <v>1.373971</v>
      </c>
      <c r="V36" t="n">
        <v>1.365838</v>
      </c>
      <c r="W36" t="n">
        <v>1.35821</v>
      </c>
      <c r="X36" t="n">
        <v>1.351036</v>
      </c>
      <c r="Y36" t="n">
        <v>1.3443</v>
      </c>
      <c r="Z36" t="n">
        <v>1.338114</v>
      </c>
      <c r="AA36" t="n">
        <v>1.332384</v>
      </c>
      <c r="AB36" t="n">
        <v>1.327096</v>
      </c>
      <c r="AC36" t="n">
        <v>1.322114</v>
      </c>
      <c r="AD36" t="n">
        <v>1.317533</v>
      </c>
      <c r="AE36" t="inlineStr">
        <is>
          <t>-0.8%</t>
        </is>
      </c>
    </row>
    <row r="37">
      <c r="A37" t="inlineStr">
        <is>
          <t>Natural Gas</t>
        </is>
      </c>
      <c r="B37" t="inlineStr">
        <is>
          <t>Commercial: Stock Average Efficiency: Space Heating: Natural Gas: Alternative Electricity and Transportation</t>
        </is>
      </c>
      <c r="C37" t="inlineStr">
        <is>
          <t>AEO.2026.ELECTRNP.EFF_STKE_COMM_SPH_NG_NA_NA_BTUOTPBTUIN.A</t>
        </is>
      </c>
      <c r="D37" t="inlineStr">
        <is>
          <t>Btu Out/Btu In</t>
        </is>
      </c>
      <c r="E37" t="n">
        <v>0.819914</v>
      </c>
      <c r="F37" t="n">
        <v>0.819657</v>
      </c>
      <c r="G37" t="n">
        <v>0.819405</v>
      </c>
      <c r="H37" t="n">
        <v>0.81916</v>
      </c>
      <c r="I37" t="n">
        <v>0.818921</v>
      </c>
      <c r="J37" t="n">
        <v>0.818686</v>
      </c>
      <c r="K37" t="n">
        <v>0.818457</v>
      </c>
      <c r="L37" t="n">
        <v>0.818231</v>
      </c>
      <c r="M37" t="n">
        <v>0.818009</v>
      </c>
      <c r="N37" t="n">
        <v>0.817794</v>
      </c>
      <c r="O37" t="n">
        <v>0.817582</v>
      </c>
      <c r="P37" t="n">
        <v>0.817373</v>
      </c>
      <c r="Q37" t="n">
        <v>0.81717</v>
      </c>
      <c r="R37" t="n">
        <v>0.816972</v>
      </c>
      <c r="S37" t="n">
        <v>0.81678</v>
      </c>
      <c r="T37" t="n">
        <v>0.816592</v>
      </c>
      <c r="U37" t="n">
        <v>0.816412</v>
      </c>
      <c r="V37" t="n">
        <v>0.816237</v>
      </c>
      <c r="W37" t="n">
        <v>0.816067</v>
      </c>
      <c r="X37" t="n">
        <v>0.815901</v>
      </c>
      <c r="Y37" t="n">
        <v>0.81574</v>
      </c>
      <c r="Z37" t="n">
        <v>0.815584</v>
      </c>
      <c r="AA37" t="n">
        <v>0.815431</v>
      </c>
      <c r="AB37" t="n">
        <v>0.815283</v>
      </c>
      <c r="AC37" t="n">
        <v>0.8151389999999999</v>
      </c>
      <c r="AD37" t="n">
        <v>0.814999</v>
      </c>
      <c r="AE37" t="inlineStr">
        <is>
          <t>-0.0%</t>
        </is>
      </c>
    </row>
    <row r="38">
      <c r="A38" t="inlineStr">
        <is>
          <t>Distillate Fuel Oil</t>
        </is>
      </c>
      <c r="B38" t="inlineStr">
        <is>
          <t>Commercial: Stock Average Efficiency: Space Heating: Distillate Fuel Oil: Alternative Electricity and Transportation</t>
        </is>
      </c>
      <c r="C38" t="inlineStr">
        <is>
          <t>AEO.2026.ELECTRNP.EFF_STKE_COMM_SPH_DFO_NA_NA_BTUOTPBTUIN.A</t>
        </is>
      </c>
      <c r="D38" t="inlineStr">
        <is>
          <t>Btu Out/Btu In</t>
        </is>
      </c>
      <c r="E38" t="n">
        <v>0.840882</v>
      </c>
      <c r="F38" t="n">
        <v>0.841029</v>
      </c>
      <c r="G38" t="n">
        <v>0.841151</v>
      </c>
      <c r="H38" t="n">
        <v>0.841234</v>
      </c>
      <c r="I38" t="n">
        <v>0.84128</v>
      </c>
      <c r="J38" t="n">
        <v>0.841293</v>
      </c>
      <c r="K38" t="n">
        <v>0.841284</v>
      </c>
      <c r="L38" t="n">
        <v>0.841257</v>
      </c>
      <c r="M38" t="n">
        <v>0.841217</v>
      </c>
      <c r="N38" t="n">
        <v>0.841152</v>
      </c>
      <c r="O38" t="n">
        <v>0.841076</v>
      </c>
      <c r="P38" t="n">
        <v>0.840986</v>
      </c>
      <c r="Q38" t="n">
        <v>0.840872</v>
      </c>
      <c r="R38" t="n">
        <v>0.84075</v>
      </c>
      <c r="S38" t="n">
        <v>0.840621</v>
      </c>
      <c r="T38" t="n">
        <v>0.840484</v>
      </c>
      <c r="U38" t="n">
        <v>0.840342</v>
      </c>
      <c r="V38" t="n">
        <v>0.840193</v>
      </c>
      <c r="W38" t="n">
        <v>0.840037</v>
      </c>
      <c r="X38" t="n">
        <v>0.839876</v>
      </c>
      <c r="Y38" t="n">
        <v>0.839709</v>
      </c>
      <c r="Z38" t="n">
        <v>0.839541</v>
      </c>
      <c r="AA38" t="n">
        <v>0.839368</v>
      </c>
      <c r="AB38" t="n">
        <v>0.839193</v>
      </c>
      <c r="AC38" t="n">
        <v>0.839016</v>
      </c>
      <c r="AD38" t="n">
        <v>0.8388370000000001</v>
      </c>
      <c r="AE38" t="inlineStr">
        <is>
          <t>-0.0%</t>
        </is>
      </c>
    </row>
    <row r="39">
      <c r="A39" t="inlineStr">
        <is>
          <t>Space Cooling</t>
        </is>
      </c>
    </row>
    <row r="40">
      <c r="A40" t="inlineStr">
        <is>
          <t>Electricity</t>
        </is>
      </c>
      <c r="B40" t="inlineStr">
        <is>
          <t>Commercial: Stock Average Efficiency: Space Cooling: Electricity: Alternative Electricity and Transportation</t>
        </is>
      </c>
      <c r="C40" t="inlineStr">
        <is>
          <t>AEO.2026.ELECTRNP.EFF_STKE_COMM_SPC_ELC_NA_NA_BTUOTPBTUIN.A</t>
        </is>
      </c>
      <c r="D40" t="inlineStr">
        <is>
          <t>Btu Out/Btu In</t>
        </is>
      </c>
      <c r="E40" t="n">
        <v>4.264789</v>
      </c>
      <c r="F40" t="n">
        <v>4.286747</v>
      </c>
      <c r="G40" t="n">
        <v>4.309697</v>
      </c>
      <c r="H40" t="n">
        <v>4.330637</v>
      </c>
      <c r="I40" t="n">
        <v>4.349813</v>
      </c>
      <c r="J40" t="n">
        <v>4.370806</v>
      </c>
      <c r="K40" t="n">
        <v>4.39034</v>
      </c>
      <c r="L40" t="n">
        <v>4.408607</v>
      </c>
      <c r="M40" t="n">
        <v>4.425706</v>
      </c>
      <c r="N40" t="n">
        <v>4.441612</v>
      </c>
      <c r="O40" t="n">
        <v>4.456435</v>
      </c>
      <c r="P40" t="n">
        <v>4.470209</v>
      </c>
      <c r="Q40" t="n">
        <v>4.48298</v>
      </c>
      <c r="R40" t="n">
        <v>4.494631</v>
      </c>
      <c r="S40" t="n">
        <v>4.505296</v>
      </c>
      <c r="T40" t="n">
        <v>4.515045</v>
      </c>
      <c r="U40" t="n">
        <v>4.523755</v>
      </c>
      <c r="V40" t="n">
        <v>4.531708</v>
      </c>
      <c r="W40" t="n">
        <v>4.538916</v>
      </c>
      <c r="X40" t="n">
        <v>4.545435</v>
      </c>
      <c r="Y40" t="n">
        <v>4.551286</v>
      </c>
      <c r="Z40" t="n">
        <v>4.556414</v>
      </c>
      <c r="AA40" t="n">
        <v>4.561014</v>
      </c>
      <c r="AB40" t="n">
        <v>4.565123</v>
      </c>
      <c r="AC40" t="n">
        <v>4.568713</v>
      </c>
      <c r="AD40" t="n">
        <v>4.571851</v>
      </c>
      <c r="AE40" t="inlineStr">
        <is>
          <t>0.3%</t>
        </is>
      </c>
    </row>
    <row r="41">
      <c r="A41" t="inlineStr">
        <is>
          <t>Natural Gas</t>
        </is>
      </c>
      <c r="B41" t="inlineStr">
        <is>
          <t>Commercial: Stock Average Efficiency: Space Cooling: Natural Gas: Alternative Electricity and Transportation</t>
        </is>
      </c>
      <c r="C41" t="inlineStr">
        <is>
          <t>AEO.2026.ELECTRNP.EFF_STKE_COMM_SPC_NG_NA_NA_BTUOTPBTUIN.A</t>
        </is>
      </c>
      <c r="D41" t="inlineStr">
        <is>
          <t>Btu Out/Btu In</t>
        </is>
      </c>
      <c r="E41" t="n">
        <v>1.003094</v>
      </c>
      <c r="F41" t="n">
        <v>1.009228</v>
      </c>
      <c r="G41" t="n">
        <v>1.020618</v>
      </c>
      <c r="H41" t="n">
        <v>1.031649</v>
      </c>
      <c r="I41" t="n">
        <v>1.042409</v>
      </c>
      <c r="J41" t="n">
        <v>1.052965</v>
      </c>
      <c r="K41" t="n">
        <v>1.063298</v>
      </c>
      <c r="L41" t="n">
        <v>1.073342</v>
      </c>
      <c r="M41" t="n">
        <v>1.083173</v>
      </c>
      <c r="N41" t="n">
        <v>1.092644</v>
      </c>
      <c r="O41" t="n">
        <v>1.101766</v>
      </c>
      <c r="P41" t="n">
        <v>1.110535</v>
      </c>
      <c r="Q41" t="n">
        <v>1.118883</v>
      </c>
      <c r="R41" t="n">
        <v>1.126731</v>
      </c>
      <c r="S41" t="n">
        <v>1.134084</v>
      </c>
      <c r="T41" t="n">
        <v>1.14096</v>
      </c>
      <c r="U41" t="n">
        <v>1.147324</v>
      </c>
      <c r="V41" t="n">
        <v>1.153256</v>
      </c>
      <c r="W41" t="n">
        <v>1.158778</v>
      </c>
      <c r="X41" t="n">
        <v>1.163922</v>
      </c>
      <c r="Y41" t="n">
        <v>1.168726</v>
      </c>
      <c r="Z41" t="n">
        <v>1.173212</v>
      </c>
      <c r="AA41" t="n">
        <v>1.177371</v>
      </c>
      <c r="AB41" t="n">
        <v>1.181258</v>
      </c>
      <c r="AC41" t="n">
        <v>1.184832</v>
      </c>
      <c r="AD41" t="n">
        <v>1.188163</v>
      </c>
      <c r="AE41" t="inlineStr">
        <is>
          <t>0.7%</t>
        </is>
      </c>
    </row>
    <row r="42">
      <c r="A42" t="inlineStr">
        <is>
          <t>Water Heating</t>
        </is>
      </c>
    </row>
    <row r="43">
      <c r="A43" t="inlineStr">
        <is>
          <t>Electricity</t>
        </is>
      </c>
      <c r="B43" t="inlineStr">
        <is>
          <t>Commercial: Stock Average Efficiency: Water Heating: Electricity: Alternative Electricity and Transportation</t>
        </is>
      </c>
      <c r="C43" t="inlineStr">
        <is>
          <t>AEO.2026.ELECTRNP.EFF_STKE_COMM_WTHT_ELC_NA_NA_BTUOTPBTUIN.A</t>
        </is>
      </c>
      <c r="D43" t="inlineStr">
        <is>
          <t>Btu Out/Btu In</t>
        </is>
      </c>
      <c r="E43" t="n">
        <v>1.086094</v>
      </c>
      <c r="F43" t="n">
        <v>1.092928</v>
      </c>
      <c r="G43" t="n">
        <v>1.099238</v>
      </c>
      <c r="H43" t="n">
        <v>1.10484</v>
      </c>
      <c r="I43" t="n">
        <v>1.109862</v>
      </c>
      <c r="J43" t="n">
        <v>1.115422</v>
      </c>
      <c r="K43" t="n">
        <v>1.121006</v>
      </c>
      <c r="L43" t="n">
        <v>1.126871</v>
      </c>
      <c r="M43" t="n">
        <v>1.132821</v>
      </c>
      <c r="N43" t="n">
        <v>1.138955</v>
      </c>
      <c r="O43" t="n">
        <v>1.145254</v>
      </c>
      <c r="P43" t="n">
        <v>1.151437</v>
      </c>
      <c r="Q43" t="n">
        <v>1.157699</v>
      </c>
      <c r="R43" t="n">
        <v>1.163946</v>
      </c>
      <c r="S43" t="n">
        <v>1.170008</v>
      </c>
      <c r="T43" t="n">
        <v>1.176111</v>
      </c>
      <c r="U43" t="n">
        <v>1.182083</v>
      </c>
      <c r="V43" t="n">
        <v>1.187925</v>
      </c>
      <c r="W43" t="n">
        <v>1.193576</v>
      </c>
      <c r="X43" t="n">
        <v>1.199147</v>
      </c>
      <c r="Y43" t="n">
        <v>1.204686</v>
      </c>
      <c r="Z43" t="n">
        <v>1.210057</v>
      </c>
      <c r="AA43" t="n">
        <v>1.215478</v>
      </c>
      <c r="AB43" t="n">
        <v>1.220788</v>
      </c>
      <c r="AC43" t="n">
        <v>1.226087</v>
      </c>
      <c r="AD43" t="n">
        <v>1.231252</v>
      </c>
      <c r="AE43" t="inlineStr">
        <is>
          <t>0.5%</t>
        </is>
      </c>
    </row>
    <row r="44">
      <c r="A44" t="inlineStr">
        <is>
          <t>Natural Gas</t>
        </is>
      </c>
      <c r="B44" t="inlineStr">
        <is>
          <t>Commercial: Stock Average Efficiency: Water Heating: Natural Gas: Alternative Electricity and Transportation</t>
        </is>
      </c>
      <c r="C44" t="inlineStr">
        <is>
          <t>AEO.2026.ELECTRNP.EFF_STKE_COMM_WTHT_NG_NA_NA_BTUOTPBTUIN.A</t>
        </is>
      </c>
      <c r="D44" t="inlineStr">
        <is>
          <t>Btu Out/Btu In</t>
        </is>
      </c>
      <c r="E44" t="n">
        <v>0.873051</v>
      </c>
      <c r="F44" t="n">
        <v>0.877649</v>
      </c>
      <c r="G44" t="n">
        <v>0.886533</v>
      </c>
      <c r="H44" t="n">
        <v>0.894438</v>
      </c>
      <c r="I44" t="n">
        <v>0.901483</v>
      </c>
      <c r="J44" t="n">
        <v>0.907776</v>
      </c>
      <c r="K44" t="n">
        <v>0.9133829999999999</v>
      </c>
      <c r="L44" t="n">
        <v>0.918373</v>
      </c>
      <c r="M44" t="n">
        <v>0.922814</v>
      </c>
      <c r="N44" t="n">
        <v>0.926753</v>
      </c>
      <c r="O44" t="n">
        <v>0.930276</v>
      </c>
      <c r="P44" t="n">
        <v>0.933391</v>
      </c>
      <c r="Q44" t="n">
        <v>0.936153</v>
      </c>
      <c r="R44" t="n">
        <v>0.938612</v>
      </c>
      <c r="S44" t="n">
        <v>0.940762</v>
      </c>
      <c r="T44" t="n">
        <v>0.942645</v>
      </c>
      <c r="U44" t="n">
        <v>0.94429</v>
      </c>
      <c r="V44" t="n">
        <v>0.9457410000000001</v>
      </c>
      <c r="W44" t="n">
        <v>0.947</v>
      </c>
      <c r="X44" t="n">
        <v>0.948103</v>
      </c>
      <c r="Y44" t="n">
        <v>0.949081</v>
      </c>
      <c r="Z44" t="n">
        <v>0.949939</v>
      </c>
      <c r="AA44" t="n">
        <v>0.950692</v>
      </c>
      <c r="AB44" t="n">
        <v>0.951352</v>
      </c>
      <c r="AC44" t="n">
        <v>0.9519300000000001</v>
      </c>
      <c r="AD44" t="n">
        <v>0.952437</v>
      </c>
      <c r="AE44" t="inlineStr">
        <is>
          <t>0.3%</t>
        </is>
      </c>
    </row>
    <row r="45">
      <c r="A45" t="inlineStr">
        <is>
          <t>Distillate Fuel Oil</t>
        </is>
      </c>
      <c r="B45" t="inlineStr">
        <is>
          <t>Commercial: Stock Average Efficiency: Water Heating: Distillate Fuel Oil: Alternative Electricity and Transportation</t>
        </is>
      </c>
      <c r="C45" t="inlineStr">
        <is>
          <t>AEO.2026.ELECTRNP.EFF_STKE_COMM_WTHT_DFO_NA_NA_BTUOTPBTUIN.A</t>
        </is>
      </c>
      <c r="D45" t="inlineStr">
        <is>
          <t>Btu Out/Btu In</t>
        </is>
      </c>
      <c r="E45" t="n">
        <v>0.812511</v>
      </c>
      <c r="F45" t="n">
        <v>0.813056</v>
      </c>
      <c r="G45" t="n">
        <v>0.813565</v>
      </c>
      <c r="H45" t="n">
        <v>0.814042</v>
      </c>
      <c r="I45" t="n">
        <v>0.814487</v>
      </c>
      <c r="J45" t="n">
        <v>0.814903</v>
      </c>
      <c r="K45" t="n">
        <v>0.815291</v>
      </c>
      <c r="L45" t="n">
        <v>0.815653</v>
      </c>
      <c r="M45" t="n">
        <v>0.815991</v>
      </c>
      <c r="N45" t="n">
        <v>0.816306</v>
      </c>
      <c r="O45" t="n">
        <v>0.816598</v>
      </c>
      <c r="P45" t="n">
        <v>0.816869</v>
      </c>
      <c r="Q45" t="n">
        <v>0.81712</v>
      </c>
      <c r="R45" t="n">
        <v>0.817351</v>
      </c>
      <c r="S45" t="n">
        <v>0.817565</v>
      </c>
      <c r="T45" t="n">
        <v>0.817761</v>
      </c>
      <c r="U45" t="n">
        <v>0.817941</v>
      </c>
      <c r="V45" t="n">
        <v>0.818107</v>
      </c>
      <c r="W45" t="n">
        <v>0.81826</v>
      </c>
      <c r="X45" t="n">
        <v>0.8184</v>
      </c>
      <c r="Y45" t="n">
        <v>0.818529</v>
      </c>
      <c r="Z45" t="n">
        <v>0.818648</v>
      </c>
      <c r="AA45" t="n">
        <v>0.818757</v>
      </c>
      <c r="AB45" t="n">
        <v>0.818858</v>
      </c>
      <c r="AC45" t="n">
        <v>0.81895</v>
      </c>
      <c r="AD45" t="n">
        <v>0.819035</v>
      </c>
      <c r="AE45" t="inlineStr">
        <is>
          <t>0.0%</t>
        </is>
      </c>
    </row>
    <row r="46">
      <c r="A46" t="inlineStr">
        <is>
          <t>Ventilation (cubic feet per minute per Btu)</t>
        </is>
      </c>
    </row>
    <row r="47">
      <c r="A47" t="inlineStr">
        <is>
          <t>Electricity</t>
        </is>
      </c>
      <c r="B47" t="inlineStr">
        <is>
          <t>Commercial: Stock Average Efficiency: Ventilation: Electricity: Alternative Electricity and Transportation</t>
        </is>
      </c>
      <c r="C47" t="inlineStr">
        <is>
          <t>AEO.2026.ELECTRNP.EFF_STKE_COMM_VNTC_ELC_NA_NA_CUFTPMINPBTU.A</t>
        </is>
      </c>
      <c r="D47" t="inlineStr">
        <is>
          <t>cu ft/minute/Btu</t>
        </is>
      </c>
      <c r="E47" t="n">
        <v>0.371683</v>
      </c>
      <c r="F47" t="n">
        <v>0.373105</v>
      </c>
      <c r="G47" t="n">
        <v>0.374489</v>
      </c>
      <c r="H47" t="n">
        <v>0.37582</v>
      </c>
      <c r="I47" t="n">
        <v>0.377101</v>
      </c>
      <c r="J47" t="n">
        <v>0.37959</v>
      </c>
      <c r="K47" t="n">
        <v>0.381986</v>
      </c>
      <c r="L47" t="n">
        <v>0.384284</v>
      </c>
      <c r="M47" t="n">
        <v>0.386488</v>
      </c>
      <c r="N47" t="n">
        <v>0.388601</v>
      </c>
      <c r="O47" t="n">
        <v>0.390627</v>
      </c>
      <c r="P47" t="n">
        <v>0.392567</v>
      </c>
      <c r="Q47" t="n">
        <v>0.394424</v>
      </c>
      <c r="R47" t="n">
        <v>0.396187</v>
      </c>
      <c r="S47" t="n">
        <v>0.397868</v>
      </c>
      <c r="T47" t="n">
        <v>0.399468</v>
      </c>
      <c r="U47" t="n">
        <v>0.400987</v>
      </c>
      <c r="V47" t="n">
        <v>0.402428</v>
      </c>
      <c r="W47" t="n">
        <v>0.403795</v>
      </c>
      <c r="X47" t="n">
        <v>0.405098</v>
      </c>
      <c r="Y47" t="n">
        <v>0.406342</v>
      </c>
      <c r="Z47" t="n">
        <v>0.407529</v>
      </c>
      <c r="AA47" t="n">
        <v>0.408663</v>
      </c>
      <c r="AB47" t="n">
        <v>0.409747</v>
      </c>
      <c r="AC47" t="n">
        <v>0.410784</v>
      </c>
      <c r="AD47" t="n">
        <v>0.411778</v>
      </c>
      <c r="AE47" t="inlineStr">
        <is>
          <t>0.4%</t>
        </is>
      </c>
    </row>
    <row r="48">
      <c r="A48" t="inlineStr">
        <is>
          <t>Cooking</t>
        </is>
      </c>
    </row>
    <row r="49">
      <c r="A49" t="inlineStr">
        <is>
          <t>Electricity</t>
        </is>
      </c>
      <c r="B49" t="inlineStr">
        <is>
          <t>Commercial: Stock Average Efficiency: Cooking: Electricity: Alternative Electricity and Transportation</t>
        </is>
      </c>
      <c r="C49" t="inlineStr">
        <is>
          <t>AEO.2026.ELECTRNP.EFF_STKE_COMM_CGR_ELC_NA_NA_BTUOTPBTUIN.A</t>
        </is>
      </c>
      <c r="D49" t="inlineStr">
        <is>
          <t>Btu Out/Btu In</t>
        </is>
      </c>
      <c r="E49" t="n">
        <v>0.708622</v>
      </c>
      <c r="F49" t="n">
        <v>0.709097</v>
      </c>
      <c r="G49" t="n">
        <v>0.70953</v>
      </c>
      <c r="H49" t="n">
        <v>0.709921</v>
      </c>
      <c r="I49" t="n">
        <v>0.710276</v>
      </c>
      <c r="J49" t="n">
        <v>0.710597</v>
      </c>
      <c r="K49" t="n">
        <v>0.710889</v>
      </c>
      <c r="L49" t="n">
        <v>0.711155</v>
      </c>
      <c r="M49" t="n">
        <v>0.7113969999999999</v>
      </c>
      <c r="N49" t="n">
        <v>0.711616</v>
      </c>
      <c r="O49" t="n">
        <v>0.711815</v>
      </c>
      <c r="P49" t="n">
        <v>0.711996</v>
      </c>
      <c r="Q49" t="n">
        <v>0.71216</v>
      </c>
      <c r="R49" t="n">
        <v>0.7123080000000001</v>
      </c>
      <c r="S49" t="n">
        <v>0.712442</v>
      </c>
      <c r="T49" t="n">
        <v>0.7125629999999999</v>
      </c>
      <c r="U49" t="n">
        <v>0.712673</v>
      </c>
      <c r="V49" t="n">
        <v>0.712772</v>
      </c>
      <c r="W49" t="n">
        <v>0.712862</v>
      </c>
      <c r="X49" t="n">
        <v>0.712943</v>
      </c>
      <c r="Y49" t="n">
        <v>0.713016</v>
      </c>
      <c r="Z49" t="n">
        <v>0.7130840000000001</v>
      </c>
      <c r="AA49" t="n">
        <v>0.713144</v>
      </c>
      <c r="AB49" t="n">
        <v>0.713199</v>
      </c>
      <c r="AC49" t="n">
        <v>0.713249</v>
      </c>
      <c r="AD49" t="n">
        <v>0.713295</v>
      </c>
      <c r="AE49" t="inlineStr">
        <is>
          <t>0.0%</t>
        </is>
      </c>
    </row>
    <row r="50">
      <c r="A50" t="inlineStr">
        <is>
          <t>Natural Gas</t>
        </is>
      </c>
      <c r="B50" t="inlineStr">
        <is>
          <t>Commercial: Stock Average Efficiency: Cooking: Natural Gas: Alternative Electricity and Transportation</t>
        </is>
      </c>
      <c r="C50" t="inlineStr">
        <is>
          <t>AEO.2026.ELECTRNP.EFF_STKE_COMM_CGR_NG_NA_NA_BTUOTPBTUIN.A</t>
        </is>
      </c>
      <c r="D50" t="inlineStr">
        <is>
          <t>Btu Out/Btu In</t>
        </is>
      </c>
      <c r="E50" t="n">
        <v>0.325487</v>
      </c>
      <c r="F50" t="n">
        <v>0.328083</v>
      </c>
      <c r="G50" t="n">
        <v>0.330443</v>
      </c>
      <c r="H50" t="n">
        <v>0.332563</v>
      </c>
      <c r="I50" t="n">
        <v>0.334468</v>
      </c>
      <c r="J50" t="n">
        <v>0.336181</v>
      </c>
      <c r="K50" t="n">
        <v>0.337722</v>
      </c>
      <c r="L50" t="n">
        <v>0.339107</v>
      </c>
      <c r="M50" t="n">
        <v>0.340352</v>
      </c>
      <c r="N50" t="n">
        <v>0.341469</v>
      </c>
      <c r="O50" t="n">
        <v>0.342471</v>
      </c>
      <c r="P50" t="n">
        <v>0.34337</v>
      </c>
      <c r="Q50" t="n">
        <v>0.344173</v>
      </c>
      <c r="R50" t="n">
        <v>0.34489</v>
      </c>
      <c r="S50" t="n">
        <v>0.345527</v>
      </c>
      <c r="T50" t="n">
        <v>0.346096</v>
      </c>
      <c r="U50" t="n">
        <v>0.346601</v>
      </c>
      <c r="V50" t="n">
        <v>0.347051</v>
      </c>
      <c r="W50" t="n">
        <v>0.347453</v>
      </c>
      <c r="X50" t="n">
        <v>0.347812</v>
      </c>
      <c r="Y50" t="n">
        <v>0.348132</v>
      </c>
      <c r="Z50" t="n">
        <v>0.348418</v>
      </c>
      <c r="AA50" t="n">
        <v>0.348674</v>
      </c>
      <c r="AB50" t="n">
        <v>0.348903</v>
      </c>
      <c r="AC50" t="n">
        <v>0.349108</v>
      </c>
      <c r="AD50" t="n">
        <v>0.349291</v>
      </c>
      <c r="AE50" t="inlineStr">
        <is>
          <t>0.3%</t>
        </is>
      </c>
    </row>
    <row r="51">
      <c r="A51" t="inlineStr">
        <is>
          <t>Lighting Efficacy</t>
        </is>
      </c>
    </row>
    <row r="52">
      <c r="A52" t="inlineStr">
        <is>
          <t>(efficacy in lumens per watt)</t>
        </is>
      </c>
    </row>
    <row r="53">
      <c r="A53" t="inlineStr">
        <is>
          <t>Electricity</t>
        </is>
      </c>
      <c r="B53" t="inlineStr">
        <is>
          <t>Commercial: Stock Average Efficiency: Lighting Efficacy: Electricity: Alternative Electricity and Transportation</t>
        </is>
      </c>
      <c r="C53" t="inlineStr">
        <is>
          <t>AEO.2026.ELECTRNP.EFF_STKE_COMM_LGHTNG_ELC_NA_NA_LMNPWATT.A</t>
        </is>
      </c>
      <c r="D53" t="inlineStr">
        <is>
          <t>lumens/watt</t>
        </is>
      </c>
      <c r="E53" t="n">
        <v>78.271637</v>
      </c>
      <c r="F53" t="n">
        <v>80.704407</v>
      </c>
      <c r="G53" t="n">
        <v>82.682709</v>
      </c>
      <c r="H53" t="n">
        <v>84.229759</v>
      </c>
      <c r="I53" t="n">
        <v>85.484016</v>
      </c>
      <c r="J53" t="n">
        <v>88.223969</v>
      </c>
      <c r="K53" t="n">
        <v>90.848564</v>
      </c>
      <c r="L53" t="n">
        <v>93.352585</v>
      </c>
      <c r="M53" t="n">
        <v>95.80802199999999</v>
      </c>
      <c r="N53" t="n">
        <v>98.273033</v>
      </c>
      <c r="O53" t="n">
        <v>100.804047</v>
      </c>
      <c r="P53" t="n">
        <v>103.213158</v>
      </c>
      <c r="Q53" t="n">
        <v>105.421066</v>
      </c>
      <c r="R53" t="n">
        <v>107.432793</v>
      </c>
      <c r="S53" t="n">
        <v>109.255386</v>
      </c>
      <c r="T53" t="n">
        <v>111.59787</v>
      </c>
      <c r="U53" t="n">
        <v>113.729668</v>
      </c>
      <c r="V53" t="n">
        <v>115.624367</v>
      </c>
      <c r="W53" t="n">
        <v>117.335304</v>
      </c>
      <c r="X53" t="n">
        <v>118.884911</v>
      </c>
      <c r="Y53" t="n">
        <v>120.289078</v>
      </c>
      <c r="Z53" t="n">
        <v>121.557724</v>
      </c>
      <c r="AA53" t="n">
        <v>122.71225</v>
      </c>
      <c r="AB53" t="n">
        <v>123.779655</v>
      </c>
      <c r="AC53" t="n">
        <v>124.767273</v>
      </c>
      <c r="AD53" t="n">
        <v>125.680855</v>
      </c>
      <c r="AE53" t="inlineStr">
        <is>
          <t>1.9%</t>
        </is>
      </c>
    </row>
    <row r="54">
      <c r="A54" t="inlineStr">
        <is>
          <t>Refrigeration</t>
        </is>
      </c>
    </row>
    <row r="55">
      <c r="A55" t="inlineStr">
        <is>
          <t>Electricity</t>
        </is>
      </c>
      <c r="B55" t="inlineStr">
        <is>
          <t>Commercial: Stock Average Efficiency: Refrigeration: Electricity: Alternative Electricity and Transportation</t>
        </is>
      </c>
      <c r="C55" t="inlineStr">
        <is>
          <t>AEO.2026.ELECTRNP.EFF_STKE_COMM_REFR_ELC_NA_NA_BTUOTPBTUIN.A</t>
        </is>
      </c>
      <c r="D55" t="inlineStr">
        <is>
          <t>Btu Out/Btu In</t>
        </is>
      </c>
      <c r="E55" t="n">
        <v>3.683748</v>
      </c>
      <c r="F55" t="n">
        <v>3.715057</v>
      </c>
      <c r="G55" t="n">
        <v>3.74272</v>
      </c>
      <c r="H55" t="n">
        <v>3.767349</v>
      </c>
      <c r="I55" t="n">
        <v>3.789261</v>
      </c>
      <c r="J55" t="n">
        <v>3.819705</v>
      </c>
      <c r="K55" t="n">
        <v>3.846836</v>
      </c>
      <c r="L55" t="n">
        <v>3.871123</v>
      </c>
      <c r="M55" t="n">
        <v>3.892854</v>
      </c>
      <c r="N55" t="n">
        <v>3.912271</v>
      </c>
      <c r="O55" t="n">
        <v>3.929634</v>
      </c>
      <c r="P55" t="n">
        <v>3.945141</v>
      </c>
      <c r="Q55" t="n">
        <v>3.959022</v>
      </c>
      <c r="R55" t="n">
        <v>3.971389</v>
      </c>
      <c r="S55" t="n">
        <v>3.98243</v>
      </c>
      <c r="T55" t="n">
        <v>3.992306</v>
      </c>
      <c r="U55" t="n">
        <v>4.001005</v>
      </c>
      <c r="V55" t="n">
        <v>4.008852</v>
      </c>
      <c r="W55" t="n">
        <v>4.015894</v>
      </c>
      <c r="X55" t="n">
        <v>4.022262</v>
      </c>
      <c r="Y55" t="n">
        <v>4.028012</v>
      </c>
      <c r="Z55" t="n">
        <v>4.033221</v>
      </c>
      <c r="AA55" t="n">
        <v>4.037989</v>
      </c>
      <c r="AB55" t="n">
        <v>4.042328</v>
      </c>
      <c r="AC55" t="n">
        <v>4.046301</v>
      </c>
      <c r="AD55" t="n">
        <v>4.049973</v>
      </c>
      <c r="AE55" t="inlineStr">
        <is>
          <t>0.4%</t>
        </is>
      </c>
    </row>
    <row r="56">
      <c r="A56" t="inlineStr">
        <is>
          <t>Distributed Generation and</t>
        </is>
      </c>
    </row>
    <row r="57">
      <c r="A57" t="inlineStr">
        <is>
          <t>Combined Heat and Power</t>
        </is>
      </c>
    </row>
    <row r="58">
      <c r="A58" t="inlineStr">
        <is>
          <t>Generating Capacity (gigawatts)</t>
        </is>
      </c>
    </row>
    <row r="59">
      <c r="A59" t="inlineStr">
        <is>
          <t>Petroleum</t>
        </is>
      </c>
      <c r="B59" t="inlineStr">
        <is>
          <t>Commercial: Combined Heat and Power: Generating Capacity: Petroleum: Alternative Electricity and Transportation</t>
        </is>
      </c>
      <c r="C59" t="inlineStr">
        <is>
          <t>AEO.2026.ELECTRNP.CAP_NA_COMM_CHP_PET_NA_NA_MW.A</t>
        </is>
      </c>
      <c r="D59" t="inlineStr">
        <is>
          <t>GW</t>
        </is>
      </c>
      <c r="E59" t="n">
        <v>0.014146</v>
      </c>
      <c r="F59" t="n">
        <v>0.014146</v>
      </c>
      <c r="G59" t="n">
        <v>0.014146</v>
      </c>
      <c r="H59" t="n">
        <v>0.014146</v>
      </c>
      <c r="I59" t="n">
        <v>0.014146</v>
      </c>
      <c r="J59" t="n">
        <v>0.014146</v>
      </c>
      <c r="K59" t="n">
        <v>0.014146</v>
      </c>
      <c r="L59" t="n">
        <v>0.014146</v>
      </c>
      <c r="M59" t="n">
        <v>0.014146</v>
      </c>
      <c r="N59" t="n">
        <v>0.014146</v>
      </c>
      <c r="O59" t="n">
        <v>0.014146</v>
      </c>
      <c r="P59" t="n">
        <v>0.014146</v>
      </c>
      <c r="Q59" t="n">
        <v>0.014146</v>
      </c>
      <c r="R59" t="n">
        <v>0.014146</v>
      </c>
      <c r="S59" t="n">
        <v>0.014146</v>
      </c>
      <c r="T59" t="n">
        <v>0.014146</v>
      </c>
      <c r="U59" t="n">
        <v>0.014146</v>
      </c>
      <c r="V59" t="n">
        <v>0.014146</v>
      </c>
      <c r="W59" t="n">
        <v>0.014146</v>
      </c>
      <c r="X59" t="n">
        <v>0.014146</v>
      </c>
      <c r="Y59" t="n">
        <v>0.014146</v>
      </c>
      <c r="Z59" t="n">
        <v>0.014146</v>
      </c>
      <c r="AA59" t="n">
        <v>0.014146</v>
      </c>
      <c r="AB59" t="n">
        <v>0.014146</v>
      </c>
      <c r="AC59" t="n">
        <v>0.014146</v>
      </c>
      <c r="AD59" t="n">
        <v>0.014146</v>
      </c>
      <c r="AE59" t="inlineStr">
        <is>
          <t>0.0%</t>
        </is>
      </c>
    </row>
    <row r="60">
      <c r="A60" t="inlineStr">
        <is>
          <t>Natural Gas</t>
        </is>
      </c>
      <c r="B60" t="inlineStr">
        <is>
          <t>Commercial: Combined Heat and Power: Generating Capacity: Natural Gas: Alternative Electricity and Transportation</t>
        </is>
      </c>
      <c r="C60" t="inlineStr">
        <is>
          <t>AEO.2026.ELECTRNP.CAP_NA_COMM_CHP_NG_NA_NA_MW.A</t>
        </is>
      </c>
      <c r="D60" t="inlineStr">
        <is>
          <t>GW</t>
        </is>
      </c>
      <c r="E60" t="n">
        <v>1.508008</v>
      </c>
      <c r="F60" t="n">
        <v>1.540969</v>
      </c>
      <c r="G60" t="n">
        <v>1.559125</v>
      </c>
      <c r="H60" t="n">
        <v>1.576869</v>
      </c>
      <c r="I60" t="n">
        <v>1.595395</v>
      </c>
      <c r="J60" t="n">
        <v>1.615291</v>
      </c>
      <c r="K60" t="n">
        <v>1.634761</v>
      </c>
      <c r="L60" t="n">
        <v>1.655344</v>
      </c>
      <c r="M60" t="n">
        <v>1.676552</v>
      </c>
      <c r="N60" t="n">
        <v>1.700095</v>
      </c>
      <c r="O60" t="n">
        <v>1.722014</v>
      </c>
      <c r="P60" t="n">
        <v>1.744812</v>
      </c>
      <c r="Q60" t="n">
        <v>1.769997</v>
      </c>
      <c r="R60" t="n">
        <v>1.793459</v>
      </c>
      <c r="S60" t="n">
        <v>1.816316</v>
      </c>
      <c r="T60" t="n">
        <v>1.838228</v>
      </c>
      <c r="U60" t="n">
        <v>1.858499</v>
      </c>
      <c r="V60" t="n">
        <v>1.881085</v>
      </c>
      <c r="W60" t="n">
        <v>1.901162</v>
      </c>
      <c r="X60" t="n">
        <v>1.921178</v>
      </c>
      <c r="Y60" t="n">
        <v>1.940084</v>
      </c>
      <c r="Z60" t="n">
        <v>1.959433</v>
      </c>
      <c r="AA60" t="n">
        <v>1.979941</v>
      </c>
      <c r="AB60" t="n">
        <v>2.000097</v>
      </c>
      <c r="AC60" t="n">
        <v>2.019018</v>
      </c>
      <c r="AD60" t="n">
        <v>2.03906</v>
      </c>
      <c r="AE60" t="inlineStr">
        <is>
          <t>1.2%</t>
        </is>
      </c>
    </row>
    <row r="61">
      <c r="A61" t="inlineStr">
        <is>
          <t>Solar Photovoltaic</t>
        </is>
      </c>
      <c r="B61" t="inlineStr">
        <is>
          <t>Commercial: Combined Heat and Power: Generating Capacity: Solar Photovoltaic: Alternative Electricity and Transportation</t>
        </is>
      </c>
      <c r="C61" t="inlineStr">
        <is>
          <t>AEO.2026.ELECTRNP.CAP_NA_COMM_CHP_SLR_PHTVL_NA_MW.A</t>
        </is>
      </c>
      <c r="D61" t="inlineStr">
        <is>
          <t>GW</t>
        </is>
      </c>
      <c r="E61" t="n">
        <v>33.559605</v>
      </c>
      <c r="F61" t="n">
        <v>37.79493</v>
      </c>
      <c r="G61" t="n">
        <v>41.405586</v>
      </c>
      <c r="H61" t="n">
        <v>43.145611</v>
      </c>
      <c r="I61" t="n">
        <v>44.266197</v>
      </c>
      <c r="J61" t="n">
        <v>45.534084</v>
      </c>
      <c r="K61" t="n">
        <v>46.463577</v>
      </c>
      <c r="L61" t="n">
        <v>47.210957</v>
      </c>
      <c r="M61" t="n">
        <v>48.04874</v>
      </c>
      <c r="N61" t="n">
        <v>49.354031</v>
      </c>
      <c r="O61" t="n">
        <v>50.425938</v>
      </c>
      <c r="P61" t="n">
        <v>51.324493</v>
      </c>
      <c r="Q61" t="n">
        <v>52.92757</v>
      </c>
      <c r="R61" t="n">
        <v>54.478226</v>
      </c>
      <c r="S61" t="n">
        <v>56.396023</v>
      </c>
      <c r="T61" t="n">
        <v>58.020966</v>
      </c>
      <c r="U61" t="n">
        <v>58.883472</v>
      </c>
      <c r="V61" t="n">
        <v>60.235283</v>
      </c>
      <c r="W61" t="n">
        <v>60.950233</v>
      </c>
      <c r="X61" t="n">
        <v>61.766342</v>
      </c>
      <c r="Y61" t="n">
        <v>62.420555</v>
      </c>
      <c r="Z61" t="n">
        <v>63.444836</v>
      </c>
      <c r="AA61" t="n">
        <v>64.722855</v>
      </c>
      <c r="AB61" t="n">
        <v>66.026054</v>
      </c>
      <c r="AC61" t="n">
        <v>66.97982</v>
      </c>
      <c r="AD61" t="n">
        <v>68.250771</v>
      </c>
      <c r="AE61" t="inlineStr">
        <is>
          <t>2.9%</t>
        </is>
      </c>
    </row>
    <row r="62">
      <c r="A62" t="inlineStr">
        <is>
          <t>Wind</t>
        </is>
      </c>
      <c r="B62" t="inlineStr">
        <is>
          <t>Commercial: Combined Heat and Power: Generating Capacity: Wind: Alternative Electricity and Transportation</t>
        </is>
      </c>
      <c r="C62" t="inlineStr">
        <is>
          <t>AEO.2026.ELECTRNP.CAP_NA_COMM_CHP_WND_NA_NA_MW.A</t>
        </is>
      </c>
      <c r="D62" t="inlineStr">
        <is>
          <t>GW</t>
        </is>
      </c>
      <c r="E62" t="n">
        <v>0.584673</v>
      </c>
      <c r="F62" t="n">
        <v>0.585344</v>
      </c>
      <c r="G62" t="n">
        <v>0.586685</v>
      </c>
      <c r="H62" t="n">
        <v>0.586896</v>
      </c>
      <c r="I62" t="n">
        <v>0.587529</v>
      </c>
      <c r="J62" t="n">
        <v>0.588688</v>
      </c>
      <c r="K62" t="n">
        <v>0.589228</v>
      </c>
      <c r="L62" t="n">
        <v>0.590128</v>
      </c>
      <c r="M62" t="n">
        <v>0.591155</v>
      </c>
      <c r="N62" t="n">
        <v>0.591767</v>
      </c>
      <c r="O62" t="n">
        <v>0.592127</v>
      </c>
      <c r="P62" t="n">
        <v>0.592313</v>
      </c>
      <c r="Q62" t="n">
        <v>0.59265</v>
      </c>
      <c r="R62" t="n">
        <v>0.5929720000000001</v>
      </c>
      <c r="S62" t="n">
        <v>0.593428</v>
      </c>
      <c r="T62" t="n">
        <v>0.5939489999999999</v>
      </c>
      <c r="U62" t="n">
        <v>0.594144</v>
      </c>
      <c r="V62" t="n">
        <v>0.594973</v>
      </c>
      <c r="W62" t="n">
        <v>0.595301</v>
      </c>
      <c r="X62" t="n">
        <v>0.595584</v>
      </c>
      <c r="Y62" t="n">
        <v>0.595734</v>
      </c>
      <c r="Z62" t="n">
        <v>0.595962</v>
      </c>
      <c r="AA62" t="n">
        <v>0.596557</v>
      </c>
      <c r="AB62" t="n">
        <v>0.596936</v>
      </c>
      <c r="AC62" t="n">
        <v>0.597101</v>
      </c>
      <c r="AD62" t="n">
        <v>0.597296</v>
      </c>
      <c r="AE62" t="inlineStr">
        <is>
          <t>0.1%</t>
        </is>
      </c>
    </row>
    <row r="63">
      <c r="A63" t="inlineStr">
        <is>
          <t>Other</t>
        </is>
      </c>
      <c r="B63" t="inlineStr">
        <is>
          <t>Commercial: Combined Heat and Power: Generating Capacity: Other: Alternative Electricity and Transportation</t>
        </is>
      </c>
      <c r="C63" t="inlineStr">
        <is>
          <t>AEO.2026.ELECTRNP.CAP_NA_COMM_CHP_OTH_NA_NA_MW.A</t>
        </is>
      </c>
      <c r="D63" t="inlineStr">
        <is>
          <t>GW</t>
        </is>
      </c>
      <c r="E63" t="n">
        <v>0.094134</v>
      </c>
      <c r="F63" t="n">
        <v>0.094134</v>
      </c>
      <c r="G63" t="n">
        <v>0.094134</v>
      </c>
      <c r="H63" t="n">
        <v>0.094134</v>
      </c>
      <c r="I63" t="n">
        <v>0.094134</v>
      </c>
      <c r="J63" t="n">
        <v>0.094134</v>
      </c>
      <c r="K63" t="n">
        <v>0.094134</v>
      </c>
      <c r="L63" t="n">
        <v>0.094134</v>
      </c>
      <c r="M63" t="n">
        <v>0.094134</v>
      </c>
      <c r="N63" t="n">
        <v>0.094134</v>
      </c>
      <c r="O63" t="n">
        <v>0.094134</v>
      </c>
      <c r="P63" t="n">
        <v>0.094134</v>
      </c>
      <c r="Q63" t="n">
        <v>0.094134</v>
      </c>
      <c r="R63" t="n">
        <v>0.094134</v>
      </c>
      <c r="S63" t="n">
        <v>0.094134</v>
      </c>
      <c r="T63" t="n">
        <v>0.094134</v>
      </c>
      <c r="U63" t="n">
        <v>0.094134</v>
      </c>
      <c r="V63" t="n">
        <v>0.094134</v>
      </c>
      <c r="W63" t="n">
        <v>0.094134</v>
      </c>
      <c r="X63" t="n">
        <v>0.094134</v>
      </c>
      <c r="Y63" t="n">
        <v>0.094134</v>
      </c>
      <c r="Z63" t="n">
        <v>0.094134</v>
      </c>
      <c r="AA63" t="n">
        <v>0.094134</v>
      </c>
      <c r="AB63" t="n">
        <v>0.094134</v>
      </c>
      <c r="AC63" t="n">
        <v>0.094134</v>
      </c>
      <c r="AD63" t="n">
        <v>0.094134</v>
      </c>
      <c r="AE63" t="inlineStr">
        <is>
          <t>0.0%</t>
        </is>
      </c>
    </row>
    <row r="64">
      <c r="A64" t="inlineStr">
        <is>
          <t>Total</t>
        </is>
      </c>
      <c r="B64" t="inlineStr">
        <is>
          <t>Commercial: Combined Heat and Power: Generating Capacity: Total: Alternative Electricity and Transportation</t>
        </is>
      </c>
      <c r="C64" t="inlineStr">
        <is>
          <t>AEO.2026.ELECTRNP.CAP_NA_COMM_CHP_TOT_NA_NA_MW.A</t>
        </is>
      </c>
      <c r="D64" t="inlineStr">
        <is>
          <t>GW</t>
        </is>
      </c>
      <c r="E64" t="n">
        <v>35.760567</v>
      </c>
      <c r="F64" t="n">
        <v>40.029526</v>
      </c>
      <c r="G64" t="n">
        <v>43.659676</v>
      </c>
      <c r="H64" t="n">
        <v>45.417656</v>
      </c>
      <c r="I64" t="n">
        <v>46.5574</v>
      </c>
      <c r="J64" t="n">
        <v>47.846344</v>
      </c>
      <c r="K64" t="n">
        <v>48.795849</v>
      </c>
      <c r="L64" t="n">
        <v>49.564713</v>
      </c>
      <c r="M64" t="n">
        <v>50.424728</v>
      </c>
      <c r="N64" t="n">
        <v>51.754173</v>
      </c>
      <c r="O64" t="n">
        <v>52.848362</v>
      </c>
      <c r="P64" t="n">
        <v>53.769897</v>
      </c>
      <c r="Q64" t="n">
        <v>55.398499</v>
      </c>
      <c r="R64" t="n">
        <v>56.972939</v>
      </c>
      <c r="S64" t="n">
        <v>58.914051</v>
      </c>
      <c r="T64" t="n">
        <v>60.561424</v>
      </c>
      <c r="U64" t="n">
        <v>61.444397</v>
      </c>
      <c r="V64" t="n">
        <v>62.819622</v>
      </c>
      <c r="W64" t="n">
        <v>63.554977</v>
      </c>
      <c r="X64" t="n">
        <v>64.39138</v>
      </c>
      <c r="Y64" t="n">
        <v>65.064651</v>
      </c>
      <c r="Z64" t="n">
        <v>66.10850499999999</v>
      </c>
      <c r="AA64" t="n">
        <v>67.40763099999999</v>
      </c>
      <c r="AB64" t="n">
        <v>68.731369</v>
      </c>
      <c r="AC64" t="n">
        <v>69.704216</v>
      </c>
      <c r="AD64" t="n">
        <v>70.995407</v>
      </c>
      <c r="AE64" t="inlineStr">
        <is>
          <t>2.8%</t>
        </is>
      </c>
    </row>
    <row r="65">
      <c r="A65" t="inlineStr">
        <is>
          <t>Net Generation (billion kilowatthours)</t>
        </is>
      </c>
    </row>
    <row r="66">
      <c r="A66" t="inlineStr">
        <is>
          <t>Petroleum</t>
        </is>
      </c>
      <c r="B66" t="inlineStr">
        <is>
          <t>Commercial: Combined Heat and Power: Net Generation: Petroleum: Alternative Electricity and Transportation</t>
        </is>
      </c>
      <c r="C66" t="inlineStr">
        <is>
          <t>AEO.2026.ELECTRNP.GEN_NA_COMM_CHP_PET_NA_NA_MILLKWH.A</t>
        </is>
      </c>
      <c r="D66" t="inlineStr">
        <is>
          <t>billion kWh</t>
        </is>
      </c>
      <c r="E66" t="n">
        <v>0.056017</v>
      </c>
      <c r="F66" t="n">
        <v>0.056017</v>
      </c>
      <c r="G66" t="n">
        <v>0.056017</v>
      </c>
      <c r="H66" t="n">
        <v>0.056017</v>
      </c>
      <c r="I66" t="n">
        <v>0.056017</v>
      </c>
      <c r="J66" t="n">
        <v>0.056017</v>
      </c>
      <c r="K66" t="n">
        <v>0.056017</v>
      </c>
      <c r="L66" t="n">
        <v>0.056017</v>
      </c>
      <c r="M66" t="n">
        <v>0.056017</v>
      </c>
      <c r="N66" t="n">
        <v>0.056017</v>
      </c>
      <c r="O66" t="n">
        <v>0.056017</v>
      </c>
      <c r="P66" t="n">
        <v>0.056017</v>
      </c>
      <c r="Q66" t="n">
        <v>0.056017</v>
      </c>
      <c r="R66" t="n">
        <v>0.056017</v>
      </c>
      <c r="S66" t="n">
        <v>0.056017</v>
      </c>
      <c r="T66" t="n">
        <v>0.056017</v>
      </c>
      <c r="U66" t="n">
        <v>0.056017</v>
      </c>
      <c r="V66" t="n">
        <v>0.056017</v>
      </c>
      <c r="W66" t="n">
        <v>0.056017</v>
      </c>
      <c r="X66" t="n">
        <v>0.056017</v>
      </c>
      <c r="Y66" t="n">
        <v>0.056017</v>
      </c>
      <c r="Z66" t="n">
        <v>0.056017</v>
      </c>
      <c r="AA66" t="n">
        <v>0.056017</v>
      </c>
      <c r="AB66" t="n">
        <v>0.056017</v>
      </c>
      <c r="AC66" t="n">
        <v>0.056017</v>
      </c>
      <c r="AD66" t="n">
        <v>0.056017</v>
      </c>
      <c r="AE66" t="inlineStr">
        <is>
          <t>0.0%</t>
        </is>
      </c>
    </row>
    <row r="67">
      <c r="A67" t="inlineStr">
        <is>
          <t>Natural Gas</t>
        </is>
      </c>
      <c r="B67" t="inlineStr">
        <is>
          <t>Commercial: Combined Heat and Power: Net Generation: Natural Gas: Alternative Electricity and Transportation</t>
        </is>
      </c>
      <c r="C67" t="inlineStr">
        <is>
          <t>AEO.2026.ELECTRNP.GEN_NA_COMM_CHP_NG_NA_NA_MILLKWH.A</t>
        </is>
      </c>
      <c r="D67" t="inlineStr">
        <is>
          <t>billion kWh</t>
        </is>
      </c>
      <c r="E67" t="n">
        <v>8.993501999999999</v>
      </c>
      <c r="F67" t="n">
        <v>9.177331000000001</v>
      </c>
      <c r="G67" t="n">
        <v>9.287245</v>
      </c>
      <c r="H67" t="n">
        <v>9.394723000000001</v>
      </c>
      <c r="I67" t="n">
        <v>9.505925</v>
      </c>
      <c r="J67" t="n">
        <v>9.624269</v>
      </c>
      <c r="K67" t="n">
        <v>9.741152</v>
      </c>
      <c r="L67" t="n">
        <v>9.864296</v>
      </c>
      <c r="M67" t="n">
        <v>9.99146</v>
      </c>
      <c r="N67" t="n">
        <v>10.130486</v>
      </c>
      <c r="O67" t="n">
        <v>10.261999</v>
      </c>
      <c r="P67" t="n">
        <v>10.39859</v>
      </c>
      <c r="Q67" t="n">
        <v>10.547682</v>
      </c>
      <c r="R67" t="n">
        <v>10.688287</v>
      </c>
      <c r="S67" t="n">
        <v>10.824841</v>
      </c>
      <c r="T67" t="n">
        <v>10.956556</v>
      </c>
      <c r="U67" t="n">
        <v>11.079158</v>
      </c>
      <c r="V67" t="n">
        <v>11.212235</v>
      </c>
      <c r="W67" t="n">
        <v>11.333235</v>
      </c>
      <c r="X67" t="n">
        <v>11.453098</v>
      </c>
      <c r="Y67" t="n">
        <v>11.567205</v>
      </c>
      <c r="Z67" t="n">
        <v>11.683376</v>
      </c>
      <c r="AA67" t="n">
        <v>11.805312</v>
      </c>
      <c r="AB67" t="n">
        <v>11.925485</v>
      </c>
      <c r="AC67" t="n">
        <v>12.039975</v>
      </c>
      <c r="AD67" t="n">
        <v>12.159719</v>
      </c>
      <c r="AE67" t="inlineStr">
        <is>
          <t>1.2%</t>
        </is>
      </c>
    </row>
    <row r="68">
      <c r="A68" t="inlineStr">
        <is>
          <t>Solar Photovoltaic</t>
        </is>
      </c>
      <c r="B68" t="inlineStr">
        <is>
          <t>Commercial: Combined Heat and Power: Net Generation: Solar Photovoltaic: Alternative Electricity and Transportation</t>
        </is>
      </c>
      <c r="C68" t="inlineStr">
        <is>
          <t>AEO.2026.ELECTRNP.GEN_NA_COMM_CHP_SLR_PHTVL_NA_MILLKWH.A</t>
        </is>
      </c>
      <c r="D68" t="inlineStr">
        <is>
          <t>billion kWh</t>
        </is>
      </c>
      <c r="E68" t="n">
        <v>46.182064</v>
      </c>
      <c r="F68" t="n">
        <v>51.740406</v>
      </c>
      <c r="G68" t="n">
        <v>56.461273</v>
      </c>
      <c r="H68" t="n">
        <v>58.730679</v>
      </c>
      <c r="I68" t="n">
        <v>60.101696</v>
      </c>
      <c r="J68" t="n">
        <v>61.663147</v>
      </c>
      <c r="K68" t="n">
        <v>62.868874</v>
      </c>
      <c r="L68" t="n">
        <v>63.81876</v>
      </c>
      <c r="M68" t="n">
        <v>64.88810700000001</v>
      </c>
      <c r="N68" t="n">
        <v>66.510223</v>
      </c>
      <c r="O68" t="n">
        <v>67.825363</v>
      </c>
      <c r="P68" t="n">
        <v>68.932243</v>
      </c>
      <c r="Q68" t="n">
        <v>70.873024</v>
      </c>
      <c r="R68" t="n">
        <v>72.76908899999999</v>
      </c>
      <c r="S68" t="n">
        <v>75.07081599999999</v>
      </c>
      <c r="T68" t="n">
        <v>77.056648</v>
      </c>
      <c r="U68" t="n">
        <v>78.12748000000001</v>
      </c>
      <c r="V68" t="n">
        <v>79.72094</v>
      </c>
      <c r="W68" t="n">
        <v>80.581863</v>
      </c>
      <c r="X68" t="n">
        <v>81.550713</v>
      </c>
      <c r="Y68" t="n">
        <v>82.34375799999999</v>
      </c>
      <c r="Z68" t="n">
        <v>83.57886499999999</v>
      </c>
      <c r="AA68" t="n">
        <v>85.106026</v>
      </c>
      <c r="AB68" t="n">
        <v>86.662193</v>
      </c>
      <c r="AC68" t="n">
        <v>87.84126999999999</v>
      </c>
      <c r="AD68" t="n">
        <v>89.360298</v>
      </c>
      <c r="AE68" t="inlineStr">
        <is>
          <t>2.7%</t>
        </is>
      </c>
    </row>
    <row r="69">
      <c r="A69" t="inlineStr">
        <is>
          <t>Wind</t>
        </is>
      </c>
      <c r="B69" t="inlineStr">
        <is>
          <t>Commercial: Combined Heat and Power: Net Generation: Wind: Alternative Electricity and Transportation</t>
        </is>
      </c>
      <c r="C69" t="inlineStr">
        <is>
          <t>AEO.2026.ELECTRNP.GEN_NA_COMM_CHP_WND_NA_NA_MILLKWH.A</t>
        </is>
      </c>
      <c r="D69" t="inlineStr">
        <is>
          <t>billion kWh</t>
        </is>
      </c>
      <c r="E69" t="n">
        <v>0.739818</v>
      </c>
      <c r="F69" t="n">
        <v>0.740753</v>
      </c>
      <c r="G69" t="n">
        <v>0.742265</v>
      </c>
      <c r="H69" t="n">
        <v>0.742448</v>
      </c>
      <c r="I69" t="n">
        <v>0.743225</v>
      </c>
      <c r="J69" t="n">
        <v>0.744539</v>
      </c>
      <c r="K69" t="n">
        <v>0.745092</v>
      </c>
      <c r="L69" t="n">
        <v>0.746012</v>
      </c>
      <c r="M69" t="n">
        <v>0.7470869999999999</v>
      </c>
      <c r="N69" t="n">
        <v>0.747818</v>
      </c>
      <c r="O69" t="n">
        <v>0.748208</v>
      </c>
      <c r="P69" t="n">
        <v>0.748428</v>
      </c>
      <c r="Q69" t="n">
        <v>0.748864</v>
      </c>
      <c r="R69" t="n">
        <v>0.749274</v>
      </c>
      <c r="S69" t="n">
        <v>0.749827</v>
      </c>
      <c r="T69" t="n">
        <v>0.750408</v>
      </c>
      <c r="U69" t="n">
        <v>0.750619</v>
      </c>
      <c r="V69" t="n">
        <v>0.7517470000000001</v>
      </c>
      <c r="W69" t="n">
        <v>0.752186</v>
      </c>
      <c r="X69" t="n">
        <v>0.752576</v>
      </c>
      <c r="Y69" t="n">
        <v>0.752746</v>
      </c>
      <c r="Z69" t="n">
        <v>0.753008</v>
      </c>
      <c r="AA69" t="n">
        <v>0.753725</v>
      </c>
      <c r="AB69" t="n">
        <v>0.754198</v>
      </c>
      <c r="AC69" t="n">
        <v>0.754389</v>
      </c>
      <c r="AD69" t="n">
        <v>0.754605</v>
      </c>
      <c r="AE69" t="inlineStr">
        <is>
          <t>0.1%</t>
        </is>
      </c>
    </row>
    <row r="70">
      <c r="A70" t="inlineStr">
        <is>
          <t>Other</t>
        </is>
      </c>
      <c r="B70" t="inlineStr">
        <is>
          <t>Commercial: Combined Heat and Power: Net Generation: Other: Alternative Electricity and Transportation</t>
        </is>
      </c>
      <c r="C70" t="inlineStr">
        <is>
          <t>AEO.2026.ELECTRNP.GEN_NA_COMM_CHP_OTH_NA_NA_MILLKWH.A</t>
        </is>
      </c>
      <c r="D70" t="inlineStr">
        <is>
          <t>billion kWh</t>
        </is>
      </c>
      <c r="E70" t="n">
        <v>0.685209</v>
      </c>
      <c r="F70" t="n">
        <v>0.685209</v>
      </c>
      <c r="G70" t="n">
        <v>0.685209</v>
      </c>
      <c r="H70" t="n">
        <v>0.685209</v>
      </c>
      <c r="I70" t="n">
        <v>0.685209</v>
      </c>
      <c r="J70" t="n">
        <v>0.685209</v>
      </c>
      <c r="K70" t="n">
        <v>0.685209</v>
      </c>
      <c r="L70" t="n">
        <v>0.685209</v>
      </c>
      <c r="M70" t="n">
        <v>0.685209</v>
      </c>
      <c r="N70" t="n">
        <v>0.685209</v>
      </c>
      <c r="O70" t="n">
        <v>0.685209</v>
      </c>
      <c r="P70" t="n">
        <v>0.685209</v>
      </c>
      <c r="Q70" t="n">
        <v>0.685209</v>
      </c>
      <c r="R70" t="n">
        <v>0.685209</v>
      </c>
      <c r="S70" t="n">
        <v>0.685209</v>
      </c>
      <c r="T70" t="n">
        <v>0.685209</v>
      </c>
      <c r="U70" t="n">
        <v>0.685209</v>
      </c>
      <c r="V70" t="n">
        <v>0.685209</v>
      </c>
      <c r="W70" t="n">
        <v>0.685209</v>
      </c>
      <c r="X70" t="n">
        <v>0.685209</v>
      </c>
      <c r="Y70" t="n">
        <v>0.685209</v>
      </c>
      <c r="Z70" t="n">
        <v>0.685209</v>
      </c>
      <c r="AA70" t="n">
        <v>0.685209</v>
      </c>
      <c r="AB70" t="n">
        <v>0.685209</v>
      </c>
      <c r="AC70" t="n">
        <v>0.685209</v>
      </c>
      <c r="AD70" t="n">
        <v>0.685209</v>
      </c>
      <c r="AE70" t="inlineStr">
        <is>
          <t>0.0%</t>
        </is>
      </c>
    </row>
    <row r="71">
      <c r="A71" t="inlineStr">
        <is>
          <t>Total</t>
        </is>
      </c>
      <c r="B71" t="inlineStr">
        <is>
          <t>Commercial: Combined Heat and Power: Net Generation: Total: Alternative Electricity and Transportation</t>
        </is>
      </c>
      <c r="C71" t="inlineStr">
        <is>
          <t>AEO.2026.ELECTRNP.GEN_NA_COMM_CHP_TOT_NA_NA_MILLKWH.A</t>
        </is>
      </c>
      <c r="D71" t="inlineStr">
        <is>
          <t>billion kWh</t>
        </is>
      </c>
      <c r="E71" t="n">
        <v>56.656609</v>
      </c>
      <c r="F71" t="n">
        <v>62.399715</v>
      </c>
      <c r="G71" t="n">
        <v>67.23201</v>
      </c>
      <c r="H71" t="n">
        <v>69.609077</v>
      </c>
      <c r="I71" t="n">
        <v>71.092072</v>
      </c>
      <c r="J71" t="n">
        <v>72.773178</v>
      </c>
      <c r="K71" t="n">
        <v>74.096352</v>
      </c>
      <c r="L71" t="n">
        <v>75.17029599999999</v>
      </c>
      <c r="M71" t="n">
        <v>76.36788199999999</v>
      </c>
      <c r="N71" t="n">
        <v>78.12975299999999</v>
      </c>
      <c r="O71" t="n">
        <v>79.576797</v>
      </c>
      <c r="P71" t="n">
        <v>80.820488</v>
      </c>
      <c r="Q71" t="n">
        <v>82.910797</v>
      </c>
      <c r="R71" t="n">
        <v>84.94787599999999</v>
      </c>
      <c r="S71" t="n">
        <v>87.38671100000001</v>
      </c>
      <c r="T71" t="n">
        <v>89.504845</v>
      </c>
      <c r="U71" t="n">
        <v>90.698486</v>
      </c>
      <c r="V71" t="n">
        <v>92.426147</v>
      </c>
      <c r="W71" t="n">
        <v>93.40851600000001</v>
      </c>
      <c r="X71" t="n">
        <v>94.49762</v>
      </c>
      <c r="Y71" t="n">
        <v>95.404938</v>
      </c>
      <c r="Z71" t="n">
        <v>96.756477</v>
      </c>
      <c r="AA71" t="n">
        <v>98.406288</v>
      </c>
      <c r="AB71" t="n">
        <v>100.083099</v>
      </c>
      <c r="AC71" t="n">
        <v>101.376862</v>
      </c>
      <c r="AD71" t="n">
        <v>103.015854</v>
      </c>
      <c r="AE71" t="inlineStr">
        <is>
          <t>2.4%</t>
        </is>
      </c>
    </row>
    <row r="72">
      <c r="A72" t="inlineStr">
        <is>
          <t>Disposition</t>
        </is>
      </c>
    </row>
    <row r="73">
      <c r="A73" t="inlineStr">
        <is>
          <t>Sales to the Grid</t>
        </is>
      </c>
      <c r="B73" t="inlineStr">
        <is>
          <t>Commercial: Combined Heat and Power: Net Generation: Sales to the Grid: Alternative Electricity and Transportation</t>
        </is>
      </c>
      <c r="C73" t="inlineStr">
        <is>
          <t>AEO.2026.ELECTRNP.GEN_NA_COMM_CHP_STG_NA_NA_MILLKWH.A</t>
        </is>
      </c>
      <c r="D73" t="inlineStr">
        <is>
          <t>billion kWh</t>
        </is>
      </c>
      <c r="E73" t="n">
        <v>9.907313</v>
      </c>
      <c r="F73" t="n">
        <v>10.03259</v>
      </c>
      <c r="G73" t="n">
        <v>10.137603</v>
      </c>
      <c r="H73" t="n">
        <v>10.239909</v>
      </c>
      <c r="I73" t="n">
        <v>10.342177</v>
      </c>
      <c r="J73" t="n">
        <v>10.45041</v>
      </c>
      <c r="K73" t="n">
        <v>10.557965</v>
      </c>
      <c r="L73" t="n">
        <v>10.671133</v>
      </c>
      <c r="M73" t="n">
        <v>10.788383</v>
      </c>
      <c r="N73" t="n">
        <v>10.908318</v>
      </c>
      <c r="O73" t="n">
        <v>11.027957</v>
      </c>
      <c r="P73" t="n">
        <v>11.150815</v>
      </c>
      <c r="Q73" t="n">
        <v>11.279442</v>
      </c>
      <c r="R73" t="n">
        <v>11.405421</v>
      </c>
      <c r="S73" t="n">
        <v>11.527183</v>
      </c>
      <c r="T73" t="n">
        <v>11.648219</v>
      </c>
      <c r="U73" t="n">
        <v>11.762484</v>
      </c>
      <c r="V73" t="n">
        <v>11.873992</v>
      </c>
      <c r="W73" t="n">
        <v>11.984079</v>
      </c>
      <c r="X73" t="n">
        <v>12.0911</v>
      </c>
      <c r="Y73" t="n">
        <v>12.196587</v>
      </c>
      <c r="Z73" t="n">
        <v>12.302292</v>
      </c>
      <c r="AA73" t="n">
        <v>12.409987</v>
      </c>
      <c r="AB73" t="n">
        <v>12.51688</v>
      </c>
      <c r="AC73" t="n">
        <v>12.62289</v>
      </c>
      <c r="AD73" t="n">
        <v>12.729743</v>
      </c>
      <c r="AE73" t="inlineStr">
        <is>
          <t>1.0%</t>
        </is>
      </c>
    </row>
    <row r="74">
      <c r="A74" t="inlineStr">
        <is>
          <t>Generation for Own Use</t>
        </is>
      </c>
      <c r="B74" t="inlineStr">
        <is>
          <t>Commercial: Combined Heat and Power: Net Generation: Generation for Own Use: Alternative Electricity and Transportation</t>
        </is>
      </c>
      <c r="C74" t="inlineStr">
        <is>
          <t>AEO.2026.ELECTRNP.GEN_NA_COMM_CHP_GFO_NA_NA_MILLKWH.A</t>
        </is>
      </c>
      <c r="D74" t="inlineStr">
        <is>
          <t>billion kWh</t>
        </is>
      </c>
      <c r="E74" t="n">
        <v>46.749298</v>
      </c>
      <c r="F74" t="n">
        <v>52.367126</v>
      </c>
      <c r="G74" t="n">
        <v>57.094406</v>
      </c>
      <c r="H74" t="n">
        <v>59.369167</v>
      </c>
      <c r="I74" t="n">
        <v>60.749893</v>
      </c>
      <c r="J74" t="n">
        <v>62.322773</v>
      </c>
      <c r="K74" t="n">
        <v>63.53838</v>
      </c>
      <c r="L74" t="n">
        <v>64.499161</v>
      </c>
      <c r="M74" t="n">
        <v>65.579491</v>
      </c>
      <c r="N74" t="n">
        <v>67.22144299999999</v>
      </c>
      <c r="O74" t="n">
        <v>68.54883599999999</v>
      </c>
      <c r="P74" t="n">
        <v>69.66967</v>
      </c>
      <c r="Q74" t="n">
        <v>71.631355</v>
      </c>
      <c r="R74" t="n">
        <v>73.54245</v>
      </c>
      <c r="S74" t="n">
        <v>75.85952</v>
      </c>
      <c r="T74" t="n">
        <v>77.856621</v>
      </c>
      <c r="U74" t="n">
        <v>78.93598900000001</v>
      </c>
      <c r="V74" t="n">
        <v>80.552155</v>
      </c>
      <c r="W74" t="n">
        <v>81.424431</v>
      </c>
      <c r="X74" t="n">
        <v>82.40651699999999</v>
      </c>
      <c r="Y74" t="n">
        <v>83.20835099999999</v>
      </c>
      <c r="Z74" t="n">
        <v>84.454185</v>
      </c>
      <c r="AA74" t="n">
        <v>85.99630000000001</v>
      </c>
      <c r="AB74" t="n">
        <v>87.56622299999999</v>
      </c>
      <c r="AC74" t="n">
        <v>88.753967</v>
      </c>
      <c r="AD74" t="n">
        <v>90.286102</v>
      </c>
      <c r="AE74" t="inlineStr">
        <is>
          <t>2.7%</t>
        </is>
      </c>
    </row>
    <row r="75">
      <c r="A75" t="inlineStr">
        <is>
          <t>Energy Input (trillion Btu)</t>
        </is>
      </c>
    </row>
    <row r="76">
      <c r="A76" t="inlineStr">
        <is>
          <t>Petroleum</t>
        </is>
      </c>
      <c r="B76" t="inlineStr">
        <is>
          <t>Commercial: Combined Heat and Power: Energy Input: Petroleum: Alternative Electricity and Transportation</t>
        </is>
      </c>
      <c r="C76" t="inlineStr">
        <is>
          <t>AEO.2026.ELECTRNP.CNSM_NA_COMM_CHP_PET_NA_NA_TRLBTU.A</t>
        </is>
      </c>
      <c r="D76" t="inlineStr">
        <is>
          <t>trillion Btu</t>
        </is>
      </c>
      <c r="E76" t="n">
        <v>0.569595</v>
      </c>
      <c r="F76" t="n">
        <v>0.569595</v>
      </c>
      <c r="G76" t="n">
        <v>0.569595</v>
      </c>
      <c r="H76" t="n">
        <v>0.569595</v>
      </c>
      <c r="I76" t="n">
        <v>0.569595</v>
      </c>
      <c r="J76" t="n">
        <v>0.569595</v>
      </c>
      <c r="K76" t="n">
        <v>0.569595</v>
      </c>
      <c r="L76" t="n">
        <v>0.569595</v>
      </c>
      <c r="M76" t="n">
        <v>0.569595</v>
      </c>
      <c r="N76" t="n">
        <v>0.569595</v>
      </c>
      <c r="O76" t="n">
        <v>0.569595</v>
      </c>
      <c r="P76" t="n">
        <v>0.569595</v>
      </c>
      <c r="Q76" t="n">
        <v>0.569595</v>
      </c>
      <c r="R76" t="n">
        <v>0.569595</v>
      </c>
      <c r="S76" t="n">
        <v>0.569595</v>
      </c>
      <c r="T76" t="n">
        <v>0.569595</v>
      </c>
      <c r="U76" t="n">
        <v>0.569595</v>
      </c>
      <c r="V76" t="n">
        <v>0.569595</v>
      </c>
      <c r="W76" t="n">
        <v>0.569595</v>
      </c>
      <c r="X76" t="n">
        <v>0.569595</v>
      </c>
      <c r="Y76" t="n">
        <v>0.569595</v>
      </c>
      <c r="Z76" t="n">
        <v>0.569595</v>
      </c>
      <c r="AA76" t="n">
        <v>0.569595</v>
      </c>
      <c r="AB76" t="n">
        <v>0.569595</v>
      </c>
      <c r="AC76" t="n">
        <v>0.569595</v>
      </c>
      <c r="AD76" t="n">
        <v>0.569595</v>
      </c>
      <c r="AE76" t="inlineStr">
        <is>
          <t>0.0%</t>
        </is>
      </c>
    </row>
    <row r="77">
      <c r="A77" t="inlineStr">
        <is>
          <t>Natural Gas</t>
        </is>
      </c>
      <c r="B77" t="inlineStr">
        <is>
          <t>Commercial: Combined Heat and Power: Energy Input: Natural Gas: Alternative Electricity and Transportation</t>
        </is>
      </c>
      <c r="C77" t="inlineStr">
        <is>
          <t>AEO.2026.ELECTRNP.CNSM_NA_COMM_CHP_NG_NA_NA_TRLBTU.A</t>
        </is>
      </c>
      <c r="D77" t="inlineStr">
        <is>
          <t>trillion Btu</t>
        </is>
      </c>
      <c r="E77" t="n">
        <v>116.747437</v>
      </c>
      <c r="F77" t="n">
        <v>119.030746</v>
      </c>
      <c r="G77" t="n">
        <v>120.474258</v>
      </c>
      <c r="H77" t="n">
        <v>121.885834</v>
      </c>
      <c r="I77" t="n">
        <v>123.337364</v>
      </c>
      <c r="J77" t="n">
        <v>124.869339</v>
      </c>
      <c r="K77" t="n">
        <v>126.396996</v>
      </c>
      <c r="L77" t="n">
        <v>128.00032</v>
      </c>
      <c r="M77" t="n">
        <v>129.658844</v>
      </c>
      <c r="N77" t="n">
        <v>131.454803</v>
      </c>
      <c r="O77" t="n">
        <v>133.171494</v>
      </c>
      <c r="P77" t="n">
        <v>134.952637</v>
      </c>
      <c r="Q77" t="n">
        <v>136.881439</v>
      </c>
      <c r="R77" t="n">
        <v>138.716705</v>
      </c>
      <c r="S77" t="n">
        <v>140.494446</v>
      </c>
      <c r="T77" t="n">
        <v>142.2155</v>
      </c>
      <c r="U77" t="n">
        <v>143.824875</v>
      </c>
      <c r="V77" t="n">
        <v>145.540253</v>
      </c>
      <c r="W77" t="n">
        <v>147.126022</v>
      </c>
      <c r="X77" t="n">
        <v>148.690109</v>
      </c>
      <c r="Y77" t="n">
        <v>150.185806</v>
      </c>
      <c r="Z77" t="n">
        <v>151.702698</v>
      </c>
      <c r="AA77" t="n">
        <v>153.283875</v>
      </c>
      <c r="AB77" t="n">
        <v>154.845505</v>
      </c>
      <c r="AC77" t="n">
        <v>156.349472</v>
      </c>
      <c r="AD77" t="n">
        <v>157.907471</v>
      </c>
      <c r="AE77" t="inlineStr">
        <is>
          <t>1.2%</t>
        </is>
      </c>
    </row>
    <row r="78">
      <c r="A78" t="inlineStr">
        <is>
          <t>Solar Photovoltaic</t>
        </is>
      </c>
      <c r="B78" t="inlineStr">
        <is>
          <t>Commercial: Combined Heat and Power: Energy Input: Solar Photovoltaic: Alternative Electricity and Transportation</t>
        </is>
      </c>
      <c r="C78" t="inlineStr">
        <is>
          <t>AEO.2026.ELECTRNP.CNSM_NA_COMM_CHP_SLR_PHTVL_NA_TRLBTU.A</t>
        </is>
      </c>
      <c r="D78" t="inlineStr">
        <is>
          <t>trillion Btu</t>
        </is>
      </c>
      <c r="E78" t="n">
        <v>157.573181</v>
      </c>
      <c r="F78" t="n">
        <v>176.538239</v>
      </c>
      <c r="G78" t="n">
        <v>192.645844</v>
      </c>
      <c r="H78" t="n">
        <v>200.389069</v>
      </c>
      <c r="I78" t="n">
        <v>205.066986</v>
      </c>
      <c r="J78" t="n">
        <v>210.394669</v>
      </c>
      <c r="K78" t="n">
        <v>214.508575</v>
      </c>
      <c r="L78" t="n">
        <v>217.749603</v>
      </c>
      <c r="M78" t="n">
        <v>221.398224</v>
      </c>
      <c r="N78" t="n">
        <v>226.932892</v>
      </c>
      <c r="O78" t="n">
        <v>231.42012</v>
      </c>
      <c r="P78" t="n">
        <v>235.196777</v>
      </c>
      <c r="Q78" t="n">
        <v>241.818771</v>
      </c>
      <c r="R78" t="n">
        <v>248.288116</v>
      </c>
      <c r="S78" t="n">
        <v>256.141602</v>
      </c>
      <c r="T78" t="n">
        <v>262.917267</v>
      </c>
      <c r="U78" t="n">
        <v>266.570923</v>
      </c>
      <c r="V78" t="n">
        <v>272.007812</v>
      </c>
      <c r="W78" t="n">
        <v>274.945312</v>
      </c>
      <c r="X78" t="n">
        <v>278.250977</v>
      </c>
      <c r="Y78" t="n">
        <v>280.956879</v>
      </c>
      <c r="Z78" t="n">
        <v>285.171082</v>
      </c>
      <c r="AA78" t="n">
        <v>290.381744</v>
      </c>
      <c r="AB78" t="n">
        <v>295.691406</v>
      </c>
      <c r="AC78" t="n">
        <v>299.714417</v>
      </c>
      <c r="AD78" t="n">
        <v>304.897308</v>
      </c>
      <c r="AE78" t="inlineStr">
        <is>
          <t>2.7%</t>
        </is>
      </c>
    </row>
    <row r="79">
      <c r="A79" t="inlineStr">
        <is>
          <t>Wind</t>
        </is>
      </c>
      <c r="B79" t="inlineStr">
        <is>
          <t>Commercial: Combined Heat and Power: Energy Input: Wind: Alternative Electricity and Transportation</t>
        </is>
      </c>
      <c r="C79" t="inlineStr">
        <is>
          <t>AEO.2026.ELECTRNP.CNSM_NA_COMM_CHP_WND_NA_NA_TRLBTU.A</t>
        </is>
      </c>
      <c r="D79" t="inlineStr">
        <is>
          <t>trillion Btu</t>
        </is>
      </c>
      <c r="E79" t="n">
        <v>2.524258</v>
      </c>
      <c r="F79" t="n">
        <v>2.527449</v>
      </c>
      <c r="G79" t="n">
        <v>2.532609</v>
      </c>
      <c r="H79" t="n">
        <v>2.533234</v>
      </c>
      <c r="I79" t="n">
        <v>2.535882</v>
      </c>
      <c r="J79" t="n">
        <v>2.540368</v>
      </c>
      <c r="K79" t="n">
        <v>2.542253</v>
      </c>
      <c r="L79" t="n">
        <v>2.545394</v>
      </c>
      <c r="M79" t="n">
        <v>2.54906</v>
      </c>
      <c r="N79" t="n">
        <v>2.551554</v>
      </c>
      <c r="O79" t="n">
        <v>2.552887</v>
      </c>
      <c r="P79" t="n">
        <v>2.553636</v>
      </c>
      <c r="Q79" t="n">
        <v>2.555124</v>
      </c>
      <c r="R79" t="n">
        <v>2.556521</v>
      </c>
      <c r="S79" t="n">
        <v>2.558409</v>
      </c>
      <c r="T79" t="n">
        <v>2.560393</v>
      </c>
      <c r="U79" t="n">
        <v>2.561112</v>
      </c>
      <c r="V79" t="n">
        <v>2.56496</v>
      </c>
      <c r="W79" t="n">
        <v>2.566459</v>
      </c>
      <c r="X79" t="n">
        <v>2.567789</v>
      </c>
      <c r="Y79" t="n">
        <v>2.568369</v>
      </c>
      <c r="Z79" t="n">
        <v>2.569263</v>
      </c>
      <c r="AA79" t="n">
        <v>2.571711</v>
      </c>
      <c r="AB79" t="n">
        <v>2.573323</v>
      </c>
      <c r="AC79" t="n">
        <v>2.573975</v>
      </c>
      <c r="AD79" t="n">
        <v>2.574713</v>
      </c>
      <c r="AE79" t="inlineStr">
        <is>
          <t>0.1%</t>
        </is>
      </c>
    </row>
    <row r="80">
      <c r="A80" t="inlineStr">
        <is>
          <t>Other</t>
        </is>
      </c>
      <c r="B80" t="inlineStr">
        <is>
          <t>Commercial: Combined Heat and Power: Energy Input: Other: Alternative Electricity and Transportation</t>
        </is>
      </c>
      <c r="C80" t="inlineStr">
        <is>
          <t>AEO.2026.ELECTRNP.CNSM_NA_COMM_CHP_OTH_NA_NA_TRLBTU.A</t>
        </is>
      </c>
      <c r="D80" t="inlineStr">
        <is>
          <t>trillion Btu</t>
        </is>
      </c>
      <c r="E80" t="n">
        <v>12.784876</v>
      </c>
      <c r="F80" t="n">
        <v>12.784876</v>
      </c>
      <c r="G80" t="n">
        <v>12.784876</v>
      </c>
      <c r="H80" t="n">
        <v>12.784876</v>
      </c>
      <c r="I80" t="n">
        <v>12.784876</v>
      </c>
      <c r="J80" t="n">
        <v>12.784876</v>
      </c>
      <c r="K80" t="n">
        <v>12.784876</v>
      </c>
      <c r="L80" t="n">
        <v>12.784876</v>
      </c>
      <c r="M80" t="n">
        <v>12.784876</v>
      </c>
      <c r="N80" t="n">
        <v>12.784876</v>
      </c>
      <c r="O80" t="n">
        <v>12.784876</v>
      </c>
      <c r="P80" t="n">
        <v>12.784876</v>
      </c>
      <c r="Q80" t="n">
        <v>12.784876</v>
      </c>
      <c r="R80" t="n">
        <v>12.784876</v>
      </c>
      <c r="S80" t="n">
        <v>12.784876</v>
      </c>
      <c r="T80" t="n">
        <v>12.784876</v>
      </c>
      <c r="U80" t="n">
        <v>12.784876</v>
      </c>
      <c r="V80" t="n">
        <v>12.784876</v>
      </c>
      <c r="W80" t="n">
        <v>12.784876</v>
      </c>
      <c r="X80" t="n">
        <v>12.784876</v>
      </c>
      <c r="Y80" t="n">
        <v>12.784876</v>
      </c>
      <c r="Z80" t="n">
        <v>12.784876</v>
      </c>
      <c r="AA80" t="n">
        <v>12.784876</v>
      </c>
      <c r="AB80" t="n">
        <v>12.784876</v>
      </c>
      <c r="AC80" t="n">
        <v>12.784876</v>
      </c>
      <c r="AD80" t="n">
        <v>12.784876</v>
      </c>
      <c r="AE80" t="inlineStr">
        <is>
          <t>0.0%</t>
        </is>
      </c>
    </row>
    <row r="81">
      <c r="A81" t="inlineStr">
        <is>
          <t>Total</t>
        </is>
      </c>
      <c r="B81" t="inlineStr">
        <is>
          <t>Commercial: Combined Heat and Power: Energy Input: Total: Alternative Electricity and Transportation</t>
        </is>
      </c>
      <c r="C81" t="inlineStr">
        <is>
          <t>AEO.2026.ELECTRNP.CNSM_NA_COMM_CHP_TOT_NA_NA_TRLBTU.A</t>
        </is>
      </c>
      <c r="D81" t="inlineStr">
        <is>
          <t>trillion Btu</t>
        </is>
      </c>
      <c r="E81" t="n">
        <v>290.199341</v>
      </c>
      <c r="F81" t="n">
        <v>311.450897</v>
      </c>
      <c r="G81" t="n">
        <v>329.007202</v>
      </c>
      <c r="H81" t="n">
        <v>338.162598</v>
      </c>
      <c r="I81" t="n">
        <v>344.294708</v>
      </c>
      <c r="J81" t="n">
        <v>351.158875</v>
      </c>
      <c r="K81" t="n">
        <v>356.802307</v>
      </c>
      <c r="L81" t="n">
        <v>361.64978</v>
      </c>
      <c r="M81" t="n">
        <v>366.960602</v>
      </c>
      <c r="N81" t="n">
        <v>374.293701</v>
      </c>
      <c r="O81" t="n">
        <v>380.498962</v>
      </c>
      <c r="P81" t="n">
        <v>386.057526</v>
      </c>
      <c r="Q81" t="n">
        <v>394.609802</v>
      </c>
      <c r="R81" t="n">
        <v>402.915802</v>
      </c>
      <c r="S81" t="n">
        <v>412.54892</v>
      </c>
      <c r="T81" t="n">
        <v>421.047638</v>
      </c>
      <c r="U81" t="n">
        <v>426.311401</v>
      </c>
      <c r="V81" t="n">
        <v>433.467529</v>
      </c>
      <c r="W81" t="n">
        <v>437.992279</v>
      </c>
      <c r="X81" t="n">
        <v>442.863342</v>
      </c>
      <c r="Y81" t="n">
        <v>447.065521</v>
      </c>
      <c r="Z81" t="n">
        <v>452.797516</v>
      </c>
      <c r="AA81" t="n">
        <v>459.591827</v>
      </c>
      <c r="AB81" t="n">
        <v>466.464722</v>
      </c>
      <c r="AC81" t="n">
        <v>471.99234</v>
      </c>
      <c r="AD81" t="n">
        <v>478.733978</v>
      </c>
      <c r="AE81" t="inlineStr">
        <is>
          <t>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Jeffrey Rissman</dc:creator>
  <dcterms:created xsi:type="dcterms:W3CDTF">2016-01-26T19:10:58Z</dcterms:created>
  <dcterms:modified xsi:type="dcterms:W3CDTF">2026-04-24T16:20:01Z</dcterms:modified>
  <cp:lastModifiedBy>Olivia Ashmoore</cp:lastModifiedBy>
</cp:coreProperties>
</file>