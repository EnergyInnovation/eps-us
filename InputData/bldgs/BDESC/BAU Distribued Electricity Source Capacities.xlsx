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bldgs\BDESC\"/>
    </mc:Choice>
  </mc:AlternateContent>
  <xr:revisionPtr revIDLastSave="0" documentId="13_ncr:1_{03C63EC9-579D-4E9F-9B08-4556EEDDB820}" xr6:coauthVersionLast="47" xr6:coauthVersionMax="47" xr10:uidLastSave="{00000000-0000-0000-0000-000000000000}"/>
  <bookViews>
    <workbookView xWindow="-120" yWindow="-120" windowWidth="29040" windowHeight="17520" tabRatio="905" firstSheet="5" activeTab="7" xr2:uid="{EAFC2935-000E-413A-B5D2-814429F7674A}"/>
  </bookViews>
  <sheets>
    <sheet name="About" sheetId="1" r:id="rId1"/>
    <sheet name="AEO21_Table_21._Residential_Sec" sheetId="14" r:id="rId2"/>
    <sheet name="AEO22_Table_21._Residential_Sec" sheetId="17" r:id="rId3"/>
    <sheet name="AEO23_Table_21._Residential" sheetId="19" r:id="rId4"/>
    <sheet name="AEO21_Table_22._Comm_Sector_Ene" sheetId="15" r:id="rId5"/>
    <sheet name="AEO23_table_22._Comm" sheetId="20" r:id="rId6"/>
    <sheet name="AEO22_Table_22._Comm_Sector_Ene" sheetId="16" r:id="rId7"/>
    <sheet name="Calculations" sheetId="13" r:id="rId8"/>
    <sheet name="RECS HC2.1" sheetId="8" r:id="rId9"/>
    <sheet name="Inflation Reduction Act" sheetId="18" r:id="rId10"/>
    <sheet name="BDESC-urban-residential" sheetId="6" r:id="rId11"/>
    <sheet name="BDESC-rural-residential" sheetId="10" r:id="rId12"/>
    <sheet name="BDESC-commercial" sheetId="7" r:id="rId13"/>
  </sheets>
  <definedNames>
    <definedName name="billion_kw_to_MW">About!$B$35</definedName>
    <definedName name="gigwatt_to_megawatt">About!$B$36</definedName>
    <definedName name="Percent_rural">About!$A$33</definedName>
    <definedName name="Percent_Urban">About!$A$32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8" i="13" l="1"/>
  <c r="I8" i="10"/>
  <c r="G8" i="6"/>
  <c r="K8" i="10"/>
  <c r="L8" i="10"/>
  <c r="M8" i="10"/>
  <c r="N8" i="10"/>
  <c r="O8" i="10"/>
  <c r="P8" i="10"/>
  <c r="Q8" i="10"/>
  <c r="R8" i="10"/>
  <c r="S8" i="10"/>
  <c r="T8" i="10"/>
  <c r="U8" i="10"/>
  <c r="V8" i="10"/>
  <c r="W8" i="10"/>
  <c r="X8" i="10"/>
  <c r="Y8" i="10"/>
  <c r="Z8" i="10"/>
  <c r="AA8" i="10"/>
  <c r="AB8" i="10"/>
  <c r="AC8" i="10"/>
  <c r="AD8" i="10"/>
  <c r="AE8" i="10"/>
  <c r="AF8" i="10"/>
  <c r="AG8" i="10"/>
  <c r="J8" i="10"/>
  <c r="I8" i="6"/>
  <c r="J8" i="6"/>
  <c r="K8" i="6"/>
  <c r="L8" i="6"/>
  <c r="M8" i="6"/>
  <c r="N8" i="6"/>
  <c r="O8" i="6"/>
  <c r="P8" i="6"/>
  <c r="Q8" i="6"/>
  <c r="R8" i="6"/>
  <c r="S8" i="6"/>
  <c r="T8" i="6"/>
  <c r="U8" i="6"/>
  <c r="V8" i="6"/>
  <c r="W8" i="6"/>
  <c r="X8" i="6"/>
  <c r="Y8" i="6"/>
  <c r="Z8" i="6"/>
  <c r="AA8" i="6"/>
  <c r="AB8" i="6"/>
  <c r="AC8" i="6"/>
  <c r="AD8" i="6"/>
  <c r="AE8" i="6"/>
  <c r="H8" i="6"/>
  <c r="J59" i="18"/>
  <c r="I59" i="18"/>
  <c r="E6" i="13"/>
  <c r="F6" i="13"/>
  <c r="G6" i="13"/>
  <c r="H6" i="13"/>
  <c r="I6" i="13"/>
  <c r="J6" i="13"/>
  <c r="K6" i="13"/>
  <c r="L6" i="13"/>
  <c r="M6" i="13"/>
  <c r="N6" i="13"/>
  <c r="O6" i="13"/>
  <c r="P6" i="13"/>
  <c r="Q6" i="13"/>
  <c r="R6" i="13"/>
  <c r="S6" i="13"/>
  <c r="T6" i="13"/>
  <c r="U6" i="13"/>
  <c r="V6" i="13"/>
  <c r="W6" i="13"/>
  <c r="X6" i="13"/>
  <c r="Y6" i="13"/>
  <c r="Z6" i="13"/>
  <c r="AA6" i="13"/>
  <c r="AB6" i="13"/>
  <c r="AC6" i="13"/>
  <c r="AD6" i="13"/>
  <c r="AE6" i="13"/>
  <c r="AF6" i="13"/>
  <c r="AG6" i="13"/>
  <c r="AH6" i="13"/>
  <c r="AI6" i="13"/>
  <c r="E9" i="13"/>
  <c r="F9" i="13"/>
  <c r="G9" i="13"/>
  <c r="H9" i="13"/>
  <c r="I9" i="13"/>
  <c r="J9" i="13"/>
  <c r="K9" i="13"/>
  <c r="L9" i="13"/>
  <c r="M9" i="13"/>
  <c r="N9" i="13"/>
  <c r="O9" i="13"/>
  <c r="P9" i="13"/>
  <c r="Q9" i="13"/>
  <c r="R9" i="13"/>
  <c r="S9" i="13"/>
  <c r="T9" i="13"/>
  <c r="U9" i="13"/>
  <c r="V9" i="13"/>
  <c r="W9" i="13"/>
  <c r="X9" i="13"/>
  <c r="Y9" i="13"/>
  <c r="Z9" i="13"/>
  <c r="AA9" i="13"/>
  <c r="AB9" i="13"/>
  <c r="AC9" i="13"/>
  <c r="AD9" i="13"/>
  <c r="AE9" i="13"/>
  <c r="AF9" i="13"/>
  <c r="AG9" i="13"/>
  <c r="AH9" i="13"/>
  <c r="AI9" i="13"/>
  <c r="E10" i="13"/>
  <c r="F10" i="13"/>
  <c r="G10" i="13"/>
  <c r="H10"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AH10" i="13"/>
  <c r="AI10" i="13"/>
  <c r="E25" i="13"/>
  <c r="F25" i="13"/>
  <c r="G25" i="13"/>
  <c r="H25" i="13"/>
  <c r="I25" i="13"/>
  <c r="J25" i="13"/>
  <c r="K25" i="13"/>
  <c r="L25" i="13"/>
  <c r="M25" i="13"/>
  <c r="N25" i="13"/>
  <c r="O25" i="13"/>
  <c r="P25" i="13"/>
  <c r="Q25" i="13"/>
  <c r="R25" i="13"/>
  <c r="S25" i="13"/>
  <c r="T25" i="13"/>
  <c r="U25" i="13"/>
  <c r="V25" i="13"/>
  <c r="W25" i="13"/>
  <c r="X25" i="13"/>
  <c r="Y25" i="13"/>
  <c r="Z25" i="13"/>
  <c r="AA25" i="13"/>
  <c r="AB25" i="13"/>
  <c r="AC25" i="13"/>
  <c r="AD25" i="13"/>
  <c r="AE25" i="13"/>
  <c r="AF25" i="13"/>
  <c r="AG25" i="13"/>
  <c r="AH25" i="13"/>
  <c r="AI25" i="13"/>
  <c r="E28" i="13"/>
  <c r="F28" i="13"/>
  <c r="G28" i="13"/>
  <c r="H28" i="13"/>
  <c r="I28" i="13"/>
  <c r="J28" i="13"/>
  <c r="K28" i="13"/>
  <c r="L28" i="13"/>
  <c r="M28" i="13"/>
  <c r="N28" i="13"/>
  <c r="O28" i="13"/>
  <c r="P28" i="13"/>
  <c r="Q28" i="13"/>
  <c r="R28" i="13"/>
  <c r="S28" i="13"/>
  <c r="T28" i="13"/>
  <c r="U28" i="13"/>
  <c r="V28" i="13"/>
  <c r="W28" i="13"/>
  <c r="X28" i="13"/>
  <c r="Y28" i="13"/>
  <c r="Z28" i="13"/>
  <c r="AA28" i="13"/>
  <c r="AB28" i="13"/>
  <c r="AC28" i="13"/>
  <c r="AD28" i="13"/>
  <c r="AE28" i="13"/>
  <c r="AF28" i="13"/>
  <c r="AG28" i="13"/>
  <c r="AH28" i="13"/>
  <c r="AI28" i="13"/>
  <c r="E29" i="13"/>
  <c r="F29" i="13"/>
  <c r="G29" i="13"/>
  <c r="H29" i="13"/>
  <c r="I29" i="13"/>
  <c r="J29" i="13"/>
  <c r="K29" i="13"/>
  <c r="L29" i="13"/>
  <c r="M29" i="13"/>
  <c r="N29" i="13"/>
  <c r="O29" i="13"/>
  <c r="P29" i="13"/>
  <c r="Q29" i="13"/>
  <c r="R29" i="13"/>
  <c r="S29" i="13"/>
  <c r="T29" i="13"/>
  <c r="U29" i="13"/>
  <c r="V29" i="13"/>
  <c r="W29" i="13"/>
  <c r="X29" i="13"/>
  <c r="Y29" i="13"/>
  <c r="Z29" i="13"/>
  <c r="AA29" i="13"/>
  <c r="AB29" i="13"/>
  <c r="AC29" i="13"/>
  <c r="AD29" i="13"/>
  <c r="AE29" i="13"/>
  <c r="AF29" i="13"/>
  <c r="AG29" i="13"/>
  <c r="AH29" i="13"/>
  <c r="AI29" i="13"/>
  <c r="H88" i="13" l="1"/>
  <c r="I88" i="13"/>
  <c r="J88" i="13"/>
  <c r="K88" i="13"/>
  <c r="L88" i="13"/>
  <c r="M88" i="13"/>
  <c r="N88" i="13"/>
  <c r="O88" i="13"/>
  <c r="P88" i="13"/>
  <c r="Q88" i="13"/>
  <c r="R88" i="13"/>
  <c r="S88" i="13"/>
  <c r="T88" i="13"/>
  <c r="U88" i="13"/>
  <c r="W88" i="13"/>
  <c r="X88" i="13"/>
  <c r="Y88" i="13"/>
  <c r="Z88" i="13"/>
  <c r="AA88" i="13"/>
  <c r="AB88" i="13"/>
  <c r="AC88" i="13"/>
  <c r="AD88" i="13"/>
  <c r="AE88" i="13"/>
  <c r="AF88" i="13"/>
  <c r="AG88" i="13"/>
  <c r="AH88" i="13"/>
  <c r="AI88" i="13"/>
  <c r="G88" i="13"/>
  <c r="E88" i="13"/>
  <c r="H67" i="13"/>
  <c r="I67" i="13"/>
  <c r="J67" i="13"/>
  <c r="K67" i="13"/>
  <c r="L67" i="13"/>
  <c r="M67" i="13"/>
  <c r="N67" i="13"/>
  <c r="O67" i="13"/>
  <c r="P67" i="13"/>
  <c r="Q67" i="13"/>
  <c r="R67" i="13"/>
  <c r="S67" i="13"/>
  <c r="T67" i="13"/>
  <c r="U67" i="13"/>
  <c r="V67" i="13"/>
  <c r="W67" i="13"/>
  <c r="X67" i="13"/>
  <c r="Y67" i="13"/>
  <c r="Z67" i="13"/>
  <c r="AA67" i="13"/>
  <c r="AB67" i="13"/>
  <c r="AC67" i="13"/>
  <c r="AD67" i="13"/>
  <c r="AE67" i="13"/>
  <c r="AF67" i="13"/>
  <c r="AG67" i="13"/>
  <c r="AH67" i="13"/>
  <c r="AI67" i="13"/>
  <c r="G48" i="13"/>
  <c r="G67" i="13"/>
  <c r="H48" i="13"/>
  <c r="I48" i="13"/>
  <c r="J48" i="13"/>
  <c r="K48" i="13"/>
  <c r="L48" i="13"/>
  <c r="M48" i="13"/>
  <c r="N48" i="13"/>
  <c r="O48" i="13"/>
  <c r="P48" i="13"/>
  <c r="Q48" i="13"/>
  <c r="R48" i="13"/>
  <c r="S48" i="13"/>
  <c r="T48" i="13"/>
  <c r="U48" i="13"/>
  <c r="V48" i="13"/>
  <c r="W48" i="13"/>
  <c r="X48" i="13"/>
  <c r="Y48" i="13"/>
  <c r="Z48" i="13"/>
  <c r="AA48" i="13"/>
  <c r="AB48" i="13"/>
  <c r="AC48" i="13"/>
  <c r="AD48" i="13"/>
  <c r="AE48" i="13"/>
  <c r="AF48" i="13"/>
  <c r="AG48" i="13"/>
  <c r="AH48" i="13"/>
  <c r="AI48" i="13"/>
  <c r="B57" i="18"/>
  <c r="C57" i="18"/>
  <c r="D57" i="18"/>
  <c r="E57" i="18"/>
  <c r="F57" i="18"/>
  <c r="G57" i="18"/>
  <c r="H57" i="18"/>
  <c r="I57" i="18"/>
  <c r="J57" i="18"/>
  <c r="K57" i="18"/>
  <c r="L57" i="18"/>
  <c r="T57" i="18"/>
  <c r="U57" i="18"/>
  <c r="V57" i="18"/>
  <c r="W57" i="18"/>
  <c r="X57" i="18"/>
  <c r="Y57" i="18"/>
  <c r="Z57" i="18"/>
  <c r="AA57" i="18"/>
  <c r="AB57" i="18"/>
  <c r="AC57" i="18"/>
  <c r="S57" i="18"/>
  <c r="R57" i="18"/>
  <c r="Q57" i="18"/>
  <c r="M57" i="18"/>
  <c r="N57" i="18"/>
  <c r="O57" i="18"/>
  <c r="P57" i="18"/>
  <c r="B58" i="18" l="1"/>
  <c r="C58" i="18" s="1"/>
  <c r="D58" i="18" l="1"/>
  <c r="AI92" i="13"/>
  <c r="BD92" i="13" s="1"/>
  <c r="AD92" i="13"/>
  <c r="BC92" i="13" s="1"/>
  <c r="Y92" i="13"/>
  <c r="BB92" i="13" s="1"/>
  <c r="T92" i="13"/>
  <c r="BA92" i="13" s="1"/>
  <c r="O92" i="13"/>
  <c r="AZ92" i="13" s="1"/>
  <c r="J92" i="13"/>
  <c r="AY92" i="13" s="1"/>
  <c r="BD88" i="13"/>
  <c r="BC88" i="13"/>
  <c r="BB88" i="13"/>
  <c r="BA88" i="13"/>
  <c r="AZ88" i="13"/>
  <c r="AY88" i="13"/>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AX88" i="13"/>
  <c r="E87" i="13"/>
  <c r="AX87" i="13" s="1"/>
  <c r="E84" i="13"/>
  <c r="AX84" i="13" s="1"/>
  <c r="E58" i="18" l="1"/>
  <c r="AA87" i="13"/>
  <c r="Y7" i="7" s="1"/>
  <c r="S87" i="13"/>
  <c r="Q7" i="7" s="1"/>
  <c r="F8" i="7"/>
  <c r="U8" i="7"/>
  <c r="AD8" i="7"/>
  <c r="L8" i="7"/>
  <c r="I8" i="7"/>
  <c r="AC87" i="13"/>
  <c r="AA7" i="7" s="1"/>
  <c r="AB87" i="13"/>
  <c r="Z7" i="7" s="1"/>
  <c r="X92" i="13"/>
  <c r="V12" i="7" s="1"/>
  <c r="P92" i="13"/>
  <c r="N12" i="7" s="1"/>
  <c r="J8" i="7"/>
  <c r="K8" i="7"/>
  <c r="P8" i="7"/>
  <c r="G8" i="7"/>
  <c r="F88" i="13"/>
  <c r="D8" i="7" s="1"/>
  <c r="I92" i="13"/>
  <c r="G12" i="7" s="1"/>
  <c r="P87" i="13"/>
  <c r="N7" i="7" s="1"/>
  <c r="W92" i="13"/>
  <c r="U12" i="7" s="1"/>
  <c r="Q87" i="13"/>
  <c r="O7" i="7" s="1"/>
  <c r="V8" i="7"/>
  <c r="AB92" i="13"/>
  <c r="Z12" i="7" s="1"/>
  <c r="Z87" i="13"/>
  <c r="X7" i="7" s="1"/>
  <c r="AG87" i="13"/>
  <c r="AE7" i="7" s="1"/>
  <c r="AH87" i="13"/>
  <c r="AF7" i="7" s="1"/>
  <c r="AH92" i="13"/>
  <c r="AF12" i="7" s="1"/>
  <c r="R87" i="13"/>
  <c r="P7" i="7" s="1"/>
  <c r="N8" i="7"/>
  <c r="AC92" i="13"/>
  <c r="AA12" i="7" s="1"/>
  <c r="T8" i="7"/>
  <c r="E8" i="7"/>
  <c r="O8" i="7"/>
  <c r="S92" i="13"/>
  <c r="Q12" i="7" s="1"/>
  <c r="AE87" i="13"/>
  <c r="AC7" i="7" s="1"/>
  <c r="AE92" i="13"/>
  <c r="AC12" i="7" s="1"/>
  <c r="U87" i="13"/>
  <c r="S7" i="7" s="1"/>
  <c r="U92" i="13"/>
  <c r="S12" i="7" s="1"/>
  <c r="X87" i="13"/>
  <c r="V7" i="7" s="1"/>
  <c r="AF87" i="13"/>
  <c r="AD7" i="7" s="1"/>
  <c r="AF92" i="13"/>
  <c r="AD12" i="7" s="1"/>
  <c r="V87" i="13"/>
  <c r="T7" i="7" s="1"/>
  <c r="V92" i="13"/>
  <c r="T12" i="7" s="1"/>
  <c r="Q8" i="7"/>
  <c r="Z92" i="13"/>
  <c r="X12" i="7" s="1"/>
  <c r="AG92" i="13"/>
  <c r="AE12" i="7" s="1"/>
  <c r="W87" i="13"/>
  <c r="U7" i="7" s="1"/>
  <c r="AC8" i="7"/>
  <c r="S8" i="7"/>
  <c r="AA92" i="13"/>
  <c r="Y12" i="7" s="1"/>
  <c r="AF8" i="7"/>
  <c r="AE8" i="7"/>
  <c r="Q92" i="13"/>
  <c r="O12" i="7" s="1"/>
  <c r="H92" i="13"/>
  <c r="F12" i="7" s="1"/>
  <c r="R92" i="13"/>
  <c r="P12" i="7" s="1"/>
  <c r="K92" i="13"/>
  <c r="I12" i="7" s="1"/>
  <c r="F92" i="13"/>
  <c r="D12" i="7" s="1"/>
  <c r="M92" i="13"/>
  <c r="K12" i="7" s="1"/>
  <c r="G92" i="13"/>
  <c r="E12" i="7" s="1"/>
  <c r="N92" i="13"/>
  <c r="L12" i="7" s="1"/>
  <c r="L92" i="13"/>
  <c r="J12" i="7" s="1"/>
  <c r="Y8" i="7"/>
  <c r="X8" i="7"/>
  <c r="Z8" i="7"/>
  <c r="AA8" i="7"/>
  <c r="I87" i="13"/>
  <c r="G7" i="7" s="1"/>
  <c r="K87" i="13"/>
  <c r="I7" i="7" s="1"/>
  <c r="L87" i="13"/>
  <c r="J7" i="7" s="1"/>
  <c r="F87" i="13"/>
  <c r="D7" i="7" s="1"/>
  <c r="M87" i="13"/>
  <c r="K7" i="7" s="1"/>
  <c r="N87" i="13"/>
  <c r="L7" i="7" s="1"/>
  <c r="G87" i="13"/>
  <c r="E7" i="7" s="1"/>
  <c r="H87" i="13"/>
  <c r="F7" i="7" s="1"/>
  <c r="C4" i="7"/>
  <c r="H7" i="7"/>
  <c r="R12" i="7"/>
  <c r="AB8" i="7"/>
  <c r="C12" i="7"/>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AG2" i="7"/>
  <c r="H4" i="7"/>
  <c r="M4" i="7"/>
  <c r="R4" i="7"/>
  <c r="W4" i="7"/>
  <c r="AB4" i="7"/>
  <c r="AG4" i="7"/>
  <c r="C5" i="7"/>
  <c r="D5" i="7"/>
  <c r="E5" i="7"/>
  <c r="F5" i="7"/>
  <c r="G5" i="7"/>
  <c r="H5" i="7"/>
  <c r="I5" i="7"/>
  <c r="J5" i="7"/>
  <c r="K5" i="7"/>
  <c r="L5" i="7"/>
  <c r="M5" i="7"/>
  <c r="N5" i="7"/>
  <c r="O5" i="7"/>
  <c r="P5" i="7"/>
  <c r="Q5" i="7"/>
  <c r="R5" i="7"/>
  <c r="S5" i="7"/>
  <c r="T5" i="7"/>
  <c r="U5" i="7"/>
  <c r="V5" i="7"/>
  <c r="W5" i="7"/>
  <c r="X5" i="7"/>
  <c r="Y5" i="7"/>
  <c r="Z5" i="7"/>
  <c r="AA5" i="7"/>
  <c r="AB5" i="7"/>
  <c r="AC5" i="7"/>
  <c r="AD5" i="7"/>
  <c r="AE5" i="7"/>
  <c r="AF5" i="7"/>
  <c r="AG5" i="7"/>
  <c r="C6" i="7"/>
  <c r="D6" i="7"/>
  <c r="E6" i="7"/>
  <c r="F6" i="7"/>
  <c r="G6" i="7"/>
  <c r="H6" i="7"/>
  <c r="I6" i="7"/>
  <c r="J6" i="7"/>
  <c r="K6" i="7"/>
  <c r="L6" i="7"/>
  <c r="M6" i="7"/>
  <c r="N6" i="7"/>
  <c r="O6" i="7"/>
  <c r="P6" i="7"/>
  <c r="Q6" i="7"/>
  <c r="R6" i="7"/>
  <c r="S6" i="7"/>
  <c r="T6" i="7"/>
  <c r="U6" i="7"/>
  <c r="V6" i="7"/>
  <c r="W6" i="7"/>
  <c r="X6" i="7"/>
  <c r="Y6" i="7"/>
  <c r="Z6" i="7"/>
  <c r="AA6" i="7"/>
  <c r="AB6" i="7"/>
  <c r="AC6" i="7"/>
  <c r="AD6" i="7"/>
  <c r="AE6" i="7"/>
  <c r="AF6" i="7"/>
  <c r="AG6" i="7"/>
  <c r="C7" i="7"/>
  <c r="M7" i="7"/>
  <c r="R7" i="7"/>
  <c r="W7" i="7"/>
  <c r="AB7" i="7"/>
  <c r="C8" i="7"/>
  <c r="H8" i="7"/>
  <c r="M8" i="7"/>
  <c r="R8" i="7"/>
  <c r="W8" i="7"/>
  <c r="C9" i="7"/>
  <c r="D9" i="7"/>
  <c r="E9" i="7"/>
  <c r="F9" i="7"/>
  <c r="G9" i="7"/>
  <c r="H9" i="7"/>
  <c r="I9" i="7"/>
  <c r="J9" i="7"/>
  <c r="K9" i="7"/>
  <c r="L9" i="7"/>
  <c r="M9" i="7"/>
  <c r="N9" i="7"/>
  <c r="O9" i="7"/>
  <c r="P9" i="7"/>
  <c r="Q9" i="7"/>
  <c r="R9" i="7"/>
  <c r="S9" i="7"/>
  <c r="T9" i="7"/>
  <c r="U9" i="7"/>
  <c r="V9" i="7"/>
  <c r="W9" i="7"/>
  <c r="X9" i="7"/>
  <c r="Y9" i="7"/>
  <c r="Z9" i="7"/>
  <c r="AA9" i="7"/>
  <c r="AB9" i="7"/>
  <c r="AC9" i="7"/>
  <c r="AD9" i="7"/>
  <c r="AE9" i="7"/>
  <c r="AF9" i="7"/>
  <c r="AG9"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H12" i="7"/>
  <c r="M12" i="7"/>
  <c r="W12" i="7"/>
  <c r="AB12"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B5" i="7"/>
  <c r="B6" i="7"/>
  <c r="B9" i="7"/>
  <c r="B10" i="7"/>
  <c r="B11" i="7"/>
  <c r="B13" i="7"/>
  <c r="B14" i="7"/>
  <c r="B15" i="7"/>
  <c r="B16" i="7"/>
  <c r="B17" i="7"/>
  <c r="B18" i="7"/>
  <c r="B2" i="7"/>
  <c r="C2" i="10"/>
  <c r="D2" i="10"/>
  <c r="E2" i="10"/>
  <c r="F2" i="10"/>
  <c r="G2" i="10"/>
  <c r="H2" i="10"/>
  <c r="I2" i="10"/>
  <c r="J2" i="10"/>
  <c r="K2" i="10"/>
  <c r="L2" i="10"/>
  <c r="M2" i="10"/>
  <c r="N2" i="10"/>
  <c r="O2" i="10"/>
  <c r="P2" i="10"/>
  <c r="Q2" i="10"/>
  <c r="R2" i="10"/>
  <c r="S2" i="10"/>
  <c r="T2" i="10"/>
  <c r="U2" i="10"/>
  <c r="V2" i="10"/>
  <c r="W2" i="10"/>
  <c r="X2" i="10"/>
  <c r="Y2" i="10"/>
  <c r="Z2" i="10"/>
  <c r="AA2" i="10"/>
  <c r="AB2" i="10"/>
  <c r="AC2" i="10"/>
  <c r="AD2" i="10"/>
  <c r="AE2" i="10"/>
  <c r="AF2" i="10"/>
  <c r="AG2"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AD5" i="10"/>
  <c r="AE5" i="10"/>
  <c r="AF5" i="10"/>
  <c r="AG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AD6" i="10"/>
  <c r="AE6" i="10"/>
  <c r="AF6" i="10"/>
  <c r="AG6"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AD9" i="10"/>
  <c r="AE9" i="10"/>
  <c r="AF9" i="10"/>
  <c r="AG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AF10" i="10"/>
  <c r="AG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AF11" i="10"/>
  <c r="AG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AF12" i="10"/>
  <c r="AG12"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AF13" i="10"/>
  <c r="AG13" i="10"/>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AB14" i="10"/>
  <c r="AC14" i="10"/>
  <c r="AD14" i="10"/>
  <c r="AE14" i="10"/>
  <c r="AF14" i="10"/>
  <c r="AG14" i="10"/>
  <c r="C15" i="10"/>
  <c r="D15" i="10"/>
  <c r="E15" i="10"/>
  <c r="F15" i="10"/>
  <c r="G15" i="10"/>
  <c r="H15" i="10"/>
  <c r="I15" i="10"/>
  <c r="J15" i="10"/>
  <c r="K15" i="10"/>
  <c r="L15" i="10"/>
  <c r="M15" i="10"/>
  <c r="N15" i="10"/>
  <c r="O15" i="10"/>
  <c r="P15" i="10"/>
  <c r="Q15" i="10"/>
  <c r="R15" i="10"/>
  <c r="S15" i="10"/>
  <c r="T15" i="10"/>
  <c r="U15" i="10"/>
  <c r="V15" i="10"/>
  <c r="W15" i="10"/>
  <c r="X15" i="10"/>
  <c r="Y15" i="10"/>
  <c r="Z15" i="10"/>
  <c r="AA15" i="10"/>
  <c r="AB15" i="10"/>
  <c r="AC15" i="10"/>
  <c r="AD15" i="10"/>
  <c r="AE15" i="10"/>
  <c r="AF15" i="10"/>
  <c r="AG15" i="10"/>
  <c r="C16" i="10"/>
  <c r="D16" i="10"/>
  <c r="E16" i="10"/>
  <c r="F16" i="10"/>
  <c r="G16" i="10"/>
  <c r="H16" i="10"/>
  <c r="I16" i="10"/>
  <c r="J16" i="10"/>
  <c r="K16" i="10"/>
  <c r="L16" i="10"/>
  <c r="M16" i="10"/>
  <c r="N16" i="10"/>
  <c r="O16" i="10"/>
  <c r="P16" i="10"/>
  <c r="Q16" i="10"/>
  <c r="R16" i="10"/>
  <c r="S16" i="10"/>
  <c r="T16" i="10"/>
  <c r="U16" i="10"/>
  <c r="V16" i="10"/>
  <c r="W16" i="10"/>
  <c r="X16" i="10"/>
  <c r="Y16" i="10"/>
  <c r="Z16" i="10"/>
  <c r="AA16" i="10"/>
  <c r="AB16" i="10"/>
  <c r="AC16" i="10"/>
  <c r="AD16" i="10"/>
  <c r="AE16" i="10"/>
  <c r="AF16" i="10"/>
  <c r="AG16" i="10"/>
  <c r="C17" i="10"/>
  <c r="D17" i="10"/>
  <c r="E17" i="10"/>
  <c r="F17" i="10"/>
  <c r="G17" i="10"/>
  <c r="H17" i="10"/>
  <c r="I17" i="10"/>
  <c r="J17" i="10"/>
  <c r="K17" i="10"/>
  <c r="L17" i="10"/>
  <c r="M17" i="10"/>
  <c r="N17" i="10"/>
  <c r="O17" i="10"/>
  <c r="P17" i="10"/>
  <c r="Q17" i="10"/>
  <c r="R17" i="10"/>
  <c r="S17" i="10"/>
  <c r="T17" i="10"/>
  <c r="U17" i="10"/>
  <c r="V17" i="10"/>
  <c r="W17" i="10"/>
  <c r="X17" i="10"/>
  <c r="Y17" i="10"/>
  <c r="Z17" i="10"/>
  <c r="AA17" i="10"/>
  <c r="AB17" i="10"/>
  <c r="AC17" i="10"/>
  <c r="AD17" i="10"/>
  <c r="AE17" i="10"/>
  <c r="AF17" i="10"/>
  <c r="AG17" i="10"/>
  <c r="C18" i="10"/>
  <c r="D18" i="10"/>
  <c r="E18" i="10"/>
  <c r="F18" i="10"/>
  <c r="G18" i="10"/>
  <c r="H18" i="10"/>
  <c r="I18" i="10"/>
  <c r="J18" i="10"/>
  <c r="K18" i="10"/>
  <c r="L18" i="10"/>
  <c r="M18" i="10"/>
  <c r="N18" i="10"/>
  <c r="O18" i="10"/>
  <c r="P18" i="10"/>
  <c r="Q18" i="10"/>
  <c r="R18" i="10"/>
  <c r="S18" i="10"/>
  <c r="T18" i="10"/>
  <c r="U18" i="10"/>
  <c r="V18" i="10"/>
  <c r="W18" i="10"/>
  <c r="X18" i="10"/>
  <c r="Y18" i="10"/>
  <c r="Z18" i="10"/>
  <c r="AA18" i="10"/>
  <c r="AB18" i="10"/>
  <c r="AC18" i="10"/>
  <c r="AD18" i="10"/>
  <c r="AE18" i="10"/>
  <c r="AF18" i="10"/>
  <c r="AG18" i="10"/>
  <c r="B5" i="10"/>
  <c r="B6" i="10"/>
  <c r="B9" i="10"/>
  <c r="B10" i="10"/>
  <c r="B11" i="10"/>
  <c r="B12" i="10"/>
  <c r="B13" i="10"/>
  <c r="B14" i="10"/>
  <c r="B15" i="10"/>
  <c r="B16" i="10"/>
  <c r="B17" i="10"/>
  <c r="B18" i="10"/>
  <c r="B2" i="10"/>
  <c r="B2" i="6"/>
  <c r="C2" i="6"/>
  <c r="D2" i="6"/>
  <c r="E2" i="6"/>
  <c r="F2" i="6"/>
  <c r="G2" i="6"/>
  <c r="H2" i="6"/>
  <c r="I2" i="6"/>
  <c r="J2" i="6"/>
  <c r="K2" i="6"/>
  <c r="L2" i="6"/>
  <c r="M2" i="6"/>
  <c r="N2" i="6"/>
  <c r="O2" i="6"/>
  <c r="P2" i="6"/>
  <c r="Q2" i="6"/>
  <c r="R2" i="6"/>
  <c r="S2" i="6"/>
  <c r="T2" i="6"/>
  <c r="U2" i="6"/>
  <c r="V2" i="6"/>
  <c r="W2" i="6"/>
  <c r="X2" i="6"/>
  <c r="Y2" i="6"/>
  <c r="Z2" i="6"/>
  <c r="AA2" i="6"/>
  <c r="AB2" i="6"/>
  <c r="AC2" i="6"/>
  <c r="AD2" i="6"/>
  <c r="AE2" i="6"/>
  <c r="B5" i="6"/>
  <c r="C5" i="6"/>
  <c r="D5" i="6"/>
  <c r="E5" i="6"/>
  <c r="F5" i="6"/>
  <c r="G5" i="6"/>
  <c r="H5" i="6"/>
  <c r="I5" i="6"/>
  <c r="J5" i="6"/>
  <c r="K5" i="6"/>
  <c r="L5" i="6"/>
  <c r="M5" i="6"/>
  <c r="N5" i="6"/>
  <c r="O5" i="6"/>
  <c r="P5" i="6"/>
  <c r="Q5" i="6"/>
  <c r="R5" i="6"/>
  <c r="S5" i="6"/>
  <c r="T5" i="6"/>
  <c r="U5" i="6"/>
  <c r="V5" i="6"/>
  <c r="W5" i="6"/>
  <c r="X5" i="6"/>
  <c r="Y5" i="6"/>
  <c r="Z5" i="6"/>
  <c r="AA5" i="6"/>
  <c r="AB5" i="6"/>
  <c r="AC5" i="6"/>
  <c r="AD5" i="6"/>
  <c r="AE5" i="6"/>
  <c r="B6" i="6"/>
  <c r="C6" i="6"/>
  <c r="D6" i="6"/>
  <c r="E6" i="6"/>
  <c r="F6" i="6"/>
  <c r="G6" i="6"/>
  <c r="H6" i="6"/>
  <c r="I6" i="6"/>
  <c r="J6" i="6"/>
  <c r="K6" i="6"/>
  <c r="L6" i="6"/>
  <c r="M6" i="6"/>
  <c r="N6" i="6"/>
  <c r="O6" i="6"/>
  <c r="P6" i="6"/>
  <c r="Q6" i="6"/>
  <c r="R6" i="6"/>
  <c r="S6" i="6"/>
  <c r="T6" i="6"/>
  <c r="U6" i="6"/>
  <c r="V6" i="6"/>
  <c r="W6" i="6"/>
  <c r="X6" i="6"/>
  <c r="Y6" i="6"/>
  <c r="Z6" i="6"/>
  <c r="AA6" i="6"/>
  <c r="AB6" i="6"/>
  <c r="AC6" i="6"/>
  <c r="AD6" i="6"/>
  <c r="AE6" i="6"/>
  <c r="B9" i="6"/>
  <c r="C9" i="6"/>
  <c r="D9" i="6"/>
  <c r="E9" i="6"/>
  <c r="F9" i="6"/>
  <c r="G9" i="6"/>
  <c r="H9" i="6"/>
  <c r="I9" i="6"/>
  <c r="J9" i="6"/>
  <c r="K9" i="6"/>
  <c r="L9" i="6"/>
  <c r="M9" i="6"/>
  <c r="N9" i="6"/>
  <c r="O9" i="6"/>
  <c r="P9" i="6"/>
  <c r="Q9" i="6"/>
  <c r="R9" i="6"/>
  <c r="S9" i="6"/>
  <c r="T9" i="6"/>
  <c r="U9" i="6"/>
  <c r="V9" i="6"/>
  <c r="W9" i="6"/>
  <c r="X9" i="6"/>
  <c r="Y9" i="6"/>
  <c r="Z9" i="6"/>
  <c r="AA9" i="6"/>
  <c r="AB9" i="6"/>
  <c r="AC9" i="6"/>
  <c r="AD9" i="6"/>
  <c r="AE9" i="6"/>
  <c r="B10" i="6"/>
  <c r="C10" i="6"/>
  <c r="D10" i="6"/>
  <c r="E10" i="6"/>
  <c r="F10" i="6"/>
  <c r="G10" i="6"/>
  <c r="H10" i="6"/>
  <c r="I10" i="6"/>
  <c r="J10" i="6"/>
  <c r="K10" i="6"/>
  <c r="L10" i="6"/>
  <c r="M10" i="6"/>
  <c r="N10" i="6"/>
  <c r="O10" i="6"/>
  <c r="P10" i="6"/>
  <c r="Q10" i="6"/>
  <c r="R10" i="6"/>
  <c r="S10" i="6"/>
  <c r="T10" i="6"/>
  <c r="U10" i="6"/>
  <c r="V10" i="6"/>
  <c r="W10" i="6"/>
  <c r="X10" i="6"/>
  <c r="Y10" i="6"/>
  <c r="Z10" i="6"/>
  <c r="AA10" i="6"/>
  <c r="AB10" i="6"/>
  <c r="AC10" i="6"/>
  <c r="AD10" i="6"/>
  <c r="AE10" i="6"/>
  <c r="B11" i="6"/>
  <c r="C11" i="6"/>
  <c r="D11" i="6"/>
  <c r="E11" i="6"/>
  <c r="F11" i="6"/>
  <c r="G11" i="6"/>
  <c r="H11" i="6"/>
  <c r="I11" i="6"/>
  <c r="J11" i="6"/>
  <c r="K11" i="6"/>
  <c r="L11" i="6"/>
  <c r="M11" i="6"/>
  <c r="N11" i="6"/>
  <c r="O11" i="6"/>
  <c r="P11" i="6"/>
  <c r="Q11" i="6"/>
  <c r="R11" i="6"/>
  <c r="S11" i="6"/>
  <c r="T11" i="6"/>
  <c r="U11" i="6"/>
  <c r="V11" i="6"/>
  <c r="W11" i="6"/>
  <c r="X11" i="6"/>
  <c r="Y11" i="6"/>
  <c r="Z11" i="6"/>
  <c r="AA11" i="6"/>
  <c r="AB11" i="6"/>
  <c r="AC11" i="6"/>
  <c r="AD11" i="6"/>
  <c r="AE11" i="6"/>
  <c r="B12" i="6"/>
  <c r="C12" i="6"/>
  <c r="D12" i="6"/>
  <c r="E12" i="6"/>
  <c r="F12" i="6"/>
  <c r="G12" i="6"/>
  <c r="H12" i="6"/>
  <c r="I12" i="6"/>
  <c r="J12" i="6"/>
  <c r="K12" i="6"/>
  <c r="L12" i="6"/>
  <c r="M12" i="6"/>
  <c r="N12" i="6"/>
  <c r="O12" i="6"/>
  <c r="P12" i="6"/>
  <c r="Q12" i="6"/>
  <c r="R12" i="6"/>
  <c r="S12" i="6"/>
  <c r="T12" i="6"/>
  <c r="U12" i="6"/>
  <c r="V12" i="6"/>
  <c r="W12" i="6"/>
  <c r="X12" i="6"/>
  <c r="Y12" i="6"/>
  <c r="Z12" i="6"/>
  <c r="AA12" i="6"/>
  <c r="AB12" i="6"/>
  <c r="AC12" i="6"/>
  <c r="AD12" i="6"/>
  <c r="AE12" i="6"/>
  <c r="B13" i="6"/>
  <c r="C13" i="6"/>
  <c r="D13" i="6"/>
  <c r="E13" i="6"/>
  <c r="F13" i="6"/>
  <c r="G13" i="6"/>
  <c r="H13" i="6"/>
  <c r="I13" i="6"/>
  <c r="J13" i="6"/>
  <c r="K13" i="6"/>
  <c r="L13" i="6"/>
  <c r="M13" i="6"/>
  <c r="N13" i="6"/>
  <c r="O13" i="6"/>
  <c r="P13" i="6"/>
  <c r="Q13" i="6"/>
  <c r="R13" i="6"/>
  <c r="S13" i="6"/>
  <c r="T13" i="6"/>
  <c r="U13" i="6"/>
  <c r="V13" i="6"/>
  <c r="W13" i="6"/>
  <c r="X13" i="6"/>
  <c r="Y13" i="6"/>
  <c r="Z13" i="6"/>
  <c r="AA13" i="6"/>
  <c r="AB13" i="6"/>
  <c r="AC13" i="6"/>
  <c r="AD13" i="6"/>
  <c r="AE13" i="6"/>
  <c r="B14" i="6"/>
  <c r="C14" i="6"/>
  <c r="D14" i="6"/>
  <c r="E14" i="6"/>
  <c r="F14" i="6"/>
  <c r="G14" i="6"/>
  <c r="H14" i="6"/>
  <c r="I14" i="6"/>
  <c r="J14" i="6"/>
  <c r="K14" i="6"/>
  <c r="L14" i="6"/>
  <c r="M14" i="6"/>
  <c r="N14" i="6"/>
  <c r="O14" i="6"/>
  <c r="P14" i="6"/>
  <c r="Q14" i="6"/>
  <c r="R14" i="6"/>
  <c r="S14" i="6"/>
  <c r="T14" i="6"/>
  <c r="U14" i="6"/>
  <c r="V14" i="6"/>
  <c r="W14" i="6"/>
  <c r="X14" i="6"/>
  <c r="Y14" i="6"/>
  <c r="Z14" i="6"/>
  <c r="AA14" i="6"/>
  <c r="AB14" i="6"/>
  <c r="AC14" i="6"/>
  <c r="AD14" i="6"/>
  <c r="AE14" i="6"/>
  <c r="B15" i="6"/>
  <c r="C15" i="6"/>
  <c r="D15" i="6"/>
  <c r="E15" i="6"/>
  <c r="F15" i="6"/>
  <c r="G15" i="6"/>
  <c r="H15" i="6"/>
  <c r="I15" i="6"/>
  <c r="J15" i="6"/>
  <c r="K15" i="6"/>
  <c r="L15" i="6"/>
  <c r="M15" i="6"/>
  <c r="N15" i="6"/>
  <c r="O15" i="6"/>
  <c r="P15" i="6"/>
  <c r="Q15" i="6"/>
  <c r="R15" i="6"/>
  <c r="S15" i="6"/>
  <c r="T15" i="6"/>
  <c r="U15" i="6"/>
  <c r="V15" i="6"/>
  <c r="W15" i="6"/>
  <c r="X15" i="6"/>
  <c r="Y15" i="6"/>
  <c r="Z15" i="6"/>
  <c r="AA15" i="6"/>
  <c r="AB15" i="6"/>
  <c r="AC15" i="6"/>
  <c r="AD15" i="6"/>
  <c r="AE15" i="6"/>
  <c r="B16" i="6"/>
  <c r="C16" i="6"/>
  <c r="D16"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B17" i="6"/>
  <c r="C17" i="6"/>
  <c r="D17"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B18" i="6"/>
  <c r="C18" i="6"/>
  <c r="D18"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G7" i="7"/>
  <c r="AG8" i="7"/>
  <c r="AG12" i="7"/>
  <c r="B12" i="7"/>
  <c r="B8" i="7"/>
  <c r="B7" i="7"/>
  <c r="B4" i="7"/>
  <c r="B8" i="10"/>
  <c r="B7" i="10"/>
  <c r="B4" i="10"/>
  <c r="F58" i="18" l="1"/>
  <c r="B35" i="1"/>
  <c r="G58"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9" i="18" s="1"/>
  <c r="B60" i="18" l="1"/>
  <c r="C60" i="18"/>
  <c r="D60" i="18"/>
  <c r="E60" i="18"/>
  <c r="B59" i="18"/>
  <c r="C59" i="18"/>
  <c r="D59" i="18"/>
  <c r="E59" i="18"/>
  <c r="F60" i="18"/>
  <c r="G59" i="18"/>
  <c r="G60" i="18"/>
  <c r="H58" i="18"/>
  <c r="AF104" i="13"/>
  <c r="G47" i="13"/>
  <c r="C7" i="6" s="1"/>
  <c r="O47" i="13"/>
  <c r="K7" i="6" s="1"/>
  <c r="W47" i="13"/>
  <c r="S7" i="6" s="1"/>
  <c r="AE47" i="13"/>
  <c r="AA7" i="6" s="1"/>
  <c r="I44" i="13"/>
  <c r="E4" i="6" s="1"/>
  <c r="Q44" i="13"/>
  <c r="M4" i="6" s="1"/>
  <c r="Y44" i="13"/>
  <c r="U4" i="6" s="1"/>
  <c r="AG44" i="13"/>
  <c r="AC4" i="6" s="1"/>
  <c r="Z47" i="13"/>
  <c r="V7" i="6" s="1"/>
  <c r="T44" i="13"/>
  <c r="P4" i="6" s="1"/>
  <c r="H47" i="13"/>
  <c r="D7" i="6" s="1"/>
  <c r="P47" i="13"/>
  <c r="L7" i="6" s="1"/>
  <c r="X47" i="13"/>
  <c r="T7" i="6" s="1"/>
  <c r="AF47" i="13"/>
  <c r="AB7" i="6" s="1"/>
  <c r="J44" i="13"/>
  <c r="F4" i="6" s="1"/>
  <c r="R44" i="13"/>
  <c r="N4" i="6" s="1"/>
  <c r="Z44" i="13"/>
  <c r="V4" i="6" s="1"/>
  <c r="AH44" i="13"/>
  <c r="AD4" i="6" s="1"/>
  <c r="J47" i="13"/>
  <c r="F7" i="6" s="1"/>
  <c r="AH47" i="13"/>
  <c r="AD7" i="6" s="1"/>
  <c r="F44" i="13"/>
  <c r="B4" i="6" s="1"/>
  <c r="C8" i="6"/>
  <c r="I47" i="13"/>
  <c r="E7" i="6" s="1"/>
  <c r="Q47" i="13"/>
  <c r="M7" i="6" s="1"/>
  <c r="Y47" i="13"/>
  <c r="U7" i="6" s="1"/>
  <c r="AG47" i="13"/>
  <c r="AC7" i="6" s="1"/>
  <c r="K44" i="13"/>
  <c r="G4" i="6" s="1"/>
  <c r="S44" i="13"/>
  <c r="O4" i="6" s="1"/>
  <c r="AA44" i="13"/>
  <c r="W4" i="6" s="1"/>
  <c r="AI44" i="13"/>
  <c r="AE4" i="6" s="1"/>
  <c r="R47" i="13"/>
  <c r="N7" i="6" s="1"/>
  <c r="L44" i="13"/>
  <c r="H4" i="6" s="1"/>
  <c r="AB44" i="13"/>
  <c r="X4" i="6" s="1"/>
  <c r="K47" i="13"/>
  <c r="G7" i="6" s="1"/>
  <c r="S47" i="13"/>
  <c r="O7" i="6" s="1"/>
  <c r="AA47" i="13"/>
  <c r="W7" i="6" s="1"/>
  <c r="AI47" i="13"/>
  <c r="AE7" i="6" s="1"/>
  <c r="M44" i="13"/>
  <c r="I4" i="6" s="1"/>
  <c r="U44" i="13"/>
  <c r="Q4" i="6" s="1"/>
  <c r="AC44" i="13"/>
  <c r="Y4" i="6" s="1"/>
  <c r="N47" i="13"/>
  <c r="J7" i="6" s="1"/>
  <c r="H44" i="13"/>
  <c r="D4" i="6" s="1"/>
  <c r="AF44" i="13"/>
  <c r="AB4" i="6" s="1"/>
  <c r="L47" i="13"/>
  <c r="H7" i="6" s="1"/>
  <c r="T47" i="13"/>
  <c r="P7" i="6" s="1"/>
  <c r="AB47" i="13"/>
  <c r="X7" i="6" s="1"/>
  <c r="F47" i="13"/>
  <c r="B7" i="6" s="1"/>
  <c r="N44" i="13"/>
  <c r="J4" i="6" s="1"/>
  <c r="V44" i="13"/>
  <c r="R4" i="6" s="1"/>
  <c r="AD44" i="13"/>
  <c r="Z4" i="6" s="1"/>
  <c r="N121" i="13"/>
  <c r="AD121" i="13"/>
  <c r="F48" i="13"/>
  <c r="B8" i="6" s="1"/>
  <c r="AD47" i="13"/>
  <c r="Z7" i="6" s="1"/>
  <c r="X44" i="13"/>
  <c r="T4" i="6" s="1"/>
  <c r="H121" i="13"/>
  <c r="AF121" i="13"/>
  <c r="T121" i="13"/>
  <c r="M47" i="13"/>
  <c r="I7" i="6" s="1"/>
  <c r="U47" i="13"/>
  <c r="Q7" i="6" s="1"/>
  <c r="AC47" i="13"/>
  <c r="Y7" i="6" s="1"/>
  <c r="G44" i="13"/>
  <c r="C4" i="6" s="1"/>
  <c r="O44" i="13"/>
  <c r="K4" i="6" s="1"/>
  <c r="W44" i="13"/>
  <c r="S4" i="6" s="1"/>
  <c r="AE44" i="13"/>
  <c r="AA4" i="6" s="1"/>
  <c r="AE121" i="13"/>
  <c r="V47" i="13"/>
  <c r="R7" i="6" s="1"/>
  <c r="P44" i="13"/>
  <c r="L4" i="6" s="1"/>
  <c r="E8" i="10"/>
  <c r="I66" i="13"/>
  <c r="G7" i="10" s="1"/>
  <c r="Q66" i="13"/>
  <c r="O7" i="10" s="1"/>
  <c r="Y66" i="13"/>
  <c r="W7" i="10" s="1"/>
  <c r="AG66" i="13"/>
  <c r="AE7" i="10" s="1"/>
  <c r="K63" i="13"/>
  <c r="I4" i="10" s="1"/>
  <c r="S63" i="13"/>
  <c r="Q4" i="10" s="1"/>
  <c r="AA63" i="13"/>
  <c r="Y4" i="10" s="1"/>
  <c r="AI63" i="13"/>
  <c r="AG4" i="10" s="1"/>
  <c r="T66" i="13"/>
  <c r="R7" i="10" s="1"/>
  <c r="N63" i="13"/>
  <c r="L4" i="10" s="1"/>
  <c r="J66" i="13"/>
  <c r="H7" i="10" s="1"/>
  <c r="R66" i="13"/>
  <c r="P7" i="10" s="1"/>
  <c r="Z66" i="13"/>
  <c r="X7" i="10" s="1"/>
  <c r="AH66" i="13"/>
  <c r="AF7" i="10" s="1"/>
  <c r="L63" i="13"/>
  <c r="J4" i="10" s="1"/>
  <c r="T63" i="13"/>
  <c r="R4" i="10" s="1"/>
  <c r="AB63" i="13"/>
  <c r="Z4" i="10" s="1"/>
  <c r="F63" i="13"/>
  <c r="D4" i="10" s="1"/>
  <c r="AB66" i="13"/>
  <c r="Z7" i="10" s="1"/>
  <c r="V63" i="13"/>
  <c r="T4" i="10" s="1"/>
  <c r="K66" i="13"/>
  <c r="I7" i="10" s="1"/>
  <c r="S66" i="13"/>
  <c r="Q7" i="10" s="1"/>
  <c r="AA66" i="13"/>
  <c r="Y7" i="10" s="1"/>
  <c r="AI66" i="13"/>
  <c r="AG7" i="10" s="1"/>
  <c r="M63" i="13"/>
  <c r="K4" i="10" s="1"/>
  <c r="U63" i="13"/>
  <c r="S4" i="10" s="1"/>
  <c r="AC63" i="13"/>
  <c r="AA4" i="10" s="1"/>
  <c r="L66" i="13"/>
  <c r="J7" i="10" s="1"/>
  <c r="F66" i="13"/>
  <c r="D7" i="10" s="1"/>
  <c r="AD63" i="13"/>
  <c r="AB4" i="10" s="1"/>
  <c r="M66" i="13"/>
  <c r="K7" i="10" s="1"/>
  <c r="U66" i="13"/>
  <c r="S7" i="10" s="1"/>
  <c r="AC66" i="13"/>
  <c r="AA7" i="10" s="1"/>
  <c r="G63" i="13"/>
  <c r="E4" i="10" s="1"/>
  <c r="O63" i="13"/>
  <c r="M4" i="10" s="1"/>
  <c r="W63" i="13"/>
  <c r="U4" i="10" s="1"/>
  <c r="AE63" i="13"/>
  <c r="AC4" i="10" s="1"/>
  <c r="AF66" i="13"/>
  <c r="AD7" i="10" s="1"/>
  <c r="Z63" i="13"/>
  <c r="X4" i="10" s="1"/>
  <c r="F67" i="13"/>
  <c r="D8" i="10" s="1"/>
  <c r="N66" i="13"/>
  <c r="L7" i="10" s="1"/>
  <c r="V66" i="13"/>
  <c r="T7" i="10" s="1"/>
  <c r="AD66" i="13"/>
  <c r="AB7" i="10" s="1"/>
  <c r="H63" i="13"/>
  <c r="F4" i="10" s="1"/>
  <c r="P63" i="13"/>
  <c r="N4" i="10" s="1"/>
  <c r="X63" i="13"/>
  <c r="V4" i="10" s="1"/>
  <c r="AF63" i="13"/>
  <c r="P66" i="13"/>
  <c r="N7" i="10" s="1"/>
  <c r="J63" i="13"/>
  <c r="H4" i="10" s="1"/>
  <c r="G66" i="13"/>
  <c r="E7" i="10" s="1"/>
  <c r="O66" i="13"/>
  <c r="M7" i="10" s="1"/>
  <c r="W66" i="13"/>
  <c r="U7" i="10" s="1"/>
  <c r="AE66" i="13"/>
  <c r="AC7" i="10" s="1"/>
  <c r="I63" i="13"/>
  <c r="G4" i="10" s="1"/>
  <c r="Q63" i="13"/>
  <c r="O4" i="10" s="1"/>
  <c r="Y63" i="13"/>
  <c r="W4" i="10" s="1"/>
  <c r="AG63" i="13"/>
  <c r="AE4" i="10" s="1"/>
  <c r="H66" i="13"/>
  <c r="F7" i="10" s="1"/>
  <c r="X66" i="13"/>
  <c r="V7" i="10" s="1"/>
  <c r="R63" i="13"/>
  <c r="P4" i="10" s="1"/>
  <c r="AH63" i="13"/>
  <c r="AF4" i="10" s="1"/>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48"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C7" i="10" s="1"/>
  <c r="E63" i="13"/>
  <c r="C4" i="10" s="1"/>
  <c r="E67" i="13"/>
  <c r="C8" i="10" s="1"/>
  <c r="AD4" i="10"/>
  <c r="H112" i="13"/>
  <c r="I112" i="13"/>
  <c r="G112" i="13"/>
  <c r="F112" i="13"/>
  <c r="N112" i="13"/>
  <c r="K112" i="13"/>
  <c r="M112" i="13"/>
  <c r="L112" i="13"/>
  <c r="AH107" i="13"/>
  <c r="AG107" i="13"/>
  <c r="AF107" i="13"/>
  <c r="AE107" i="13"/>
  <c r="AC121" i="13" l="1"/>
  <c r="M121" i="13"/>
  <c r="G61" i="18" s="1"/>
  <c r="V121" i="13"/>
  <c r="U121" i="13"/>
  <c r="F8" i="10"/>
  <c r="H8" i="10"/>
  <c r="G8" i="10"/>
  <c r="AB121" i="13"/>
  <c r="O121" i="13"/>
  <c r="X121" i="13"/>
  <c r="P121" i="13"/>
  <c r="D8" i="6"/>
  <c r="W121" i="13"/>
  <c r="F8" i="6"/>
  <c r="E8" i="6"/>
  <c r="AA121" i="13"/>
  <c r="L121" i="13"/>
  <c r="S121" i="13"/>
  <c r="AG121" i="13"/>
  <c r="K121" i="13"/>
  <c r="E61" i="18" s="1"/>
  <c r="Y121" i="13"/>
  <c r="Q121" i="13"/>
  <c r="B61" i="18"/>
  <c r="F121" i="13"/>
  <c r="AH121" i="13"/>
  <c r="I121" i="13"/>
  <c r="C61" i="18" s="1"/>
  <c r="Z121" i="13"/>
  <c r="R121" i="13"/>
  <c r="E121" i="13"/>
  <c r="G121" i="13"/>
  <c r="AI121" i="13"/>
  <c r="J121" i="13"/>
  <c r="D62" i="18" s="1"/>
  <c r="B62" i="18"/>
  <c r="H59" i="18"/>
  <c r="H60" i="18"/>
  <c r="I58" i="18"/>
  <c r="G62" i="18"/>
  <c r="Z84" i="13"/>
  <c r="X4" i="7" s="1"/>
  <c r="N84" i="13"/>
  <c r="L4" i="7" s="1"/>
  <c r="AG84" i="13"/>
  <c r="AE4" i="7" s="1"/>
  <c r="M84" i="13"/>
  <c r="K4" i="7" s="1"/>
  <c r="V84" i="13"/>
  <c r="T4" i="7" s="1"/>
  <c r="L84" i="13"/>
  <c r="J4" i="7" s="1"/>
  <c r="S84" i="13"/>
  <c r="Q4" i="7" s="1"/>
  <c r="W84" i="13"/>
  <c r="U4" i="7" s="1"/>
  <c r="R84" i="13"/>
  <c r="P4" i="7" s="1"/>
  <c r="AC84" i="13"/>
  <c r="AA4" i="7" s="1"/>
  <c r="Q84" i="13"/>
  <c r="O4" i="7" s="1"/>
  <c r="AB84" i="13"/>
  <c r="Z4" i="7" s="1"/>
  <c r="P84" i="13"/>
  <c r="N4" i="7" s="1"/>
  <c r="AA84" i="13"/>
  <c r="Y4" i="7" s="1"/>
  <c r="X84" i="13"/>
  <c r="V4" i="7" s="1"/>
  <c r="U84" i="13"/>
  <c r="S4" i="7" s="1"/>
  <c r="AE84" i="13"/>
  <c r="AC4" i="7" s="1"/>
  <c r="AF84" i="13"/>
  <c r="AD4" i="7" s="1"/>
  <c r="AH84" i="13"/>
  <c r="AF4" i="7" s="1"/>
  <c r="K84" i="13"/>
  <c r="I4" i="7" s="1"/>
  <c r="I84" i="13"/>
  <c r="G4" i="7" s="1"/>
  <c r="H84" i="13"/>
  <c r="F4" i="7" s="1"/>
  <c r="G84" i="13"/>
  <c r="E4" i="7" s="1"/>
  <c r="F84" i="13"/>
  <c r="D4" i="7" s="1"/>
  <c r="E62" i="18" l="1"/>
  <c r="D61" i="18"/>
  <c r="C62" i="18"/>
  <c r="F62" i="18"/>
  <c r="F61" i="18"/>
  <c r="I60" i="18"/>
  <c r="J58" i="18"/>
  <c r="H62" i="18"/>
  <c r="H61" i="18"/>
  <c r="J60" i="18" l="1"/>
  <c r="K58" i="18"/>
  <c r="I61" i="18"/>
  <c r="I62" i="18"/>
  <c r="K60" i="18" l="1"/>
  <c r="K59" i="18"/>
  <c r="L58" i="18"/>
  <c r="J61" i="18"/>
  <c r="J62" i="18"/>
  <c r="L59" i="18" l="1"/>
  <c r="L60" i="18"/>
  <c r="M58" i="18"/>
  <c r="K61" i="18"/>
  <c r="K62" i="18"/>
  <c r="L61" i="18" l="1"/>
  <c r="M59" i="18"/>
  <c r="M60" i="18"/>
  <c r="N58" i="18"/>
  <c r="L62" i="18"/>
  <c r="N59" i="18" l="1"/>
  <c r="N60" i="18"/>
  <c r="O58" i="18"/>
  <c r="M62" i="18"/>
  <c r="M61" i="18"/>
  <c r="O59" i="18" l="1"/>
  <c r="O60" i="18"/>
  <c r="P58" i="18"/>
  <c r="N62" i="18"/>
  <c r="N61" i="18"/>
  <c r="O61" i="18" l="1"/>
  <c r="P60" i="18"/>
  <c r="P59" i="18"/>
  <c r="Q58" i="18"/>
  <c r="O62" i="18"/>
  <c r="Q60" i="18" l="1"/>
  <c r="Q59" i="18"/>
  <c r="R58" i="18"/>
  <c r="P61" i="18"/>
  <c r="P62" i="18"/>
  <c r="R60" i="18" l="1"/>
  <c r="R59" i="18"/>
  <c r="S58" i="18"/>
  <c r="Q61" i="18"/>
  <c r="Q62" i="18"/>
  <c r="S60" i="18" l="1"/>
  <c r="S59" i="18"/>
  <c r="T58" i="18"/>
  <c r="R61" i="18"/>
  <c r="R62" i="18"/>
  <c r="T59" i="18" l="1"/>
  <c r="T60" i="18"/>
  <c r="U58" i="18"/>
  <c r="S61" i="18"/>
  <c r="S62" i="18"/>
  <c r="U59" i="18" l="1"/>
  <c r="U60" i="18"/>
  <c r="V58" i="18"/>
  <c r="T62" i="18"/>
  <c r="T61" i="18"/>
  <c r="V59" i="18" l="1"/>
  <c r="V60" i="18"/>
  <c r="W58" i="18"/>
  <c r="U62" i="18"/>
  <c r="U61" i="18"/>
  <c r="W59" i="18" l="1"/>
  <c r="W60" i="18"/>
  <c r="X58" i="18"/>
  <c r="V62" i="18"/>
  <c r="V61" i="18"/>
  <c r="X59" i="18" l="1"/>
  <c r="X60" i="18"/>
  <c r="Y58" i="18"/>
  <c r="W62" i="18"/>
  <c r="W61" i="18"/>
  <c r="Y60" i="18" l="1"/>
  <c r="Y59" i="18"/>
  <c r="Z58" i="18"/>
  <c r="X62" i="18"/>
  <c r="X61" i="18"/>
  <c r="Z60" i="18" l="1"/>
  <c r="Z59" i="18"/>
  <c r="AA58" i="18"/>
  <c r="Y61" i="18"/>
  <c r="Y62" i="18"/>
  <c r="AA60" i="18" l="1"/>
  <c r="AA59" i="18"/>
  <c r="AB58" i="18"/>
  <c r="Z61" i="18"/>
  <c r="Z62" i="18"/>
  <c r="AB59" i="18" l="1"/>
  <c r="AB60" i="18"/>
  <c r="AC58" i="18"/>
  <c r="AA61" i="18"/>
  <c r="AA62" i="18"/>
  <c r="AC59" i="18" l="1"/>
  <c r="AC60" i="18"/>
  <c r="AB62" i="18"/>
  <c r="AB61" i="18"/>
  <c r="AC62" i="18" l="1"/>
  <c r="AC61" i="18"/>
</calcChain>
</file>

<file path=xl/sharedStrings.xml><?xml version="1.0" encoding="utf-8"?>
<sst xmlns="http://schemas.openxmlformats.org/spreadsheetml/2006/main" count="2670" uniqueCount="1178">
  <si>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</si>
  <si>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</si>
  <si>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</si>
  <si>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</si>
  <si>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</si>
  <si>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</si>
  <si>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</si>
  <si>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</si>
  <si>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</si>
  <si>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</si>
  <si>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</si>
  <si>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</si>
  <si>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</si>
  <si>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</si>
  <si>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</si>
  <si>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</si>
  <si>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</si>
  <si>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</si>
  <si>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</si>
  <si>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</si>
  <si>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</si>
  <si>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</si>
  <si>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</si>
  <si>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</si>
  <si>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</si>
  <si>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</si>
  <si>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</si>
  <si>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</si>
  <si>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</si>
  <si>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</si>
  <si>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</si>
  <si>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</si>
  <si>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</si>
  <si>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</si>
  <si>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</si>
  <si>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</si>
  <si>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</si>
  <si>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</si>
  <si>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</si>
  <si>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</si>
  <si>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</si>
  <si>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</si>
  <si>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</si>
  <si>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</si>
  <si>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</si>
  <si>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</si>
  <si>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</si>
  <si>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</si>
  <si>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</si>
  <si>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</si>
  <si>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</si>
  <si>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</si>
  <si>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</si>
  <si>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</si>
  <si>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</si>
  <si>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</si>
  <si>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</si>
  <si>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</si>
  <si>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</si>
  <si>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</si>
  <si>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</si>
  <si>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</si>
  <si>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</si>
  <si>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</si>
  <si>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</si>
  <si>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</si>
  <si>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</si>
  <si>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</si>
  <si>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</si>
  <si>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</si>
  <si>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</si>
  <si>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</si>
  <si>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</si>
  <si>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</si>
  <si>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</si>
  <si>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</si>
  <si>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</si>
  <si>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</si>
  <si>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</si>
  <si>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</si>
  <si>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</si>
  <si>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</si>
  <si>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</si>
  <si>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</si>
  <si>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</si>
  <si>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</si>
  <si>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</si>
  <si>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</si>
  <si>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</si>
  <si>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</si>
  <si>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</si>
  <si>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</si>
  <si>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</si>
  <si>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</si>
  <si>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</si>
  <si>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</si>
  <si>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</si>
  <si>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</si>
  <si>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</si>
  <si>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</si>
  <si>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</si>
  <si>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</si>
  <si>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</si>
  <si>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</si>
  <si>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</si>
  <si>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</si>
  <si>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</si>
  <si>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</si>
  <si>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</si>
  <si>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</si>
  <si>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</si>
  <si>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</si>
  <si>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</si>
  <si>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</si>
  <si>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</si>
  <si>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</si>
  <si>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</si>
  <si>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</si>
  <si>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</si>
  <si>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</si>
  <si>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</si>
  <si>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</si>
  <si>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</si>
  <si>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</si>
  <si>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</si>
  <si>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</si>
  <si>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</si>
  <si>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</si>
  <si>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</si>
  <si>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</si>
  <si>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</si>
  <si>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</si>
  <si>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</si>
  <si>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</si>
  <si>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</si>
  <si>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</si>
  <si>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</si>
  <si>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</si>
  <si>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</si>
  <si>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</si>
  <si>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</si>
  <si>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</si>
  <si>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</si>
  <si>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</si>
  <si>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</si>
  <si>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</si>
  <si>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</si>
  <si>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</si>
  <si>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</si>
  <si>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</si>
  <si>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</si>
  <si>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</si>
  <si>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</si>
  <si>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</si>
  <si>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</si>
  <si>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</si>
  <si>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</si>
  <si>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</si>
  <si>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</si>
  <si>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</si>
  <si>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</si>
  <si>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</si>
  <si>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</si>
  <si>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</si>
  <si>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</si>
  <si>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</si>
  <si>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</si>
  <si>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</si>
  <si>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</si>
  <si>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</si>
  <si>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</si>
  <si>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</si>
  <si>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</si>
  <si>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</si>
  <si>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</si>
  <si>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</si>
  <si>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</si>
  <si>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</si>
  <si>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</si>
  <si>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</si>
  <si>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</si>
  <si>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</si>
  <si>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</si>
  <si>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</si>
  <si>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</si>
  <si>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</si>
  <si>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</si>
  <si>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</si>
  <si>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</si>
  <si>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</si>
  <si>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</si>
  <si>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</si>
  <si>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</si>
  <si>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</si>
  <si>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</si>
  <si>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</si>
  <si>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</si>
  <si>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</si>
  <si>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</si>
  <si>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</si>
  <si>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</si>
  <si>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</si>
  <si>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</si>
  <si>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</si>
  <si>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</si>
  <si>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</si>
  <si>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</si>
  <si>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</si>
  <si>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</si>
  <si>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</si>
  <si>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</si>
  <si>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</si>
  <si>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</si>
  <si>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</si>
  <si>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</si>
  <si>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</si>
  <si>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</si>
  <si>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</si>
  <si>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</si>
  <si>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</si>
  <si>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</si>
  <si>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</si>
  <si>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</si>
  <si>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</si>
  <si>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</si>
  <si>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</si>
  <si>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</si>
  <si>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</si>
  <si>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</si>
  <si>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</si>
  <si>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</si>
  <si>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</si>
  <si>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</si>
  <si>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</si>
  <si>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</si>
  <si>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</si>
  <si>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</si>
  <si>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</si>
  <si>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</si>
  <si>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</si>
  <si>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</si>
  <si>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</si>
  <si>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</si>
  <si>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</si>
  <si>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</si>
  <si>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</si>
  <si>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</si>
  <si>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</si>
  <si>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</si>
  <si>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</si>
  <si>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</si>
  <si>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</si>
  <si>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</si>
  <si>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</si>
  <si>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</si>
  <si>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</si>
  <si>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</si>
  <si>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</si>
  <si>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</si>
  <si>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</si>
  <si>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</si>
  <si>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</si>
  <si>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</si>
  <si>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</si>
  <si>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</si>
  <si>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</si>
  <si>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</si>
  <si>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</si>
  <si>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</si>
  <si>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</si>
  <si>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</si>
  <si>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</si>
  <si>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</si>
  <si>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</si>
  <si>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</si>
  <si>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</si>
  <si>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</si>
  <si>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</si>
  <si>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</si>
  <si>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</si>
  <si>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</si>
  <si>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</si>
  <si>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</si>
  <si>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</si>
  <si>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</si>
  <si>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</si>
  <si>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</si>
  <si>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</si>
  <si>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</si>
  <si>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</si>
  <si>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</si>
  <si>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</si>
  <si>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</si>
  <si>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</si>
  <si>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</si>
  <si>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</si>
  <si>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</si>
  <si>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</si>
  <si>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</si>
  <si>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</si>
  <si>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</si>
  <si>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</si>
  <si>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</si>
  <si>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</si>
  <si>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</si>
  <si>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</si>
  <si>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</si>
  <si>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</si>
  <si>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</si>
  <si>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</si>
  <si>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</si>
  <si>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</si>
  <si>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</si>
  <si>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</si>
  <si>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</si>
  <si>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</si>
  <si>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</si>
  <si>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</si>
  <si>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</si>
  <si>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</si>
  <si>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</si>
  <si>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</si>
  <si>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</si>
  <si>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</si>
  <si>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</si>
  <si>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</si>
  <si>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</si>
  <si>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</si>
  <si>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</si>
  <si>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</si>
  <si>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</si>
  <si>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</si>
  <si>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</si>
  <si>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</si>
  <si>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</si>
  <si>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</si>
  <si>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</si>
  <si>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</si>
  <si>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</si>
  <si>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</si>
  <si>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</si>
  <si>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</si>
  <si>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</si>
  <si>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</si>
  <si>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</si>
  <si>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</si>
  <si>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</si>
  <si>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</si>
  <si>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</si>
  <si>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</si>
  <si>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</si>
  <si>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</si>
  <si>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</si>
  <si>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</si>
  <si>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</si>
  <si>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</si>
  <si>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</si>
  <si>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</si>
  <si>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</si>
  <si>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</si>
  <si>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</si>
  <si>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</si>
  <si>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</si>
  <si>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</si>
  <si>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</si>
  <si>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</si>
  <si>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</si>
  <si>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</si>
  <si>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</si>
  <si>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</si>
  <si>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</si>
  <si>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</si>
  <si>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</si>
  <si>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</si>
  <si>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</si>
  <si>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</si>
  <si>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</si>
  <si>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</si>
  <si>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</si>
  <si>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</si>
  <si>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</si>
  <si>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</si>
  <si>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</si>
  <si>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</si>
  <si>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</si>
  <si>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</si>
  <si>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</si>
  <si>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</si>
  <si>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</si>
  <si>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</si>
  <si>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</si>
  <si>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</si>
  <si>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</si>
  <si>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</si>
  <si>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</si>
  <si>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</si>
  <si>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</si>
  <si>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</si>
  <si>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</si>
  <si>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</si>
  <si>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</si>
  <si>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</si>
  <si>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</si>
  <si>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</si>
  <si>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</si>
  <si>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</si>
  <si>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</si>
  <si>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</si>
  <si>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</si>
  <si>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</si>
  <si>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</si>
  <si>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</si>
  <si>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</si>
  <si>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</si>
  <si>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</si>
  <si>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</si>
  <si>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</si>
  <si>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</si>
  <si>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</si>
  <si>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</si>
  <si>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</si>
  <si>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</si>
  <si>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</si>
  <si>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</si>
  <si>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</si>
  <si>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</si>
  <si>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</si>
  <si>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</si>
  <si>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</si>
  <si>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</si>
  <si>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</si>
  <si>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</si>
  <si>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</si>
  <si>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</si>
  <si>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</si>
  <si>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</si>
  <si>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</si>
  <si>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</si>
  <si>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</si>
  <si>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</si>
  <si>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</si>
  <si>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</si>
  <si>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</si>
  <si>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</si>
  <si>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</si>
  <si>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</si>
  <si>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</si>
  <si>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</si>
  <si>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</si>
  <si>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</si>
  <si>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</si>
  <si>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</si>
  <si>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</si>
  <si>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</si>
  <si>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</si>
  <si>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</si>
  <si>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</si>
  <si>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</si>
  <si>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</si>
  <si>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</si>
  <si>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</si>
  <si>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</si>
  <si>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</si>
  <si>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</si>
  <si>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</si>
  <si>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</si>
  <si>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</si>
  <si>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</si>
  <si>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</si>
  <si>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</si>
  <si>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</si>
  <si>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</si>
  <si>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</si>
  <si>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</si>
  <si>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</si>
  <si>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</si>
  <si>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</si>
  <si>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</si>
  <si>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</si>
  <si>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</si>
  <si>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</si>
  <si>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</si>
  <si>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</si>
  <si>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</si>
  <si>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</si>
  <si>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</si>
  <si>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</si>
  <si>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</si>
  <si>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</si>
  <si>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</si>
  <si>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</si>
  <si>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</si>
  <si>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</si>
  <si>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</si>
  <si>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</si>
  <si>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</si>
  <si>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</si>
  <si>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</si>
  <si>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</si>
  <si>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</si>
  <si>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</si>
  <si>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</si>
  <si>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</si>
  <si>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</si>
  <si>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</si>
  <si>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</si>
  <si>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</si>
  <si>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</si>
  <si>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</si>
  <si>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</si>
  <si>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</si>
  <si>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</si>
  <si>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</si>
  <si>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</si>
  <si>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</si>
  <si>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</si>
  <si>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</si>
  <si>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</si>
  <si>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</si>
  <si>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</si>
  <si>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</si>
  <si>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</si>
  <si>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</si>
  <si>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</si>
  <si>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</si>
  <si>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</si>
  <si>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</si>
  <si>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</si>
  <si>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</si>
  <si>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</si>
  <si>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</si>
  <si>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</si>
  <si>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</si>
  <si>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</si>
  <si>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</si>
  <si>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</si>
  <si>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</si>
  <si>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</si>
  <si>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</si>
  <si>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</si>
  <si>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</si>
  <si>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</si>
  <si>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</si>
  <si>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</si>
  <si>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</si>
  <si>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</si>
  <si>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</si>
  <si>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</si>
  <si>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</si>
  <si>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</si>
  <si>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</si>
  <si>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</si>
  <si>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</si>
  <si>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</si>
  <si>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</si>
  <si>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</si>
  <si>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</si>
  <si>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</si>
  <si>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</si>
  <si>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</si>
  <si>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</si>
  <si>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</si>
  <si>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</si>
  <si>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</si>
  <si>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</si>
  <si>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</si>
  <si>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</si>
  <si>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</si>
  <si>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</si>
  <si>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</si>
  <si>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</si>
  <si>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</si>
  <si>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</si>
  <si>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</si>
  <si>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</si>
  <si>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</si>
  <si>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</si>
  <si>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</si>
  <si>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</si>
  <si>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</si>
  <si>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</si>
  <si>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</si>
  <si>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</si>
  <si>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</si>
  <si>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</si>
  <si>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</si>
  <si>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</si>
  <si>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</si>
  <si>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</si>
  <si>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</si>
  <si>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</si>
  <si>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</si>
  <si>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</si>
  <si>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</si>
  <si>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</si>
  <si>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</si>
  <si>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</si>
  <si>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</si>
  <si>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</si>
  <si>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</si>
  <si>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</si>
  <si>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</si>
  <si>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</si>
  <si>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</si>
  <si>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</si>
  <si>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</si>
  <si>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</si>
  <si>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</si>
  <si>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</si>
  <si>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</si>
  <si>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</si>
  <si>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</si>
  <si>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</si>
  <si>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</si>
  <si>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</si>
  <si>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</si>
  <si>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</si>
  <si>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</si>
  <si>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</si>
  <si>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</si>
  <si>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</si>
  <si>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</si>
  <si>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</si>
  <si>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</si>
  <si>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</si>
  <si>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</si>
  <si>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</si>
  <si>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</si>
  <si>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</si>
  <si>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</si>
  <si>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</si>
  <si>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</si>
  <si>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</si>
  <si>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</si>
  <si>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</si>
  <si>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</si>
  <si>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</si>
  <si>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</si>
  <si>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</si>
  <si>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</si>
  <si>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</si>
  <si>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</si>
  <si>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</si>
  <si>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</si>
  <si>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</si>
  <si>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</si>
  <si>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</si>
  <si>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</si>
  <si>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</si>
  <si>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</si>
  <si>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</si>
  <si>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</si>
  <si>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</si>
  <si>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</si>
  <si>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</si>
  <si>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</si>
  <si>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</si>
  <si>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</si>
  <si>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</si>
  <si>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</si>
  <si>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</si>
  <si>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</si>
  <si>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</si>
  <si>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</si>
  <si>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</si>
  <si>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</si>
  <si>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</si>
  <si>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</si>
  <si>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</si>
  <si>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</si>
  <si>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</si>
  <si>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</si>
  <si>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</si>
  <si>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</si>
  <si>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</si>
  <si>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</si>
  <si>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</si>
  <si>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</si>
  <si>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</si>
  <si>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</si>
  <si>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</si>
  <si>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</si>
  <si>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</si>
  <si>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</si>
  <si>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</si>
  <si>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</si>
  <si>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</si>
  <si>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</si>
  <si>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</si>
  <si>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</si>
  <si>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</si>
  <si>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</si>
  <si>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</si>
  <si>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</si>
  <si>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</si>
  <si>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</si>
  <si>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</si>
  <si>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</si>
  <si>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</si>
  <si>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</si>
  <si>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</si>
  <si>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</si>
  <si>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</si>
  <si>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</si>
  <si>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</si>
  <si>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</si>
  <si>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</si>
  <si>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</si>
  <si>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</si>
  <si>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</si>
  <si>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</si>
  <si>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</si>
  <si>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</si>
  <si>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</si>
  <si>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</si>
  <si>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</si>
  <si>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</si>
  <si>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</si>
  <si>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</si>
  <si>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</si>
  <si>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</si>
  <si>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</si>
  <si>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</si>
  <si>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</si>
  <si>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</si>
  <si>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</si>
  <si>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</si>
  <si>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</si>
  <si>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</si>
  <si>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</si>
  <si>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</si>
  <si>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</si>
  <si>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</si>
  <si>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</si>
  <si>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</si>
  <si>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</si>
  <si>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</si>
  <si>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</si>
  <si>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</si>
  <si>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</si>
  <si>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</si>
  <si>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</si>
  <si>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</si>
  <si>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</si>
  <si>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</si>
  <si>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</si>
  <si>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</si>
  <si>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</si>
  <si>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</si>
  <si>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</si>
  <si>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</si>
  <si>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</si>
  <si>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</si>
  <si>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</si>
  <si>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</si>
  <si>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</si>
  <si>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</si>
  <si>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</si>
  <si>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</si>
  <si>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</si>
  <si>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</si>
  <si>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</si>
  <si>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</si>
  <si>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</si>
  <si>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</si>
  <si>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</si>
  <si>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</si>
  <si>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</si>
  <si>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</si>
  <si>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</si>
  <si>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</si>
  <si>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</si>
  <si>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</si>
  <si>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</si>
  <si>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</si>
  <si>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</si>
  <si>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</si>
  <si>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</si>
  <si>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</si>
  <si>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</si>
  <si>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</si>
  <si>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</si>
  <si>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</si>
  <si>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</si>
  <si>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</si>
  <si>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</si>
  <si>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</si>
  <si>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</si>
  <si>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</si>
  <si>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</si>
  <si>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</si>
  <si>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</si>
  <si>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</si>
  <si>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</si>
  <si>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</si>
  <si>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</si>
  <si>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</si>
  <si>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</si>
  <si>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</si>
  <si>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</si>
  <si>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</si>
  <si>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</si>
  <si>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</si>
  <si>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</si>
  <si>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</si>
  <si>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</si>
  <si>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</si>
  <si>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</si>
  <si>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</si>
  <si>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</si>
  <si>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</si>
  <si>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</si>
  <si>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</si>
  <si>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</si>
  <si>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</si>
  <si>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</si>
  <si>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</si>
  <si>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</si>
  <si>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</si>
  <si>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</si>
  <si>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</si>
  <si>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</si>
  <si>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</si>
  <si>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</si>
  <si>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</si>
  <si>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</si>
  <si>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</si>
  <si>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</si>
  <si>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</si>
  <si>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</si>
  <si>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</si>
  <si>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</si>
  <si>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</si>
  <si>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</si>
  <si>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</si>
  <si>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</si>
  <si>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</si>
  <si>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</si>
  <si>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</si>
  <si>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</si>
  <si>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</si>
  <si>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</si>
  <si>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</si>
  <si>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</si>
  <si>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</si>
  <si>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</si>
  <si>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</si>
  <si>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</si>
  <si>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</si>
  <si>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</si>
  <si>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</si>
  <si>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</si>
  <si>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</si>
  <si>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</si>
  <si>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</si>
  <si>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</si>
  <si>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</si>
  <si>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</si>
  <si>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</si>
  <si>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</si>
  <si>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</si>
  <si>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</si>
  <si>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</si>
  <si>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</si>
  <si>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</si>
  <si>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</si>
  <si>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</si>
  <si>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</si>
  <si>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</si>
  <si>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</si>
  <si>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</si>
  <si>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</si>
  <si>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</si>
  <si>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</si>
  <si>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</si>
  <si>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</si>
  <si>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</si>
  <si>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</si>
  <si>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</si>
  <si>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</si>
  <si>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</si>
  <si>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</si>
  <si>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</si>
  <si>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</si>
  <si>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</si>
  <si>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</si>
  <si>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</si>
  <si>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</si>
  <si>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</si>
  <si>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</si>
  <si>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</si>
  <si>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</si>
  <si>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</si>
  <si>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</si>
  <si>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</si>
  <si>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</si>
  <si>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</si>
  <si>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</si>
  <si>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</si>
  <si>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</si>
  <si>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</si>
  <si>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</si>
  <si>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</si>
  <si>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</si>
  <si>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</si>
  <si>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</si>
  <si>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</si>
  <si>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</si>
  <si>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</si>
  <si>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</si>
  <si>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</si>
  <si>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</si>
  <si>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</si>
  <si>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</si>
  <si>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</si>
  <si>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</si>
  <si>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</si>
  <si>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</si>
  <si>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</si>
  <si>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</si>
  <si>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</si>
  <si>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</si>
  <si>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</si>
  <si>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</si>
  <si>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</si>
  <si>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</si>
  <si>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</si>
  <si>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</si>
  <si>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</si>
  <si>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</si>
  <si>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</si>
  <si>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</si>
  <si>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Solar For All</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</si>
  <si>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</si>
  <si>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</si>
  <si>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</si>
  <si>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</si>
  <si>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</si>
  <si>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</si>
  <si>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</si>
  <si>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</si>
  <si>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https://www.eia.gov/outlooks/aeo/data/browser/#/?id=30-AEO2023&amp;sourcekey=0</t>
  </si>
  <si>
    <t>Sun May 04 2025 20:12:23 GMT-0700 (Pacific Daylight Time)</t>
  </si>
  <si>
    <t>Growth (2022-2050)</t>
  </si>
  <si>
    <t>Residential Equipment: Equipment Stock: Main Space Heaters: Electric Heat Pumps: Reference case</t>
  </si>
  <si>
    <t>AEO.2023.REF2023.EQNR_STK_RESD_MSHR_EHP_NA_NA_MILL.A</t>
  </si>
  <si>
    <t>Residential Equipment: Equipment Stock: Main Space Heaters: Electric Other: Reference case</t>
  </si>
  <si>
    <t>AEO.2023.REF2023.EQNR_STK_RESD_MSHR_ELO_NA_NA_MILL.A</t>
  </si>
  <si>
    <t>Residential Equipment: Equipment Stock: Main Space Heaters: Natural Gas Heat Pumps: Reference case</t>
  </si>
  <si>
    <t>AEO.2023.REF2023.EQNR_STK_RESD_MSHR_NHU_NA_NA_MILL.A</t>
  </si>
  <si>
    <t>Residential Equipment: Equipment Stock: Main Space Heaters: Natural Gas Other: Reference case</t>
  </si>
  <si>
    <t>AEO.2023.REF2023.EQNR_STK_RESD_MSHR_NGO_NA_NA_MILL.A</t>
  </si>
  <si>
    <t>Residential Equipment: Equipment Stock: Main Space Heaters: Distillate Fuel Oil: Reference case</t>
  </si>
  <si>
    <t>AEO.2023.REF2023.EQNR_STK_RESD_MSHR_DFO_NA_NA_MILL.A</t>
  </si>
  <si>
    <t>Residential Equipment: Equipment Stock: Main Space Heaters: Propane: Reference case</t>
  </si>
  <si>
    <t>AEO.2023.REF2023.EQNR_STK_RESD_MSHR_PROP_NA_NA_MILL.A</t>
  </si>
  <si>
    <t>Residential Equipment: Equipment Stock: Main Space Heaters: Kerosene: Reference case</t>
  </si>
  <si>
    <t>AEO.2023.REF2023.EQNR_STK_RESD_MSHR_KRS_NA_NA_MILL.A</t>
  </si>
  <si>
    <t>Residential Equipment: Equipment Stock: Main Space Heaters: Wood Stoves: Reference case</t>
  </si>
  <si>
    <t>AEO.2023.REF2023.EQNR_STK_RESD_MSHR_WDS_NA_NA_MILL.A</t>
  </si>
  <si>
    <t>Residential Equipment: Equipment Stock: Main Space Heaters: Geothermal Heat Pumps: Reference case</t>
  </si>
  <si>
    <t>AEO.2023.REF2023.EQNR_STK_RESD_MSHR_GEHP_NA_NA_MILL.A</t>
  </si>
  <si>
    <t>Residential Equipment: Equipment Stock: Main Space Heaters: Total: Reference case</t>
  </si>
  <si>
    <t>AEO.2023.REF2023.EQNR_STK_RESD_MSHR_TOT_NA_NA_MILL.A</t>
  </si>
  <si>
    <t>Residential Equipment: Equipment Stock: Space Cooling: Electric Heat Pumps: Reference case</t>
  </si>
  <si>
    <t>AEO.2023.REF2023.EQNR_STK_RESD_SPC_EHP_NA_NA_MILL.A</t>
  </si>
  <si>
    <t>Residential Equipment: Equipment Stock: Space Cooling: Natural Gas Heat Pumps: Reference case</t>
  </si>
  <si>
    <t>AEO.2023.REF2023.EQNR_STK_RESD_SPC_NHU_NA_NA_MILL.A</t>
  </si>
  <si>
    <t>Residential Equipment: Equipment Stock: Space Cooling: Geothermal Heat Pumps: Reference case</t>
  </si>
  <si>
    <t>AEO.2023.REF2023.EQNR_STK_RESD_SPC_GEHP_NA_NA_MILL.A</t>
  </si>
  <si>
    <t>Residential Equipment: Equipment Stock: Space Cooling: Central Air Conditioners: Reference case</t>
  </si>
  <si>
    <t>AEO.2023.REF2023.EQNR_STK_RESD_SPC_CAC_NA_NA_MILL.A</t>
  </si>
  <si>
    <t>Residential Equipment: Equipment Stock: Space Cooling: Room Air Conditioners: Reference case</t>
  </si>
  <si>
    <t>AEO.2023.REF2023.EQNR_STK_RESD_SPC_RAC_NA_NA_MILL.A</t>
  </si>
  <si>
    <t>Residential Equipment: Equipment Stock: Space Cooling: Total: Reference case</t>
  </si>
  <si>
    <t>AEO.2023.REF2023.EQNR_STK_RESD_SPC_TOT_NA_NA_MILL.A</t>
  </si>
  <si>
    <t>Residential Equipment: Equipment Stock: Water Heaters: Electric: Reference case</t>
  </si>
  <si>
    <t>AEO.2023.REF2023.EQNR_STK_RESD_WHT_ELE_NA_NA_MILL.A</t>
  </si>
  <si>
    <t>Residential Equipment: Equipment Stock: Water Heaters: Natural Gas: Reference case</t>
  </si>
  <si>
    <t>AEO.2023.REF2023.EQNR_STK_RESD_WHT_NG_NA_NA_MILL.A</t>
  </si>
  <si>
    <t>Residential Equipment: Equipment Stock: Water Heaters: Distillate Fuel Oil: Reference case</t>
  </si>
  <si>
    <t>AEO.2023.REF2023.EQNR_STK_RESD_WHT_DFO_NA_NA_MILL.A</t>
  </si>
  <si>
    <t>Residential Equipment: Equipment Stock: Water Heaters: Propane: Reference case</t>
  </si>
  <si>
    <t>AEO.2023.REF2023.EQNR_STK_RESD_WHT_PROP_NA_NA_MILL.A</t>
  </si>
  <si>
    <t>Residential Equipment: Equipment Stock: Water Heaters: Solar Thermal: Reference case</t>
  </si>
  <si>
    <t>AEO.2023.REF2023.EQNR_STK_RESD_WHT_SLR_THERM_NA_MILL.A</t>
  </si>
  <si>
    <t>Residential Equipment: Equipment Stock: Water Heaters: Total: Reference case</t>
  </si>
  <si>
    <t>AEO.2023.REF2023.EQNR_STK_RESD_WHT_TOT_NA_NA_MILL.A</t>
  </si>
  <si>
    <t>Residential Equipment: Equipment Stock: Cooking Equipment: Electric: Reference case</t>
  </si>
  <si>
    <t>AEO.2023.REF2023.EQNR_STK_RESD_CER_ELE_NA_NA_MILL.A</t>
  </si>
  <si>
    <t>Residential Equipment: Equipment Stock: Cooking Equipment: Natural Gas: Reference case</t>
  </si>
  <si>
    <t>AEO.2023.REF2023.EQNR_STK_RESD_CER_NG_NA_NA_MILL.A</t>
  </si>
  <si>
    <t>Residential Equipment: Equipment Stock: Cooking Equipment: Propane: Reference case</t>
  </si>
  <si>
    <t>AEO.2023.REF2023.EQNR_STK_RESD_CER_PROP_NA_NA_MILL.A</t>
  </si>
  <si>
    <t>Residential Equipment: Equipment Stock: Cooking Equipment: Total: Reference case</t>
  </si>
  <si>
    <t>AEO.2023.REF2023.EQNR_STK_RESD_CER_TOT_NA_NA_MILL.A</t>
  </si>
  <si>
    <t>Residential Equipment: Equipment Stock: Clothes Dryers: Electric: Reference case</t>
  </si>
  <si>
    <t>AEO.2023.REF2023.EQNR_STK_RESD_CDR_ELE_NA_NA_MILL.A</t>
  </si>
  <si>
    <t>Residential Equipment: Equipment Stock: Clothes Dryers: Natural Gas: Reference case</t>
  </si>
  <si>
    <t>AEO.2023.REF2023.EQNR_STK_RESD_CDR_NG_NA_NA_MILL.A</t>
  </si>
  <si>
    <t>Residential Equipment: Equipment Stock: Clothes Dryers: Total: Reference case</t>
  </si>
  <si>
    <t>AEO.2023.REF2023.EQNR_STK_RESD_CDR_TOT_NA_NA_MILL.A</t>
  </si>
  <si>
    <t>Residential Equipment: Equipment Stock: Other Appliances: Refrigerators: Reference case</t>
  </si>
  <si>
    <t>AEO.2023.REF2023.EQNR_STK_RESD_OTAR_RFG_NA_NA_MILL.A</t>
  </si>
  <si>
    <t>Residential Equipment: Equipment Stock: Other Appliances: Freezers: Reference case</t>
  </si>
  <si>
    <t>AEO.2023.REF2023.EQNR_STK_RESD_OTAR_FRZ_NA_NA_MILL.A</t>
  </si>
  <si>
    <t>Residential Equipment: Stock Average Efficiency: Main Space Heaters: Electric Heat Pumps: Reference case</t>
  </si>
  <si>
    <t>AEO.2023.REF2023.EFI_STK_RESD_SPHR_EHP_NA_NA_HSPF.A</t>
  </si>
  <si>
    <t>Residential Equipment: Stock Average Efficiency: Main Space Heaters: Natural Gas Heat Pumps: Reference case</t>
  </si>
  <si>
    <t>AEO.2023.REF2023.EFI_STK_RESD_SPHR_NHU_NA_NA_GCOP.A</t>
  </si>
  <si>
    <t>Residential Equipment: Stock Average Efficiency: Main Space Heaters: Geothermal Heat Pumps: Reference case</t>
  </si>
  <si>
    <t>AEO.2023.REF2023.EFI_STK_RESD_SPHR_GEHP_NA_NA_COP.A</t>
  </si>
  <si>
    <t>Residential Equipment: Stock Average Efficiency: Main Space Heaters: Natural Gas Furnace: Reference case</t>
  </si>
  <si>
    <t>AEO.2023.REF2023.EFI_STK_RESD_SPHR_NFR_NA_NA_AFUE.A</t>
  </si>
  <si>
    <t>Residential Equipment: Stock Average Efficiency: Main Space Heaters: Distillate Furnace: Reference case</t>
  </si>
  <si>
    <t>AEO.2023.REF2023.EFI_STK_RESD_SPHR_DFR_NA_NA_AFUE.A</t>
  </si>
  <si>
    <t>Residential Equipment: Stock Average Efficiency: Space Cooling: Electric Heat Pumps: Reference case</t>
  </si>
  <si>
    <t>AEO.2023.REF2023.EFI_STK_RESD_SPC_EHP_NA_NA_SEER.A</t>
  </si>
  <si>
    <t>Residential Equipment: Stock Average Efficiency: Space Cooling: Natural Gas Heat Pumps: Reference case</t>
  </si>
  <si>
    <t>AEO.2023.REF2023.EFI_STK_RESD_SPC_NHU_NA_NA_GCOP.A</t>
  </si>
  <si>
    <t>Residential Equipment: Stock Average Efficiency: Space Cooling: Geothermal Heat Pumps: Reference case</t>
  </si>
  <si>
    <t>AEO.2023.REF2023.EFI_STK_RESD_SPC_GEHP_NA_NA_EER.A</t>
  </si>
  <si>
    <t>Residential Equipment: Stock Average Efficiency: Space Cooling: Central Air Conditioners: Reference case</t>
  </si>
  <si>
    <t>AEO.2023.REF2023.EFI_STK_RESD_SPC_CAC_NA_NA_SEER.A</t>
  </si>
  <si>
    <t>Residential Equipment: Stock Average Efficiency: Space Cooling: Room Air Conditioners: Reference case</t>
  </si>
  <si>
    <t>AEO.2023.REF2023.EFI_STK_RESD_SPC_RAC_NA_NA_EER.A</t>
  </si>
  <si>
    <t>Residential Equipment: Stock Average Efficiency: Water Heaters: Electric: Reference case</t>
  </si>
  <si>
    <t>AEO.2023.REF2023.EFI_STK_RESD_WHT_ELE_NA_NA_EF.A</t>
  </si>
  <si>
    <t>Residential Equipment: Stock Average Efficiency: Water Heaters: Natural Gas: Reference case</t>
  </si>
  <si>
    <t>AEO.2023.REF2023.EFI_STK_RESD_WHT_NG_NA_NA_EF.A</t>
  </si>
  <si>
    <t>Residential Equipment: Stock Average Efficiency: Water Heaters: Distillate Fuel Oil: Reference case</t>
  </si>
  <si>
    <t>AEO.2023.REF2023.EFI_STK_RESD_WHT_DFO_NA_NA_EF.A</t>
  </si>
  <si>
    <t>Residential Equipment: Stock Average Efficiency: Water Heaters: Propane: Reference case</t>
  </si>
  <si>
    <t>AEO.2023.REF2023.EFI_STK_RESD_WHT_PROP_NA_NA_EF.A</t>
  </si>
  <si>
    <t>Residential Equipment: Stock Average Efficiency: Other Appliances: Refrigerators: Reference case</t>
  </si>
  <si>
    <t>AEO.2023.REF2023.EFI_STK_RESD_OTAR_RFG_NA_NA_KWH.A</t>
  </si>
  <si>
    <t>Residential Equipment: Stock Average Efficiency: Other Appliances: Freezers: Reference case</t>
  </si>
  <si>
    <t>AEO.2023.REF2023.EFI_STK_RESD_OTAR_FRZ_NA_NA_KWH.A</t>
  </si>
  <si>
    <t>Residential Equipment: Building Shell Efficiency Index: Space Heating: Pre-2015 Homes: Reference case</t>
  </si>
  <si>
    <t>AEO.2023.REF2023.EFI_BSE_RESD_SPH_OLD_NA_NA_Y15EQ1.A</t>
  </si>
  <si>
    <t>Residential Equipment: Building Shell Efficiency Index: Space Heating: New Construction: Reference case</t>
  </si>
  <si>
    <t>AEO.2023.REF2023.EFI_BSE_RESD_SPH_NCO_NA_NA_Y15EQ1.A</t>
  </si>
  <si>
    <t>Residential Equipment: Building Shell Efficiency Index: Space Heating: All Homes: Reference case</t>
  </si>
  <si>
    <t>AEO.2023.REF2023.EFI_BSE_RESD_SPH_AHM_NA_NA_Y15EQ1.A</t>
  </si>
  <si>
    <t>Residential Equipment: Building Shell Efficiency Index: Space Cooling: Pre-2015 Homes: Reference case</t>
  </si>
  <si>
    <t>AEO.2023.REF2023.EFI_BSE_RESD_SPC_OLD_NA_NA_Y15EQ1.A</t>
  </si>
  <si>
    <t>Residential Equipment: Building Shell Efficiency Index: Space Cooling: New Construction: Reference case</t>
  </si>
  <si>
    <t>AEO.2023.REF2023.EFI_BSE_RESD_SPC_NCO_NA_NA_Y15EQ1.A</t>
  </si>
  <si>
    <t>Residential Equipment: Building Shell Efficiency Index: Space Cooling: All Homes: Reference case</t>
  </si>
  <si>
    <t>AEO.2023.REF2023.EFI_BSE_RESD_SPC_AHM_NA_NA_Y15EQ1.A</t>
  </si>
  <si>
    <t>Residential: Combined Heat and Power: Generating Capacity: Fuel Cells: Reference case</t>
  </si>
  <si>
    <t>AEO.2023.REF2023.CAP_NA_COMM_CHP_FCL_NA_NA_MW.A</t>
  </si>
  <si>
    <t>Residential: Combined Heat and Power: Generating Capacity: Solar Photovoltaic: Reference case</t>
  </si>
  <si>
    <t>AEO.2023.REF2023.CAP_NA_RESD_CHP_SLR_PHTVL_NA_MW.A</t>
  </si>
  <si>
    <t>Residential: Combined Heat and Power: Generating Capacity: Wind: Reference case</t>
  </si>
  <si>
    <t>AEO.2023.REF2023.CAP_NA_RESD_CHP_WND_NA_NA_MW.A</t>
  </si>
  <si>
    <t>Residential: Combined Heat and Power: Generating Capacity: Total: Reference case</t>
  </si>
  <si>
    <t>AEO.2023.REF2023.CAP_NA_RESD_CHP_TOT_NA_NA_MW.A</t>
  </si>
  <si>
    <t>Residential: Combined Heat and Power: Net Generation: Fuel Cells: Reference case</t>
  </si>
  <si>
    <t>AEO.2023.REF2023.GEN_NA_COMM_CHP_FCL_NA_NA_MILLKWH.A</t>
  </si>
  <si>
    <t>Residential: Combined Heat and Power: Net Generation: Solar Photovoltaic: Reference case</t>
  </si>
  <si>
    <t>AEO.2023.REF2023.GEN_NA_COMM_CHP_SLR_PHTVL_NA_MILLKWH.A</t>
  </si>
  <si>
    <t>Residential: Combined Heat and Power: Net Generation: Wind: Reference case</t>
  </si>
  <si>
    <t>AEO.2023.REF2023.GEN_NA_COMM_CHP_WND_NA_NA_MILLKWH.A</t>
  </si>
  <si>
    <t>Residential: Combined Heat and Power: Net Generation: Total: Reference case</t>
  </si>
  <si>
    <t>AEO.2023.REF2023.GEN_NA_COMM_CHP_TOT_NA_NA_MILLKWH.A</t>
  </si>
  <si>
    <t>Residential: Combined Heat and Power: Net Generation: Sales to the Grid: Reference case</t>
  </si>
  <si>
    <t>AEO.2023.REF2023.GEN_NA_COMM_CHP_STG_NA_NA_MILLKWH.A</t>
  </si>
  <si>
    <t>Residential: Combined Heat and Power: Net Generation: Generation for Own Use: Reference case</t>
  </si>
  <si>
    <t>AEO.2023.REF2023.GEN_NA_COMM_CHP_GFO_NA_NA_MILLKWH.A</t>
  </si>
  <si>
    <t>Residential: Combined Heat and Power: Energy Input: Fuel Cells: Reference case</t>
  </si>
  <si>
    <t>AEO.2023.REF2023.CNSM_NA_COMM_CHP_FCL_NA_NA_TRLBTU.A</t>
  </si>
  <si>
    <t>Residential: Combined Heat and Power: Energy Input: Solar Photovoltaic: Reference case</t>
  </si>
  <si>
    <t>AEO.2023.REF2023.CNSM_NA_COMM_CHP_SLR_PHTVL_NA_TRLBTU.A</t>
  </si>
  <si>
    <t>Residential: Combined Heat and Power: Energy Input: Wind: Reference case</t>
  </si>
  <si>
    <t>AEO.2023.REF2023.CNSM_NA_COMM_CHP_WND_NA_NA_TRLBTU.A</t>
  </si>
  <si>
    <t>Residential: Combined Heat and Power: Energy Input: Total: Reference case</t>
  </si>
  <si>
    <t>AEO.2023.REF2023.CNSM_NA_COMM_CHP_TOT_NA_NA_TRLBTU.A</t>
  </si>
  <si>
    <t>https://www.eia.gov/outlooks/aeo/data/browser/#/?id=32-AEO2023&amp;cases=ref2023&amp;sourcekey=0</t>
  </si>
  <si>
    <t>Sun May 04 2025 20:16:27 GMT-0700 (Pacific Daylight Time)</t>
  </si>
  <si>
    <t>Commercial: Gross End-use: Assembly: Reference case</t>
  </si>
  <si>
    <t>AEO.2023.REF2023.#N/A.A</t>
  </si>
  <si>
    <t>Commercial: Gross End-use: Education: Reference case</t>
  </si>
  <si>
    <t>Commercial: Gross End-use: Food Sales: Reference case</t>
  </si>
  <si>
    <t>Commercial: Gross End-use: Food Service: Reference case</t>
  </si>
  <si>
    <t>Commercial: Gross End-use: Health Care: Reference case</t>
  </si>
  <si>
    <t>Commercial: Gross End-use: Lodging: Reference case</t>
  </si>
  <si>
    <t>Commercial: Gross End-use: Office - Large: Reference case</t>
  </si>
  <si>
    <t>Commercial: Gross End-use: Office - Small: Reference case</t>
  </si>
  <si>
    <t>Commercial: Gross End-use: Mercantile/Service: Reference case</t>
  </si>
  <si>
    <t>Commercial: Gross End-use: Warehouse: Reference case</t>
  </si>
  <si>
    <t>Commercial: Gross End-use: Other: Reference case</t>
  </si>
  <si>
    <t>Commercial: Gross End-use: Total: Reference case</t>
  </si>
  <si>
    <t>Commercial: Floorspace: Assembly: Reference case</t>
  </si>
  <si>
    <t>AEO.2023.REF2023.KEI_FLR_COMM_ASB_NA_NA_NA_BLNSQFT.A</t>
  </si>
  <si>
    <t>Commercial: Floorspace: Education: Reference case</t>
  </si>
  <si>
    <t>AEO.2023.REF2023.KEI_FLR_COMM_EDD_NA_NA_NA_BLNSQFT.A</t>
  </si>
  <si>
    <t>Commercial: Floorspace: Food Sales: Reference case</t>
  </si>
  <si>
    <t>AEO.2023.REF2023.KEI_FLR_COMM_FDSA_NA_NA_NA_BLNSQFT.A</t>
  </si>
  <si>
    <t>Commercial: Floorspace: Food Service: Reference case</t>
  </si>
  <si>
    <t>AEO.2023.REF2023.KEI_FLR_COMM_FSC_NA_NA_NA_BLNSQFT.A</t>
  </si>
  <si>
    <t>Commercial: Floorspace: Health Care: Reference case</t>
  </si>
  <si>
    <t>AEO.2023.REF2023.KEI_FLR_COMM_HLC_NA_NA_NA_BLNSQFT.A</t>
  </si>
  <si>
    <t>Commercial: Floorspace: Lodging: Reference case</t>
  </si>
  <si>
    <t>AEO.2023.REF2023.KEI_FLR_COMM_LGC_NA_NA_NA_BLNSQFT.A</t>
  </si>
  <si>
    <t>Commercial: Floorspace: Office - Large: Reference case</t>
  </si>
  <si>
    <t>AEO.2023.REF2023.KEI_FLR_COMM_OFLC_NA_NA_NA_BLNSQFT.A</t>
  </si>
  <si>
    <t>Commercial: Floorspace: Office - Small: Reference case</t>
  </si>
  <si>
    <t>AEO.2023.REF2023.KEI_FLR_COMM_OFSC_NA_NA_NA_BLNSQFT.A</t>
  </si>
  <si>
    <t>Commercial: Floorspace: Mercantile/Service: Reference case</t>
  </si>
  <si>
    <t>AEO.2023.REF2023.KEI_FLR_COMM_MCSC_NA_NA_NA_BLNSQFT.A</t>
  </si>
  <si>
    <t>Commercial: Floorspace: Warehouse: Reference case</t>
  </si>
  <si>
    <t>AEO.2023.REF2023.KEI_FLR_COMM_WHRC_NA_NA_NA_BLNSQFT.A</t>
  </si>
  <si>
    <t>Commercial: Floorspace: Other: Reference case</t>
  </si>
  <si>
    <t>AEO.2023.REF2023.KEI_FLR_COMM_OTHU_NA_NA_NA_BLNSQFT.A</t>
  </si>
  <si>
    <t>Commercial: Floorspace: Total: Reference case</t>
  </si>
  <si>
    <t>AEO.2023.REF2023.KEI_FLR_COMM_NA_NA_NA_NA_BLNSQFT.A</t>
  </si>
  <si>
    <t>Commercial: Stock Average Efficiency: Space Heating: Electricity: Reference case</t>
  </si>
  <si>
    <t>AEO.2023.REF2023.EFF_STKE_COMM_SPH_ELC_NA_NA_BTUOTPBTUIN.A</t>
  </si>
  <si>
    <t>Commercial: Stock Average Efficiency: Space Heating: Natural Gas: Reference case</t>
  </si>
  <si>
    <t>AEO.2023.REF2023.EFF_STKE_COMM_SPH_NG_NA_NA_BTUOTPBTUIN.A</t>
  </si>
  <si>
    <t>Commercial: Stock Average Efficiency: Space Heating: Distillate Fuel Oil: Reference case</t>
  </si>
  <si>
    <t>AEO.2023.REF2023.EFF_STKE_COMM_SPH_DFO_NA_NA_BTUOTPBTUIN.A</t>
  </si>
  <si>
    <t>Commercial: Stock Average Efficiency: Space Cooling: Electricity: Reference case</t>
  </si>
  <si>
    <t>AEO.2023.REF2023.EFF_STKE_COMM_SPC_ELC_NA_NA_BTUOTPBTUIN.A</t>
  </si>
  <si>
    <t>Commercial: Stock Average Efficiency: Space Cooling: Natural Gas: Reference case</t>
  </si>
  <si>
    <t>AEO.2023.REF2023.EFF_STKE_COMM_SPC_NG_NA_NA_BTUOTPBTUIN.A</t>
  </si>
  <si>
    <t>Commercial: Stock Average Efficiency: Water Heating: Electricity: Reference case</t>
  </si>
  <si>
    <t>AEO.2023.REF2023.EFF_STKE_COMM_WTHT_ELC_NA_NA_BTUOTPBTUIN.A</t>
  </si>
  <si>
    <t>Commercial: Stock Average Efficiency: Water Heating: Natural Gas: Reference case</t>
  </si>
  <si>
    <t>AEO.2023.REF2023.EFF_STKE_COMM_WTHT_NG_NA_NA_BTUOTPBTUIN.A</t>
  </si>
  <si>
    <t>Commercial: Stock Average Efficiency: Water Heating: Distillate Fuel Oil: Reference case</t>
  </si>
  <si>
    <t>AEO.2023.REF2023.EFF_STKE_COMM_WTHT_DFO_NA_NA_BTUOTPBTUIN.A</t>
  </si>
  <si>
    <t>Commercial: Stock Average Efficiency: Ventilation: Electricity: Reference case</t>
  </si>
  <si>
    <t>AEO.2023.REF2023.EFF_STKE_COMM_VNTC_ELC_NA_NA_CUFTPMINPBTU.A</t>
  </si>
  <si>
    <t>Commercial: Stock Average Efficiency: Cooking: Electricity: Reference case</t>
  </si>
  <si>
    <t>AEO.2023.REF2023.EFF_STKE_COMM_CGR_ELC_NA_NA_BTUOTPBTUIN.A</t>
  </si>
  <si>
    <t>Commercial: Stock Average Efficiency: Cooking: Natural Gas: Reference case</t>
  </si>
  <si>
    <t>AEO.2023.REF2023.EFF_STKE_COMM_CGR_NG_NA_NA_BTUOTPBTUIN.A</t>
  </si>
  <si>
    <t>Commercial: Stock Average Efficiency: Lighting Efficacy: Electricity: Reference case</t>
  </si>
  <si>
    <t>AEO.2023.REF2023.EFF_STKE_COMM_LGHTNG_ELC_NA_NA_LMNPWATT.A</t>
  </si>
  <si>
    <t>Commercial: Stock Average Efficiency: Refrigeration: Electricity: Reference case</t>
  </si>
  <si>
    <t>AEO.2023.REF2023.EFF_STKE_COMM_REFR_ELC_NA_NA_BTUOTPBTUIN.A</t>
  </si>
  <si>
    <t>Commercial: Combined Heat and Power: Generating Capacity: Petroleum: Reference case</t>
  </si>
  <si>
    <t>AEO.2023.REF2023.CAP_NA_COMM_CHP_PET_NA_NA_MW.A</t>
  </si>
  <si>
    <t>Commercial: Combined Heat and Power: Generating Capacity: Natural Gas: Reference case</t>
  </si>
  <si>
    <t>AEO.2023.REF2023.CAP_NA_COMM_CHP_NG_NA_NA_MW.A</t>
  </si>
  <si>
    <t>Commercial: Combined Heat and Power: Generating Capacity: Solar Photovoltaic: Reference case</t>
  </si>
  <si>
    <t>AEO.2023.REF2023.CAP_NA_COMM_CHP_SLR_PHTVL_NA_MW.A</t>
  </si>
  <si>
    <t>Commercial: Combined Heat and Power: Generating Capacity: Wind: Reference case</t>
  </si>
  <si>
    <t>AEO.2023.REF2023.CAP_NA_COMM_CHP_WND_NA_NA_MW.A</t>
  </si>
  <si>
    <t>Commercial: Combined Heat and Power: Generating Capacity: Other: Reference case</t>
  </si>
  <si>
    <t>AEO.2023.REF2023.CAP_NA_COMM_CHP_OTH_NA_NA_MW.A</t>
  </si>
  <si>
    <t>Commercial: Combined Heat and Power: Generating Capacity: Total: Reference case</t>
  </si>
  <si>
    <t>AEO.2023.REF2023.CAP_NA_COMM_CHP_TOT_NA_NA_MW.A</t>
  </si>
  <si>
    <t>Commercial: Combined Heat and Power: Net Generation: Petroleum: Reference case</t>
  </si>
  <si>
    <t>AEO.2023.REF2023.GEN_NA_COMM_CHP_PET_NA_NA_MILLKWH.A</t>
  </si>
  <si>
    <t>Commercial: Combined Heat and Power: Net Generation: Natural Gas: Reference case</t>
  </si>
  <si>
    <t>AEO.2023.REF2023.GEN_NA_COMM_CHP_NG_NA_NA_MILLKWH.A</t>
  </si>
  <si>
    <t>Commercial: Combined Heat and Power: Net Generation: Solar Photovoltaic: Reference case</t>
  </si>
  <si>
    <t>Commercial: Combined Heat and Power: Net Generation: Wind: Reference case</t>
  </si>
  <si>
    <t>Commercial: Combined Heat and Power: Net Generation: Other: Reference case</t>
  </si>
  <si>
    <t>AEO.2023.REF2023.GEN_NA_COMM_CHP_OTH_NA_NA_MILLKWH.A</t>
  </si>
  <si>
    <t>Commercial: Combined Heat and Power: Net Generation: Total: Reference case</t>
  </si>
  <si>
    <t>Commercial: Combined Heat and Power: Net Generation: Sales to the Grid: Reference case</t>
  </si>
  <si>
    <t>Commercial: Combined Heat and Power: Net Generation: Generation for Own Use: Reference case</t>
  </si>
  <si>
    <t>Commercial: Combined Heat and Power: Energy Input: Petroleum: Reference case</t>
  </si>
  <si>
    <t>AEO.2023.REF2023.CNSM_NA_COMM_CHP_PET_NA_NA_TRLBTU.A</t>
  </si>
  <si>
    <t>Commercial: Combined Heat and Power: Energy Input: Natural Gas: Reference case</t>
  </si>
  <si>
    <t>AEO.2023.REF2023.CNSM_NA_COMM_CHP_NG_NA_NA_TRLBTU.A</t>
  </si>
  <si>
    <t>Commercial: Combined Heat and Power: Energy Input: Solar Photovoltaic: Reference case</t>
  </si>
  <si>
    <t>Commercial: Combined Heat and Power: Energy Input: Wind: Reference case</t>
  </si>
  <si>
    <t>Commercial: Combined Heat and Power: Energy Input: Other: Reference case</t>
  </si>
  <si>
    <t>AEO.2023.REF2023.CNSM_NA_COMM_CHP_OTH_NA_NA_TRLBTU.A</t>
  </si>
  <si>
    <t>Commercial: Combined Heat and Power: Energy Input: Total: Reference case</t>
  </si>
  <si>
    <t>EPA Press Release, cumulative GW distributed solar:</t>
  </si>
  <si>
    <t>https://www.epa.gov/greenhouse-gas-reduction-fund/solar-all-fast-facts</t>
  </si>
  <si>
    <t>Tax credit ends in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</si>
</sst>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0.000E+00"/>
    <numFmt numFmtId="167" formatCode="_(* #,##0_);_(* \(#,##0\);_(* &quot;-&quot;??_);_(@_)"/>
    <numFmt numFmtId="168" formatCode="0.0000E+00"/>
  </numFmts>
  <fonts count="38"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s>
  <fills count="40">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
      <patternFill patternType="solid">
        <fgColor rgb="FFFFFF00"/>
        <bgColor indexed="64"/>
      </patternFill>
    </fill>
    <fill>
      <patternFill patternType="solid">
        <fgColor theme="5" tint="0.79998168889431442"/>
        <bgColor indexed="64"/>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0" fontId="33" fillId="0" borderId="0"/>
  </cellStyleXfs>
  <cellXfs count="63">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3" applyFont="1" applyFill="1"/>
    <xf numFmtId="0" fontId="35" fillId="37" borderId="0" xfId="53" applyFont="1" applyFill="1" applyAlignment="1">
      <alignment horizontal="right"/>
    </xf>
    <xf numFmtId="0" fontId="33" fillId="0" borderId="0" xfId="53"/>
    <xf numFmtId="0" fontId="12" fillId="0" borderId="0" xfId="53" applyFont="1"/>
    <xf numFmtId="0" fontId="8" fillId="0" borderId="0" xfId="53" applyFont="1"/>
    <xf numFmtId="10" fontId="12" fillId="0" borderId="0" xfId="53" applyNumberFormat="1" applyFont="1"/>
    <xf numFmtId="0" fontId="34" fillId="0" borderId="0" xfId="53" applyFont="1" applyAlignment="1">
      <alignment horizontal="right"/>
    </xf>
    <xf numFmtId="0" fontId="35" fillId="0" borderId="0" xfId="53" applyFont="1" applyAlignment="1">
      <alignment horizontal="left"/>
    </xf>
    <xf numFmtId="0" fontId="12" fillId="0" borderId="0" xfId="53" applyFont="1" applyAlignment="1">
      <alignment wrapText="1"/>
    </xf>
    <xf numFmtId="1" fontId="33" fillId="0" borderId="0" xfId="53" applyNumberFormat="1"/>
    <xf numFmtId="9" fontId="0" fillId="0" borderId="0" xfId="8" applyFont="1"/>
    <xf numFmtId="0" fontId="1" fillId="38" borderId="0" xfId="0" applyFont="1" applyFill="1"/>
    <xf numFmtId="0" fontId="0" fillId="38" borderId="0" xfId="0" applyFill="1"/>
    <xf numFmtId="0" fontId="0" fillId="38" borderId="0" xfId="0" applyFill="1" applyAlignment="1">
      <alignment wrapText="1"/>
    </xf>
    <xf numFmtId="0" fontId="33" fillId="38" borderId="0" xfId="53" applyFill="1"/>
    <xf numFmtId="0" fontId="36" fillId="0" borderId="0" xfId="0" applyFont="1"/>
    <xf numFmtId="0" fontId="37" fillId="0" borderId="0" xfId="0" applyFont="1" applyAlignment="1">
      <alignment vertical="center"/>
    </xf>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xf numFmtId="0" fontId="0" fillId="39" borderId="0" xfId="0" applyFill="1"/>
  </cellXfs>
  <cellStyles count="54">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3" xfId="53"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1.6261636849348336E-3</c:v>
                </c:pt>
                <c:pt idx="16">
                  <c:v>4.0654092123370835E-3</c:v>
                </c:pt>
                <c:pt idx="17">
                  <c:v>8.1308184246741671E-3</c:v>
                </c:pt>
                <c:pt idx="18">
                  <c:v>1.707471869181575E-2</c:v>
                </c:pt>
                <c:pt idx="19">
                  <c:v>3.3336355541164091E-2</c:v>
                </c:pt>
                <c:pt idx="20">
                  <c:v>6.3420383712458506E-2</c:v>
                </c:pt>
                <c:pt idx="21">
                  <c:v>0.11870994900024284</c:v>
                </c:pt>
                <c:pt idx="22">
                  <c:v>0.22034517930866993</c:v>
                </c:pt>
                <c:pt idx="23">
                  <c:v>0.32116732777462964</c:v>
                </c:pt>
                <c:pt idx="24">
                  <c:v>0.42280255808305667</c:v>
                </c:pt>
                <c:pt idx="25">
                  <c:v>0.52443778839148369</c:v>
                </c:pt>
                <c:pt idx="26">
                  <c:v>0.62607301869991083</c:v>
                </c:pt>
                <c:pt idx="27">
                  <c:v>0.72852133085080539</c:v>
                </c:pt>
                <c:pt idx="28">
                  <c:v>0.83096964300169973</c:v>
                </c:pt>
                <c:pt idx="29">
                  <c:v>0.93260487331012709</c:v>
                </c:pt>
                <c:pt idx="30">
                  <c:v>1.0350531854610217</c:v>
                </c:pt>
                <c:pt idx="31">
                  <c:v>1.137501497611916</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11.571780781996274</c:v>
                </c:pt>
                <c:pt idx="2">
                  <c:v>11.571780781996274</c:v>
                </c:pt>
                <c:pt idx="3">
                  <c:v>11.571780781996274</c:v>
                </c:pt>
                <c:pt idx="4">
                  <c:v>11.571780781996274</c:v>
                </c:pt>
                <c:pt idx="5">
                  <c:v>11.571780781996274</c:v>
                </c:pt>
                <c:pt idx="6">
                  <c:v>11.571780781996274</c:v>
                </c:pt>
                <c:pt idx="7">
                  <c:v>11.571780781996274</c:v>
                </c:pt>
                <c:pt idx="8">
                  <c:v>11.571780781996274</c:v>
                </c:pt>
                <c:pt idx="9">
                  <c:v>11.571780781996274</c:v>
                </c:pt>
                <c:pt idx="10">
                  <c:v>11.571780781996274</c:v>
                </c:pt>
                <c:pt idx="11">
                  <c:v>11.571780781996274</c:v>
                </c:pt>
                <c:pt idx="12">
                  <c:v>11.571780781996274</c:v>
                </c:pt>
                <c:pt idx="13">
                  <c:v>11.572593863838744</c:v>
                </c:pt>
                <c:pt idx="14">
                  <c:v>11.572593863838744</c:v>
                </c:pt>
                <c:pt idx="15">
                  <c:v>11.575033109366146</c:v>
                </c:pt>
                <c:pt idx="16">
                  <c:v>11.579911600420949</c:v>
                </c:pt>
                <c:pt idx="17">
                  <c:v>11.588855500688091</c:v>
                </c:pt>
                <c:pt idx="18">
                  <c:v>11.605930219379907</c:v>
                </c:pt>
                <c:pt idx="19">
                  <c:v>11.638453493078604</c:v>
                </c:pt>
                <c:pt idx="20">
                  <c:v>11.698621549421192</c:v>
                </c:pt>
                <c:pt idx="21">
                  <c:v>11.81001376183923</c:v>
                </c:pt>
                <c:pt idx="22">
                  <c:v>12.011658058771149</c:v>
                </c:pt>
                <c:pt idx="23">
                  <c:v>12.214115437545535</c:v>
                </c:pt>
                <c:pt idx="24">
                  <c:v>12.417385898162388</c:v>
                </c:pt>
                <c:pt idx="25">
                  <c:v>12.620656358779241</c:v>
                </c:pt>
                <c:pt idx="26">
                  <c:v>12.824739901238564</c:v>
                </c:pt>
                <c:pt idx="27">
                  <c:v>13.028823443697886</c:v>
                </c:pt>
                <c:pt idx="28">
                  <c:v>13.232906986157209</c:v>
                </c:pt>
                <c:pt idx="29">
                  <c:v>13.437803610458998</c:v>
                </c:pt>
                <c:pt idx="30">
                  <c:v>13.642700234760786</c:v>
                </c:pt>
                <c:pt idx="31">
                  <c:v>13.847596859062577</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14894.199872095845</c:v>
                </c:pt>
                <c:pt idx="2">
                  <c:v>17296.296503197602</c:v>
                </c:pt>
                <c:pt idx="3">
                  <c:v>21092.010533797456</c:v>
                </c:pt>
                <c:pt idx="4">
                  <c:v>23113.409236946489</c:v>
                </c:pt>
                <c:pt idx="5">
                  <c:v>25463.706863110172</c:v>
                </c:pt>
                <c:pt idx="6">
                  <c:v>27818.03818829434</c:v>
                </c:pt>
                <c:pt idx="7">
                  <c:v>30167.286125799401</c:v>
                </c:pt>
                <c:pt idx="8">
                  <c:v>32594.825713915645</c:v>
                </c:pt>
                <c:pt idx="9">
                  <c:v>35094.47021290374</c:v>
                </c:pt>
                <c:pt idx="10">
                  <c:v>37709.943098842385</c:v>
                </c:pt>
                <c:pt idx="11">
                  <c:v>40422.457302679504</c:v>
                </c:pt>
                <c:pt idx="12">
                  <c:v>43273.072644377884</c:v>
                </c:pt>
                <c:pt idx="13">
                  <c:v>46324.650920424188</c:v>
                </c:pt>
                <c:pt idx="14">
                  <c:v>49421.337350926893</c:v>
                </c:pt>
                <c:pt idx="15">
                  <c:v>52604.78611867562</c:v>
                </c:pt>
                <c:pt idx="16">
                  <c:v>55382.019197927628</c:v>
                </c:pt>
                <c:pt idx="17">
                  <c:v>58309.063419736085</c:v>
                </c:pt>
                <c:pt idx="18">
                  <c:v>61362.102803853304</c:v>
                </c:pt>
                <c:pt idx="19">
                  <c:v>64646.954260503517</c:v>
                </c:pt>
                <c:pt idx="20">
                  <c:v>68173.747163280175</c:v>
                </c:pt>
                <c:pt idx="21">
                  <c:v>71943.692191046706</c:v>
                </c:pt>
                <c:pt idx="22">
                  <c:v>75947.18034258885</c:v>
                </c:pt>
                <c:pt idx="23">
                  <c:v>80184.142505949974</c:v>
                </c:pt>
                <c:pt idx="24">
                  <c:v>84684.826138751727</c:v>
                </c:pt>
                <c:pt idx="25">
                  <c:v>89364.104011333271</c:v>
                </c:pt>
                <c:pt idx="26">
                  <c:v>94298.120425159883</c:v>
                </c:pt>
                <c:pt idx="27">
                  <c:v>99417.877255079729</c:v>
                </c:pt>
                <c:pt idx="28">
                  <c:v>104722.07763555412</c:v>
                </c:pt>
                <c:pt idx="29">
                  <c:v>110306.69286877681</c:v>
                </c:pt>
                <c:pt idx="30">
                  <c:v>116022.1858207723</c:v>
                </c:pt>
                <c:pt idx="31">
                  <c:v>121940.78824317978</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3.7383631506516634E-4</c:v>
                </c:pt>
                <c:pt idx="16">
                  <c:v>9.3459078766291591E-4</c:v>
                </c:pt>
                <c:pt idx="17">
                  <c:v>1.8691815753258318E-3</c:v>
                </c:pt>
                <c:pt idx="18">
                  <c:v>3.9252813081842464E-3</c:v>
                </c:pt>
                <c:pt idx="19">
                  <c:v>7.6636444588359101E-3</c:v>
                </c:pt>
                <c:pt idx="20">
                  <c:v>1.4579616287541487E-2</c:v>
                </c:pt>
                <c:pt idx="21">
                  <c:v>2.7290050999757141E-2</c:v>
                </c:pt>
                <c:pt idx="22">
                  <c:v>5.0654820691330031E-2</c:v>
                </c:pt>
                <c:pt idx="23">
                  <c:v>7.3832672225370363E-2</c:v>
                </c:pt>
                <c:pt idx="24">
                  <c:v>9.7197441916943239E-2</c:v>
                </c:pt>
                <c:pt idx="25">
                  <c:v>0.12056221160851613</c:v>
                </c:pt>
                <c:pt idx="26">
                  <c:v>0.14392698130008902</c:v>
                </c:pt>
                <c:pt idx="27">
                  <c:v>0.16747866914919451</c:v>
                </c:pt>
                <c:pt idx="28">
                  <c:v>0.19103035699829995</c:v>
                </c:pt>
                <c:pt idx="29">
                  <c:v>0.2143951266898729</c:v>
                </c:pt>
                <c:pt idx="30">
                  <c:v>0.2379468145389784</c:v>
                </c:pt>
                <c:pt idx="31">
                  <c:v>0.26149850238808386</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2.6602192180037236</c:v>
                </c:pt>
                <c:pt idx="2">
                  <c:v>2.6602192180037236</c:v>
                </c:pt>
                <c:pt idx="3">
                  <c:v>2.6602192180037236</c:v>
                </c:pt>
                <c:pt idx="4">
                  <c:v>2.6602192180037236</c:v>
                </c:pt>
                <c:pt idx="5">
                  <c:v>2.6602192180037236</c:v>
                </c:pt>
                <c:pt idx="6">
                  <c:v>2.6602192180037236</c:v>
                </c:pt>
                <c:pt idx="7">
                  <c:v>2.6602192180037236</c:v>
                </c:pt>
                <c:pt idx="8">
                  <c:v>2.6602192180037236</c:v>
                </c:pt>
                <c:pt idx="9">
                  <c:v>2.6602192180037236</c:v>
                </c:pt>
                <c:pt idx="10">
                  <c:v>2.6602192180037236</c:v>
                </c:pt>
                <c:pt idx="11">
                  <c:v>2.6602192180037236</c:v>
                </c:pt>
                <c:pt idx="12">
                  <c:v>2.6602192180037236</c:v>
                </c:pt>
                <c:pt idx="13">
                  <c:v>2.6604061361612565</c:v>
                </c:pt>
                <c:pt idx="14">
                  <c:v>2.6604061361612565</c:v>
                </c:pt>
                <c:pt idx="15">
                  <c:v>2.6609668906338544</c:v>
                </c:pt>
                <c:pt idx="16">
                  <c:v>2.6620883995790492</c:v>
                </c:pt>
                <c:pt idx="17">
                  <c:v>2.6641444993119081</c:v>
                </c:pt>
                <c:pt idx="18">
                  <c:v>2.6680697806200926</c:v>
                </c:pt>
                <c:pt idx="19">
                  <c:v>2.6755465069213957</c:v>
                </c:pt>
                <c:pt idx="20">
                  <c:v>2.6893784505788068</c:v>
                </c:pt>
                <c:pt idx="21">
                  <c:v>2.7149862381607708</c:v>
                </c:pt>
                <c:pt idx="22">
                  <c:v>2.7613419412288511</c:v>
                </c:pt>
                <c:pt idx="23">
                  <c:v>2.8078845624544644</c:v>
                </c:pt>
                <c:pt idx="24">
                  <c:v>2.8546141018376101</c:v>
                </c:pt>
                <c:pt idx="25">
                  <c:v>2.9013436412207558</c:v>
                </c:pt>
                <c:pt idx="26">
                  <c:v>2.9482600987614345</c:v>
                </c:pt>
                <c:pt idx="27">
                  <c:v>2.9951765563021131</c:v>
                </c:pt>
                <c:pt idx="28">
                  <c:v>3.0420930138427917</c:v>
                </c:pt>
                <c:pt idx="29">
                  <c:v>3.0891963895410024</c:v>
                </c:pt>
                <c:pt idx="30">
                  <c:v>3.1362997652392131</c:v>
                </c:pt>
                <c:pt idx="31">
                  <c:v>3.1834031409374246</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3424.0051279041522</c:v>
                </c:pt>
                <c:pt idx="2">
                  <c:v>3976.219496802396</c:v>
                </c:pt>
                <c:pt idx="3">
                  <c:v>4848.8104662025416</c:v>
                </c:pt>
                <c:pt idx="4">
                  <c:v>5313.5067630535086</c:v>
                </c:pt>
                <c:pt idx="5">
                  <c:v>5853.8131368898239</c:v>
                </c:pt>
                <c:pt idx="6">
                  <c:v>6395.046811705658</c:v>
                </c:pt>
                <c:pt idx="7">
                  <c:v>6935.1118742005992</c:v>
                </c:pt>
                <c:pt idx="8">
                  <c:v>7493.1752860843508</c:v>
                </c:pt>
                <c:pt idx="9">
                  <c:v>8067.8147870962512</c:v>
                </c:pt>
                <c:pt idx="10">
                  <c:v>8669.0819011576132</c:v>
                </c:pt>
                <c:pt idx="11">
                  <c:v>9292.6576973204883</c:v>
                </c:pt>
                <c:pt idx="12">
                  <c:v>9947.9813556221161</c:v>
                </c:pt>
                <c:pt idx="13">
                  <c:v>10649.504079575812</c:v>
                </c:pt>
                <c:pt idx="14">
                  <c:v>11361.396649073098</c:v>
                </c:pt>
                <c:pt idx="15">
                  <c:v>12093.234881324375</c:v>
                </c:pt>
                <c:pt idx="16">
                  <c:v>12731.688802072371</c:v>
                </c:pt>
                <c:pt idx="17">
                  <c:v>13404.582580263901</c:v>
                </c:pt>
                <c:pt idx="18">
                  <c:v>14106.441196146683</c:v>
                </c:pt>
                <c:pt idx="19">
                  <c:v>14861.590739496478</c:v>
                </c:pt>
                <c:pt idx="20">
                  <c:v>15672.359836719825</c:v>
                </c:pt>
                <c:pt idx="21">
                  <c:v>16539.026808953291</c:v>
                </c:pt>
                <c:pt idx="22">
                  <c:v>17459.382657411155</c:v>
                </c:pt>
                <c:pt idx="23">
                  <c:v>18433.411494050029</c:v>
                </c:pt>
                <c:pt idx="24">
                  <c:v>19468.06686124828</c:v>
                </c:pt>
                <c:pt idx="25">
                  <c:v>20543.77898866672</c:v>
                </c:pt>
                <c:pt idx="26">
                  <c:v>21678.05257484012</c:v>
                </c:pt>
                <c:pt idx="27">
                  <c:v>22855.025744920262</c:v>
                </c:pt>
                <c:pt idx="28">
                  <c:v>24074.400364445883</c:v>
                </c:pt>
                <c:pt idx="29">
                  <c:v>25358.239131223185</c:v>
                </c:pt>
                <c:pt idx="30">
                  <c:v>26672.165179227723</c:v>
                </c:pt>
                <c:pt idx="31">
                  <c:v>28032.783756820201</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9605634</c:v>
                </c:pt>
                <c:pt idx="2">
                  <c:v>9660717.8000000119</c:v>
                </c:pt>
                <c:pt idx="3">
                  <c:v>9715801.6000000089</c:v>
                </c:pt>
                <c:pt idx="4">
                  <c:v>9770885.400000006</c:v>
                </c:pt>
                <c:pt idx="5">
                  <c:v>9825969.200000003</c:v>
                </c:pt>
                <c:pt idx="6">
                  <c:v>9881053</c:v>
                </c:pt>
                <c:pt idx="7">
                  <c:v>9990912.8000000119</c:v>
                </c:pt>
                <c:pt idx="8">
                  <c:v>10100772.599999994</c:v>
                </c:pt>
                <c:pt idx="9">
                  <c:v>10210632.400000006</c:v>
                </c:pt>
                <c:pt idx="10">
                  <c:v>10320492.200000018</c:v>
                </c:pt>
                <c:pt idx="11">
                  <c:v>10430352</c:v>
                </c:pt>
                <c:pt idx="12">
                  <c:v>10536265.199999988</c:v>
                </c:pt>
                <c:pt idx="13">
                  <c:v>10642178.400000006</c:v>
                </c:pt>
                <c:pt idx="14">
                  <c:v>10748091.599999994</c:v>
                </c:pt>
                <c:pt idx="15">
                  <c:v>10854004.799999982</c:v>
                </c:pt>
                <c:pt idx="16">
                  <c:v>10959918</c:v>
                </c:pt>
                <c:pt idx="17">
                  <c:v>11060111.199999988</c:v>
                </c:pt>
                <c:pt idx="18">
                  <c:v>11160304.400000006</c:v>
                </c:pt>
                <c:pt idx="19">
                  <c:v>11260497.599999994</c:v>
                </c:pt>
                <c:pt idx="20">
                  <c:v>11360690.799999982</c:v>
                </c:pt>
                <c:pt idx="21">
                  <c:v>11460884</c:v>
                </c:pt>
                <c:pt idx="22">
                  <c:v>11566549.199999988</c:v>
                </c:pt>
                <c:pt idx="23">
                  <c:v>11672214.400000006</c:v>
                </c:pt>
                <c:pt idx="24">
                  <c:v>11777879.599999994</c:v>
                </c:pt>
                <c:pt idx="25">
                  <c:v>11883544.799999982</c:v>
                </c:pt>
                <c:pt idx="26">
                  <c:v>11989210</c:v>
                </c:pt>
                <c:pt idx="27">
                  <c:v>12078878.800000012</c:v>
                </c:pt>
                <c:pt idx="28">
                  <c:v>12168547.599999994</c:v>
                </c:pt>
                <c:pt idx="29">
                  <c:v>12258216.400000006</c:v>
                </c:pt>
                <c:pt idx="30">
                  <c:v>12347885.200000018</c:v>
                </c:pt>
                <c:pt idx="31">
                  <c:v>12437554</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755308</c:v>
                </c:pt>
                <c:pt idx="2">
                  <c:v>756853.20000000019</c:v>
                </c:pt>
                <c:pt idx="3">
                  <c:v>758398.39999999991</c:v>
                </c:pt>
                <c:pt idx="4">
                  <c:v>759943.60000000009</c:v>
                </c:pt>
                <c:pt idx="5">
                  <c:v>761488.80000000028</c:v>
                </c:pt>
                <c:pt idx="6">
                  <c:v>763034</c:v>
                </c:pt>
                <c:pt idx="7">
                  <c:v>764193.79999999981</c:v>
                </c:pt>
                <c:pt idx="8">
                  <c:v>765353.60000000009</c:v>
                </c:pt>
                <c:pt idx="9">
                  <c:v>766513.39999999991</c:v>
                </c:pt>
                <c:pt idx="10">
                  <c:v>767673.19999999972</c:v>
                </c:pt>
                <c:pt idx="11">
                  <c:v>768833</c:v>
                </c:pt>
                <c:pt idx="12">
                  <c:v>770258.59999999963</c:v>
                </c:pt>
                <c:pt idx="13">
                  <c:v>771684.19999999972</c:v>
                </c:pt>
                <c:pt idx="14">
                  <c:v>773109.79999999981</c:v>
                </c:pt>
                <c:pt idx="15">
                  <c:v>774535.39999999991</c:v>
                </c:pt>
                <c:pt idx="16">
                  <c:v>775961</c:v>
                </c:pt>
                <c:pt idx="17">
                  <c:v>776590.39999999991</c:v>
                </c:pt>
                <c:pt idx="18">
                  <c:v>777219.8</c:v>
                </c:pt>
                <c:pt idx="19">
                  <c:v>777849.2</c:v>
                </c:pt>
                <c:pt idx="20">
                  <c:v>778478.59999999986</c:v>
                </c:pt>
                <c:pt idx="21">
                  <c:v>779108</c:v>
                </c:pt>
                <c:pt idx="22">
                  <c:v>780136</c:v>
                </c:pt>
                <c:pt idx="23">
                  <c:v>781164</c:v>
                </c:pt>
                <c:pt idx="24">
                  <c:v>782192</c:v>
                </c:pt>
                <c:pt idx="25">
                  <c:v>783220</c:v>
                </c:pt>
                <c:pt idx="26">
                  <c:v>784248</c:v>
                </c:pt>
                <c:pt idx="27">
                  <c:v>784301.6</c:v>
                </c:pt>
                <c:pt idx="28">
                  <c:v>784355.2</c:v>
                </c:pt>
                <c:pt idx="29">
                  <c:v>784408.8</c:v>
                </c:pt>
                <c:pt idx="30">
                  <c:v>784462.4</c:v>
                </c:pt>
                <c:pt idx="31">
                  <c:v>784516</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20024660</c:v>
                </c:pt>
                <c:pt idx="2">
                  <c:v>23193289.799999237</c:v>
                </c:pt>
                <c:pt idx="3">
                  <c:v>26361919.599999428</c:v>
                </c:pt>
                <c:pt idx="4">
                  <c:v>29530549.399999619</c:v>
                </c:pt>
                <c:pt idx="5">
                  <c:v>32699179.199999809</c:v>
                </c:pt>
                <c:pt idx="6">
                  <c:v>35867809</c:v>
                </c:pt>
                <c:pt idx="7">
                  <c:v>37785974.600000381</c:v>
                </c:pt>
                <c:pt idx="8">
                  <c:v>39704140.200000286</c:v>
                </c:pt>
                <c:pt idx="9">
                  <c:v>41622305.800000191</c:v>
                </c:pt>
                <c:pt idx="10">
                  <c:v>43540471.400000095</c:v>
                </c:pt>
                <c:pt idx="11">
                  <c:v>45458637</c:v>
                </c:pt>
                <c:pt idx="12">
                  <c:v>46740126.600000381</c:v>
                </c:pt>
                <c:pt idx="13">
                  <c:v>48021616.200000286</c:v>
                </c:pt>
                <c:pt idx="14">
                  <c:v>49303105.800000191</c:v>
                </c:pt>
                <c:pt idx="15">
                  <c:v>50584595.400000095</c:v>
                </c:pt>
                <c:pt idx="16">
                  <c:v>51866085</c:v>
                </c:pt>
                <c:pt idx="17">
                  <c:v>53801245.800000191</c:v>
                </c:pt>
                <c:pt idx="18">
                  <c:v>55736406.599999905</c:v>
                </c:pt>
                <c:pt idx="19">
                  <c:v>57671567.400000095</c:v>
                </c:pt>
                <c:pt idx="20">
                  <c:v>59606728.200000286</c:v>
                </c:pt>
                <c:pt idx="21">
                  <c:v>61541889</c:v>
                </c:pt>
                <c:pt idx="22">
                  <c:v>63830111.600000381</c:v>
                </c:pt>
                <c:pt idx="23">
                  <c:v>66118334.199999809</c:v>
                </c:pt>
                <c:pt idx="24">
                  <c:v>68406556.800000191</c:v>
                </c:pt>
                <c:pt idx="25">
                  <c:v>70694779.400000572</c:v>
                </c:pt>
                <c:pt idx="26">
                  <c:v>72983002</c:v>
                </c:pt>
                <c:pt idx="27">
                  <c:v>75295129.600000381</c:v>
                </c:pt>
                <c:pt idx="28">
                  <c:v>77607257.199999809</c:v>
                </c:pt>
                <c:pt idx="29">
                  <c:v>79919384.800000191</c:v>
                </c:pt>
                <c:pt idx="30">
                  <c:v>82231512.400000572</c:v>
                </c:pt>
                <c:pt idx="31">
                  <c:v>84543640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119388</c:v>
                </c:pt>
                <c:pt idx="2">
                  <c:v>112323.80000000075</c:v>
                </c:pt>
                <c:pt idx="3">
                  <c:v>105259.59999999963</c:v>
                </c:pt>
                <c:pt idx="4">
                  <c:v>98195.400000000373</c:v>
                </c:pt>
                <c:pt idx="5">
                  <c:v>91131.200000001118</c:v>
                </c:pt>
                <c:pt idx="6">
                  <c:v>84067</c:v>
                </c:pt>
                <c:pt idx="7">
                  <c:v>84067</c:v>
                </c:pt>
                <c:pt idx="8">
                  <c:v>84067</c:v>
                </c:pt>
                <c:pt idx="9">
                  <c:v>84067</c:v>
                </c:pt>
                <c:pt idx="10">
                  <c:v>84067</c:v>
                </c:pt>
                <c:pt idx="11">
                  <c:v>84067</c:v>
                </c:pt>
                <c:pt idx="12">
                  <c:v>84067</c:v>
                </c:pt>
                <c:pt idx="13">
                  <c:v>84067</c:v>
                </c:pt>
                <c:pt idx="14">
                  <c:v>84067</c:v>
                </c:pt>
                <c:pt idx="15">
                  <c:v>84067</c:v>
                </c:pt>
                <c:pt idx="16">
                  <c:v>84067</c:v>
                </c:pt>
                <c:pt idx="17">
                  <c:v>84067</c:v>
                </c:pt>
                <c:pt idx="18">
                  <c:v>84067</c:v>
                </c:pt>
                <c:pt idx="19">
                  <c:v>84067</c:v>
                </c:pt>
                <c:pt idx="20">
                  <c:v>84067</c:v>
                </c:pt>
                <c:pt idx="21">
                  <c:v>84067</c:v>
                </c:pt>
                <c:pt idx="22">
                  <c:v>84067</c:v>
                </c:pt>
                <c:pt idx="23">
                  <c:v>84067</c:v>
                </c:pt>
                <c:pt idx="24">
                  <c:v>84067</c:v>
                </c:pt>
                <c:pt idx="25">
                  <c:v>84067</c:v>
                </c:pt>
                <c:pt idx="26">
                  <c:v>84067</c:v>
                </c:pt>
                <c:pt idx="27">
                  <c:v>84067</c:v>
                </c:pt>
                <c:pt idx="28">
                  <c:v>84067</c:v>
                </c:pt>
                <c:pt idx="29">
                  <c:v>84067</c:v>
                </c:pt>
                <c:pt idx="30">
                  <c:v>84067</c:v>
                </c:pt>
                <c:pt idx="31">
                  <c:v>84067</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1377.152</c:v>
                </c:pt>
                <c:pt idx="2">
                  <c:v>1385.0491999999995</c:v>
                </c:pt>
                <c:pt idx="3">
                  <c:v>1392.9464000000007</c:v>
                </c:pt>
                <c:pt idx="4">
                  <c:v>1400.8436000000002</c:v>
                </c:pt>
                <c:pt idx="5">
                  <c:v>1408.7407999999996</c:v>
                </c:pt>
                <c:pt idx="6">
                  <c:v>1416.6380000000001</c:v>
                </c:pt>
                <c:pt idx="7">
                  <c:v>1432.388600000002</c:v>
                </c:pt>
                <c:pt idx="8">
                  <c:v>1448.1392000000014</c:v>
                </c:pt>
                <c:pt idx="9">
                  <c:v>1463.8898000000008</c:v>
                </c:pt>
                <c:pt idx="10">
                  <c:v>1479.6404000000002</c:v>
                </c:pt>
                <c:pt idx="11">
                  <c:v>1495.3909999999998</c:v>
                </c:pt>
                <c:pt idx="12">
                  <c:v>1510.5756000000001</c:v>
                </c:pt>
                <c:pt idx="13">
                  <c:v>1525.7602000000006</c:v>
                </c:pt>
                <c:pt idx="14">
                  <c:v>1540.9448000000011</c:v>
                </c:pt>
                <c:pt idx="15">
                  <c:v>1556.1294000000016</c:v>
                </c:pt>
                <c:pt idx="16">
                  <c:v>1571.3140000000001</c:v>
                </c:pt>
                <c:pt idx="17">
                  <c:v>1585.6786000000029</c:v>
                </c:pt>
                <c:pt idx="18">
                  <c:v>1600.0432000000001</c:v>
                </c:pt>
                <c:pt idx="19">
                  <c:v>1614.4078000000009</c:v>
                </c:pt>
                <c:pt idx="20">
                  <c:v>1628.7724000000017</c:v>
                </c:pt>
                <c:pt idx="21">
                  <c:v>1643.1370000000002</c:v>
                </c:pt>
                <c:pt idx="22">
                  <c:v>1658.2861999999986</c:v>
                </c:pt>
                <c:pt idx="23">
                  <c:v>1673.4353999999985</c:v>
                </c:pt>
                <c:pt idx="24">
                  <c:v>1688.5845999999983</c:v>
                </c:pt>
                <c:pt idx="25">
                  <c:v>1703.7337999999982</c:v>
                </c:pt>
                <c:pt idx="26">
                  <c:v>1718.883</c:v>
                </c:pt>
                <c:pt idx="27">
                  <c:v>1731.7387999999992</c:v>
                </c:pt>
                <c:pt idx="28">
                  <c:v>1744.5945999999967</c:v>
                </c:pt>
                <c:pt idx="29">
                  <c:v>1757.4503999999979</c:v>
                </c:pt>
                <c:pt idx="30">
                  <c:v>1770.3061999999991</c:v>
                </c:pt>
                <c:pt idx="31">
                  <c:v>1783.1619999999998</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554.88099999999997</c:v>
                </c:pt>
                <c:pt idx="2">
                  <c:v>555.80780000000004</c:v>
                </c:pt>
                <c:pt idx="3">
                  <c:v>556.7346</c:v>
                </c:pt>
                <c:pt idx="4">
                  <c:v>557.66139999999996</c:v>
                </c:pt>
                <c:pt idx="5">
                  <c:v>558.58819999999992</c:v>
                </c:pt>
                <c:pt idx="6">
                  <c:v>559.51499999999999</c:v>
                </c:pt>
                <c:pt idx="7">
                  <c:v>560.21679999999981</c:v>
                </c:pt>
                <c:pt idx="8">
                  <c:v>560.91859999999986</c:v>
                </c:pt>
                <c:pt idx="9">
                  <c:v>561.6203999999999</c:v>
                </c:pt>
                <c:pt idx="10">
                  <c:v>562.32219999999995</c:v>
                </c:pt>
                <c:pt idx="11">
                  <c:v>563.024</c:v>
                </c:pt>
                <c:pt idx="12">
                  <c:v>563.88020000000006</c:v>
                </c:pt>
                <c:pt idx="13">
                  <c:v>564.7364</c:v>
                </c:pt>
                <c:pt idx="14">
                  <c:v>565.59259999999995</c:v>
                </c:pt>
                <c:pt idx="15">
                  <c:v>566.44879999999989</c:v>
                </c:pt>
                <c:pt idx="16">
                  <c:v>567.30499999999995</c:v>
                </c:pt>
                <c:pt idx="17">
                  <c:v>567.67619999999988</c:v>
                </c:pt>
                <c:pt idx="18">
                  <c:v>568.04739999999993</c:v>
                </c:pt>
                <c:pt idx="19">
                  <c:v>568.41859999999997</c:v>
                </c:pt>
                <c:pt idx="20">
                  <c:v>568.78980000000001</c:v>
                </c:pt>
                <c:pt idx="21">
                  <c:v>569.16100000000006</c:v>
                </c:pt>
                <c:pt idx="22">
                  <c:v>569.76780000000008</c:v>
                </c:pt>
                <c:pt idx="23">
                  <c:v>570.3746000000001</c:v>
                </c:pt>
                <c:pt idx="24">
                  <c:v>570.98140000000012</c:v>
                </c:pt>
                <c:pt idx="25">
                  <c:v>571.58819999999992</c:v>
                </c:pt>
                <c:pt idx="26">
                  <c:v>572.19500000000005</c:v>
                </c:pt>
                <c:pt idx="27">
                  <c:v>572.2274000000001</c:v>
                </c:pt>
                <c:pt idx="28">
                  <c:v>572.25980000000004</c:v>
                </c:pt>
                <c:pt idx="29">
                  <c:v>572.29220000000009</c:v>
                </c:pt>
                <c:pt idx="30">
                  <c:v>572.32460000000003</c:v>
                </c:pt>
                <c:pt idx="31">
                  <c:v>572.35699999999997</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15855.377</c:v>
                </c:pt>
                <c:pt idx="2">
                  <c:v>19319.994199999608</c:v>
                </c:pt>
                <c:pt idx="3">
                  <c:v>22491.291000000001</c:v>
                </c:pt>
                <c:pt idx="4">
                  <c:v>26815.535</c:v>
                </c:pt>
                <c:pt idx="5">
                  <c:v>30254.023000000001</c:v>
                </c:pt>
                <c:pt idx="6">
                  <c:v>33178.463000000003</c:v>
                </c:pt>
                <c:pt idx="7">
                  <c:v>34785.682999999997</c:v>
                </c:pt>
                <c:pt idx="8">
                  <c:v>36654.330999999998</c:v>
                </c:pt>
                <c:pt idx="9">
                  <c:v>38291.962</c:v>
                </c:pt>
                <c:pt idx="10">
                  <c:v>40837.508999999998</c:v>
                </c:pt>
                <c:pt idx="11">
                  <c:v>42625.346999999994</c:v>
                </c:pt>
                <c:pt idx="12">
                  <c:v>44444</c:v>
                </c:pt>
                <c:pt idx="13">
                  <c:v>46077.877</c:v>
                </c:pt>
                <c:pt idx="14">
                  <c:v>48438.850000000006</c:v>
                </c:pt>
                <c:pt idx="15">
                  <c:v>51029.842000000004</c:v>
                </c:pt>
                <c:pt idx="16">
                  <c:v>52509.289000000004</c:v>
                </c:pt>
                <c:pt idx="17">
                  <c:v>55255.535000000003</c:v>
                </c:pt>
                <c:pt idx="18">
                  <c:v>56865.172999999995</c:v>
                </c:pt>
                <c:pt idx="19">
                  <c:v>59174.522000000004</c:v>
                </c:pt>
                <c:pt idx="20">
                  <c:v>61338.108</c:v>
                </c:pt>
                <c:pt idx="21">
                  <c:v>63244.408000000003</c:v>
                </c:pt>
                <c:pt idx="22">
                  <c:v>64905.724000000009</c:v>
                </c:pt>
                <c:pt idx="23">
                  <c:v>66276.016000000003</c:v>
                </c:pt>
                <c:pt idx="24">
                  <c:v>67472.403999999995</c:v>
                </c:pt>
                <c:pt idx="25">
                  <c:v>68558.64</c:v>
                </c:pt>
                <c:pt idx="26">
                  <c:v>69653.053</c:v>
                </c:pt>
                <c:pt idx="27">
                  <c:v>71534.721000000005</c:v>
                </c:pt>
                <c:pt idx="28">
                  <c:v>72148.804000000004</c:v>
                </c:pt>
                <c:pt idx="29">
                  <c:v>73245.368999999992</c:v>
                </c:pt>
                <c:pt idx="30">
                  <c:v>73763.748000000007</c:v>
                </c:pt>
                <c:pt idx="31">
                  <c:v>74117.523000000001</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17.117000000000001</c:v>
                </c:pt>
                <c:pt idx="2">
                  <c:v>16.104200000000219</c:v>
                </c:pt>
                <c:pt idx="3">
                  <c:v>15.091400000000021</c:v>
                </c:pt>
                <c:pt idx="4">
                  <c:v>14.078600000000279</c:v>
                </c:pt>
                <c:pt idx="5">
                  <c:v>13.065800000000309</c:v>
                </c:pt>
                <c:pt idx="6">
                  <c:v>12.052999999999999</c:v>
                </c:pt>
                <c:pt idx="7">
                  <c:v>12.052999999999999</c:v>
                </c:pt>
                <c:pt idx="8">
                  <c:v>12.052999999999999</c:v>
                </c:pt>
                <c:pt idx="9">
                  <c:v>12.052999999999999</c:v>
                </c:pt>
                <c:pt idx="10">
                  <c:v>12.052999999999999</c:v>
                </c:pt>
                <c:pt idx="11">
                  <c:v>12.052999999999999</c:v>
                </c:pt>
                <c:pt idx="12">
                  <c:v>12.052999999999999</c:v>
                </c:pt>
                <c:pt idx="13">
                  <c:v>12.052999999999999</c:v>
                </c:pt>
                <c:pt idx="14">
                  <c:v>12.052999999999999</c:v>
                </c:pt>
                <c:pt idx="15">
                  <c:v>12.052999999999999</c:v>
                </c:pt>
                <c:pt idx="16">
                  <c:v>12.052999999999999</c:v>
                </c:pt>
                <c:pt idx="17">
                  <c:v>12.052999999999999</c:v>
                </c:pt>
                <c:pt idx="18">
                  <c:v>12.052999999999999</c:v>
                </c:pt>
                <c:pt idx="19">
                  <c:v>12.052999999999999</c:v>
                </c:pt>
                <c:pt idx="20">
                  <c:v>12.052999999999999</c:v>
                </c:pt>
                <c:pt idx="21">
                  <c:v>12.052999999999999</c:v>
                </c:pt>
                <c:pt idx="22">
                  <c:v>12.052999999999999</c:v>
                </c:pt>
                <c:pt idx="23">
                  <c:v>12.052999999999999</c:v>
                </c:pt>
                <c:pt idx="24">
                  <c:v>12.052999999999999</c:v>
                </c:pt>
                <c:pt idx="25">
                  <c:v>12.052999999999999</c:v>
                </c:pt>
                <c:pt idx="26">
                  <c:v>12.052999999999999</c:v>
                </c:pt>
                <c:pt idx="27">
                  <c:v>12.052999999999999</c:v>
                </c:pt>
                <c:pt idx="28">
                  <c:v>12.052999999999999</c:v>
                </c:pt>
                <c:pt idx="29">
                  <c:v>12.052999999999999</c:v>
                </c:pt>
                <c:pt idx="30">
                  <c:v>12.052999999999999</c:v>
                </c:pt>
                <c:pt idx="31">
                  <c:v>12.052999999999999</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304800</xdr:colOff>
      <xdr:row>79</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topLeftCell="A22" workbookViewId="0">
      <selection activeCell="A30" sqref="A30"/>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2" x14ac:dyDescent="0.25">
      <c r="A1" s="1" t="s">
        <v>931</v>
      </c>
    </row>
    <row r="3" spans="1:2" x14ac:dyDescent="0.25">
      <c r="A3" s="1" t="s">
        <v>53</v>
      </c>
      <c r="B3" s="4" t="s">
        <v>641</v>
      </c>
    </row>
    <row r="4" spans="1:2" x14ac:dyDescent="0.25">
      <c r="B4" t="s">
        <v>0</v>
      </c>
    </row>
    <row r="5" spans="1:2" x14ac:dyDescent="0.25">
      <c r="B5" s="2">
        <v>2022</v>
      </c>
    </row>
    <row r="6" spans="1:2" x14ac:dyDescent="0.25">
      <c r="B6" t="s">
        <v>640</v>
      </c>
    </row>
    <row r="7" spans="1:2" ht="30" x14ac:dyDescent="0.25">
      <c r="B7" s="23" t="s">
        <v>642</v>
      </c>
    </row>
    <row r="8" spans="1:2" ht="30" x14ac:dyDescent="0.25">
      <c r="B8" s="23" t="s">
        <v>643</v>
      </c>
    </row>
    <row r="9" spans="1:2" x14ac:dyDescent="0.25">
      <c r="B9" t="s">
        <v>163</v>
      </c>
    </row>
    <row r="11" spans="1:2" x14ac:dyDescent="0.25">
      <c r="B11" s="4" t="s">
        <v>639</v>
      </c>
    </row>
    <row r="12" spans="1:2" x14ac:dyDescent="0.25">
      <c r="B12" t="s">
        <v>0</v>
      </c>
    </row>
    <row r="13" spans="1:2" x14ac:dyDescent="0.25">
      <c r="B13" s="2">
        <v>2021</v>
      </c>
    </row>
    <row r="14" spans="1:2" x14ac:dyDescent="0.25">
      <c r="B14" t="s">
        <v>566</v>
      </c>
    </row>
    <row r="15" spans="1:2" ht="60" x14ac:dyDescent="0.25">
      <c r="B15" s="23" t="s">
        <v>475</v>
      </c>
    </row>
    <row r="16" spans="1:2" ht="60" x14ac:dyDescent="0.25">
      <c r="B16" s="23" t="s">
        <v>315</v>
      </c>
    </row>
    <row r="17" spans="1:2" x14ac:dyDescent="0.25">
      <c r="B17" t="s">
        <v>163</v>
      </c>
    </row>
    <row r="19" spans="1:2" x14ac:dyDescent="0.25">
      <c r="B19" s="4" t="s">
        <v>54</v>
      </c>
    </row>
    <row r="20" spans="1:2" x14ac:dyDescent="0.25">
      <c r="B20" t="s">
        <v>0</v>
      </c>
    </row>
    <row r="21" spans="1:2" x14ac:dyDescent="0.25">
      <c r="B21" s="2">
        <v>2020</v>
      </c>
    </row>
    <row r="22" spans="1:2" x14ac:dyDescent="0.25">
      <c r="B22" t="s">
        <v>55</v>
      </c>
    </row>
    <row r="23" spans="1:2" x14ac:dyDescent="0.25">
      <c r="B23" s="24" t="s">
        <v>611</v>
      </c>
    </row>
    <row r="24" spans="1:2" x14ac:dyDescent="0.25">
      <c r="B24" s="24" t="s">
        <v>610</v>
      </c>
    </row>
    <row r="25" spans="1:2" x14ac:dyDescent="0.25">
      <c r="B25" t="s">
        <v>56</v>
      </c>
    </row>
    <row r="27" spans="1:2" x14ac:dyDescent="0.25">
      <c r="A27" s="1" t="s">
        <v>16</v>
      </c>
    </row>
    <row r="28" spans="1:2" x14ac:dyDescent="0.25">
      <c r="A28" t="s">
        <v>920</v>
      </c>
    </row>
    <row r="29" spans="1:2" x14ac:dyDescent="0.25">
      <c r="A29" t="s">
        <v>921</v>
      </c>
    </row>
    <row r="30" spans="1:2" x14ac:dyDescent="0.25">
      <c r="A30" t="s">
        <v>1177</v>
      </c>
    </row>
    <row r="31" spans="1:2" x14ac:dyDescent="0.25">
      <c r="A31" s="1" t="s">
        <v>157</v>
      </c>
    </row>
    <row r="32" spans="1:2" x14ac:dyDescent="0.25">
      <c r="A32" s="9">
        <f>'RECS HC2.1'!B24/SUM('RECS HC2.1'!B24,'RECS HC2.1'!B27)</f>
        <v>0.81308184246741677</v>
      </c>
      <c r="B32" t="s">
        <v>32</v>
      </c>
    </row>
    <row r="33" spans="1:6" x14ac:dyDescent="0.25">
      <c r="A33" s="9">
        <f>'RECS HC2.1'!B27/SUM('RECS HC2.1'!B24,'RECS HC2.1'!B27)</f>
        <v>0.18691815753258317</v>
      </c>
      <c r="B33" t="s">
        <v>33</v>
      </c>
    </row>
    <row r="35" spans="1:6" ht="60" x14ac:dyDescent="0.25">
      <c r="A35" s="11" t="s">
        <v>165</v>
      </c>
      <c r="B35">
        <f>10^6</f>
        <v>1000000</v>
      </c>
      <c r="C35" s="12"/>
      <c r="D35" s="13"/>
      <c r="E35" s="14"/>
    </row>
    <row r="36" spans="1:6" x14ac:dyDescent="0.25">
      <c r="A36" t="s">
        <v>173</v>
      </c>
      <c r="B36">
        <v>1000</v>
      </c>
      <c r="F36" s="14"/>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8ACAE-8802-46BC-8EDF-731327A79C5C}">
  <dimension ref="A1:AI93"/>
  <sheetViews>
    <sheetView topLeftCell="A58" workbookViewId="0">
      <selection activeCell="A83" sqref="A83:XFD83"/>
    </sheetView>
  </sheetViews>
  <sheetFormatPr defaultRowHeight="15" x14ac:dyDescent="0.25"/>
  <cols>
    <col min="1" max="1" width="49.140625" customWidth="1"/>
  </cols>
  <sheetData>
    <row r="1" spans="1:35" x14ac:dyDescent="0.25">
      <c r="A1" t="s">
        <v>177</v>
      </c>
    </row>
    <row r="2" spans="1:35" x14ac:dyDescent="0.25">
      <c r="A2" t="s">
        <v>941</v>
      </c>
    </row>
    <row r="3" spans="1:35" x14ac:dyDescent="0.25">
      <c r="A3" t="s">
        <v>942</v>
      </c>
    </row>
    <row r="4" spans="1:35" x14ac:dyDescent="0.25">
      <c r="A4" t="s">
        <v>178</v>
      </c>
    </row>
    <row r="5" spans="1:35" x14ac:dyDescent="0.25">
      <c r="B5" t="s">
        <v>179</v>
      </c>
      <c r="C5" t="s">
        <v>180</v>
      </c>
      <c r="D5" t="s">
        <v>181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943</v>
      </c>
    </row>
    <row r="6" spans="1:35" x14ac:dyDescent="0.25">
      <c r="A6" t="s">
        <v>2</v>
      </c>
    </row>
    <row r="7" spans="1:35" x14ac:dyDescent="0.25">
      <c r="A7" t="s">
        <v>182</v>
      </c>
    </row>
    <row r="8" spans="1:35" x14ac:dyDescent="0.25">
      <c r="A8" t="s">
        <v>183</v>
      </c>
      <c r="B8" t="s">
        <v>944</v>
      </c>
      <c r="C8" t="s">
        <v>945</v>
      </c>
      <c r="D8" t="s">
        <v>185</v>
      </c>
      <c r="F8">
        <v>13.315578</v>
      </c>
      <c r="G8">
        <v>13.570746</v>
      </c>
      <c r="H8">
        <v>13.822851</v>
      </c>
      <c r="I8">
        <v>14.081016999999999</v>
      </c>
      <c r="J8">
        <v>14.338543</v>
      </c>
      <c r="K8">
        <v>14.596683000000001</v>
      </c>
      <c r="L8">
        <v>14.856007</v>
      </c>
      <c r="M8">
        <v>15.113205000000001</v>
      </c>
      <c r="N8">
        <v>15.364176</v>
      </c>
      <c r="O8">
        <v>15.610795</v>
      </c>
      <c r="P8">
        <v>15.855648</v>
      </c>
      <c r="Q8">
        <v>16.095499</v>
      </c>
      <c r="R8">
        <v>16.328896</v>
      </c>
      <c r="S8">
        <v>16.560500999999999</v>
      </c>
      <c r="T8">
        <v>16.79364</v>
      </c>
      <c r="U8">
        <v>17.026976000000001</v>
      </c>
      <c r="V8">
        <v>17.258600000000001</v>
      </c>
      <c r="W8">
        <v>17.487826999999999</v>
      </c>
      <c r="X8">
        <v>17.718792000000001</v>
      </c>
      <c r="Y8">
        <v>17.949728</v>
      </c>
      <c r="Z8">
        <v>18.178336999999999</v>
      </c>
      <c r="AA8">
        <v>18.406141000000002</v>
      </c>
      <c r="AB8">
        <v>18.633220999999999</v>
      </c>
      <c r="AC8">
        <v>18.859971999999999</v>
      </c>
      <c r="AD8">
        <v>19.086086000000002</v>
      </c>
      <c r="AE8">
        <v>19.312725</v>
      </c>
      <c r="AF8">
        <v>19.538191000000001</v>
      </c>
      <c r="AG8">
        <v>19.762443999999999</v>
      </c>
      <c r="AH8">
        <v>19.985924000000001</v>
      </c>
      <c r="AI8" s="21">
        <v>1.4999999999999999E-2</v>
      </c>
    </row>
    <row r="9" spans="1:35" x14ac:dyDescent="0.25">
      <c r="A9" t="s">
        <v>186</v>
      </c>
      <c r="B9" t="s">
        <v>946</v>
      </c>
      <c r="C9" t="s">
        <v>947</v>
      </c>
      <c r="D9" t="s">
        <v>185</v>
      </c>
      <c r="F9">
        <v>31.010973</v>
      </c>
      <c r="G9">
        <v>31.191192999999998</v>
      </c>
      <c r="H9">
        <v>31.367004000000001</v>
      </c>
      <c r="I9">
        <v>31.545936999999999</v>
      </c>
      <c r="J9">
        <v>31.728054</v>
      </c>
      <c r="K9">
        <v>31.914145999999999</v>
      </c>
      <c r="L9">
        <v>32.103335999999999</v>
      </c>
      <c r="M9">
        <v>32.291443000000001</v>
      </c>
      <c r="N9">
        <v>32.472884999999998</v>
      </c>
      <c r="O9">
        <v>32.650379000000001</v>
      </c>
      <c r="P9">
        <v>32.828147999999999</v>
      </c>
      <c r="Q9">
        <v>33.003276999999997</v>
      </c>
      <c r="R9">
        <v>33.172893999999999</v>
      </c>
      <c r="S9">
        <v>33.339801999999999</v>
      </c>
      <c r="T9">
        <v>33.508488</v>
      </c>
      <c r="U9">
        <v>33.676701000000001</v>
      </c>
      <c r="V9">
        <v>33.844833000000001</v>
      </c>
      <c r="W9">
        <v>34.012619000000001</v>
      </c>
      <c r="X9">
        <v>34.183968</v>
      </c>
      <c r="Y9">
        <v>34.355839000000003</v>
      </c>
      <c r="Z9">
        <v>34.525658</v>
      </c>
      <c r="AA9">
        <v>34.694195000000001</v>
      </c>
      <c r="AB9">
        <v>34.861164000000002</v>
      </c>
      <c r="AC9">
        <v>35.026974000000003</v>
      </c>
      <c r="AD9">
        <v>35.191212</v>
      </c>
      <c r="AE9">
        <v>35.356566999999998</v>
      </c>
      <c r="AF9">
        <v>35.521110999999998</v>
      </c>
      <c r="AG9">
        <v>35.685035999999997</v>
      </c>
      <c r="AH9">
        <v>35.849113000000003</v>
      </c>
      <c r="AI9" s="21">
        <v>5.0000000000000001E-3</v>
      </c>
    </row>
    <row r="10" spans="1:35" x14ac:dyDescent="0.25">
      <c r="A10" t="s">
        <v>188</v>
      </c>
      <c r="B10" t="s">
        <v>948</v>
      </c>
      <c r="C10" t="s">
        <v>949</v>
      </c>
      <c r="D10" t="s">
        <v>185</v>
      </c>
      <c r="F10">
        <v>1.3211980000000001</v>
      </c>
      <c r="G10">
        <v>1.3192429999999999</v>
      </c>
      <c r="H10">
        <v>1.317296</v>
      </c>
      <c r="I10">
        <v>1.3153570000000001</v>
      </c>
      <c r="J10">
        <v>1.313426</v>
      </c>
      <c r="K10">
        <v>1.3115030000000001</v>
      </c>
      <c r="L10">
        <v>1.3095870000000001</v>
      </c>
      <c r="M10">
        <v>1.307679</v>
      </c>
      <c r="N10">
        <v>1.3057799999999999</v>
      </c>
      <c r="O10">
        <v>1.3038860000000001</v>
      </c>
      <c r="P10">
        <v>1.302001</v>
      </c>
      <c r="Q10">
        <v>1.300122</v>
      </c>
      <c r="R10">
        <v>1.298251</v>
      </c>
      <c r="S10">
        <v>1.296387</v>
      </c>
      <c r="T10">
        <v>1.29453</v>
      </c>
      <c r="U10">
        <v>1.2926800000000001</v>
      </c>
      <c r="V10">
        <v>1.290837</v>
      </c>
      <c r="W10">
        <v>1.2890010000000001</v>
      </c>
      <c r="X10">
        <v>1.2871710000000001</v>
      </c>
      <c r="Y10">
        <v>1.2853479999999999</v>
      </c>
      <c r="Z10">
        <v>1.283531</v>
      </c>
      <c r="AA10">
        <v>1.2817210000000001</v>
      </c>
      <c r="AB10">
        <v>1.2799179999999999</v>
      </c>
      <c r="AC10">
        <v>1.2781199999999999</v>
      </c>
      <c r="AD10">
        <v>1.27633</v>
      </c>
      <c r="AE10">
        <v>1.274545</v>
      </c>
      <c r="AF10">
        <v>1.2727660000000001</v>
      </c>
      <c r="AG10">
        <v>1.270993</v>
      </c>
      <c r="AH10">
        <v>1.2692270000000001</v>
      </c>
      <c r="AI10" s="21">
        <v>-1E-3</v>
      </c>
    </row>
    <row r="11" spans="1:35" x14ac:dyDescent="0.25">
      <c r="A11" t="s">
        <v>190</v>
      </c>
      <c r="B11" t="s">
        <v>950</v>
      </c>
      <c r="C11" t="s">
        <v>951</v>
      </c>
      <c r="D11" t="s">
        <v>185</v>
      </c>
      <c r="F11">
        <v>62.066788000000003</v>
      </c>
      <c r="G11">
        <v>62.868740000000003</v>
      </c>
      <c r="H11">
        <v>63.678131</v>
      </c>
      <c r="I11">
        <v>64.503296000000006</v>
      </c>
      <c r="J11">
        <v>65.321770000000001</v>
      </c>
      <c r="K11">
        <v>66.136948000000004</v>
      </c>
      <c r="L11">
        <v>66.951583999999997</v>
      </c>
      <c r="M11">
        <v>67.756225999999998</v>
      </c>
      <c r="N11">
        <v>68.541175999999993</v>
      </c>
      <c r="O11">
        <v>69.310355999999999</v>
      </c>
      <c r="P11">
        <v>70.070587000000003</v>
      </c>
      <c r="Q11">
        <v>70.812531000000007</v>
      </c>
      <c r="R11">
        <v>71.531357</v>
      </c>
      <c r="S11">
        <v>72.239448999999993</v>
      </c>
      <c r="T11">
        <v>72.944846999999996</v>
      </c>
      <c r="U11">
        <v>73.643249999999995</v>
      </c>
      <c r="V11">
        <v>74.338699000000005</v>
      </c>
      <c r="W11">
        <v>75.029205000000005</v>
      </c>
      <c r="X11">
        <v>75.724936999999997</v>
      </c>
      <c r="Y11">
        <v>76.420006000000001</v>
      </c>
      <c r="Z11">
        <v>77.106728000000004</v>
      </c>
      <c r="AA11">
        <v>77.789856</v>
      </c>
      <c r="AB11">
        <v>78.469795000000005</v>
      </c>
      <c r="AC11">
        <v>79.146407999999994</v>
      </c>
      <c r="AD11">
        <v>79.816353000000007</v>
      </c>
      <c r="AE11">
        <v>80.482451999999995</v>
      </c>
      <c r="AF11">
        <v>81.140998999999994</v>
      </c>
      <c r="AG11">
        <v>81.790313999999995</v>
      </c>
      <c r="AH11">
        <v>82.431442000000004</v>
      </c>
      <c r="AI11" s="21">
        <v>0.01</v>
      </c>
    </row>
    <row r="12" spans="1:35" x14ac:dyDescent="0.25">
      <c r="A12" t="s">
        <v>192</v>
      </c>
      <c r="B12" t="s">
        <v>952</v>
      </c>
      <c r="C12" t="s">
        <v>953</v>
      </c>
      <c r="D12" t="s">
        <v>185</v>
      </c>
      <c r="F12">
        <v>5.4549620000000001</v>
      </c>
      <c r="G12">
        <v>5.405786</v>
      </c>
      <c r="H12">
        <v>5.3574520000000003</v>
      </c>
      <c r="I12">
        <v>5.3095049999999997</v>
      </c>
      <c r="J12">
        <v>5.2618830000000001</v>
      </c>
      <c r="K12">
        <v>5.215992</v>
      </c>
      <c r="L12">
        <v>5.1721000000000004</v>
      </c>
      <c r="M12">
        <v>5.1304889999999999</v>
      </c>
      <c r="N12">
        <v>5.0911799999999996</v>
      </c>
      <c r="O12">
        <v>5.0534650000000001</v>
      </c>
      <c r="P12">
        <v>5.0174200000000004</v>
      </c>
      <c r="Q12">
        <v>4.9827329999999996</v>
      </c>
      <c r="R12">
        <v>4.9490759999999998</v>
      </c>
      <c r="S12">
        <v>4.9163410000000001</v>
      </c>
      <c r="T12">
        <v>4.8843360000000002</v>
      </c>
      <c r="U12">
        <v>4.8536840000000003</v>
      </c>
      <c r="V12">
        <v>4.8241370000000003</v>
      </c>
      <c r="W12">
        <v>4.7953789999999996</v>
      </c>
      <c r="X12">
        <v>4.7674130000000003</v>
      </c>
      <c r="Y12">
        <v>4.7396039999999999</v>
      </c>
      <c r="Z12">
        <v>4.710267</v>
      </c>
      <c r="AA12">
        <v>4.6794609999999999</v>
      </c>
      <c r="AB12">
        <v>4.6474070000000003</v>
      </c>
      <c r="AC12">
        <v>4.614363</v>
      </c>
      <c r="AD12">
        <v>4.5804809999999998</v>
      </c>
      <c r="AE12">
        <v>4.5451759999999997</v>
      </c>
      <c r="AF12">
        <v>4.5088460000000001</v>
      </c>
      <c r="AG12">
        <v>4.4718939999999998</v>
      </c>
      <c r="AH12">
        <v>4.4347300000000001</v>
      </c>
      <c r="AI12" s="21">
        <v>-7.0000000000000001E-3</v>
      </c>
    </row>
    <row r="13" spans="1:35" x14ac:dyDescent="0.25">
      <c r="A13" t="s">
        <v>149</v>
      </c>
      <c r="B13" t="s">
        <v>954</v>
      </c>
      <c r="C13" t="s">
        <v>955</v>
      </c>
      <c r="D13" t="s">
        <v>185</v>
      </c>
      <c r="F13">
        <v>5.2928980000000001</v>
      </c>
      <c r="G13">
        <v>5.2831060000000001</v>
      </c>
      <c r="H13">
        <v>5.2724070000000003</v>
      </c>
      <c r="I13">
        <v>5.2618099999999997</v>
      </c>
      <c r="J13">
        <v>5.2519349999999996</v>
      </c>
      <c r="K13">
        <v>5.2451020000000002</v>
      </c>
      <c r="L13">
        <v>5.2407050000000002</v>
      </c>
      <c r="M13">
        <v>5.2380440000000004</v>
      </c>
      <c r="N13">
        <v>5.2354919999999998</v>
      </c>
      <c r="O13">
        <v>5.2330779999999999</v>
      </c>
      <c r="P13">
        <v>5.2313200000000002</v>
      </c>
      <c r="Q13">
        <v>5.2297989999999999</v>
      </c>
      <c r="R13">
        <v>5.228008</v>
      </c>
      <c r="S13">
        <v>5.2259960000000003</v>
      </c>
      <c r="T13">
        <v>5.2241090000000003</v>
      </c>
      <c r="U13">
        <v>5.2214749999999999</v>
      </c>
      <c r="V13">
        <v>5.2180169999999997</v>
      </c>
      <c r="W13">
        <v>5.2139480000000002</v>
      </c>
      <c r="X13">
        <v>5.2102320000000004</v>
      </c>
      <c r="Y13">
        <v>5.207039</v>
      </c>
      <c r="Z13">
        <v>5.202483</v>
      </c>
      <c r="AA13">
        <v>5.196987</v>
      </c>
      <c r="AB13">
        <v>5.1909239999999999</v>
      </c>
      <c r="AC13">
        <v>5.1845889999999999</v>
      </c>
      <c r="AD13">
        <v>5.1779979999999997</v>
      </c>
      <c r="AE13">
        <v>5.1716179999999996</v>
      </c>
      <c r="AF13">
        <v>5.1653520000000004</v>
      </c>
      <c r="AG13">
        <v>5.1593140000000002</v>
      </c>
      <c r="AH13">
        <v>5.1537879999999996</v>
      </c>
      <c r="AI13" s="21">
        <v>-1E-3</v>
      </c>
    </row>
    <row r="14" spans="1:35" x14ac:dyDescent="0.25">
      <c r="A14" t="s">
        <v>195</v>
      </c>
      <c r="B14" t="s">
        <v>956</v>
      </c>
      <c r="C14" t="s">
        <v>957</v>
      </c>
      <c r="D14" t="s">
        <v>185</v>
      </c>
      <c r="F14">
        <v>3.901E-3</v>
      </c>
      <c r="G14">
        <v>7.0899999999999999E-3</v>
      </c>
      <c r="H14">
        <v>9.9970000000000007E-3</v>
      </c>
      <c r="I14">
        <v>1.2782999999999999E-2</v>
      </c>
      <c r="J14">
        <v>1.5616E-2</v>
      </c>
      <c r="K14">
        <v>1.8460000000000001E-2</v>
      </c>
      <c r="L14">
        <v>2.1281999999999999E-2</v>
      </c>
      <c r="M14">
        <v>2.4013E-2</v>
      </c>
      <c r="N14">
        <v>2.6530999999999999E-2</v>
      </c>
      <c r="O14">
        <v>2.8896999999999999E-2</v>
      </c>
      <c r="P14">
        <v>3.1215E-2</v>
      </c>
      <c r="Q14">
        <v>3.3522000000000003E-2</v>
      </c>
      <c r="R14">
        <v>3.5761000000000001E-2</v>
      </c>
      <c r="S14">
        <v>3.7892000000000002E-2</v>
      </c>
      <c r="T14">
        <v>3.9987000000000002E-2</v>
      </c>
      <c r="U14">
        <v>4.1972000000000002E-2</v>
      </c>
      <c r="V14">
        <v>4.3840999999999998E-2</v>
      </c>
      <c r="W14">
        <v>4.5630999999999998E-2</v>
      </c>
      <c r="X14">
        <v>4.7425000000000002E-2</v>
      </c>
      <c r="Y14">
        <v>4.9188999999999997E-2</v>
      </c>
      <c r="Z14">
        <v>5.0904999999999999E-2</v>
      </c>
      <c r="AA14">
        <v>5.2554999999999998E-2</v>
      </c>
      <c r="AB14">
        <v>5.4129999999999998E-2</v>
      </c>
      <c r="AC14">
        <v>5.5631E-2</v>
      </c>
      <c r="AD14">
        <v>5.7044999999999998E-2</v>
      </c>
      <c r="AE14">
        <v>5.8409000000000003E-2</v>
      </c>
      <c r="AF14">
        <v>5.9715999999999998E-2</v>
      </c>
      <c r="AG14">
        <v>6.0957999999999998E-2</v>
      </c>
      <c r="AH14">
        <v>6.2150999999999998E-2</v>
      </c>
      <c r="AI14" s="21">
        <v>0.104</v>
      </c>
    </row>
    <row r="15" spans="1:35" x14ac:dyDescent="0.25">
      <c r="A15" t="s">
        <v>197</v>
      </c>
      <c r="B15" t="s">
        <v>958</v>
      </c>
      <c r="C15" t="s">
        <v>959</v>
      </c>
      <c r="D15" t="s">
        <v>185</v>
      </c>
      <c r="F15">
        <v>3.2972389999999998</v>
      </c>
      <c r="G15">
        <v>3.2656149999999999</v>
      </c>
      <c r="H15">
        <v>3.2377530000000001</v>
      </c>
      <c r="I15">
        <v>3.2113849999999999</v>
      </c>
      <c r="J15">
        <v>3.186906</v>
      </c>
      <c r="K15">
        <v>3.163538</v>
      </c>
      <c r="L15">
        <v>3.1406529999999999</v>
      </c>
      <c r="M15">
        <v>3.1177139999999999</v>
      </c>
      <c r="N15">
        <v>3.0947770000000001</v>
      </c>
      <c r="O15">
        <v>3.0714139999999999</v>
      </c>
      <c r="P15">
        <v>3.0475460000000001</v>
      </c>
      <c r="Q15">
        <v>3.023053</v>
      </c>
      <c r="R15">
        <v>2.9979589999999998</v>
      </c>
      <c r="S15">
        <v>2.9721950000000001</v>
      </c>
      <c r="T15">
        <v>2.94591</v>
      </c>
      <c r="U15">
        <v>2.9204159999999999</v>
      </c>
      <c r="V15">
        <v>2.8956949999999999</v>
      </c>
      <c r="W15">
        <v>2.8719939999999999</v>
      </c>
      <c r="X15">
        <v>2.848303</v>
      </c>
      <c r="Y15">
        <v>2.8256489999999999</v>
      </c>
      <c r="Z15">
        <v>2.8041770000000001</v>
      </c>
      <c r="AA15">
        <v>2.7839320000000001</v>
      </c>
      <c r="AB15">
        <v>2.7650519999999998</v>
      </c>
      <c r="AC15">
        <v>2.7473010000000002</v>
      </c>
      <c r="AD15">
        <v>2.7304279999999999</v>
      </c>
      <c r="AE15">
        <v>2.713511</v>
      </c>
      <c r="AF15">
        <v>2.69659</v>
      </c>
      <c r="AG15">
        <v>2.679538</v>
      </c>
      <c r="AH15">
        <v>2.662318</v>
      </c>
      <c r="AI15" s="21">
        <v>-8.0000000000000002E-3</v>
      </c>
    </row>
    <row r="16" spans="1:35" x14ac:dyDescent="0.25">
      <c r="A16" t="s">
        <v>199</v>
      </c>
      <c r="B16" t="s">
        <v>960</v>
      </c>
      <c r="C16" t="s">
        <v>961</v>
      </c>
      <c r="D16" t="s">
        <v>185</v>
      </c>
      <c r="F16">
        <v>0.71603600000000001</v>
      </c>
      <c r="G16">
        <v>0.77875899999999998</v>
      </c>
      <c r="H16">
        <v>0.84013400000000005</v>
      </c>
      <c r="I16">
        <v>0.90150600000000003</v>
      </c>
      <c r="J16">
        <v>0.96045499999999995</v>
      </c>
      <c r="K16">
        <v>1.0181720000000001</v>
      </c>
      <c r="L16">
        <v>1.07555</v>
      </c>
      <c r="M16">
        <v>1.132757</v>
      </c>
      <c r="N16">
        <v>1.189252</v>
      </c>
      <c r="O16">
        <v>1.2455270000000001</v>
      </c>
      <c r="P16">
        <v>1.3019069999999999</v>
      </c>
      <c r="Q16">
        <v>1.3580190000000001</v>
      </c>
      <c r="R16">
        <v>1.41364</v>
      </c>
      <c r="S16">
        <v>1.469565</v>
      </c>
      <c r="T16">
        <v>1.5259419999999999</v>
      </c>
      <c r="U16">
        <v>1.5812489999999999</v>
      </c>
      <c r="V16">
        <v>1.635567</v>
      </c>
      <c r="W16">
        <v>1.68851</v>
      </c>
      <c r="X16">
        <v>1.741698</v>
      </c>
      <c r="Y16">
        <v>1.7939620000000001</v>
      </c>
      <c r="Z16">
        <v>1.844503</v>
      </c>
      <c r="AA16">
        <v>1.893613</v>
      </c>
      <c r="AB16">
        <v>1.9412290000000001</v>
      </c>
      <c r="AC16">
        <v>1.9875970000000001</v>
      </c>
      <c r="AD16">
        <v>2.0328300000000001</v>
      </c>
      <c r="AE16">
        <v>2.0777929999999998</v>
      </c>
      <c r="AF16">
        <v>2.1223239999999999</v>
      </c>
      <c r="AG16">
        <v>2.1664560000000002</v>
      </c>
      <c r="AH16">
        <v>2.2103090000000001</v>
      </c>
      <c r="AI16" s="21">
        <v>4.1000000000000002E-2</v>
      </c>
    </row>
    <row r="17" spans="1:35" x14ac:dyDescent="0.25">
      <c r="A17" t="s">
        <v>201</v>
      </c>
      <c r="B17" t="s">
        <v>962</v>
      </c>
      <c r="C17" t="s">
        <v>963</v>
      </c>
      <c r="D17" t="s">
        <v>185</v>
      </c>
      <c r="F17">
        <v>122.47957599999999</v>
      </c>
      <c r="G17">
        <v>123.690269</v>
      </c>
      <c r="H17">
        <v>124.90303</v>
      </c>
      <c r="I17">
        <v>126.14258599999999</v>
      </c>
      <c r="J17">
        <v>127.378601</v>
      </c>
      <c r="K17">
        <v>128.620544</v>
      </c>
      <c r="L17">
        <v>129.870789</v>
      </c>
      <c r="M17">
        <v>131.111557</v>
      </c>
      <c r="N17">
        <v>132.32124300000001</v>
      </c>
      <c r="O17">
        <v>133.50779700000001</v>
      </c>
      <c r="P17">
        <v>134.68579099999999</v>
      </c>
      <c r="Q17">
        <v>135.838562</v>
      </c>
      <c r="R17">
        <v>136.95584099999999</v>
      </c>
      <c r="S17">
        <v>138.058121</v>
      </c>
      <c r="T17">
        <v>139.161789</v>
      </c>
      <c r="U17">
        <v>140.258408</v>
      </c>
      <c r="V17">
        <v>141.350235</v>
      </c>
      <c r="W17">
        <v>142.43409700000001</v>
      </c>
      <c r="X17">
        <v>143.52993799999999</v>
      </c>
      <c r="Y17">
        <v>144.62638899999999</v>
      </c>
      <c r="Z17">
        <v>145.70658900000001</v>
      </c>
      <c r="AA17">
        <v>146.778458</v>
      </c>
      <c r="AB17">
        <v>147.842804</v>
      </c>
      <c r="AC17">
        <v>148.90095500000001</v>
      </c>
      <c r="AD17">
        <v>149.948746</v>
      </c>
      <c r="AE17">
        <v>150.99279799999999</v>
      </c>
      <c r="AF17">
        <v>152.025925</v>
      </c>
      <c r="AG17">
        <v>153.04695100000001</v>
      </c>
      <c r="AH17">
        <v>154.05900600000001</v>
      </c>
      <c r="AI17" s="21">
        <v>8.0000000000000002E-3</v>
      </c>
    </row>
    <row r="18" spans="1:35" x14ac:dyDescent="0.25">
      <c r="A18" t="s">
        <v>203</v>
      </c>
    </row>
    <row r="19" spans="1:35" x14ac:dyDescent="0.25">
      <c r="A19" t="s">
        <v>183</v>
      </c>
      <c r="B19" t="s">
        <v>964</v>
      </c>
      <c r="C19" t="s">
        <v>965</v>
      </c>
      <c r="D19" t="s">
        <v>185</v>
      </c>
      <c r="F19">
        <v>13.315581</v>
      </c>
      <c r="G19">
        <v>13.570746</v>
      </c>
      <c r="H19">
        <v>13.822850000000001</v>
      </c>
      <c r="I19">
        <v>14.081021</v>
      </c>
      <c r="J19">
        <v>14.338547</v>
      </c>
      <c r="K19">
        <v>14.596686</v>
      </c>
      <c r="L19">
        <v>14.856006000000001</v>
      </c>
      <c r="M19">
        <v>15.113201</v>
      </c>
      <c r="N19">
        <v>15.364179</v>
      </c>
      <c r="O19">
        <v>15.610802</v>
      </c>
      <c r="P19">
        <v>15.855643000000001</v>
      </c>
      <c r="Q19">
        <v>16.095504999999999</v>
      </c>
      <c r="R19">
        <v>16.328897000000001</v>
      </c>
      <c r="S19">
        <v>16.560503000000001</v>
      </c>
      <c r="T19">
        <v>16.793638000000001</v>
      </c>
      <c r="U19">
        <v>17.026976000000001</v>
      </c>
      <c r="V19">
        <v>17.258607999999999</v>
      </c>
      <c r="W19">
        <v>17.487829000000001</v>
      </c>
      <c r="X19">
        <v>17.718796000000001</v>
      </c>
      <c r="Y19">
        <v>17.949732000000001</v>
      </c>
      <c r="Z19">
        <v>18.178335000000001</v>
      </c>
      <c r="AA19">
        <v>18.406144999999999</v>
      </c>
      <c r="AB19">
        <v>18.633223999999998</v>
      </c>
      <c r="AC19">
        <v>18.859974000000001</v>
      </c>
      <c r="AD19">
        <v>19.086088</v>
      </c>
      <c r="AE19">
        <v>19.312730999999999</v>
      </c>
      <c r="AF19">
        <v>19.538191000000001</v>
      </c>
      <c r="AG19">
        <v>19.762447000000002</v>
      </c>
      <c r="AH19">
        <v>19.985924000000001</v>
      </c>
      <c r="AI19" s="21">
        <v>1.4999999999999999E-2</v>
      </c>
    </row>
    <row r="20" spans="1:35" x14ac:dyDescent="0.25">
      <c r="A20" t="s">
        <v>188</v>
      </c>
      <c r="B20" t="s">
        <v>966</v>
      </c>
      <c r="C20" t="s">
        <v>967</v>
      </c>
      <c r="D20" t="s">
        <v>185</v>
      </c>
      <c r="F20">
        <v>1.3211980000000001</v>
      </c>
      <c r="G20">
        <v>1.319242</v>
      </c>
      <c r="H20">
        <v>1.317296</v>
      </c>
      <c r="I20">
        <v>1.3153570000000001</v>
      </c>
      <c r="J20">
        <v>1.313426</v>
      </c>
      <c r="K20">
        <v>1.3115030000000001</v>
      </c>
      <c r="L20">
        <v>1.3095870000000001</v>
      </c>
      <c r="M20">
        <v>1.307679</v>
      </c>
      <c r="N20">
        <v>1.305779</v>
      </c>
      <c r="O20">
        <v>1.3038860000000001</v>
      </c>
      <c r="P20">
        <v>1.302001</v>
      </c>
      <c r="Q20">
        <v>1.300122</v>
      </c>
      <c r="R20">
        <v>1.298251</v>
      </c>
      <c r="S20">
        <v>1.296387</v>
      </c>
      <c r="T20">
        <v>1.29453</v>
      </c>
      <c r="U20">
        <v>1.2926800000000001</v>
      </c>
      <c r="V20">
        <v>1.290837</v>
      </c>
      <c r="W20">
        <v>1.2890010000000001</v>
      </c>
      <c r="X20">
        <v>1.2871710000000001</v>
      </c>
      <c r="Y20">
        <v>1.2853479999999999</v>
      </c>
      <c r="Z20">
        <v>1.283531</v>
      </c>
      <c r="AA20">
        <v>1.2817210000000001</v>
      </c>
      <c r="AB20">
        <v>1.2799179999999999</v>
      </c>
      <c r="AC20">
        <v>1.2781199999999999</v>
      </c>
      <c r="AD20">
        <v>1.276329</v>
      </c>
      <c r="AE20">
        <v>1.274545</v>
      </c>
      <c r="AF20">
        <v>1.2727660000000001</v>
      </c>
      <c r="AG20">
        <v>1.270993</v>
      </c>
      <c r="AH20">
        <v>1.2692270000000001</v>
      </c>
      <c r="AI20" s="21">
        <v>-1E-3</v>
      </c>
    </row>
    <row r="21" spans="1:35" x14ac:dyDescent="0.25">
      <c r="A21" t="s">
        <v>199</v>
      </c>
      <c r="B21" t="s">
        <v>968</v>
      </c>
      <c r="C21" t="s">
        <v>969</v>
      </c>
      <c r="D21" t="s">
        <v>185</v>
      </c>
      <c r="F21">
        <v>0.71603600000000001</v>
      </c>
      <c r="G21">
        <v>0.77875899999999998</v>
      </c>
      <c r="H21">
        <v>0.84013400000000005</v>
      </c>
      <c r="I21">
        <v>0.90150600000000003</v>
      </c>
      <c r="J21">
        <v>0.96045400000000003</v>
      </c>
      <c r="K21">
        <v>1.0181720000000001</v>
      </c>
      <c r="L21">
        <v>1.0755490000000001</v>
      </c>
      <c r="M21">
        <v>1.1327560000000001</v>
      </c>
      <c r="N21">
        <v>1.189252</v>
      </c>
      <c r="O21">
        <v>1.2455259999999999</v>
      </c>
      <c r="P21">
        <v>1.3019080000000001</v>
      </c>
      <c r="Q21">
        <v>1.35802</v>
      </c>
      <c r="R21">
        <v>1.41364</v>
      </c>
      <c r="S21">
        <v>1.4695659999999999</v>
      </c>
      <c r="T21">
        <v>1.5259419999999999</v>
      </c>
      <c r="U21">
        <v>1.581248</v>
      </c>
      <c r="V21">
        <v>1.635567</v>
      </c>
      <c r="W21">
        <v>1.6885110000000001</v>
      </c>
      <c r="X21">
        <v>1.7416970000000001</v>
      </c>
      <c r="Y21">
        <v>1.7939620000000001</v>
      </c>
      <c r="Z21">
        <v>1.844503</v>
      </c>
      <c r="AA21">
        <v>1.893613</v>
      </c>
      <c r="AB21">
        <v>1.9412290000000001</v>
      </c>
      <c r="AC21">
        <v>1.9875959999999999</v>
      </c>
      <c r="AD21">
        <v>2.0328300000000001</v>
      </c>
      <c r="AE21">
        <v>2.0777939999999999</v>
      </c>
      <c r="AF21">
        <v>2.122325</v>
      </c>
      <c r="AG21">
        <v>2.166455</v>
      </c>
      <c r="AH21">
        <v>2.2103090000000001</v>
      </c>
      <c r="AI21" s="21">
        <v>4.1000000000000002E-2</v>
      </c>
    </row>
    <row r="22" spans="1:35" x14ac:dyDescent="0.25">
      <c r="A22" t="s">
        <v>207</v>
      </c>
      <c r="B22" t="s">
        <v>970</v>
      </c>
      <c r="C22" t="s">
        <v>971</v>
      </c>
      <c r="D22" t="s">
        <v>185</v>
      </c>
      <c r="F22">
        <v>65.952872999999997</v>
      </c>
      <c r="G22">
        <v>67.531486999999998</v>
      </c>
      <c r="H22">
        <v>69.112846000000005</v>
      </c>
      <c r="I22">
        <v>70.710128999999995</v>
      </c>
      <c r="J22">
        <v>72.303070000000005</v>
      </c>
      <c r="K22">
        <v>73.897850000000005</v>
      </c>
      <c r="L22">
        <v>75.496253999999993</v>
      </c>
      <c r="M22">
        <v>77.087233999999995</v>
      </c>
      <c r="N22">
        <v>78.657111999999998</v>
      </c>
      <c r="O22">
        <v>80.210655000000003</v>
      </c>
      <c r="P22">
        <v>81.756866000000002</v>
      </c>
      <c r="Q22">
        <v>83.285324000000003</v>
      </c>
      <c r="R22">
        <v>84.789771999999999</v>
      </c>
      <c r="S22">
        <v>86.282950999999997</v>
      </c>
      <c r="T22">
        <v>87.774985999999998</v>
      </c>
      <c r="U22">
        <v>89.260513000000003</v>
      </c>
      <c r="V22">
        <v>90.740982000000002</v>
      </c>
      <c r="W22">
        <v>92.214447000000007</v>
      </c>
      <c r="X22">
        <v>93.693588000000005</v>
      </c>
      <c r="Y22">
        <v>95.171677000000003</v>
      </c>
      <c r="Z22">
        <v>96.637680000000003</v>
      </c>
      <c r="AA22">
        <v>98.096832000000006</v>
      </c>
      <c r="AB22">
        <v>99.549744000000004</v>
      </c>
      <c r="AC22">
        <v>100.997017</v>
      </c>
      <c r="AD22">
        <v>102.436249</v>
      </c>
      <c r="AE22">
        <v>103.87108600000001</v>
      </c>
      <c r="AF22">
        <v>105.297241</v>
      </c>
      <c r="AG22">
        <v>106.713791</v>
      </c>
      <c r="AH22">
        <v>108.122772</v>
      </c>
      <c r="AI22" s="21">
        <v>1.7999999999999999E-2</v>
      </c>
    </row>
    <row r="23" spans="1:35" x14ac:dyDescent="0.25">
      <c r="A23" t="s">
        <v>209</v>
      </c>
      <c r="B23" t="s">
        <v>972</v>
      </c>
      <c r="C23" t="s">
        <v>973</v>
      </c>
      <c r="D23" t="s">
        <v>185</v>
      </c>
      <c r="F23">
        <v>58.086196999999999</v>
      </c>
      <c r="G23">
        <v>58.099601999999997</v>
      </c>
      <c r="H23">
        <v>58.113242999999997</v>
      </c>
      <c r="I23">
        <v>58.130096000000002</v>
      </c>
      <c r="J23">
        <v>58.148983000000001</v>
      </c>
      <c r="K23">
        <v>58.170321999999999</v>
      </c>
      <c r="L23">
        <v>58.193908999999998</v>
      </c>
      <c r="M23">
        <v>58.217010000000002</v>
      </c>
      <c r="N23">
        <v>58.235847</v>
      </c>
      <c r="O23">
        <v>58.251922999999998</v>
      </c>
      <c r="P23">
        <v>58.267937000000003</v>
      </c>
      <c r="Q23">
        <v>58.282756999999997</v>
      </c>
      <c r="R23">
        <v>58.294533000000001</v>
      </c>
      <c r="S23">
        <v>58.304741</v>
      </c>
      <c r="T23">
        <v>58.315868000000002</v>
      </c>
      <c r="U23">
        <v>58.326084000000002</v>
      </c>
      <c r="V23">
        <v>58.335472000000003</v>
      </c>
      <c r="W23">
        <v>58.344200000000001</v>
      </c>
      <c r="X23">
        <v>58.355373</v>
      </c>
      <c r="Y23">
        <v>58.367629999999998</v>
      </c>
      <c r="Z23">
        <v>58.379016999999997</v>
      </c>
      <c r="AA23">
        <v>58.390129000000002</v>
      </c>
      <c r="AB23">
        <v>58.400813999999997</v>
      </c>
      <c r="AC23">
        <v>58.411189999999998</v>
      </c>
      <c r="AD23">
        <v>58.420650000000002</v>
      </c>
      <c r="AE23">
        <v>58.430312999999998</v>
      </c>
      <c r="AF23">
        <v>58.439326999999999</v>
      </c>
      <c r="AG23">
        <v>58.447398999999997</v>
      </c>
      <c r="AH23">
        <v>58.455089999999998</v>
      </c>
      <c r="AI23" s="21">
        <v>0</v>
      </c>
    </row>
    <row r="24" spans="1:35" x14ac:dyDescent="0.25">
      <c r="A24" t="s">
        <v>201</v>
      </c>
      <c r="B24" t="s">
        <v>974</v>
      </c>
      <c r="C24" t="s">
        <v>975</v>
      </c>
      <c r="D24" t="s">
        <v>185</v>
      </c>
      <c r="F24">
        <v>139.391876</v>
      </c>
      <c r="G24">
        <v>141.299835</v>
      </c>
      <c r="H24">
        <v>143.20635999999999</v>
      </c>
      <c r="I24">
        <v>145.13810699999999</v>
      </c>
      <c r="J24">
        <v>147.06448399999999</v>
      </c>
      <c r="K24">
        <v>148.99453700000001</v>
      </c>
      <c r="L24">
        <v>150.93130500000001</v>
      </c>
      <c r="M24">
        <v>152.85787999999999</v>
      </c>
      <c r="N24">
        <v>154.75216699999999</v>
      </c>
      <c r="O24">
        <v>156.62278699999999</v>
      </c>
      <c r="P24">
        <v>158.48434399999999</v>
      </c>
      <c r="Q24">
        <v>160.321732</v>
      </c>
      <c r="R24">
        <v>162.125092</v>
      </c>
      <c r="S24">
        <v>163.914154</v>
      </c>
      <c r="T24">
        <v>165.704971</v>
      </c>
      <c r="U24">
        <v>167.487503</v>
      </c>
      <c r="V24">
        <v>169.26147499999999</v>
      </c>
      <c r="W24">
        <v>171.02398700000001</v>
      </c>
      <c r="X24">
        <v>172.79663099999999</v>
      </c>
      <c r="Y24">
        <v>174.568344</v>
      </c>
      <c r="Z24">
        <v>176.323059</v>
      </c>
      <c r="AA24">
        <v>178.06845100000001</v>
      </c>
      <c r="AB24">
        <v>179.80493200000001</v>
      </c>
      <c r="AC24">
        <v>181.533905</v>
      </c>
      <c r="AD24">
        <v>183.252151</v>
      </c>
      <c r="AE24">
        <v>184.96646100000001</v>
      </c>
      <c r="AF24">
        <v>186.669861</v>
      </c>
      <c r="AG24">
        <v>188.36108400000001</v>
      </c>
      <c r="AH24">
        <v>190.04331999999999</v>
      </c>
      <c r="AI24" s="21">
        <v>1.0999999999999999E-2</v>
      </c>
    </row>
    <row r="25" spans="1:35" x14ac:dyDescent="0.25">
      <c r="A25" t="s">
        <v>212</v>
      </c>
    </row>
    <row r="26" spans="1:35" x14ac:dyDescent="0.25">
      <c r="A26" t="s">
        <v>213</v>
      </c>
      <c r="B26" t="s">
        <v>976</v>
      </c>
      <c r="C26" t="s">
        <v>977</v>
      </c>
      <c r="D26" t="s">
        <v>185</v>
      </c>
      <c r="F26">
        <v>60.580669</v>
      </c>
      <c r="G26">
        <v>60.983252999999998</v>
      </c>
      <c r="H26">
        <v>61.337626999999998</v>
      </c>
      <c r="I26">
        <v>61.675991000000003</v>
      </c>
      <c r="J26">
        <v>61.982436999999997</v>
      </c>
      <c r="K26">
        <v>62.286163000000002</v>
      </c>
      <c r="L26">
        <v>62.581848000000001</v>
      </c>
      <c r="M26">
        <v>62.861567999999998</v>
      </c>
      <c r="N26">
        <v>63.111282000000003</v>
      </c>
      <c r="O26">
        <v>63.367752000000003</v>
      </c>
      <c r="P26">
        <v>63.636322</v>
      </c>
      <c r="Q26">
        <v>63.985218000000003</v>
      </c>
      <c r="R26">
        <v>64.382026999999994</v>
      </c>
      <c r="S26">
        <v>64.897079000000005</v>
      </c>
      <c r="T26">
        <v>65.400184999999993</v>
      </c>
      <c r="U26">
        <v>65.903778000000003</v>
      </c>
      <c r="V26">
        <v>66.40728</v>
      </c>
      <c r="W26">
        <v>66.896240000000006</v>
      </c>
      <c r="X26">
        <v>67.381805</v>
      </c>
      <c r="Y26">
        <v>67.859168999999994</v>
      </c>
      <c r="Z26">
        <v>68.323227000000003</v>
      </c>
      <c r="AA26">
        <v>68.776732999999993</v>
      </c>
      <c r="AB26">
        <v>69.220825000000005</v>
      </c>
      <c r="AC26">
        <v>69.659087999999997</v>
      </c>
      <c r="AD26">
        <v>70.099632</v>
      </c>
      <c r="AE26">
        <v>70.538925000000006</v>
      </c>
      <c r="AF26">
        <v>70.972908000000004</v>
      </c>
      <c r="AG26">
        <v>71.406891000000002</v>
      </c>
      <c r="AH26">
        <v>71.842628000000005</v>
      </c>
      <c r="AI26" s="21">
        <v>6.0000000000000001E-3</v>
      </c>
    </row>
    <row r="27" spans="1:35" x14ac:dyDescent="0.25">
      <c r="A27" t="s">
        <v>215</v>
      </c>
      <c r="B27" t="s">
        <v>978</v>
      </c>
      <c r="C27" t="s">
        <v>979</v>
      </c>
      <c r="D27" t="s">
        <v>185</v>
      </c>
      <c r="F27">
        <v>61.252429999999997</v>
      </c>
      <c r="G27">
        <v>61.855328</v>
      </c>
      <c r="H27">
        <v>62.501674999999999</v>
      </c>
      <c r="I27">
        <v>63.183993999999998</v>
      </c>
      <c r="J27">
        <v>63.881008000000001</v>
      </c>
      <c r="K27">
        <v>64.589164999999994</v>
      </c>
      <c r="L27">
        <v>65.313995000000006</v>
      </c>
      <c r="M27">
        <v>66.041458000000006</v>
      </c>
      <c r="N27">
        <v>66.761238000000006</v>
      </c>
      <c r="O27">
        <v>67.455582000000007</v>
      </c>
      <c r="P27">
        <v>68.133422999999993</v>
      </c>
      <c r="Q27">
        <v>68.803520000000006</v>
      </c>
      <c r="R27">
        <v>69.458297999999999</v>
      </c>
      <c r="S27">
        <v>70.120711999999997</v>
      </c>
      <c r="T27">
        <v>70.775199999999998</v>
      </c>
      <c r="U27">
        <v>71.421004999999994</v>
      </c>
      <c r="V27">
        <v>72.060173000000006</v>
      </c>
      <c r="W27">
        <v>72.702529999999996</v>
      </c>
      <c r="X27">
        <v>73.355804000000006</v>
      </c>
      <c r="Y27">
        <v>74.013892999999996</v>
      </c>
      <c r="Z27">
        <v>74.665520000000001</v>
      </c>
      <c r="AA27">
        <v>75.316040000000001</v>
      </c>
      <c r="AB27">
        <v>75.965560999999994</v>
      </c>
      <c r="AC27">
        <v>76.611816000000005</v>
      </c>
      <c r="AD27">
        <v>77.243378000000007</v>
      </c>
      <c r="AE27">
        <v>77.870566999999994</v>
      </c>
      <c r="AF27">
        <v>78.490523999999994</v>
      </c>
      <c r="AG27">
        <v>79.097526999999999</v>
      </c>
      <c r="AH27">
        <v>79.692604000000003</v>
      </c>
      <c r="AI27" s="21">
        <v>8.9999999999999993E-3</v>
      </c>
    </row>
    <row r="28" spans="1:35" x14ac:dyDescent="0.25">
      <c r="A28" t="s">
        <v>192</v>
      </c>
      <c r="B28" t="s">
        <v>980</v>
      </c>
      <c r="C28" t="s">
        <v>981</v>
      </c>
      <c r="D28" t="s">
        <v>185</v>
      </c>
      <c r="F28">
        <v>2.542532</v>
      </c>
      <c r="G28">
        <v>2.4844569999999999</v>
      </c>
      <c r="H28">
        <v>2.431864</v>
      </c>
      <c r="I28">
        <v>2.3857050000000002</v>
      </c>
      <c r="J28">
        <v>2.3435670000000002</v>
      </c>
      <c r="K28">
        <v>2.305742</v>
      </c>
      <c r="L28">
        <v>2.2720549999999999</v>
      </c>
      <c r="M28">
        <v>2.2423639999999998</v>
      </c>
      <c r="N28">
        <v>2.2166969999999999</v>
      </c>
      <c r="O28">
        <v>2.188768</v>
      </c>
      <c r="P28">
        <v>2.1592769999999999</v>
      </c>
      <c r="Q28">
        <v>2.1287530000000001</v>
      </c>
      <c r="R28">
        <v>2.098122</v>
      </c>
      <c r="S28">
        <v>2.0668519999999999</v>
      </c>
      <c r="T28">
        <v>2.036216</v>
      </c>
      <c r="U28">
        <v>2.0060829999999998</v>
      </c>
      <c r="V28">
        <v>1.976985</v>
      </c>
      <c r="W28">
        <v>1.9489259999999999</v>
      </c>
      <c r="X28">
        <v>1.9220330000000001</v>
      </c>
      <c r="Y28">
        <v>1.8962410000000001</v>
      </c>
      <c r="Z28">
        <v>1.871523</v>
      </c>
      <c r="AA28">
        <v>1.847718</v>
      </c>
      <c r="AB28">
        <v>1.8246659999999999</v>
      </c>
      <c r="AC28">
        <v>1.80236</v>
      </c>
      <c r="AD28">
        <v>1.780556</v>
      </c>
      <c r="AE28">
        <v>1.7592410000000001</v>
      </c>
      <c r="AF28">
        <v>1.7384189999999999</v>
      </c>
      <c r="AG28">
        <v>1.717659</v>
      </c>
      <c r="AH28">
        <v>1.697292</v>
      </c>
      <c r="AI28" s="21">
        <v>-1.4E-2</v>
      </c>
    </row>
    <row r="29" spans="1:35" x14ac:dyDescent="0.25">
      <c r="A29" t="s">
        <v>149</v>
      </c>
      <c r="B29" t="s">
        <v>982</v>
      </c>
      <c r="C29" t="s">
        <v>983</v>
      </c>
      <c r="D29" t="s">
        <v>185</v>
      </c>
      <c r="F29">
        <v>3.944016</v>
      </c>
      <c r="G29">
        <v>3.844217</v>
      </c>
      <c r="H29">
        <v>3.754283</v>
      </c>
      <c r="I29">
        <v>3.6748500000000002</v>
      </c>
      <c r="J29">
        <v>3.6056059999999999</v>
      </c>
      <c r="K29">
        <v>3.5459260000000001</v>
      </c>
      <c r="L29">
        <v>3.495781</v>
      </c>
      <c r="M29">
        <v>3.4546130000000002</v>
      </c>
      <c r="N29">
        <v>3.4217279999999999</v>
      </c>
      <c r="O29">
        <v>3.3834629999999999</v>
      </c>
      <c r="P29">
        <v>3.3414269999999999</v>
      </c>
      <c r="Q29">
        <v>3.296932</v>
      </c>
      <c r="R29">
        <v>3.250626</v>
      </c>
      <c r="S29">
        <v>3.2032949999999998</v>
      </c>
      <c r="T29">
        <v>3.1566869999999998</v>
      </c>
      <c r="U29">
        <v>3.1109</v>
      </c>
      <c r="V29">
        <v>3.0664980000000002</v>
      </c>
      <c r="W29">
        <v>3.0242019999999998</v>
      </c>
      <c r="X29">
        <v>2.984899</v>
      </c>
      <c r="Y29">
        <v>2.9484699999999999</v>
      </c>
      <c r="Z29">
        <v>2.9144929999999998</v>
      </c>
      <c r="AA29">
        <v>2.8829220000000002</v>
      </c>
      <c r="AB29">
        <v>2.853478</v>
      </c>
      <c r="AC29">
        <v>2.8259439999999998</v>
      </c>
      <c r="AD29">
        <v>2.7997079999999999</v>
      </c>
      <c r="AE29">
        <v>2.7750110000000001</v>
      </c>
      <c r="AF29">
        <v>2.7515610000000001</v>
      </c>
      <c r="AG29">
        <v>2.7290040000000002</v>
      </c>
      <c r="AH29">
        <v>2.7075239999999998</v>
      </c>
      <c r="AI29" s="21">
        <v>-1.2999999999999999E-2</v>
      </c>
    </row>
    <row r="30" spans="1:35" x14ac:dyDescent="0.25">
      <c r="A30" t="s">
        <v>219</v>
      </c>
      <c r="B30" t="s">
        <v>984</v>
      </c>
      <c r="C30" t="s">
        <v>985</v>
      </c>
      <c r="D30" t="s">
        <v>185</v>
      </c>
      <c r="F30">
        <v>2.232774</v>
      </c>
      <c r="G30">
        <v>2.576883</v>
      </c>
      <c r="H30">
        <v>2.9125079999999999</v>
      </c>
      <c r="I30">
        <v>3.2382330000000001</v>
      </c>
      <c r="J30">
        <v>3.563558</v>
      </c>
      <c r="K30">
        <v>3.8726560000000001</v>
      </c>
      <c r="L30">
        <v>4.1679329999999997</v>
      </c>
      <c r="M30">
        <v>4.4541649999999997</v>
      </c>
      <c r="N30">
        <v>4.7348220000000003</v>
      </c>
      <c r="O30">
        <v>5.018878</v>
      </c>
      <c r="P30">
        <v>5.3041390000000002</v>
      </c>
      <c r="Q30">
        <v>5.4952529999999999</v>
      </c>
      <c r="R30">
        <v>5.6203919999999998</v>
      </c>
      <c r="S30">
        <v>5.6063939999999999</v>
      </c>
      <c r="T30">
        <v>5.6123989999999999</v>
      </c>
      <c r="U30">
        <v>5.6182749999999997</v>
      </c>
      <c r="V30">
        <v>5.6239319999999999</v>
      </c>
      <c r="W30">
        <v>5.6299010000000003</v>
      </c>
      <c r="X30">
        <v>5.6361780000000001</v>
      </c>
      <c r="Y30">
        <v>5.6426720000000001</v>
      </c>
      <c r="Z30">
        <v>5.6492990000000001</v>
      </c>
      <c r="AA30">
        <v>5.6560490000000003</v>
      </c>
      <c r="AB30">
        <v>5.662947</v>
      </c>
      <c r="AC30">
        <v>5.6700030000000003</v>
      </c>
      <c r="AD30">
        <v>5.6775789999999997</v>
      </c>
      <c r="AE30">
        <v>5.685092</v>
      </c>
      <c r="AF30">
        <v>5.6925990000000004</v>
      </c>
      <c r="AG30">
        <v>5.7000520000000003</v>
      </c>
      <c r="AH30">
        <v>5.7073559999999999</v>
      </c>
      <c r="AI30" s="21">
        <v>3.4000000000000002E-2</v>
      </c>
    </row>
    <row r="31" spans="1:35" x14ac:dyDescent="0.25">
      <c r="A31" t="s">
        <v>201</v>
      </c>
      <c r="B31" t="s">
        <v>986</v>
      </c>
      <c r="C31" t="s">
        <v>987</v>
      </c>
      <c r="D31" t="s">
        <v>185</v>
      </c>
      <c r="F31">
        <v>130.55242899999999</v>
      </c>
      <c r="G31">
        <v>131.74414100000001</v>
      </c>
      <c r="H31">
        <v>132.93795800000001</v>
      </c>
      <c r="I31">
        <v>134.15876800000001</v>
      </c>
      <c r="J31">
        <v>135.37617499999999</v>
      </c>
      <c r="K31">
        <v>136.59965500000001</v>
      </c>
      <c r="L31">
        <v>137.831604</v>
      </c>
      <c r="M31">
        <v>139.05418399999999</v>
      </c>
      <c r="N31">
        <v>140.245758</v>
      </c>
      <c r="O31">
        <v>141.414444</v>
      </c>
      <c r="P31">
        <v>142.57458500000001</v>
      </c>
      <c r="Q31">
        <v>143.709686</v>
      </c>
      <c r="R31">
        <v>144.80947900000001</v>
      </c>
      <c r="S31">
        <v>145.89433299999999</v>
      </c>
      <c r="T31">
        <v>146.980682</v>
      </c>
      <c r="U31">
        <v>148.06004300000001</v>
      </c>
      <c r="V31">
        <v>149.134872</v>
      </c>
      <c r="W31">
        <v>150.201797</v>
      </c>
      <c r="X31">
        <v>151.28071600000001</v>
      </c>
      <c r="Y31">
        <v>152.360443</v>
      </c>
      <c r="Z31">
        <v>153.42404199999999</v>
      </c>
      <c r="AA31">
        <v>154.47946200000001</v>
      </c>
      <c r="AB31">
        <v>155.52748099999999</v>
      </c>
      <c r="AC31">
        <v>156.569199</v>
      </c>
      <c r="AD31">
        <v>157.600876</v>
      </c>
      <c r="AE31">
        <v>158.62882999999999</v>
      </c>
      <c r="AF31">
        <v>159.64601099999999</v>
      </c>
      <c r="AG31">
        <v>160.65115399999999</v>
      </c>
      <c r="AH31">
        <v>161.6474</v>
      </c>
      <c r="AI31" s="21">
        <v>8.0000000000000002E-3</v>
      </c>
    </row>
    <row r="32" spans="1:35" x14ac:dyDescent="0.25">
      <c r="A32" t="s">
        <v>222</v>
      </c>
    </row>
    <row r="33" spans="1:35" x14ac:dyDescent="0.25">
      <c r="A33" t="s">
        <v>213</v>
      </c>
      <c r="B33" t="s">
        <v>988</v>
      </c>
      <c r="C33" t="s">
        <v>989</v>
      </c>
      <c r="D33" t="s">
        <v>185</v>
      </c>
      <c r="F33">
        <v>98.268683999999993</v>
      </c>
      <c r="G33">
        <v>98.918464999999998</v>
      </c>
      <c r="H33">
        <v>99.554741000000007</v>
      </c>
      <c r="I33">
        <v>100.198555</v>
      </c>
      <c r="J33">
        <v>100.828621</v>
      </c>
      <c r="K33">
        <v>101.449066</v>
      </c>
      <c r="L33">
        <v>102.06017300000001</v>
      </c>
      <c r="M33">
        <v>102.624161</v>
      </c>
      <c r="N33">
        <v>103.12352</v>
      </c>
      <c r="O33">
        <v>103.555977</v>
      </c>
      <c r="P33">
        <v>103.928223</v>
      </c>
      <c r="Q33">
        <v>104.312157</v>
      </c>
      <c r="R33">
        <v>104.726097</v>
      </c>
      <c r="S33">
        <v>105.187927</v>
      </c>
      <c r="T33">
        <v>105.718834</v>
      </c>
      <c r="U33">
        <v>106.31783299999999</v>
      </c>
      <c r="V33">
        <v>106.902771</v>
      </c>
      <c r="W33">
        <v>107.47090900000001</v>
      </c>
      <c r="X33">
        <v>108.035225</v>
      </c>
      <c r="Y33">
        <v>108.586731</v>
      </c>
      <c r="Z33">
        <v>109.113167</v>
      </c>
      <c r="AA33">
        <v>109.61953699999999</v>
      </c>
      <c r="AB33">
        <v>110.10674299999999</v>
      </c>
      <c r="AC33">
        <v>110.57737</v>
      </c>
      <c r="AD33">
        <v>111.032166</v>
      </c>
      <c r="AE33">
        <v>111.479454</v>
      </c>
      <c r="AF33">
        <v>111.91857899999999</v>
      </c>
      <c r="AG33">
        <v>112.35443100000001</v>
      </c>
      <c r="AH33">
        <v>112.79387699999999</v>
      </c>
      <c r="AI33" s="21">
        <v>5.0000000000000001E-3</v>
      </c>
    </row>
    <row r="34" spans="1:35" x14ac:dyDescent="0.25">
      <c r="A34" t="s">
        <v>215</v>
      </c>
      <c r="B34" t="s">
        <v>990</v>
      </c>
      <c r="C34" t="s">
        <v>991</v>
      </c>
      <c r="D34" t="s">
        <v>185</v>
      </c>
      <c r="F34">
        <v>48.883518000000002</v>
      </c>
      <c r="G34">
        <v>49.409148999999999</v>
      </c>
      <c r="H34">
        <v>49.952679000000003</v>
      </c>
      <c r="I34">
        <v>50.517521000000002</v>
      </c>
      <c r="J34">
        <v>51.095180999999997</v>
      </c>
      <c r="K34">
        <v>51.691890999999998</v>
      </c>
      <c r="L34">
        <v>52.309581999999999</v>
      </c>
      <c r="M34">
        <v>52.968777000000003</v>
      </c>
      <c r="N34">
        <v>53.66621</v>
      </c>
      <c r="O34">
        <v>54.411140000000003</v>
      </c>
      <c r="P34">
        <v>55.209865999999998</v>
      </c>
      <c r="Q34">
        <v>55.967616999999997</v>
      </c>
      <c r="R34">
        <v>56.656402999999997</v>
      </c>
      <c r="S34">
        <v>57.278697999999999</v>
      </c>
      <c r="T34">
        <v>57.828837999999998</v>
      </c>
      <c r="U34">
        <v>58.300525999999998</v>
      </c>
      <c r="V34">
        <v>58.784472999999998</v>
      </c>
      <c r="W34">
        <v>59.280293</v>
      </c>
      <c r="X34">
        <v>59.794044</v>
      </c>
      <c r="Y34">
        <v>60.323729999999998</v>
      </c>
      <c r="Z34">
        <v>60.864474999999999</v>
      </c>
      <c r="AA34">
        <v>61.418551999999998</v>
      </c>
      <c r="AB34">
        <v>61.984870999999998</v>
      </c>
      <c r="AC34">
        <v>62.561092000000002</v>
      </c>
      <c r="AD34">
        <v>63.141663000000001</v>
      </c>
      <c r="AE34">
        <v>63.723984000000002</v>
      </c>
      <c r="AF34">
        <v>64.301460000000006</v>
      </c>
      <c r="AG34">
        <v>64.868683000000004</v>
      </c>
      <c r="AH34">
        <v>65.422531000000006</v>
      </c>
      <c r="AI34" s="21">
        <v>0.01</v>
      </c>
    </row>
    <row r="35" spans="1:35" x14ac:dyDescent="0.25">
      <c r="A35" t="s">
        <v>149</v>
      </c>
      <c r="B35" t="s">
        <v>992</v>
      </c>
      <c r="C35" t="s">
        <v>993</v>
      </c>
      <c r="D35" t="s">
        <v>185</v>
      </c>
      <c r="F35">
        <v>7.2516410000000002</v>
      </c>
      <c r="G35">
        <v>7.2353420000000002</v>
      </c>
      <c r="H35">
        <v>7.217015</v>
      </c>
      <c r="I35">
        <v>7.1969430000000001</v>
      </c>
      <c r="J35">
        <v>7.174531</v>
      </c>
      <c r="K35">
        <v>7.1489070000000003</v>
      </c>
      <c r="L35">
        <v>7.120317</v>
      </c>
      <c r="M35">
        <v>7.0881179999999997</v>
      </c>
      <c r="N35">
        <v>7.0514330000000003</v>
      </c>
      <c r="O35">
        <v>7.0113719999999997</v>
      </c>
      <c r="P35">
        <v>6.9694529999999997</v>
      </c>
      <c r="Q35">
        <v>6.9318289999999996</v>
      </c>
      <c r="R35">
        <v>6.8980180000000004</v>
      </c>
      <c r="S35">
        <v>6.8681109999999999</v>
      </c>
      <c r="T35">
        <v>6.8427449999999999</v>
      </c>
      <c r="U35">
        <v>6.8210680000000004</v>
      </c>
      <c r="V35">
        <v>6.7966600000000001</v>
      </c>
      <c r="W35">
        <v>6.769514</v>
      </c>
      <c r="X35">
        <v>6.7403110000000002</v>
      </c>
      <c r="Y35">
        <v>6.7089879999999997</v>
      </c>
      <c r="Z35">
        <v>6.6756200000000003</v>
      </c>
      <c r="AA35">
        <v>6.6409380000000002</v>
      </c>
      <c r="AB35">
        <v>6.6058630000000003</v>
      </c>
      <c r="AC35">
        <v>6.5714249999999996</v>
      </c>
      <c r="AD35">
        <v>6.5383899999999997</v>
      </c>
      <c r="AE35">
        <v>6.5076369999999999</v>
      </c>
      <c r="AF35">
        <v>6.4791080000000001</v>
      </c>
      <c r="AG35">
        <v>6.4522579999999996</v>
      </c>
      <c r="AH35">
        <v>6.426418</v>
      </c>
      <c r="AI35" s="21">
        <v>-4.0000000000000001E-3</v>
      </c>
    </row>
    <row r="36" spans="1:35" x14ac:dyDescent="0.25">
      <c r="A36" t="s">
        <v>201</v>
      </c>
      <c r="B36" t="s">
        <v>994</v>
      </c>
      <c r="C36" t="s">
        <v>995</v>
      </c>
      <c r="D36" t="s">
        <v>185</v>
      </c>
      <c r="F36">
        <v>154.403854</v>
      </c>
      <c r="G36">
        <v>155.56294299999999</v>
      </c>
      <c r="H36">
        <v>156.72442599999999</v>
      </c>
      <c r="I36">
        <v>157.913025</v>
      </c>
      <c r="J36">
        <v>159.09832800000001</v>
      </c>
      <c r="K36">
        <v>160.28987100000001</v>
      </c>
      <c r="L36">
        <v>161.49006700000001</v>
      </c>
      <c r="M36">
        <v>162.681061</v>
      </c>
      <c r="N36">
        <v>163.841171</v>
      </c>
      <c r="O36">
        <v>164.97848500000001</v>
      </c>
      <c r="P36">
        <v>166.10754399999999</v>
      </c>
      <c r="Q36">
        <v>167.21159399999999</v>
      </c>
      <c r="R36">
        <v>168.280518</v>
      </c>
      <c r="S36">
        <v>169.33474699999999</v>
      </c>
      <c r="T36">
        <v>170.390411</v>
      </c>
      <c r="U36">
        <v>171.43942300000001</v>
      </c>
      <c r="V36">
        <v>172.483902</v>
      </c>
      <c r="W36">
        <v>173.52072100000001</v>
      </c>
      <c r="X36">
        <v>174.56958</v>
      </c>
      <c r="Y36">
        <v>175.61944600000001</v>
      </c>
      <c r="Z36">
        <v>176.65325899999999</v>
      </c>
      <c r="AA36">
        <v>177.67901599999999</v>
      </c>
      <c r="AB36">
        <v>178.69747899999999</v>
      </c>
      <c r="AC36">
        <v>179.70988500000001</v>
      </c>
      <c r="AD36">
        <v>180.712219</v>
      </c>
      <c r="AE36">
        <v>181.71106</v>
      </c>
      <c r="AF36">
        <v>182.69914199999999</v>
      </c>
      <c r="AG36">
        <v>183.67536899999999</v>
      </c>
      <c r="AH36">
        <v>184.642822</v>
      </c>
      <c r="AI36" s="21">
        <v>6.0000000000000001E-3</v>
      </c>
    </row>
    <row r="37" spans="1:35" x14ac:dyDescent="0.25">
      <c r="A37" t="s">
        <v>227</v>
      </c>
    </row>
    <row r="38" spans="1:35" x14ac:dyDescent="0.25">
      <c r="A38" t="s">
        <v>213</v>
      </c>
      <c r="B38" t="s">
        <v>996</v>
      </c>
      <c r="C38" t="s">
        <v>997</v>
      </c>
      <c r="D38" t="s">
        <v>185</v>
      </c>
      <c r="F38">
        <v>86.664726000000002</v>
      </c>
      <c r="G38">
        <v>88.297852000000006</v>
      </c>
      <c r="H38">
        <v>89.928329000000005</v>
      </c>
      <c r="I38">
        <v>91.593001999999998</v>
      </c>
      <c r="J38">
        <v>93.232185000000001</v>
      </c>
      <c r="K38">
        <v>94.867050000000006</v>
      </c>
      <c r="L38">
        <v>96.512412999999995</v>
      </c>
      <c r="M38">
        <v>98.151497000000006</v>
      </c>
      <c r="N38">
        <v>99.765617000000006</v>
      </c>
      <c r="O38">
        <v>101.361588</v>
      </c>
      <c r="P38">
        <v>102.95294199999999</v>
      </c>
      <c r="Q38">
        <v>104.526917</v>
      </c>
      <c r="R38">
        <v>106.11953</v>
      </c>
      <c r="S38">
        <v>107.711365</v>
      </c>
      <c r="T38">
        <v>109.317787</v>
      </c>
      <c r="U38">
        <v>110.904121</v>
      </c>
      <c r="V38">
        <v>112.473495</v>
      </c>
      <c r="W38">
        <v>114.027809</v>
      </c>
      <c r="X38">
        <v>115.583641</v>
      </c>
      <c r="Y38">
        <v>117.13265199999999</v>
      </c>
      <c r="Z38">
        <v>118.660141</v>
      </c>
      <c r="AA38">
        <v>120.17596399999999</v>
      </c>
      <c r="AB38">
        <v>121.682526</v>
      </c>
      <c r="AC38">
        <v>123.18261</v>
      </c>
      <c r="AD38">
        <v>124.67440000000001</v>
      </c>
      <c r="AE38">
        <v>126.16295599999999</v>
      </c>
      <c r="AF38">
        <v>127.641502</v>
      </c>
      <c r="AG38">
        <v>129.10882599999999</v>
      </c>
      <c r="AH38">
        <v>130.56716900000001</v>
      </c>
      <c r="AI38" s="21">
        <v>1.4999999999999999E-2</v>
      </c>
    </row>
    <row r="39" spans="1:35" x14ac:dyDescent="0.25">
      <c r="A39" t="s">
        <v>215</v>
      </c>
      <c r="B39" t="s">
        <v>998</v>
      </c>
      <c r="C39" t="s">
        <v>999</v>
      </c>
      <c r="D39" t="s">
        <v>185</v>
      </c>
      <c r="F39">
        <v>20.076682999999999</v>
      </c>
      <c r="G39">
        <v>20.416830000000001</v>
      </c>
      <c r="H39">
        <v>20.774426999999999</v>
      </c>
      <c r="I39">
        <v>21.150563999999999</v>
      </c>
      <c r="J39">
        <v>21.546068000000002</v>
      </c>
      <c r="K39">
        <v>21.964548000000001</v>
      </c>
      <c r="L39">
        <v>22.379805000000001</v>
      </c>
      <c r="M39">
        <v>22.792024999999999</v>
      </c>
      <c r="N39">
        <v>23.198757000000001</v>
      </c>
      <c r="O39">
        <v>23.600092</v>
      </c>
      <c r="P39">
        <v>23.995812999999998</v>
      </c>
      <c r="Q39">
        <v>24.382276999999998</v>
      </c>
      <c r="R39">
        <v>24.755445000000002</v>
      </c>
      <c r="S39">
        <v>25.112666999999998</v>
      </c>
      <c r="T39">
        <v>25.454253999999999</v>
      </c>
      <c r="U39">
        <v>25.806086000000001</v>
      </c>
      <c r="V39">
        <v>26.167632999999999</v>
      </c>
      <c r="W39">
        <v>26.537320999999999</v>
      </c>
      <c r="X39">
        <v>26.915823</v>
      </c>
      <c r="Y39">
        <v>27.30057</v>
      </c>
      <c r="Z39">
        <v>27.687328000000001</v>
      </c>
      <c r="AA39">
        <v>28.075541000000001</v>
      </c>
      <c r="AB39">
        <v>28.46377</v>
      </c>
      <c r="AC39">
        <v>28.850496</v>
      </c>
      <c r="AD39">
        <v>29.233149000000001</v>
      </c>
      <c r="AE39">
        <v>29.612279999999998</v>
      </c>
      <c r="AF39">
        <v>29.987487999999999</v>
      </c>
      <c r="AG39">
        <v>30.358225000000001</v>
      </c>
      <c r="AH39">
        <v>30.725327</v>
      </c>
      <c r="AI39" s="21">
        <v>1.4999999999999999E-2</v>
      </c>
    </row>
    <row r="40" spans="1:35" x14ac:dyDescent="0.25">
      <c r="A40" t="s">
        <v>201</v>
      </c>
      <c r="B40" t="s">
        <v>1000</v>
      </c>
      <c r="C40" t="s">
        <v>1001</v>
      </c>
      <c r="D40" t="s">
        <v>185</v>
      </c>
      <c r="F40">
        <v>106.741409</v>
      </c>
      <c r="G40">
        <v>108.71468400000001</v>
      </c>
      <c r="H40">
        <v>110.702759</v>
      </c>
      <c r="I40">
        <v>112.743568</v>
      </c>
      <c r="J40">
        <v>114.77825199999999</v>
      </c>
      <c r="K40">
        <v>116.831596</v>
      </c>
      <c r="L40">
        <v>118.89221999999999</v>
      </c>
      <c r="M40">
        <v>120.94352000000001</v>
      </c>
      <c r="N40">
        <v>122.964371</v>
      </c>
      <c r="O40">
        <v>124.96167800000001</v>
      </c>
      <c r="P40">
        <v>126.948753</v>
      </c>
      <c r="Q40">
        <v>128.90919500000001</v>
      </c>
      <c r="R40">
        <v>130.87496899999999</v>
      </c>
      <c r="S40">
        <v>132.82403600000001</v>
      </c>
      <c r="T40">
        <v>134.77203399999999</v>
      </c>
      <c r="U40">
        <v>136.710205</v>
      </c>
      <c r="V40">
        <v>138.64112900000001</v>
      </c>
      <c r="W40">
        <v>140.56512499999999</v>
      </c>
      <c r="X40">
        <v>142.49946600000001</v>
      </c>
      <c r="Y40">
        <v>144.43322800000001</v>
      </c>
      <c r="Z40">
        <v>146.34747300000001</v>
      </c>
      <c r="AA40">
        <v>148.25151099999999</v>
      </c>
      <c r="AB40">
        <v>150.14630099999999</v>
      </c>
      <c r="AC40">
        <v>152.03311199999999</v>
      </c>
      <c r="AD40">
        <v>153.90754699999999</v>
      </c>
      <c r="AE40">
        <v>155.775238</v>
      </c>
      <c r="AF40">
        <v>157.628998</v>
      </c>
      <c r="AG40">
        <v>159.46705600000001</v>
      </c>
      <c r="AH40">
        <v>161.292496</v>
      </c>
      <c r="AI40" s="21">
        <v>1.4999999999999999E-2</v>
      </c>
    </row>
    <row r="41" spans="1:35" x14ac:dyDescent="0.25">
      <c r="A41" t="s">
        <v>231</v>
      </c>
    </row>
    <row r="42" spans="1:35" x14ac:dyDescent="0.25">
      <c r="A42" t="s">
        <v>232</v>
      </c>
      <c r="B42" t="s">
        <v>1002</v>
      </c>
      <c r="C42" t="s">
        <v>1003</v>
      </c>
      <c r="D42" t="s">
        <v>185</v>
      </c>
      <c r="F42">
        <v>172.81051600000001</v>
      </c>
      <c r="G42">
        <v>174.53036499999999</v>
      </c>
      <c r="H42">
        <v>176.27569600000001</v>
      </c>
      <c r="I42">
        <v>178.06526199999999</v>
      </c>
      <c r="J42">
        <v>179.84724399999999</v>
      </c>
      <c r="K42">
        <v>181.635696</v>
      </c>
      <c r="L42">
        <v>183.43623400000001</v>
      </c>
      <c r="M42">
        <v>185.22486900000001</v>
      </c>
      <c r="N42">
        <v>186.971237</v>
      </c>
      <c r="O42">
        <v>188.685394</v>
      </c>
      <c r="P42">
        <v>190.38591</v>
      </c>
      <c r="Q42">
        <v>192.05006399999999</v>
      </c>
      <c r="R42">
        <v>193.663895</v>
      </c>
      <c r="S42">
        <v>195.25654599999999</v>
      </c>
      <c r="T42">
        <v>196.84982299999999</v>
      </c>
      <c r="U42">
        <v>198.431152</v>
      </c>
      <c r="V42">
        <v>200.00401299999999</v>
      </c>
      <c r="W42">
        <v>201.563278</v>
      </c>
      <c r="X42">
        <v>203.13880900000001</v>
      </c>
      <c r="Y42">
        <v>204.71639999999999</v>
      </c>
      <c r="Z42">
        <v>206.270172</v>
      </c>
      <c r="AA42">
        <v>207.812805</v>
      </c>
      <c r="AB42">
        <v>209.345474</v>
      </c>
      <c r="AC42">
        <v>210.86968999999999</v>
      </c>
      <c r="AD42">
        <v>212.37983700000001</v>
      </c>
      <c r="AE42">
        <v>213.88214099999999</v>
      </c>
      <c r="AF42">
        <v>215.36779799999999</v>
      </c>
      <c r="AG42">
        <v>216.83412200000001</v>
      </c>
      <c r="AH42">
        <v>218.28552199999999</v>
      </c>
      <c r="AI42" s="21">
        <v>8.0000000000000002E-3</v>
      </c>
    </row>
    <row r="43" spans="1:35" x14ac:dyDescent="0.25">
      <c r="A43" t="s">
        <v>234</v>
      </c>
      <c r="B43" t="s">
        <v>1004</v>
      </c>
      <c r="C43" t="s">
        <v>1005</v>
      </c>
      <c r="D43" t="s">
        <v>185</v>
      </c>
      <c r="F43">
        <v>45.411746999999998</v>
      </c>
      <c r="G43">
        <v>45.797165</v>
      </c>
      <c r="H43">
        <v>46.196086999999999</v>
      </c>
      <c r="I43">
        <v>46.606502999999996</v>
      </c>
      <c r="J43">
        <v>47.016159000000002</v>
      </c>
      <c r="K43">
        <v>47.427891000000002</v>
      </c>
      <c r="L43">
        <v>47.842959999999998</v>
      </c>
      <c r="M43">
        <v>48.255485999999998</v>
      </c>
      <c r="N43">
        <v>48.656849000000001</v>
      </c>
      <c r="O43">
        <v>49.049393000000002</v>
      </c>
      <c r="P43">
        <v>49.438591000000002</v>
      </c>
      <c r="Q43">
        <v>49.820273999999998</v>
      </c>
      <c r="R43">
        <v>50.190593999999997</v>
      </c>
      <c r="S43">
        <v>50.555218000000004</v>
      </c>
      <c r="T43">
        <v>50.919407</v>
      </c>
      <c r="U43">
        <v>51.278885000000002</v>
      </c>
      <c r="V43">
        <v>51.634022000000002</v>
      </c>
      <c r="W43">
        <v>51.984622999999999</v>
      </c>
      <c r="X43">
        <v>52.339035000000003</v>
      </c>
      <c r="Y43">
        <v>52.69482</v>
      </c>
      <c r="Z43">
        <v>53.045344999999998</v>
      </c>
      <c r="AA43">
        <v>53.393279999999997</v>
      </c>
      <c r="AB43">
        <v>53.739021000000001</v>
      </c>
      <c r="AC43">
        <v>54.082709999999999</v>
      </c>
      <c r="AD43">
        <v>54.422564999999999</v>
      </c>
      <c r="AE43">
        <v>54.759822999999997</v>
      </c>
      <c r="AF43">
        <v>55.092644</v>
      </c>
      <c r="AG43">
        <v>55.419907000000002</v>
      </c>
      <c r="AH43">
        <v>55.742942999999997</v>
      </c>
      <c r="AI43" s="21">
        <v>7.0000000000000001E-3</v>
      </c>
    </row>
    <row r="44" spans="1:35" x14ac:dyDescent="0.25">
      <c r="A44" t="s">
        <v>3</v>
      </c>
    </row>
    <row r="45" spans="1:35" x14ac:dyDescent="0.25">
      <c r="A45" t="s">
        <v>182</v>
      </c>
    </row>
    <row r="46" spans="1:35" x14ac:dyDescent="0.25">
      <c r="A46" t="s">
        <v>236</v>
      </c>
      <c r="B46" t="s">
        <v>1006</v>
      </c>
      <c r="C46" t="s">
        <v>1007</v>
      </c>
      <c r="D46" t="s">
        <v>238</v>
      </c>
      <c r="F46">
        <v>8.2105870000000003</v>
      </c>
      <c r="G46">
        <v>8.3041020000000003</v>
      </c>
      <c r="H46">
        <v>8.3882680000000001</v>
      </c>
      <c r="I46">
        <v>8.4682300000000001</v>
      </c>
      <c r="J46">
        <v>8.5434049999999999</v>
      </c>
      <c r="K46">
        <v>8.6142299999999992</v>
      </c>
      <c r="L46">
        <v>8.6805939999999993</v>
      </c>
      <c r="M46">
        <v>8.7428209999999993</v>
      </c>
      <c r="N46">
        <v>8.8006030000000006</v>
      </c>
      <c r="O46">
        <v>8.8540530000000004</v>
      </c>
      <c r="P46">
        <v>8.9030269999999998</v>
      </c>
      <c r="Q46">
        <v>8.9460110000000004</v>
      </c>
      <c r="R46">
        <v>8.9837790000000002</v>
      </c>
      <c r="S46">
        <v>9.0156770000000002</v>
      </c>
      <c r="T46">
        <v>9.0406779999999998</v>
      </c>
      <c r="U46">
        <v>9.0578079999999996</v>
      </c>
      <c r="V46">
        <v>9.0734449999999995</v>
      </c>
      <c r="W46">
        <v>9.087294</v>
      </c>
      <c r="X46">
        <v>9.0991710000000001</v>
      </c>
      <c r="Y46">
        <v>9.1090409999999995</v>
      </c>
      <c r="Z46">
        <v>9.1170039999999997</v>
      </c>
      <c r="AA46">
        <v>9.1232220000000002</v>
      </c>
      <c r="AB46">
        <v>9.1279190000000003</v>
      </c>
      <c r="AC46">
        <v>9.1313650000000006</v>
      </c>
      <c r="AD46">
        <v>9.1338329999999992</v>
      </c>
      <c r="AE46">
        <v>9.1355599999999999</v>
      </c>
      <c r="AF46">
        <v>9.1367729999999998</v>
      </c>
      <c r="AG46">
        <v>9.1376410000000003</v>
      </c>
      <c r="AH46">
        <v>9.138287</v>
      </c>
      <c r="AI46" s="21">
        <v>4.0000000000000001E-3</v>
      </c>
    </row>
    <row r="47" spans="1:35" x14ac:dyDescent="0.25">
      <c r="A47" t="s">
        <v>239</v>
      </c>
      <c r="B47" t="s">
        <v>1008</v>
      </c>
      <c r="C47" t="s">
        <v>1009</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s="21">
        <v>0</v>
      </c>
    </row>
    <row r="48" spans="1:35" x14ac:dyDescent="0.25">
      <c r="A48" t="s">
        <v>242</v>
      </c>
      <c r="B48" t="s">
        <v>1010</v>
      </c>
      <c r="C48" t="s">
        <v>1011</v>
      </c>
      <c r="D48" t="s">
        <v>244</v>
      </c>
      <c r="F48">
        <v>3.5046040000000001</v>
      </c>
      <c r="G48">
        <v>3.5563690000000001</v>
      </c>
      <c r="H48">
        <v>3.5984400000000001</v>
      </c>
      <c r="I48">
        <v>3.6346810000000001</v>
      </c>
      <c r="J48">
        <v>3.6662910000000002</v>
      </c>
      <c r="K48">
        <v>3.6931150000000001</v>
      </c>
      <c r="L48">
        <v>3.7162570000000001</v>
      </c>
      <c r="M48">
        <v>3.7366109999999999</v>
      </c>
      <c r="N48">
        <v>3.7546110000000001</v>
      </c>
      <c r="O48">
        <v>3.7707660000000001</v>
      </c>
      <c r="P48">
        <v>3.785425</v>
      </c>
      <c r="Q48">
        <v>3.7965840000000002</v>
      </c>
      <c r="R48">
        <v>3.8054929999999998</v>
      </c>
      <c r="S48">
        <v>3.7960410000000002</v>
      </c>
      <c r="T48">
        <v>3.785444</v>
      </c>
      <c r="U48">
        <v>3.7749510000000002</v>
      </c>
      <c r="V48">
        <v>3.7645369999999998</v>
      </c>
      <c r="W48">
        <v>3.7542870000000002</v>
      </c>
      <c r="X48">
        <v>3.7440150000000001</v>
      </c>
      <c r="Y48">
        <v>3.7339370000000001</v>
      </c>
      <c r="Z48">
        <v>3.724154</v>
      </c>
      <c r="AA48">
        <v>3.7146349999999999</v>
      </c>
      <c r="AB48">
        <v>3.7055349999999998</v>
      </c>
      <c r="AC48">
        <v>3.6968719999999999</v>
      </c>
      <c r="AD48">
        <v>3.688707</v>
      </c>
      <c r="AE48">
        <v>3.681581</v>
      </c>
      <c r="AF48">
        <v>3.6755059999999999</v>
      </c>
      <c r="AG48">
        <v>3.6704319999999999</v>
      </c>
      <c r="AH48">
        <v>3.6663009999999998</v>
      </c>
      <c r="AI48" s="21">
        <v>2E-3</v>
      </c>
    </row>
    <row r="49" spans="1:35" x14ac:dyDescent="0.25">
      <c r="A49" t="s">
        <v>245</v>
      </c>
      <c r="B49" t="s">
        <v>1012</v>
      </c>
      <c r="C49" t="s">
        <v>1013</v>
      </c>
      <c r="D49" t="s">
        <v>247</v>
      </c>
      <c r="F49">
        <v>0.832511</v>
      </c>
      <c r="G49">
        <v>0.83904199999999995</v>
      </c>
      <c r="H49">
        <v>0.84528400000000004</v>
      </c>
      <c r="I49">
        <v>0.851464</v>
      </c>
      <c r="J49">
        <v>0.85759799999999997</v>
      </c>
      <c r="K49">
        <v>0.86323399999999995</v>
      </c>
      <c r="L49">
        <v>0.86841599999999997</v>
      </c>
      <c r="M49">
        <v>0.87314499999999995</v>
      </c>
      <c r="N49">
        <v>0.87741400000000003</v>
      </c>
      <c r="O49">
        <v>0.88129500000000005</v>
      </c>
      <c r="P49">
        <v>0.88477799999999995</v>
      </c>
      <c r="Q49">
        <v>0.88619700000000001</v>
      </c>
      <c r="R49">
        <v>0.88727100000000003</v>
      </c>
      <c r="S49">
        <v>0.88805000000000001</v>
      </c>
      <c r="T49">
        <v>0.88850899999999999</v>
      </c>
      <c r="U49">
        <v>0.88866599999999996</v>
      </c>
      <c r="V49">
        <v>0.88850499999999999</v>
      </c>
      <c r="W49">
        <v>0.88801300000000005</v>
      </c>
      <c r="X49">
        <v>0.88716899999999999</v>
      </c>
      <c r="Y49">
        <v>0.88598399999999999</v>
      </c>
      <c r="Z49">
        <v>0.88472499999999998</v>
      </c>
      <c r="AA49">
        <v>0.883386</v>
      </c>
      <c r="AB49">
        <v>0.88197000000000003</v>
      </c>
      <c r="AC49">
        <v>0.88049599999999995</v>
      </c>
      <c r="AD49">
        <v>0.87900699999999998</v>
      </c>
      <c r="AE49">
        <v>0.877502</v>
      </c>
      <c r="AF49">
        <v>0.87601399999999996</v>
      </c>
      <c r="AG49">
        <v>0.87458000000000002</v>
      </c>
      <c r="AH49">
        <v>0.87323399999999995</v>
      </c>
      <c r="AI49" s="21">
        <v>2E-3</v>
      </c>
    </row>
    <row r="50" spans="1:35" x14ac:dyDescent="0.25">
      <c r="A50" t="s">
        <v>248</v>
      </c>
      <c r="B50" t="s">
        <v>1014</v>
      </c>
      <c r="C50" t="s">
        <v>1015</v>
      </c>
      <c r="D50" t="s">
        <v>247</v>
      </c>
      <c r="F50">
        <v>0.83697999999999995</v>
      </c>
      <c r="G50">
        <v>0.83929600000000004</v>
      </c>
      <c r="H50">
        <v>0.84096899999999997</v>
      </c>
      <c r="I50">
        <v>0.84250899999999995</v>
      </c>
      <c r="J50">
        <v>0.84400500000000001</v>
      </c>
      <c r="K50">
        <v>0.84554600000000002</v>
      </c>
      <c r="L50">
        <v>0.84694499999999995</v>
      </c>
      <c r="M50">
        <v>0.84822900000000001</v>
      </c>
      <c r="N50">
        <v>0.84937600000000002</v>
      </c>
      <c r="O50">
        <v>0.85042300000000004</v>
      </c>
      <c r="P50">
        <v>0.85134699999999996</v>
      </c>
      <c r="Q50">
        <v>0.85187500000000005</v>
      </c>
      <c r="R50">
        <v>0.85233000000000003</v>
      </c>
      <c r="S50">
        <v>0.852715</v>
      </c>
      <c r="T50">
        <v>0.85302599999999995</v>
      </c>
      <c r="U50">
        <v>0.85326599999999997</v>
      </c>
      <c r="V50">
        <v>0.85342799999999996</v>
      </c>
      <c r="W50">
        <v>0.85350899999999996</v>
      </c>
      <c r="X50">
        <v>0.85349799999999998</v>
      </c>
      <c r="Y50">
        <v>0.85340300000000002</v>
      </c>
      <c r="Z50">
        <v>0.85327600000000003</v>
      </c>
      <c r="AA50">
        <v>0.85311000000000003</v>
      </c>
      <c r="AB50">
        <v>0.85289599999999999</v>
      </c>
      <c r="AC50">
        <v>0.85262800000000005</v>
      </c>
      <c r="AD50">
        <v>0.85229999999999995</v>
      </c>
      <c r="AE50">
        <v>0.85190600000000005</v>
      </c>
      <c r="AF50">
        <v>0.85144299999999995</v>
      </c>
      <c r="AG50">
        <v>0.85091499999999998</v>
      </c>
      <c r="AH50">
        <v>0.85032700000000006</v>
      </c>
      <c r="AI50" s="21">
        <v>1E-3</v>
      </c>
    </row>
    <row r="51" spans="1:35" x14ac:dyDescent="0.25">
      <c r="A51" t="s">
        <v>250</v>
      </c>
    </row>
    <row r="52" spans="1:35" x14ac:dyDescent="0.25">
      <c r="A52" t="s">
        <v>251</v>
      </c>
      <c r="B52" t="s">
        <v>1016</v>
      </c>
      <c r="C52" t="s">
        <v>1017</v>
      </c>
      <c r="D52" t="s">
        <v>253</v>
      </c>
      <c r="F52">
        <v>14.11839</v>
      </c>
      <c r="G52">
        <v>14.361896</v>
      </c>
      <c r="H52">
        <v>14.581602999999999</v>
      </c>
      <c r="I52">
        <v>14.788684</v>
      </c>
      <c r="J52">
        <v>14.981616000000001</v>
      </c>
      <c r="K52">
        <v>15.161526</v>
      </c>
      <c r="L52">
        <v>15.328118</v>
      </c>
      <c r="M52">
        <v>15.482331</v>
      </c>
      <c r="N52">
        <v>15.623494000000001</v>
      </c>
      <c r="O52">
        <v>15.752029</v>
      </c>
      <c r="P52">
        <v>15.867741000000001</v>
      </c>
      <c r="Q52">
        <v>15.967606999999999</v>
      </c>
      <c r="R52">
        <v>16.053270000000001</v>
      </c>
      <c r="S52">
        <v>16.123374999999999</v>
      </c>
      <c r="T52">
        <v>16.175518</v>
      </c>
      <c r="U52">
        <v>16.207474000000001</v>
      </c>
      <c r="V52">
        <v>16.236522999999998</v>
      </c>
      <c r="W52">
        <v>16.262094000000001</v>
      </c>
      <c r="X52">
        <v>16.283840000000001</v>
      </c>
      <c r="Y52">
        <v>16.301705999999999</v>
      </c>
      <c r="Z52">
        <v>16.315929000000001</v>
      </c>
      <c r="AA52">
        <v>16.326823999999998</v>
      </c>
      <c r="AB52">
        <v>16.334866000000002</v>
      </c>
      <c r="AC52">
        <v>16.340574</v>
      </c>
      <c r="AD52">
        <v>16.344491999999999</v>
      </c>
      <c r="AE52">
        <v>16.347061</v>
      </c>
      <c r="AF52">
        <v>16.348739999999999</v>
      </c>
      <c r="AG52">
        <v>16.349837999999998</v>
      </c>
      <c r="AH52">
        <v>16.350580000000001</v>
      </c>
      <c r="AI52" s="21">
        <v>5.0000000000000001E-3</v>
      </c>
    </row>
    <row r="53" spans="1:35" x14ac:dyDescent="0.25">
      <c r="A53" t="s">
        <v>239</v>
      </c>
      <c r="B53" t="s">
        <v>1018</v>
      </c>
      <c r="C53" t="s">
        <v>1019</v>
      </c>
      <c r="D53" t="s">
        <v>241</v>
      </c>
      <c r="F53">
        <v>0.61770899999999995</v>
      </c>
      <c r="G53">
        <v>0.62423799999999996</v>
      </c>
      <c r="H53">
        <v>0.63057300000000005</v>
      </c>
      <c r="I53">
        <v>0.63670700000000002</v>
      </c>
      <c r="J53">
        <v>0.64261699999999999</v>
      </c>
      <c r="K53">
        <v>0.64837400000000001</v>
      </c>
      <c r="L53">
        <v>0.65404200000000001</v>
      </c>
      <c r="M53">
        <v>0.65978300000000001</v>
      </c>
      <c r="N53">
        <v>0.66571100000000005</v>
      </c>
      <c r="O53">
        <v>0.67192700000000005</v>
      </c>
      <c r="P53">
        <v>0.67837199999999998</v>
      </c>
      <c r="Q53">
        <v>0.68473499999999998</v>
      </c>
      <c r="R53">
        <v>0.69050900000000004</v>
      </c>
      <c r="S53">
        <v>0.69510499999999997</v>
      </c>
      <c r="T53">
        <v>0.69807300000000005</v>
      </c>
      <c r="U53">
        <v>0.69929300000000005</v>
      </c>
      <c r="V53">
        <v>0.69981400000000005</v>
      </c>
      <c r="W53">
        <v>0.69996800000000003</v>
      </c>
      <c r="X53">
        <v>0.69999699999999998</v>
      </c>
      <c r="Y53">
        <v>0.7</v>
      </c>
      <c r="Z53">
        <v>0.7</v>
      </c>
      <c r="AA53">
        <v>0.7</v>
      </c>
      <c r="AB53">
        <v>0.7</v>
      </c>
      <c r="AC53">
        <v>0.7</v>
      </c>
      <c r="AD53">
        <v>0.7</v>
      </c>
      <c r="AE53">
        <v>0.7</v>
      </c>
      <c r="AF53">
        <v>0.7</v>
      </c>
      <c r="AG53">
        <v>0.7</v>
      </c>
      <c r="AH53">
        <v>0.7</v>
      </c>
      <c r="AI53" s="21">
        <v>4.0000000000000001E-3</v>
      </c>
    </row>
    <row r="54" spans="1:35" x14ac:dyDescent="0.25">
      <c r="A54" t="s">
        <v>255</v>
      </c>
      <c r="B54" t="s">
        <v>1020</v>
      </c>
      <c r="C54" t="s">
        <v>1021</v>
      </c>
      <c r="D54" t="s">
        <v>257</v>
      </c>
      <c r="F54">
        <v>16.046894000000002</v>
      </c>
      <c r="G54">
        <v>16.408232000000002</v>
      </c>
      <c r="H54">
        <v>16.704948000000002</v>
      </c>
      <c r="I54">
        <v>16.961611000000001</v>
      </c>
      <c r="J54">
        <v>17.185707000000001</v>
      </c>
      <c r="K54">
        <v>17.376514</v>
      </c>
      <c r="L54">
        <v>17.541615</v>
      </c>
      <c r="M54">
        <v>17.686883999999999</v>
      </c>
      <c r="N54">
        <v>17.815270999999999</v>
      </c>
      <c r="O54">
        <v>17.930159</v>
      </c>
      <c r="P54">
        <v>18.034072999999999</v>
      </c>
      <c r="Q54">
        <v>18.113184</v>
      </c>
      <c r="R54">
        <v>18.175549</v>
      </c>
      <c r="S54">
        <v>18.107792</v>
      </c>
      <c r="T54">
        <v>18.027934999999999</v>
      </c>
      <c r="U54">
        <v>17.949611999999998</v>
      </c>
      <c r="V54">
        <v>17.872522</v>
      </c>
      <c r="W54">
        <v>17.797091999999999</v>
      </c>
      <c r="X54">
        <v>17.722010000000001</v>
      </c>
      <c r="Y54">
        <v>17.648726</v>
      </c>
      <c r="Z54">
        <v>17.577887</v>
      </c>
      <c r="AA54">
        <v>17.509315000000001</v>
      </c>
      <c r="AB54">
        <v>17.444035</v>
      </c>
      <c r="AC54">
        <v>17.382135000000002</v>
      </c>
      <c r="AD54">
        <v>17.324014999999999</v>
      </c>
      <c r="AE54">
        <v>17.273260000000001</v>
      </c>
      <c r="AF54">
        <v>17.22991</v>
      </c>
      <c r="AG54">
        <v>17.193608999999999</v>
      </c>
      <c r="AH54">
        <v>17.163919</v>
      </c>
      <c r="AI54" s="21">
        <v>2E-3</v>
      </c>
    </row>
    <row r="55" spans="1:35" x14ac:dyDescent="0.25">
      <c r="A55" t="s">
        <v>258</v>
      </c>
      <c r="B55" t="s">
        <v>1022</v>
      </c>
      <c r="C55" t="s">
        <v>1023</v>
      </c>
      <c r="D55" t="s">
        <v>253</v>
      </c>
      <c r="F55">
        <v>13.652025999999999</v>
      </c>
      <c r="G55">
        <v>13.912424</v>
      </c>
      <c r="H55">
        <v>14.154226</v>
      </c>
      <c r="I55">
        <v>14.378797</v>
      </c>
      <c r="J55">
        <v>14.584899</v>
      </c>
      <c r="K55">
        <v>14.773286000000001</v>
      </c>
      <c r="L55">
        <v>14.944267</v>
      </c>
      <c r="M55">
        <v>15.10037</v>
      </c>
      <c r="N55">
        <v>15.240843999999999</v>
      </c>
      <c r="O55">
        <v>15.365807</v>
      </c>
      <c r="P55">
        <v>15.47662</v>
      </c>
      <c r="Q55">
        <v>15.542377999999999</v>
      </c>
      <c r="R55">
        <v>15.594194</v>
      </c>
      <c r="S55">
        <v>15.634285999999999</v>
      </c>
      <c r="T55">
        <v>15.661597</v>
      </c>
      <c r="U55">
        <v>15.6744</v>
      </c>
      <c r="V55">
        <v>15.685153</v>
      </c>
      <c r="W55">
        <v>15.693208</v>
      </c>
      <c r="X55">
        <v>15.698021000000001</v>
      </c>
      <c r="Y55">
        <v>15.699372</v>
      </c>
      <c r="Z55">
        <v>15.697274</v>
      </c>
      <c r="AA55">
        <v>15.691940000000001</v>
      </c>
      <c r="AB55">
        <v>15.683793</v>
      </c>
      <c r="AC55">
        <v>15.673481000000001</v>
      </c>
      <c r="AD55">
        <v>15.661708000000001</v>
      </c>
      <c r="AE55">
        <v>15.649206</v>
      </c>
      <c r="AF55">
        <v>15.636742999999999</v>
      </c>
      <c r="AG55">
        <v>15.624902000000001</v>
      </c>
      <c r="AH55">
        <v>15.614152000000001</v>
      </c>
      <c r="AI55" s="21">
        <v>5.0000000000000001E-3</v>
      </c>
    </row>
    <row r="56" spans="1:35" x14ac:dyDescent="0.25">
      <c r="A56" t="s">
        <v>260</v>
      </c>
      <c r="B56" t="s">
        <v>1024</v>
      </c>
      <c r="C56" t="s">
        <v>1025</v>
      </c>
      <c r="D56" t="s">
        <v>257</v>
      </c>
      <c r="F56">
        <v>11.294298</v>
      </c>
      <c r="G56">
        <v>11.378965000000001</v>
      </c>
      <c r="H56">
        <v>11.470779</v>
      </c>
      <c r="I56">
        <v>11.555712</v>
      </c>
      <c r="J56">
        <v>11.63078</v>
      </c>
      <c r="K56">
        <v>11.695589999999999</v>
      </c>
      <c r="L56">
        <v>11.751351</v>
      </c>
      <c r="M56">
        <v>11.797001</v>
      </c>
      <c r="N56">
        <v>11.849714000000001</v>
      </c>
      <c r="O56">
        <v>11.886739</v>
      </c>
      <c r="P56">
        <v>11.908359000000001</v>
      </c>
      <c r="Q56">
        <v>11.930096000000001</v>
      </c>
      <c r="R56">
        <v>11.951796999999999</v>
      </c>
      <c r="S56">
        <v>11.972925999999999</v>
      </c>
      <c r="T56">
        <v>11.993067</v>
      </c>
      <c r="U56">
        <v>12.011563000000001</v>
      </c>
      <c r="V56">
        <v>12.027761</v>
      </c>
      <c r="W56">
        <v>12.0411</v>
      </c>
      <c r="X56">
        <v>12.063248</v>
      </c>
      <c r="Y56">
        <v>12.082109000000001</v>
      </c>
      <c r="Z56">
        <v>12.098355</v>
      </c>
      <c r="AA56">
        <v>12.112704000000001</v>
      </c>
      <c r="AB56">
        <v>12.125787000000001</v>
      </c>
      <c r="AC56">
        <v>12.138025000000001</v>
      </c>
      <c r="AD56">
        <v>12.149449000000001</v>
      </c>
      <c r="AE56">
        <v>12.159872999999999</v>
      </c>
      <c r="AF56">
        <v>12.168983000000001</v>
      </c>
      <c r="AG56">
        <v>12.176450000000001</v>
      </c>
      <c r="AH56">
        <v>12.18211</v>
      </c>
      <c r="AI56" s="21">
        <v>3.0000000000000001E-3</v>
      </c>
    </row>
    <row r="57" spans="1:35" x14ac:dyDescent="0.25">
      <c r="A57" t="s">
        <v>262</v>
      </c>
    </row>
    <row r="58" spans="1:35" x14ac:dyDescent="0.25">
      <c r="A58" t="s">
        <v>263</v>
      </c>
      <c r="B58" t="s">
        <v>1026</v>
      </c>
      <c r="C58" t="s">
        <v>1027</v>
      </c>
      <c r="D58" t="s">
        <v>265</v>
      </c>
      <c r="F58">
        <v>0.93223100000000003</v>
      </c>
      <c r="G58">
        <v>0.94399900000000003</v>
      </c>
      <c r="H58">
        <v>0.95498499999999997</v>
      </c>
      <c r="I58">
        <v>0.96658599999999995</v>
      </c>
      <c r="J58">
        <v>0.978653</v>
      </c>
      <c r="K58">
        <v>0.99048400000000003</v>
      </c>
      <c r="L58">
        <v>1.001943</v>
      </c>
      <c r="M58">
        <v>1.0129809999999999</v>
      </c>
      <c r="N58">
        <v>1.0234220000000001</v>
      </c>
      <c r="O58">
        <v>1.033579</v>
      </c>
      <c r="P58">
        <v>1.043442</v>
      </c>
      <c r="Q58">
        <v>1.0432840000000001</v>
      </c>
      <c r="R58">
        <v>1.03752</v>
      </c>
      <c r="S58">
        <v>1.0320370000000001</v>
      </c>
      <c r="T58">
        <v>1.0266960000000001</v>
      </c>
      <c r="U58">
        <v>1.021409</v>
      </c>
      <c r="V58">
        <v>1.0161340000000001</v>
      </c>
      <c r="W58">
        <v>1.0113380000000001</v>
      </c>
      <c r="X58">
        <v>1.0069630000000001</v>
      </c>
      <c r="Y58">
        <v>1.003034</v>
      </c>
      <c r="Z58">
        <v>0.99955899999999998</v>
      </c>
      <c r="AA58">
        <v>0.996529</v>
      </c>
      <c r="AB58">
        <v>0.99392100000000005</v>
      </c>
      <c r="AC58">
        <v>0.99170800000000003</v>
      </c>
      <c r="AD58">
        <v>0.98985400000000001</v>
      </c>
      <c r="AE58">
        <v>0.98832500000000001</v>
      </c>
      <c r="AF58">
        <v>0.98708300000000004</v>
      </c>
      <c r="AG58">
        <v>0.98609100000000005</v>
      </c>
      <c r="AH58">
        <v>0.98531000000000002</v>
      </c>
      <c r="AI58" s="21">
        <v>2E-3</v>
      </c>
    </row>
    <row r="59" spans="1:35" x14ac:dyDescent="0.25">
      <c r="A59" t="s">
        <v>266</v>
      </c>
      <c r="B59" t="s">
        <v>1028</v>
      </c>
      <c r="C59" t="s">
        <v>1029</v>
      </c>
      <c r="D59" t="s">
        <v>265</v>
      </c>
      <c r="F59">
        <v>0.61865400000000004</v>
      </c>
      <c r="G59">
        <v>0.62222900000000003</v>
      </c>
      <c r="H59">
        <v>0.62510500000000002</v>
      </c>
      <c r="I59">
        <v>0.62732399999999999</v>
      </c>
      <c r="J59">
        <v>0.62895299999999998</v>
      </c>
      <c r="K59">
        <v>0.63005999999999995</v>
      </c>
      <c r="L59">
        <v>0.63062300000000004</v>
      </c>
      <c r="M59">
        <v>0.630691</v>
      </c>
      <c r="N59">
        <v>0.63031800000000004</v>
      </c>
      <c r="O59">
        <v>0.62994399999999995</v>
      </c>
      <c r="P59">
        <v>0.62957700000000005</v>
      </c>
      <c r="Q59">
        <v>0.62870099999999995</v>
      </c>
      <c r="R59">
        <v>0.62776500000000002</v>
      </c>
      <c r="S59">
        <v>0.62685800000000003</v>
      </c>
      <c r="T59">
        <v>0.62599499999999997</v>
      </c>
      <c r="U59">
        <v>0.62519000000000002</v>
      </c>
      <c r="V59">
        <v>0.62444999999999995</v>
      </c>
      <c r="W59">
        <v>0.62378</v>
      </c>
      <c r="X59">
        <v>0.62318399999999996</v>
      </c>
      <c r="Y59">
        <v>0.62266100000000002</v>
      </c>
      <c r="Z59">
        <v>0.62220900000000001</v>
      </c>
      <c r="AA59">
        <v>0.62182300000000001</v>
      </c>
      <c r="AB59">
        <v>0.62149900000000002</v>
      </c>
      <c r="AC59">
        <v>0.62122999999999995</v>
      </c>
      <c r="AD59">
        <v>0.62101499999999998</v>
      </c>
      <c r="AE59">
        <v>0.62084300000000003</v>
      </c>
      <c r="AF59">
        <v>0.62070700000000001</v>
      </c>
      <c r="AG59">
        <v>0.62060199999999999</v>
      </c>
      <c r="AH59">
        <v>0.62052200000000002</v>
      </c>
      <c r="AI59" s="21">
        <v>0</v>
      </c>
    </row>
    <row r="60" spans="1:35" x14ac:dyDescent="0.25">
      <c r="A60" t="s">
        <v>268</v>
      </c>
      <c r="B60" t="s">
        <v>1030</v>
      </c>
      <c r="C60" t="s">
        <v>1031</v>
      </c>
      <c r="D60" t="s">
        <v>265</v>
      </c>
      <c r="F60">
        <v>0.61202599999999996</v>
      </c>
      <c r="G60">
        <v>0.62482400000000005</v>
      </c>
      <c r="H60">
        <v>0.63609800000000005</v>
      </c>
      <c r="I60">
        <v>0.64568400000000004</v>
      </c>
      <c r="J60">
        <v>0.65360600000000002</v>
      </c>
      <c r="K60">
        <v>0.65970099999999998</v>
      </c>
      <c r="L60">
        <v>0.66387600000000002</v>
      </c>
      <c r="M60">
        <v>0.66601399999999999</v>
      </c>
      <c r="N60">
        <v>0.66605000000000003</v>
      </c>
      <c r="O60">
        <v>0.66608800000000001</v>
      </c>
      <c r="P60">
        <v>0.666126</v>
      </c>
      <c r="Q60">
        <v>0.66616399999999998</v>
      </c>
      <c r="R60">
        <v>0.66620000000000001</v>
      </c>
      <c r="S60">
        <v>0.66623500000000002</v>
      </c>
      <c r="T60">
        <v>0.66626700000000005</v>
      </c>
      <c r="U60">
        <v>0.66629700000000003</v>
      </c>
      <c r="V60">
        <v>0.666323</v>
      </c>
      <c r="W60">
        <v>0.66634599999999999</v>
      </c>
      <c r="X60">
        <v>0.66636700000000004</v>
      </c>
      <c r="Y60">
        <v>0.66638500000000001</v>
      </c>
      <c r="Z60">
        <v>0.66640100000000002</v>
      </c>
      <c r="AA60">
        <v>0.66641499999999998</v>
      </c>
      <c r="AB60">
        <v>0.66642699999999999</v>
      </c>
      <c r="AC60">
        <v>0.66643799999999997</v>
      </c>
      <c r="AD60">
        <v>0.66645100000000002</v>
      </c>
      <c r="AE60">
        <v>0.666462</v>
      </c>
      <c r="AF60">
        <v>0.66647299999999998</v>
      </c>
      <c r="AG60">
        <v>0.66648399999999997</v>
      </c>
      <c r="AH60">
        <v>0.66649499999999995</v>
      </c>
      <c r="AI60" s="21">
        <v>3.0000000000000001E-3</v>
      </c>
    </row>
    <row r="61" spans="1:35" x14ac:dyDescent="0.25">
      <c r="A61" t="s">
        <v>270</v>
      </c>
      <c r="B61" t="s">
        <v>1032</v>
      </c>
      <c r="C61" t="s">
        <v>1033</v>
      </c>
      <c r="D61" t="s">
        <v>265</v>
      </c>
      <c r="F61">
        <v>0.60749900000000001</v>
      </c>
      <c r="G61">
        <v>0.61108300000000004</v>
      </c>
      <c r="H61">
        <v>0.61430200000000001</v>
      </c>
      <c r="I61">
        <v>0.61690100000000003</v>
      </c>
      <c r="J61">
        <v>0.61893799999999999</v>
      </c>
      <c r="K61">
        <v>0.62044200000000005</v>
      </c>
      <c r="L61">
        <v>0.621421</v>
      </c>
      <c r="M61">
        <v>0.62188699999999997</v>
      </c>
      <c r="N61">
        <v>0.62184200000000001</v>
      </c>
      <c r="O61">
        <v>0.62180500000000005</v>
      </c>
      <c r="P61">
        <v>0.62179899999999999</v>
      </c>
      <c r="Q61">
        <v>0.62147699999999995</v>
      </c>
      <c r="R61">
        <v>0.62112699999999998</v>
      </c>
      <c r="S61">
        <v>0.62076200000000004</v>
      </c>
      <c r="T61">
        <v>0.62038499999999996</v>
      </c>
      <c r="U61">
        <v>0.62000299999999997</v>
      </c>
      <c r="V61">
        <v>0.61962799999999996</v>
      </c>
      <c r="W61">
        <v>0.61926400000000004</v>
      </c>
      <c r="X61">
        <v>0.618919</v>
      </c>
      <c r="Y61">
        <v>0.61860000000000004</v>
      </c>
      <c r="Z61">
        <v>0.61831199999999997</v>
      </c>
      <c r="AA61">
        <v>0.61805500000000002</v>
      </c>
      <c r="AB61">
        <v>0.61783200000000005</v>
      </c>
      <c r="AC61">
        <v>0.61764300000000005</v>
      </c>
      <c r="AD61">
        <v>0.61748800000000004</v>
      </c>
      <c r="AE61">
        <v>0.61736400000000002</v>
      </c>
      <c r="AF61">
        <v>0.61726599999999998</v>
      </c>
      <c r="AG61">
        <v>0.61719299999999999</v>
      </c>
      <c r="AH61">
        <v>0.61713799999999996</v>
      </c>
      <c r="AI61" s="21">
        <v>1E-3</v>
      </c>
    </row>
    <row r="62" spans="1:35" x14ac:dyDescent="0.25">
      <c r="A62" t="s">
        <v>272</v>
      </c>
    </row>
    <row r="63" spans="1:35" x14ac:dyDescent="0.25">
      <c r="A63" t="s">
        <v>232</v>
      </c>
      <c r="B63" t="s">
        <v>1034</v>
      </c>
      <c r="C63" t="s">
        <v>1035</v>
      </c>
      <c r="D63" t="s">
        <v>274</v>
      </c>
      <c r="F63">
        <v>601.62268100000006</v>
      </c>
      <c r="G63">
        <v>591.79913299999998</v>
      </c>
      <c r="H63">
        <v>582.51690699999995</v>
      </c>
      <c r="I63">
        <v>573.78015100000005</v>
      </c>
      <c r="J63">
        <v>565.58648700000003</v>
      </c>
      <c r="K63">
        <v>557.91094999999996</v>
      </c>
      <c r="L63">
        <v>550.73449700000003</v>
      </c>
      <c r="M63">
        <v>544.04510500000004</v>
      </c>
      <c r="N63">
        <v>537.87042199999996</v>
      </c>
      <c r="O63">
        <v>532.28186000000005</v>
      </c>
      <c r="P63">
        <v>527.24188200000003</v>
      </c>
      <c r="Q63">
        <v>522.74560499999995</v>
      </c>
      <c r="R63">
        <v>518.78698699999995</v>
      </c>
      <c r="S63">
        <v>515.33673099999999</v>
      </c>
      <c r="T63">
        <v>512.38696300000004</v>
      </c>
      <c r="U63">
        <v>509.909851</v>
      </c>
      <c r="V63">
        <v>507.92584199999999</v>
      </c>
      <c r="W63">
        <v>506.40896600000002</v>
      </c>
      <c r="X63">
        <v>505.38198899999998</v>
      </c>
      <c r="Y63">
        <v>504.868134</v>
      </c>
      <c r="Z63">
        <v>504.854218</v>
      </c>
      <c r="AA63">
        <v>504.83514400000001</v>
      </c>
      <c r="AB63">
        <v>504.81170700000001</v>
      </c>
      <c r="AC63">
        <v>504.784088</v>
      </c>
      <c r="AD63">
        <v>504.754211</v>
      </c>
      <c r="AE63">
        <v>504.723907</v>
      </c>
      <c r="AF63">
        <v>504.69354199999998</v>
      </c>
      <c r="AG63">
        <v>504.666382</v>
      </c>
      <c r="AH63">
        <v>504.64325000000002</v>
      </c>
      <c r="AI63" s="21">
        <v>-6.0000000000000001E-3</v>
      </c>
    </row>
    <row r="64" spans="1:35" x14ac:dyDescent="0.25">
      <c r="A64" t="s">
        <v>234</v>
      </c>
      <c r="B64" t="s">
        <v>1036</v>
      </c>
      <c r="C64" t="s">
        <v>1037</v>
      </c>
      <c r="D64" t="s">
        <v>274</v>
      </c>
      <c r="F64">
        <v>448.44433600000002</v>
      </c>
      <c r="G64">
        <v>443.66037</v>
      </c>
      <c r="H64">
        <v>438.783051</v>
      </c>
      <c r="I64">
        <v>433.82998700000002</v>
      </c>
      <c r="J64">
        <v>428.81097399999999</v>
      </c>
      <c r="K64">
        <v>423.76275600000002</v>
      </c>
      <c r="L64">
        <v>418.95931999999999</v>
      </c>
      <c r="M64">
        <v>414.39859000000001</v>
      </c>
      <c r="N64">
        <v>410.096924</v>
      </c>
      <c r="O64">
        <v>406.03283699999997</v>
      </c>
      <c r="P64">
        <v>402.185699</v>
      </c>
      <c r="Q64">
        <v>398.57708700000001</v>
      </c>
      <c r="R64">
        <v>395.21826199999998</v>
      </c>
      <c r="S64">
        <v>392.090485</v>
      </c>
      <c r="T64">
        <v>389.228455</v>
      </c>
      <c r="U64">
        <v>386.60855099999998</v>
      </c>
      <c r="V64">
        <v>384.24060100000003</v>
      </c>
      <c r="W64">
        <v>382.10922199999999</v>
      </c>
      <c r="X64">
        <v>380.19821200000001</v>
      </c>
      <c r="Y64">
        <v>378.55282599999998</v>
      </c>
      <c r="Z64">
        <v>377.15033</v>
      </c>
      <c r="AA64">
        <v>376.024902</v>
      </c>
      <c r="AB64">
        <v>375.19430499999999</v>
      </c>
      <c r="AC64">
        <v>374.65905800000002</v>
      </c>
      <c r="AD64">
        <v>374.41220099999998</v>
      </c>
      <c r="AE64">
        <v>374.40713499999998</v>
      </c>
      <c r="AF64">
        <v>374.40103099999999</v>
      </c>
      <c r="AG64">
        <v>374.39468399999998</v>
      </c>
      <c r="AH64">
        <v>374.38818400000002</v>
      </c>
      <c r="AI64" s="21">
        <v>-6.0000000000000001E-3</v>
      </c>
    </row>
    <row r="65" spans="1:35" x14ac:dyDescent="0.25">
      <c r="A65" t="s">
        <v>276</v>
      </c>
    </row>
    <row r="66" spans="1:35" x14ac:dyDescent="0.25">
      <c r="A66" t="s">
        <v>277</v>
      </c>
    </row>
    <row r="67" spans="1:35" x14ac:dyDescent="0.25">
      <c r="A67" t="s">
        <v>278</v>
      </c>
      <c r="B67" t="s">
        <v>1038</v>
      </c>
      <c r="C67" t="s">
        <v>1039</v>
      </c>
      <c r="D67" t="s">
        <v>280</v>
      </c>
      <c r="F67">
        <v>0.94953100000000001</v>
      </c>
      <c r="G67">
        <v>0.94127099999999997</v>
      </c>
      <c r="H67">
        <v>0.93554700000000002</v>
      </c>
      <c r="I67">
        <v>0.93102499999999999</v>
      </c>
      <c r="J67">
        <v>0.92638399999999999</v>
      </c>
      <c r="K67">
        <v>0.92128699999999997</v>
      </c>
      <c r="L67">
        <v>0.91575700000000004</v>
      </c>
      <c r="M67">
        <v>0.90954000000000002</v>
      </c>
      <c r="N67">
        <v>0.90287099999999998</v>
      </c>
      <c r="O67">
        <v>0.89591500000000002</v>
      </c>
      <c r="P67">
        <v>0.88890000000000002</v>
      </c>
      <c r="Q67">
        <v>0.88168100000000005</v>
      </c>
      <c r="R67">
        <v>0.87443599999999999</v>
      </c>
      <c r="S67">
        <v>0.867313</v>
      </c>
      <c r="T67">
        <v>0.86033800000000005</v>
      </c>
      <c r="U67">
        <v>0.85336199999999995</v>
      </c>
      <c r="V67">
        <v>0.84626699999999999</v>
      </c>
      <c r="W67">
        <v>0.83930400000000005</v>
      </c>
      <c r="X67">
        <v>0.83236500000000002</v>
      </c>
      <c r="Y67">
        <v>0.82543699999999998</v>
      </c>
      <c r="Z67">
        <v>0.81860599999999994</v>
      </c>
      <c r="AA67">
        <v>0.81191500000000005</v>
      </c>
      <c r="AB67">
        <v>0.80532999999999999</v>
      </c>
      <c r="AC67">
        <v>0.79865799999999998</v>
      </c>
      <c r="AD67">
        <v>0.79166199999999998</v>
      </c>
      <c r="AE67">
        <v>0.78482300000000005</v>
      </c>
      <c r="AF67">
        <v>0.77819700000000003</v>
      </c>
      <c r="AG67">
        <v>0.77168199999999998</v>
      </c>
      <c r="AH67">
        <v>0.76516499999999998</v>
      </c>
      <c r="AI67" s="21">
        <v>-8.0000000000000002E-3</v>
      </c>
    </row>
    <row r="68" spans="1:35" x14ac:dyDescent="0.25">
      <c r="A68" t="s">
        <v>281</v>
      </c>
      <c r="B68" t="s">
        <v>1040</v>
      </c>
      <c r="C68" t="s">
        <v>1041</v>
      </c>
      <c r="D68" t="s">
        <v>280</v>
      </c>
      <c r="F68">
        <v>0.83860299999999999</v>
      </c>
      <c r="G68">
        <v>0.78499600000000003</v>
      </c>
      <c r="H68">
        <v>0.77750900000000001</v>
      </c>
      <c r="I68">
        <v>0.77489200000000003</v>
      </c>
      <c r="J68">
        <v>0.77625999999999995</v>
      </c>
      <c r="K68">
        <v>0.77675099999999997</v>
      </c>
      <c r="L68">
        <v>0.77603100000000003</v>
      </c>
      <c r="M68">
        <v>0.77386299999999997</v>
      </c>
      <c r="N68">
        <v>0.77132599999999996</v>
      </c>
      <c r="O68">
        <v>0.76937999999999995</v>
      </c>
      <c r="P68">
        <v>0.767984</v>
      </c>
      <c r="Q68">
        <v>0.88259100000000001</v>
      </c>
      <c r="R68">
        <v>0.88158700000000001</v>
      </c>
      <c r="S68">
        <v>0.88260099999999997</v>
      </c>
      <c r="T68">
        <v>0.88222900000000004</v>
      </c>
      <c r="U68">
        <v>0.88222599999999995</v>
      </c>
      <c r="V68">
        <v>0.882243</v>
      </c>
      <c r="W68">
        <v>0.88229599999999997</v>
      </c>
      <c r="X68">
        <v>0.88129299999999999</v>
      </c>
      <c r="Y68">
        <v>0.87935600000000003</v>
      </c>
      <c r="Z68">
        <v>0.87853700000000001</v>
      </c>
      <c r="AA68">
        <v>0.87742399999999998</v>
      </c>
      <c r="AB68">
        <v>0.87608200000000003</v>
      </c>
      <c r="AC68">
        <v>0.87481500000000001</v>
      </c>
      <c r="AD68">
        <v>0.87347799999999998</v>
      </c>
      <c r="AE68">
        <v>0.87382300000000002</v>
      </c>
      <c r="AF68">
        <v>0.87375999999999998</v>
      </c>
      <c r="AG68">
        <v>0.87424900000000005</v>
      </c>
      <c r="AH68">
        <v>0.87474700000000005</v>
      </c>
      <c r="AI68" s="21">
        <v>2E-3</v>
      </c>
    </row>
    <row r="69" spans="1:35" x14ac:dyDescent="0.25">
      <c r="A69" t="s">
        <v>283</v>
      </c>
      <c r="B69" t="s">
        <v>1042</v>
      </c>
      <c r="C69" t="s">
        <v>1043</v>
      </c>
      <c r="D69" t="s">
        <v>280</v>
      </c>
      <c r="F69">
        <v>0.94170200000000004</v>
      </c>
      <c r="G69">
        <v>0.93232700000000002</v>
      </c>
      <c r="H69">
        <v>0.92535100000000003</v>
      </c>
      <c r="I69">
        <v>0.91953300000000004</v>
      </c>
      <c r="J69">
        <v>0.91376199999999996</v>
      </c>
      <c r="K69">
        <v>0.907725</v>
      </c>
      <c r="L69">
        <v>0.90143600000000002</v>
      </c>
      <c r="M69">
        <v>0.89469200000000004</v>
      </c>
      <c r="N69">
        <v>0.88771699999999998</v>
      </c>
      <c r="O69">
        <v>0.88065199999999999</v>
      </c>
      <c r="P69">
        <v>0.87367799999999995</v>
      </c>
      <c r="Q69">
        <v>0.867923</v>
      </c>
      <c r="R69">
        <v>0.86223499999999997</v>
      </c>
      <c r="S69">
        <v>0.85676600000000003</v>
      </c>
      <c r="T69">
        <v>0.85151900000000003</v>
      </c>
      <c r="U69">
        <v>0.84637300000000004</v>
      </c>
      <c r="V69">
        <v>0.84123400000000004</v>
      </c>
      <c r="W69">
        <v>0.83629399999999998</v>
      </c>
      <c r="X69">
        <v>0.83145999999999998</v>
      </c>
      <c r="Y69">
        <v>0.82670900000000003</v>
      </c>
      <c r="Z69">
        <v>0.82210700000000003</v>
      </c>
      <c r="AA69">
        <v>0.81767999999999996</v>
      </c>
      <c r="AB69">
        <v>0.81339499999999998</v>
      </c>
      <c r="AC69">
        <v>0.80911299999999997</v>
      </c>
      <c r="AD69">
        <v>0.80466000000000004</v>
      </c>
      <c r="AE69">
        <v>0.80039899999999997</v>
      </c>
      <c r="AF69">
        <v>0.79635699999999998</v>
      </c>
      <c r="AG69">
        <v>0.79246099999999997</v>
      </c>
      <c r="AH69">
        <v>0.78863000000000005</v>
      </c>
      <c r="AI69" s="21">
        <v>-6.0000000000000001E-3</v>
      </c>
    </row>
    <row r="70" spans="1:35" x14ac:dyDescent="0.25">
      <c r="A70" t="s">
        <v>250</v>
      </c>
    </row>
    <row r="71" spans="1:35" x14ac:dyDescent="0.25">
      <c r="A71" t="s">
        <v>278</v>
      </c>
      <c r="B71" t="s">
        <v>1044</v>
      </c>
      <c r="C71" t="s">
        <v>1045</v>
      </c>
      <c r="D71" t="s">
        <v>280</v>
      </c>
      <c r="F71">
        <v>0.98205299999999995</v>
      </c>
      <c r="G71">
        <v>0.97907100000000002</v>
      </c>
      <c r="H71">
        <v>0.97709199999999996</v>
      </c>
      <c r="I71">
        <v>0.97557099999999997</v>
      </c>
      <c r="J71">
        <v>0.97395100000000001</v>
      </c>
      <c r="K71">
        <v>0.97213400000000005</v>
      </c>
      <c r="L71">
        <v>0.97014599999999995</v>
      </c>
      <c r="M71">
        <v>0.96789800000000004</v>
      </c>
      <c r="N71">
        <v>0.96549499999999999</v>
      </c>
      <c r="O71">
        <v>0.96298799999999996</v>
      </c>
      <c r="P71">
        <v>0.96045700000000001</v>
      </c>
      <c r="Q71">
        <v>0.95786800000000005</v>
      </c>
      <c r="R71">
        <v>0.95526999999999995</v>
      </c>
      <c r="S71">
        <v>0.952708</v>
      </c>
      <c r="T71">
        <v>0.95018999999999998</v>
      </c>
      <c r="U71">
        <v>0.94767299999999999</v>
      </c>
      <c r="V71">
        <v>0.94510700000000003</v>
      </c>
      <c r="W71">
        <v>0.94257999999999997</v>
      </c>
      <c r="X71">
        <v>0.940056</v>
      </c>
      <c r="Y71">
        <v>0.93752199999999997</v>
      </c>
      <c r="Z71">
        <v>0.93502399999999997</v>
      </c>
      <c r="AA71">
        <v>0.93257100000000004</v>
      </c>
      <c r="AB71">
        <v>0.93016299999999996</v>
      </c>
      <c r="AC71">
        <v>0.92771400000000004</v>
      </c>
      <c r="AD71">
        <v>0.92511900000000002</v>
      </c>
      <c r="AE71">
        <v>0.92258799999999996</v>
      </c>
      <c r="AF71">
        <v>0.92013699999999998</v>
      </c>
      <c r="AG71">
        <v>0.91773000000000005</v>
      </c>
      <c r="AH71">
        <v>0.91531200000000001</v>
      </c>
      <c r="AI71" s="21">
        <v>-3.0000000000000001E-3</v>
      </c>
    </row>
    <row r="72" spans="1:35" x14ac:dyDescent="0.25">
      <c r="A72" t="s">
        <v>281</v>
      </c>
      <c r="B72" t="s">
        <v>1046</v>
      </c>
      <c r="C72" t="s">
        <v>1047</v>
      </c>
      <c r="D72" t="s">
        <v>280</v>
      </c>
      <c r="F72">
        <v>0.98170400000000002</v>
      </c>
      <c r="G72">
        <v>0.96699000000000002</v>
      </c>
      <c r="H72">
        <v>0.96088799999999996</v>
      </c>
      <c r="I72">
        <v>0.95875100000000002</v>
      </c>
      <c r="J72">
        <v>0.95990200000000003</v>
      </c>
      <c r="K72">
        <v>0.96076799999999996</v>
      </c>
      <c r="L72">
        <v>0.960538</v>
      </c>
      <c r="M72">
        <v>0.959561</v>
      </c>
      <c r="N72">
        <v>0.95821699999999999</v>
      </c>
      <c r="O72">
        <v>0.95740599999999998</v>
      </c>
      <c r="P72">
        <v>0.95718599999999998</v>
      </c>
      <c r="Q72">
        <v>0.99905699999999997</v>
      </c>
      <c r="R72">
        <v>0.99895299999999998</v>
      </c>
      <c r="S72">
        <v>0.99954100000000001</v>
      </c>
      <c r="T72">
        <v>0.99966999999999995</v>
      </c>
      <c r="U72">
        <v>0.99981500000000001</v>
      </c>
      <c r="V72">
        <v>0.99997999999999998</v>
      </c>
      <c r="W72">
        <v>1.0003</v>
      </c>
      <c r="X72">
        <v>1.000248</v>
      </c>
      <c r="Y72">
        <v>0.99957099999999999</v>
      </c>
      <c r="Z72">
        <v>0.99960499999999997</v>
      </c>
      <c r="AA72">
        <v>0.99928499999999998</v>
      </c>
      <c r="AB72">
        <v>0.99876600000000004</v>
      </c>
      <c r="AC72">
        <v>0.99830399999999997</v>
      </c>
      <c r="AD72">
        <v>0.99787800000000004</v>
      </c>
      <c r="AE72">
        <v>0.99847200000000003</v>
      </c>
      <c r="AF72">
        <v>0.99878699999999998</v>
      </c>
      <c r="AG72">
        <v>0.99943099999999996</v>
      </c>
      <c r="AH72">
        <v>1.0001139999999999</v>
      </c>
      <c r="AI72" s="21">
        <v>1E-3</v>
      </c>
    </row>
    <row r="73" spans="1:35" x14ac:dyDescent="0.25">
      <c r="A73" t="s">
        <v>283</v>
      </c>
      <c r="B73" t="s">
        <v>1048</v>
      </c>
      <c r="C73" t="s">
        <v>1049</v>
      </c>
      <c r="D73" t="s">
        <v>280</v>
      </c>
      <c r="F73">
        <v>0.98254900000000001</v>
      </c>
      <c r="G73">
        <v>0.97962899999999997</v>
      </c>
      <c r="H73">
        <v>0.97761799999999999</v>
      </c>
      <c r="I73">
        <v>0.97603300000000004</v>
      </c>
      <c r="J73">
        <v>0.97440099999999996</v>
      </c>
      <c r="K73">
        <v>0.97263200000000005</v>
      </c>
      <c r="L73">
        <v>0.97074099999999997</v>
      </c>
      <c r="M73">
        <v>0.96864799999999995</v>
      </c>
      <c r="N73">
        <v>0.966445</v>
      </c>
      <c r="O73">
        <v>0.96418499999999996</v>
      </c>
      <c r="P73">
        <v>0.96193700000000004</v>
      </c>
      <c r="Q73">
        <v>0.96004299999999998</v>
      </c>
      <c r="R73">
        <v>0.958152</v>
      </c>
      <c r="S73">
        <v>0.95631500000000003</v>
      </c>
      <c r="T73">
        <v>0.954538</v>
      </c>
      <c r="U73">
        <v>0.95278200000000002</v>
      </c>
      <c r="V73">
        <v>0.95100499999999999</v>
      </c>
      <c r="W73">
        <v>0.94928100000000004</v>
      </c>
      <c r="X73">
        <v>0.94758100000000001</v>
      </c>
      <c r="Y73">
        <v>0.945886</v>
      </c>
      <c r="Z73">
        <v>0.94423299999999999</v>
      </c>
      <c r="AA73">
        <v>0.94262800000000002</v>
      </c>
      <c r="AB73">
        <v>0.94106699999999999</v>
      </c>
      <c r="AC73">
        <v>0.93948399999999999</v>
      </c>
      <c r="AD73">
        <v>0.93779599999999996</v>
      </c>
      <c r="AE73">
        <v>0.93617700000000004</v>
      </c>
      <c r="AF73">
        <v>0.93463099999999999</v>
      </c>
      <c r="AG73">
        <v>0.93313199999999996</v>
      </c>
      <c r="AH73">
        <v>0.93163799999999997</v>
      </c>
      <c r="AI73" s="21">
        <v>-2E-3</v>
      </c>
    </row>
    <row r="74" spans="1:35" x14ac:dyDescent="0.25">
      <c r="A74" t="s">
        <v>288</v>
      </c>
    </row>
    <row r="75" spans="1:35" x14ac:dyDescent="0.25">
      <c r="A75" t="s">
        <v>289</v>
      </c>
    </row>
    <row r="76" spans="1:35" x14ac:dyDescent="0.25">
      <c r="A76" t="s">
        <v>175</v>
      </c>
    </row>
    <row r="77" spans="1:35" x14ac:dyDescent="0.25">
      <c r="A77" t="s">
        <v>290</v>
      </c>
      <c r="B77" t="s">
        <v>1050</v>
      </c>
      <c r="C77" t="s">
        <v>1051</v>
      </c>
      <c r="D77" t="s">
        <v>292</v>
      </c>
      <c r="F77">
        <v>0</v>
      </c>
      <c r="G77">
        <v>0</v>
      </c>
      <c r="H77">
        <v>0</v>
      </c>
      <c r="I77">
        <v>0</v>
      </c>
      <c r="J77">
        <v>0</v>
      </c>
      <c r="K77">
        <v>0</v>
      </c>
      <c r="L77">
        <v>0</v>
      </c>
      <c r="M77">
        <v>0</v>
      </c>
      <c r="N77">
        <v>0</v>
      </c>
      <c r="O77">
        <v>0</v>
      </c>
      <c r="P77">
        <v>0</v>
      </c>
      <c r="Q77">
        <v>0</v>
      </c>
      <c r="R77">
        <v>1.9999999999999999E-6</v>
      </c>
      <c r="S77">
        <v>5.0000000000000004E-6</v>
      </c>
      <c r="T77">
        <v>1.1E-5</v>
      </c>
      <c r="U77">
        <v>2.1999999999999999E-5</v>
      </c>
      <c r="V77">
        <v>4.3999999999999999E-5</v>
      </c>
      <c r="W77">
        <v>8.2999999999999998E-5</v>
      </c>
      <c r="X77">
        <v>1.55E-4</v>
      </c>
      <c r="Y77">
        <v>2.8600000000000001E-4</v>
      </c>
      <c r="Z77">
        <v>4.17E-4</v>
      </c>
      <c r="AA77">
        <v>5.5000000000000003E-4</v>
      </c>
      <c r="AB77">
        <v>6.8199999999999999E-4</v>
      </c>
      <c r="AC77">
        <v>8.1599999999999999E-4</v>
      </c>
      <c r="AD77">
        <v>9.5E-4</v>
      </c>
      <c r="AE77">
        <v>1.0839999999999999E-3</v>
      </c>
      <c r="AF77">
        <v>1.219E-3</v>
      </c>
      <c r="AG77">
        <v>1.353E-3</v>
      </c>
      <c r="AH77">
        <v>1.488E-3</v>
      </c>
      <c r="AI77" t="s">
        <v>4</v>
      </c>
    </row>
    <row r="78" spans="1:35" x14ac:dyDescent="0.25">
      <c r="A78" t="s">
        <v>293</v>
      </c>
      <c r="B78" t="s">
        <v>1052</v>
      </c>
      <c r="C78" t="s">
        <v>1053</v>
      </c>
      <c r="D78" t="s">
        <v>292</v>
      </c>
      <c r="F78">
        <v>25.940821</v>
      </c>
      <c r="G78">
        <v>28.426915999999999</v>
      </c>
      <c r="H78">
        <v>31.317519999999998</v>
      </c>
      <c r="I78">
        <v>34.213085</v>
      </c>
      <c r="J78">
        <v>37.102398000000001</v>
      </c>
      <c r="K78">
        <v>40.088000999999998</v>
      </c>
      <c r="L78">
        <v>43.162284999999997</v>
      </c>
      <c r="M78">
        <v>46.379024999999999</v>
      </c>
      <c r="N78">
        <v>49.715114999999997</v>
      </c>
      <c r="O78">
        <v>53.221054000000002</v>
      </c>
      <c r="P78">
        <v>56.974155000000003</v>
      </c>
      <c r="Q78">
        <v>60.782733999999998</v>
      </c>
      <c r="R78">
        <v>64.698020999999997</v>
      </c>
      <c r="S78">
        <v>68.113708000000003</v>
      </c>
      <c r="T78">
        <v>71.713645999999997</v>
      </c>
      <c r="U78">
        <v>75.468543999999994</v>
      </c>
      <c r="V78">
        <v>79.508544999999998</v>
      </c>
      <c r="W78">
        <v>83.846107000000003</v>
      </c>
      <c r="X78">
        <v>88.482719000000003</v>
      </c>
      <c r="Y78">
        <v>93.406563000000006</v>
      </c>
      <c r="Z78">
        <v>98.617553999999998</v>
      </c>
      <c r="AA78">
        <v>104.15289300000001</v>
      </c>
      <c r="AB78">
        <v>109.907883</v>
      </c>
      <c r="AC78">
        <v>115.976173</v>
      </c>
      <c r="AD78">
        <v>122.272903</v>
      </c>
      <c r="AE78">
        <v>128.79647800000001</v>
      </c>
      <c r="AF78">
        <v>135.66493199999999</v>
      </c>
      <c r="AG78">
        <v>142.69435100000001</v>
      </c>
      <c r="AH78">
        <v>149.97357199999999</v>
      </c>
      <c r="AI78" s="21">
        <v>6.5000000000000002E-2</v>
      </c>
    </row>
    <row r="79" spans="1:35" x14ac:dyDescent="0.25">
      <c r="A79" t="s">
        <v>295</v>
      </c>
      <c r="B79" t="s">
        <v>1054</v>
      </c>
      <c r="C79" t="s">
        <v>1055</v>
      </c>
      <c r="D79" t="s">
        <v>292</v>
      </c>
      <c r="F79">
        <v>6.3448000000000004E-2</v>
      </c>
      <c r="G79">
        <v>6.9112000000000007E-2</v>
      </c>
      <c r="H79">
        <v>7.5192999999999996E-2</v>
      </c>
      <c r="I79">
        <v>8.1515000000000004E-2</v>
      </c>
      <c r="J79">
        <v>8.7960999999999998E-2</v>
      </c>
      <c r="K79">
        <v>9.4481999999999997E-2</v>
      </c>
      <c r="L79">
        <v>0.101025</v>
      </c>
      <c r="M79">
        <v>0.10757</v>
      </c>
      <c r="N79">
        <v>0.11409</v>
      </c>
      <c r="O79">
        <v>0.120587</v>
      </c>
      <c r="P79">
        <v>0.12706999999999999</v>
      </c>
      <c r="Q79">
        <v>0.13330900000000001</v>
      </c>
      <c r="R79">
        <v>0.13331200000000001</v>
      </c>
      <c r="S79">
        <v>0.13331799999999999</v>
      </c>
      <c r="T79">
        <v>0.13333100000000001</v>
      </c>
      <c r="U79">
        <v>0.133353</v>
      </c>
      <c r="V79">
        <v>0.13339599999999999</v>
      </c>
      <c r="W79">
        <v>0.13347400000000001</v>
      </c>
      <c r="X79">
        <v>0.13361799999999999</v>
      </c>
      <c r="Y79">
        <v>0.13388</v>
      </c>
      <c r="Z79">
        <v>0.13414300000000001</v>
      </c>
      <c r="AA79">
        <v>0.134408</v>
      </c>
      <c r="AB79">
        <v>0.13467299999999999</v>
      </c>
      <c r="AC79">
        <v>0.13494</v>
      </c>
      <c r="AD79">
        <v>0.13520699999999999</v>
      </c>
      <c r="AE79">
        <v>0.13547600000000001</v>
      </c>
      <c r="AF79">
        <v>0.135745</v>
      </c>
      <c r="AG79">
        <v>0.136015</v>
      </c>
      <c r="AH79">
        <v>0.13628499999999999</v>
      </c>
      <c r="AI79" s="21">
        <v>2.8000000000000001E-2</v>
      </c>
    </row>
    <row r="80" spans="1:35" x14ac:dyDescent="0.25">
      <c r="A80" t="s">
        <v>201</v>
      </c>
      <c r="B80" t="s">
        <v>1056</v>
      </c>
      <c r="C80" t="s">
        <v>1057</v>
      </c>
      <c r="D80" t="s">
        <v>292</v>
      </c>
      <c r="F80">
        <v>26.004269000000001</v>
      </c>
      <c r="G80">
        <v>28.496029</v>
      </c>
      <c r="H80">
        <v>31.392714000000002</v>
      </c>
      <c r="I80">
        <v>34.294601</v>
      </c>
      <c r="J80">
        <v>37.190361000000003</v>
      </c>
      <c r="K80">
        <v>40.182484000000002</v>
      </c>
      <c r="L80">
        <v>43.263309</v>
      </c>
      <c r="M80">
        <v>46.486595000000001</v>
      </c>
      <c r="N80">
        <v>49.829205000000002</v>
      </c>
      <c r="O80">
        <v>53.341639999999998</v>
      </c>
      <c r="P80">
        <v>57.101227000000002</v>
      </c>
      <c r="Q80">
        <v>60.916041999999997</v>
      </c>
      <c r="R80">
        <v>64.831337000000005</v>
      </c>
      <c r="S80">
        <v>68.247032000000004</v>
      </c>
      <c r="T80">
        <v>71.846985000000004</v>
      </c>
      <c r="U80">
        <v>75.601921000000004</v>
      </c>
      <c r="V80">
        <v>79.641982999999996</v>
      </c>
      <c r="W80">
        <v>83.979668000000004</v>
      </c>
      <c r="X80">
        <v>88.616493000000006</v>
      </c>
      <c r="Y80">
        <v>93.540726000000006</v>
      </c>
      <c r="Z80">
        <v>98.752112999999994</v>
      </c>
      <c r="AA80">
        <v>104.28784899999999</v>
      </c>
      <c r="AB80">
        <v>110.04323599999999</v>
      </c>
      <c r="AC80">
        <v>116.111931</v>
      </c>
      <c r="AD80">
        <v>122.409058</v>
      </c>
      <c r="AE80">
        <v>128.933044</v>
      </c>
      <c r="AF80">
        <v>135.801895</v>
      </c>
      <c r="AG80">
        <v>142.831726</v>
      </c>
      <c r="AH80">
        <v>150.11135899999999</v>
      </c>
      <c r="AI80" s="21">
        <v>6.5000000000000002E-2</v>
      </c>
    </row>
    <row r="81" spans="1:35" x14ac:dyDescent="0.25">
      <c r="A81" t="s">
        <v>174</v>
      </c>
    </row>
    <row r="82" spans="1:35" x14ac:dyDescent="0.25">
      <c r="A82" t="s">
        <v>290</v>
      </c>
      <c r="B82" t="s">
        <v>1058</v>
      </c>
      <c r="C82" t="s">
        <v>1059</v>
      </c>
      <c r="D82" t="s">
        <v>299</v>
      </c>
      <c r="F82">
        <v>0</v>
      </c>
      <c r="G82">
        <v>0</v>
      </c>
      <c r="H82">
        <v>0</v>
      </c>
      <c r="I82">
        <v>0</v>
      </c>
      <c r="J82">
        <v>0</v>
      </c>
      <c r="K82">
        <v>0</v>
      </c>
      <c r="L82">
        <v>0</v>
      </c>
      <c r="M82">
        <v>0</v>
      </c>
      <c r="N82">
        <v>0</v>
      </c>
      <c r="O82">
        <v>0</v>
      </c>
      <c r="P82">
        <v>0</v>
      </c>
      <c r="Q82">
        <v>9.9999999999999995E-7</v>
      </c>
      <c r="R82">
        <v>6.0000000000000002E-6</v>
      </c>
      <c r="S82">
        <v>1.4E-5</v>
      </c>
      <c r="T82">
        <v>3.1000000000000001E-5</v>
      </c>
      <c r="U82">
        <v>6.2000000000000003E-5</v>
      </c>
      <c r="V82">
        <v>1.22E-4</v>
      </c>
      <c r="W82">
        <v>2.3000000000000001E-4</v>
      </c>
      <c r="X82">
        <v>4.3100000000000001E-4</v>
      </c>
      <c r="Y82">
        <v>7.9799999999999999E-4</v>
      </c>
      <c r="Z82">
        <v>1.165E-3</v>
      </c>
      <c r="AA82">
        <v>1.534E-3</v>
      </c>
      <c r="AB82">
        <v>1.9040000000000001E-3</v>
      </c>
      <c r="AC82">
        <v>2.2759999999999998E-3</v>
      </c>
      <c r="AD82">
        <v>2.6489999999999999E-3</v>
      </c>
      <c r="AE82">
        <v>3.0240000000000002E-3</v>
      </c>
      <c r="AF82">
        <v>3.3999999999999998E-3</v>
      </c>
      <c r="AG82">
        <v>3.7759999999999998E-3</v>
      </c>
      <c r="AH82">
        <v>4.1520000000000003E-3</v>
      </c>
      <c r="AI82" t="s">
        <v>4</v>
      </c>
    </row>
    <row r="83" spans="1:35" x14ac:dyDescent="0.25">
      <c r="A83" t="s">
        <v>293</v>
      </c>
      <c r="B83" t="s">
        <v>1060</v>
      </c>
      <c r="C83" t="s">
        <v>1061</v>
      </c>
      <c r="D83" t="s">
        <v>299</v>
      </c>
      <c r="F83">
        <v>38.879559</v>
      </c>
      <c r="G83">
        <v>43.125973000000002</v>
      </c>
      <c r="H83">
        <v>47.972565000000003</v>
      </c>
      <c r="I83">
        <v>52.818500999999998</v>
      </c>
      <c r="J83">
        <v>57.647593999999998</v>
      </c>
      <c r="K83">
        <v>62.611156000000001</v>
      </c>
      <c r="L83">
        <v>67.696831000000003</v>
      </c>
      <c r="M83">
        <v>72.983909999999995</v>
      </c>
      <c r="N83">
        <v>78.436142000000004</v>
      </c>
      <c r="O83">
        <v>84.134567000000004</v>
      </c>
      <c r="P83">
        <v>90.184685000000002</v>
      </c>
      <c r="Q83">
        <v>96.308402999999998</v>
      </c>
      <c r="R83">
        <v>102.57440200000001</v>
      </c>
      <c r="S83">
        <v>108.095085</v>
      </c>
      <c r="T83">
        <v>113.883217</v>
      </c>
      <c r="U83">
        <v>119.885406</v>
      </c>
      <c r="V83">
        <v>126.297951</v>
      </c>
      <c r="W83">
        <v>133.136719</v>
      </c>
      <c r="X83">
        <v>140.40329</v>
      </c>
      <c r="Y83">
        <v>148.07901000000001</v>
      </c>
      <c r="Z83">
        <v>156.162567</v>
      </c>
      <c r="AA83">
        <v>164.707626</v>
      </c>
      <c r="AB83">
        <v>173.56130999999999</v>
      </c>
      <c r="AC83">
        <v>182.859161</v>
      </c>
      <c r="AD83">
        <v>192.47685200000001</v>
      </c>
      <c r="AE83">
        <v>202.41137699999999</v>
      </c>
      <c r="AF83">
        <v>212.83244300000001</v>
      </c>
      <c r="AG83">
        <v>223.473007</v>
      </c>
      <c r="AH83">
        <v>234.46116599999999</v>
      </c>
      <c r="AI83" s="21">
        <v>6.6000000000000003E-2</v>
      </c>
    </row>
    <row r="84" spans="1:35" x14ac:dyDescent="0.25">
      <c r="A84" t="s">
        <v>295</v>
      </c>
      <c r="B84" t="s">
        <v>1062</v>
      </c>
      <c r="C84" t="s">
        <v>1063</v>
      </c>
      <c r="D84" t="s">
        <v>299</v>
      </c>
      <c r="F84">
        <v>6.9006999999999999E-2</v>
      </c>
      <c r="G84">
        <v>7.4813000000000004E-2</v>
      </c>
      <c r="H84">
        <v>8.1044000000000005E-2</v>
      </c>
      <c r="I84">
        <v>8.7524000000000005E-2</v>
      </c>
      <c r="J84">
        <v>9.4131000000000006E-2</v>
      </c>
      <c r="K84">
        <v>0.100814</v>
      </c>
      <c r="L84">
        <v>0.10752100000000001</v>
      </c>
      <c r="M84">
        <v>0.114228</v>
      </c>
      <c r="N84">
        <v>0.120911</v>
      </c>
      <c r="O84">
        <v>0.12756999999999999</v>
      </c>
      <c r="P84">
        <v>0.134214</v>
      </c>
      <c r="Q84">
        <v>0.14060900000000001</v>
      </c>
      <c r="R84">
        <v>0.14061199999999999</v>
      </c>
      <c r="S84">
        <v>0.14061899999999999</v>
      </c>
      <c r="T84">
        <v>0.14063100000000001</v>
      </c>
      <c r="U84">
        <v>0.140654</v>
      </c>
      <c r="V84">
        <v>0.14069799999999999</v>
      </c>
      <c r="W84">
        <v>0.14077799999999999</v>
      </c>
      <c r="X84">
        <v>0.14092499999999999</v>
      </c>
      <c r="Y84">
        <v>0.14119499999999999</v>
      </c>
      <c r="Z84">
        <v>0.14146500000000001</v>
      </c>
      <c r="AA84">
        <v>0.141736</v>
      </c>
      <c r="AB84">
        <v>0.14200699999999999</v>
      </c>
      <c r="AC84">
        <v>0.14227999999999999</v>
      </c>
      <c r="AD84">
        <v>0.14255399999999999</v>
      </c>
      <c r="AE84">
        <v>0.14282900000000001</v>
      </c>
      <c r="AF84">
        <v>0.14310400000000001</v>
      </c>
      <c r="AG84">
        <v>0.14337900000000001</v>
      </c>
      <c r="AH84">
        <v>0.143655</v>
      </c>
      <c r="AI84" s="21">
        <v>2.7E-2</v>
      </c>
    </row>
    <row r="85" spans="1:35" x14ac:dyDescent="0.25">
      <c r="A85" t="s">
        <v>201</v>
      </c>
      <c r="B85" t="s">
        <v>1064</v>
      </c>
      <c r="C85" t="s">
        <v>1065</v>
      </c>
      <c r="D85" t="s">
        <v>299</v>
      </c>
      <c r="F85">
        <v>38.948566</v>
      </c>
      <c r="G85">
        <v>43.200786999999998</v>
      </c>
      <c r="H85">
        <v>48.053607999999997</v>
      </c>
      <c r="I85">
        <v>52.906025</v>
      </c>
      <c r="J85">
        <v>57.741726</v>
      </c>
      <c r="K85">
        <v>62.711970999999998</v>
      </c>
      <c r="L85">
        <v>67.804351999999994</v>
      </c>
      <c r="M85">
        <v>73.098136999999994</v>
      </c>
      <c r="N85">
        <v>78.557052999999996</v>
      </c>
      <c r="O85">
        <v>84.262137999999993</v>
      </c>
      <c r="P85">
        <v>90.318900999999997</v>
      </c>
      <c r="Q85">
        <v>96.449012999999994</v>
      </c>
      <c r="R85">
        <v>102.715019</v>
      </c>
      <c r="S85">
        <v>108.23571800000001</v>
      </c>
      <c r="T85">
        <v>114.02388000000001</v>
      </c>
      <c r="U85">
        <v>120.026123</v>
      </c>
      <c r="V85">
        <v>126.438774</v>
      </c>
      <c r="W85">
        <v>133.277725</v>
      </c>
      <c r="X85">
        <v>140.544647</v>
      </c>
      <c r="Y85">
        <v>148.22099299999999</v>
      </c>
      <c r="Z85">
        <v>156.30519100000001</v>
      </c>
      <c r="AA85">
        <v>164.85090600000001</v>
      </c>
      <c r="AB85">
        <v>173.705231</v>
      </c>
      <c r="AC85">
        <v>183.00370799999999</v>
      </c>
      <c r="AD85">
        <v>192.62205499999999</v>
      </c>
      <c r="AE85">
        <v>202.55722</v>
      </c>
      <c r="AF85">
        <v>212.97894299999999</v>
      </c>
      <c r="AG85">
        <v>223.620148</v>
      </c>
      <c r="AH85">
        <v>234.60897800000001</v>
      </c>
      <c r="AI85" s="21">
        <v>6.6000000000000003E-2</v>
      </c>
    </row>
    <row r="86" spans="1:35" x14ac:dyDescent="0.25">
      <c r="A86" t="s">
        <v>303</v>
      </c>
    </row>
    <row r="87" spans="1:35" x14ac:dyDescent="0.25">
      <c r="A87" t="s">
        <v>304</v>
      </c>
      <c r="B87" t="s">
        <v>1066</v>
      </c>
      <c r="C87" t="s">
        <v>1067</v>
      </c>
      <c r="D87" t="s">
        <v>299</v>
      </c>
      <c r="F87">
        <v>6.1163970000000001</v>
      </c>
      <c r="G87">
        <v>7.0172879999999997</v>
      </c>
      <c r="H87">
        <v>8.0391890000000004</v>
      </c>
      <c r="I87">
        <v>9.0090249999999994</v>
      </c>
      <c r="J87">
        <v>9.9666619999999995</v>
      </c>
      <c r="K87">
        <v>10.957931</v>
      </c>
      <c r="L87">
        <v>11.963233000000001</v>
      </c>
      <c r="M87">
        <v>13.032094000000001</v>
      </c>
      <c r="N87">
        <v>14.131605</v>
      </c>
      <c r="O87">
        <v>15.315522</v>
      </c>
      <c r="P87">
        <v>16.611360999999999</v>
      </c>
      <c r="Q87">
        <v>17.921099000000002</v>
      </c>
      <c r="R87">
        <v>19.288816000000001</v>
      </c>
      <c r="S87">
        <v>20.464827</v>
      </c>
      <c r="T87">
        <v>21.726690000000001</v>
      </c>
      <c r="U87">
        <v>23.024827999999999</v>
      </c>
      <c r="V87">
        <v>24.442295000000001</v>
      </c>
      <c r="W87">
        <v>25.954371999999999</v>
      </c>
      <c r="X87">
        <v>27.590239</v>
      </c>
      <c r="Y87">
        <v>29.314402000000001</v>
      </c>
      <c r="Z87">
        <v>31.122247999999999</v>
      </c>
      <c r="AA87">
        <v>33.063015</v>
      </c>
      <c r="AB87">
        <v>35.056106999999997</v>
      </c>
      <c r="AC87">
        <v>37.173237</v>
      </c>
      <c r="AD87">
        <v>39.340510999999999</v>
      </c>
      <c r="AE87">
        <v>41.550514</v>
      </c>
      <c r="AF87">
        <v>43.885693000000003</v>
      </c>
      <c r="AG87">
        <v>46.226215000000003</v>
      </c>
      <c r="AH87">
        <v>48.640495000000001</v>
      </c>
      <c r="AI87" s="21">
        <v>7.6999999999999999E-2</v>
      </c>
    </row>
    <row r="88" spans="1:35" x14ac:dyDescent="0.25">
      <c r="A88" t="s">
        <v>306</v>
      </c>
      <c r="B88" t="s">
        <v>1068</v>
      </c>
      <c r="C88" t="s">
        <v>1069</v>
      </c>
      <c r="D88" t="s">
        <v>299</v>
      </c>
      <c r="F88">
        <v>32.832169</v>
      </c>
      <c r="G88">
        <v>36.183495000000001</v>
      </c>
      <c r="H88">
        <v>40.014423000000001</v>
      </c>
      <c r="I88">
        <v>43.896996000000001</v>
      </c>
      <c r="J88">
        <v>47.775063000000003</v>
      </c>
      <c r="K88">
        <v>51.754040000000003</v>
      </c>
      <c r="L88">
        <v>55.841121999999999</v>
      </c>
      <c r="M88">
        <v>60.066035999999997</v>
      </c>
      <c r="N88">
        <v>64.425438</v>
      </c>
      <c r="O88">
        <v>68.946617000000003</v>
      </c>
      <c r="P88">
        <v>73.707542000000004</v>
      </c>
      <c r="Q88">
        <v>78.527916000000005</v>
      </c>
      <c r="R88">
        <v>83.426201000000006</v>
      </c>
      <c r="S88">
        <v>87.770882</v>
      </c>
      <c r="T88">
        <v>92.297188000000006</v>
      </c>
      <c r="U88">
        <v>97.001289</v>
      </c>
      <c r="V88">
        <v>101.996475</v>
      </c>
      <c r="W88">
        <v>107.323357</v>
      </c>
      <c r="X88">
        <v>112.954407</v>
      </c>
      <c r="Y88">
        <v>118.90660099999999</v>
      </c>
      <c r="Z88">
        <v>125.182953</v>
      </c>
      <c r="AA88">
        <v>131.78787199999999</v>
      </c>
      <c r="AB88">
        <v>138.649124</v>
      </c>
      <c r="AC88">
        <v>145.83049</v>
      </c>
      <c r="AD88">
        <v>153.281555</v>
      </c>
      <c r="AE88">
        <v>161.006699</v>
      </c>
      <c r="AF88">
        <v>169.093231</v>
      </c>
      <c r="AG88">
        <v>177.393936</v>
      </c>
      <c r="AH88">
        <v>185.968491</v>
      </c>
      <c r="AI88" s="21">
        <v>6.4000000000000001E-2</v>
      </c>
    </row>
    <row r="89" spans="1:35" x14ac:dyDescent="0.25">
      <c r="A89" t="s">
        <v>308</v>
      </c>
    </row>
    <row r="90" spans="1:35" x14ac:dyDescent="0.25">
      <c r="A90" t="s">
        <v>290</v>
      </c>
      <c r="B90" t="s">
        <v>1070</v>
      </c>
      <c r="C90" t="s">
        <v>1071</v>
      </c>
      <c r="D90" t="s">
        <v>310</v>
      </c>
      <c r="F90">
        <v>0</v>
      </c>
      <c r="G90">
        <v>0</v>
      </c>
      <c r="H90">
        <v>0</v>
      </c>
      <c r="I90">
        <v>0</v>
      </c>
      <c r="J90">
        <v>0</v>
      </c>
      <c r="K90">
        <v>0</v>
      </c>
      <c r="L90">
        <v>0</v>
      </c>
      <c r="M90">
        <v>0</v>
      </c>
      <c r="N90">
        <v>0</v>
      </c>
      <c r="O90">
        <v>0</v>
      </c>
      <c r="P90">
        <v>3.0000000000000001E-6</v>
      </c>
      <c r="Q90">
        <v>9.0000000000000002E-6</v>
      </c>
      <c r="R90">
        <v>4.3000000000000002E-5</v>
      </c>
      <c r="S90">
        <v>1.08E-4</v>
      </c>
      <c r="T90">
        <v>2.3699999999999999E-4</v>
      </c>
      <c r="U90">
        <v>4.7399999999999997E-4</v>
      </c>
      <c r="V90">
        <v>9.2800000000000001E-4</v>
      </c>
      <c r="W90">
        <v>1.755E-3</v>
      </c>
      <c r="X90">
        <v>3.277E-3</v>
      </c>
      <c r="Y90">
        <v>6.0499999999999998E-3</v>
      </c>
      <c r="Z90">
        <v>8.8210000000000007E-3</v>
      </c>
      <c r="AA90">
        <v>1.1598000000000001E-2</v>
      </c>
      <c r="AB90">
        <v>1.4381E-2</v>
      </c>
      <c r="AC90">
        <v>1.7170999999999999E-2</v>
      </c>
      <c r="AD90">
        <v>1.9963999999999999E-2</v>
      </c>
      <c r="AE90">
        <v>2.2764E-2</v>
      </c>
      <c r="AF90">
        <v>2.5562999999999999E-2</v>
      </c>
      <c r="AG90">
        <v>2.8357E-2</v>
      </c>
      <c r="AH90">
        <v>3.1149E-2</v>
      </c>
      <c r="AI90" t="s">
        <v>4</v>
      </c>
    </row>
    <row r="91" spans="1:35" x14ac:dyDescent="0.25">
      <c r="A91" t="s">
        <v>293</v>
      </c>
      <c r="B91" t="s">
        <v>1072</v>
      </c>
      <c r="C91" t="s">
        <v>1073</v>
      </c>
      <c r="D91" t="s">
        <v>310</v>
      </c>
      <c r="F91">
        <v>320.74206500000003</v>
      </c>
      <c r="G91">
        <v>353.178406</v>
      </c>
      <c r="H91">
        <v>397.25158699999997</v>
      </c>
      <c r="I91">
        <v>434.42645299999998</v>
      </c>
      <c r="J91">
        <v>470.73333700000001</v>
      </c>
      <c r="K91">
        <v>509.77789300000001</v>
      </c>
      <c r="L91">
        <v>548.17248500000005</v>
      </c>
      <c r="M91">
        <v>589.55798300000004</v>
      </c>
      <c r="N91">
        <v>635.009094</v>
      </c>
      <c r="O91">
        <v>682.95190400000001</v>
      </c>
      <c r="P91">
        <v>733.30017099999998</v>
      </c>
      <c r="Q91">
        <v>781.92980999999997</v>
      </c>
      <c r="R91">
        <v>835.91406199999994</v>
      </c>
      <c r="S91">
        <v>883.02221699999996</v>
      </c>
      <c r="T91">
        <v>929.25885000000005</v>
      </c>
      <c r="U91">
        <v>974.57055700000001</v>
      </c>
      <c r="V91">
        <v>1022.574585</v>
      </c>
      <c r="W91">
        <v>1077.076172</v>
      </c>
      <c r="X91">
        <v>1132.4677730000001</v>
      </c>
      <c r="Y91">
        <v>1197.6092530000001</v>
      </c>
      <c r="Z91">
        <v>1261.770264</v>
      </c>
      <c r="AA91">
        <v>1330.908447</v>
      </c>
      <c r="AB91">
        <v>1405.4311520000001</v>
      </c>
      <c r="AC91">
        <v>1483.5311280000001</v>
      </c>
      <c r="AD91">
        <v>1559.298462</v>
      </c>
      <c r="AE91">
        <v>1639.516357</v>
      </c>
      <c r="AF91">
        <v>1720.6674800000001</v>
      </c>
      <c r="AG91">
        <v>1808.1606449999999</v>
      </c>
      <c r="AH91">
        <v>1890.2470699999999</v>
      </c>
      <c r="AI91" s="21">
        <v>6.5000000000000002E-2</v>
      </c>
    </row>
    <row r="92" spans="1:35" x14ac:dyDescent="0.25">
      <c r="A92" t="s">
        <v>295</v>
      </c>
      <c r="B92" t="s">
        <v>1074</v>
      </c>
      <c r="C92" t="s">
        <v>1075</v>
      </c>
      <c r="D92" t="s">
        <v>310</v>
      </c>
      <c r="F92">
        <v>0.56120000000000003</v>
      </c>
      <c r="G92">
        <v>0.60339799999999999</v>
      </c>
      <c r="H92">
        <v>0.65863799999999995</v>
      </c>
      <c r="I92">
        <v>0.70472900000000005</v>
      </c>
      <c r="J92">
        <v>0.74776699999999996</v>
      </c>
      <c r="K92">
        <v>0.80074500000000004</v>
      </c>
      <c r="L92">
        <v>0.85385599999999995</v>
      </c>
      <c r="M92">
        <v>0.90659699999999999</v>
      </c>
      <c r="N92">
        <v>0.96025000000000005</v>
      </c>
      <c r="O92">
        <v>1.016923</v>
      </c>
      <c r="P92">
        <v>1.0715680000000001</v>
      </c>
      <c r="Q92">
        <v>1.1217349999999999</v>
      </c>
      <c r="R92">
        <v>1.122288</v>
      </c>
      <c r="S92">
        <v>1.12683</v>
      </c>
      <c r="T92">
        <v>1.126382</v>
      </c>
      <c r="U92">
        <v>1.1277759999999999</v>
      </c>
      <c r="V92">
        <v>1.128401</v>
      </c>
      <c r="W92">
        <v>1.1304860000000001</v>
      </c>
      <c r="X92">
        <v>1.1354500000000001</v>
      </c>
      <c r="Y92">
        <v>1.1436310000000001</v>
      </c>
      <c r="Z92">
        <v>1.1458250000000001</v>
      </c>
      <c r="AA92">
        <v>1.1542190000000001</v>
      </c>
      <c r="AB92">
        <v>1.16212</v>
      </c>
      <c r="AC92">
        <v>1.170447</v>
      </c>
      <c r="AD92">
        <v>1.177325</v>
      </c>
      <c r="AE92">
        <v>1.183087</v>
      </c>
      <c r="AF92">
        <v>1.1868639999999999</v>
      </c>
      <c r="AG92">
        <v>1.1939090000000001</v>
      </c>
      <c r="AH92">
        <v>1.1918690000000001</v>
      </c>
      <c r="AI92" s="21">
        <v>2.7E-2</v>
      </c>
    </row>
    <row r="93" spans="1:35" x14ac:dyDescent="0.25">
      <c r="A93" t="s">
        <v>201</v>
      </c>
      <c r="B93" t="s">
        <v>1076</v>
      </c>
      <c r="C93" t="s">
        <v>1077</v>
      </c>
      <c r="D93" t="s">
        <v>310</v>
      </c>
      <c r="F93">
        <v>321.30325299999998</v>
      </c>
      <c r="G93">
        <v>353.78179899999998</v>
      </c>
      <c r="H93">
        <v>397.91021699999999</v>
      </c>
      <c r="I93">
        <v>435.13119499999999</v>
      </c>
      <c r="J93">
        <v>471.48111</v>
      </c>
      <c r="K93">
        <v>510.578644</v>
      </c>
      <c r="L93">
        <v>549.02636700000005</v>
      </c>
      <c r="M93">
        <v>590.46460000000002</v>
      </c>
      <c r="N93">
        <v>635.96936000000005</v>
      </c>
      <c r="O93">
        <v>683.96881099999996</v>
      </c>
      <c r="P93">
        <v>734.37176499999998</v>
      </c>
      <c r="Q93">
        <v>783.05157499999996</v>
      </c>
      <c r="R93">
        <v>837.03643799999998</v>
      </c>
      <c r="S93">
        <v>884.14917000000003</v>
      </c>
      <c r="T93">
        <v>930.38549799999998</v>
      </c>
      <c r="U93">
        <v>975.69879200000003</v>
      </c>
      <c r="V93">
        <v>1023.703918</v>
      </c>
      <c r="W93">
        <v>1078.208374</v>
      </c>
      <c r="X93">
        <v>1133.606567</v>
      </c>
      <c r="Y93">
        <v>1198.759033</v>
      </c>
      <c r="Z93">
        <v>1262.924927</v>
      </c>
      <c r="AA93">
        <v>1332.0742190000001</v>
      </c>
      <c r="AB93">
        <v>1406.6076660000001</v>
      </c>
      <c r="AC93">
        <v>1484.71875</v>
      </c>
      <c r="AD93">
        <v>1560.49585</v>
      </c>
      <c r="AE93">
        <v>1640.722168</v>
      </c>
      <c r="AF93">
        <v>1721.8798830000001</v>
      </c>
      <c r="AG93">
        <v>1809.3829350000001</v>
      </c>
      <c r="AH93">
        <v>1891.4700929999999</v>
      </c>
      <c r="AI93" s="21">
        <v>6.5000000000000002E-2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732F1-1795-4BD1-B6BF-8C27C4F5084F}">
  <dimension ref="A1:AI81"/>
  <sheetViews>
    <sheetView topLeftCell="A46" workbookViewId="0">
      <selection activeCell="L33" sqref="L33"/>
    </sheetView>
  </sheetViews>
  <sheetFormatPr defaultRowHeight="15" x14ac:dyDescent="0.25"/>
  <cols>
    <col min="1" max="1" width="52.5703125" customWidth="1"/>
  </cols>
  <sheetData>
    <row r="1" spans="1:35" x14ac:dyDescent="0.25">
      <c r="A1" t="s">
        <v>314</v>
      </c>
    </row>
    <row r="2" spans="1:35" x14ac:dyDescent="0.25">
      <c r="A2" t="s">
        <v>1078</v>
      </c>
    </row>
    <row r="3" spans="1:35" x14ac:dyDescent="0.25">
      <c r="A3" t="s">
        <v>1079</v>
      </c>
    </row>
    <row r="4" spans="1:35" x14ac:dyDescent="0.25">
      <c r="A4" t="s">
        <v>178</v>
      </c>
    </row>
    <row r="5" spans="1:35" x14ac:dyDescent="0.25">
      <c r="B5" t="s">
        <v>179</v>
      </c>
      <c r="C5" t="s">
        <v>180</v>
      </c>
      <c r="D5" t="s">
        <v>181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943</v>
      </c>
    </row>
    <row r="6" spans="1:35" x14ac:dyDescent="0.25">
      <c r="A6" t="s">
        <v>5</v>
      </c>
    </row>
    <row r="7" spans="1:35" x14ac:dyDescent="0.25">
      <c r="A7" t="s">
        <v>318</v>
      </c>
    </row>
    <row r="8" spans="1:35" x14ac:dyDescent="0.25">
      <c r="A8" t="s">
        <v>320</v>
      </c>
      <c r="B8" t="s">
        <v>1080</v>
      </c>
      <c r="C8" t="s">
        <v>1081</v>
      </c>
      <c r="D8" t="s">
        <v>323</v>
      </c>
      <c r="F8">
        <v>0.645733</v>
      </c>
      <c r="G8">
        <v>0.62814400000000004</v>
      </c>
      <c r="H8">
        <v>0.62173999999999996</v>
      </c>
      <c r="I8">
        <v>0.62755099999999997</v>
      </c>
      <c r="J8">
        <v>0.631386</v>
      </c>
      <c r="K8">
        <v>0.63334100000000004</v>
      </c>
      <c r="L8">
        <v>0.63432900000000003</v>
      </c>
      <c r="M8">
        <v>0.63422800000000001</v>
      </c>
      <c r="N8">
        <v>0.63337600000000005</v>
      </c>
      <c r="O8">
        <v>0.63220399999999999</v>
      </c>
      <c r="P8">
        <v>0.63171200000000005</v>
      </c>
      <c r="Q8">
        <v>0.62978900000000004</v>
      </c>
      <c r="R8">
        <v>0.62738000000000005</v>
      </c>
      <c r="S8">
        <v>0.62486900000000001</v>
      </c>
      <c r="T8">
        <v>0.62241500000000005</v>
      </c>
      <c r="U8">
        <v>0.61970700000000001</v>
      </c>
      <c r="V8">
        <v>0.61643800000000004</v>
      </c>
      <c r="W8">
        <v>0.61326800000000004</v>
      </c>
      <c r="X8">
        <v>0.60988900000000001</v>
      </c>
      <c r="Y8">
        <v>0.60662000000000005</v>
      </c>
      <c r="Z8">
        <v>0.60349699999999995</v>
      </c>
      <c r="AA8">
        <v>0.60076499999999999</v>
      </c>
      <c r="AB8">
        <v>0.598298</v>
      </c>
      <c r="AC8">
        <v>0.59561600000000003</v>
      </c>
      <c r="AD8">
        <v>0.59232300000000004</v>
      </c>
      <c r="AE8">
        <v>0.58963699999999997</v>
      </c>
      <c r="AF8">
        <v>0.58739300000000005</v>
      </c>
      <c r="AG8">
        <v>0.58534200000000003</v>
      </c>
      <c r="AH8">
        <v>0.58316900000000005</v>
      </c>
      <c r="AI8" s="21">
        <v>-4.0000000000000001E-3</v>
      </c>
    </row>
    <row r="9" spans="1:35" x14ac:dyDescent="0.25">
      <c r="A9" t="s">
        <v>324</v>
      </c>
      <c r="B9" t="s">
        <v>1082</v>
      </c>
      <c r="C9" t="s">
        <v>1081</v>
      </c>
      <c r="D9" t="s">
        <v>323</v>
      </c>
      <c r="F9">
        <v>1.0231920000000001</v>
      </c>
      <c r="G9">
        <v>1.0038149999999999</v>
      </c>
      <c r="H9">
        <v>1.000211</v>
      </c>
      <c r="I9">
        <v>1.013541</v>
      </c>
      <c r="J9">
        <v>1.0245010000000001</v>
      </c>
      <c r="K9">
        <v>1.0329729999999999</v>
      </c>
      <c r="L9">
        <v>1.0403530000000001</v>
      </c>
      <c r="M9">
        <v>1.0459320000000001</v>
      </c>
      <c r="N9">
        <v>1.049982</v>
      </c>
      <c r="O9">
        <v>1.0530619999999999</v>
      </c>
      <c r="P9">
        <v>1.0573710000000001</v>
      </c>
      <c r="Q9">
        <v>1.0593030000000001</v>
      </c>
      <c r="R9">
        <v>1.0603720000000001</v>
      </c>
      <c r="S9">
        <v>1.0612349999999999</v>
      </c>
      <c r="T9">
        <v>1.06226</v>
      </c>
      <c r="U9">
        <v>1.062465</v>
      </c>
      <c r="V9">
        <v>1.0618570000000001</v>
      </c>
      <c r="W9">
        <v>1.061067</v>
      </c>
      <c r="X9">
        <v>1.0607390000000001</v>
      </c>
      <c r="Y9">
        <v>1.0605830000000001</v>
      </c>
      <c r="Z9">
        <v>1.0607500000000001</v>
      </c>
      <c r="AA9">
        <v>1.061631</v>
      </c>
      <c r="AB9">
        <v>1.062934</v>
      </c>
      <c r="AC9">
        <v>1.0641149999999999</v>
      </c>
      <c r="AD9">
        <v>1.065007</v>
      </c>
      <c r="AE9">
        <v>1.066551</v>
      </c>
      <c r="AF9">
        <v>1.0686199999999999</v>
      </c>
      <c r="AG9">
        <v>1.070613</v>
      </c>
      <c r="AH9">
        <v>1.0724549999999999</v>
      </c>
      <c r="AI9" s="21">
        <v>2E-3</v>
      </c>
    </row>
    <row r="10" spans="1:35" x14ac:dyDescent="0.25">
      <c r="A10" t="s">
        <v>327</v>
      </c>
      <c r="B10" t="s">
        <v>1083</v>
      </c>
      <c r="C10" t="s">
        <v>1081</v>
      </c>
      <c r="D10" t="s">
        <v>323</v>
      </c>
      <c r="F10">
        <v>0.376753</v>
      </c>
      <c r="G10">
        <v>0.37426500000000001</v>
      </c>
      <c r="H10">
        <v>0.37534200000000001</v>
      </c>
      <c r="I10">
        <v>0.37853599999999998</v>
      </c>
      <c r="J10">
        <v>0.38111899999999999</v>
      </c>
      <c r="K10">
        <v>0.38286399999999998</v>
      </c>
      <c r="L10">
        <v>0.38444099999999998</v>
      </c>
      <c r="M10">
        <v>0.38580300000000001</v>
      </c>
      <c r="N10">
        <v>0.386818</v>
      </c>
      <c r="O10">
        <v>0.38821099999999997</v>
      </c>
      <c r="P10">
        <v>0.38956299999999999</v>
      </c>
      <c r="Q10">
        <v>0.39030999999999999</v>
      </c>
      <c r="R10">
        <v>0.390741</v>
      </c>
      <c r="S10">
        <v>0.39105499999999999</v>
      </c>
      <c r="T10">
        <v>0.39120199999999999</v>
      </c>
      <c r="U10">
        <v>0.391069</v>
      </c>
      <c r="V10">
        <v>0.39058999999999999</v>
      </c>
      <c r="W10">
        <v>0.38994200000000001</v>
      </c>
      <c r="X10">
        <v>0.389324</v>
      </c>
      <c r="Y10">
        <v>0.38908599999999999</v>
      </c>
      <c r="Z10">
        <v>0.38891300000000001</v>
      </c>
      <c r="AA10">
        <v>0.38880100000000001</v>
      </c>
      <c r="AB10">
        <v>0.38876899999999998</v>
      </c>
      <c r="AC10">
        <v>0.38869799999999999</v>
      </c>
      <c r="AD10">
        <v>0.38839400000000002</v>
      </c>
      <c r="AE10">
        <v>0.38834099999999999</v>
      </c>
      <c r="AF10">
        <v>0.38847500000000001</v>
      </c>
      <c r="AG10">
        <v>0.38872600000000002</v>
      </c>
      <c r="AH10">
        <v>0.38897500000000002</v>
      </c>
      <c r="AI10" s="21">
        <v>1E-3</v>
      </c>
    </row>
    <row r="11" spans="1:35" x14ac:dyDescent="0.25">
      <c r="A11" t="s">
        <v>330</v>
      </c>
      <c r="B11" t="s">
        <v>1084</v>
      </c>
      <c r="C11" t="s">
        <v>1081</v>
      </c>
      <c r="D11" t="s">
        <v>323</v>
      </c>
      <c r="F11">
        <v>0.55955699999999997</v>
      </c>
      <c r="G11">
        <v>0.55140699999999998</v>
      </c>
      <c r="H11">
        <v>0.55741300000000005</v>
      </c>
      <c r="I11">
        <v>0.56562699999999999</v>
      </c>
      <c r="J11">
        <v>0.57210799999999995</v>
      </c>
      <c r="K11">
        <v>0.57667400000000002</v>
      </c>
      <c r="L11">
        <v>0.58048900000000003</v>
      </c>
      <c r="M11">
        <v>0.58359700000000003</v>
      </c>
      <c r="N11">
        <v>0.58585299999999996</v>
      </c>
      <c r="O11">
        <v>0.58840099999999995</v>
      </c>
      <c r="P11">
        <v>0.59074400000000005</v>
      </c>
      <c r="Q11">
        <v>0.59203700000000004</v>
      </c>
      <c r="R11">
        <v>0.59277400000000002</v>
      </c>
      <c r="S11">
        <v>0.59339799999999998</v>
      </c>
      <c r="T11">
        <v>0.59401899999999996</v>
      </c>
      <c r="U11">
        <v>0.594302</v>
      </c>
      <c r="V11">
        <v>0.593912</v>
      </c>
      <c r="W11">
        <v>0.59358100000000003</v>
      </c>
      <c r="X11">
        <v>0.59289000000000003</v>
      </c>
      <c r="Y11">
        <v>0.59255400000000003</v>
      </c>
      <c r="Z11">
        <v>0.592391</v>
      </c>
      <c r="AA11">
        <v>0.59260100000000004</v>
      </c>
      <c r="AB11">
        <v>0.59309699999999999</v>
      </c>
      <c r="AC11">
        <v>0.59340599999999999</v>
      </c>
      <c r="AD11">
        <v>0.59283600000000003</v>
      </c>
      <c r="AE11">
        <v>0.592862</v>
      </c>
      <c r="AF11">
        <v>0.593445</v>
      </c>
      <c r="AG11">
        <v>0.59427399999999997</v>
      </c>
      <c r="AH11">
        <v>0.59501099999999996</v>
      </c>
      <c r="AI11" s="21">
        <v>2E-3</v>
      </c>
    </row>
    <row r="12" spans="1:35" x14ac:dyDescent="0.25">
      <c r="A12" t="s">
        <v>333</v>
      </c>
      <c r="B12" t="s">
        <v>1085</v>
      </c>
      <c r="C12" t="s">
        <v>1081</v>
      </c>
      <c r="D12" t="s">
        <v>323</v>
      </c>
      <c r="F12">
        <v>0.53744599999999998</v>
      </c>
      <c r="G12">
        <v>0.52533700000000005</v>
      </c>
      <c r="H12">
        <v>0.52850900000000001</v>
      </c>
      <c r="I12">
        <v>0.53863499999999997</v>
      </c>
      <c r="J12">
        <v>0.54731300000000005</v>
      </c>
      <c r="K12">
        <v>0.55427300000000002</v>
      </c>
      <c r="L12">
        <v>0.56043900000000002</v>
      </c>
      <c r="M12">
        <v>0.56540999999999997</v>
      </c>
      <c r="N12">
        <v>0.56936299999999995</v>
      </c>
      <c r="O12">
        <v>0.573106</v>
      </c>
      <c r="P12">
        <v>0.57696400000000003</v>
      </c>
      <c r="Q12">
        <v>0.57978300000000005</v>
      </c>
      <c r="R12">
        <v>0.58215700000000004</v>
      </c>
      <c r="S12">
        <v>0.58446500000000001</v>
      </c>
      <c r="T12">
        <v>0.58692500000000003</v>
      </c>
      <c r="U12">
        <v>0.58907100000000001</v>
      </c>
      <c r="V12">
        <v>0.59061399999999997</v>
      </c>
      <c r="W12">
        <v>0.59224900000000003</v>
      </c>
      <c r="X12">
        <v>0.59392699999999998</v>
      </c>
      <c r="Y12">
        <v>0.59567400000000004</v>
      </c>
      <c r="Z12">
        <v>0.597665</v>
      </c>
      <c r="AA12">
        <v>0.60015499999999999</v>
      </c>
      <c r="AB12">
        <v>0.60308099999999998</v>
      </c>
      <c r="AC12">
        <v>0.60584499999999997</v>
      </c>
      <c r="AD12">
        <v>0.60811199999999999</v>
      </c>
      <c r="AE12">
        <v>0.61098399999999997</v>
      </c>
      <c r="AF12">
        <v>0.61440300000000003</v>
      </c>
      <c r="AG12">
        <v>0.61794300000000002</v>
      </c>
      <c r="AH12">
        <v>0.62136400000000003</v>
      </c>
      <c r="AI12" s="21">
        <v>5.0000000000000001E-3</v>
      </c>
    </row>
    <row r="13" spans="1:35" x14ac:dyDescent="0.25">
      <c r="A13" t="s">
        <v>336</v>
      </c>
      <c r="B13" t="s">
        <v>1086</v>
      </c>
      <c r="C13" t="s">
        <v>1081</v>
      </c>
      <c r="D13" t="s">
        <v>323</v>
      </c>
      <c r="F13">
        <v>0.59619900000000003</v>
      </c>
      <c r="G13">
        <v>0.58934500000000001</v>
      </c>
      <c r="H13">
        <v>0.59514699999999998</v>
      </c>
      <c r="I13">
        <v>0.60480699999999998</v>
      </c>
      <c r="J13">
        <v>0.61331100000000005</v>
      </c>
      <c r="K13">
        <v>0.62043400000000004</v>
      </c>
      <c r="L13">
        <v>0.62707100000000005</v>
      </c>
      <c r="M13">
        <v>0.633023</v>
      </c>
      <c r="N13">
        <v>0.63844000000000001</v>
      </c>
      <c r="O13">
        <v>0.643374</v>
      </c>
      <c r="P13">
        <v>0.64918100000000001</v>
      </c>
      <c r="Q13">
        <v>0.65363000000000004</v>
      </c>
      <c r="R13">
        <v>0.657586</v>
      </c>
      <c r="S13">
        <v>0.661524</v>
      </c>
      <c r="T13">
        <v>0.66544999999999999</v>
      </c>
      <c r="U13">
        <v>0.66901900000000003</v>
      </c>
      <c r="V13">
        <v>0.67191000000000001</v>
      </c>
      <c r="W13">
        <v>0.674736</v>
      </c>
      <c r="X13">
        <v>0.67733299999999996</v>
      </c>
      <c r="Y13">
        <v>0.67994200000000005</v>
      </c>
      <c r="Z13">
        <v>0.68261000000000005</v>
      </c>
      <c r="AA13">
        <v>0.68563399999999997</v>
      </c>
      <c r="AB13">
        <v>0.68898700000000002</v>
      </c>
      <c r="AC13">
        <v>0.69199600000000006</v>
      </c>
      <c r="AD13">
        <v>0.69410300000000003</v>
      </c>
      <c r="AE13">
        <v>0.69679599999999997</v>
      </c>
      <c r="AF13">
        <v>0.69999100000000003</v>
      </c>
      <c r="AG13">
        <v>0.70324600000000004</v>
      </c>
      <c r="AH13">
        <v>0.70608700000000002</v>
      </c>
      <c r="AI13" s="21">
        <v>6.0000000000000001E-3</v>
      </c>
    </row>
    <row r="14" spans="1:35" x14ac:dyDescent="0.25">
      <c r="A14" t="s">
        <v>339</v>
      </c>
      <c r="B14" t="s">
        <v>1087</v>
      </c>
      <c r="C14" t="s">
        <v>1081</v>
      </c>
      <c r="D14" t="s">
        <v>323</v>
      </c>
      <c r="F14">
        <v>0.90617099999999995</v>
      </c>
      <c r="G14">
        <v>0.89040200000000003</v>
      </c>
      <c r="H14">
        <v>0.88982899999999998</v>
      </c>
      <c r="I14">
        <v>0.89931099999999997</v>
      </c>
      <c r="J14">
        <v>0.90748499999999999</v>
      </c>
      <c r="K14">
        <v>0.913852</v>
      </c>
      <c r="L14">
        <v>0.919879</v>
      </c>
      <c r="M14">
        <v>0.92467299999999997</v>
      </c>
      <c r="N14">
        <v>0.92852100000000004</v>
      </c>
      <c r="O14">
        <v>0.93209900000000001</v>
      </c>
      <c r="P14">
        <v>0.93619399999999997</v>
      </c>
      <c r="Q14">
        <v>0.93894500000000003</v>
      </c>
      <c r="R14">
        <v>0.94142800000000004</v>
      </c>
      <c r="S14">
        <v>0.94411199999999995</v>
      </c>
      <c r="T14">
        <v>0.94733299999999998</v>
      </c>
      <c r="U14">
        <v>0.95020400000000005</v>
      </c>
      <c r="V14">
        <v>0.95267500000000005</v>
      </c>
      <c r="W14">
        <v>0.95522200000000002</v>
      </c>
      <c r="X14">
        <v>0.95876300000000003</v>
      </c>
      <c r="Y14">
        <v>0.96284599999999998</v>
      </c>
      <c r="Z14">
        <v>0.96771799999999997</v>
      </c>
      <c r="AA14">
        <v>0.97365000000000002</v>
      </c>
      <c r="AB14">
        <v>0.98055999999999999</v>
      </c>
      <c r="AC14">
        <v>0.98793299999999995</v>
      </c>
      <c r="AD14">
        <v>0.99587099999999995</v>
      </c>
      <c r="AE14">
        <v>1.0053019999999999</v>
      </c>
      <c r="AF14">
        <v>1.0160629999999999</v>
      </c>
      <c r="AG14">
        <v>1.0275970000000001</v>
      </c>
      <c r="AH14">
        <v>1.0397650000000001</v>
      </c>
      <c r="AI14" s="21">
        <v>5.0000000000000001E-3</v>
      </c>
    </row>
    <row r="15" spans="1:35" x14ac:dyDescent="0.25">
      <c r="A15" t="s">
        <v>342</v>
      </c>
      <c r="B15" t="s">
        <v>1088</v>
      </c>
      <c r="C15" t="s">
        <v>1081</v>
      </c>
      <c r="D15" t="s">
        <v>323</v>
      </c>
      <c r="F15">
        <v>0.62007699999999999</v>
      </c>
      <c r="G15">
        <v>0.60958199999999996</v>
      </c>
      <c r="H15">
        <v>0.60710900000000001</v>
      </c>
      <c r="I15">
        <v>0.61328400000000005</v>
      </c>
      <c r="J15">
        <v>0.61809899999999995</v>
      </c>
      <c r="K15">
        <v>0.62135600000000002</v>
      </c>
      <c r="L15">
        <v>0.62424500000000005</v>
      </c>
      <c r="M15">
        <v>0.62645600000000001</v>
      </c>
      <c r="N15">
        <v>0.62797000000000003</v>
      </c>
      <c r="O15">
        <v>0.62875499999999995</v>
      </c>
      <c r="P15">
        <v>0.63064799999999999</v>
      </c>
      <c r="Q15">
        <v>0.63105</v>
      </c>
      <c r="R15">
        <v>0.63102100000000005</v>
      </c>
      <c r="S15">
        <v>0.63095199999999996</v>
      </c>
      <c r="T15">
        <v>0.63098200000000004</v>
      </c>
      <c r="U15">
        <v>0.63059699999999996</v>
      </c>
      <c r="V15">
        <v>0.62973599999999996</v>
      </c>
      <c r="W15">
        <v>0.62883500000000003</v>
      </c>
      <c r="X15">
        <v>0.62801300000000004</v>
      </c>
      <c r="Y15">
        <v>0.62738799999999995</v>
      </c>
      <c r="Z15">
        <v>0.62697999999999998</v>
      </c>
      <c r="AA15">
        <v>0.62690000000000001</v>
      </c>
      <c r="AB15">
        <v>0.62692300000000001</v>
      </c>
      <c r="AC15">
        <v>0.62693399999999999</v>
      </c>
      <c r="AD15">
        <v>0.62678800000000001</v>
      </c>
      <c r="AE15">
        <v>0.62696600000000002</v>
      </c>
      <c r="AF15">
        <v>0.62746599999999997</v>
      </c>
      <c r="AG15">
        <v>0.62805</v>
      </c>
      <c r="AH15">
        <v>0.62860899999999997</v>
      </c>
      <c r="AI15" s="21">
        <v>0</v>
      </c>
    </row>
    <row r="16" spans="1:35" x14ac:dyDescent="0.25">
      <c r="A16" t="s">
        <v>345</v>
      </c>
      <c r="B16" t="s">
        <v>1089</v>
      </c>
      <c r="C16" t="s">
        <v>1081</v>
      </c>
      <c r="D16" t="s">
        <v>323</v>
      </c>
      <c r="F16">
        <v>1.411627</v>
      </c>
      <c r="G16">
        <v>1.386703</v>
      </c>
      <c r="H16">
        <v>1.3774420000000001</v>
      </c>
      <c r="I16">
        <v>1.392811</v>
      </c>
      <c r="J16">
        <v>1.4047019999999999</v>
      </c>
      <c r="K16">
        <v>1.4128970000000001</v>
      </c>
      <c r="L16">
        <v>1.419597</v>
      </c>
      <c r="M16">
        <v>1.4240170000000001</v>
      </c>
      <c r="N16">
        <v>1.425929</v>
      </c>
      <c r="O16">
        <v>1.427025</v>
      </c>
      <c r="P16">
        <v>1.4299759999999999</v>
      </c>
      <c r="Q16">
        <v>1.4296219999999999</v>
      </c>
      <c r="R16">
        <v>1.4281470000000001</v>
      </c>
      <c r="S16">
        <v>1.4264209999999999</v>
      </c>
      <c r="T16">
        <v>1.4246190000000001</v>
      </c>
      <c r="U16">
        <v>1.4216740000000001</v>
      </c>
      <c r="V16">
        <v>1.417378</v>
      </c>
      <c r="W16">
        <v>1.4128559999999999</v>
      </c>
      <c r="X16">
        <v>1.408803</v>
      </c>
      <c r="Y16">
        <v>1.405292</v>
      </c>
      <c r="Z16">
        <v>1.402139</v>
      </c>
      <c r="AA16">
        <v>1.3997820000000001</v>
      </c>
      <c r="AB16">
        <v>1.3980189999999999</v>
      </c>
      <c r="AC16">
        <v>1.3957740000000001</v>
      </c>
      <c r="AD16">
        <v>1.3922000000000001</v>
      </c>
      <c r="AE16">
        <v>1.389886</v>
      </c>
      <c r="AF16">
        <v>1.3885860000000001</v>
      </c>
      <c r="AG16">
        <v>1.387521</v>
      </c>
      <c r="AH16">
        <v>1.3861410000000001</v>
      </c>
      <c r="AI16" s="21">
        <v>-1E-3</v>
      </c>
    </row>
    <row r="17" spans="1:35" x14ac:dyDescent="0.25">
      <c r="A17" t="s">
        <v>348</v>
      </c>
      <c r="B17" t="s">
        <v>1090</v>
      </c>
      <c r="C17" t="s">
        <v>1081</v>
      </c>
      <c r="D17" t="s">
        <v>323</v>
      </c>
      <c r="F17">
        <v>0.45086399999999999</v>
      </c>
      <c r="G17">
        <v>0.45114500000000002</v>
      </c>
      <c r="H17">
        <v>0.45415499999999998</v>
      </c>
      <c r="I17">
        <v>0.46308899999999997</v>
      </c>
      <c r="J17">
        <v>0.471026</v>
      </c>
      <c r="K17">
        <v>0.47812900000000003</v>
      </c>
      <c r="L17">
        <v>0.48510199999999998</v>
      </c>
      <c r="M17">
        <v>0.49182199999999998</v>
      </c>
      <c r="N17">
        <v>0.49791200000000002</v>
      </c>
      <c r="O17">
        <v>0.50344999999999995</v>
      </c>
      <c r="P17">
        <v>0.51003699999999996</v>
      </c>
      <c r="Q17">
        <v>0.51535500000000001</v>
      </c>
      <c r="R17">
        <v>0.52031300000000003</v>
      </c>
      <c r="S17">
        <v>0.525204</v>
      </c>
      <c r="T17">
        <v>0.53007000000000004</v>
      </c>
      <c r="U17">
        <v>0.53457200000000005</v>
      </c>
      <c r="V17">
        <v>0.53851599999999999</v>
      </c>
      <c r="W17">
        <v>0.54243699999999995</v>
      </c>
      <c r="X17">
        <v>0.546601</v>
      </c>
      <c r="Y17">
        <v>0.55094699999999996</v>
      </c>
      <c r="Z17">
        <v>0.55539799999999995</v>
      </c>
      <c r="AA17">
        <v>0.56006</v>
      </c>
      <c r="AB17">
        <v>0.564801</v>
      </c>
      <c r="AC17">
        <v>0.56948699999999997</v>
      </c>
      <c r="AD17">
        <v>0.57391400000000004</v>
      </c>
      <c r="AE17">
        <v>0.57871099999999998</v>
      </c>
      <c r="AF17">
        <v>0.58371200000000001</v>
      </c>
      <c r="AG17">
        <v>0.58879000000000004</v>
      </c>
      <c r="AH17">
        <v>0.59386099999999997</v>
      </c>
      <c r="AI17" s="21">
        <v>0.01</v>
      </c>
    </row>
    <row r="18" spans="1:35" x14ac:dyDescent="0.25">
      <c r="A18" t="s">
        <v>351</v>
      </c>
      <c r="B18" t="s">
        <v>1091</v>
      </c>
      <c r="C18" t="s">
        <v>1081</v>
      </c>
      <c r="D18" t="s">
        <v>323</v>
      </c>
      <c r="F18">
        <v>0.40379300000000001</v>
      </c>
      <c r="G18">
        <v>0.40009600000000001</v>
      </c>
      <c r="H18">
        <v>0.395901</v>
      </c>
      <c r="I18">
        <v>0.40204699999999999</v>
      </c>
      <c r="J18">
        <v>0.40749299999999999</v>
      </c>
      <c r="K18">
        <v>0.41223900000000002</v>
      </c>
      <c r="L18">
        <v>0.41678999999999999</v>
      </c>
      <c r="M18">
        <v>0.420545</v>
      </c>
      <c r="N18">
        <v>0.423651</v>
      </c>
      <c r="O18">
        <v>0.42630800000000002</v>
      </c>
      <c r="P18">
        <v>0.42925799999999997</v>
      </c>
      <c r="Q18">
        <v>0.43141800000000002</v>
      </c>
      <c r="R18">
        <v>0.43324600000000002</v>
      </c>
      <c r="S18">
        <v>0.43494699999999997</v>
      </c>
      <c r="T18">
        <v>0.43662600000000001</v>
      </c>
      <c r="U18">
        <v>0.438</v>
      </c>
      <c r="V18">
        <v>0.43904300000000002</v>
      </c>
      <c r="W18">
        <v>0.43992900000000001</v>
      </c>
      <c r="X18">
        <v>0.441081</v>
      </c>
      <c r="Y18">
        <v>0.44220500000000001</v>
      </c>
      <c r="Z18">
        <v>0.443411</v>
      </c>
      <c r="AA18">
        <v>0.444822</v>
      </c>
      <c r="AB18">
        <v>0.44643899999999997</v>
      </c>
      <c r="AC18">
        <v>0.44800400000000001</v>
      </c>
      <c r="AD18">
        <v>0.44941599999999998</v>
      </c>
      <c r="AE18">
        <v>0.451156</v>
      </c>
      <c r="AF18">
        <v>0.45316099999999998</v>
      </c>
      <c r="AG18">
        <v>0.45519900000000002</v>
      </c>
      <c r="AH18">
        <v>0.45720300000000003</v>
      </c>
      <c r="AI18" s="21">
        <v>4.0000000000000001E-3</v>
      </c>
    </row>
    <row r="19" spans="1:35" x14ac:dyDescent="0.25">
      <c r="A19" t="s">
        <v>201</v>
      </c>
      <c r="B19" t="s">
        <v>1092</v>
      </c>
      <c r="C19" t="s">
        <v>1081</v>
      </c>
      <c r="D19" t="s">
        <v>323</v>
      </c>
      <c r="F19">
        <v>7.5314129999999997</v>
      </c>
      <c r="G19">
        <v>7.4102430000000004</v>
      </c>
      <c r="H19">
        <v>7.4028</v>
      </c>
      <c r="I19">
        <v>7.4992380000000001</v>
      </c>
      <c r="J19">
        <v>7.5785439999999999</v>
      </c>
      <c r="K19">
        <v>7.6390320000000003</v>
      </c>
      <c r="L19">
        <v>7.692736</v>
      </c>
      <c r="M19">
        <v>7.735506</v>
      </c>
      <c r="N19">
        <v>7.7678140000000004</v>
      </c>
      <c r="O19">
        <v>7.7959949999999996</v>
      </c>
      <c r="P19">
        <v>7.8316480000000004</v>
      </c>
      <c r="Q19">
        <v>7.8512409999999999</v>
      </c>
      <c r="R19">
        <v>7.8651629999999999</v>
      </c>
      <c r="S19">
        <v>7.8781809999999997</v>
      </c>
      <c r="T19">
        <v>7.8918990000000004</v>
      </c>
      <c r="U19">
        <v>7.9006809999999996</v>
      </c>
      <c r="V19">
        <v>7.9026690000000004</v>
      </c>
      <c r="W19">
        <v>7.904121</v>
      </c>
      <c r="X19">
        <v>7.907362</v>
      </c>
      <c r="Y19">
        <v>7.9131359999999997</v>
      </c>
      <c r="Z19">
        <v>7.9214700000000002</v>
      </c>
      <c r="AA19">
        <v>7.9348010000000002</v>
      </c>
      <c r="AB19">
        <v>7.9519070000000003</v>
      </c>
      <c r="AC19">
        <v>7.9678100000000001</v>
      </c>
      <c r="AD19">
        <v>7.9789649999999996</v>
      </c>
      <c r="AE19">
        <v>7.9971930000000002</v>
      </c>
      <c r="AF19">
        <v>8.0213149999999995</v>
      </c>
      <c r="AG19">
        <v>8.0473009999999991</v>
      </c>
      <c r="AH19">
        <v>8.0726399999999998</v>
      </c>
      <c r="AI19" s="21">
        <v>2E-3</v>
      </c>
    </row>
    <row r="20" spans="1:35" x14ac:dyDescent="0.25">
      <c r="A20" t="s">
        <v>6</v>
      </c>
    </row>
    <row r="21" spans="1:35" x14ac:dyDescent="0.25">
      <c r="A21" t="s">
        <v>357</v>
      </c>
    </row>
    <row r="22" spans="1:35" x14ac:dyDescent="0.25">
      <c r="A22" t="s">
        <v>320</v>
      </c>
      <c r="B22" t="s">
        <v>1093</v>
      </c>
      <c r="C22" t="s">
        <v>1094</v>
      </c>
      <c r="D22" t="s">
        <v>361</v>
      </c>
      <c r="F22">
        <v>10.400917</v>
      </c>
      <c r="G22">
        <v>10.436387</v>
      </c>
      <c r="H22">
        <v>10.496305</v>
      </c>
      <c r="I22">
        <v>10.57352</v>
      </c>
      <c r="J22">
        <v>10.640577</v>
      </c>
      <c r="K22">
        <v>10.701997</v>
      </c>
      <c r="L22">
        <v>10.772717</v>
      </c>
      <c r="M22">
        <v>10.853343000000001</v>
      </c>
      <c r="N22">
        <v>10.941223000000001</v>
      </c>
      <c r="O22">
        <v>11.033052</v>
      </c>
      <c r="P22">
        <v>11.121057</v>
      </c>
      <c r="Q22">
        <v>11.200279999999999</v>
      </c>
      <c r="R22">
        <v>11.270811999999999</v>
      </c>
      <c r="S22">
        <v>11.332419</v>
      </c>
      <c r="T22">
        <v>11.385809999999999</v>
      </c>
      <c r="U22">
        <v>11.432501999999999</v>
      </c>
      <c r="V22">
        <v>11.472918999999999</v>
      </c>
      <c r="W22">
        <v>11.507771</v>
      </c>
      <c r="X22">
        <v>11.538271999999999</v>
      </c>
      <c r="Y22">
        <v>11.565514</v>
      </c>
      <c r="Z22">
        <v>11.590730000000001</v>
      </c>
      <c r="AA22">
        <v>11.615142000000001</v>
      </c>
      <c r="AB22">
        <v>11.639624</v>
      </c>
      <c r="AC22">
        <v>11.664806</v>
      </c>
      <c r="AD22">
        <v>11.691126000000001</v>
      </c>
      <c r="AE22">
        <v>11.718759</v>
      </c>
      <c r="AF22">
        <v>11.747728</v>
      </c>
      <c r="AG22">
        <v>11.777931000000001</v>
      </c>
      <c r="AH22">
        <v>11.809134999999999</v>
      </c>
      <c r="AI22" s="21">
        <v>5.0000000000000001E-3</v>
      </c>
    </row>
    <row r="23" spans="1:35" x14ac:dyDescent="0.25">
      <c r="A23" t="s">
        <v>324</v>
      </c>
      <c r="B23" t="s">
        <v>1095</v>
      </c>
      <c r="C23" t="s">
        <v>1096</v>
      </c>
      <c r="D23" t="s">
        <v>361</v>
      </c>
      <c r="F23">
        <v>13.515454</v>
      </c>
      <c r="G23">
        <v>13.643662000000001</v>
      </c>
      <c r="H23">
        <v>13.780690999999999</v>
      </c>
      <c r="I23">
        <v>13.941533</v>
      </c>
      <c r="J23">
        <v>14.090282</v>
      </c>
      <c r="K23">
        <v>14.232786000000001</v>
      </c>
      <c r="L23">
        <v>14.388821999999999</v>
      </c>
      <c r="M23">
        <v>14.559372</v>
      </c>
      <c r="N23">
        <v>14.741059999999999</v>
      </c>
      <c r="O23">
        <v>14.929582</v>
      </c>
      <c r="P23">
        <v>15.114496000000001</v>
      </c>
      <c r="Q23">
        <v>15.289021</v>
      </c>
      <c r="R23">
        <v>15.453143000000001</v>
      </c>
      <c r="S23">
        <v>15.606401999999999</v>
      </c>
      <c r="T23">
        <v>15.749625</v>
      </c>
      <c r="U23">
        <v>15.884776</v>
      </c>
      <c r="V23">
        <v>16.012333000000002</v>
      </c>
      <c r="W23">
        <v>16.133185999999998</v>
      </c>
      <c r="X23">
        <v>16.248940000000001</v>
      </c>
      <c r="Y23">
        <v>16.361060999999999</v>
      </c>
      <c r="Z23">
        <v>16.471249</v>
      </c>
      <c r="AA23">
        <v>16.581206999999999</v>
      </c>
      <c r="AB23">
        <v>16.692177000000001</v>
      </c>
      <c r="AC23">
        <v>16.80508</v>
      </c>
      <c r="AD23">
        <v>16.920566999999998</v>
      </c>
      <c r="AE23">
        <v>17.038923</v>
      </c>
      <c r="AF23">
        <v>17.160229000000001</v>
      </c>
      <c r="AG23">
        <v>17.284369999999999</v>
      </c>
      <c r="AH23">
        <v>17.411037</v>
      </c>
      <c r="AI23" s="21">
        <v>8.9999999999999993E-3</v>
      </c>
    </row>
    <row r="24" spans="1:35" x14ac:dyDescent="0.25">
      <c r="A24" t="s">
        <v>327</v>
      </c>
      <c r="B24" t="s">
        <v>1097</v>
      </c>
      <c r="C24" t="s">
        <v>1098</v>
      </c>
      <c r="D24" t="s">
        <v>361</v>
      </c>
      <c r="F24">
        <v>1.2914620000000001</v>
      </c>
      <c r="G24">
        <v>1.296816</v>
      </c>
      <c r="H24">
        <v>1.305836</v>
      </c>
      <c r="I24">
        <v>1.3170390000000001</v>
      </c>
      <c r="J24">
        <v>1.32701</v>
      </c>
      <c r="K24">
        <v>1.3363119999999999</v>
      </c>
      <c r="L24">
        <v>1.3468059999999999</v>
      </c>
      <c r="M24">
        <v>1.358573</v>
      </c>
      <c r="N24">
        <v>1.371286</v>
      </c>
      <c r="O24">
        <v>1.3845350000000001</v>
      </c>
      <c r="P24">
        <v>1.397346</v>
      </c>
      <c r="Q24">
        <v>1.409095</v>
      </c>
      <c r="R24">
        <v>1.419791</v>
      </c>
      <c r="S24">
        <v>1.4293979999999999</v>
      </c>
      <c r="T24">
        <v>1.4380040000000001</v>
      </c>
      <c r="U24">
        <v>1.4457960000000001</v>
      </c>
      <c r="V24">
        <v>1.452825</v>
      </c>
      <c r="W24">
        <v>1.4591780000000001</v>
      </c>
      <c r="X24">
        <v>1.465006</v>
      </c>
      <c r="Y24">
        <v>1.470445</v>
      </c>
      <c r="Z24">
        <v>1.4756530000000001</v>
      </c>
      <c r="AA24">
        <v>1.480783</v>
      </c>
      <c r="AB24">
        <v>1.485946</v>
      </c>
      <c r="AC24">
        <v>1.491223</v>
      </c>
      <c r="AD24">
        <v>1.496672</v>
      </c>
      <c r="AE24">
        <v>1.5023139999999999</v>
      </c>
      <c r="AF24">
        <v>1.5081549999999999</v>
      </c>
      <c r="AG24">
        <v>1.5141830000000001</v>
      </c>
      <c r="AH24">
        <v>1.520367</v>
      </c>
      <c r="AI24" s="21">
        <v>6.0000000000000001E-3</v>
      </c>
    </row>
    <row r="25" spans="1:35" x14ac:dyDescent="0.25">
      <c r="A25" t="s">
        <v>330</v>
      </c>
      <c r="B25" t="s">
        <v>1099</v>
      </c>
      <c r="C25" t="s">
        <v>1100</v>
      </c>
      <c r="D25" t="s">
        <v>361</v>
      </c>
      <c r="F25">
        <v>1.8883460000000001</v>
      </c>
      <c r="G25">
        <v>1.8964529999999999</v>
      </c>
      <c r="H25">
        <v>1.9096249999999999</v>
      </c>
      <c r="I25">
        <v>1.9259869999999999</v>
      </c>
      <c r="J25">
        <v>1.9405490000000001</v>
      </c>
      <c r="K25">
        <v>1.9541310000000001</v>
      </c>
      <c r="L25">
        <v>1.9694560000000001</v>
      </c>
      <c r="M25">
        <v>1.9866429999999999</v>
      </c>
      <c r="N25">
        <v>2.0052120000000002</v>
      </c>
      <c r="O25">
        <v>2.0245639999999998</v>
      </c>
      <c r="P25">
        <v>2.0432760000000001</v>
      </c>
      <c r="Q25">
        <v>2.0604339999999999</v>
      </c>
      <c r="R25">
        <v>2.07605</v>
      </c>
      <c r="S25">
        <v>2.0900759999999998</v>
      </c>
      <c r="T25">
        <v>2.1026370000000001</v>
      </c>
      <c r="U25">
        <v>2.114007</v>
      </c>
      <c r="V25">
        <v>2.1242610000000002</v>
      </c>
      <c r="W25">
        <v>2.1335259999999998</v>
      </c>
      <c r="X25">
        <v>2.142023</v>
      </c>
      <c r="Y25">
        <v>2.149953</v>
      </c>
      <c r="Z25">
        <v>2.1575419999999998</v>
      </c>
      <c r="AA25">
        <v>2.1650179999999999</v>
      </c>
      <c r="AB25">
        <v>2.172542</v>
      </c>
      <c r="AC25">
        <v>2.1802329999999999</v>
      </c>
      <c r="AD25">
        <v>2.1881729999999999</v>
      </c>
      <c r="AE25">
        <v>2.1963979999999999</v>
      </c>
      <c r="AF25">
        <v>2.2049110000000001</v>
      </c>
      <c r="AG25">
        <v>2.2136969999999998</v>
      </c>
      <c r="AH25">
        <v>2.2227130000000002</v>
      </c>
      <c r="AI25" s="21">
        <v>6.0000000000000001E-3</v>
      </c>
    </row>
    <row r="26" spans="1:35" x14ac:dyDescent="0.25">
      <c r="A26" t="s">
        <v>333</v>
      </c>
      <c r="B26" t="s">
        <v>1101</v>
      </c>
      <c r="C26" t="s">
        <v>1102</v>
      </c>
      <c r="D26" t="s">
        <v>361</v>
      </c>
      <c r="F26">
        <v>2.7018550000000001</v>
      </c>
      <c r="G26">
        <v>2.7332130000000001</v>
      </c>
      <c r="H26">
        <v>2.7693189999999999</v>
      </c>
      <c r="I26">
        <v>2.8103699999999998</v>
      </c>
      <c r="J26">
        <v>2.8491740000000001</v>
      </c>
      <c r="K26">
        <v>2.886892</v>
      </c>
      <c r="L26">
        <v>2.9275220000000002</v>
      </c>
      <c r="M26">
        <v>2.9712890000000001</v>
      </c>
      <c r="N26">
        <v>3.017531</v>
      </c>
      <c r="O26">
        <v>3.0653860000000002</v>
      </c>
      <c r="P26">
        <v>3.1127229999999999</v>
      </c>
      <c r="Q26">
        <v>3.1581399999999999</v>
      </c>
      <c r="R26">
        <v>3.2016119999999999</v>
      </c>
      <c r="S26">
        <v>3.2430249999999998</v>
      </c>
      <c r="T26">
        <v>3.2825319999999998</v>
      </c>
      <c r="U26">
        <v>3.3205209999999998</v>
      </c>
      <c r="V26">
        <v>3.357078</v>
      </c>
      <c r="W26">
        <v>3.3923760000000001</v>
      </c>
      <c r="X26">
        <v>3.4267379999999998</v>
      </c>
      <c r="Y26">
        <v>3.460464</v>
      </c>
      <c r="Z26">
        <v>3.4939070000000001</v>
      </c>
      <c r="AA26">
        <v>3.527425</v>
      </c>
      <c r="AB26">
        <v>3.5612810000000001</v>
      </c>
      <c r="AC26">
        <v>3.5956730000000001</v>
      </c>
      <c r="AD26">
        <v>3.630744</v>
      </c>
      <c r="AE26">
        <v>3.66656</v>
      </c>
      <c r="AF26">
        <v>3.7031399999999999</v>
      </c>
      <c r="AG26">
        <v>3.740469</v>
      </c>
      <c r="AH26">
        <v>3.778483</v>
      </c>
      <c r="AI26" s="21">
        <v>1.2E-2</v>
      </c>
    </row>
    <row r="27" spans="1:35" x14ac:dyDescent="0.25">
      <c r="A27" t="s">
        <v>336</v>
      </c>
      <c r="B27" t="s">
        <v>1103</v>
      </c>
      <c r="C27" t="s">
        <v>1104</v>
      </c>
      <c r="D27" t="s">
        <v>361</v>
      </c>
      <c r="F27">
        <v>6.6874169999999999</v>
      </c>
      <c r="G27">
        <v>6.7613000000000003</v>
      </c>
      <c r="H27">
        <v>6.8514350000000004</v>
      </c>
      <c r="I27">
        <v>6.9538039999999999</v>
      </c>
      <c r="J27">
        <v>7.0506169999999999</v>
      </c>
      <c r="K27">
        <v>7.1447450000000003</v>
      </c>
      <c r="L27">
        <v>7.2460839999999997</v>
      </c>
      <c r="M27">
        <v>7.3551900000000003</v>
      </c>
      <c r="N27">
        <v>7.4704259999999998</v>
      </c>
      <c r="O27">
        <v>7.5896619999999997</v>
      </c>
      <c r="P27">
        <v>7.7076209999999996</v>
      </c>
      <c r="Q27">
        <v>7.8208279999999997</v>
      </c>
      <c r="R27">
        <v>7.9292259999999999</v>
      </c>
      <c r="S27">
        <v>8.0325249999999997</v>
      </c>
      <c r="T27">
        <v>8.1311040000000006</v>
      </c>
      <c r="U27">
        <v>8.2259239999999991</v>
      </c>
      <c r="V27">
        <v>8.3171920000000004</v>
      </c>
      <c r="W27">
        <v>8.4053380000000004</v>
      </c>
      <c r="X27">
        <v>8.4911659999999998</v>
      </c>
      <c r="Y27">
        <v>8.5754149999999996</v>
      </c>
      <c r="Z27">
        <v>8.6589569999999991</v>
      </c>
      <c r="AA27">
        <v>8.7426809999999993</v>
      </c>
      <c r="AB27">
        <v>8.8272379999999995</v>
      </c>
      <c r="AC27">
        <v>8.9131199999999993</v>
      </c>
      <c r="AD27">
        <v>9.0006789999999999</v>
      </c>
      <c r="AE27">
        <v>9.0900820000000007</v>
      </c>
      <c r="AF27">
        <v>9.1813789999999997</v>
      </c>
      <c r="AG27">
        <v>9.2745259999999998</v>
      </c>
      <c r="AH27">
        <v>9.3693679999999997</v>
      </c>
      <c r="AI27" s="21">
        <v>1.2E-2</v>
      </c>
    </row>
    <row r="28" spans="1:35" x14ac:dyDescent="0.25">
      <c r="A28" t="s">
        <v>339</v>
      </c>
      <c r="B28" t="s">
        <v>1105</v>
      </c>
      <c r="C28" t="s">
        <v>1106</v>
      </c>
      <c r="D28" t="s">
        <v>361</v>
      </c>
      <c r="F28">
        <v>9.6037389999999991</v>
      </c>
      <c r="G28">
        <v>9.6598450000000007</v>
      </c>
      <c r="H28">
        <v>9.7272700000000007</v>
      </c>
      <c r="I28">
        <v>9.8109219999999997</v>
      </c>
      <c r="J28">
        <v>9.885389</v>
      </c>
      <c r="K28">
        <v>9.9548439999999996</v>
      </c>
      <c r="L28">
        <v>10.033158</v>
      </c>
      <c r="M28">
        <v>10.120936</v>
      </c>
      <c r="N28">
        <v>10.215735</v>
      </c>
      <c r="O28">
        <v>10.314505</v>
      </c>
      <c r="P28">
        <v>10.409986</v>
      </c>
      <c r="Q28">
        <v>10.497533000000001</v>
      </c>
      <c r="R28">
        <v>10.577204</v>
      </c>
      <c r="S28">
        <v>10.648745</v>
      </c>
      <c r="T28">
        <v>10.712796000000001</v>
      </c>
      <c r="U28">
        <v>10.770758000000001</v>
      </c>
      <c r="V28">
        <v>10.823005999999999</v>
      </c>
      <c r="W28">
        <v>10.870186</v>
      </c>
      <c r="X28">
        <v>10.913432999999999</v>
      </c>
      <c r="Y28">
        <v>10.953754999999999</v>
      </c>
      <c r="Z28">
        <v>10.992319999999999</v>
      </c>
      <c r="AA28">
        <v>11.030277</v>
      </c>
      <c r="AB28">
        <v>11.068451</v>
      </c>
      <c r="AC28">
        <v>11.107449000000001</v>
      </c>
      <c r="AD28">
        <v>11.147686</v>
      </c>
      <c r="AE28">
        <v>11.189342</v>
      </c>
      <c r="AF28">
        <v>11.232442000000001</v>
      </c>
      <c r="AG28">
        <v>11.276896000000001</v>
      </c>
      <c r="AH28">
        <v>11.322490999999999</v>
      </c>
      <c r="AI28" s="21">
        <v>6.0000000000000001E-3</v>
      </c>
    </row>
    <row r="29" spans="1:35" x14ac:dyDescent="0.25">
      <c r="A29" t="s">
        <v>342</v>
      </c>
      <c r="B29" t="s">
        <v>1107</v>
      </c>
      <c r="C29" t="s">
        <v>1108</v>
      </c>
      <c r="D29" t="s">
        <v>361</v>
      </c>
      <c r="F29">
        <v>9.1346969999999992</v>
      </c>
      <c r="G29">
        <v>9.1966210000000004</v>
      </c>
      <c r="H29">
        <v>9.2712800000000009</v>
      </c>
      <c r="I29">
        <v>9.3615779999999997</v>
      </c>
      <c r="J29">
        <v>9.4433159999999994</v>
      </c>
      <c r="K29">
        <v>9.5204500000000003</v>
      </c>
      <c r="L29">
        <v>9.6062360000000009</v>
      </c>
      <c r="M29">
        <v>9.7012800000000006</v>
      </c>
      <c r="N29">
        <v>9.803274</v>
      </c>
      <c r="O29">
        <v>9.9093110000000006</v>
      </c>
      <c r="P29">
        <v>10.012435999999999</v>
      </c>
      <c r="Q29">
        <v>10.108167999999999</v>
      </c>
      <c r="R29">
        <v>10.196538</v>
      </c>
      <c r="S29">
        <v>10.277281</v>
      </c>
      <c r="T29">
        <v>10.350986000000001</v>
      </c>
      <c r="U29">
        <v>10.418979</v>
      </c>
      <c r="V29">
        <v>10.481609000000001</v>
      </c>
      <c r="W29">
        <v>10.539486</v>
      </c>
      <c r="X29">
        <v>10.593686</v>
      </c>
      <c r="Y29">
        <v>10.645185</v>
      </c>
      <c r="Z29">
        <v>10.6951</v>
      </c>
      <c r="AA29">
        <v>10.744548999999999</v>
      </c>
      <c r="AB29">
        <v>10.794333999999999</v>
      </c>
      <c r="AC29">
        <v>10.845050000000001</v>
      </c>
      <c r="AD29">
        <v>10.897103</v>
      </c>
      <c r="AE29">
        <v>10.950673999999999</v>
      </c>
      <c r="AF29">
        <v>11.005796</v>
      </c>
      <c r="AG29">
        <v>11.062386</v>
      </c>
      <c r="AH29">
        <v>11.120239</v>
      </c>
      <c r="AI29" s="21">
        <v>7.0000000000000001E-3</v>
      </c>
    </row>
    <row r="30" spans="1:35" x14ac:dyDescent="0.25">
      <c r="A30" t="s">
        <v>345</v>
      </c>
      <c r="B30" t="s">
        <v>1109</v>
      </c>
      <c r="C30" t="s">
        <v>1110</v>
      </c>
      <c r="D30" t="s">
        <v>361</v>
      </c>
      <c r="F30">
        <v>17.156851</v>
      </c>
      <c r="G30">
        <v>17.261364</v>
      </c>
      <c r="H30">
        <v>17.402252000000001</v>
      </c>
      <c r="I30">
        <v>17.572482999999998</v>
      </c>
      <c r="J30">
        <v>17.726637</v>
      </c>
      <c r="K30">
        <v>17.872143000000001</v>
      </c>
      <c r="L30">
        <v>18.033881999999998</v>
      </c>
      <c r="M30">
        <v>18.212990000000001</v>
      </c>
      <c r="N30">
        <v>18.405138000000001</v>
      </c>
      <c r="O30">
        <v>18.604869999999998</v>
      </c>
      <c r="P30">
        <v>18.799126000000001</v>
      </c>
      <c r="Q30">
        <v>18.979485</v>
      </c>
      <c r="R30">
        <v>19.146017000000001</v>
      </c>
      <c r="S30">
        <v>19.298210000000001</v>
      </c>
      <c r="T30">
        <v>19.437168</v>
      </c>
      <c r="U30">
        <v>19.565394999999999</v>
      </c>
      <c r="V30">
        <v>19.683524999999999</v>
      </c>
      <c r="W30">
        <v>19.792712999999999</v>
      </c>
      <c r="X30">
        <v>19.894976</v>
      </c>
      <c r="Y30">
        <v>19.992142000000001</v>
      </c>
      <c r="Z30">
        <v>20.086314999999999</v>
      </c>
      <c r="AA30">
        <v>20.179587999999999</v>
      </c>
      <c r="AB30">
        <v>20.273474</v>
      </c>
      <c r="AC30">
        <v>20.36908</v>
      </c>
      <c r="AD30">
        <v>20.467175999999998</v>
      </c>
      <c r="AE30">
        <v>20.568097999999999</v>
      </c>
      <c r="AF30">
        <v>20.671907000000001</v>
      </c>
      <c r="AG30">
        <v>20.778452000000001</v>
      </c>
      <c r="AH30">
        <v>20.887339000000001</v>
      </c>
      <c r="AI30" s="21">
        <v>7.0000000000000001E-3</v>
      </c>
    </row>
    <row r="31" spans="1:35" x14ac:dyDescent="0.25">
      <c r="A31" t="s">
        <v>348</v>
      </c>
      <c r="B31" t="s">
        <v>1111</v>
      </c>
      <c r="C31" t="s">
        <v>1112</v>
      </c>
      <c r="D31" t="s">
        <v>361</v>
      </c>
      <c r="F31">
        <v>15.59821</v>
      </c>
      <c r="G31">
        <v>15.909663</v>
      </c>
      <c r="H31">
        <v>16.170262999999998</v>
      </c>
      <c r="I31">
        <v>16.460664999999999</v>
      </c>
      <c r="J31">
        <v>16.739001999999999</v>
      </c>
      <c r="K31">
        <v>17.011980000000001</v>
      </c>
      <c r="L31">
        <v>17.303083000000001</v>
      </c>
      <c r="M31">
        <v>17.613776999999999</v>
      </c>
      <c r="N31">
        <v>17.940296</v>
      </c>
      <c r="O31">
        <v>18.277628</v>
      </c>
      <c r="P31">
        <v>18.613136000000001</v>
      </c>
      <c r="Q31">
        <v>18.938386999999999</v>
      </c>
      <c r="R31">
        <v>19.253145</v>
      </c>
      <c r="S31">
        <v>19.556597</v>
      </c>
      <c r="T31">
        <v>19.849546</v>
      </c>
      <c r="U31">
        <v>20.134249000000001</v>
      </c>
      <c r="V31">
        <v>20.411131000000001</v>
      </c>
      <c r="W31">
        <v>20.681159999999998</v>
      </c>
      <c r="X31">
        <v>20.946251</v>
      </c>
      <c r="Y31">
        <v>21.208176000000002</v>
      </c>
      <c r="Z31">
        <v>21.469056999999999</v>
      </c>
      <c r="AA31">
        <v>21.731072999999999</v>
      </c>
      <c r="AB31">
        <v>21.995847999999999</v>
      </c>
      <c r="AC31">
        <v>22.264605</v>
      </c>
      <c r="AD31">
        <v>22.538246000000001</v>
      </c>
      <c r="AE31">
        <v>22.817212999999999</v>
      </c>
      <c r="AF31">
        <v>23.101664</v>
      </c>
      <c r="AG31">
        <v>23.391500000000001</v>
      </c>
      <c r="AH31">
        <v>23.686375000000002</v>
      </c>
      <c r="AI31" s="21">
        <v>1.4999999999999999E-2</v>
      </c>
    </row>
    <row r="32" spans="1:35" x14ac:dyDescent="0.25">
      <c r="A32" t="s">
        <v>351</v>
      </c>
      <c r="B32" t="s">
        <v>1113</v>
      </c>
      <c r="C32" t="s">
        <v>1114</v>
      </c>
      <c r="D32" t="s">
        <v>361</v>
      </c>
      <c r="F32">
        <v>7.492591</v>
      </c>
      <c r="G32">
        <v>7.5801299999999996</v>
      </c>
      <c r="H32">
        <v>7.6722739999999998</v>
      </c>
      <c r="I32">
        <v>7.7779699999999998</v>
      </c>
      <c r="J32">
        <v>7.8772729999999997</v>
      </c>
      <c r="K32">
        <v>7.9734119999999997</v>
      </c>
      <c r="L32">
        <v>8.0774399999999993</v>
      </c>
      <c r="M32">
        <v>8.189959</v>
      </c>
      <c r="N32">
        <v>8.3091159999999995</v>
      </c>
      <c r="O32">
        <v>8.4325209999999995</v>
      </c>
      <c r="P32">
        <v>8.5543019999999999</v>
      </c>
      <c r="Q32">
        <v>8.6706079999999996</v>
      </c>
      <c r="R32">
        <v>8.7813949999999998</v>
      </c>
      <c r="S32">
        <v>8.8863629999999993</v>
      </c>
      <c r="T32">
        <v>8.9859460000000002</v>
      </c>
      <c r="U32">
        <v>9.0812299999999997</v>
      </c>
      <c r="V32">
        <v>9.1724619999999994</v>
      </c>
      <c r="W32">
        <v>9.2601209999999998</v>
      </c>
      <c r="X32">
        <v>9.3451079999999997</v>
      </c>
      <c r="Y32">
        <v>9.4282470000000007</v>
      </c>
      <c r="Z32">
        <v>9.5105059999999995</v>
      </c>
      <c r="AA32">
        <v>9.5928590000000007</v>
      </c>
      <c r="AB32">
        <v>9.6760269999999995</v>
      </c>
      <c r="AC32">
        <v>9.7605419999999992</v>
      </c>
      <c r="AD32">
        <v>9.8467900000000004</v>
      </c>
      <c r="AE32">
        <v>9.9349509999999999</v>
      </c>
      <c r="AF32">
        <v>10.025074</v>
      </c>
      <c r="AG32">
        <v>10.117101999999999</v>
      </c>
      <c r="AH32">
        <v>10.210867</v>
      </c>
      <c r="AI32" s="21">
        <v>1.0999999999999999E-2</v>
      </c>
    </row>
    <row r="33" spans="1:35" x14ac:dyDescent="0.25">
      <c r="A33" t="s">
        <v>201</v>
      </c>
      <c r="B33" t="s">
        <v>1115</v>
      </c>
      <c r="C33" t="s">
        <v>1116</v>
      </c>
      <c r="D33" t="s">
        <v>361</v>
      </c>
      <c r="F33">
        <v>95.471541999999999</v>
      </c>
      <c r="G33">
        <v>96.375450000000001</v>
      </c>
      <c r="H33">
        <v>97.356551999999994</v>
      </c>
      <c r="I33">
        <v>98.505859000000001</v>
      </c>
      <c r="J33">
        <v>99.569823999999997</v>
      </c>
      <c r="K33">
        <v>100.589691</v>
      </c>
      <c r="L33">
        <v>101.7052</v>
      </c>
      <c r="M33">
        <v>102.92334700000001</v>
      </c>
      <c r="N33">
        <v>104.220291</v>
      </c>
      <c r="O33">
        <v>105.565613</v>
      </c>
      <c r="P33">
        <v>106.885513</v>
      </c>
      <c r="Q33">
        <v>108.131973</v>
      </c>
      <c r="R33">
        <v>109.304924</v>
      </c>
      <c r="S33">
        <v>110.401039</v>
      </c>
      <c r="T33">
        <v>111.42615499999999</v>
      </c>
      <c r="U33">
        <v>112.394142</v>
      </c>
      <c r="V33">
        <v>113.308342</v>
      </c>
      <c r="W33">
        <v>114.175034</v>
      </c>
      <c r="X33">
        <v>115.0056</v>
      </c>
      <c r="Y33">
        <v>115.810349</v>
      </c>
      <c r="Z33">
        <v>116.60134100000001</v>
      </c>
      <c r="AA33">
        <v>117.390602</v>
      </c>
      <c r="AB33">
        <v>118.186943</v>
      </c>
      <c r="AC33">
        <v>118.99685700000001</v>
      </c>
      <c r="AD33">
        <v>119.824966</v>
      </c>
      <c r="AE33">
        <v>120.673317</v>
      </c>
      <c r="AF33">
        <v>121.542419</v>
      </c>
      <c r="AG33">
        <v>122.431511</v>
      </c>
      <c r="AH33">
        <v>123.33841700000001</v>
      </c>
      <c r="AI33" s="21">
        <v>8.9999999999999993E-3</v>
      </c>
    </row>
    <row r="34" spans="1:35" x14ac:dyDescent="0.25">
      <c r="A34" t="s">
        <v>3</v>
      </c>
    </row>
    <row r="35" spans="1:35" x14ac:dyDescent="0.25">
      <c r="A35" t="s">
        <v>277</v>
      </c>
    </row>
    <row r="36" spans="1:35" x14ac:dyDescent="0.25">
      <c r="A36" t="s">
        <v>147</v>
      </c>
      <c r="B36" t="s">
        <v>1117</v>
      </c>
      <c r="C36" t="s">
        <v>1118</v>
      </c>
      <c r="D36" t="s">
        <v>388</v>
      </c>
      <c r="F36">
        <v>1.600274</v>
      </c>
      <c r="G36">
        <v>1.5942430000000001</v>
      </c>
      <c r="H36">
        <v>1.5870979999999999</v>
      </c>
      <c r="I36">
        <v>1.5789120000000001</v>
      </c>
      <c r="J36">
        <v>1.570767</v>
      </c>
      <c r="K36">
        <v>1.5630120000000001</v>
      </c>
      <c r="L36">
        <v>1.555431</v>
      </c>
      <c r="M36">
        <v>1.548036</v>
      </c>
      <c r="N36">
        <v>1.5405150000000001</v>
      </c>
      <c r="O36">
        <v>1.5329120000000001</v>
      </c>
      <c r="P36">
        <v>1.5255050000000001</v>
      </c>
      <c r="Q36">
        <v>1.517811</v>
      </c>
      <c r="R36">
        <v>1.5105029999999999</v>
      </c>
      <c r="S36">
        <v>1.5036259999999999</v>
      </c>
      <c r="T36">
        <v>1.496855</v>
      </c>
      <c r="U36">
        <v>1.4904200000000001</v>
      </c>
      <c r="V36">
        <v>1.48431</v>
      </c>
      <c r="W36">
        <v>1.4785470000000001</v>
      </c>
      <c r="X36">
        <v>1.47299</v>
      </c>
      <c r="Y36">
        <v>1.4675130000000001</v>
      </c>
      <c r="Z36">
        <v>1.4621649999999999</v>
      </c>
      <c r="AA36">
        <v>1.4569749999999999</v>
      </c>
      <c r="AB36">
        <v>1.451967</v>
      </c>
      <c r="AC36">
        <v>1.447101</v>
      </c>
      <c r="AD36">
        <v>1.4420090000000001</v>
      </c>
      <c r="AE36">
        <v>1.4370240000000001</v>
      </c>
      <c r="AF36">
        <v>1.43215</v>
      </c>
      <c r="AG36">
        <v>1.4274279999999999</v>
      </c>
      <c r="AH36">
        <v>1.4226030000000001</v>
      </c>
      <c r="AI36" s="21">
        <v>-4.0000000000000001E-3</v>
      </c>
    </row>
    <row r="37" spans="1:35" x14ac:dyDescent="0.25">
      <c r="A37" t="s">
        <v>215</v>
      </c>
      <c r="B37" t="s">
        <v>1119</v>
      </c>
      <c r="C37" t="s">
        <v>1120</v>
      </c>
      <c r="D37" t="s">
        <v>388</v>
      </c>
      <c r="F37">
        <v>0.79032500000000006</v>
      </c>
      <c r="G37">
        <v>0.79160299999999995</v>
      </c>
      <c r="H37">
        <v>0.79249899999999995</v>
      </c>
      <c r="I37">
        <v>0.79309700000000005</v>
      </c>
      <c r="J37">
        <v>0.79358799999999996</v>
      </c>
      <c r="K37">
        <v>0.79400199999999999</v>
      </c>
      <c r="L37">
        <v>0.79440200000000005</v>
      </c>
      <c r="M37">
        <v>0.79479699999999998</v>
      </c>
      <c r="N37">
        <v>0.79516600000000004</v>
      </c>
      <c r="O37">
        <v>0.79551799999999995</v>
      </c>
      <c r="P37">
        <v>0.79585099999999998</v>
      </c>
      <c r="Q37">
        <v>0.79616600000000004</v>
      </c>
      <c r="R37">
        <v>0.79646300000000003</v>
      </c>
      <c r="S37">
        <v>0.79674699999999998</v>
      </c>
      <c r="T37">
        <v>0.79701599999999995</v>
      </c>
      <c r="U37">
        <v>0.79726799999999998</v>
      </c>
      <c r="V37">
        <v>0.79749800000000004</v>
      </c>
      <c r="W37">
        <v>0.79771899999999996</v>
      </c>
      <c r="X37">
        <v>0.79792799999999997</v>
      </c>
      <c r="Y37">
        <v>0.79813900000000004</v>
      </c>
      <c r="Z37">
        <v>0.79833200000000004</v>
      </c>
      <c r="AA37">
        <v>0.79849599999999998</v>
      </c>
      <c r="AB37">
        <v>0.79863399999999996</v>
      </c>
      <c r="AC37">
        <v>0.79876599999999998</v>
      </c>
      <c r="AD37">
        <v>0.79890499999999998</v>
      </c>
      <c r="AE37">
        <v>0.79902099999999998</v>
      </c>
      <c r="AF37">
        <v>0.79913100000000004</v>
      </c>
      <c r="AG37">
        <v>0.79922499999999996</v>
      </c>
      <c r="AH37">
        <v>0.79931700000000006</v>
      </c>
      <c r="AI37" s="21">
        <v>0</v>
      </c>
    </row>
    <row r="38" spans="1:35" x14ac:dyDescent="0.25">
      <c r="A38" t="s">
        <v>192</v>
      </c>
      <c r="B38" t="s">
        <v>1121</v>
      </c>
      <c r="C38" t="s">
        <v>1122</v>
      </c>
      <c r="D38" t="s">
        <v>388</v>
      </c>
      <c r="F38">
        <v>0.81107499999999999</v>
      </c>
      <c r="G38">
        <v>0.811913</v>
      </c>
      <c r="H38">
        <v>0.81266300000000002</v>
      </c>
      <c r="I38">
        <v>0.81323299999999998</v>
      </c>
      <c r="J38">
        <v>0.81373899999999999</v>
      </c>
      <c r="K38">
        <v>0.81421399999999999</v>
      </c>
      <c r="L38">
        <v>0.81467000000000001</v>
      </c>
      <c r="M38">
        <v>0.81511199999999995</v>
      </c>
      <c r="N38">
        <v>0.81565600000000005</v>
      </c>
      <c r="O38">
        <v>0.81617200000000001</v>
      </c>
      <c r="P38">
        <v>0.81666099999999997</v>
      </c>
      <c r="Q38">
        <v>0.81711999999999996</v>
      </c>
      <c r="R38">
        <v>0.81755299999999997</v>
      </c>
      <c r="S38">
        <v>0.81796100000000005</v>
      </c>
      <c r="T38">
        <v>0.81834700000000005</v>
      </c>
      <c r="U38">
        <v>0.818712</v>
      </c>
      <c r="V38">
        <v>0.81905700000000004</v>
      </c>
      <c r="W38">
        <v>0.81938100000000003</v>
      </c>
      <c r="X38">
        <v>0.81994</v>
      </c>
      <c r="Y38">
        <v>0.82046799999999998</v>
      </c>
      <c r="Z38">
        <v>0.82096899999999995</v>
      </c>
      <c r="AA38">
        <v>0.82140899999999994</v>
      </c>
      <c r="AB38">
        <v>0.82181999999999999</v>
      </c>
      <c r="AC38">
        <v>0.82221100000000003</v>
      </c>
      <c r="AD38">
        <v>0.82257899999999995</v>
      </c>
      <c r="AE38">
        <v>0.82292799999999999</v>
      </c>
      <c r="AF38">
        <v>0.82325800000000005</v>
      </c>
      <c r="AG38">
        <v>0.82357100000000005</v>
      </c>
      <c r="AH38">
        <v>0.82386800000000004</v>
      </c>
      <c r="AI38" s="21">
        <v>1E-3</v>
      </c>
    </row>
    <row r="39" spans="1:35" x14ac:dyDescent="0.25">
      <c r="A39" t="s">
        <v>250</v>
      </c>
    </row>
    <row r="40" spans="1:35" x14ac:dyDescent="0.25">
      <c r="A40" t="s">
        <v>147</v>
      </c>
      <c r="B40" t="s">
        <v>1123</v>
      </c>
      <c r="C40" t="s">
        <v>1124</v>
      </c>
      <c r="D40" t="s">
        <v>388</v>
      </c>
      <c r="F40">
        <v>3.6319370000000002</v>
      </c>
      <c r="G40">
        <v>3.6708440000000002</v>
      </c>
      <c r="H40">
        <v>3.7057950000000002</v>
      </c>
      <c r="I40">
        <v>3.7410410000000001</v>
      </c>
      <c r="J40">
        <v>3.7737560000000001</v>
      </c>
      <c r="K40">
        <v>3.804141</v>
      </c>
      <c r="L40">
        <v>3.8339910000000001</v>
      </c>
      <c r="M40">
        <v>3.8634520000000001</v>
      </c>
      <c r="N40">
        <v>3.8940440000000001</v>
      </c>
      <c r="O40">
        <v>3.9236279999999999</v>
      </c>
      <c r="P40">
        <v>3.951355</v>
      </c>
      <c r="Q40">
        <v>3.9781049999999998</v>
      </c>
      <c r="R40">
        <v>4.0034859999999997</v>
      </c>
      <c r="S40">
        <v>4.0274700000000001</v>
      </c>
      <c r="T40">
        <v>4.0499349999999996</v>
      </c>
      <c r="U40">
        <v>4.0710639999999998</v>
      </c>
      <c r="V40">
        <v>4.0912309999999996</v>
      </c>
      <c r="W40">
        <v>4.1104029999999998</v>
      </c>
      <c r="X40">
        <v>4.1325659999999997</v>
      </c>
      <c r="Y40">
        <v>4.1535640000000003</v>
      </c>
      <c r="Z40">
        <v>4.1737039999999999</v>
      </c>
      <c r="AA40">
        <v>4.1931669999999999</v>
      </c>
      <c r="AB40">
        <v>4.2119299999999997</v>
      </c>
      <c r="AC40">
        <v>4.2299759999999997</v>
      </c>
      <c r="AD40">
        <v>4.2471459999999999</v>
      </c>
      <c r="AE40">
        <v>4.2635459999999998</v>
      </c>
      <c r="AF40">
        <v>4.2794749999999997</v>
      </c>
      <c r="AG40">
        <v>4.2944930000000001</v>
      </c>
      <c r="AH40">
        <v>4.3086650000000004</v>
      </c>
      <c r="AI40" s="21">
        <v>6.0000000000000001E-3</v>
      </c>
    </row>
    <row r="41" spans="1:35" x14ac:dyDescent="0.25">
      <c r="A41" t="s">
        <v>215</v>
      </c>
      <c r="B41" t="s">
        <v>1125</v>
      </c>
      <c r="C41" t="s">
        <v>1126</v>
      </c>
      <c r="D41" t="s">
        <v>388</v>
      </c>
      <c r="F41">
        <v>0.79191</v>
      </c>
      <c r="G41">
        <v>0.81588899999999998</v>
      </c>
      <c r="H41">
        <v>0.80177799999999999</v>
      </c>
      <c r="I41">
        <v>0.81152199999999997</v>
      </c>
      <c r="J41">
        <v>0.82088499999999998</v>
      </c>
      <c r="K41">
        <v>0.82996599999999998</v>
      </c>
      <c r="L41">
        <v>0.83910799999999997</v>
      </c>
      <c r="M41">
        <v>0.84825300000000003</v>
      </c>
      <c r="N41">
        <v>0.85747200000000001</v>
      </c>
      <c r="O41">
        <v>0.86655000000000004</v>
      </c>
      <c r="P41">
        <v>0.87543199999999999</v>
      </c>
      <c r="Q41">
        <v>0.88411399999999996</v>
      </c>
      <c r="R41">
        <v>0.89255200000000001</v>
      </c>
      <c r="S41">
        <v>0.90076999999999996</v>
      </c>
      <c r="T41">
        <v>0.90873899999999996</v>
      </c>
      <c r="U41">
        <v>0.91658200000000001</v>
      </c>
      <c r="V41">
        <v>0.92425500000000005</v>
      </c>
      <c r="W41">
        <v>0.93172699999999997</v>
      </c>
      <c r="X41">
        <v>0.93912899999999999</v>
      </c>
      <c r="Y41">
        <v>0.94647400000000004</v>
      </c>
      <c r="Z41">
        <v>0.95368699999999995</v>
      </c>
      <c r="AA41">
        <v>0.96079499999999995</v>
      </c>
      <c r="AB41">
        <v>0.96784700000000001</v>
      </c>
      <c r="AC41">
        <v>0.97489499999999996</v>
      </c>
      <c r="AD41">
        <v>0.98208600000000001</v>
      </c>
      <c r="AE41">
        <v>0.98932799999999999</v>
      </c>
      <c r="AF41">
        <v>0.99642600000000003</v>
      </c>
      <c r="AG41">
        <v>1.003511</v>
      </c>
      <c r="AH41">
        <v>1.0106379999999999</v>
      </c>
      <c r="AI41" s="21">
        <v>8.9999999999999993E-3</v>
      </c>
    </row>
    <row r="42" spans="1:35" x14ac:dyDescent="0.25">
      <c r="A42" t="s">
        <v>398</v>
      </c>
    </row>
    <row r="43" spans="1:35" x14ac:dyDescent="0.25">
      <c r="A43" t="s">
        <v>147</v>
      </c>
      <c r="B43" t="s">
        <v>1127</v>
      </c>
      <c r="C43" t="s">
        <v>1128</v>
      </c>
      <c r="D43" t="s">
        <v>388</v>
      </c>
      <c r="F43">
        <v>1.1589700000000001</v>
      </c>
      <c r="G43">
        <v>1.1848380000000001</v>
      </c>
      <c r="H43">
        <v>1.210067</v>
      </c>
      <c r="I43">
        <v>1.2341569999999999</v>
      </c>
      <c r="J43">
        <v>1.2551870000000001</v>
      </c>
      <c r="K43">
        <v>1.2618480000000001</v>
      </c>
      <c r="L43">
        <v>1.2683739999999999</v>
      </c>
      <c r="M43">
        <v>1.2747740000000001</v>
      </c>
      <c r="N43">
        <v>1.2811859999999999</v>
      </c>
      <c r="O43">
        <v>1.2874989999999999</v>
      </c>
      <c r="P43">
        <v>1.2941069999999999</v>
      </c>
      <c r="Q43">
        <v>1.3005899999999999</v>
      </c>
      <c r="R43">
        <v>1.3070189999999999</v>
      </c>
      <c r="S43">
        <v>1.3132410000000001</v>
      </c>
      <c r="T43">
        <v>1.3193710000000001</v>
      </c>
      <c r="U43">
        <v>1.3255110000000001</v>
      </c>
      <c r="V43">
        <v>1.3316669999999999</v>
      </c>
      <c r="W43">
        <v>1.3376920000000001</v>
      </c>
      <c r="X43">
        <v>1.343575</v>
      </c>
      <c r="Y43">
        <v>1.3493170000000001</v>
      </c>
      <c r="Z43">
        <v>1.3549690000000001</v>
      </c>
      <c r="AA43">
        <v>1.3604909999999999</v>
      </c>
      <c r="AB43">
        <v>1.3659589999999999</v>
      </c>
      <c r="AC43">
        <v>1.3712299999999999</v>
      </c>
      <c r="AD43">
        <v>1.376657</v>
      </c>
      <c r="AE43">
        <v>1.3819589999999999</v>
      </c>
      <c r="AF43">
        <v>1.387086</v>
      </c>
      <c r="AG43">
        <v>1.392069</v>
      </c>
      <c r="AH43">
        <v>1.396927</v>
      </c>
      <c r="AI43" s="21">
        <v>7.0000000000000001E-3</v>
      </c>
    </row>
    <row r="44" spans="1:35" x14ac:dyDescent="0.25">
      <c r="A44" t="s">
        <v>215</v>
      </c>
      <c r="B44" t="s">
        <v>1129</v>
      </c>
      <c r="C44" t="s">
        <v>1130</v>
      </c>
      <c r="D44" t="s">
        <v>388</v>
      </c>
      <c r="F44">
        <v>0.89523200000000003</v>
      </c>
      <c r="G44">
        <v>0.90059599999999995</v>
      </c>
      <c r="H44">
        <v>0.90494300000000005</v>
      </c>
      <c r="I44">
        <v>0.90891</v>
      </c>
      <c r="J44">
        <v>0.91243399999999997</v>
      </c>
      <c r="K44">
        <v>0.91559900000000005</v>
      </c>
      <c r="L44">
        <v>0.91850500000000002</v>
      </c>
      <c r="M44">
        <v>0.92115100000000005</v>
      </c>
      <c r="N44">
        <v>0.92354999999999998</v>
      </c>
      <c r="O44">
        <v>0.92571300000000001</v>
      </c>
      <c r="P44">
        <v>0.927647</v>
      </c>
      <c r="Q44">
        <v>0.92936799999999997</v>
      </c>
      <c r="R44">
        <v>0.930898</v>
      </c>
      <c r="S44">
        <v>0.93225999999999998</v>
      </c>
      <c r="T44">
        <v>0.93347199999999997</v>
      </c>
      <c r="U44">
        <v>0.93455299999999997</v>
      </c>
      <c r="V44">
        <v>0.93551799999999996</v>
      </c>
      <c r="W44">
        <v>0.93637800000000004</v>
      </c>
      <c r="X44">
        <v>0.93714799999999998</v>
      </c>
      <c r="Y44">
        <v>0.93783700000000003</v>
      </c>
      <c r="Z44">
        <v>0.93845400000000001</v>
      </c>
      <c r="AA44">
        <v>0.93900799999999995</v>
      </c>
      <c r="AB44">
        <v>0.93950400000000001</v>
      </c>
      <c r="AC44">
        <v>0.94020499999999996</v>
      </c>
      <c r="AD44">
        <v>0.94083799999999995</v>
      </c>
      <c r="AE44">
        <v>0.94140800000000002</v>
      </c>
      <c r="AF44">
        <v>0.94192100000000001</v>
      </c>
      <c r="AG44">
        <v>0.94238200000000005</v>
      </c>
      <c r="AH44">
        <v>0.94279500000000005</v>
      </c>
      <c r="AI44" s="21">
        <v>2E-3</v>
      </c>
    </row>
    <row r="45" spans="1:35" x14ac:dyDescent="0.25">
      <c r="A45" t="s">
        <v>192</v>
      </c>
      <c r="B45" t="s">
        <v>1131</v>
      </c>
      <c r="C45" t="s">
        <v>1132</v>
      </c>
      <c r="D45" t="s">
        <v>388</v>
      </c>
      <c r="F45">
        <v>0.80796599999999996</v>
      </c>
      <c r="G45">
        <v>0.80899799999999999</v>
      </c>
      <c r="H45">
        <v>0.80996000000000001</v>
      </c>
      <c r="I45">
        <v>0.81084900000000004</v>
      </c>
      <c r="J45">
        <v>0.81165299999999996</v>
      </c>
      <c r="K45">
        <v>0.81238500000000002</v>
      </c>
      <c r="L45">
        <v>0.813056</v>
      </c>
      <c r="M45">
        <v>0.81367199999999995</v>
      </c>
      <c r="N45">
        <v>0.81423699999999999</v>
      </c>
      <c r="O45">
        <v>0.81475200000000003</v>
      </c>
      <c r="P45">
        <v>0.81521999999999994</v>
      </c>
      <c r="Q45">
        <v>0.81564400000000004</v>
      </c>
      <c r="R45">
        <v>0.81602799999999998</v>
      </c>
      <c r="S45">
        <v>0.81637700000000002</v>
      </c>
      <c r="T45">
        <v>0.81669199999999997</v>
      </c>
      <c r="U45">
        <v>0.81698300000000001</v>
      </c>
      <c r="V45">
        <v>0.81724399999999997</v>
      </c>
      <c r="W45">
        <v>0.81748500000000002</v>
      </c>
      <c r="X45">
        <v>0.81770100000000001</v>
      </c>
      <c r="Y45">
        <v>0.81790099999999999</v>
      </c>
      <c r="Z45">
        <v>0.818083</v>
      </c>
      <c r="AA45">
        <v>0.81825000000000003</v>
      </c>
      <c r="AB45">
        <v>0.81840100000000005</v>
      </c>
      <c r="AC45">
        <v>0.81854000000000005</v>
      </c>
      <c r="AD45">
        <v>0.81866700000000003</v>
      </c>
      <c r="AE45">
        <v>0.81878300000000004</v>
      </c>
      <c r="AF45">
        <v>0.81888799999999995</v>
      </c>
      <c r="AG45">
        <v>0.81898400000000005</v>
      </c>
      <c r="AH45">
        <v>0.81907099999999999</v>
      </c>
      <c r="AI45" s="21">
        <v>0</v>
      </c>
    </row>
    <row r="46" spans="1:35" x14ac:dyDescent="0.25">
      <c r="A46" t="s">
        <v>406</v>
      </c>
    </row>
    <row r="47" spans="1:35" x14ac:dyDescent="0.25">
      <c r="A47" t="s">
        <v>147</v>
      </c>
      <c r="B47" t="s">
        <v>1133</v>
      </c>
      <c r="C47" t="s">
        <v>1134</v>
      </c>
      <c r="D47" t="s">
        <v>410</v>
      </c>
      <c r="F47">
        <v>0.33524300000000001</v>
      </c>
      <c r="G47">
        <v>0.335928</v>
      </c>
      <c r="H47">
        <v>0.33659499999999998</v>
      </c>
      <c r="I47">
        <v>0.33723700000000001</v>
      </c>
      <c r="J47">
        <v>0.33787899999999998</v>
      </c>
      <c r="K47">
        <v>0.33848800000000001</v>
      </c>
      <c r="L47">
        <v>0.33907500000000002</v>
      </c>
      <c r="M47">
        <v>0.339638</v>
      </c>
      <c r="N47">
        <v>0.34053499999999998</v>
      </c>
      <c r="O47">
        <v>0.34140900000000002</v>
      </c>
      <c r="P47">
        <v>0.34224199999999999</v>
      </c>
      <c r="Q47">
        <v>0.34303099999999997</v>
      </c>
      <c r="R47">
        <v>0.34377999999999997</v>
      </c>
      <c r="S47">
        <v>0.34448899999999999</v>
      </c>
      <c r="T47">
        <v>0.34515899999999999</v>
      </c>
      <c r="U47">
        <v>0.34579399999999999</v>
      </c>
      <c r="V47">
        <v>0.34639500000000001</v>
      </c>
      <c r="W47">
        <v>0.34696399999999999</v>
      </c>
      <c r="X47">
        <v>0.347501</v>
      </c>
      <c r="Y47">
        <v>0.34801300000000002</v>
      </c>
      <c r="Z47">
        <v>0.34849799999999997</v>
      </c>
      <c r="AA47">
        <v>0.34895599999999999</v>
      </c>
      <c r="AB47">
        <v>0.34938799999999998</v>
      </c>
      <c r="AC47">
        <v>0.34979500000000002</v>
      </c>
      <c r="AD47">
        <v>0.35017700000000002</v>
      </c>
      <c r="AE47">
        <v>0.35053499999999999</v>
      </c>
      <c r="AF47">
        <v>0.35087000000000002</v>
      </c>
      <c r="AG47">
        <v>0.35118199999999999</v>
      </c>
      <c r="AH47">
        <v>0.351464</v>
      </c>
      <c r="AI47" s="21">
        <v>2E-3</v>
      </c>
    </row>
    <row r="48" spans="1:35" x14ac:dyDescent="0.25">
      <c r="A48" t="s">
        <v>411</v>
      </c>
    </row>
    <row r="49" spans="1:35" x14ac:dyDescent="0.25">
      <c r="A49" t="s">
        <v>147</v>
      </c>
      <c r="B49" t="s">
        <v>1135</v>
      </c>
      <c r="C49" t="s">
        <v>1136</v>
      </c>
      <c r="D49" t="s">
        <v>388</v>
      </c>
      <c r="F49">
        <v>0.69347899999999996</v>
      </c>
      <c r="G49">
        <v>0.69406400000000001</v>
      </c>
      <c r="H49">
        <v>0.69460699999999997</v>
      </c>
      <c r="I49">
        <v>0.69510700000000003</v>
      </c>
      <c r="J49">
        <v>0.69555699999999998</v>
      </c>
      <c r="K49">
        <v>0.69596400000000003</v>
      </c>
      <c r="L49">
        <v>0.69633699999999998</v>
      </c>
      <c r="M49">
        <v>0.69667699999999999</v>
      </c>
      <c r="N49">
        <v>0.69698700000000002</v>
      </c>
      <c r="O49">
        <v>0.69726900000000003</v>
      </c>
      <c r="P49">
        <v>0.69752400000000003</v>
      </c>
      <c r="Q49">
        <v>0.69775299999999996</v>
      </c>
      <c r="R49">
        <v>0.69796100000000005</v>
      </c>
      <c r="S49">
        <v>0.69814699999999996</v>
      </c>
      <c r="T49">
        <v>0.69831600000000005</v>
      </c>
      <c r="U49">
        <v>0.69846900000000001</v>
      </c>
      <c r="V49">
        <v>0.69860800000000001</v>
      </c>
      <c r="W49">
        <v>0.69873300000000005</v>
      </c>
      <c r="X49">
        <v>0.698847</v>
      </c>
      <c r="Y49">
        <v>0.69894999999999996</v>
      </c>
      <c r="Z49">
        <v>0.699044</v>
      </c>
      <c r="AA49">
        <v>0.69913000000000003</v>
      </c>
      <c r="AB49">
        <v>0.69920800000000005</v>
      </c>
      <c r="AC49">
        <v>0.69927899999999998</v>
      </c>
      <c r="AD49">
        <v>0.69934300000000005</v>
      </c>
      <c r="AE49">
        <v>0.69940199999999997</v>
      </c>
      <c r="AF49">
        <v>0.69945599999999997</v>
      </c>
      <c r="AG49">
        <v>0.69950500000000004</v>
      </c>
      <c r="AH49">
        <v>0.69955000000000001</v>
      </c>
      <c r="AI49" s="21">
        <v>0</v>
      </c>
    </row>
    <row r="50" spans="1:35" x14ac:dyDescent="0.25">
      <c r="A50" t="s">
        <v>215</v>
      </c>
      <c r="B50" t="s">
        <v>1137</v>
      </c>
      <c r="C50" t="s">
        <v>1138</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s="21">
        <v>0</v>
      </c>
    </row>
    <row r="51" spans="1:35" x14ac:dyDescent="0.25">
      <c r="A51" t="s">
        <v>417</v>
      </c>
    </row>
    <row r="52" spans="1:35" x14ac:dyDescent="0.25">
      <c r="A52" t="s">
        <v>419</v>
      </c>
    </row>
    <row r="53" spans="1:35" x14ac:dyDescent="0.25">
      <c r="A53" t="s">
        <v>147</v>
      </c>
      <c r="B53" t="s">
        <v>1139</v>
      </c>
      <c r="C53" t="s">
        <v>1140</v>
      </c>
      <c r="D53" t="s">
        <v>423</v>
      </c>
      <c r="F53">
        <v>75.352576999999997</v>
      </c>
      <c r="G53">
        <v>77.416038999999998</v>
      </c>
      <c r="H53">
        <v>79.081435999999997</v>
      </c>
      <c r="I53">
        <v>80.421126999999998</v>
      </c>
      <c r="J53">
        <v>81.551734999999994</v>
      </c>
      <c r="K53">
        <v>82.538505999999998</v>
      </c>
      <c r="L53">
        <v>83.405852999999993</v>
      </c>
      <c r="M53">
        <v>84.158942999999994</v>
      </c>
      <c r="N53">
        <v>85.745209000000003</v>
      </c>
      <c r="O53">
        <v>87.334564</v>
      </c>
      <c r="P53">
        <v>88.855926999999994</v>
      </c>
      <c r="Q53">
        <v>90.298164</v>
      </c>
      <c r="R53">
        <v>91.731658999999993</v>
      </c>
      <c r="S53">
        <v>93.147094999999993</v>
      </c>
      <c r="T53">
        <v>94.561653000000007</v>
      </c>
      <c r="U53">
        <v>96.152641000000003</v>
      </c>
      <c r="V53">
        <v>97.851867999999996</v>
      </c>
      <c r="W53">
        <v>99.830596999999997</v>
      </c>
      <c r="X53">
        <v>100.642555</v>
      </c>
      <c r="Y53">
        <v>101.381325</v>
      </c>
      <c r="Z53">
        <v>102.09468099999999</v>
      </c>
      <c r="AA53">
        <v>102.730659</v>
      </c>
      <c r="AB53">
        <v>103.286827</v>
      </c>
      <c r="AC53">
        <v>103.77984600000001</v>
      </c>
      <c r="AD53">
        <v>104.21254</v>
      </c>
      <c r="AE53">
        <v>104.52364300000001</v>
      </c>
      <c r="AF53">
        <v>104.796783</v>
      </c>
      <c r="AG53">
        <v>105.034859</v>
      </c>
      <c r="AH53">
        <v>105.227448</v>
      </c>
      <c r="AI53" s="21">
        <v>1.2E-2</v>
      </c>
    </row>
    <row r="54" spans="1:35" x14ac:dyDescent="0.25">
      <c r="A54" t="s">
        <v>424</v>
      </c>
    </row>
    <row r="55" spans="1:35" x14ac:dyDescent="0.25">
      <c r="A55" t="s">
        <v>147</v>
      </c>
      <c r="B55" t="s">
        <v>1141</v>
      </c>
      <c r="C55" t="s">
        <v>1142</v>
      </c>
      <c r="D55" t="s">
        <v>388</v>
      </c>
      <c r="F55">
        <v>3.0188060000000001</v>
      </c>
      <c r="G55">
        <v>3.0409980000000001</v>
      </c>
      <c r="H55">
        <v>3.060953</v>
      </c>
      <c r="I55">
        <v>3.0786539999999998</v>
      </c>
      <c r="J55">
        <v>3.094166</v>
      </c>
      <c r="K55">
        <v>3.1078000000000001</v>
      </c>
      <c r="L55">
        <v>3.1198959999999998</v>
      </c>
      <c r="M55">
        <v>3.1306240000000001</v>
      </c>
      <c r="N55">
        <v>3.1458460000000001</v>
      </c>
      <c r="O55">
        <v>3.1594000000000002</v>
      </c>
      <c r="P55">
        <v>3.1713499999999999</v>
      </c>
      <c r="Q55">
        <v>3.1818710000000001</v>
      </c>
      <c r="R55">
        <v>3.1911179999999999</v>
      </c>
      <c r="S55">
        <v>3.1992440000000002</v>
      </c>
      <c r="T55">
        <v>3.2063920000000001</v>
      </c>
      <c r="U55">
        <v>3.2126890000000001</v>
      </c>
      <c r="V55">
        <v>3.2182460000000002</v>
      </c>
      <c r="W55">
        <v>3.2231540000000001</v>
      </c>
      <c r="X55">
        <v>3.227481</v>
      </c>
      <c r="Y55">
        <v>3.2313459999999998</v>
      </c>
      <c r="Z55">
        <v>3.2347730000000001</v>
      </c>
      <c r="AA55">
        <v>3.2378049999999998</v>
      </c>
      <c r="AB55">
        <v>3.2404929999999998</v>
      </c>
      <c r="AC55">
        <v>3.242883</v>
      </c>
      <c r="AD55">
        <v>3.245009</v>
      </c>
      <c r="AE55">
        <v>3.2468810000000001</v>
      </c>
      <c r="AF55">
        <v>3.2485499999999998</v>
      </c>
      <c r="AG55">
        <v>3.2500330000000002</v>
      </c>
      <c r="AH55">
        <v>3.2513450000000002</v>
      </c>
      <c r="AI55" s="21">
        <v>3.0000000000000001E-3</v>
      </c>
    </row>
    <row r="56" spans="1:35" x14ac:dyDescent="0.25">
      <c r="A56" t="s">
        <v>288</v>
      </c>
    </row>
    <row r="57" spans="1:35" x14ac:dyDescent="0.25">
      <c r="A57" t="s">
        <v>289</v>
      </c>
    </row>
    <row r="58" spans="1:35" x14ac:dyDescent="0.25">
      <c r="A58" t="s">
        <v>175</v>
      </c>
    </row>
    <row r="59" spans="1:35" x14ac:dyDescent="0.25">
      <c r="A59" t="s">
        <v>431</v>
      </c>
      <c r="B59" t="s">
        <v>1143</v>
      </c>
      <c r="C59" t="s">
        <v>1144</v>
      </c>
      <c r="D59" t="s">
        <v>292</v>
      </c>
      <c r="F59">
        <v>1.3979999999999999E-2</v>
      </c>
      <c r="G59">
        <v>1.3979999999999999E-2</v>
      </c>
      <c r="H59">
        <v>1.3979999999999999E-2</v>
      </c>
      <c r="I59">
        <v>1.3979999999999999E-2</v>
      </c>
      <c r="J59">
        <v>1.3979999999999999E-2</v>
      </c>
      <c r="K59">
        <v>1.3979999999999999E-2</v>
      </c>
      <c r="L59">
        <v>1.3979999999999999E-2</v>
      </c>
      <c r="M59">
        <v>1.3979999999999999E-2</v>
      </c>
      <c r="N59">
        <v>1.3979999999999999E-2</v>
      </c>
      <c r="O59">
        <v>1.3979999999999999E-2</v>
      </c>
      <c r="P59">
        <v>1.3979999999999999E-2</v>
      </c>
      <c r="Q59">
        <v>1.3979999999999999E-2</v>
      </c>
      <c r="R59">
        <v>1.3979999999999999E-2</v>
      </c>
      <c r="S59">
        <v>1.3979999999999999E-2</v>
      </c>
      <c r="T59">
        <v>1.3979999999999999E-2</v>
      </c>
      <c r="U59">
        <v>1.3979999999999999E-2</v>
      </c>
      <c r="V59">
        <v>1.3979999999999999E-2</v>
      </c>
      <c r="W59">
        <v>1.3979999999999999E-2</v>
      </c>
      <c r="X59">
        <v>1.3979999999999999E-2</v>
      </c>
      <c r="Y59">
        <v>1.3979999999999999E-2</v>
      </c>
      <c r="Z59">
        <v>1.3979999999999999E-2</v>
      </c>
      <c r="AA59">
        <v>1.3979999999999999E-2</v>
      </c>
      <c r="AB59">
        <v>1.3979999999999999E-2</v>
      </c>
      <c r="AC59">
        <v>1.3979999999999999E-2</v>
      </c>
      <c r="AD59">
        <v>1.3979999999999999E-2</v>
      </c>
      <c r="AE59">
        <v>1.3979999999999999E-2</v>
      </c>
      <c r="AF59">
        <v>1.3979999999999999E-2</v>
      </c>
      <c r="AG59">
        <v>1.3979999999999999E-2</v>
      </c>
      <c r="AH59">
        <v>1.3979999999999999E-2</v>
      </c>
      <c r="AI59" s="21">
        <v>0</v>
      </c>
    </row>
    <row r="60" spans="1:35" x14ac:dyDescent="0.25">
      <c r="A60" t="s">
        <v>215</v>
      </c>
      <c r="B60" t="s">
        <v>1145</v>
      </c>
      <c r="C60" t="s">
        <v>1146</v>
      </c>
      <c r="D60" t="s">
        <v>292</v>
      </c>
      <c r="F60">
        <v>1.368147</v>
      </c>
      <c r="G60">
        <v>1.3940189999999999</v>
      </c>
      <c r="H60">
        <v>1.422768</v>
      </c>
      <c r="I60">
        <v>1.443255</v>
      </c>
      <c r="J60">
        <v>1.4616290000000001</v>
      </c>
      <c r="K60">
        <v>1.4808079999999999</v>
      </c>
      <c r="L60">
        <v>1.5003839999999999</v>
      </c>
      <c r="M60">
        <v>1.520532</v>
      </c>
      <c r="N60">
        <v>1.543804</v>
      </c>
      <c r="O60">
        <v>1.567393</v>
      </c>
      <c r="P60">
        <v>1.5923529999999999</v>
      </c>
      <c r="Q60">
        <v>1.6152420000000001</v>
      </c>
      <c r="R60">
        <v>1.6366179999999999</v>
      </c>
      <c r="S60">
        <v>1.6558759999999999</v>
      </c>
      <c r="T60">
        <v>1.671951</v>
      </c>
      <c r="U60">
        <v>1.6858439999999999</v>
      </c>
      <c r="V60">
        <v>1.700482</v>
      </c>
      <c r="W60">
        <v>1.716259</v>
      </c>
      <c r="X60">
        <v>1.727784</v>
      </c>
      <c r="Y60">
        <v>1.7389509999999999</v>
      </c>
      <c r="Z60">
        <v>1.7499210000000001</v>
      </c>
      <c r="AA60">
        <v>1.7614860000000001</v>
      </c>
      <c r="AB60">
        <v>1.771808</v>
      </c>
      <c r="AC60">
        <v>1.781531</v>
      </c>
      <c r="AD60">
        <v>1.7918080000000001</v>
      </c>
      <c r="AE60">
        <v>1.8023169999999999</v>
      </c>
      <c r="AF60">
        <v>1.8141579999999999</v>
      </c>
      <c r="AG60">
        <v>1.8251539999999999</v>
      </c>
      <c r="AH60">
        <v>1.8365130000000001</v>
      </c>
      <c r="AI60" s="21">
        <v>1.0999999999999999E-2</v>
      </c>
    </row>
    <row r="61" spans="1:35" x14ac:dyDescent="0.25">
      <c r="A61" t="s">
        <v>293</v>
      </c>
      <c r="B61" t="s">
        <v>1147</v>
      </c>
      <c r="C61" t="s">
        <v>1148</v>
      </c>
      <c r="D61" t="s">
        <v>292</v>
      </c>
      <c r="F61">
        <v>22.491291</v>
      </c>
      <c r="G61">
        <v>26.815535000000001</v>
      </c>
      <c r="H61">
        <v>30.254023</v>
      </c>
      <c r="I61">
        <v>33.178463000000001</v>
      </c>
      <c r="J61">
        <v>34.785682999999999</v>
      </c>
      <c r="K61">
        <v>36.654330999999999</v>
      </c>
      <c r="L61">
        <v>38.291961999999998</v>
      </c>
      <c r="M61">
        <v>40.837508999999997</v>
      </c>
      <c r="N61">
        <v>42.625346999999998</v>
      </c>
      <c r="O61">
        <v>44.444000000000003</v>
      </c>
      <c r="P61">
        <v>46.077877000000001</v>
      </c>
      <c r="Q61">
        <v>48.438850000000002</v>
      </c>
      <c r="R61">
        <v>51.029842000000002</v>
      </c>
      <c r="S61">
        <v>52.509289000000003</v>
      </c>
      <c r="T61">
        <v>55.255535000000002</v>
      </c>
      <c r="U61">
        <v>56.865172999999999</v>
      </c>
      <c r="V61">
        <v>59.174522000000003</v>
      </c>
      <c r="W61">
        <v>61.338107999999998</v>
      </c>
      <c r="X61">
        <v>63.244408</v>
      </c>
      <c r="Y61">
        <v>64.905724000000006</v>
      </c>
      <c r="Z61">
        <v>66.276015999999998</v>
      </c>
      <c r="AA61">
        <v>67.472403999999997</v>
      </c>
      <c r="AB61">
        <v>68.558639999999997</v>
      </c>
      <c r="AC61">
        <v>69.653053</v>
      </c>
      <c r="AD61">
        <v>71.534721000000005</v>
      </c>
      <c r="AE61">
        <v>72.148803999999998</v>
      </c>
      <c r="AF61">
        <v>73.245368999999997</v>
      </c>
      <c r="AG61">
        <v>73.763748000000007</v>
      </c>
      <c r="AH61">
        <v>74.117523000000006</v>
      </c>
      <c r="AI61" s="21">
        <v>4.3999999999999997E-2</v>
      </c>
    </row>
    <row r="62" spans="1:35" x14ac:dyDescent="0.25">
      <c r="A62" t="s">
        <v>295</v>
      </c>
      <c r="B62" t="s">
        <v>1149</v>
      </c>
      <c r="C62" t="s">
        <v>1150</v>
      </c>
      <c r="D62" t="s">
        <v>292</v>
      </c>
      <c r="F62">
        <v>0.55488099999999996</v>
      </c>
      <c r="G62">
        <v>0.55973700000000004</v>
      </c>
      <c r="H62">
        <v>0.56107300000000004</v>
      </c>
      <c r="I62">
        <v>0.56107300000000004</v>
      </c>
      <c r="J62">
        <v>0.56107300000000004</v>
      </c>
      <c r="K62">
        <v>0.56107300000000004</v>
      </c>
      <c r="L62">
        <v>0.56111299999999997</v>
      </c>
      <c r="M62">
        <v>0.56111299999999997</v>
      </c>
      <c r="N62">
        <v>0.561222</v>
      </c>
      <c r="O62">
        <v>0.56145999999999996</v>
      </c>
      <c r="P62">
        <v>0.56233299999999997</v>
      </c>
      <c r="Q62">
        <v>0.56416200000000005</v>
      </c>
      <c r="R62">
        <v>0.566106</v>
      </c>
      <c r="S62">
        <v>0.56645900000000005</v>
      </c>
      <c r="T62">
        <v>0.56810300000000002</v>
      </c>
      <c r="U62">
        <v>0.56838900000000003</v>
      </c>
      <c r="V62">
        <v>0.56980299999999995</v>
      </c>
      <c r="W62">
        <v>0.57158699999999996</v>
      </c>
      <c r="X62">
        <v>0.57174700000000001</v>
      </c>
      <c r="Y62">
        <v>0.57225300000000001</v>
      </c>
      <c r="Z62">
        <v>0.57251700000000005</v>
      </c>
      <c r="AA62">
        <v>0.57303300000000001</v>
      </c>
      <c r="AB62">
        <v>0.57322700000000004</v>
      </c>
      <c r="AC62">
        <v>0.57333500000000004</v>
      </c>
      <c r="AD62">
        <v>0.573658</v>
      </c>
      <c r="AE62">
        <v>0.573658</v>
      </c>
      <c r="AF62">
        <v>0.57397100000000001</v>
      </c>
      <c r="AG62">
        <v>0.57397100000000001</v>
      </c>
      <c r="AH62">
        <v>0.57397100000000001</v>
      </c>
      <c r="AI62" s="21">
        <v>1E-3</v>
      </c>
    </row>
    <row r="63" spans="1:35" x14ac:dyDescent="0.25">
      <c r="A63" t="s">
        <v>351</v>
      </c>
      <c r="B63" t="s">
        <v>1151</v>
      </c>
      <c r="C63" t="s">
        <v>1152</v>
      </c>
      <c r="D63" t="s">
        <v>292</v>
      </c>
      <c r="F63">
        <v>0.11776300000000001</v>
      </c>
      <c r="G63">
        <v>0.11776300000000001</v>
      </c>
      <c r="H63">
        <v>0.11776300000000001</v>
      </c>
      <c r="I63">
        <v>0.11776300000000001</v>
      </c>
      <c r="J63">
        <v>0.11776300000000001</v>
      </c>
      <c r="K63">
        <v>0.11776300000000001</v>
      </c>
      <c r="L63">
        <v>0.11776300000000001</v>
      </c>
      <c r="M63">
        <v>0.11776300000000001</v>
      </c>
      <c r="N63">
        <v>0.11776300000000001</v>
      </c>
      <c r="O63">
        <v>0.11776300000000001</v>
      </c>
      <c r="P63">
        <v>0.11776300000000001</v>
      </c>
      <c r="Q63">
        <v>0.11776300000000001</v>
      </c>
      <c r="R63">
        <v>0.11776300000000001</v>
      </c>
      <c r="S63">
        <v>0.11776300000000001</v>
      </c>
      <c r="T63">
        <v>0.11776300000000001</v>
      </c>
      <c r="U63">
        <v>0.11776300000000001</v>
      </c>
      <c r="V63">
        <v>0.11776300000000001</v>
      </c>
      <c r="W63">
        <v>0.11776300000000001</v>
      </c>
      <c r="X63">
        <v>0.11776300000000001</v>
      </c>
      <c r="Y63">
        <v>0.11776300000000001</v>
      </c>
      <c r="Z63">
        <v>0.11776300000000001</v>
      </c>
      <c r="AA63">
        <v>0.11776300000000001</v>
      </c>
      <c r="AB63">
        <v>0.11776300000000001</v>
      </c>
      <c r="AC63">
        <v>0.11776300000000001</v>
      </c>
      <c r="AD63">
        <v>0.11776300000000001</v>
      </c>
      <c r="AE63">
        <v>0.11776300000000001</v>
      </c>
      <c r="AF63">
        <v>0.11776300000000001</v>
      </c>
      <c r="AG63">
        <v>0.11776300000000001</v>
      </c>
      <c r="AH63">
        <v>0.11776300000000001</v>
      </c>
      <c r="AI63" s="21">
        <v>0</v>
      </c>
    </row>
    <row r="64" spans="1:35" x14ac:dyDescent="0.25">
      <c r="A64" t="s">
        <v>201</v>
      </c>
      <c r="B64" t="s">
        <v>1153</v>
      </c>
      <c r="C64" t="s">
        <v>1154</v>
      </c>
      <c r="D64" t="s">
        <v>292</v>
      </c>
      <c r="F64">
        <v>24.546064000000001</v>
      </c>
      <c r="G64">
        <v>28.901033000000002</v>
      </c>
      <c r="H64">
        <v>32.369610000000002</v>
      </c>
      <c r="I64">
        <v>35.314532999999997</v>
      </c>
      <c r="J64">
        <v>36.940128000000001</v>
      </c>
      <c r="K64">
        <v>38.827956999999998</v>
      </c>
      <c r="L64">
        <v>40.485202999999998</v>
      </c>
      <c r="M64">
        <v>43.050899999999999</v>
      </c>
      <c r="N64">
        <v>44.862118000000002</v>
      </c>
      <c r="O64">
        <v>46.704597</v>
      </c>
      <c r="P64">
        <v>48.364306999999997</v>
      </c>
      <c r="Q64">
        <v>50.75</v>
      </c>
      <c r="R64">
        <v>53.364306999999997</v>
      </c>
      <c r="S64">
        <v>54.863368999999999</v>
      </c>
      <c r="T64">
        <v>57.627335000000002</v>
      </c>
      <c r="U64">
        <v>59.251151999999998</v>
      </c>
      <c r="V64">
        <v>61.576552999999997</v>
      </c>
      <c r="W64">
        <v>63.757697999999998</v>
      </c>
      <c r="X64">
        <v>65.675674000000001</v>
      </c>
      <c r="Y64">
        <v>67.348663000000002</v>
      </c>
      <c r="Z64">
        <v>68.730193999999997</v>
      </c>
      <c r="AA64">
        <v>69.938666999999995</v>
      </c>
      <c r="AB64">
        <v>71.035415999999998</v>
      </c>
      <c r="AC64">
        <v>72.139656000000002</v>
      </c>
      <c r="AD64">
        <v>74.031920999999997</v>
      </c>
      <c r="AE64">
        <v>74.656516999999994</v>
      </c>
      <c r="AF64">
        <v>75.765236000000002</v>
      </c>
      <c r="AG64">
        <v>76.294608999999994</v>
      </c>
      <c r="AH64">
        <v>76.659744000000003</v>
      </c>
      <c r="AI64" s="21">
        <v>4.2000000000000003E-2</v>
      </c>
    </row>
    <row r="65" spans="1:35" x14ac:dyDescent="0.25">
      <c r="A65" t="s">
        <v>174</v>
      </c>
    </row>
    <row r="66" spans="1:35" x14ac:dyDescent="0.25">
      <c r="A66" t="s">
        <v>431</v>
      </c>
      <c r="B66" t="s">
        <v>1155</v>
      </c>
      <c r="C66" t="s">
        <v>1156</v>
      </c>
      <c r="D66" t="s">
        <v>299</v>
      </c>
      <c r="F66">
        <v>9.7511E-2</v>
      </c>
      <c r="G66">
        <v>9.7511E-2</v>
      </c>
      <c r="H66">
        <v>9.7511E-2</v>
      </c>
      <c r="I66">
        <v>9.7511E-2</v>
      </c>
      <c r="J66">
        <v>9.7511E-2</v>
      </c>
      <c r="K66">
        <v>9.7511E-2</v>
      </c>
      <c r="L66">
        <v>9.7511E-2</v>
      </c>
      <c r="M66">
        <v>9.7511E-2</v>
      </c>
      <c r="N66">
        <v>9.7511E-2</v>
      </c>
      <c r="O66">
        <v>9.7511E-2</v>
      </c>
      <c r="P66">
        <v>9.7511E-2</v>
      </c>
      <c r="Q66">
        <v>9.7511E-2</v>
      </c>
      <c r="R66">
        <v>9.7511E-2</v>
      </c>
      <c r="S66">
        <v>9.7511E-2</v>
      </c>
      <c r="T66">
        <v>9.7511E-2</v>
      </c>
      <c r="U66">
        <v>9.7511E-2</v>
      </c>
      <c r="V66">
        <v>9.7511E-2</v>
      </c>
      <c r="W66">
        <v>9.7511E-2</v>
      </c>
      <c r="X66">
        <v>9.7511E-2</v>
      </c>
      <c r="Y66">
        <v>9.7511E-2</v>
      </c>
      <c r="Z66">
        <v>9.7511E-2</v>
      </c>
      <c r="AA66">
        <v>9.7511E-2</v>
      </c>
      <c r="AB66">
        <v>9.7511E-2</v>
      </c>
      <c r="AC66">
        <v>9.7511E-2</v>
      </c>
      <c r="AD66">
        <v>9.7511E-2</v>
      </c>
      <c r="AE66">
        <v>9.7511E-2</v>
      </c>
      <c r="AF66">
        <v>9.7511E-2</v>
      </c>
      <c r="AG66">
        <v>9.7511E-2</v>
      </c>
      <c r="AH66">
        <v>9.7511E-2</v>
      </c>
      <c r="AI66" s="21">
        <v>0</v>
      </c>
    </row>
    <row r="67" spans="1:35" x14ac:dyDescent="0.25">
      <c r="A67" t="s">
        <v>215</v>
      </c>
      <c r="B67" t="s">
        <v>1157</v>
      </c>
      <c r="C67" t="s">
        <v>1158</v>
      </c>
      <c r="D67" t="s">
        <v>299</v>
      </c>
      <c r="F67">
        <v>9.5428239999999995</v>
      </c>
      <c r="G67">
        <v>9.7232830000000003</v>
      </c>
      <c r="H67">
        <v>9.9238060000000008</v>
      </c>
      <c r="I67">
        <v>10.066701</v>
      </c>
      <c r="J67">
        <v>10.194861</v>
      </c>
      <c r="K67">
        <v>10.328632000000001</v>
      </c>
      <c r="L67">
        <v>10.465176</v>
      </c>
      <c r="M67">
        <v>10.605714000000001</v>
      </c>
      <c r="N67">
        <v>10.768033000000001</v>
      </c>
      <c r="O67">
        <v>10.932568</v>
      </c>
      <c r="P67">
        <v>11.106659000000001</v>
      </c>
      <c r="Q67">
        <v>11.266313</v>
      </c>
      <c r="R67">
        <v>11.415409</v>
      </c>
      <c r="S67">
        <v>11.549734000000001</v>
      </c>
      <c r="T67">
        <v>11.661860000000001</v>
      </c>
      <c r="U67">
        <v>11.758763</v>
      </c>
      <c r="V67">
        <v>11.860858</v>
      </c>
      <c r="W67">
        <v>11.970905</v>
      </c>
      <c r="X67">
        <v>12.051291000000001</v>
      </c>
      <c r="Y67">
        <v>12.12918</v>
      </c>
      <c r="Z67">
        <v>12.205700999999999</v>
      </c>
      <c r="AA67">
        <v>12.286364000000001</v>
      </c>
      <c r="AB67">
        <v>12.358362</v>
      </c>
      <c r="AC67">
        <v>12.426178</v>
      </c>
      <c r="AD67">
        <v>12.497861</v>
      </c>
      <c r="AE67">
        <v>12.571158</v>
      </c>
      <c r="AF67">
        <v>12.653753999999999</v>
      </c>
      <c r="AG67">
        <v>12.730446000000001</v>
      </c>
      <c r="AH67">
        <v>12.809677000000001</v>
      </c>
      <c r="AI67" s="21">
        <v>1.0999999999999999E-2</v>
      </c>
    </row>
    <row r="68" spans="1:35" x14ac:dyDescent="0.25">
      <c r="A68" t="s">
        <v>293</v>
      </c>
      <c r="B68" t="s">
        <v>1159</v>
      </c>
      <c r="C68" t="s">
        <v>1061</v>
      </c>
      <c r="D68" t="s">
        <v>299</v>
      </c>
      <c r="F68">
        <v>31.884121</v>
      </c>
      <c r="G68">
        <v>37.878464000000001</v>
      </c>
      <c r="H68">
        <v>42.628193000000003</v>
      </c>
      <c r="I68">
        <v>46.505924</v>
      </c>
      <c r="J68">
        <v>48.667228999999999</v>
      </c>
      <c r="K68">
        <v>51.194096000000002</v>
      </c>
      <c r="L68">
        <v>53.380569000000001</v>
      </c>
      <c r="M68">
        <v>56.781303000000001</v>
      </c>
      <c r="N68">
        <v>59.208064999999998</v>
      </c>
      <c r="O68">
        <v>61.639690000000002</v>
      </c>
      <c r="P68">
        <v>63.799804999999999</v>
      </c>
      <c r="Q68">
        <v>66.962447999999995</v>
      </c>
      <c r="R68">
        <v>70.303557999999995</v>
      </c>
      <c r="S68">
        <v>72.270660000000007</v>
      </c>
      <c r="T68">
        <v>75.848861999999997</v>
      </c>
      <c r="U68">
        <v>77.991562000000002</v>
      </c>
      <c r="V68">
        <v>81.021461000000002</v>
      </c>
      <c r="W68">
        <v>83.826828000000006</v>
      </c>
      <c r="X68">
        <v>86.340187</v>
      </c>
      <c r="Y68">
        <v>88.522994999999995</v>
      </c>
      <c r="Z68">
        <v>90.352363999999994</v>
      </c>
      <c r="AA68">
        <v>91.947806999999997</v>
      </c>
      <c r="AB68">
        <v>93.428084999999996</v>
      </c>
      <c r="AC68">
        <v>94.886870999999999</v>
      </c>
      <c r="AD68">
        <v>97.368354999999994</v>
      </c>
      <c r="AE68">
        <v>98.220366999999996</v>
      </c>
      <c r="AF68">
        <v>99.644149999999996</v>
      </c>
      <c r="AG68">
        <v>100.374458</v>
      </c>
      <c r="AH68">
        <v>100.877022</v>
      </c>
      <c r="AI68" s="21">
        <v>4.2000000000000003E-2</v>
      </c>
    </row>
    <row r="69" spans="1:35" x14ac:dyDescent="0.25">
      <c r="A69" t="s">
        <v>295</v>
      </c>
      <c r="B69" t="s">
        <v>1160</v>
      </c>
      <c r="C69" t="s">
        <v>1063</v>
      </c>
      <c r="D69" t="s">
        <v>299</v>
      </c>
      <c r="F69">
        <v>0.75530799999999998</v>
      </c>
      <c r="G69">
        <v>0.76343899999999998</v>
      </c>
      <c r="H69">
        <v>0.76568899999999995</v>
      </c>
      <c r="I69">
        <v>0.76568899999999995</v>
      </c>
      <c r="J69">
        <v>0.76568899999999995</v>
      </c>
      <c r="K69">
        <v>0.76568899999999995</v>
      </c>
      <c r="L69">
        <v>0.76575599999999999</v>
      </c>
      <c r="M69">
        <v>0.76575599999999999</v>
      </c>
      <c r="N69">
        <v>0.76588999999999996</v>
      </c>
      <c r="O69">
        <v>0.76624300000000001</v>
      </c>
      <c r="P69">
        <v>0.76763599999999999</v>
      </c>
      <c r="Q69">
        <v>0.77062600000000003</v>
      </c>
      <c r="R69">
        <v>0.77386600000000005</v>
      </c>
      <c r="S69">
        <v>0.77439999999999998</v>
      </c>
      <c r="T69">
        <v>0.77713299999999996</v>
      </c>
      <c r="U69">
        <v>0.77759199999999995</v>
      </c>
      <c r="V69">
        <v>0.779941</v>
      </c>
      <c r="W69">
        <v>0.78296600000000005</v>
      </c>
      <c r="X69">
        <v>0.78323699999999996</v>
      </c>
      <c r="Y69">
        <v>0.78407099999999996</v>
      </c>
      <c r="Z69">
        <v>0.78447800000000001</v>
      </c>
      <c r="AA69">
        <v>0.78524400000000005</v>
      </c>
      <c r="AB69">
        <v>0.78548600000000002</v>
      </c>
      <c r="AC69">
        <v>0.78562100000000001</v>
      </c>
      <c r="AD69">
        <v>0.78612099999999996</v>
      </c>
      <c r="AE69">
        <v>0.78612099999999996</v>
      </c>
      <c r="AF69">
        <v>0.78662100000000001</v>
      </c>
      <c r="AG69">
        <v>0.78662100000000001</v>
      </c>
      <c r="AH69">
        <v>0.78662100000000001</v>
      </c>
      <c r="AI69" s="21">
        <v>1E-3</v>
      </c>
    </row>
    <row r="70" spans="1:35" x14ac:dyDescent="0.25">
      <c r="A70" t="s">
        <v>351</v>
      </c>
      <c r="B70" t="s">
        <v>1161</v>
      </c>
      <c r="C70" t="s">
        <v>1162</v>
      </c>
      <c r="D70" t="s">
        <v>299</v>
      </c>
      <c r="F70">
        <v>0.86204999999999998</v>
      </c>
      <c r="G70">
        <v>0.86204999999999998</v>
      </c>
      <c r="H70">
        <v>0.86204999999999998</v>
      </c>
      <c r="I70">
        <v>0.86204999999999998</v>
      </c>
      <c r="J70">
        <v>0.86204999999999998</v>
      </c>
      <c r="K70">
        <v>0.86204999999999998</v>
      </c>
      <c r="L70">
        <v>0.86204999999999998</v>
      </c>
      <c r="M70">
        <v>0.86204999999999998</v>
      </c>
      <c r="N70">
        <v>0.86204999999999998</v>
      </c>
      <c r="O70">
        <v>0.86204999999999998</v>
      </c>
      <c r="P70">
        <v>0.86204999999999998</v>
      </c>
      <c r="Q70">
        <v>0.86204999999999998</v>
      </c>
      <c r="R70">
        <v>0.86204999999999998</v>
      </c>
      <c r="S70">
        <v>0.86204999999999998</v>
      </c>
      <c r="T70">
        <v>0.86204999999999998</v>
      </c>
      <c r="U70">
        <v>0.86204999999999998</v>
      </c>
      <c r="V70">
        <v>0.86204999999999998</v>
      </c>
      <c r="W70">
        <v>0.86204999999999998</v>
      </c>
      <c r="X70">
        <v>0.86204999999999998</v>
      </c>
      <c r="Y70">
        <v>0.86204999999999998</v>
      </c>
      <c r="Z70">
        <v>0.86204999999999998</v>
      </c>
      <c r="AA70">
        <v>0.86204999999999998</v>
      </c>
      <c r="AB70">
        <v>0.86204999999999998</v>
      </c>
      <c r="AC70">
        <v>0.86204999999999998</v>
      </c>
      <c r="AD70">
        <v>0.86204999999999998</v>
      </c>
      <c r="AE70">
        <v>0.86204999999999998</v>
      </c>
      <c r="AF70">
        <v>0.86204999999999998</v>
      </c>
      <c r="AG70">
        <v>0.86204999999999998</v>
      </c>
      <c r="AH70">
        <v>0.86204999999999998</v>
      </c>
      <c r="AI70" s="21">
        <v>0</v>
      </c>
    </row>
    <row r="71" spans="1:35" x14ac:dyDescent="0.25">
      <c r="A71" t="s">
        <v>201</v>
      </c>
      <c r="B71" t="s">
        <v>1163</v>
      </c>
      <c r="C71" t="s">
        <v>1065</v>
      </c>
      <c r="D71" t="s">
        <v>299</v>
      </c>
      <c r="F71">
        <v>43.141810999999997</v>
      </c>
      <c r="G71">
        <v>49.324745</v>
      </c>
      <c r="H71">
        <v>54.277248</v>
      </c>
      <c r="I71">
        <v>58.297874</v>
      </c>
      <c r="J71">
        <v>60.587341000000002</v>
      </c>
      <c r="K71">
        <v>63.247978000000003</v>
      </c>
      <c r="L71">
        <v>65.571067999999997</v>
      </c>
      <c r="M71">
        <v>69.112335000000002</v>
      </c>
      <c r="N71">
        <v>71.701553000000004</v>
      </c>
      <c r="O71">
        <v>74.298064999999994</v>
      </c>
      <c r="P71">
        <v>76.633667000000003</v>
      </c>
      <c r="Q71">
        <v>79.958954000000006</v>
      </c>
      <c r="R71">
        <v>83.452399999999997</v>
      </c>
      <c r="S71">
        <v>85.554359000000005</v>
      </c>
      <c r="T71">
        <v>89.247414000000006</v>
      </c>
      <c r="U71">
        <v>91.487487999999999</v>
      </c>
      <c r="V71">
        <v>94.621819000000002</v>
      </c>
      <c r="W71">
        <v>97.540267999999998</v>
      </c>
      <c r="X71">
        <v>100.134277</v>
      </c>
      <c r="Y71">
        <v>102.395813</v>
      </c>
      <c r="Z71">
        <v>104.302109</v>
      </c>
      <c r="AA71">
        <v>105.978981</v>
      </c>
      <c r="AB71">
        <v>107.531494</v>
      </c>
      <c r="AC71">
        <v>109.058235</v>
      </c>
      <c r="AD71">
        <v>111.61190000000001</v>
      </c>
      <c r="AE71">
        <v>112.537209</v>
      </c>
      <c r="AF71">
        <v>114.04409</v>
      </c>
      <c r="AG71">
        <v>114.851089</v>
      </c>
      <c r="AH71">
        <v>115.432884</v>
      </c>
      <c r="AI71" s="21">
        <v>3.5999999999999997E-2</v>
      </c>
    </row>
    <row r="72" spans="1:35" x14ac:dyDescent="0.25">
      <c r="A72" t="s">
        <v>303</v>
      </c>
    </row>
    <row r="73" spans="1:35" x14ac:dyDescent="0.25">
      <c r="A73" t="s">
        <v>304</v>
      </c>
      <c r="B73" t="s">
        <v>1164</v>
      </c>
      <c r="C73" t="s">
        <v>1067</v>
      </c>
      <c r="D73" t="s">
        <v>299</v>
      </c>
      <c r="F73">
        <v>7.7965220000000004</v>
      </c>
      <c r="G73">
        <v>7.9140519999999999</v>
      </c>
      <c r="H73">
        <v>8.0300150000000006</v>
      </c>
      <c r="I73">
        <v>8.1640499999999996</v>
      </c>
      <c r="J73">
        <v>8.2799530000000008</v>
      </c>
      <c r="K73">
        <v>8.3879850000000005</v>
      </c>
      <c r="L73">
        <v>8.5068280000000005</v>
      </c>
      <c r="M73">
        <v>8.6406349999999996</v>
      </c>
      <c r="N73">
        <v>8.7865090000000006</v>
      </c>
      <c r="O73">
        <v>8.9388559999999995</v>
      </c>
      <c r="P73">
        <v>9.0872770000000003</v>
      </c>
      <c r="Q73">
        <v>9.2220680000000002</v>
      </c>
      <c r="R73">
        <v>9.3453029999999995</v>
      </c>
      <c r="S73">
        <v>9.4565509999999993</v>
      </c>
      <c r="T73">
        <v>9.5567189999999993</v>
      </c>
      <c r="U73">
        <v>9.6481960000000004</v>
      </c>
      <c r="V73">
        <v>9.7304040000000001</v>
      </c>
      <c r="W73">
        <v>9.8068840000000002</v>
      </c>
      <c r="X73">
        <v>9.8767180000000003</v>
      </c>
      <c r="Y73">
        <v>9.9426170000000003</v>
      </c>
      <c r="Z73">
        <v>10.007073999999999</v>
      </c>
      <c r="AA73">
        <v>10.071661000000001</v>
      </c>
      <c r="AB73">
        <v>10.136639000000001</v>
      </c>
      <c r="AC73">
        <v>10.202756000000001</v>
      </c>
      <c r="AD73">
        <v>10.27134</v>
      </c>
      <c r="AE73">
        <v>10.342048999999999</v>
      </c>
      <c r="AF73">
        <v>10.415813999999999</v>
      </c>
      <c r="AG73">
        <v>10.491967000000001</v>
      </c>
      <c r="AH73">
        <v>10.570430999999999</v>
      </c>
      <c r="AI73" s="21">
        <v>1.0999999999999999E-2</v>
      </c>
    </row>
    <row r="74" spans="1:35" x14ac:dyDescent="0.25">
      <c r="A74" t="s">
        <v>306</v>
      </c>
      <c r="B74" t="s">
        <v>1165</v>
      </c>
      <c r="C74" t="s">
        <v>1069</v>
      </c>
      <c r="D74" t="s">
        <v>299</v>
      </c>
      <c r="F74">
        <v>35.345286999999999</v>
      </c>
      <c r="G74">
        <v>41.410697999999996</v>
      </c>
      <c r="H74">
        <v>46.247233999999999</v>
      </c>
      <c r="I74">
        <v>50.133826999999997</v>
      </c>
      <c r="J74">
        <v>52.307392</v>
      </c>
      <c r="K74">
        <v>54.859993000000003</v>
      </c>
      <c r="L74">
        <v>57.064236000000001</v>
      </c>
      <c r="M74">
        <v>60.471702999999998</v>
      </c>
      <c r="N74">
        <v>62.915042999999997</v>
      </c>
      <c r="O74">
        <v>65.359206999999998</v>
      </c>
      <c r="P74">
        <v>67.546379000000002</v>
      </c>
      <c r="Q74">
        <v>70.736885000000001</v>
      </c>
      <c r="R74">
        <v>74.107094000000004</v>
      </c>
      <c r="S74">
        <v>76.097801000000004</v>
      </c>
      <c r="T74">
        <v>79.690697</v>
      </c>
      <c r="U74">
        <v>81.839279000000005</v>
      </c>
      <c r="V74">
        <v>84.891411000000005</v>
      </c>
      <c r="W74">
        <v>87.733383000000003</v>
      </c>
      <c r="X74">
        <v>90.257553000000001</v>
      </c>
      <c r="Y74">
        <v>92.453186000000002</v>
      </c>
      <c r="Z74">
        <v>94.295035999999996</v>
      </c>
      <c r="AA74">
        <v>95.907318000000004</v>
      </c>
      <c r="AB74">
        <v>97.394858999999997</v>
      </c>
      <c r="AC74">
        <v>98.855484000000004</v>
      </c>
      <c r="AD74">
        <v>101.340553</v>
      </c>
      <c r="AE74">
        <v>102.19516</v>
      </c>
      <c r="AF74">
        <v>103.62827299999999</v>
      </c>
      <c r="AG74">
        <v>104.359123</v>
      </c>
      <c r="AH74">
        <v>104.86245</v>
      </c>
      <c r="AI74" s="21">
        <v>0.04</v>
      </c>
    </row>
    <row r="75" spans="1:35" x14ac:dyDescent="0.25">
      <c r="A75" t="s">
        <v>308</v>
      </c>
    </row>
    <row r="76" spans="1:35" x14ac:dyDescent="0.25">
      <c r="A76" t="s">
        <v>431</v>
      </c>
      <c r="B76" t="s">
        <v>1166</v>
      </c>
      <c r="C76" t="s">
        <v>1167</v>
      </c>
      <c r="D76" t="s">
        <v>310</v>
      </c>
      <c r="F76">
        <v>1.0165280000000001</v>
      </c>
      <c r="G76">
        <v>1.0165280000000001</v>
      </c>
      <c r="H76">
        <v>1.0165280000000001</v>
      </c>
      <c r="I76">
        <v>1.0165280000000001</v>
      </c>
      <c r="J76">
        <v>1.0165280000000001</v>
      </c>
      <c r="K76">
        <v>1.0165280000000001</v>
      </c>
      <c r="L76">
        <v>1.0165280000000001</v>
      </c>
      <c r="M76">
        <v>1.0165280000000001</v>
      </c>
      <c r="N76">
        <v>1.0165280000000001</v>
      </c>
      <c r="O76">
        <v>1.0165280000000001</v>
      </c>
      <c r="P76">
        <v>1.0165280000000001</v>
      </c>
      <c r="Q76">
        <v>1.0165280000000001</v>
      </c>
      <c r="R76">
        <v>1.0165280000000001</v>
      </c>
      <c r="S76">
        <v>1.0165280000000001</v>
      </c>
      <c r="T76">
        <v>1.0165280000000001</v>
      </c>
      <c r="U76">
        <v>1.0165280000000001</v>
      </c>
      <c r="V76">
        <v>1.0165280000000001</v>
      </c>
      <c r="W76">
        <v>1.0165280000000001</v>
      </c>
      <c r="X76">
        <v>1.0165280000000001</v>
      </c>
      <c r="Y76">
        <v>1.0165280000000001</v>
      </c>
      <c r="Z76">
        <v>1.0165280000000001</v>
      </c>
      <c r="AA76">
        <v>1.0165280000000001</v>
      </c>
      <c r="AB76">
        <v>1.0165280000000001</v>
      </c>
      <c r="AC76">
        <v>1.0165280000000001</v>
      </c>
      <c r="AD76">
        <v>1.0165280000000001</v>
      </c>
      <c r="AE76">
        <v>1.0165280000000001</v>
      </c>
      <c r="AF76">
        <v>1.0165280000000001</v>
      </c>
      <c r="AG76">
        <v>1.0165280000000001</v>
      </c>
      <c r="AH76">
        <v>1.0165280000000001</v>
      </c>
      <c r="AI76" s="21">
        <v>0</v>
      </c>
    </row>
    <row r="77" spans="1:35" x14ac:dyDescent="0.25">
      <c r="A77" t="s">
        <v>215</v>
      </c>
      <c r="B77" t="s">
        <v>1168</v>
      </c>
      <c r="C77" t="s">
        <v>1169</v>
      </c>
      <c r="D77" t="s">
        <v>310</v>
      </c>
      <c r="F77">
        <v>102.695099</v>
      </c>
      <c r="G77">
        <v>104.688721</v>
      </c>
      <c r="H77">
        <v>106.936668</v>
      </c>
      <c r="I77">
        <v>108.52356</v>
      </c>
      <c r="J77">
        <v>109.95264400000001</v>
      </c>
      <c r="K77">
        <v>111.454178</v>
      </c>
      <c r="L77">
        <v>112.988495</v>
      </c>
      <c r="M77">
        <v>114.56694</v>
      </c>
      <c r="N77">
        <v>116.394722</v>
      </c>
      <c r="O77">
        <v>118.24170700000001</v>
      </c>
      <c r="P77">
        <v>120.19517500000001</v>
      </c>
      <c r="Q77">
        <v>121.982651</v>
      </c>
      <c r="R77">
        <v>123.64547</v>
      </c>
      <c r="S77">
        <v>125.14054899999999</v>
      </c>
      <c r="T77">
        <v>126.382019</v>
      </c>
      <c r="U77">
        <v>127.45240800000001</v>
      </c>
      <c r="V77">
        <v>128.580276</v>
      </c>
      <c r="W77">
        <v>129.79591400000001</v>
      </c>
      <c r="X77">
        <v>130.67846700000001</v>
      </c>
      <c r="Y77">
        <v>131.53282200000001</v>
      </c>
      <c r="Z77">
        <v>132.37248199999999</v>
      </c>
      <c r="AA77">
        <v>133.25744599999999</v>
      </c>
      <c r="AB77">
        <v>134.04570000000001</v>
      </c>
      <c r="AC77">
        <v>134.78710899999999</v>
      </c>
      <c r="AD77">
        <v>135.57063299999999</v>
      </c>
      <c r="AE77">
        <v>136.37170399999999</v>
      </c>
      <c r="AF77">
        <v>137.27465799999999</v>
      </c>
      <c r="AG77">
        <v>138.112167</v>
      </c>
      <c r="AH77">
        <v>138.97695899999999</v>
      </c>
      <c r="AI77" s="21">
        <v>1.0999999999999999E-2</v>
      </c>
    </row>
    <row r="78" spans="1:35" x14ac:dyDescent="0.25">
      <c r="A78" t="s">
        <v>293</v>
      </c>
      <c r="B78" t="s">
        <v>1170</v>
      </c>
      <c r="C78" t="s">
        <v>1073</v>
      </c>
      <c r="D78" t="s">
        <v>310</v>
      </c>
      <c r="F78">
        <v>261.81536899999998</v>
      </c>
      <c r="G78">
        <v>308.04424999999998</v>
      </c>
      <c r="H78">
        <v>349.12451199999998</v>
      </c>
      <c r="I78">
        <v>378.46252399999997</v>
      </c>
      <c r="J78">
        <v>393.90902699999998</v>
      </c>
      <c r="K78">
        <v>414.62033100000002</v>
      </c>
      <c r="L78">
        <v>431.87567100000001</v>
      </c>
      <c r="M78">
        <v>460.30529799999999</v>
      </c>
      <c r="N78">
        <v>480.62396200000001</v>
      </c>
      <c r="O78">
        <v>501.82757600000002</v>
      </c>
      <c r="P78">
        <v>519.754456</v>
      </c>
      <c r="Q78">
        <v>545.57995600000004</v>
      </c>
      <c r="R78">
        <v>573.58019999999999</v>
      </c>
      <c r="S78">
        <v>591.70874000000003</v>
      </c>
      <c r="T78">
        <v>620.73809800000004</v>
      </c>
      <c r="U78">
        <v>637.33618200000001</v>
      </c>
      <c r="V78">
        <v>658.83990500000004</v>
      </c>
      <c r="W78">
        <v>681.91436799999997</v>
      </c>
      <c r="X78">
        <v>701.09399399999995</v>
      </c>
      <c r="Y78">
        <v>720.85174600000005</v>
      </c>
      <c r="Z78">
        <v>735.41528300000004</v>
      </c>
      <c r="AA78">
        <v>748.40484600000002</v>
      </c>
      <c r="AB78">
        <v>761.18206799999996</v>
      </c>
      <c r="AC78">
        <v>772.83422900000005</v>
      </c>
      <c r="AD78">
        <v>793.08624299999997</v>
      </c>
      <c r="AE78">
        <v>800.96893299999999</v>
      </c>
      <c r="AF78">
        <v>811.40136700000005</v>
      </c>
      <c r="AG78">
        <v>818.58081100000004</v>
      </c>
      <c r="AH78">
        <v>819.180969</v>
      </c>
      <c r="AI78" s="21">
        <v>4.2000000000000003E-2</v>
      </c>
    </row>
    <row r="79" spans="1:35" x14ac:dyDescent="0.25">
      <c r="A79" t="s">
        <v>295</v>
      </c>
      <c r="B79" t="s">
        <v>1171</v>
      </c>
      <c r="C79" t="s">
        <v>1075</v>
      </c>
      <c r="D79" t="s">
        <v>310</v>
      </c>
      <c r="F79">
        <v>6.7917750000000003</v>
      </c>
      <c r="G79">
        <v>6.7889340000000002</v>
      </c>
      <c r="H79">
        <v>6.8487220000000004</v>
      </c>
      <c r="I79">
        <v>6.7939990000000003</v>
      </c>
      <c r="J79">
        <v>6.7299030000000002</v>
      </c>
      <c r="K79">
        <v>6.7143389999999998</v>
      </c>
      <c r="L79">
        <v>6.7315040000000002</v>
      </c>
      <c r="M79">
        <v>6.7956190000000003</v>
      </c>
      <c r="N79">
        <v>6.7823789999999997</v>
      </c>
      <c r="O79">
        <v>6.8196789999999998</v>
      </c>
      <c r="P79">
        <v>6.8348420000000001</v>
      </c>
      <c r="Q79">
        <v>6.8361929999999997</v>
      </c>
      <c r="R79">
        <v>6.8568100000000003</v>
      </c>
      <c r="S79">
        <v>6.9028080000000003</v>
      </c>
      <c r="T79">
        <v>6.9139020000000002</v>
      </c>
      <c r="U79">
        <v>6.8828230000000001</v>
      </c>
      <c r="V79">
        <v>6.8004189999999998</v>
      </c>
      <c r="W79">
        <v>6.8082890000000003</v>
      </c>
      <c r="X79">
        <v>6.7807579999999996</v>
      </c>
      <c r="Y79">
        <v>6.8042550000000004</v>
      </c>
      <c r="Z79">
        <v>6.8025869999999999</v>
      </c>
      <c r="AA79">
        <v>6.7917269999999998</v>
      </c>
      <c r="AB79">
        <v>6.7827000000000002</v>
      </c>
      <c r="AC79">
        <v>6.7688360000000003</v>
      </c>
      <c r="AD79">
        <v>6.7645239999999998</v>
      </c>
      <c r="AE79">
        <v>6.7665100000000002</v>
      </c>
      <c r="AF79">
        <v>6.7603850000000003</v>
      </c>
      <c r="AG79">
        <v>6.7543709999999999</v>
      </c>
      <c r="AH79">
        <v>6.7430329999999996</v>
      </c>
      <c r="AI79" s="21">
        <v>0</v>
      </c>
    </row>
    <row r="80" spans="1:35" x14ac:dyDescent="0.25">
      <c r="A80" t="s">
        <v>351</v>
      </c>
      <c r="B80" t="s">
        <v>1172</v>
      </c>
      <c r="C80" t="s">
        <v>1173</v>
      </c>
      <c r="D80" t="s">
        <v>310</v>
      </c>
      <c r="F80">
        <v>16.760142999999999</v>
      </c>
      <c r="G80">
        <v>16.760142999999999</v>
      </c>
      <c r="H80">
        <v>16.760142999999999</v>
      </c>
      <c r="I80">
        <v>16.760142999999999</v>
      </c>
      <c r="J80">
        <v>16.760142999999999</v>
      </c>
      <c r="K80">
        <v>16.760142999999999</v>
      </c>
      <c r="L80">
        <v>16.760142999999999</v>
      </c>
      <c r="M80">
        <v>16.760142999999999</v>
      </c>
      <c r="N80">
        <v>16.760142999999999</v>
      </c>
      <c r="O80">
        <v>16.760142999999999</v>
      </c>
      <c r="P80">
        <v>16.760142999999999</v>
      </c>
      <c r="Q80">
        <v>16.760142999999999</v>
      </c>
      <c r="R80">
        <v>16.760142999999999</v>
      </c>
      <c r="S80">
        <v>16.760142999999999</v>
      </c>
      <c r="T80">
        <v>16.760142999999999</v>
      </c>
      <c r="U80">
        <v>16.760142999999999</v>
      </c>
      <c r="V80">
        <v>16.760142999999999</v>
      </c>
      <c r="W80">
        <v>16.760142999999999</v>
      </c>
      <c r="X80">
        <v>16.760142999999999</v>
      </c>
      <c r="Y80">
        <v>16.760142999999999</v>
      </c>
      <c r="Z80">
        <v>16.760142999999999</v>
      </c>
      <c r="AA80">
        <v>16.760142999999999</v>
      </c>
      <c r="AB80">
        <v>16.760142999999999</v>
      </c>
      <c r="AC80">
        <v>16.760142999999999</v>
      </c>
      <c r="AD80">
        <v>16.760142999999999</v>
      </c>
      <c r="AE80">
        <v>16.760142999999999</v>
      </c>
      <c r="AF80">
        <v>16.760142999999999</v>
      </c>
      <c r="AG80">
        <v>16.760142999999999</v>
      </c>
      <c r="AH80">
        <v>16.760142999999999</v>
      </c>
      <c r="AI80" s="21">
        <v>0</v>
      </c>
    </row>
    <row r="81" spans="1:35" x14ac:dyDescent="0.25">
      <c r="A81" t="s">
        <v>201</v>
      </c>
      <c r="B81" t="s">
        <v>1174</v>
      </c>
      <c r="C81" t="s">
        <v>1077</v>
      </c>
      <c r="D81" t="s">
        <v>310</v>
      </c>
      <c r="F81">
        <v>389.07888800000001</v>
      </c>
      <c r="G81">
        <v>437.29858400000001</v>
      </c>
      <c r="H81">
        <v>480.686554</v>
      </c>
      <c r="I81">
        <v>511.55676299999999</v>
      </c>
      <c r="J81">
        <v>528.36822500000005</v>
      </c>
      <c r="K81">
        <v>550.56555200000003</v>
      </c>
      <c r="L81">
        <v>569.37231399999996</v>
      </c>
      <c r="M81">
        <v>599.44451900000001</v>
      </c>
      <c r="N81">
        <v>621.57769800000005</v>
      </c>
      <c r="O81">
        <v>644.66564900000003</v>
      </c>
      <c r="P81">
        <v>664.56115699999998</v>
      </c>
      <c r="Q81">
        <v>692.17541500000004</v>
      </c>
      <c r="R81">
        <v>721.85913100000005</v>
      </c>
      <c r="S81">
        <v>741.52880900000002</v>
      </c>
      <c r="T81">
        <v>771.81066899999996</v>
      </c>
      <c r="U81">
        <v>789.44805899999994</v>
      </c>
      <c r="V81">
        <v>811.997253</v>
      </c>
      <c r="W81">
        <v>836.29522699999995</v>
      </c>
      <c r="X81">
        <v>856.32989499999996</v>
      </c>
      <c r="Y81">
        <v>876.96551499999998</v>
      </c>
      <c r="Z81">
        <v>892.36706500000003</v>
      </c>
      <c r="AA81">
        <v>906.23071300000004</v>
      </c>
      <c r="AB81">
        <v>919.78710899999999</v>
      </c>
      <c r="AC81">
        <v>932.16687000000002</v>
      </c>
      <c r="AD81">
        <v>953.19805899999994</v>
      </c>
      <c r="AE81">
        <v>961.88385000000005</v>
      </c>
      <c r="AF81">
        <v>973.21307400000001</v>
      </c>
      <c r="AG81">
        <v>981.22399900000005</v>
      </c>
      <c r="AH81">
        <v>982.67761199999995</v>
      </c>
      <c r="AI81" s="21">
        <v>3.4000000000000002E-2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tabSelected="1" topLeftCell="C67" zoomScaleNormal="100" workbookViewId="0">
      <selection activeCell="V89" sqref="V89"/>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2" max="22" width="9.5703125" bestFit="1"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f>INDEX(AEO21_Table_21._Residential_Sec!$E$8:$AK$93,MATCH($A44,AEO21_Table_21._Residential_Sec!$C$8:$C$93,0),MATCH(E$4,AEO21_Table_21._Residential_Sec!$E$5:$AK$5,0))*gigwatt_to_megawatt*Percent_Urban</f>
        <v>0</v>
      </c>
      <c r="F44" s="17">
        <f>INDEX(AEO22_Table_21._Residential_Sec!$E$8:$AJ$93,MATCH($B44,AEO22_Table_21._Residential_Sec!$C$8:$C$93,0),MATCH(F$4,AEO22_Table_21._Residential_Sec!$E$5:$AJ$5,0))*gigwatt_to_megawatt*Percent_Urban</f>
        <v>0</v>
      </c>
      <c r="G44" s="17">
        <f>INDEX(AEO22_Table_21._Residential_Sec!$E$8:$AJ$93,MATCH($B44,AEO22_Table_21._Residential_Sec!$C$8:$C$93,0),MATCH(G$4,AEO22_Table_21._Residential_Sec!$E$5:$AJ$5,0))*gigwatt_to_megawatt*Percent_Urban</f>
        <v>0</v>
      </c>
      <c r="H44" s="17">
        <f>INDEX(AEO22_Table_21._Residential_Sec!$E$8:$AJ$93,MATCH($B44,AEO22_Table_21._Residential_Sec!$C$8:$C$93,0),MATCH(H$4,AEO22_Table_21._Residential_Sec!$E$5:$AJ$5,0))*gigwatt_to_megawatt*Percent_Urban</f>
        <v>0</v>
      </c>
      <c r="I44" s="17">
        <f>INDEX(AEO22_Table_21._Residential_Sec!$E$8:$AJ$93,MATCH($B44,AEO22_Table_21._Residential_Sec!$C$8:$C$93,0),MATCH(I$4,AEO22_Table_21._Residential_Sec!$E$5:$AJ$5,0))*gigwatt_to_megawatt*Percent_Urban</f>
        <v>0</v>
      </c>
      <c r="J44" s="17">
        <f>INDEX(AEO22_Table_21._Residential_Sec!$E$8:$AJ$93,MATCH($B44,AEO22_Table_21._Residential_Sec!$C$8:$C$93,0),MATCH(J$4,AEO22_Table_21._Residential_Sec!$E$5:$AJ$5,0))*gigwatt_to_megawatt*Percent_Urban</f>
        <v>0</v>
      </c>
      <c r="K44" s="17">
        <f>INDEX(AEO22_Table_21._Residential_Sec!$E$8:$AJ$93,MATCH($B44,AEO22_Table_21._Residential_Sec!$C$8:$C$93,0),MATCH(K$4,AEO22_Table_21._Residential_Sec!$E$5:$AJ$5,0))*gigwatt_to_megawatt*Percent_Urban</f>
        <v>0</v>
      </c>
      <c r="L44" s="17">
        <f>INDEX(AEO22_Table_21._Residential_Sec!$E$8:$AJ$93,MATCH($B44,AEO22_Table_21._Residential_Sec!$C$8:$C$93,0),MATCH(L$4,AEO22_Table_21._Residential_Sec!$E$5:$AJ$5,0))*gigwatt_to_megawatt*Percent_Urban</f>
        <v>0</v>
      </c>
      <c r="M44" s="17">
        <f>INDEX(AEO22_Table_21._Residential_Sec!$E$8:$AJ$93,MATCH($B44,AEO22_Table_21._Residential_Sec!$C$8:$C$93,0),MATCH(M$4,AEO22_Table_21._Residential_Sec!$E$5:$AJ$5,0))*gigwatt_to_megawatt*Percent_Urban</f>
        <v>0</v>
      </c>
      <c r="N44" s="17">
        <f>INDEX(AEO22_Table_21._Residential_Sec!$E$8:$AJ$93,MATCH($B44,AEO22_Table_21._Residential_Sec!$C$8:$C$93,0),MATCH(N$4,AEO22_Table_21._Residential_Sec!$E$5:$AJ$5,0))*gigwatt_to_megawatt*Percent_Urban</f>
        <v>0</v>
      </c>
      <c r="O44" s="17">
        <f>INDEX(AEO22_Table_21._Residential_Sec!$E$8:$AJ$93,MATCH($B44,AEO22_Table_21._Residential_Sec!$C$8:$C$93,0),MATCH(O$4,AEO22_Table_21._Residential_Sec!$E$5:$AJ$5,0))*gigwatt_to_megawatt*Percent_Urban</f>
        <v>0</v>
      </c>
      <c r="P44" s="17">
        <f>INDEX(AEO22_Table_21._Residential_Sec!$E$8:$AJ$93,MATCH($B44,AEO22_Table_21._Residential_Sec!$C$8:$C$93,0),MATCH(P$4,AEO22_Table_21._Residential_Sec!$E$5:$AJ$5,0))*gigwatt_to_megawatt*Percent_Urban</f>
        <v>0</v>
      </c>
      <c r="Q44" s="17">
        <f>INDEX(AEO22_Table_21._Residential_Sec!$E$8:$AJ$93,MATCH($B44,AEO22_Table_21._Residential_Sec!$C$8:$C$93,0),MATCH(Q$4,AEO22_Table_21._Residential_Sec!$E$5:$AJ$5,0))*gigwatt_to_megawatt*Percent_Urban</f>
        <v>0</v>
      </c>
      <c r="R44" s="17">
        <f>INDEX(AEO22_Table_21._Residential_Sec!$E$8:$AJ$93,MATCH($B44,AEO22_Table_21._Residential_Sec!$C$8:$C$93,0),MATCH(R$4,AEO22_Table_21._Residential_Sec!$E$5:$AJ$5,0))*gigwatt_to_megawatt*Percent_Urban</f>
        <v>0</v>
      </c>
      <c r="S44" s="17">
        <f>INDEX(AEO22_Table_21._Residential_Sec!$E$8:$AJ$93,MATCH($B44,AEO22_Table_21._Residential_Sec!$C$8:$C$93,0),MATCH(S$4,AEO22_Table_21._Residential_Sec!$E$5:$AJ$5,0))*gigwatt_to_megawatt*Percent_Urban</f>
        <v>1.6261636849348336E-3</v>
      </c>
      <c r="T44" s="17">
        <f>INDEX(AEO22_Table_21._Residential_Sec!$E$8:$AJ$93,MATCH($B44,AEO22_Table_21._Residential_Sec!$C$8:$C$93,0),MATCH(T$4,AEO22_Table_21._Residential_Sec!$E$5:$AJ$5,0))*gigwatt_to_megawatt*Percent_Urban</f>
        <v>4.0654092123370835E-3</v>
      </c>
      <c r="U44" s="17">
        <f>INDEX(AEO22_Table_21._Residential_Sec!$E$8:$AJ$93,MATCH($B44,AEO22_Table_21._Residential_Sec!$C$8:$C$93,0),MATCH(U$4,AEO22_Table_21._Residential_Sec!$E$5:$AJ$5,0))*gigwatt_to_megawatt*Percent_Urban</f>
        <v>8.1308184246741671E-3</v>
      </c>
      <c r="V44" s="17">
        <f>INDEX(AEO22_Table_21._Residential_Sec!$E$8:$AJ$93,MATCH($B44,AEO22_Table_21._Residential_Sec!$C$8:$C$93,0),MATCH(V$4,AEO22_Table_21._Residential_Sec!$E$5:$AJ$5,0))*gigwatt_to_megawatt*Percent_Urban</f>
        <v>1.707471869181575E-2</v>
      </c>
      <c r="W44" s="17">
        <f>INDEX(AEO22_Table_21._Residential_Sec!$E$8:$AJ$93,MATCH($B44,AEO22_Table_21._Residential_Sec!$C$8:$C$93,0),MATCH(W$4,AEO22_Table_21._Residential_Sec!$E$5:$AJ$5,0))*gigwatt_to_megawatt*Percent_Urban</f>
        <v>3.3336355541164091E-2</v>
      </c>
      <c r="X44" s="17">
        <f>INDEX(AEO22_Table_21._Residential_Sec!$E$8:$AJ$93,MATCH($B44,AEO22_Table_21._Residential_Sec!$C$8:$C$93,0),MATCH(X$4,AEO22_Table_21._Residential_Sec!$E$5:$AJ$5,0))*gigwatt_to_megawatt*Percent_Urban</f>
        <v>6.3420383712458506E-2</v>
      </c>
      <c r="Y44" s="17">
        <f>INDEX(AEO22_Table_21._Residential_Sec!$E$8:$AJ$93,MATCH($B44,AEO22_Table_21._Residential_Sec!$C$8:$C$93,0),MATCH(Y$4,AEO22_Table_21._Residential_Sec!$E$5:$AJ$5,0))*gigwatt_to_megawatt*Percent_Urban</f>
        <v>0.11870994900024284</v>
      </c>
      <c r="Z44" s="17">
        <f>INDEX(AEO22_Table_21._Residential_Sec!$E$8:$AJ$93,MATCH($B44,AEO22_Table_21._Residential_Sec!$C$8:$C$93,0),MATCH(Z$4,AEO22_Table_21._Residential_Sec!$E$5:$AJ$5,0))*gigwatt_to_megawatt*Percent_Urban</f>
        <v>0.22034517930866993</v>
      </c>
      <c r="AA44" s="17">
        <f>INDEX(AEO22_Table_21._Residential_Sec!$E$8:$AJ$93,MATCH($B44,AEO22_Table_21._Residential_Sec!$C$8:$C$93,0),MATCH(AA$4,AEO22_Table_21._Residential_Sec!$E$5:$AJ$5,0))*gigwatt_to_megawatt*Percent_Urban</f>
        <v>0.32116732777462964</v>
      </c>
      <c r="AB44" s="17">
        <f>INDEX(AEO22_Table_21._Residential_Sec!$E$8:$AJ$93,MATCH($B44,AEO22_Table_21._Residential_Sec!$C$8:$C$93,0),MATCH(AB$4,AEO22_Table_21._Residential_Sec!$E$5:$AJ$5,0))*gigwatt_to_megawatt*Percent_Urban</f>
        <v>0.42280255808305667</v>
      </c>
      <c r="AC44" s="17">
        <f>INDEX(AEO22_Table_21._Residential_Sec!$E$8:$AJ$93,MATCH($B44,AEO22_Table_21._Residential_Sec!$C$8:$C$93,0),MATCH(AC$4,AEO22_Table_21._Residential_Sec!$E$5:$AJ$5,0))*gigwatt_to_megawatt*Percent_Urban</f>
        <v>0.52443778839148369</v>
      </c>
      <c r="AD44" s="17">
        <f>INDEX(AEO22_Table_21._Residential_Sec!$E$8:$AJ$93,MATCH($B44,AEO22_Table_21._Residential_Sec!$C$8:$C$93,0),MATCH(AD$4,AEO22_Table_21._Residential_Sec!$E$5:$AJ$5,0))*gigwatt_to_megawatt*Percent_Urban</f>
        <v>0.62607301869991083</v>
      </c>
      <c r="AE44" s="17">
        <f>INDEX(AEO22_Table_21._Residential_Sec!$E$8:$AJ$93,MATCH($B44,AEO22_Table_21._Residential_Sec!$C$8:$C$93,0),MATCH(AE$4,AEO22_Table_21._Residential_Sec!$E$5:$AJ$5,0))*gigwatt_to_megawatt*Percent_Urban</f>
        <v>0.72852133085080539</v>
      </c>
      <c r="AF44" s="17">
        <f>INDEX(AEO22_Table_21._Residential_Sec!$E$8:$AJ$93,MATCH($B44,AEO22_Table_21._Residential_Sec!$C$8:$C$93,0),MATCH(AF$4,AEO22_Table_21._Residential_Sec!$E$5:$AJ$5,0))*gigwatt_to_megawatt*Percent_Urban</f>
        <v>0.83096964300169973</v>
      </c>
      <c r="AG44" s="17">
        <f>INDEX(AEO22_Table_21._Residential_Sec!$E$8:$AJ$93,MATCH($B44,AEO22_Table_21._Residential_Sec!$C$8:$C$93,0),MATCH(AG$4,AEO22_Table_21._Residential_Sec!$E$5:$AJ$5,0))*gigwatt_to_megawatt*Percent_Urban</f>
        <v>0.93260487331012709</v>
      </c>
      <c r="AH44" s="17">
        <f>INDEX(AEO22_Table_21._Residential_Sec!$E$8:$AJ$93,MATCH($B44,AEO22_Table_21._Residential_Sec!$C$8:$C$93,0),MATCH(AH$4,AEO22_Table_21._Residential_Sec!$E$5:$AJ$5,0))*gigwatt_to_megawatt*Percent_Urban</f>
        <v>1.0350531854610217</v>
      </c>
      <c r="AI44" s="17">
        <f>INDEX(AEO22_Table_21._Residential_Sec!$E$8:$AJ$93,MATCH($B44,AEO22_Table_21._Residential_Sec!$C$8:$C$93,0),MATCH(AI$4,AEO22_Table_21._Residential_Sec!$E$5:$AJ$5,0))*gigwatt_to_megawatt*Percent_Urban</f>
        <v>1.137501497611916</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f>INDEX(AEO21_Table_21._Residential_Sec!$E$8:$AK$93,MATCH($A47,AEO21_Table_21._Residential_Sec!$C$8:$C$93,0),MATCH(E$4,AEO21_Table_21._Residential_Sec!$E$5:$AK$5,0))*gigwatt_to_megawatt*Percent_Urban</f>
        <v>11.571780781996274</v>
      </c>
      <c r="F47" s="17">
        <f>INDEX(AEO22_Table_21._Residential_Sec!$E$8:$AJ$93,MATCH($B47,AEO22_Table_21._Residential_Sec!$C$8:$C$93,0),MATCH(F$4,AEO22_Table_21._Residential_Sec!$E$5:$AJ$5,0))*gigwatt_to_megawatt*Percent_Urban</f>
        <v>11.571780781996274</v>
      </c>
      <c r="G47" s="17">
        <f>INDEX(AEO22_Table_21._Residential_Sec!$E$8:$AJ$93,MATCH($B47,AEO22_Table_21._Residential_Sec!$C$8:$C$93,0),MATCH(G$4,AEO22_Table_21._Residential_Sec!$E$5:$AJ$5,0))*gigwatt_to_megawatt*Percent_Urban</f>
        <v>11.571780781996274</v>
      </c>
      <c r="H47" s="17">
        <f>INDEX(AEO22_Table_21._Residential_Sec!$E$8:$AJ$93,MATCH($B47,AEO22_Table_21._Residential_Sec!$C$8:$C$93,0),MATCH(H$4,AEO22_Table_21._Residential_Sec!$E$5:$AJ$5,0))*gigwatt_to_megawatt*Percent_Urban</f>
        <v>11.571780781996274</v>
      </c>
      <c r="I47" s="17">
        <f>INDEX(AEO22_Table_21._Residential_Sec!$E$8:$AJ$93,MATCH($B47,AEO22_Table_21._Residential_Sec!$C$8:$C$93,0),MATCH(I$4,AEO22_Table_21._Residential_Sec!$E$5:$AJ$5,0))*gigwatt_to_megawatt*Percent_Urban</f>
        <v>11.571780781996274</v>
      </c>
      <c r="J47" s="17">
        <f>INDEX(AEO22_Table_21._Residential_Sec!$E$8:$AJ$93,MATCH($B47,AEO22_Table_21._Residential_Sec!$C$8:$C$93,0),MATCH(J$4,AEO22_Table_21._Residential_Sec!$E$5:$AJ$5,0))*gigwatt_to_megawatt*Percent_Urban</f>
        <v>11.571780781996274</v>
      </c>
      <c r="K47" s="17">
        <f>INDEX(AEO22_Table_21._Residential_Sec!$E$8:$AJ$93,MATCH($B47,AEO22_Table_21._Residential_Sec!$C$8:$C$93,0),MATCH(K$4,AEO22_Table_21._Residential_Sec!$E$5:$AJ$5,0))*gigwatt_to_megawatt*Percent_Urban</f>
        <v>11.571780781996274</v>
      </c>
      <c r="L47" s="17">
        <f>INDEX(AEO22_Table_21._Residential_Sec!$E$8:$AJ$93,MATCH($B47,AEO22_Table_21._Residential_Sec!$C$8:$C$93,0),MATCH(L$4,AEO22_Table_21._Residential_Sec!$E$5:$AJ$5,0))*gigwatt_to_megawatt*Percent_Urban</f>
        <v>11.571780781996274</v>
      </c>
      <c r="M47" s="17">
        <f>INDEX(AEO22_Table_21._Residential_Sec!$E$8:$AJ$93,MATCH($B47,AEO22_Table_21._Residential_Sec!$C$8:$C$93,0),MATCH(M$4,AEO22_Table_21._Residential_Sec!$E$5:$AJ$5,0))*gigwatt_to_megawatt*Percent_Urban</f>
        <v>11.571780781996274</v>
      </c>
      <c r="N47" s="17">
        <f>INDEX(AEO22_Table_21._Residential_Sec!$E$8:$AJ$93,MATCH($B47,AEO22_Table_21._Residential_Sec!$C$8:$C$93,0),MATCH(N$4,AEO22_Table_21._Residential_Sec!$E$5:$AJ$5,0))*gigwatt_to_megawatt*Percent_Urban</f>
        <v>11.571780781996274</v>
      </c>
      <c r="O47" s="17">
        <f>INDEX(AEO22_Table_21._Residential_Sec!$E$8:$AJ$93,MATCH($B47,AEO22_Table_21._Residential_Sec!$C$8:$C$93,0),MATCH(O$4,AEO22_Table_21._Residential_Sec!$E$5:$AJ$5,0))*gigwatt_to_megawatt*Percent_Urban</f>
        <v>11.571780781996274</v>
      </c>
      <c r="P47" s="17">
        <f>INDEX(AEO22_Table_21._Residential_Sec!$E$8:$AJ$93,MATCH($B47,AEO22_Table_21._Residential_Sec!$C$8:$C$93,0),MATCH(P$4,AEO22_Table_21._Residential_Sec!$E$5:$AJ$5,0))*gigwatt_to_megawatt*Percent_Urban</f>
        <v>11.571780781996274</v>
      </c>
      <c r="Q47" s="17">
        <f>INDEX(AEO22_Table_21._Residential_Sec!$E$8:$AJ$93,MATCH($B47,AEO22_Table_21._Residential_Sec!$C$8:$C$93,0),MATCH(Q$4,AEO22_Table_21._Residential_Sec!$E$5:$AJ$5,0))*gigwatt_to_megawatt*Percent_Urban</f>
        <v>11.572593863838744</v>
      </c>
      <c r="R47" s="17">
        <f>INDEX(AEO22_Table_21._Residential_Sec!$E$8:$AJ$93,MATCH($B47,AEO22_Table_21._Residential_Sec!$C$8:$C$93,0),MATCH(R$4,AEO22_Table_21._Residential_Sec!$E$5:$AJ$5,0))*gigwatt_to_megawatt*Percent_Urban</f>
        <v>11.572593863838744</v>
      </c>
      <c r="S47" s="17">
        <f>INDEX(AEO22_Table_21._Residential_Sec!$E$8:$AJ$93,MATCH($B47,AEO22_Table_21._Residential_Sec!$C$8:$C$93,0),MATCH(S$4,AEO22_Table_21._Residential_Sec!$E$5:$AJ$5,0))*gigwatt_to_megawatt*Percent_Urban</f>
        <v>11.575033109366146</v>
      </c>
      <c r="T47" s="17">
        <f>INDEX(AEO22_Table_21._Residential_Sec!$E$8:$AJ$93,MATCH($B47,AEO22_Table_21._Residential_Sec!$C$8:$C$93,0),MATCH(T$4,AEO22_Table_21._Residential_Sec!$E$5:$AJ$5,0))*gigwatt_to_megawatt*Percent_Urban</f>
        <v>11.579911600420949</v>
      </c>
      <c r="U47" s="17">
        <f>INDEX(AEO22_Table_21._Residential_Sec!$E$8:$AJ$93,MATCH($B47,AEO22_Table_21._Residential_Sec!$C$8:$C$93,0),MATCH(U$4,AEO22_Table_21._Residential_Sec!$E$5:$AJ$5,0))*gigwatt_to_megawatt*Percent_Urban</f>
        <v>11.588855500688091</v>
      </c>
      <c r="V47" s="17">
        <f>INDEX(AEO22_Table_21._Residential_Sec!$E$8:$AJ$93,MATCH($B47,AEO22_Table_21._Residential_Sec!$C$8:$C$93,0),MATCH(V$4,AEO22_Table_21._Residential_Sec!$E$5:$AJ$5,0))*gigwatt_to_megawatt*Percent_Urban</f>
        <v>11.605930219379907</v>
      </c>
      <c r="W47" s="17">
        <f>INDEX(AEO22_Table_21._Residential_Sec!$E$8:$AJ$93,MATCH($B47,AEO22_Table_21._Residential_Sec!$C$8:$C$93,0),MATCH(W$4,AEO22_Table_21._Residential_Sec!$E$5:$AJ$5,0))*gigwatt_to_megawatt*Percent_Urban</f>
        <v>11.638453493078604</v>
      </c>
      <c r="X47" s="17">
        <f>INDEX(AEO22_Table_21._Residential_Sec!$E$8:$AJ$93,MATCH($B47,AEO22_Table_21._Residential_Sec!$C$8:$C$93,0),MATCH(X$4,AEO22_Table_21._Residential_Sec!$E$5:$AJ$5,0))*gigwatt_to_megawatt*Percent_Urban</f>
        <v>11.698621549421192</v>
      </c>
      <c r="Y47" s="17">
        <f>INDEX(AEO22_Table_21._Residential_Sec!$E$8:$AJ$93,MATCH($B47,AEO22_Table_21._Residential_Sec!$C$8:$C$93,0),MATCH(Y$4,AEO22_Table_21._Residential_Sec!$E$5:$AJ$5,0))*gigwatt_to_megawatt*Percent_Urban</f>
        <v>11.81001376183923</v>
      </c>
      <c r="Z47" s="17">
        <f>INDEX(AEO22_Table_21._Residential_Sec!$E$8:$AJ$93,MATCH($B47,AEO22_Table_21._Residential_Sec!$C$8:$C$93,0),MATCH(Z$4,AEO22_Table_21._Residential_Sec!$E$5:$AJ$5,0))*gigwatt_to_megawatt*Percent_Urban</f>
        <v>12.011658058771149</v>
      </c>
      <c r="AA47" s="17">
        <f>INDEX(AEO22_Table_21._Residential_Sec!$E$8:$AJ$93,MATCH($B47,AEO22_Table_21._Residential_Sec!$C$8:$C$93,0),MATCH(AA$4,AEO22_Table_21._Residential_Sec!$E$5:$AJ$5,0))*gigwatt_to_megawatt*Percent_Urban</f>
        <v>12.214115437545535</v>
      </c>
      <c r="AB47" s="17">
        <f>INDEX(AEO22_Table_21._Residential_Sec!$E$8:$AJ$93,MATCH($B47,AEO22_Table_21._Residential_Sec!$C$8:$C$93,0),MATCH(AB$4,AEO22_Table_21._Residential_Sec!$E$5:$AJ$5,0))*gigwatt_to_megawatt*Percent_Urban</f>
        <v>12.417385898162388</v>
      </c>
      <c r="AC47" s="17">
        <f>INDEX(AEO22_Table_21._Residential_Sec!$E$8:$AJ$93,MATCH($B47,AEO22_Table_21._Residential_Sec!$C$8:$C$93,0),MATCH(AC$4,AEO22_Table_21._Residential_Sec!$E$5:$AJ$5,0))*gigwatt_to_megawatt*Percent_Urban</f>
        <v>12.620656358779241</v>
      </c>
      <c r="AD47" s="17">
        <f>INDEX(AEO22_Table_21._Residential_Sec!$E$8:$AJ$93,MATCH($B47,AEO22_Table_21._Residential_Sec!$C$8:$C$93,0),MATCH(AD$4,AEO22_Table_21._Residential_Sec!$E$5:$AJ$5,0))*gigwatt_to_megawatt*Percent_Urban</f>
        <v>12.824739901238564</v>
      </c>
      <c r="AE47" s="17">
        <f>INDEX(AEO22_Table_21._Residential_Sec!$E$8:$AJ$93,MATCH($B47,AEO22_Table_21._Residential_Sec!$C$8:$C$93,0),MATCH(AE$4,AEO22_Table_21._Residential_Sec!$E$5:$AJ$5,0))*gigwatt_to_megawatt*Percent_Urban</f>
        <v>13.028823443697886</v>
      </c>
      <c r="AF47" s="17">
        <f>INDEX(AEO22_Table_21._Residential_Sec!$E$8:$AJ$93,MATCH($B47,AEO22_Table_21._Residential_Sec!$C$8:$C$93,0),MATCH(AF$4,AEO22_Table_21._Residential_Sec!$E$5:$AJ$5,0))*gigwatt_to_megawatt*Percent_Urban</f>
        <v>13.232906986157209</v>
      </c>
      <c r="AG47" s="17">
        <f>INDEX(AEO22_Table_21._Residential_Sec!$E$8:$AJ$93,MATCH($B47,AEO22_Table_21._Residential_Sec!$C$8:$C$93,0),MATCH(AG$4,AEO22_Table_21._Residential_Sec!$E$5:$AJ$5,0))*gigwatt_to_megawatt*Percent_Urban</f>
        <v>13.437803610458998</v>
      </c>
      <c r="AH47" s="17">
        <f>INDEX(AEO22_Table_21._Residential_Sec!$E$8:$AJ$93,MATCH($B47,AEO22_Table_21._Residential_Sec!$C$8:$C$93,0),MATCH(AH$4,AEO22_Table_21._Residential_Sec!$E$5:$AJ$5,0))*gigwatt_to_megawatt*Percent_Urban</f>
        <v>13.642700234760786</v>
      </c>
      <c r="AI47" s="17">
        <f>INDEX(AEO22_Table_21._Residential_Sec!$E$8:$AJ$93,MATCH($B47,AEO22_Table_21._Residential_Sec!$C$8:$C$93,0),MATCH(AI$4,AEO22_Table_21._Residential_Sec!$E$5:$AJ$5,0))*gigwatt_to_megawatt*Percent_Urban</f>
        <v>13.847596859062577</v>
      </c>
    </row>
    <row r="48" spans="1:35" x14ac:dyDescent="0.25">
      <c r="A48" t="s">
        <v>549</v>
      </c>
      <c r="B48" s="3" t="s">
        <v>755</v>
      </c>
      <c r="C48" t="s">
        <v>10</v>
      </c>
      <c r="D48" s="17"/>
      <c r="E48" s="17">
        <f>INDEX(AEO21_Table_21._Residential_Sec!$E$8:$AK$93,MATCH($A48,AEO21_Table_21._Residential_Sec!$C$8:$C$93,0),MATCH(E$4,AEO21_Table_21._Residential_Sec!$E$5:$AK$5,0))*gigwatt_to_megawatt*Percent_Urban</f>
        <v>14894.199872095845</v>
      </c>
      <c r="F48" s="17">
        <f>INDEX(AEO22_Table_21._Residential_Sec!$E$8:$AJ$93,MATCH($B48,AEO22_Table_21._Residential_Sec!$C$8:$C$93,0),MATCH(F$4,AEO22_Table_21._Residential_Sec!$E$5:$AJ$5,0))*gigwatt_to_megawatt*Percent_Urban</f>
        <v>17296.296503197602</v>
      </c>
      <c r="G48" s="17">
        <f>AEO23_Table_21._Residential!F78*gigwatt_to_megawatt*Percent_Urban</f>
        <v>21092.010533797456</v>
      </c>
      <c r="H48" s="17">
        <f>AEO23_Table_21._Residential!G78*gigwatt_to_megawatt*Percent_Urban</f>
        <v>23113.409236946489</v>
      </c>
      <c r="I48" s="17">
        <f>AEO23_Table_21._Residential!H78*gigwatt_to_megawatt*Percent_Urban</f>
        <v>25463.706863110172</v>
      </c>
      <c r="J48" s="17">
        <f>AEO23_Table_21._Residential!I78*gigwatt_to_megawatt*Percent_Urban</f>
        <v>27818.03818829434</v>
      </c>
      <c r="K48" s="17">
        <f>AEO23_Table_21._Residential!J78*gigwatt_to_megawatt*Percent_Urban</f>
        <v>30167.286125799401</v>
      </c>
      <c r="L48" s="17">
        <f>AEO23_Table_21._Residential!K78*gigwatt_to_megawatt*Percent_Urban</f>
        <v>32594.825713915645</v>
      </c>
      <c r="M48" s="17">
        <f>AEO23_Table_21._Residential!L78*gigwatt_to_megawatt*Percent_Urban</f>
        <v>35094.47021290374</v>
      </c>
      <c r="N48" s="17">
        <f>AEO23_Table_21._Residential!M78*gigwatt_to_megawatt*Percent_Urban</f>
        <v>37709.943098842385</v>
      </c>
      <c r="O48" s="17">
        <f>AEO23_Table_21._Residential!N78*gigwatt_to_megawatt*Percent_Urban</f>
        <v>40422.457302679504</v>
      </c>
      <c r="P48" s="17">
        <f>AEO23_Table_21._Residential!O78*gigwatt_to_megawatt*Percent_Urban</f>
        <v>43273.072644377884</v>
      </c>
      <c r="Q48" s="17">
        <f>AEO23_Table_21._Residential!P78*gigwatt_to_megawatt*Percent_Urban</f>
        <v>46324.650920424188</v>
      </c>
      <c r="R48" s="17">
        <f>AEO23_Table_21._Residential!Q78*gigwatt_to_megawatt*Percent_Urban</f>
        <v>49421.337350926893</v>
      </c>
      <c r="S48" s="17">
        <f>AEO23_Table_21._Residential!R78*gigwatt_to_megawatt*Percent_Urban</f>
        <v>52604.78611867562</v>
      </c>
      <c r="T48" s="17">
        <f>AEO23_Table_21._Residential!S78*gigwatt_to_megawatt*Percent_Urban</f>
        <v>55382.019197927628</v>
      </c>
      <c r="U48" s="17">
        <f>AEO23_Table_21._Residential!T78*gigwatt_to_megawatt*Percent_Urban</f>
        <v>58309.063419736085</v>
      </c>
      <c r="V48" s="17">
        <f>AEO23_Table_21._Residential!U78*gigwatt_to_megawatt*Percent_Urban</f>
        <v>61362.102803853304</v>
      </c>
      <c r="W48" s="17">
        <f>AEO23_Table_21._Residential!V78*gigwatt_to_megawatt*Percent_Urban</f>
        <v>64646.954260503517</v>
      </c>
      <c r="X48" s="17">
        <f>AEO23_Table_21._Residential!W78*gigwatt_to_megawatt*Percent_Urban</f>
        <v>68173.747163280175</v>
      </c>
      <c r="Y48" s="17">
        <f>AEO23_Table_21._Residential!X78*gigwatt_to_megawatt*Percent_Urban</f>
        <v>71943.692191046706</v>
      </c>
      <c r="Z48" s="17">
        <f>AEO23_Table_21._Residential!Y78*gigwatt_to_megawatt*Percent_Urban</f>
        <v>75947.18034258885</v>
      </c>
      <c r="AA48" s="17">
        <f>AEO23_Table_21._Residential!Z78*gigwatt_to_megawatt*Percent_Urban</f>
        <v>80184.142505949974</v>
      </c>
      <c r="AB48" s="17">
        <f>AEO23_Table_21._Residential!AA78*gigwatt_to_megawatt*Percent_Urban</f>
        <v>84684.826138751727</v>
      </c>
      <c r="AC48" s="17">
        <f>AEO23_Table_21._Residential!AB78*gigwatt_to_megawatt*Percent_Urban</f>
        <v>89364.104011333271</v>
      </c>
      <c r="AD48" s="17">
        <f>AEO23_Table_21._Residential!AC78*gigwatt_to_megawatt*Percent_Urban</f>
        <v>94298.120425159883</v>
      </c>
      <c r="AE48" s="17">
        <f>AEO23_Table_21._Residential!AD78*gigwatt_to_megawatt*Percent_Urban</f>
        <v>99417.877255079729</v>
      </c>
      <c r="AF48" s="17">
        <f>AEO23_Table_21._Residential!AE78*gigwatt_to_megawatt*Percent_Urban</f>
        <v>104722.07763555412</v>
      </c>
      <c r="AG48" s="17">
        <f>AEO23_Table_21._Residential!AF78*gigwatt_to_megawatt*Percent_Urban</f>
        <v>110306.69286877681</v>
      </c>
      <c r="AH48" s="17">
        <f>AEO23_Table_21._Residential!AG78*gigwatt_to_megawatt*Percent_Urban</f>
        <v>116022.1858207723</v>
      </c>
      <c r="AI48" s="17">
        <f>AEO23_Table_21._Residential!AH78*gigwatt_to_megawatt*Percent_Urban</f>
        <v>121940.78824317978</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f>INDEX(AEO21_Table_21._Residential_Sec!$E$8:$AK$93,MATCH($A63,AEO21_Table_21._Residential_Sec!$C$8:$C$93,0),MATCH(E$4,AEO21_Table_21._Residential_Sec!$E$5:$AK$5,0))*gigwatt_to_megawatt*Percent_rural</f>
        <v>0</v>
      </c>
      <c r="F63" s="17">
        <f>INDEX(AEO22_Table_21._Residential_Sec!$E$8:$AJ$93,MATCH($B63,AEO22_Table_21._Residential_Sec!$C$8:$C$93,0),MATCH(F$4,AEO22_Table_21._Residential_Sec!$E$5:$AJ$5,0))*gigwatt_to_megawatt*Percent_rural</f>
        <v>0</v>
      </c>
      <c r="G63" s="17">
        <f>INDEX(AEO22_Table_21._Residential_Sec!$E$8:$AJ$93,MATCH($B63,AEO22_Table_21._Residential_Sec!$C$8:$C$93,0),MATCH(G$4,AEO22_Table_21._Residential_Sec!$E$5:$AJ$5,0))*gigwatt_to_megawatt*Percent_rural</f>
        <v>0</v>
      </c>
      <c r="H63" s="17">
        <f>INDEX(AEO22_Table_21._Residential_Sec!$E$8:$AJ$93,MATCH($B63,AEO22_Table_21._Residential_Sec!$C$8:$C$93,0),MATCH(H$4,AEO22_Table_21._Residential_Sec!$E$5:$AJ$5,0))*gigwatt_to_megawatt*Percent_rural</f>
        <v>0</v>
      </c>
      <c r="I63" s="17">
        <f>INDEX(AEO22_Table_21._Residential_Sec!$E$8:$AJ$93,MATCH($B63,AEO22_Table_21._Residential_Sec!$C$8:$C$93,0),MATCH(I$4,AEO22_Table_21._Residential_Sec!$E$5:$AJ$5,0))*gigwatt_to_megawatt*Percent_rural</f>
        <v>0</v>
      </c>
      <c r="J63" s="17">
        <f>INDEX(AEO22_Table_21._Residential_Sec!$E$8:$AJ$93,MATCH($B63,AEO22_Table_21._Residential_Sec!$C$8:$C$93,0),MATCH(J$4,AEO22_Table_21._Residential_Sec!$E$5:$AJ$5,0))*gigwatt_to_megawatt*Percent_rural</f>
        <v>0</v>
      </c>
      <c r="K63" s="17">
        <f>INDEX(AEO22_Table_21._Residential_Sec!$E$8:$AJ$93,MATCH($B63,AEO22_Table_21._Residential_Sec!$C$8:$C$93,0),MATCH(K$4,AEO22_Table_21._Residential_Sec!$E$5:$AJ$5,0))*gigwatt_to_megawatt*Percent_rural</f>
        <v>0</v>
      </c>
      <c r="L63" s="17">
        <f>INDEX(AEO22_Table_21._Residential_Sec!$E$8:$AJ$93,MATCH($B63,AEO22_Table_21._Residential_Sec!$C$8:$C$93,0),MATCH(L$4,AEO22_Table_21._Residential_Sec!$E$5:$AJ$5,0))*gigwatt_to_megawatt*Percent_rural</f>
        <v>0</v>
      </c>
      <c r="M63" s="17">
        <f>INDEX(AEO22_Table_21._Residential_Sec!$E$8:$AJ$93,MATCH($B63,AEO22_Table_21._Residential_Sec!$C$8:$C$93,0),MATCH(M$4,AEO22_Table_21._Residential_Sec!$E$5:$AJ$5,0))*gigwatt_to_megawatt*Percent_rural</f>
        <v>0</v>
      </c>
      <c r="N63" s="17">
        <f>INDEX(AEO22_Table_21._Residential_Sec!$E$8:$AJ$93,MATCH($B63,AEO22_Table_21._Residential_Sec!$C$8:$C$93,0),MATCH(N$4,AEO22_Table_21._Residential_Sec!$E$5:$AJ$5,0))*gigwatt_to_megawatt*Percent_rural</f>
        <v>0</v>
      </c>
      <c r="O63" s="17">
        <f>INDEX(AEO22_Table_21._Residential_Sec!$E$8:$AJ$93,MATCH($B63,AEO22_Table_21._Residential_Sec!$C$8:$C$93,0),MATCH(O$4,AEO22_Table_21._Residential_Sec!$E$5:$AJ$5,0))*gigwatt_to_megawatt*Percent_rural</f>
        <v>0</v>
      </c>
      <c r="P63" s="17">
        <f>INDEX(AEO22_Table_21._Residential_Sec!$E$8:$AJ$93,MATCH($B63,AEO22_Table_21._Residential_Sec!$C$8:$C$93,0),MATCH(P$4,AEO22_Table_21._Residential_Sec!$E$5:$AJ$5,0))*gigwatt_to_megawatt*Percent_rural</f>
        <v>0</v>
      </c>
      <c r="Q63" s="17">
        <f>INDEX(AEO22_Table_21._Residential_Sec!$E$8:$AJ$93,MATCH($B63,AEO22_Table_21._Residential_Sec!$C$8:$C$93,0),MATCH(Q$4,AEO22_Table_21._Residential_Sec!$E$5:$AJ$5,0))*gigwatt_to_megawatt*Percent_rural</f>
        <v>0</v>
      </c>
      <c r="R63" s="17">
        <f>INDEX(AEO22_Table_21._Residential_Sec!$E$8:$AJ$93,MATCH($B63,AEO22_Table_21._Residential_Sec!$C$8:$C$93,0),MATCH(R$4,AEO22_Table_21._Residential_Sec!$E$5:$AJ$5,0))*gigwatt_to_megawatt*Percent_rural</f>
        <v>0</v>
      </c>
      <c r="S63" s="17">
        <f>INDEX(AEO22_Table_21._Residential_Sec!$E$8:$AJ$93,MATCH($B63,AEO22_Table_21._Residential_Sec!$C$8:$C$93,0),MATCH(S$4,AEO22_Table_21._Residential_Sec!$E$5:$AJ$5,0))*gigwatt_to_megawatt*Percent_rural</f>
        <v>3.7383631506516634E-4</v>
      </c>
      <c r="T63" s="17">
        <f>INDEX(AEO22_Table_21._Residential_Sec!$E$8:$AJ$93,MATCH($B63,AEO22_Table_21._Residential_Sec!$C$8:$C$93,0),MATCH(T$4,AEO22_Table_21._Residential_Sec!$E$5:$AJ$5,0))*gigwatt_to_megawatt*Percent_rural</f>
        <v>9.3459078766291591E-4</v>
      </c>
      <c r="U63" s="17">
        <f>INDEX(AEO22_Table_21._Residential_Sec!$E$8:$AJ$93,MATCH($B63,AEO22_Table_21._Residential_Sec!$C$8:$C$93,0),MATCH(U$4,AEO22_Table_21._Residential_Sec!$E$5:$AJ$5,0))*gigwatt_to_megawatt*Percent_rural</f>
        <v>1.8691815753258318E-3</v>
      </c>
      <c r="V63" s="17">
        <f>INDEX(AEO22_Table_21._Residential_Sec!$E$8:$AJ$93,MATCH($B63,AEO22_Table_21._Residential_Sec!$C$8:$C$93,0),MATCH(V$4,AEO22_Table_21._Residential_Sec!$E$5:$AJ$5,0))*gigwatt_to_megawatt*Percent_rural</f>
        <v>3.9252813081842464E-3</v>
      </c>
      <c r="W63" s="17">
        <f>INDEX(AEO22_Table_21._Residential_Sec!$E$8:$AJ$93,MATCH($B63,AEO22_Table_21._Residential_Sec!$C$8:$C$93,0),MATCH(W$4,AEO22_Table_21._Residential_Sec!$E$5:$AJ$5,0))*gigwatt_to_megawatt*Percent_rural</f>
        <v>7.6636444588359101E-3</v>
      </c>
      <c r="X63" s="17">
        <f>INDEX(AEO22_Table_21._Residential_Sec!$E$8:$AJ$93,MATCH($B63,AEO22_Table_21._Residential_Sec!$C$8:$C$93,0),MATCH(X$4,AEO22_Table_21._Residential_Sec!$E$5:$AJ$5,0))*gigwatt_to_megawatt*Percent_rural</f>
        <v>1.4579616287541487E-2</v>
      </c>
      <c r="Y63" s="17">
        <f>INDEX(AEO22_Table_21._Residential_Sec!$E$8:$AJ$93,MATCH($B63,AEO22_Table_21._Residential_Sec!$C$8:$C$93,0),MATCH(Y$4,AEO22_Table_21._Residential_Sec!$E$5:$AJ$5,0))*gigwatt_to_megawatt*Percent_rural</f>
        <v>2.7290050999757141E-2</v>
      </c>
      <c r="Z63" s="17">
        <f>INDEX(AEO22_Table_21._Residential_Sec!$E$8:$AJ$93,MATCH($B63,AEO22_Table_21._Residential_Sec!$C$8:$C$93,0),MATCH(Z$4,AEO22_Table_21._Residential_Sec!$E$5:$AJ$5,0))*gigwatt_to_megawatt*Percent_rural</f>
        <v>5.0654820691330031E-2</v>
      </c>
      <c r="AA63" s="17">
        <f>INDEX(AEO22_Table_21._Residential_Sec!$E$8:$AJ$93,MATCH($B63,AEO22_Table_21._Residential_Sec!$C$8:$C$93,0),MATCH(AA$4,AEO22_Table_21._Residential_Sec!$E$5:$AJ$5,0))*gigwatt_to_megawatt*Percent_rural</f>
        <v>7.3832672225370363E-2</v>
      </c>
      <c r="AB63" s="17">
        <f>INDEX(AEO22_Table_21._Residential_Sec!$E$8:$AJ$93,MATCH($B63,AEO22_Table_21._Residential_Sec!$C$8:$C$93,0),MATCH(AB$4,AEO22_Table_21._Residential_Sec!$E$5:$AJ$5,0))*gigwatt_to_megawatt*Percent_rural</f>
        <v>9.7197441916943239E-2</v>
      </c>
      <c r="AC63" s="17">
        <f>INDEX(AEO22_Table_21._Residential_Sec!$E$8:$AJ$93,MATCH($B63,AEO22_Table_21._Residential_Sec!$C$8:$C$93,0),MATCH(AC$4,AEO22_Table_21._Residential_Sec!$E$5:$AJ$5,0))*gigwatt_to_megawatt*Percent_rural</f>
        <v>0.12056221160851613</v>
      </c>
      <c r="AD63" s="17">
        <f>INDEX(AEO22_Table_21._Residential_Sec!$E$8:$AJ$93,MATCH($B63,AEO22_Table_21._Residential_Sec!$C$8:$C$93,0),MATCH(AD$4,AEO22_Table_21._Residential_Sec!$E$5:$AJ$5,0))*gigwatt_to_megawatt*Percent_rural</f>
        <v>0.14392698130008902</v>
      </c>
      <c r="AE63" s="17">
        <f>INDEX(AEO22_Table_21._Residential_Sec!$E$8:$AJ$93,MATCH($B63,AEO22_Table_21._Residential_Sec!$C$8:$C$93,0),MATCH(AE$4,AEO22_Table_21._Residential_Sec!$E$5:$AJ$5,0))*gigwatt_to_megawatt*Percent_rural</f>
        <v>0.16747866914919451</v>
      </c>
      <c r="AF63" s="17">
        <f>INDEX(AEO22_Table_21._Residential_Sec!$E$8:$AJ$93,MATCH($B63,AEO22_Table_21._Residential_Sec!$C$8:$C$93,0),MATCH(AF$4,AEO22_Table_21._Residential_Sec!$E$5:$AJ$5,0))*gigwatt_to_megawatt*Percent_rural</f>
        <v>0.19103035699829995</v>
      </c>
      <c r="AG63" s="17">
        <f>INDEX(AEO22_Table_21._Residential_Sec!$E$8:$AJ$93,MATCH($B63,AEO22_Table_21._Residential_Sec!$C$8:$C$93,0),MATCH(AG$4,AEO22_Table_21._Residential_Sec!$E$5:$AJ$5,0))*gigwatt_to_megawatt*Percent_rural</f>
        <v>0.2143951266898729</v>
      </c>
      <c r="AH63" s="17">
        <f>INDEX(AEO22_Table_21._Residential_Sec!$E$8:$AJ$93,MATCH($B63,AEO22_Table_21._Residential_Sec!$C$8:$C$93,0),MATCH(AH$4,AEO22_Table_21._Residential_Sec!$E$5:$AJ$5,0))*gigwatt_to_megawatt*Percent_rural</f>
        <v>0.2379468145389784</v>
      </c>
      <c r="AI63" s="17">
        <f>INDEX(AEO22_Table_21._Residential_Sec!$E$8:$AJ$93,MATCH($B63,AEO22_Table_21._Residential_Sec!$C$8:$C$93,0),MATCH(AI$4,AEO22_Table_21._Residential_Sec!$E$5:$AJ$5,0))*gigwatt_to_megawatt*Percent_rural</f>
        <v>0.26149850238808386</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f>INDEX(AEO21_Table_21._Residential_Sec!$E$8:$AK$93,MATCH($A66,AEO21_Table_21._Residential_Sec!$C$8:$C$93,0),MATCH(E$4,AEO21_Table_21._Residential_Sec!$E$5:$AK$5,0))*gigwatt_to_megawatt*Percent_rural</f>
        <v>2.6602192180037236</v>
      </c>
      <c r="F66" s="17">
        <f>INDEX(AEO22_Table_21._Residential_Sec!$E$8:$AJ$93,MATCH($B66,AEO22_Table_21._Residential_Sec!$C$8:$C$93,0),MATCH(F$4,AEO22_Table_21._Residential_Sec!$E$5:$AJ$5,0))*gigwatt_to_megawatt*Percent_rural</f>
        <v>2.6602192180037236</v>
      </c>
      <c r="G66" s="17">
        <f>INDEX(AEO22_Table_21._Residential_Sec!$E$8:$AJ$93,MATCH($B66,AEO22_Table_21._Residential_Sec!$C$8:$C$93,0),MATCH(G$4,AEO22_Table_21._Residential_Sec!$E$5:$AJ$5,0))*gigwatt_to_megawatt*Percent_rural</f>
        <v>2.6602192180037236</v>
      </c>
      <c r="H66" s="17">
        <f>INDEX(AEO22_Table_21._Residential_Sec!$E$8:$AJ$93,MATCH($B66,AEO22_Table_21._Residential_Sec!$C$8:$C$93,0),MATCH(H$4,AEO22_Table_21._Residential_Sec!$E$5:$AJ$5,0))*gigwatt_to_megawatt*Percent_rural</f>
        <v>2.6602192180037236</v>
      </c>
      <c r="I66" s="17">
        <f>INDEX(AEO22_Table_21._Residential_Sec!$E$8:$AJ$93,MATCH($B66,AEO22_Table_21._Residential_Sec!$C$8:$C$93,0),MATCH(I$4,AEO22_Table_21._Residential_Sec!$E$5:$AJ$5,0))*gigwatt_to_megawatt*Percent_rural</f>
        <v>2.6602192180037236</v>
      </c>
      <c r="J66" s="17">
        <f>INDEX(AEO22_Table_21._Residential_Sec!$E$8:$AJ$93,MATCH($B66,AEO22_Table_21._Residential_Sec!$C$8:$C$93,0),MATCH(J$4,AEO22_Table_21._Residential_Sec!$E$5:$AJ$5,0))*gigwatt_to_megawatt*Percent_rural</f>
        <v>2.6602192180037236</v>
      </c>
      <c r="K66" s="17">
        <f>INDEX(AEO22_Table_21._Residential_Sec!$E$8:$AJ$93,MATCH($B66,AEO22_Table_21._Residential_Sec!$C$8:$C$93,0),MATCH(K$4,AEO22_Table_21._Residential_Sec!$E$5:$AJ$5,0))*gigwatt_to_megawatt*Percent_rural</f>
        <v>2.6602192180037236</v>
      </c>
      <c r="L66" s="17">
        <f>INDEX(AEO22_Table_21._Residential_Sec!$E$8:$AJ$93,MATCH($B66,AEO22_Table_21._Residential_Sec!$C$8:$C$93,0),MATCH(L$4,AEO22_Table_21._Residential_Sec!$E$5:$AJ$5,0))*gigwatt_to_megawatt*Percent_rural</f>
        <v>2.6602192180037236</v>
      </c>
      <c r="M66" s="17">
        <f>INDEX(AEO22_Table_21._Residential_Sec!$E$8:$AJ$93,MATCH($B66,AEO22_Table_21._Residential_Sec!$C$8:$C$93,0),MATCH(M$4,AEO22_Table_21._Residential_Sec!$E$5:$AJ$5,0))*gigwatt_to_megawatt*Percent_rural</f>
        <v>2.6602192180037236</v>
      </c>
      <c r="N66" s="17">
        <f>INDEX(AEO22_Table_21._Residential_Sec!$E$8:$AJ$93,MATCH($B66,AEO22_Table_21._Residential_Sec!$C$8:$C$93,0),MATCH(N$4,AEO22_Table_21._Residential_Sec!$E$5:$AJ$5,0))*gigwatt_to_megawatt*Percent_rural</f>
        <v>2.6602192180037236</v>
      </c>
      <c r="O66" s="17">
        <f>INDEX(AEO22_Table_21._Residential_Sec!$E$8:$AJ$93,MATCH($B66,AEO22_Table_21._Residential_Sec!$C$8:$C$93,0),MATCH(O$4,AEO22_Table_21._Residential_Sec!$E$5:$AJ$5,0))*gigwatt_to_megawatt*Percent_rural</f>
        <v>2.6602192180037236</v>
      </c>
      <c r="P66" s="17">
        <f>INDEX(AEO22_Table_21._Residential_Sec!$E$8:$AJ$93,MATCH($B66,AEO22_Table_21._Residential_Sec!$C$8:$C$93,0),MATCH(P$4,AEO22_Table_21._Residential_Sec!$E$5:$AJ$5,0))*gigwatt_to_megawatt*Percent_rural</f>
        <v>2.6602192180037236</v>
      </c>
      <c r="Q66" s="17">
        <f>INDEX(AEO22_Table_21._Residential_Sec!$E$8:$AJ$93,MATCH($B66,AEO22_Table_21._Residential_Sec!$C$8:$C$93,0),MATCH(Q$4,AEO22_Table_21._Residential_Sec!$E$5:$AJ$5,0))*gigwatt_to_megawatt*Percent_rural</f>
        <v>2.6604061361612565</v>
      </c>
      <c r="R66" s="17">
        <f>INDEX(AEO22_Table_21._Residential_Sec!$E$8:$AJ$93,MATCH($B66,AEO22_Table_21._Residential_Sec!$C$8:$C$93,0),MATCH(R$4,AEO22_Table_21._Residential_Sec!$E$5:$AJ$5,0))*gigwatt_to_megawatt*Percent_rural</f>
        <v>2.6604061361612565</v>
      </c>
      <c r="S66" s="17">
        <f>INDEX(AEO22_Table_21._Residential_Sec!$E$8:$AJ$93,MATCH($B66,AEO22_Table_21._Residential_Sec!$C$8:$C$93,0),MATCH(S$4,AEO22_Table_21._Residential_Sec!$E$5:$AJ$5,0))*gigwatt_to_megawatt*Percent_rural</f>
        <v>2.6609668906338544</v>
      </c>
      <c r="T66" s="17">
        <f>INDEX(AEO22_Table_21._Residential_Sec!$E$8:$AJ$93,MATCH($B66,AEO22_Table_21._Residential_Sec!$C$8:$C$93,0),MATCH(T$4,AEO22_Table_21._Residential_Sec!$E$5:$AJ$5,0))*gigwatt_to_megawatt*Percent_rural</f>
        <v>2.6620883995790492</v>
      </c>
      <c r="U66" s="17">
        <f>INDEX(AEO22_Table_21._Residential_Sec!$E$8:$AJ$93,MATCH($B66,AEO22_Table_21._Residential_Sec!$C$8:$C$93,0),MATCH(U$4,AEO22_Table_21._Residential_Sec!$E$5:$AJ$5,0))*gigwatt_to_megawatt*Percent_rural</f>
        <v>2.6641444993119081</v>
      </c>
      <c r="V66" s="17">
        <f>INDEX(AEO22_Table_21._Residential_Sec!$E$8:$AJ$93,MATCH($B66,AEO22_Table_21._Residential_Sec!$C$8:$C$93,0),MATCH(V$4,AEO22_Table_21._Residential_Sec!$E$5:$AJ$5,0))*gigwatt_to_megawatt*Percent_rural</f>
        <v>2.6680697806200926</v>
      </c>
      <c r="W66" s="17">
        <f>INDEX(AEO22_Table_21._Residential_Sec!$E$8:$AJ$93,MATCH($B66,AEO22_Table_21._Residential_Sec!$C$8:$C$93,0),MATCH(W$4,AEO22_Table_21._Residential_Sec!$E$5:$AJ$5,0))*gigwatt_to_megawatt*Percent_rural</f>
        <v>2.6755465069213957</v>
      </c>
      <c r="X66" s="17">
        <f>INDEX(AEO22_Table_21._Residential_Sec!$E$8:$AJ$93,MATCH($B66,AEO22_Table_21._Residential_Sec!$C$8:$C$93,0),MATCH(X$4,AEO22_Table_21._Residential_Sec!$E$5:$AJ$5,0))*gigwatt_to_megawatt*Percent_rural</f>
        <v>2.6893784505788068</v>
      </c>
      <c r="Y66" s="17">
        <f>INDEX(AEO22_Table_21._Residential_Sec!$E$8:$AJ$93,MATCH($B66,AEO22_Table_21._Residential_Sec!$C$8:$C$93,0),MATCH(Y$4,AEO22_Table_21._Residential_Sec!$E$5:$AJ$5,0))*gigwatt_to_megawatt*Percent_rural</f>
        <v>2.7149862381607708</v>
      </c>
      <c r="Z66" s="17">
        <f>INDEX(AEO22_Table_21._Residential_Sec!$E$8:$AJ$93,MATCH($B66,AEO22_Table_21._Residential_Sec!$C$8:$C$93,0),MATCH(Z$4,AEO22_Table_21._Residential_Sec!$E$5:$AJ$5,0))*gigwatt_to_megawatt*Percent_rural</f>
        <v>2.7613419412288511</v>
      </c>
      <c r="AA66" s="17">
        <f>INDEX(AEO22_Table_21._Residential_Sec!$E$8:$AJ$93,MATCH($B66,AEO22_Table_21._Residential_Sec!$C$8:$C$93,0),MATCH(AA$4,AEO22_Table_21._Residential_Sec!$E$5:$AJ$5,0))*gigwatt_to_megawatt*Percent_rural</f>
        <v>2.8078845624544644</v>
      </c>
      <c r="AB66" s="17">
        <f>INDEX(AEO22_Table_21._Residential_Sec!$E$8:$AJ$93,MATCH($B66,AEO22_Table_21._Residential_Sec!$C$8:$C$93,0),MATCH(AB$4,AEO22_Table_21._Residential_Sec!$E$5:$AJ$5,0))*gigwatt_to_megawatt*Percent_rural</f>
        <v>2.8546141018376101</v>
      </c>
      <c r="AC66" s="17">
        <f>INDEX(AEO22_Table_21._Residential_Sec!$E$8:$AJ$93,MATCH($B66,AEO22_Table_21._Residential_Sec!$C$8:$C$93,0),MATCH(AC$4,AEO22_Table_21._Residential_Sec!$E$5:$AJ$5,0))*gigwatt_to_megawatt*Percent_rural</f>
        <v>2.9013436412207558</v>
      </c>
      <c r="AD66" s="17">
        <f>INDEX(AEO22_Table_21._Residential_Sec!$E$8:$AJ$93,MATCH($B66,AEO22_Table_21._Residential_Sec!$C$8:$C$93,0),MATCH(AD$4,AEO22_Table_21._Residential_Sec!$E$5:$AJ$5,0))*gigwatt_to_megawatt*Percent_rural</f>
        <v>2.9482600987614345</v>
      </c>
      <c r="AE66" s="17">
        <f>INDEX(AEO22_Table_21._Residential_Sec!$E$8:$AJ$93,MATCH($B66,AEO22_Table_21._Residential_Sec!$C$8:$C$93,0),MATCH(AE$4,AEO22_Table_21._Residential_Sec!$E$5:$AJ$5,0))*gigwatt_to_megawatt*Percent_rural</f>
        <v>2.9951765563021131</v>
      </c>
      <c r="AF66" s="17">
        <f>INDEX(AEO22_Table_21._Residential_Sec!$E$8:$AJ$93,MATCH($B66,AEO22_Table_21._Residential_Sec!$C$8:$C$93,0),MATCH(AF$4,AEO22_Table_21._Residential_Sec!$E$5:$AJ$5,0))*gigwatt_to_megawatt*Percent_rural</f>
        <v>3.0420930138427917</v>
      </c>
      <c r="AG66" s="17">
        <f>INDEX(AEO22_Table_21._Residential_Sec!$E$8:$AJ$93,MATCH($B66,AEO22_Table_21._Residential_Sec!$C$8:$C$93,0),MATCH(AG$4,AEO22_Table_21._Residential_Sec!$E$5:$AJ$5,0))*gigwatt_to_megawatt*Percent_rural</f>
        <v>3.0891963895410024</v>
      </c>
      <c r="AH66" s="17">
        <f>INDEX(AEO22_Table_21._Residential_Sec!$E$8:$AJ$93,MATCH($B66,AEO22_Table_21._Residential_Sec!$C$8:$C$93,0),MATCH(AH$4,AEO22_Table_21._Residential_Sec!$E$5:$AJ$5,0))*gigwatt_to_megawatt*Percent_rural</f>
        <v>3.1362997652392131</v>
      </c>
      <c r="AI66" s="17">
        <f>INDEX(AEO22_Table_21._Residential_Sec!$E$8:$AJ$93,MATCH($B66,AEO22_Table_21._Residential_Sec!$C$8:$C$93,0),MATCH(AI$4,AEO22_Table_21._Residential_Sec!$E$5:$AJ$5,0))*gigwatt_to_megawatt*Percent_rural</f>
        <v>3.1834031409374246</v>
      </c>
    </row>
    <row r="67" spans="1:35" x14ac:dyDescent="0.25">
      <c r="A67" t="s">
        <v>549</v>
      </c>
      <c r="B67" s="3" t="s">
        <v>755</v>
      </c>
      <c r="C67" t="s">
        <v>10</v>
      </c>
      <c r="D67" s="17"/>
      <c r="E67" s="17">
        <f>INDEX(AEO21_Table_21._Residential_Sec!$E$8:$AK$93,MATCH($A67,AEO21_Table_21._Residential_Sec!$C$8:$C$93,0),MATCH(E$4,AEO21_Table_21._Residential_Sec!$E$5:$AK$5,0))*gigwatt_to_megawatt*Percent_rural</f>
        <v>3424.0051279041522</v>
      </c>
      <c r="F67" s="17">
        <f>INDEX(AEO22_Table_21._Residential_Sec!$E$8:$AJ$93,MATCH($B67,AEO22_Table_21._Residential_Sec!$C$8:$C$93,0),MATCH(F$4,AEO22_Table_21._Residential_Sec!$E$5:$AJ$5,0))*gigwatt_to_megawatt*Percent_rural</f>
        <v>3976.219496802396</v>
      </c>
      <c r="G67" s="17">
        <f>AEO23_Table_21._Residential!F78*gigwatt_to_megawatt*Percent_rural</f>
        <v>4848.8104662025416</v>
      </c>
      <c r="H67" s="17">
        <f>AEO23_Table_21._Residential!G78*gigwatt_to_megawatt*Percent_rural</f>
        <v>5313.5067630535086</v>
      </c>
      <c r="I67" s="17">
        <f>AEO23_Table_21._Residential!H78*gigwatt_to_megawatt*Percent_rural</f>
        <v>5853.8131368898239</v>
      </c>
      <c r="J67" s="17">
        <f>AEO23_Table_21._Residential!I78*gigwatt_to_megawatt*Percent_rural</f>
        <v>6395.046811705658</v>
      </c>
      <c r="K67" s="17">
        <f>AEO23_Table_21._Residential!J78*gigwatt_to_megawatt*Percent_rural</f>
        <v>6935.1118742005992</v>
      </c>
      <c r="L67" s="17">
        <f>AEO23_Table_21._Residential!K78*gigwatt_to_megawatt*Percent_rural</f>
        <v>7493.1752860843508</v>
      </c>
      <c r="M67" s="17">
        <f>AEO23_Table_21._Residential!L78*gigwatt_to_megawatt*Percent_rural</f>
        <v>8067.8147870962512</v>
      </c>
      <c r="N67" s="17">
        <f>AEO23_Table_21._Residential!M78*gigwatt_to_megawatt*Percent_rural</f>
        <v>8669.0819011576132</v>
      </c>
      <c r="O67" s="17">
        <f>AEO23_Table_21._Residential!N78*gigwatt_to_megawatt*Percent_rural</f>
        <v>9292.6576973204883</v>
      </c>
      <c r="P67" s="17">
        <f>AEO23_Table_21._Residential!O78*gigwatt_to_megawatt*Percent_rural</f>
        <v>9947.9813556221161</v>
      </c>
      <c r="Q67" s="17">
        <f>AEO23_Table_21._Residential!P78*gigwatt_to_megawatt*Percent_rural</f>
        <v>10649.504079575812</v>
      </c>
      <c r="R67" s="17">
        <f>AEO23_Table_21._Residential!Q78*gigwatt_to_megawatt*Percent_rural</f>
        <v>11361.396649073098</v>
      </c>
      <c r="S67" s="17">
        <f>AEO23_Table_21._Residential!R78*gigwatt_to_megawatt*Percent_rural</f>
        <v>12093.234881324375</v>
      </c>
      <c r="T67" s="17">
        <f>AEO23_Table_21._Residential!S78*gigwatt_to_megawatt*Percent_rural</f>
        <v>12731.688802072371</v>
      </c>
      <c r="U67" s="17">
        <f>AEO23_Table_21._Residential!T78*gigwatt_to_megawatt*Percent_rural</f>
        <v>13404.582580263901</v>
      </c>
      <c r="V67" s="17">
        <f>AEO23_Table_21._Residential!U78*gigwatt_to_megawatt*Percent_rural</f>
        <v>14106.441196146683</v>
      </c>
      <c r="W67" s="17">
        <f>AEO23_Table_21._Residential!V78*gigwatt_to_megawatt*Percent_rural</f>
        <v>14861.590739496478</v>
      </c>
      <c r="X67" s="17">
        <f>AEO23_Table_21._Residential!W78*gigwatt_to_megawatt*Percent_rural</f>
        <v>15672.359836719825</v>
      </c>
      <c r="Y67" s="17">
        <f>AEO23_Table_21._Residential!X78*gigwatt_to_megawatt*Percent_rural</f>
        <v>16539.026808953291</v>
      </c>
      <c r="Z67" s="17">
        <f>AEO23_Table_21._Residential!Y78*gigwatt_to_megawatt*Percent_rural</f>
        <v>17459.382657411155</v>
      </c>
      <c r="AA67" s="17">
        <f>AEO23_Table_21._Residential!Z78*gigwatt_to_megawatt*Percent_rural</f>
        <v>18433.411494050029</v>
      </c>
      <c r="AB67" s="17">
        <f>AEO23_Table_21._Residential!AA78*gigwatt_to_megawatt*Percent_rural</f>
        <v>19468.06686124828</v>
      </c>
      <c r="AC67" s="17">
        <f>AEO23_Table_21._Residential!AB78*gigwatt_to_megawatt*Percent_rural</f>
        <v>20543.77898866672</v>
      </c>
      <c r="AD67" s="17">
        <f>AEO23_Table_21._Residential!AC78*gigwatt_to_megawatt*Percent_rural</f>
        <v>21678.05257484012</v>
      </c>
      <c r="AE67" s="17">
        <f>AEO23_Table_21._Residential!AD78*gigwatt_to_megawatt*Percent_rural</f>
        <v>22855.025744920262</v>
      </c>
      <c r="AF67" s="17">
        <f>AEO23_Table_21._Residential!AE78*gigwatt_to_megawatt*Percent_rural</f>
        <v>24074.400364445883</v>
      </c>
      <c r="AG67" s="17">
        <f>AEO23_Table_21._Residential!AF78*gigwatt_to_megawatt*Percent_rural</f>
        <v>25358.239131223185</v>
      </c>
      <c r="AH67" s="17">
        <f>AEO23_Table_21._Residential!AG78*gigwatt_to_megawatt*Percent_rural</f>
        <v>26672.165179227723</v>
      </c>
      <c r="AI67" s="17">
        <f>AEO23_Table_21._Residential!AH78*gigwatt_to_megawatt*Percent_rural</f>
        <v>28032.783756820201</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f>INDEX(AEO21_Table_22._Comm_Sector_Ene!$F$8:$AK$81,MATCH($A84,AEO21_Table_22._Comm_Sector_Ene!$C$8:$C$81,0),MATCH(E$82,AEO21_Table_22._Comm_Sector_Ene!$F$5:$AK$5,0))*gigwatt_to_megawatt</f>
        <v>1377.152</v>
      </c>
      <c r="F84" s="19">
        <f t="shared" ref="F84:I84" si="0">_xlfn.FORECAST.LINEAR(F$82,$AX84:$AY84,$AX$82:$AY$82)</f>
        <v>1385.0491999999995</v>
      </c>
      <c r="G84" s="19">
        <f t="shared" si="0"/>
        <v>1392.9464000000007</v>
      </c>
      <c r="H84" s="19">
        <f t="shared" si="0"/>
        <v>1400.8436000000002</v>
      </c>
      <c r="I84" s="19">
        <f t="shared" si="0"/>
        <v>1408.7407999999996</v>
      </c>
      <c r="J84" s="17">
        <f>INDEX(AEO22_Table_22._Comm_Sector_Ene!$F$8:$AJ$81,MATCH($B84,AEO22_Table_22._Comm_Sector_Ene!$C$8:$C$81,0),MATCH(J$82,AEO22_Table_22._Comm_Sector_Ene!$F$5:$AJ$5,0))*gigwatt_to_megawatt</f>
        <v>1416.6380000000001</v>
      </c>
      <c r="K84" s="19">
        <f>_xlfn.FORECAST.LINEAR(K$82,$AY84:$AZ84,$AY$82:$AZ$82)</f>
        <v>1432.388600000002</v>
      </c>
      <c r="L84" s="19">
        <f t="shared" ref="L84:N84" si="1">_xlfn.FORECAST.LINEAR(L$82,$AY84:$AZ84,$AY$82:$AZ$82)</f>
        <v>1448.1392000000014</v>
      </c>
      <c r="M84" s="19">
        <f t="shared" si="1"/>
        <v>1463.8898000000008</v>
      </c>
      <c r="N84" s="19">
        <f t="shared" si="1"/>
        <v>1479.6404000000002</v>
      </c>
      <c r="O84" s="17">
        <f>INDEX(AEO22_Table_22._Comm_Sector_Ene!$F$8:$AJ$81,MATCH($B84,AEO22_Table_22._Comm_Sector_Ene!$C$8:$C$81,0),MATCH(O$82,AEO22_Table_22._Comm_Sector_Ene!$F$5:$AJ$5,0))*gigwatt_to_megawatt</f>
        <v>1495.3909999999998</v>
      </c>
      <c r="P84" s="19">
        <f>_xlfn.FORECAST.LINEAR(P$82,$AZ84:$BA84,$AZ$82:$BA$82)</f>
        <v>1510.5756000000001</v>
      </c>
      <c r="Q84" s="19">
        <f t="shared" ref="Q84:S84" si="2">_xlfn.FORECAST.LINEAR(Q$82,$AZ84:$BA84,$AZ$82:$BA$82)</f>
        <v>1525.7602000000006</v>
      </c>
      <c r="R84" s="19">
        <f t="shared" si="2"/>
        <v>1540.9448000000011</v>
      </c>
      <c r="S84" s="19">
        <f t="shared" si="2"/>
        <v>1556.1294000000016</v>
      </c>
      <c r="T84" s="17">
        <f>INDEX(AEO22_Table_22._Comm_Sector_Ene!$F$8:$AJ$81,MATCH($B84,AEO22_Table_22._Comm_Sector_Ene!$C$8:$C$81,0),MATCH(T$82,AEO22_Table_22._Comm_Sector_Ene!$F$5:$AJ$5,0))*gigwatt_to_megawatt</f>
        <v>1571.3140000000001</v>
      </c>
      <c r="U84" s="19">
        <f>_xlfn.FORECAST.LINEAR(U$82,$BA84:$BB84,$BA$82:$BB$82)</f>
        <v>1585.6786000000029</v>
      </c>
      <c r="V84" s="19">
        <f t="shared" ref="V84:X84" si="3">_xlfn.FORECAST.LINEAR(V$82,$BA84:$BB84,$BA$82:$BB$82)</f>
        <v>1600.0432000000001</v>
      </c>
      <c r="W84" s="19">
        <f t="shared" si="3"/>
        <v>1614.4078000000009</v>
      </c>
      <c r="X84" s="19">
        <f t="shared" si="3"/>
        <v>1628.7724000000017</v>
      </c>
      <c r="Y84" s="17">
        <f>INDEX(AEO22_Table_22._Comm_Sector_Ene!$F$8:$AJ$81,MATCH($B84,AEO22_Table_22._Comm_Sector_Ene!$C$8:$C$81,0),MATCH(Y$82,AEO22_Table_22._Comm_Sector_Ene!$F$5:$AJ$5,0))*gigwatt_to_megawatt</f>
        <v>1643.1370000000002</v>
      </c>
      <c r="Z84" s="19">
        <f>_xlfn.FORECAST.LINEAR(Z$82,$BB84:$BC84,$BB$82:$BC$82)</f>
        <v>1658.2861999999986</v>
      </c>
      <c r="AA84" s="19">
        <f t="shared" ref="AA84:AC84" si="4">_xlfn.FORECAST.LINEAR(AA$82,$BB84:$BC84,$BB$82:$BC$82)</f>
        <v>1673.4353999999985</v>
      </c>
      <c r="AB84" s="19">
        <f t="shared" si="4"/>
        <v>1688.5845999999983</v>
      </c>
      <c r="AC84" s="19">
        <f t="shared" si="4"/>
        <v>1703.7337999999982</v>
      </c>
      <c r="AD84" s="17">
        <f>INDEX(AEO22_Table_22._Comm_Sector_Ene!$F$8:$AJ$81,MATCH($B84,AEO22_Table_22._Comm_Sector_Ene!$C$8:$C$81,0),MATCH(AD$82,AEO22_Table_22._Comm_Sector_Ene!$F$5:$AJ$5,0))*gigwatt_to_megawatt</f>
        <v>1718.883</v>
      </c>
      <c r="AE84" s="19">
        <f>_xlfn.FORECAST.LINEAR(AE$82,$BC84:$BD84,$BC$82:$BD$82)</f>
        <v>1731.7387999999992</v>
      </c>
      <c r="AF84" s="19">
        <f t="shared" ref="AF84:AH84" si="5">_xlfn.FORECAST.LINEAR(AF$82,$BC84:$BD84,$BC$82:$BD$82)</f>
        <v>1744.5945999999967</v>
      </c>
      <c r="AG84" s="19">
        <f t="shared" si="5"/>
        <v>1757.4503999999979</v>
      </c>
      <c r="AH84" s="19">
        <f t="shared" si="5"/>
        <v>1770.3061999999991</v>
      </c>
      <c r="AI84" s="17">
        <f>INDEX(AEO22_Table_22._Comm_Sector_Ene!$F$8:$AJ$81,MATCH($B84,AEO22_Table_22._Comm_Sector_Ene!$C$8:$C$81,0),MATCH(AI$82,AEO22_Table_22._Comm_Sector_Ene!$F$5:$AJ$5,0))*gigwatt_to_megawatt</f>
        <v>1783.1619999999998</v>
      </c>
      <c r="AW84" t="s">
        <v>7</v>
      </c>
      <c r="AX84" s="17">
        <f>E84</f>
        <v>1377.152</v>
      </c>
      <c r="AY84" s="17">
        <f>J84</f>
        <v>1416.6380000000001</v>
      </c>
      <c r="AZ84" s="17">
        <f>O84</f>
        <v>1495.3909999999998</v>
      </c>
      <c r="BA84" s="17">
        <f>T84</f>
        <v>1571.3140000000001</v>
      </c>
      <c r="BB84" s="17">
        <f>Y84</f>
        <v>1643.1370000000002</v>
      </c>
      <c r="BC84" s="17">
        <f>AD84</f>
        <v>1718.883</v>
      </c>
      <c r="BD84" s="17">
        <f>AI84</f>
        <v>1783.1619999999998</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f>INDEX(AEO21_Table_22._Comm_Sector_Ene!$F$8:$AK$81,MATCH($A87,AEO21_Table_22._Comm_Sector_Ene!$C$8:$C$81,0),MATCH(E$82,AEO21_Table_22._Comm_Sector_Ene!$F$5:$AK$5,0))*gigwatt_to_megawatt</f>
        <v>554.88099999999997</v>
      </c>
      <c r="F87" s="19">
        <f t="shared" ref="F87:I88" si="12">_xlfn.FORECAST.LINEAR(F$82,$AX87:$AY87,$AX$82:$AY$82)</f>
        <v>555.80780000000004</v>
      </c>
      <c r="G87" s="19">
        <f t="shared" si="12"/>
        <v>556.7346</v>
      </c>
      <c r="H87" s="19">
        <f t="shared" si="12"/>
        <v>557.66139999999996</v>
      </c>
      <c r="I87" s="19">
        <f t="shared" si="12"/>
        <v>558.58819999999992</v>
      </c>
      <c r="J87" s="17">
        <f>INDEX(AEO22_Table_22._Comm_Sector_Ene!$F$8:$AJ$81,MATCH($B87,AEO22_Table_22._Comm_Sector_Ene!$C$8:$C$81,0),MATCH(J$82,AEO22_Table_22._Comm_Sector_Ene!$F$5:$AJ$5,0))*gigwatt_to_megawatt</f>
        <v>559.51499999999999</v>
      </c>
      <c r="K87" s="19">
        <f>_xlfn.FORECAST.LINEAR(K$82,$AY87:$AZ87,$AY$82:$AZ$82)</f>
        <v>560.21679999999981</v>
      </c>
      <c r="L87" s="19">
        <f t="shared" ref="L87:N87" si="13">_xlfn.FORECAST.LINEAR(L$82,$AY87:$AZ87,$AY$82:$AZ$82)</f>
        <v>560.91859999999986</v>
      </c>
      <c r="M87" s="19">
        <f t="shared" si="13"/>
        <v>561.6203999999999</v>
      </c>
      <c r="N87" s="19">
        <f t="shared" si="13"/>
        <v>562.32219999999995</v>
      </c>
      <c r="O87" s="17">
        <f>INDEX(AEO22_Table_22._Comm_Sector_Ene!$F$8:$AJ$81,MATCH($B87,AEO22_Table_22._Comm_Sector_Ene!$C$8:$C$81,0),MATCH(O$82,AEO22_Table_22._Comm_Sector_Ene!$F$5:$AJ$5,0))*gigwatt_to_megawatt</f>
        <v>563.024</v>
      </c>
      <c r="P87" s="19">
        <f>_xlfn.FORECAST.LINEAR(P$82,$AZ87:$BA87,$AZ$82:$BA$82)</f>
        <v>563.88020000000006</v>
      </c>
      <c r="Q87" s="19">
        <f t="shared" ref="Q87:S87" si="14">_xlfn.FORECAST.LINEAR(Q$82,$AZ87:$BA87,$AZ$82:$BA$82)</f>
        <v>564.7364</v>
      </c>
      <c r="R87" s="19">
        <f t="shared" si="14"/>
        <v>565.59259999999995</v>
      </c>
      <c r="S87" s="19">
        <f t="shared" si="14"/>
        <v>566.44879999999989</v>
      </c>
      <c r="T87" s="17">
        <f>INDEX(AEO22_Table_22._Comm_Sector_Ene!$F$8:$AJ$81,MATCH($B87,AEO22_Table_22._Comm_Sector_Ene!$C$8:$C$81,0),MATCH(T$82,AEO22_Table_22._Comm_Sector_Ene!$F$5:$AJ$5,0))*gigwatt_to_megawatt</f>
        <v>567.30499999999995</v>
      </c>
      <c r="U87" s="19">
        <f>_xlfn.FORECAST.LINEAR(U$82,$BA87:$BB87,$BA$82:$BB$82)</f>
        <v>567.67619999999988</v>
      </c>
      <c r="V87" s="19">
        <f t="shared" ref="V87:X87" si="15">_xlfn.FORECAST.LINEAR(V$82,$BA87:$BB87,$BA$82:$BB$82)</f>
        <v>568.04739999999993</v>
      </c>
      <c r="W87" s="19">
        <f t="shared" si="15"/>
        <v>568.41859999999997</v>
      </c>
      <c r="X87" s="19">
        <f t="shared" si="15"/>
        <v>568.78980000000001</v>
      </c>
      <c r="Y87" s="17">
        <f>INDEX(AEO22_Table_22._Comm_Sector_Ene!$F$8:$AJ$81,MATCH($B87,AEO22_Table_22._Comm_Sector_Ene!$C$8:$C$81,0),MATCH(Y$82,AEO22_Table_22._Comm_Sector_Ene!$F$5:$AJ$5,0))*gigwatt_to_megawatt</f>
        <v>569.16100000000006</v>
      </c>
      <c r="Z87" s="19">
        <f>_xlfn.FORECAST.LINEAR(Z$82,$BB87:$BC87,$BB$82:$BC$82)</f>
        <v>569.76780000000008</v>
      </c>
      <c r="AA87" s="19">
        <f t="shared" ref="AA87:AC87" si="16">_xlfn.FORECAST.LINEAR(AA$82,$BB87:$BC87,$BB$82:$BC$82)</f>
        <v>570.3746000000001</v>
      </c>
      <c r="AB87" s="19">
        <f t="shared" si="16"/>
        <v>570.98140000000012</v>
      </c>
      <c r="AC87" s="19">
        <f t="shared" si="16"/>
        <v>571.58819999999992</v>
      </c>
      <c r="AD87" s="17">
        <f>INDEX(AEO22_Table_22._Comm_Sector_Ene!$F$8:$AJ$81,MATCH($B87,AEO22_Table_22._Comm_Sector_Ene!$C$8:$C$81,0),MATCH(AD$82,AEO22_Table_22._Comm_Sector_Ene!$F$5:$AJ$5,0))*gigwatt_to_megawatt</f>
        <v>572.19500000000005</v>
      </c>
      <c r="AE87" s="19">
        <f>_xlfn.FORECAST.LINEAR(AE$82,$BC87:$BD87,$BC$82:$BD$82)</f>
        <v>572.2274000000001</v>
      </c>
      <c r="AF87" s="19">
        <f t="shared" ref="AF87:AH87" si="17">_xlfn.FORECAST.LINEAR(AF$82,$BC87:$BD87,$BC$82:$BD$82)</f>
        <v>572.25980000000004</v>
      </c>
      <c r="AG87" s="19">
        <f t="shared" si="17"/>
        <v>572.29220000000009</v>
      </c>
      <c r="AH87" s="19">
        <f t="shared" si="17"/>
        <v>572.32460000000003</v>
      </c>
      <c r="AI87" s="17">
        <f>INDEX(AEO22_Table_22._Comm_Sector_Ene!$F$8:$AJ$81,MATCH($B87,AEO22_Table_22._Comm_Sector_Ene!$C$8:$C$81,0),MATCH(AI$82,AEO22_Table_22._Comm_Sector_Ene!$F$5:$AJ$5,0))*gigwatt_to_megawatt</f>
        <v>572.35699999999997</v>
      </c>
      <c r="AW87" t="s">
        <v>59</v>
      </c>
      <c r="AX87" s="17">
        <f>E87</f>
        <v>554.88099999999997</v>
      </c>
      <c r="AY87" s="17">
        <f t="shared" si="6"/>
        <v>559.51499999999999</v>
      </c>
      <c r="AZ87" s="17">
        <f t="shared" si="7"/>
        <v>563.024</v>
      </c>
      <c r="BA87" s="17">
        <f t="shared" si="8"/>
        <v>567.30499999999995</v>
      </c>
      <c r="BB87" s="17">
        <f t="shared" si="9"/>
        <v>569.16100000000006</v>
      </c>
      <c r="BC87" s="17">
        <f t="shared" si="10"/>
        <v>572.19500000000005</v>
      </c>
      <c r="BD87" s="17">
        <f t="shared" si="11"/>
        <v>572.35699999999997</v>
      </c>
    </row>
    <row r="88" spans="1:56" x14ac:dyDescent="0.25">
      <c r="A88" t="s">
        <v>437</v>
      </c>
      <c r="B88" s="3" t="s">
        <v>861</v>
      </c>
      <c r="C88" t="s">
        <v>10</v>
      </c>
      <c r="D88" s="17"/>
      <c r="E88" s="17">
        <f>INDEX(AEO21_Table_22._Comm_Sector_Ene!$F$8:$AK$81,MATCH($A88,AEO21_Table_22._Comm_Sector_Ene!$C$8:$C$81,0),MATCH(E$82,AEO21_Table_22._Comm_Sector_Ene!$F$5:$AK$5,0))*gigwatt_to_megawatt</f>
        <v>15855.377</v>
      </c>
      <c r="F88" s="19">
        <f t="shared" si="12"/>
        <v>19319.994199999608</v>
      </c>
      <c r="G88" s="19">
        <f>AEO23_table_22._Comm!F61*gigwatt_to_megawatt</f>
        <v>22491.291000000001</v>
      </c>
      <c r="H88" s="19">
        <f>AEO23_table_22._Comm!G61*gigwatt_to_megawatt</f>
        <v>26815.535</v>
      </c>
      <c r="I88" s="19">
        <f>AEO23_table_22._Comm!H61*gigwatt_to_megawatt</f>
        <v>30254.023000000001</v>
      </c>
      <c r="J88" s="19">
        <f>AEO23_table_22._Comm!I61*gigwatt_to_megawatt</f>
        <v>33178.463000000003</v>
      </c>
      <c r="K88" s="19">
        <f>AEO23_table_22._Comm!J61*gigwatt_to_megawatt</f>
        <v>34785.682999999997</v>
      </c>
      <c r="L88" s="19">
        <f>AEO23_table_22._Comm!K61*gigwatt_to_megawatt</f>
        <v>36654.330999999998</v>
      </c>
      <c r="M88" s="19">
        <f>AEO23_table_22._Comm!L61*gigwatt_to_megawatt</f>
        <v>38291.962</v>
      </c>
      <c r="N88" s="19">
        <f>AEO23_table_22._Comm!M61*gigwatt_to_megawatt</f>
        <v>40837.508999999998</v>
      </c>
      <c r="O88" s="19">
        <f>AEO23_table_22._Comm!N61*gigwatt_to_megawatt</f>
        <v>42625.346999999994</v>
      </c>
      <c r="P88" s="19">
        <f>AEO23_table_22._Comm!O61*gigwatt_to_megawatt</f>
        <v>44444</v>
      </c>
      <c r="Q88" s="19">
        <f>AEO23_table_22._Comm!P61*gigwatt_to_megawatt</f>
        <v>46077.877</v>
      </c>
      <c r="R88" s="19">
        <f>AEO23_table_22._Comm!Q61*gigwatt_to_megawatt</f>
        <v>48438.850000000006</v>
      </c>
      <c r="S88" s="19">
        <f>AEO23_table_22._Comm!R61*gigwatt_to_megawatt</f>
        <v>51029.842000000004</v>
      </c>
      <c r="T88" s="19">
        <f>AEO23_table_22._Comm!S61*gigwatt_to_megawatt</f>
        <v>52509.289000000004</v>
      </c>
      <c r="U88" s="19">
        <f>AEO23_table_22._Comm!T61*gigwatt_to_megawatt</f>
        <v>55255.535000000003</v>
      </c>
      <c r="V88" s="19">
        <f>AEO23_table_22._Comm!U61*gigwatt_to_megawatt</f>
        <v>56865.172999999995</v>
      </c>
      <c r="W88" s="19">
        <f>AEO23_table_22._Comm!V61*gigwatt_to_megawatt</f>
        <v>59174.522000000004</v>
      </c>
      <c r="X88" s="19">
        <f>AEO23_table_22._Comm!W61*gigwatt_to_megawatt</f>
        <v>61338.108</v>
      </c>
      <c r="Y88" s="19">
        <f>AEO23_table_22._Comm!X61*gigwatt_to_megawatt</f>
        <v>63244.408000000003</v>
      </c>
      <c r="Z88" s="19">
        <f>AEO23_table_22._Comm!Y61*gigwatt_to_megawatt</f>
        <v>64905.724000000009</v>
      </c>
      <c r="AA88" s="19">
        <f>AEO23_table_22._Comm!Z61*gigwatt_to_megawatt</f>
        <v>66276.016000000003</v>
      </c>
      <c r="AB88" s="19">
        <f>AEO23_table_22._Comm!AA61*gigwatt_to_megawatt</f>
        <v>67472.403999999995</v>
      </c>
      <c r="AC88" s="19">
        <f>AEO23_table_22._Comm!AB61*gigwatt_to_megawatt</f>
        <v>68558.64</v>
      </c>
      <c r="AD88" s="19">
        <f>AEO23_table_22._Comm!AC61*gigwatt_to_megawatt</f>
        <v>69653.053</v>
      </c>
      <c r="AE88" s="19">
        <f>AEO23_table_22._Comm!AD61*gigwatt_to_megawatt</f>
        <v>71534.721000000005</v>
      </c>
      <c r="AF88" s="19">
        <f>AEO23_table_22._Comm!AE61*gigwatt_to_megawatt</f>
        <v>72148.804000000004</v>
      </c>
      <c r="AG88" s="19">
        <f>AEO23_table_22._Comm!AF61*gigwatt_to_megawatt</f>
        <v>73245.368999999992</v>
      </c>
      <c r="AH88" s="19">
        <f>AEO23_table_22._Comm!AG61*gigwatt_to_megawatt</f>
        <v>73763.748000000007</v>
      </c>
      <c r="AI88" s="19">
        <f>AEO23_table_22._Comm!AH61*gigwatt_to_megawatt</f>
        <v>74117.523000000001</v>
      </c>
      <c r="AW88" t="s">
        <v>10</v>
      </c>
      <c r="AX88" s="17">
        <f>E88</f>
        <v>15855.377</v>
      </c>
      <c r="AY88" s="17">
        <f t="shared" si="6"/>
        <v>33178.463000000003</v>
      </c>
      <c r="AZ88" s="17">
        <f t="shared" si="7"/>
        <v>42625.346999999994</v>
      </c>
      <c r="BA88" s="17">
        <f t="shared" si="8"/>
        <v>52509.289000000004</v>
      </c>
      <c r="BB88" s="17">
        <f t="shared" si="9"/>
        <v>63244.408000000003</v>
      </c>
      <c r="BC88" s="17">
        <f t="shared" si="10"/>
        <v>69653.053</v>
      </c>
      <c r="BD88" s="17">
        <f t="shared" si="11"/>
        <v>74117.523000000001</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f>INDEX(AEO21_Table_22._Comm_Sector_Ene!$F$8:$AK$81,MATCH($A92,AEO21_Table_22._Comm_Sector_Ene!$C$8:$C$81,0),MATCH(E$82,AEO21_Table_22._Comm_Sector_Ene!$F$5:$AK$5,0))*gigwatt_to_megawatt</f>
        <v>17.117000000000001</v>
      </c>
      <c r="F92" s="19">
        <f t="shared" ref="F92:I92" si="18">_xlfn.FORECAST.LINEAR(F$82,$AX92:$AY92,$AX$82:$AY$82)</f>
        <v>16.104200000000219</v>
      </c>
      <c r="G92" s="19">
        <f t="shared" si="18"/>
        <v>15.091400000000021</v>
      </c>
      <c r="H92" s="19">
        <f t="shared" si="18"/>
        <v>14.078600000000279</v>
      </c>
      <c r="I92" s="19">
        <f t="shared" si="18"/>
        <v>13.065800000000309</v>
      </c>
      <c r="J92" s="17">
        <f>INDEX(AEO22_Table_22._Comm_Sector_Ene!$F$8:$AJ$81,MATCH($B92,AEO22_Table_22._Comm_Sector_Ene!$C$8:$C$81,0),MATCH(J$82,AEO22_Table_22._Comm_Sector_Ene!$F$5:$AJ$5,0))*gigwatt_to_megawatt</f>
        <v>12.052999999999999</v>
      </c>
      <c r="K92" s="19">
        <f>_xlfn.FORECAST.LINEAR(K$82,$AY92:$AZ92,$AY$82:$AZ$82)</f>
        <v>12.052999999999999</v>
      </c>
      <c r="L92" s="19">
        <f t="shared" ref="L92:N92" si="19">_xlfn.FORECAST.LINEAR(L$82,$AY92:$AZ92,$AY$82:$AZ$82)</f>
        <v>12.052999999999999</v>
      </c>
      <c r="M92" s="19">
        <f t="shared" si="19"/>
        <v>12.052999999999999</v>
      </c>
      <c r="N92" s="19">
        <f t="shared" si="19"/>
        <v>12.052999999999999</v>
      </c>
      <c r="O92" s="17">
        <f>INDEX(AEO22_Table_22._Comm_Sector_Ene!$F$8:$AJ$81,MATCH($B92,AEO22_Table_22._Comm_Sector_Ene!$C$8:$C$81,0),MATCH(O$82,AEO22_Table_22._Comm_Sector_Ene!$F$5:$AJ$5,0))*gigwatt_to_megawatt</f>
        <v>12.052999999999999</v>
      </c>
      <c r="P92" s="19">
        <f>_xlfn.FORECAST.LINEAR(P$82,$AZ92:$BA92,$AZ$82:$BA$82)</f>
        <v>12.052999999999999</v>
      </c>
      <c r="Q92" s="19">
        <f t="shared" ref="Q92:S92" si="20">_xlfn.FORECAST.LINEAR(Q$82,$AZ92:$BA92,$AZ$82:$BA$82)</f>
        <v>12.052999999999999</v>
      </c>
      <c r="R92" s="19">
        <f t="shared" si="20"/>
        <v>12.052999999999999</v>
      </c>
      <c r="S92" s="19">
        <f t="shared" si="20"/>
        <v>12.052999999999999</v>
      </c>
      <c r="T92" s="17">
        <f>INDEX(AEO22_Table_22._Comm_Sector_Ene!$F$8:$AJ$81,MATCH($B92,AEO22_Table_22._Comm_Sector_Ene!$C$8:$C$81,0),MATCH(T$82,AEO22_Table_22._Comm_Sector_Ene!$F$5:$AJ$5,0))*gigwatt_to_megawatt</f>
        <v>12.052999999999999</v>
      </c>
      <c r="U92" s="19">
        <f>_xlfn.FORECAST.LINEAR(U$82,$BA92:$BB92,$BA$82:$BB$82)</f>
        <v>12.052999999999999</v>
      </c>
      <c r="V92" s="19">
        <f t="shared" ref="V92:X92" si="21">_xlfn.FORECAST.LINEAR(V$82,$BA92:$BB92,$BA$82:$BB$82)</f>
        <v>12.052999999999999</v>
      </c>
      <c r="W92" s="19">
        <f t="shared" si="21"/>
        <v>12.052999999999999</v>
      </c>
      <c r="X92" s="19">
        <f t="shared" si="21"/>
        <v>12.052999999999999</v>
      </c>
      <c r="Y92" s="17">
        <f>INDEX(AEO22_Table_22._Comm_Sector_Ene!$F$8:$AJ$81,MATCH($B92,AEO22_Table_22._Comm_Sector_Ene!$C$8:$C$81,0),MATCH(Y$82,AEO22_Table_22._Comm_Sector_Ene!$F$5:$AJ$5,0))*gigwatt_to_megawatt</f>
        <v>12.052999999999999</v>
      </c>
      <c r="Z92" s="19">
        <f>_xlfn.FORECAST.LINEAR(Z$82,$BB92:$BC92,$BB$82:$BC$82)</f>
        <v>12.052999999999999</v>
      </c>
      <c r="AA92" s="19">
        <f t="shared" ref="AA92:AC92" si="22">_xlfn.FORECAST.LINEAR(AA$82,$BB92:$BC92,$BB$82:$BC$82)</f>
        <v>12.052999999999999</v>
      </c>
      <c r="AB92" s="19">
        <f t="shared" si="22"/>
        <v>12.052999999999999</v>
      </c>
      <c r="AC92" s="19">
        <f t="shared" si="22"/>
        <v>12.052999999999999</v>
      </c>
      <c r="AD92" s="17">
        <f>INDEX(AEO22_Table_22._Comm_Sector_Ene!$F$8:$AJ$81,MATCH($B92,AEO22_Table_22._Comm_Sector_Ene!$C$8:$C$81,0),MATCH(AD$82,AEO22_Table_22._Comm_Sector_Ene!$F$5:$AJ$5,0))*gigwatt_to_megawatt</f>
        <v>12.052999999999999</v>
      </c>
      <c r="AE92" s="19">
        <f>_xlfn.FORECAST.LINEAR(AE$82,$BC92:$BD92,$BC$82:$BD$82)</f>
        <v>12.052999999999999</v>
      </c>
      <c r="AF92" s="19">
        <f t="shared" ref="AF92:AH92" si="23">_xlfn.FORECAST.LINEAR(AF$82,$BC92:$BD92,$BC$82:$BD$82)</f>
        <v>12.052999999999999</v>
      </c>
      <c r="AG92" s="19">
        <f t="shared" si="23"/>
        <v>12.052999999999999</v>
      </c>
      <c r="AH92" s="19">
        <f t="shared" si="23"/>
        <v>12.052999999999999</v>
      </c>
      <c r="AI92" s="17">
        <f>INDEX(AEO22_Table_22._Comm_Sector_Ene!$F$8:$AJ$81,MATCH($B92,AEO22_Table_22._Comm_Sector_Ene!$C$8:$C$81,0),MATCH(AI$82,AEO22_Table_22._Comm_Sector_Ene!$F$5:$AJ$5,0))*gigwatt_to_megawatt</f>
        <v>12.052999999999999</v>
      </c>
      <c r="AW92" t="s">
        <v>14</v>
      </c>
      <c r="AX92" s="17">
        <f>E92</f>
        <v>17.117000000000001</v>
      </c>
      <c r="AY92" s="17">
        <f t="shared" si="6"/>
        <v>12.052999999999999</v>
      </c>
      <c r="AZ92" s="17">
        <f t="shared" si="7"/>
        <v>12.052999999999999</v>
      </c>
      <c r="BA92" s="17">
        <f t="shared" si="8"/>
        <v>12.052999999999999</v>
      </c>
      <c r="BB92" s="17">
        <f t="shared" si="9"/>
        <v>12.052999999999999</v>
      </c>
      <c r="BC92" s="17">
        <f t="shared" si="10"/>
        <v>12.052999999999999</v>
      </c>
      <c r="BD92" s="17">
        <f t="shared" si="11"/>
        <v>12.052999999999999</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f>INDEX(AEO21_Table_22._Comm_Sector_Ene!$F$8:$AK$81,MATCH($A104,AEO21_Table_22._Comm_Sector_Ene!$C$8:$C$81,0),MATCH(E$102,AEO21_Table_22._Comm_Sector_Ene!$F$5:$AK$5,0))*billion_kw_to_MW</f>
        <v>9605634</v>
      </c>
      <c r="F104" s="19">
        <f t="shared" ref="F104:I104" si="24">_xlfn.FORECAST.LINEAR(F$82,$AX104:$AY104,$AX$82:$AY$82)</f>
        <v>9660717.8000000119</v>
      </c>
      <c r="G104" s="19">
        <f t="shared" si="24"/>
        <v>9715801.6000000089</v>
      </c>
      <c r="H104" s="19">
        <f t="shared" si="24"/>
        <v>9770885.400000006</v>
      </c>
      <c r="I104" s="19">
        <f t="shared" si="24"/>
        <v>9825969.200000003</v>
      </c>
      <c r="J104" s="17">
        <f>INDEX(AEO22_Table_22._Comm_Sector_Ene!$F$8:$AJ$81,MATCH($B104,AEO22_Table_22._Comm_Sector_Ene!$C$8:$C$81,0),MATCH(J$102,AEO22_Table_22._Comm_Sector_Ene!$F$5:$AJ$5,0))*billion_kw_to_MW</f>
        <v>9881053</v>
      </c>
      <c r="K104" s="19">
        <f>_xlfn.FORECAST.LINEAR(K$82,$AY104:$AZ104,$AY$102:$AZ$102)</f>
        <v>9990912.8000000119</v>
      </c>
      <c r="L104" s="19">
        <f t="shared" ref="L104:N104" si="25">_xlfn.FORECAST.LINEAR(L$82,$AY104:$AZ104,$AY$102:$AZ$102)</f>
        <v>10100772.599999994</v>
      </c>
      <c r="M104" s="19">
        <f t="shared" si="25"/>
        <v>10210632.400000006</v>
      </c>
      <c r="N104" s="19">
        <f t="shared" si="25"/>
        <v>10320492.200000018</v>
      </c>
      <c r="O104" s="17">
        <f>INDEX(AEO22_Table_22._Comm_Sector_Ene!$F$8:$AJ$81,MATCH($B104,AEO22_Table_22._Comm_Sector_Ene!$C$8:$C$81,0),MATCH(O$102,AEO22_Table_22._Comm_Sector_Ene!$F$5:$AJ$5,0))*billion_kw_to_MW</f>
        <v>10430352</v>
      </c>
      <c r="P104" s="19">
        <f>_xlfn.FORECAST.LINEAR(P$82,$AZ104:$BA104,$AZ$102:$BA$102)</f>
        <v>10536265.199999988</v>
      </c>
      <c r="Q104" s="19">
        <f t="shared" ref="Q104:S104" si="26">_xlfn.FORECAST.LINEAR(Q$82,$AZ104:$BA104,$AZ$102:$BA$102)</f>
        <v>10642178.400000006</v>
      </c>
      <c r="R104" s="19">
        <f t="shared" si="26"/>
        <v>10748091.599999994</v>
      </c>
      <c r="S104" s="19">
        <f t="shared" si="26"/>
        <v>10854004.799999982</v>
      </c>
      <c r="T104" s="17">
        <f>INDEX(AEO22_Table_22._Comm_Sector_Ene!$F$8:$AJ$81,MATCH($B104,AEO22_Table_22._Comm_Sector_Ene!$C$8:$C$81,0),MATCH(T$102,AEO22_Table_22._Comm_Sector_Ene!$F$5:$AJ$5,0))*billion_kw_to_MW</f>
        <v>10959918</v>
      </c>
      <c r="U104" s="19">
        <f>_xlfn.FORECAST.LINEAR(U$82,$BA104:$BB104,$BA$102:$BB$102)</f>
        <v>11060111.199999988</v>
      </c>
      <c r="V104" s="19">
        <f t="shared" ref="V104:X104" si="27">_xlfn.FORECAST.LINEAR(V$82,$BA104:$BB104,$BA$102:$BB$102)</f>
        <v>11160304.400000006</v>
      </c>
      <c r="W104" s="19">
        <f t="shared" si="27"/>
        <v>11260497.599999994</v>
      </c>
      <c r="X104" s="19">
        <f t="shared" si="27"/>
        <v>11360690.799999982</v>
      </c>
      <c r="Y104" s="17">
        <f>INDEX(AEO22_Table_22._Comm_Sector_Ene!$F$8:$AJ$81,MATCH($B104,AEO22_Table_22._Comm_Sector_Ene!$C$8:$C$81,0),MATCH(Y$102,AEO22_Table_22._Comm_Sector_Ene!$F$5:$AJ$5,0))*billion_kw_to_MW</f>
        <v>11460884</v>
      </c>
      <c r="Z104" s="19">
        <f>_xlfn.FORECAST.LINEAR(Z$82,$BB104:$BC104,$BB$102:$BC$102)</f>
        <v>11566549.199999988</v>
      </c>
      <c r="AA104" s="19">
        <f t="shared" ref="AA104:AC104" si="28">_xlfn.FORECAST.LINEAR(AA$82,$BB104:$BC104,$BB$102:$BC$102)</f>
        <v>11672214.400000006</v>
      </c>
      <c r="AB104" s="19">
        <f t="shared" si="28"/>
        <v>11777879.599999994</v>
      </c>
      <c r="AC104" s="19">
        <f t="shared" si="28"/>
        <v>11883544.799999982</v>
      </c>
      <c r="AD104" s="17">
        <f>INDEX(AEO22_Table_22._Comm_Sector_Ene!$F$8:$AJ$81,MATCH($B104,AEO22_Table_22._Comm_Sector_Ene!$C$8:$C$81,0),MATCH(AD$102,AEO22_Table_22._Comm_Sector_Ene!$F$5:$AJ$5,0))*billion_kw_to_MW</f>
        <v>11989210</v>
      </c>
      <c r="AE104" s="19">
        <f>_xlfn.FORECAST.LINEAR(AE$82,$BC104:$BD104,$BC$102:$BD$102)</f>
        <v>12078878.800000012</v>
      </c>
      <c r="AF104" s="19">
        <f t="shared" ref="AF104:AH104" si="29">_xlfn.FORECAST.LINEAR(AF$82,$BC104:$BD104,$BC$102:$BD$102)</f>
        <v>12168547.599999994</v>
      </c>
      <c r="AG104" s="19">
        <f t="shared" si="29"/>
        <v>12258216.400000006</v>
      </c>
      <c r="AH104" s="19">
        <f t="shared" si="29"/>
        <v>12347885.200000018</v>
      </c>
      <c r="AI104" s="17">
        <f>INDEX(AEO22_Table_22._Comm_Sector_Ene!$F$8:$AJ$81,MATCH($B104,AEO22_Table_22._Comm_Sector_Ene!$C$8:$C$81,0),MATCH(AI$102,AEO22_Table_22._Comm_Sector_Ene!$F$5:$AJ$5,0))*billion_kw_to_MW</f>
        <v>12437554</v>
      </c>
      <c r="AW104" t="s">
        <v>7</v>
      </c>
      <c r="AX104" s="17">
        <f>E104</f>
        <v>9605634</v>
      </c>
      <c r="AY104" s="17">
        <f>J104</f>
        <v>9881053</v>
      </c>
      <c r="AZ104" s="17">
        <f>O104</f>
        <v>10430352</v>
      </c>
      <c r="BA104" s="17">
        <f>T104</f>
        <v>10959918</v>
      </c>
      <c r="BB104" s="17">
        <f>Y104</f>
        <v>11460884</v>
      </c>
      <c r="BC104" s="17">
        <f>AD104</f>
        <v>11989210</v>
      </c>
      <c r="BD104" s="17">
        <f>AI104</f>
        <v>12437554</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f>INDEX(AEO21_Table_22._Comm_Sector_Ene!$F$8:$AK$81,MATCH($A107,AEO21_Table_22._Comm_Sector_Ene!$C$8:$C$81,0),MATCH(E$102,AEO21_Table_22._Comm_Sector_Ene!$F$5:$AK$5,0))*billion_kw_to_MW</f>
        <v>755308</v>
      </c>
      <c r="F107" s="19">
        <f t="shared" ref="F107:I108" si="30">_xlfn.FORECAST.LINEAR(F$82,$AX107:$AY107,$AX$82:$AY$82)</f>
        <v>756853.20000000019</v>
      </c>
      <c r="G107" s="19">
        <f t="shared" si="30"/>
        <v>758398.39999999991</v>
      </c>
      <c r="H107" s="19">
        <f t="shared" si="30"/>
        <v>759943.60000000009</v>
      </c>
      <c r="I107" s="19">
        <f t="shared" si="30"/>
        <v>761488.80000000028</v>
      </c>
      <c r="J107" s="17">
        <f>INDEX(AEO22_Table_22._Comm_Sector_Ene!$F$8:$AJ$81,MATCH($B107,AEO22_Table_22._Comm_Sector_Ene!$C$8:$C$81,0),MATCH(Calculations!J$102,AEO22_Table_22._Comm_Sector_Ene!$F$5:$AJ$5,0))*billion_kw_to_MW</f>
        <v>763034</v>
      </c>
      <c r="K107" s="19">
        <f>_xlfn.FORECAST.LINEAR(K$82,$AY107:$AZ107,$AY$102:$AZ$102)</f>
        <v>764193.79999999981</v>
      </c>
      <c r="L107" s="19">
        <f t="shared" ref="L107:N108" si="31">_xlfn.FORECAST.LINEAR(L$82,$AY107:$AZ107,$AY$102:$AZ$102)</f>
        <v>765353.60000000009</v>
      </c>
      <c r="M107" s="19">
        <f t="shared" si="31"/>
        <v>766513.39999999991</v>
      </c>
      <c r="N107" s="19">
        <f t="shared" si="31"/>
        <v>767673.19999999972</v>
      </c>
      <c r="O107" s="17">
        <f>INDEX(AEO22_Table_22._Comm_Sector_Ene!$F$8:$AJ$81,MATCH($B107,AEO22_Table_22._Comm_Sector_Ene!$C$8:$C$81,0),MATCH(O$102,AEO22_Table_22._Comm_Sector_Ene!$F$5:$AJ$5,0))*billion_kw_to_MW</f>
        <v>768833</v>
      </c>
      <c r="P107" s="19">
        <f>_xlfn.FORECAST.LINEAR(P$82,$AZ107:$BA107,$AZ$102:$BA$102)</f>
        <v>770258.59999999963</v>
      </c>
      <c r="Q107" s="19">
        <f t="shared" ref="Q107:S108" si="32">_xlfn.FORECAST.LINEAR(Q$82,$AZ107:$BA107,$AZ$102:$BA$102)</f>
        <v>771684.19999999972</v>
      </c>
      <c r="R107" s="19">
        <f t="shared" si="32"/>
        <v>773109.79999999981</v>
      </c>
      <c r="S107" s="19">
        <f t="shared" si="32"/>
        <v>774535.39999999991</v>
      </c>
      <c r="T107" s="17">
        <f>INDEX(AEO22_Table_22._Comm_Sector_Ene!$F$8:$AJ$81,MATCH($B107,AEO22_Table_22._Comm_Sector_Ene!$C$8:$C$81,0),MATCH(T$102,AEO22_Table_22._Comm_Sector_Ene!$F$5:$AJ$5,0))*billion_kw_to_MW</f>
        <v>775961</v>
      </c>
      <c r="U107" s="19">
        <f>_xlfn.FORECAST.LINEAR(U$82,$BA107:$BB107,$BA$102:$BB$102)</f>
        <v>776590.39999999991</v>
      </c>
      <c r="V107" s="19">
        <f t="shared" ref="V107:X107" si="33">_xlfn.FORECAST.LINEAR(V$82,$BA107:$BB107,$BA$102:$BB$102)</f>
        <v>777219.8</v>
      </c>
      <c r="W107" s="19">
        <f t="shared" si="33"/>
        <v>777849.2</v>
      </c>
      <c r="X107" s="19">
        <f t="shared" si="33"/>
        <v>778478.59999999986</v>
      </c>
      <c r="Y107" s="17">
        <f>INDEX(AEO22_Table_22._Comm_Sector_Ene!$F$8:$AJ$81,MATCH($B107,AEO22_Table_22._Comm_Sector_Ene!$C$8:$C$81,0),MATCH(Y$102,AEO22_Table_22._Comm_Sector_Ene!$F$5:$AJ$5,0))*billion_kw_to_MW</f>
        <v>779108</v>
      </c>
      <c r="Z107" s="19">
        <f>_xlfn.FORECAST.LINEAR(Z$82,$BB107:$BC107,$BB$102:$BC$102)</f>
        <v>780136</v>
      </c>
      <c r="AA107" s="19">
        <f t="shared" ref="AA107:AC108" si="34">_xlfn.FORECAST.LINEAR(AA$82,$BB107:$BC107,$BB$102:$BC$102)</f>
        <v>781164</v>
      </c>
      <c r="AB107" s="19">
        <f t="shared" si="34"/>
        <v>782192</v>
      </c>
      <c r="AC107" s="19">
        <f t="shared" si="34"/>
        <v>783220</v>
      </c>
      <c r="AD107" s="17">
        <f>INDEX(AEO22_Table_22._Comm_Sector_Ene!$F$8:$AJ$81,MATCH($B107,AEO22_Table_22._Comm_Sector_Ene!$C$8:$C$81,0),MATCH(AD$102,AEO22_Table_22._Comm_Sector_Ene!$F$5:$AJ$5,0))*billion_kw_to_MW</f>
        <v>784248</v>
      </c>
      <c r="AE107" s="19">
        <f>_xlfn.FORECAST.LINEAR(AE$82,$BC107:$BD107,$BC$102:$BD$102)</f>
        <v>784301.6</v>
      </c>
      <c r="AF107" s="19">
        <f t="shared" ref="AF107:AH108" si="35">_xlfn.FORECAST.LINEAR(AF$82,$BC107:$BD107,$BC$102:$BD$102)</f>
        <v>784355.2</v>
      </c>
      <c r="AG107" s="19">
        <f t="shared" si="35"/>
        <v>784408.8</v>
      </c>
      <c r="AH107" s="19">
        <f t="shared" si="35"/>
        <v>784462.4</v>
      </c>
      <c r="AI107" s="17">
        <f>INDEX(AEO22_Table_22._Comm_Sector_Ene!$F$8:$AJ$81,MATCH($B107,AEO22_Table_22._Comm_Sector_Ene!$C$8:$C$81,0),MATCH(AI$102,AEO22_Table_22._Comm_Sector_Ene!$F$5:$AJ$5,0))*billion_kw_to_MW</f>
        <v>784516</v>
      </c>
      <c r="AW107" t="s">
        <v>59</v>
      </c>
      <c r="AX107" s="17">
        <f>E107</f>
        <v>755308</v>
      </c>
      <c r="AY107" s="17">
        <f>J107</f>
        <v>763034</v>
      </c>
      <c r="AZ107" s="17">
        <f>O107</f>
        <v>768833</v>
      </c>
      <c r="BA107" s="17">
        <f>T107</f>
        <v>775961</v>
      </c>
      <c r="BB107" s="17">
        <f>Y107</f>
        <v>779108</v>
      </c>
      <c r="BC107" s="17">
        <f>AD107</f>
        <v>784248</v>
      </c>
      <c r="BD107" s="17">
        <f>AI107</f>
        <v>784516</v>
      </c>
    </row>
    <row r="108" spans="1:56" x14ac:dyDescent="0.25">
      <c r="A108" t="s">
        <v>450</v>
      </c>
      <c r="B108" s="3" t="s">
        <v>873</v>
      </c>
      <c r="C108" t="s">
        <v>10</v>
      </c>
      <c r="D108" s="17"/>
      <c r="E108" s="17">
        <f>INDEX(AEO21_Table_22._Comm_Sector_Ene!$F$8:$AK$81,MATCH($A108,AEO21_Table_22._Comm_Sector_Ene!$C$8:$C$81,0),MATCH(E$102,AEO21_Table_22._Comm_Sector_Ene!$F$5:$AK$5,0))*billion_kw_to_MW</f>
        <v>20024660</v>
      </c>
      <c r="F108" s="19">
        <f t="shared" si="30"/>
        <v>23193289.799999237</v>
      </c>
      <c r="G108" s="19">
        <f t="shared" si="30"/>
        <v>26361919.599999428</v>
      </c>
      <c r="H108" s="19">
        <f t="shared" si="30"/>
        <v>29530549.399999619</v>
      </c>
      <c r="I108" s="19">
        <f t="shared" si="30"/>
        <v>32699179.199999809</v>
      </c>
      <c r="J108" s="17">
        <f>INDEX(AEO22_Table_22._Comm_Sector_Ene!$F$8:$AJ$81,MATCH($B108,AEO22_Table_22._Comm_Sector_Ene!$C$8:$C$81,0),MATCH(J$102,AEO22_Table_22._Comm_Sector_Ene!$F$5:$AJ$5,0))*billion_kw_to_MW</f>
        <v>35867809</v>
      </c>
      <c r="K108" s="19">
        <f>_xlfn.FORECAST.LINEAR(K$82,$AY108:$AZ108,$AY$102:$AZ$102)</f>
        <v>37785974.600000381</v>
      </c>
      <c r="L108" s="19">
        <f t="shared" si="31"/>
        <v>39704140.200000286</v>
      </c>
      <c r="M108" s="19">
        <f t="shared" si="31"/>
        <v>41622305.800000191</v>
      </c>
      <c r="N108" s="19">
        <f t="shared" si="31"/>
        <v>43540471.400000095</v>
      </c>
      <c r="O108" s="17">
        <f>INDEX(AEO22_Table_22._Comm_Sector_Ene!$F$8:$AJ$81,MATCH($B108,AEO22_Table_22._Comm_Sector_Ene!$C$8:$C$81,0),MATCH(O$102,AEO22_Table_22._Comm_Sector_Ene!$F$5:$AJ$5,0))*billion_kw_to_MW</f>
        <v>45458637</v>
      </c>
      <c r="P108" s="19">
        <f>_xlfn.FORECAST.LINEAR(P$82,$AZ108:$BA108,$AZ$102:$BA$102)</f>
        <v>46740126.600000381</v>
      </c>
      <c r="Q108" s="19">
        <f t="shared" si="32"/>
        <v>48021616.200000286</v>
      </c>
      <c r="R108" s="19">
        <f t="shared" si="32"/>
        <v>49303105.800000191</v>
      </c>
      <c r="S108" s="19">
        <f t="shared" si="32"/>
        <v>50584595.400000095</v>
      </c>
      <c r="T108" s="17">
        <f>INDEX(AEO22_Table_22._Comm_Sector_Ene!$F$8:$AJ$81,MATCH($B108,AEO22_Table_22._Comm_Sector_Ene!$C$8:$C$81,0),MATCH(T$102,AEO22_Table_22._Comm_Sector_Ene!$F$5:$AJ$5,0))*billion_kw_to_MW</f>
        <v>51866085</v>
      </c>
      <c r="U108" s="19">
        <f>_xlfn.FORECAST.LINEAR(U$82,$BA108:$BB108,$BA$102:$BB$102)</f>
        <v>53801245.800000191</v>
      </c>
      <c r="V108" s="19">
        <f t="shared" ref="V108:X108" si="36">_xlfn.FORECAST.LINEAR(V$82,$BA108:$BB108,$BA$102:$BB$102)</f>
        <v>55736406.599999905</v>
      </c>
      <c r="W108" s="19">
        <f t="shared" si="36"/>
        <v>57671567.400000095</v>
      </c>
      <c r="X108" s="19">
        <f t="shared" si="36"/>
        <v>59606728.200000286</v>
      </c>
      <c r="Y108" s="17">
        <f>INDEX(AEO22_Table_22._Comm_Sector_Ene!$F$8:$AJ$81,MATCH($B108,AEO22_Table_22._Comm_Sector_Ene!$C$8:$C$81,0),MATCH(Y$102,AEO22_Table_22._Comm_Sector_Ene!$F$5:$AJ$5,0))*billion_kw_to_MW</f>
        <v>61541889</v>
      </c>
      <c r="Z108" s="19">
        <f>_xlfn.FORECAST.LINEAR(Z$82,$BB108:$BC108,$BB$102:$BC$102)</f>
        <v>63830111.600000381</v>
      </c>
      <c r="AA108" s="19">
        <f t="shared" si="34"/>
        <v>66118334.199999809</v>
      </c>
      <c r="AB108" s="19">
        <f t="shared" si="34"/>
        <v>68406556.800000191</v>
      </c>
      <c r="AC108" s="19">
        <f t="shared" si="34"/>
        <v>70694779.400000572</v>
      </c>
      <c r="AD108" s="17">
        <f>INDEX(AEO22_Table_22._Comm_Sector_Ene!$F$8:$AJ$81,MATCH($B108,AEO22_Table_22._Comm_Sector_Ene!$C$8:$C$81,0),MATCH(AD$102,AEO22_Table_22._Comm_Sector_Ene!$F$5:$AJ$5,0))*billion_kw_to_MW</f>
        <v>72983002</v>
      </c>
      <c r="AE108" s="19">
        <f>_xlfn.FORECAST.LINEAR(AE$82,$BC108:$BD108,$BC$102:$BD$102)</f>
        <v>75295129.600000381</v>
      </c>
      <c r="AF108" s="19">
        <f t="shared" si="35"/>
        <v>77607257.199999809</v>
      </c>
      <c r="AG108" s="19">
        <f t="shared" si="35"/>
        <v>79919384.800000191</v>
      </c>
      <c r="AH108" s="19">
        <f t="shared" si="35"/>
        <v>82231512.400000572</v>
      </c>
      <c r="AI108" s="17">
        <f>INDEX(AEO22_Table_22._Comm_Sector_Ene!$F$8:$AJ$81,MATCH($B108,AEO22_Table_22._Comm_Sector_Ene!$C$8:$C$81,0),MATCH(AI$102,AEO22_Table_22._Comm_Sector_Ene!$F$5:$AJ$5,0))*billion_kw_to_MW</f>
        <v>84543640</v>
      </c>
      <c r="AW108" t="s">
        <v>10</v>
      </c>
      <c r="AX108" s="17">
        <f>E108</f>
        <v>20024660</v>
      </c>
      <c r="AY108" s="17">
        <f>J108</f>
        <v>35867809</v>
      </c>
      <c r="AZ108" s="17">
        <f>O108</f>
        <v>45458637</v>
      </c>
      <c r="BA108" s="17">
        <f>T108</f>
        <v>51866085</v>
      </c>
      <c r="BB108" s="17">
        <f>Y108</f>
        <v>61541889</v>
      </c>
      <c r="BC108" s="17">
        <f>AD108</f>
        <v>72983002</v>
      </c>
      <c r="BD108" s="17">
        <f>AI108</f>
        <v>84543640</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f>INDEX(AEO21_Table_22._Comm_Sector_Ene!$F$8:$AK$81,MATCH($A112,AEO21_Table_22._Comm_Sector_Ene!$C$8:$C$81,0),MATCH(E$102,AEO21_Table_22._Comm_Sector_Ene!$F$5:$AK$5,0))*billion_kw_to_MW</f>
        <v>119388</v>
      </c>
      <c r="F112" s="19">
        <f t="shared" ref="F112:I112" si="37">_xlfn.FORECAST.LINEAR(F$82,$AX112:$AY112,$AX$82:$AY$82)</f>
        <v>112323.80000000075</v>
      </c>
      <c r="G112" s="19">
        <f t="shared" si="37"/>
        <v>105259.59999999963</v>
      </c>
      <c r="H112" s="19">
        <f t="shared" si="37"/>
        <v>98195.400000000373</v>
      </c>
      <c r="I112" s="19">
        <f t="shared" si="37"/>
        <v>91131.200000001118</v>
      </c>
      <c r="J112" s="17">
        <f>INDEX(AEO22_Table_22._Comm_Sector_Ene!$F$8:$AJ$81,MATCH($B112,AEO22_Table_22._Comm_Sector_Ene!$C$8:$C$81,0),MATCH(J$102,AEO22_Table_22._Comm_Sector_Ene!$F$5:$AJ$5,0))*billion_kw_to_MW</f>
        <v>84067</v>
      </c>
      <c r="K112" s="19">
        <f>_xlfn.FORECAST.LINEAR(K$82,$AY112:$AZ112,$AY$102:$AZ$102)</f>
        <v>84067</v>
      </c>
      <c r="L112" s="19">
        <f t="shared" ref="L112:N112" si="38">_xlfn.FORECAST.LINEAR(L$82,$AY112:$AZ112,$AY$102:$AZ$102)</f>
        <v>84067</v>
      </c>
      <c r="M112" s="19">
        <f t="shared" si="38"/>
        <v>84067</v>
      </c>
      <c r="N112" s="19">
        <f t="shared" si="38"/>
        <v>84067</v>
      </c>
      <c r="O112" s="17">
        <f>INDEX(AEO22_Table_22._Comm_Sector_Ene!$F$8:$AJ$81,MATCH($B112,AEO22_Table_22._Comm_Sector_Ene!$C$8:$C$81,0),MATCH(O$102,AEO22_Table_22._Comm_Sector_Ene!$F$5:$AJ$5,0))*billion_kw_to_MW</f>
        <v>84067</v>
      </c>
      <c r="P112" s="19">
        <f>_xlfn.FORECAST.LINEAR(P$82,$AZ112:$BA112,$AZ$102:$BA$102)</f>
        <v>84067</v>
      </c>
      <c r="Q112" s="19">
        <f t="shared" ref="Q112:S112" si="39">_xlfn.FORECAST.LINEAR(Q$82,$AZ112:$BA112,$AZ$102:$BA$102)</f>
        <v>84067</v>
      </c>
      <c r="R112" s="19">
        <f t="shared" si="39"/>
        <v>84067</v>
      </c>
      <c r="S112" s="19">
        <f t="shared" si="39"/>
        <v>84067</v>
      </c>
      <c r="T112" s="17">
        <f>INDEX(AEO22_Table_22._Comm_Sector_Ene!$F$8:$AJ$81,MATCH($B112,AEO22_Table_22._Comm_Sector_Ene!$C$8:$C$81,0),MATCH(T$102,AEO22_Table_22._Comm_Sector_Ene!$F$5:$AJ$5,0))*billion_kw_to_MW</f>
        <v>84067</v>
      </c>
      <c r="U112" s="19">
        <f>_xlfn.FORECAST.LINEAR(U$82,$BA112:$BB112,$BA$102:$BB$102)</f>
        <v>84067</v>
      </c>
      <c r="V112" s="19">
        <f t="shared" ref="V112:X112" si="40">_xlfn.FORECAST.LINEAR(V$82,$BA112:$BB112,$BA$102:$BB$102)</f>
        <v>84067</v>
      </c>
      <c r="W112" s="19">
        <f t="shared" si="40"/>
        <v>84067</v>
      </c>
      <c r="X112" s="19">
        <f t="shared" si="40"/>
        <v>84067</v>
      </c>
      <c r="Y112" s="17">
        <f>INDEX(AEO22_Table_22._Comm_Sector_Ene!$F$8:$AJ$81,MATCH($B112,AEO22_Table_22._Comm_Sector_Ene!$C$8:$C$81,0),MATCH(Y$102,AEO22_Table_22._Comm_Sector_Ene!$F$5:$AJ$5,0))*billion_kw_to_MW</f>
        <v>84067</v>
      </c>
      <c r="Z112" s="19">
        <f>_xlfn.FORECAST.LINEAR(Z$82,$BB112:$BC112,$BB$102:$BC$102)</f>
        <v>84067</v>
      </c>
      <c r="AA112" s="19">
        <f t="shared" ref="AA112:AC112" si="41">_xlfn.FORECAST.LINEAR(AA$82,$BB112:$BC112,$BB$102:$BC$102)</f>
        <v>84067</v>
      </c>
      <c r="AB112" s="19">
        <f t="shared" si="41"/>
        <v>84067</v>
      </c>
      <c r="AC112" s="19">
        <f t="shared" si="41"/>
        <v>84067</v>
      </c>
      <c r="AD112" s="17">
        <f>INDEX(AEO22_Table_22._Comm_Sector_Ene!$F$8:$AJ$81,MATCH($B112,AEO22_Table_22._Comm_Sector_Ene!$C$8:$C$81,0),MATCH(AD$102,AEO22_Table_22._Comm_Sector_Ene!$F$5:$AJ$5,0))*billion_kw_to_MW</f>
        <v>84067</v>
      </c>
      <c r="AE112" s="19">
        <f>_xlfn.FORECAST.LINEAR(AE$82,$BC112:$BD112,$BC$102:$BD$102)</f>
        <v>84067</v>
      </c>
      <c r="AF112" s="19">
        <f t="shared" ref="AF112:AH112" si="42">_xlfn.FORECAST.LINEAR(AF$82,$BC112:$BD112,$BC$102:$BD$102)</f>
        <v>84067</v>
      </c>
      <c r="AG112" s="19">
        <f t="shared" si="42"/>
        <v>84067</v>
      </c>
      <c r="AH112" s="19">
        <f t="shared" si="42"/>
        <v>84067</v>
      </c>
      <c r="AI112" s="17">
        <f>INDEX(AEO22_Table_22._Comm_Sector_Ene!$F$8:$AJ$81,MATCH($B112,AEO22_Table_22._Comm_Sector_Ene!$C$8:$C$81,0),MATCH(AI$102,AEO22_Table_22._Comm_Sector_Ene!$F$5:$AJ$5,0))*billion_kw_to_MW</f>
        <v>84067</v>
      </c>
      <c r="AW112" t="s">
        <v>14</v>
      </c>
      <c r="AX112" s="17">
        <f>E112</f>
        <v>119388</v>
      </c>
      <c r="AY112" s="17">
        <f>J112</f>
        <v>84067</v>
      </c>
      <c r="AZ112" s="17">
        <f>O112</f>
        <v>84067</v>
      </c>
      <c r="BA112" s="17">
        <f>T112</f>
        <v>84067</v>
      </c>
      <c r="BB112" s="17">
        <f>Y112</f>
        <v>84067</v>
      </c>
      <c r="BC112" s="17">
        <f>AD112</f>
        <v>84067</v>
      </c>
      <c r="BD112" s="17">
        <f>AI112</f>
        <v>84067</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913</v>
      </c>
      <c r="E121" s="48">
        <f t="shared" ref="E121:AI121" si="43">E10/(E48*8760)</f>
        <v>0.16894106961455674</v>
      </c>
      <c r="F121" s="48">
        <f t="shared" si="43"/>
        <v>0.18013879342231093</v>
      </c>
      <c r="G121" s="48">
        <f t="shared" si="43"/>
        <v>0.16424673264289522</v>
      </c>
      <c r="H121" s="48">
        <f t="shared" si="43"/>
        <v>0.16496216209715314</v>
      </c>
      <c r="I121" s="48">
        <f t="shared" si="43"/>
        <v>0.16012551499176311</v>
      </c>
      <c r="J121" s="48">
        <f t="shared" si="43"/>
        <v>0.15561117163240706</v>
      </c>
      <c r="K121" s="48">
        <f t="shared" si="43"/>
        <v>0.15177159661346962</v>
      </c>
      <c r="L121" s="48">
        <f t="shared" si="43"/>
        <v>0.14817829628116694</v>
      </c>
      <c r="M121" s="48">
        <f t="shared" si="43"/>
        <v>0.14508391022838069</v>
      </c>
      <c r="N121" s="48">
        <f t="shared" si="43"/>
        <v>0.14221449533928746</v>
      </c>
      <c r="O121" s="48">
        <f t="shared" si="43"/>
        <v>0.1394412684880672</v>
      </c>
      <c r="P121" s="48">
        <f t="shared" si="43"/>
        <v>0.13687675825559098</v>
      </c>
      <c r="Q121" s="48">
        <f t="shared" si="43"/>
        <v>0.13423756244384349</v>
      </c>
      <c r="R121" s="48">
        <f t="shared" si="43"/>
        <v>0.13230800064262363</v>
      </c>
      <c r="S121" s="48">
        <f t="shared" si="43"/>
        <v>0.13079920239568063</v>
      </c>
      <c r="T121" s="48">
        <f t="shared" si="43"/>
        <v>0.13038760281590941</v>
      </c>
      <c r="U121" s="48">
        <f t="shared" si="43"/>
        <v>0.12971260307459667</v>
      </c>
      <c r="V121" s="48">
        <f t="shared" si="43"/>
        <v>0.12928959045663743</v>
      </c>
      <c r="W121" s="48">
        <f t="shared" si="43"/>
        <v>0.12841338519683784</v>
      </c>
      <c r="X121" s="48">
        <f t="shared" si="43"/>
        <v>0.12743091835528048</v>
      </c>
      <c r="Y121" s="48">
        <f t="shared" si="43"/>
        <v>0.12655032554975135</v>
      </c>
      <c r="Z121" s="48">
        <f t="shared" si="43"/>
        <v>0.12551483641343109</v>
      </c>
      <c r="AA121" s="48">
        <f t="shared" si="43"/>
        <v>0.1246782614649761</v>
      </c>
      <c r="AB121" s="48">
        <f t="shared" si="43"/>
        <v>0.12380470569204623</v>
      </c>
      <c r="AC121" s="48">
        <f t="shared" si="43"/>
        <v>0.12285070750761902</v>
      </c>
      <c r="AD121" s="48">
        <f t="shared" si="43"/>
        <v>0.12199528067076076</v>
      </c>
      <c r="AE121" s="48">
        <f t="shared" si="43"/>
        <v>0.12117224433303567</v>
      </c>
      <c r="AF121" s="48">
        <f t="shared" si="43"/>
        <v>0.12048392011317301</v>
      </c>
      <c r="AG121" s="48">
        <f t="shared" si="43"/>
        <v>0.11980955251221849</v>
      </c>
      <c r="AH121" s="48">
        <f t="shared" si="43"/>
        <v>0.1193095743720438</v>
      </c>
      <c r="AI121" s="48">
        <f t="shared" si="43"/>
        <v>0.1187730792009507</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1" t="s">
        <v>612</v>
      </c>
      <c r="B1" s="61"/>
    </row>
    <row r="2" spans="1:7" ht="24" customHeight="1" x14ac:dyDescent="0.25">
      <c r="A2" s="55" t="s">
        <v>613</v>
      </c>
      <c r="B2" s="56"/>
      <c r="C2" s="56"/>
      <c r="D2" s="56"/>
      <c r="E2" s="56"/>
      <c r="F2" s="56"/>
      <c r="G2" s="56"/>
    </row>
    <row r="3" spans="1:7" ht="24" customHeight="1" thickBot="1" x14ac:dyDescent="0.3">
      <c r="A3" s="22"/>
      <c r="B3" s="57" t="s">
        <v>61</v>
      </c>
      <c r="C3" s="57"/>
      <c r="D3" s="57"/>
      <c r="E3" s="57"/>
      <c r="F3" s="57"/>
      <c r="G3" s="58"/>
    </row>
    <row r="4" spans="1:7" ht="23.25" customHeight="1" thickTop="1" x14ac:dyDescent="0.25">
      <c r="A4" s="22"/>
      <c r="B4" s="25"/>
      <c r="C4" s="59" t="s">
        <v>62</v>
      </c>
      <c r="D4" s="59"/>
      <c r="E4" s="59"/>
      <c r="F4" s="59"/>
      <c r="G4" s="59"/>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0" t="s">
        <v>638</v>
      </c>
      <c r="B221" s="60"/>
      <c r="C221" s="60"/>
      <c r="D221" s="60"/>
      <c r="E221" s="60"/>
      <c r="F221" s="60"/>
      <c r="G221" s="60"/>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9"/>
  <sheetViews>
    <sheetView topLeftCell="A28" workbookViewId="0">
      <selection activeCell="J60" sqref="J60"/>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903</v>
      </c>
    </row>
    <row r="3" spans="1:38" ht="12.75" x14ac:dyDescent="0.2">
      <c r="A3" s="41"/>
    </row>
    <row r="4" spans="1:38" ht="12.75" x14ac:dyDescent="0.2">
      <c r="A4" s="41" t="s">
        <v>904</v>
      </c>
    </row>
    <row r="5" spans="1:38" ht="12.75" x14ac:dyDescent="0.2">
      <c r="A5" s="41" t="s">
        <v>905</v>
      </c>
    </row>
    <row r="6" spans="1:38" ht="12.75" x14ac:dyDescent="0.2">
      <c r="A6" s="41" t="s">
        <v>906</v>
      </c>
    </row>
    <row r="7" spans="1:38" ht="12.75" x14ac:dyDescent="0.2">
      <c r="A7" s="41"/>
    </row>
    <row r="8" spans="1:38" ht="12.75" x14ac:dyDescent="0.2">
      <c r="A8" s="41" t="s">
        <v>907</v>
      </c>
    </row>
    <row r="9" spans="1:38" ht="12.75" x14ac:dyDescent="0.2">
      <c r="A9" s="41" t="s">
        <v>908</v>
      </c>
    </row>
    <row r="10" spans="1:38" ht="12.75" x14ac:dyDescent="0.2">
      <c r="A10" s="41"/>
    </row>
    <row r="11" spans="1:38" ht="12.75" x14ac:dyDescent="0.2">
      <c r="A11" s="41" t="s">
        <v>909</v>
      </c>
    </row>
    <row r="12" spans="1:38" ht="12.75" x14ac:dyDescent="0.2">
      <c r="A12" s="41" t="s">
        <v>910</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2"/>
      <c r="B15" s="43"/>
    </row>
    <row r="16" spans="1:38" ht="12.75" x14ac:dyDescent="0.2">
      <c r="A16" s="41" t="s">
        <v>898</v>
      </c>
      <c r="B16" s="43"/>
    </row>
    <row r="17" spans="1:31" ht="12.75" x14ac:dyDescent="0.2">
      <c r="A17" s="41" t="s">
        <v>899</v>
      </c>
      <c r="B17" s="43"/>
    </row>
    <row r="18" spans="1:31" ht="12.75" x14ac:dyDescent="0.2">
      <c r="A18" s="41"/>
      <c r="B18" s="43"/>
    </row>
    <row r="19" spans="1:31" ht="12.75" x14ac:dyDescent="0.2">
      <c r="A19" s="41" t="s">
        <v>911</v>
      </c>
      <c r="B19" s="41">
        <v>3.3</v>
      </c>
    </row>
    <row r="20" spans="1:31" ht="12.75" x14ac:dyDescent="0.2">
      <c r="A20" s="41" t="s">
        <v>912</v>
      </c>
      <c r="B20" s="43">
        <v>0.3</v>
      </c>
    </row>
    <row r="21" spans="1:31" ht="12.75" x14ac:dyDescent="0.2">
      <c r="A21" s="41"/>
      <c r="B21" s="43"/>
    </row>
    <row r="22" spans="1:31" ht="12.75" x14ac:dyDescent="0.2">
      <c r="A22" s="41"/>
      <c r="B22" s="43"/>
    </row>
    <row r="23" spans="1:31" ht="25.5" x14ac:dyDescent="0.2">
      <c r="A23" s="46" t="s">
        <v>900</v>
      </c>
      <c r="B23" s="41">
        <v>0</v>
      </c>
    </row>
    <row r="24" spans="1:31" ht="12.75" x14ac:dyDescent="0.2">
      <c r="A24" s="41" t="s">
        <v>901</v>
      </c>
      <c r="B24" s="41">
        <v>0</v>
      </c>
    </row>
    <row r="25" spans="1:31" ht="15" x14ac:dyDescent="0.25">
      <c r="A25" s="45"/>
      <c r="C25" s="44"/>
    </row>
    <row r="26" spans="1:31" s="50" customFormat="1" ht="15" x14ac:dyDescent="0.25">
      <c r="A26" s="49" t="s">
        <v>932</v>
      </c>
    </row>
    <row r="27" spans="1:31" s="50" customFormat="1" ht="15" x14ac:dyDescent="0.25">
      <c r="A27" s="51" t="s">
        <v>932</v>
      </c>
    </row>
    <row r="28" spans="1:31" s="50" customFormat="1" ht="15" x14ac:dyDescent="0.25">
      <c r="A28" s="50" t="s">
        <v>1175</v>
      </c>
      <c r="B28" s="50">
        <v>4</v>
      </c>
      <c r="C28" s="50" t="s">
        <v>1176</v>
      </c>
    </row>
    <row r="29" spans="1:31" s="50" customFormat="1" ht="15" x14ac:dyDescent="0.25">
      <c r="A29" s="50" t="s">
        <v>933</v>
      </c>
    </row>
    <row r="30" spans="1:31" s="50" customFormat="1" ht="15" x14ac:dyDescent="0.25"/>
    <row r="31" spans="1:31" s="50" customFormat="1" ht="15" x14ac:dyDescent="0.25">
      <c r="B31" s="50">
        <v>2021</v>
      </c>
      <c r="C31" s="50">
        <v>2022</v>
      </c>
      <c r="D31" s="50">
        <v>2023</v>
      </c>
      <c r="E31" s="50">
        <v>2024</v>
      </c>
      <c r="F31" s="50">
        <v>2025</v>
      </c>
      <c r="G31" s="50">
        <v>2026</v>
      </c>
      <c r="H31" s="50">
        <v>2027</v>
      </c>
      <c r="I31" s="50">
        <v>2028</v>
      </c>
      <c r="J31" s="50">
        <v>2029</v>
      </c>
      <c r="K31" s="50">
        <v>2030</v>
      </c>
      <c r="L31" s="50">
        <v>2031</v>
      </c>
      <c r="M31" s="50">
        <v>2032</v>
      </c>
      <c r="N31" s="50">
        <v>2033</v>
      </c>
      <c r="O31" s="50">
        <v>2034</v>
      </c>
      <c r="P31" s="50">
        <v>2035</v>
      </c>
      <c r="Q31" s="50">
        <v>2036</v>
      </c>
      <c r="R31" s="50">
        <v>2037</v>
      </c>
      <c r="S31" s="50">
        <v>2038</v>
      </c>
      <c r="T31" s="50">
        <v>2039</v>
      </c>
      <c r="U31" s="50">
        <v>2040</v>
      </c>
      <c r="V31" s="50">
        <v>2041</v>
      </c>
      <c r="W31" s="50">
        <v>2042</v>
      </c>
      <c r="X31" s="50">
        <v>2043</v>
      </c>
      <c r="Y31" s="50">
        <v>2044</v>
      </c>
      <c r="Z31" s="50">
        <v>2045</v>
      </c>
      <c r="AA31" s="50">
        <v>2046</v>
      </c>
      <c r="AB31" s="50">
        <v>2047</v>
      </c>
      <c r="AC31" s="50">
        <v>2048</v>
      </c>
      <c r="AD31" s="50">
        <v>2049</v>
      </c>
      <c r="AE31" s="50">
        <v>2050</v>
      </c>
    </row>
    <row r="32" spans="1:31" s="50" customFormat="1" ht="15" x14ac:dyDescent="0.25">
      <c r="A32" s="50" t="s">
        <v>934</v>
      </c>
      <c r="B32" s="50">
        <v>0</v>
      </c>
      <c r="C32" s="50">
        <v>0</v>
      </c>
      <c r="D32" s="50">
        <v>0</v>
      </c>
      <c r="E32" s="50">
        <v>0</v>
      </c>
      <c r="F32" s="50">
        <v>800</v>
      </c>
      <c r="G32" s="50">
        <v>800</v>
      </c>
      <c r="H32" s="50">
        <v>800</v>
      </c>
      <c r="I32" s="50">
        <v>800</v>
      </c>
      <c r="J32" s="50">
        <v>800</v>
      </c>
      <c r="K32" s="50">
        <v>0</v>
      </c>
      <c r="L32" s="50">
        <v>0</v>
      </c>
      <c r="M32" s="50">
        <v>0</v>
      </c>
      <c r="N32" s="50">
        <v>0</v>
      </c>
      <c r="O32" s="50">
        <v>0</v>
      </c>
      <c r="P32" s="50">
        <v>0</v>
      </c>
      <c r="Q32" s="50">
        <v>0</v>
      </c>
      <c r="R32" s="50">
        <v>0</v>
      </c>
      <c r="S32" s="50">
        <v>0</v>
      </c>
      <c r="T32" s="50">
        <v>0</v>
      </c>
      <c r="U32" s="50">
        <v>0</v>
      </c>
      <c r="V32" s="50">
        <v>0</v>
      </c>
      <c r="W32" s="50">
        <v>0</v>
      </c>
      <c r="X32" s="50">
        <v>0</v>
      </c>
      <c r="Y32" s="50">
        <v>0</v>
      </c>
      <c r="Z32" s="50">
        <v>0</v>
      </c>
      <c r="AA32" s="50">
        <v>0</v>
      </c>
      <c r="AB32" s="50">
        <v>0</v>
      </c>
      <c r="AC32" s="50">
        <v>0</v>
      </c>
      <c r="AD32" s="50">
        <v>0</v>
      </c>
      <c r="AE32" s="50">
        <v>0</v>
      </c>
    </row>
    <row r="33" spans="1:31" s="50" customFormat="1" ht="15" x14ac:dyDescent="0.25"/>
    <row r="34" spans="1:31" s="50" customFormat="1" ht="15" x14ac:dyDescent="0.25"/>
    <row r="35" spans="1:31" s="50" customFormat="1" ht="15" x14ac:dyDescent="0.25">
      <c r="A35" s="49" t="s">
        <v>935</v>
      </c>
    </row>
    <row r="36" spans="1:31" s="50" customFormat="1" ht="15" x14ac:dyDescent="0.25"/>
    <row r="37" spans="1:31" s="50" customFormat="1" ht="30" x14ac:dyDescent="0.25">
      <c r="A37" s="51" t="s">
        <v>936</v>
      </c>
      <c r="B37" s="50">
        <v>2.4805304788796994</v>
      </c>
    </row>
    <row r="38" spans="1:31" s="50" customFormat="1" ht="15" x14ac:dyDescent="0.25">
      <c r="A38" s="51" t="s">
        <v>937</v>
      </c>
      <c r="B38" s="50">
        <v>9.9221219155187974</v>
      </c>
    </row>
    <row r="39" spans="1:31" s="50" customFormat="1" ht="15" x14ac:dyDescent="0.25">
      <c r="A39" s="50" t="s">
        <v>938</v>
      </c>
      <c r="B39" s="50">
        <v>7</v>
      </c>
    </row>
    <row r="40" spans="1:31" s="50" customFormat="1" ht="15" x14ac:dyDescent="0.25"/>
    <row r="41" spans="1:31" s="50" customFormat="1" ht="15" x14ac:dyDescent="0.25">
      <c r="B41" s="50">
        <v>2021</v>
      </c>
      <c r="C41" s="50">
        <v>2022</v>
      </c>
      <c r="D41" s="50">
        <v>2023</v>
      </c>
      <c r="E41" s="50">
        <v>2024</v>
      </c>
      <c r="F41" s="50">
        <v>2025</v>
      </c>
      <c r="G41" s="50">
        <v>2026</v>
      </c>
      <c r="H41" s="50">
        <v>2027</v>
      </c>
      <c r="I41" s="50">
        <v>2028</v>
      </c>
      <c r="J41" s="50">
        <v>2029</v>
      </c>
      <c r="K41" s="50">
        <v>2030</v>
      </c>
      <c r="L41" s="50">
        <v>2031</v>
      </c>
      <c r="M41" s="50">
        <v>2032</v>
      </c>
      <c r="N41" s="50">
        <v>2033</v>
      </c>
      <c r="O41" s="50">
        <v>2034</v>
      </c>
      <c r="P41" s="50">
        <v>2035</v>
      </c>
      <c r="Q41" s="50">
        <v>2036</v>
      </c>
      <c r="R41" s="50">
        <v>2037</v>
      </c>
      <c r="S41" s="50">
        <v>2038</v>
      </c>
      <c r="T41" s="50">
        <v>2039</v>
      </c>
      <c r="U41" s="50">
        <v>2040</v>
      </c>
      <c r="V41" s="50">
        <v>2041</v>
      </c>
      <c r="W41" s="50">
        <v>2042</v>
      </c>
      <c r="X41" s="50">
        <v>2043</v>
      </c>
      <c r="Y41" s="50">
        <v>2044</v>
      </c>
      <c r="Z41" s="50">
        <v>2045</v>
      </c>
      <c r="AA41" s="50">
        <v>2046</v>
      </c>
      <c r="AB41" s="50">
        <v>2047</v>
      </c>
      <c r="AC41" s="50">
        <v>2048</v>
      </c>
      <c r="AD41" s="50">
        <v>2049</v>
      </c>
      <c r="AE41" s="50">
        <v>2050</v>
      </c>
    </row>
    <row r="42" spans="1:31" s="50" customFormat="1" ht="15" x14ac:dyDescent="0.25">
      <c r="A42" s="50" t="s">
        <v>934</v>
      </c>
      <c r="B42" s="50">
        <v>0</v>
      </c>
      <c r="C42" s="50">
        <v>0</v>
      </c>
      <c r="D42" s="50">
        <v>0</v>
      </c>
      <c r="E42" s="50">
        <v>0</v>
      </c>
      <c r="F42" s="50">
        <v>1417.4459879312569</v>
      </c>
      <c r="G42" s="50">
        <v>1417.4459879312569</v>
      </c>
      <c r="H42" s="50">
        <v>1417.4459879312569</v>
      </c>
      <c r="I42" s="50">
        <v>1417.4459879312569</v>
      </c>
      <c r="J42" s="50">
        <v>1417.4459879312569</v>
      </c>
      <c r="K42" s="50">
        <v>1417.4459879312569</v>
      </c>
      <c r="L42" s="50">
        <v>1417.4459879312569</v>
      </c>
      <c r="M42" s="50">
        <v>0</v>
      </c>
      <c r="N42" s="50">
        <v>0</v>
      </c>
      <c r="O42" s="50">
        <v>0</v>
      </c>
      <c r="P42" s="50">
        <v>0</v>
      </c>
      <c r="Q42" s="50">
        <v>0</v>
      </c>
      <c r="R42" s="50">
        <v>0</v>
      </c>
      <c r="S42" s="50">
        <v>0</v>
      </c>
      <c r="T42" s="50">
        <v>0</v>
      </c>
      <c r="U42" s="50">
        <v>0</v>
      </c>
      <c r="V42" s="50">
        <v>0</v>
      </c>
      <c r="W42" s="50">
        <v>0</v>
      </c>
      <c r="X42" s="50">
        <v>0</v>
      </c>
      <c r="Y42" s="50">
        <v>0</v>
      </c>
      <c r="Z42" s="50">
        <v>0</v>
      </c>
      <c r="AA42" s="50">
        <v>0</v>
      </c>
      <c r="AB42" s="50">
        <v>0</v>
      </c>
      <c r="AC42" s="50">
        <v>0</v>
      </c>
      <c r="AD42" s="50">
        <v>0</v>
      </c>
      <c r="AE42" s="50">
        <v>0</v>
      </c>
    </row>
    <row r="43" spans="1:31" s="52" customFormat="1" ht="15.75" customHeight="1" x14ac:dyDescent="0.2"/>
    <row r="44" spans="1:31" s="50" customFormat="1" ht="15" x14ac:dyDescent="0.25">
      <c r="A44" s="49" t="s">
        <v>939</v>
      </c>
    </row>
    <row r="45" spans="1:31" s="50" customFormat="1" ht="15" x14ac:dyDescent="0.25"/>
    <row r="46" spans="1:31" s="50" customFormat="1" ht="15" x14ac:dyDescent="0.25">
      <c r="A46" s="50" t="s">
        <v>940</v>
      </c>
      <c r="B46" s="50">
        <v>281</v>
      </c>
    </row>
    <row r="47" spans="1:31" s="50" customFormat="1" ht="15" x14ac:dyDescent="0.25"/>
    <row r="48" spans="1:31" s="50" customFormat="1" ht="15" x14ac:dyDescent="0.25">
      <c r="B48" s="50">
        <v>2021</v>
      </c>
      <c r="C48" s="50">
        <v>2022</v>
      </c>
      <c r="D48" s="50">
        <v>2023</v>
      </c>
      <c r="E48" s="50">
        <v>2024</v>
      </c>
      <c r="F48" s="50">
        <v>2025</v>
      </c>
      <c r="G48" s="50">
        <v>2026</v>
      </c>
      <c r="H48" s="50">
        <v>2027</v>
      </c>
      <c r="I48" s="50">
        <v>2028</v>
      </c>
      <c r="J48" s="50">
        <v>2029</v>
      </c>
      <c r="K48" s="50">
        <v>2030</v>
      </c>
      <c r="L48" s="50">
        <v>2031</v>
      </c>
      <c r="M48" s="50">
        <v>2032</v>
      </c>
      <c r="N48" s="50">
        <v>2033</v>
      </c>
      <c r="O48" s="50">
        <v>2034</v>
      </c>
      <c r="P48" s="50">
        <v>2035</v>
      </c>
      <c r="Q48" s="50">
        <v>2036</v>
      </c>
      <c r="R48" s="50">
        <v>2037</v>
      </c>
      <c r="S48" s="50">
        <v>2038</v>
      </c>
      <c r="T48" s="50">
        <v>2039</v>
      </c>
      <c r="U48" s="50">
        <v>2040</v>
      </c>
      <c r="V48" s="50">
        <v>2041</v>
      </c>
      <c r="W48" s="50">
        <v>2042</v>
      </c>
      <c r="X48" s="50">
        <v>2043</v>
      </c>
      <c r="Y48" s="50">
        <v>2044</v>
      </c>
      <c r="Z48" s="50">
        <v>2045</v>
      </c>
      <c r="AA48" s="50">
        <v>2046</v>
      </c>
      <c r="AB48" s="50">
        <v>2047</v>
      </c>
      <c r="AC48" s="50">
        <v>2048</v>
      </c>
      <c r="AD48" s="50">
        <v>2049</v>
      </c>
      <c r="AE48" s="50">
        <v>2050</v>
      </c>
    </row>
    <row r="49" spans="1:31" s="50" customFormat="1" ht="15" x14ac:dyDescent="0.25">
      <c r="A49" s="50" t="s">
        <v>934</v>
      </c>
      <c r="B49" s="50">
        <v>0</v>
      </c>
      <c r="C49" s="50">
        <v>0</v>
      </c>
      <c r="D49" s="50">
        <v>0</v>
      </c>
      <c r="E49" s="50">
        <v>0</v>
      </c>
      <c r="F49" s="50">
        <v>40.142857142857146</v>
      </c>
      <c r="G49" s="50">
        <v>40.142857142857146</v>
      </c>
      <c r="H49" s="50">
        <v>40.142857142857146</v>
      </c>
      <c r="I49" s="50">
        <v>40.142857142857146</v>
      </c>
      <c r="J49" s="50">
        <v>40.142857142857146</v>
      </c>
      <c r="K49" s="50">
        <v>40.142857142857146</v>
      </c>
      <c r="L49" s="50">
        <v>40.142857142857146</v>
      </c>
      <c r="M49" s="50">
        <v>0</v>
      </c>
      <c r="N49" s="50">
        <v>0</v>
      </c>
      <c r="O49" s="50">
        <v>0</v>
      </c>
      <c r="P49" s="50">
        <v>0</v>
      </c>
      <c r="Q49" s="50">
        <v>0</v>
      </c>
      <c r="R49" s="50">
        <v>0</v>
      </c>
      <c r="S49" s="50">
        <v>0</v>
      </c>
      <c r="T49" s="50">
        <v>0</v>
      </c>
      <c r="U49" s="50">
        <v>0</v>
      </c>
      <c r="V49" s="50">
        <v>0</v>
      </c>
      <c r="W49" s="50">
        <v>0</v>
      </c>
      <c r="X49" s="50">
        <v>0</v>
      </c>
      <c r="Y49" s="50">
        <v>0</v>
      </c>
      <c r="Z49" s="50">
        <v>0</v>
      </c>
      <c r="AA49" s="50">
        <v>0</v>
      </c>
      <c r="AB49" s="50">
        <v>0</v>
      </c>
      <c r="AC49" s="50">
        <v>0</v>
      </c>
      <c r="AD49" s="50">
        <v>0</v>
      </c>
      <c r="AE49" s="50">
        <v>0</v>
      </c>
    </row>
    <row r="56" spans="1:31" ht="15.75" customHeight="1" x14ac:dyDescent="0.2">
      <c r="B56" s="40">
        <v>2023</v>
      </c>
      <c r="C56" s="40">
        <v>2024</v>
      </c>
      <c r="D56" s="40">
        <v>2025</v>
      </c>
      <c r="E56" s="40">
        <v>2026</v>
      </c>
      <c r="F56" s="40">
        <v>2027</v>
      </c>
      <c r="G56" s="40">
        <v>2028</v>
      </c>
      <c r="H56" s="40">
        <v>2029</v>
      </c>
      <c r="I56" s="40">
        <v>2030</v>
      </c>
      <c r="J56" s="40">
        <v>2031</v>
      </c>
      <c r="K56" s="40">
        <v>2032</v>
      </c>
      <c r="L56" s="40">
        <v>2033</v>
      </c>
      <c r="M56" s="40">
        <v>2034</v>
      </c>
      <c r="N56" s="40">
        <v>2035</v>
      </c>
      <c r="O56" s="40">
        <v>2036</v>
      </c>
      <c r="P56" s="40">
        <v>2037</v>
      </c>
      <c r="Q56" s="40">
        <v>2038</v>
      </c>
      <c r="R56" s="40">
        <v>2039</v>
      </c>
      <c r="S56" s="40">
        <v>2040</v>
      </c>
      <c r="T56" s="40">
        <v>2041</v>
      </c>
      <c r="U56" s="40">
        <v>2042</v>
      </c>
      <c r="V56" s="40">
        <v>2043</v>
      </c>
      <c r="W56" s="40">
        <v>2044</v>
      </c>
      <c r="X56" s="40">
        <v>2045</v>
      </c>
      <c r="Y56" s="40">
        <v>2046</v>
      </c>
      <c r="Z56" s="40">
        <v>2047</v>
      </c>
      <c r="AA56" s="40">
        <v>2048</v>
      </c>
      <c r="AB56" s="40">
        <v>2049</v>
      </c>
      <c r="AC56" s="40">
        <v>2050</v>
      </c>
    </row>
    <row r="57" spans="1:31" ht="15.75" customHeight="1" x14ac:dyDescent="0.2">
      <c r="A57" s="40" t="s">
        <v>918</v>
      </c>
      <c r="B57" s="47">
        <f t="shared" ref="B57:K57" si="0">$B$24+$B$23+D32+D42+D49</f>
        <v>0</v>
      </c>
      <c r="C57" s="47">
        <f t="shared" si="0"/>
        <v>0</v>
      </c>
      <c r="D57" s="47">
        <f t="shared" si="0"/>
        <v>2257.5888450741145</v>
      </c>
      <c r="E57" s="47">
        <f t="shared" si="0"/>
        <v>2257.5888450741145</v>
      </c>
      <c r="F57" s="47">
        <f t="shared" si="0"/>
        <v>2257.5888450741145</v>
      </c>
      <c r="G57" s="47">
        <f t="shared" si="0"/>
        <v>2257.5888450741145</v>
      </c>
      <c r="H57" s="47">
        <f t="shared" si="0"/>
        <v>2257.5888450741145</v>
      </c>
      <c r="I57" s="47">
        <f t="shared" si="0"/>
        <v>1457.588845074114</v>
      </c>
      <c r="J57" s="47">
        <f t="shared" si="0"/>
        <v>1457.588845074114</v>
      </c>
      <c r="K57" s="47">
        <f t="shared" si="0"/>
        <v>0</v>
      </c>
      <c r="L57" s="47">
        <f>$B$23+N32+N42</f>
        <v>0</v>
      </c>
      <c r="M57" s="47">
        <f>$B$23+O32+O42</f>
        <v>0</v>
      </c>
      <c r="N57" s="47">
        <f>$B$23+P32+P42</f>
        <v>0</v>
      </c>
      <c r="O57" s="47">
        <f>$B$23+Q32+Q42</f>
        <v>0</v>
      </c>
      <c r="P57" s="47">
        <f>$B$23+R32+R42</f>
        <v>0</v>
      </c>
      <c r="Q57" s="47">
        <f>$B$23*0.75+S32+S42</f>
        <v>0</v>
      </c>
      <c r="R57" s="47">
        <f>$B$23*0.5+T32+T42</f>
        <v>0</v>
      </c>
      <c r="S57" s="47">
        <f>U32+U42</f>
        <v>0</v>
      </c>
      <c r="T57" s="47">
        <f t="shared" ref="T57:AC57" si="1">V32+V42</f>
        <v>0</v>
      </c>
      <c r="U57" s="47">
        <f t="shared" si="1"/>
        <v>0</v>
      </c>
      <c r="V57" s="47">
        <f t="shared" si="1"/>
        <v>0</v>
      </c>
      <c r="W57" s="47">
        <f t="shared" si="1"/>
        <v>0</v>
      </c>
      <c r="X57" s="47">
        <f t="shared" si="1"/>
        <v>0</v>
      </c>
      <c r="Y57" s="47">
        <f t="shared" si="1"/>
        <v>0</v>
      </c>
      <c r="Z57" s="47">
        <f t="shared" si="1"/>
        <v>0</v>
      </c>
      <c r="AA57" s="47">
        <f t="shared" si="1"/>
        <v>0</v>
      </c>
      <c r="AB57" s="47">
        <f t="shared" si="1"/>
        <v>0</v>
      </c>
      <c r="AC57" s="47">
        <f t="shared" si="1"/>
        <v>0</v>
      </c>
    </row>
    <row r="58" spans="1:31" ht="15.75" customHeight="1" x14ac:dyDescent="0.2">
      <c r="A58" s="40" t="s">
        <v>919</v>
      </c>
      <c r="B58" s="47">
        <f>B57</f>
        <v>0</v>
      </c>
      <c r="C58" s="47">
        <f>B58+C57</f>
        <v>0</v>
      </c>
      <c r="D58" s="47">
        <f t="shared" ref="D58:AC58" si="2">C58+D57</f>
        <v>2257.5888450741145</v>
      </c>
      <c r="E58" s="47">
        <f t="shared" si="2"/>
        <v>4515.177690148229</v>
      </c>
      <c r="F58" s="47">
        <f t="shared" si="2"/>
        <v>6772.766535222343</v>
      </c>
      <c r="G58" s="47">
        <f t="shared" si="2"/>
        <v>9030.355380296458</v>
      </c>
      <c r="H58" s="47">
        <f t="shared" si="2"/>
        <v>11287.944225370573</v>
      </c>
      <c r="I58" s="47">
        <f t="shared" si="2"/>
        <v>12745.533070444686</v>
      </c>
      <c r="J58" s="47">
        <f t="shared" si="2"/>
        <v>14203.121915518801</v>
      </c>
      <c r="K58" s="47">
        <f t="shared" si="2"/>
        <v>14203.121915518801</v>
      </c>
      <c r="L58" s="47">
        <f t="shared" si="2"/>
        <v>14203.121915518801</v>
      </c>
      <c r="M58" s="47">
        <f t="shared" si="2"/>
        <v>14203.121915518801</v>
      </c>
      <c r="N58" s="47">
        <f t="shared" si="2"/>
        <v>14203.121915518801</v>
      </c>
      <c r="O58" s="47">
        <f t="shared" si="2"/>
        <v>14203.121915518801</v>
      </c>
      <c r="P58" s="47">
        <f t="shared" si="2"/>
        <v>14203.121915518801</v>
      </c>
      <c r="Q58" s="47">
        <f t="shared" si="2"/>
        <v>14203.121915518801</v>
      </c>
      <c r="R58" s="47">
        <f t="shared" si="2"/>
        <v>14203.121915518801</v>
      </c>
      <c r="S58" s="47">
        <f t="shared" si="2"/>
        <v>14203.121915518801</v>
      </c>
      <c r="T58" s="47">
        <f t="shared" si="2"/>
        <v>14203.121915518801</v>
      </c>
      <c r="U58" s="47">
        <f t="shared" si="2"/>
        <v>14203.121915518801</v>
      </c>
      <c r="V58" s="47">
        <f t="shared" si="2"/>
        <v>14203.121915518801</v>
      </c>
      <c r="W58" s="47">
        <f t="shared" si="2"/>
        <v>14203.121915518801</v>
      </c>
      <c r="X58" s="47">
        <f t="shared" si="2"/>
        <v>14203.121915518801</v>
      </c>
      <c r="Y58" s="47">
        <f t="shared" si="2"/>
        <v>14203.121915518801</v>
      </c>
      <c r="Z58" s="47">
        <f t="shared" si="2"/>
        <v>14203.121915518801</v>
      </c>
      <c r="AA58" s="47">
        <f t="shared" si="2"/>
        <v>14203.121915518801</v>
      </c>
      <c r="AB58" s="47">
        <f t="shared" si="2"/>
        <v>14203.121915518801</v>
      </c>
      <c r="AC58" s="47">
        <f t="shared" si="2"/>
        <v>14203.121915518801</v>
      </c>
    </row>
    <row r="59" spans="1:31" ht="15.75" customHeight="1" x14ac:dyDescent="0.2">
      <c r="A59" s="40" t="s">
        <v>914</v>
      </c>
      <c r="B59" s="47">
        <f t="shared" ref="B59:AC59" si="3">B58*Percent_Urban</f>
        <v>0</v>
      </c>
      <c r="C59" s="47">
        <f t="shared" si="3"/>
        <v>0</v>
      </c>
      <c r="D59" s="47">
        <f t="shared" si="3"/>
        <v>1835.6044976867486</v>
      </c>
      <c r="E59" s="47">
        <f t="shared" si="3"/>
        <v>3671.2089953734971</v>
      </c>
      <c r="F59" s="47">
        <f t="shared" si="3"/>
        <v>5506.8134930602455</v>
      </c>
      <c r="G59" s="47">
        <f t="shared" si="3"/>
        <v>7342.4179907469943</v>
      </c>
      <c r="H59" s="47">
        <f t="shared" si="3"/>
        <v>9178.0224884337422</v>
      </c>
      <c r="I59" s="47">
        <f>I58*Percent_Urban</f>
        <v>10363.161512146557</v>
      </c>
      <c r="J59" s="47">
        <f>J58*Percent_Urban</f>
        <v>11548.300535859373</v>
      </c>
      <c r="K59" s="47">
        <f t="shared" si="3"/>
        <v>11548.300535859373</v>
      </c>
      <c r="L59" s="47">
        <f t="shared" si="3"/>
        <v>11548.300535859373</v>
      </c>
      <c r="M59" s="47">
        <f t="shared" si="3"/>
        <v>11548.300535859373</v>
      </c>
      <c r="N59" s="47">
        <f t="shared" si="3"/>
        <v>11548.300535859373</v>
      </c>
      <c r="O59" s="47">
        <f t="shared" si="3"/>
        <v>11548.300535859373</v>
      </c>
      <c r="P59" s="47">
        <f t="shared" si="3"/>
        <v>11548.300535859373</v>
      </c>
      <c r="Q59" s="47">
        <f t="shared" si="3"/>
        <v>11548.300535859373</v>
      </c>
      <c r="R59" s="47">
        <f t="shared" si="3"/>
        <v>11548.300535859373</v>
      </c>
      <c r="S59" s="47">
        <f t="shared" si="3"/>
        <v>11548.300535859373</v>
      </c>
      <c r="T59" s="47">
        <f t="shared" si="3"/>
        <v>11548.300535859373</v>
      </c>
      <c r="U59" s="47">
        <f t="shared" si="3"/>
        <v>11548.300535859373</v>
      </c>
      <c r="V59" s="47">
        <f t="shared" si="3"/>
        <v>11548.300535859373</v>
      </c>
      <c r="W59" s="47">
        <f t="shared" si="3"/>
        <v>11548.300535859373</v>
      </c>
      <c r="X59" s="47">
        <f t="shared" si="3"/>
        <v>11548.300535859373</v>
      </c>
      <c r="Y59" s="47">
        <f t="shared" si="3"/>
        <v>11548.300535859373</v>
      </c>
      <c r="Z59" s="47">
        <f t="shared" si="3"/>
        <v>11548.300535859373</v>
      </c>
      <c r="AA59" s="47">
        <f t="shared" si="3"/>
        <v>11548.300535859373</v>
      </c>
      <c r="AB59" s="47">
        <f t="shared" si="3"/>
        <v>11548.300535859373</v>
      </c>
      <c r="AC59" s="47">
        <f t="shared" si="3"/>
        <v>11548.300535859373</v>
      </c>
    </row>
    <row r="60" spans="1:31" ht="15.75" customHeight="1" x14ac:dyDescent="0.2">
      <c r="A60" s="40" t="s">
        <v>915</v>
      </c>
      <c r="B60" s="47">
        <f t="shared" ref="B60:AC60" si="4">B58*Percent_rural</f>
        <v>0</v>
      </c>
      <c r="C60" s="47">
        <f t="shared" si="4"/>
        <v>0</v>
      </c>
      <c r="D60" s="47">
        <f t="shared" si="4"/>
        <v>421.98434738736586</v>
      </c>
      <c r="E60" s="47">
        <f t="shared" si="4"/>
        <v>843.96869477473172</v>
      </c>
      <c r="F60" s="47">
        <f t="shared" si="4"/>
        <v>1265.9530421620975</v>
      </c>
      <c r="G60" s="47">
        <f t="shared" si="4"/>
        <v>1687.9373895494634</v>
      </c>
      <c r="H60" s="47">
        <f t="shared" si="4"/>
        <v>2109.9217369368293</v>
      </c>
      <c r="I60" s="47">
        <f t="shared" si="4"/>
        <v>2382.3715582981285</v>
      </c>
      <c r="J60" s="47">
        <f t="shared" si="4"/>
        <v>2654.8213796594277</v>
      </c>
      <c r="K60" s="47">
        <f t="shared" si="4"/>
        <v>2654.8213796594277</v>
      </c>
      <c r="L60" s="47">
        <f t="shared" si="4"/>
        <v>2654.8213796594277</v>
      </c>
      <c r="M60" s="47">
        <f t="shared" si="4"/>
        <v>2654.8213796594277</v>
      </c>
      <c r="N60" s="47">
        <f t="shared" si="4"/>
        <v>2654.8213796594277</v>
      </c>
      <c r="O60" s="47">
        <f t="shared" si="4"/>
        <v>2654.8213796594277</v>
      </c>
      <c r="P60" s="47">
        <f t="shared" si="4"/>
        <v>2654.8213796594277</v>
      </c>
      <c r="Q60" s="47">
        <f t="shared" si="4"/>
        <v>2654.8213796594277</v>
      </c>
      <c r="R60" s="47">
        <f t="shared" si="4"/>
        <v>2654.8213796594277</v>
      </c>
      <c r="S60" s="47">
        <f t="shared" si="4"/>
        <v>2654.8213796594277</v>
      </c>
      <c r="T60" s="47">
        <f t="shared" si="4"/>
        <v>2654.8213796594277</v>
      </c>
      <c r="U60" s="47">
        <f t="shared" si="4"/>
        <v>2654.8213796594277</v>
      </c>
      <c r="V60" s="47">
        <f t="shared" si="4"/>
        <v>2654.8213796594277</v>
      </c>
      <c r="W60" s="47">
        <f t="shared" si="4"/>
        <v>2654.8213796594277</v>
      </c>
      <c r="X60" s="47">
        <f t="shared" si="4"/>
        <v>2654.8213796594277</v>
      </c>
      <c r="Y60" s="47">
        <f t="shared" si="4"/>
        <v>2654.8213796594277</v>
      </c>
      <c r="Z60" s="47">
        <f t="shared" si="4"/>
        <v>2654.8213796594277</v>
      </c>
      <c r="AA60" s="47">
        <f t="shared" si="4"/>
        <v>2654.8213796594277</v>
      </c>
      <c r="AB60" s="47">
        <f t="shared" si="4"/>
        <v>2654.8213796594277</v>
      </c>
      <c r="AC60" s="47">
        <f t="shared" si="4"/>
        <v>2654.8213796594277</v>
      </c>
    </row>
    <row r="61" spans="1:31" ht="15.75" customHeight="1" x14ac:dyDescent="0.2">
      <c r="A61" s="40" t="s">
        <v>916</v>
      </c>
      <c r="B61" s="47">
        <f>B59*Calculations!H121*8760</f>
        <v>0</v>
      </c>
      <c r="C61" s="47">
        <f>C59*Calculations!I121*8760</f>
        <v>0</v>
      </c>
      <c r="D61" s="47">
        <f>D59*Calculations!J121*8760</f>
        <v>2502211.3628794588</v>
      </c>
      <c r="E61" s="47">
        <f>E59*Calculations!K121*8760</f>
        <v>4880942.7963910103</v>
      </c>
      <c r="F61" s="47">
        <f>F59*Calculations!L121*8760</f>
        <v>7148074.514136726</v>
      </c>
      <c r="G61" s="47">
        <f>G59*Calculations!M121*8760</f>
        <v>9331736.4026281498</v>
      </c>
      <c r="H61" s="47">
        <f>H59*Calculations!N121*8760</f>
        <v>11433971.046909865</v>
      </c>
      <c r="I61" s="47">
        <f>I59*Calculations!O121*8760</f>
        <v>12658658.908371789</v>
      </c>
      <c r="J61" s="47">
        <f>J59*Calculations!P121*8760</f>
        <v>13846878.920617281</v>
      </c>
      <c r="K61" s="47">
        <f>K59*Calculations!Q121*8760</f>
        <v>13579889.657291599</v>
      </c>
      <c r="L61" s="47">
        <f>L59*Calculations!R121*8760</f>
        <v>13384689.179344509</v>
      </c>
      <c r="M61" s="47">
        <f>M59*Calculations!S121*8760</f>
        <v>13232054.452256311</v>
      </c>
      <c r="N61" s="47">
        <f>N59*Calculations!T121*8760</f>
        <v>13190415.757583059</v>
      </c>
      <c r="O61" s="47">
        <f>O59*Calculations!U121*8760</f>
        <v>13122130.682684131</v>
      </c>
      <c r="P61" s="47">
        <f>P59*Calculations!V121*8760</f>
        <v>13079337.409542482</v>
      </c>
      <c r="Q61" s="47">
        <f>Q59*Calculations!W121*8760</f>
        <v>12990697.75810219</v>
      </c>
      <c r="R61" s="47">
        <f>R59*Calculations!X121*8760</f>
        <v>12891308.354291478</v>
      </c>
      <c r="S61" s="47">
        <f>S59*Calculations!Y121*8760</f>
        <v>12802224.845068095</v>
      </c>
      <c r="T61" s="47">
        <f>T59*Calculations!Z121*8760</f>
        <v>12697471.540876983</v>
      </c>
      <c r="U61" s="47">
        <f>U59*Calculations!AA121*8760</f>
        <v>12612841.015089346</v>
      </c>
      <c r="V61" s="47">
        <f>V59*Calculations!AB121*8760</f>
        <v>12524469.393987836</v>
      </c>
      <c r="W61" s="47">
        <f>W59*Calculations!AC121*8760</f>
        <v>12427959.968146633</v>
      </c>
      <c r="X61" s="47">
        <f>X59*Calculations!AD121*8760</f>
        <v>12341422.32664796</v>
      </c>
      <c r="Y61" s="47">
        <f>Y59*Calculations!AE121*8760</f>
        <v>12258161.408863313</v>
      </c>
      <c r="Z61" s="47">
        <f>Z59*Calculations!AF121*8760</f>
        <v>12188528.388239248</v>
      </c>
      <c r="AA61" s="47">
        <f>AA59*Calculations!AG121*8760</f>
        <v>12120307.262626618</v>
      </c>
      <c r="AB61" s="47">
        <f>AB59*Calculations!AH121*8760</f>
        <v>12069727.917687526</v>
      </c>
      <c r="AC61" s="47">
        <f>AC59*Calculations!AI121*8760</f>
        <v>12015454.39623438</v>
      </c>
    </row>
    <row r="62" spans="1:31" ht="15.75" customHeight="1" x14ac:dyDescent="0.2">
      <c r="A62" s="40" t="s">
        <v>917</v>
      </c>
      <c r="B62" s="47">
        <f>B60*Calculations!H121*8760</f>
        <v>0</v>
      </c>
      <c r="C62" s="47">
        <f>C60*Calculations!I121*8760</f>
        <v>0</v>
      </c>
      <c r="D62" s="47">
        <f>D60*Calculations!J121*8760</f>
        <v>575229.5934775658</v>
      </c>
      <c r="E62" s="47">
        <f>E60*Calculations!K121*8760</f>
        <v>1122072.5723682642</v>
      </c>
      <c r="F62" s="47">
        <f>F60*Calculations!L121*8760</f>
        <v>1643260.0610455696</v>
      </c>
      <c r="G62" s="47">
        <f>G60*Calculations!M121*8760</f>
        <v>2145258.7966615292</v>
      </c>
      <c r="H62" s="47">
        <f>H60*Calculations!N121*8760</f>
        <v>2628538.3460090491</v>
      </c>
      <c r="I62" s="47">
        <f>I60*Calculations!O121*8760</f>
        <v>2910079.9899871033</v>
      </c>
      <c r="J62" s="47">
        <f>J60*Calculations!P121*8760</f>
        <v>3183238.0951518621</v>
      </c>
      <c r="K62" s="47">
        <f>K60*Calculations!Q121*8760</f>
        <v>3121860.3363885204</v>
      </c>
      <c r="L62" s="47">
        <f>L60*Calculations!R121*8760</f>
        <v>3076985.9931408274</v>
      </c>
      <c r="M62" s="47">
        <f>M60*Calculations!S121*8760</f>
        <v>3041897.0261110933</v>
      </c>
      <c r="N62" s="47">
        <f>N60*Calculations!T121*8760</f>
        <v>3032324.7694403906</v>
      </c>
      <c r="O62" s="47">
        <f>O60*Calculations!U121*8760</f>
        <v>3016626.8166385563</v>
      </c>
      <c r="P62" s="47">
        <f>P60*Calculations!V121*8760</f>
        <v>3006789.1356664267</v>
      </c>
      <c r="Q62" s="47">
        <f>Q60*Calculations!W121*8760</f>
        <v>2986411.8999858573</v>
      </c>
      <c r="R62" s="47">
        <f>R60*Calculations!X121*8760</f>
        <v>2963563.4199580867</v>
      </c>
      <c r="S62" s="47">
        <f>S60*Calculations!Y121*8760</f>
        <v>2943084.1464817035</v>
      </c>
      <c r="T62" s="47">
        <f>T60*Calculations!Z121*8760</f>
        <v>2919002.5674915328</v>
      </c>
      <c r="U62" s="47">
        <f>U60*Calculations!AA121*8760</f>
        <v>2899546.9836560437</v>
      </c>
      <c r="V62" s="47">
        <f>V60*Calculations!AB121*8760</f>
        <v>2879231.3650655034</v>
      </c>
      <c r="W62" s="47">
        <f>W60*Calculations!AC121*8760</f>
        <v>2857044.9588262225</v>
      </c>
      <c r="X62" s="47">
        <f>X60*Calculations!AD121*8760</f>
        <v>2837150.9510384449</v>
      </c>
      <c r="Y62" s="47">
        <f>Y60*Calculations!AE121*8760</f>
        <v>2818010.224319533</v>
      </c>
      <c r="Z62" s="47">
        <f>Z60*Calculations!AF121*8760</f>
        <v>2802002.3943094811</v>
      </c>
      <c r="AA62" s="47">
        <f>AA60*Calculations!AG121*8760</f>
        <v>2786319.1427125507</v>
      </c>
      <c r="AB62" s="47">
        <f>AB60*Calculations!AH121*8760</f>
        <v>2774691.5334468833</v>
      </c>
      <c r="AC62" s="47">
        <f>AC60*Calculations!AI121*8760</f>
        <v>2762214.6755182375</v>
      </c>
    </row>
    <row r="65" spans="1:3" ht="15" x14ac:dyDescent="0.25">
      <c r="C65" s="44"/>
    </row>
    <row r="66" spans="1:3" ht="12.75" x14ac:dyDescent="0.2"/>
    <row r="67" spans="1:3" ht="12.75" x14ac:dyDescent="0.2"/>
    <row r="68" spans="1:3" ht="12.75" x14ac:dyDescent="0.2"/>
    <row r="79" spans="1:3" ht="12.75" x14ac:dyDescent="0.2">
      <c r="A79" s="41" t="s">
        <v>902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E25"/>
  <sheetViews>
    <sheetView workbookViewId="0">
      <selection activeCell="G8" sqref="G8"/>
    </sheetView>
  </sheetViews>
  <sheetFormatPr defaultColWidth="8.7109375" defaultRowHeight="15" x14ac:dyDescent="0.25"/>
  <cols>
    <col min="1" max="1" width="23.42578125" customWidth="1"/>
    <col min="2" max="31" width="9.5703125" bestFit="1" customWidth="1"/>
  </cols>
  <sheetData>
    <row r="1" spans="1:31" x14ac:dyDescent="0.25">
      <c r="A1" t="s">
        <v>161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58</v>
      </c>
      <c r="B2">
        <f>Calculations!F43</f>
        <v>0</v>
      </c>
      <c r="C2">
        <f>Calculations!G43</f>
        <v>0</v>
      </c>
      <c r="D2">
        <f>Calculations!H43</f>
        <v>0</v>
      </c>
      <c r="E2">
        <f>Calculations!I43</f>
        <v>0</v>
      </c>
      <c r="F2">
        <f>Calculations!J43</f>
        <v>0</v>
      </c>
      <c r="G2">
        <f>Calculations!K43</f>
        <v>0</v>
      </c>
      <c r="H2">
        <f>Calculations!L43</f>
        <v>0</v>
      </c>
      <c r="I2">
        <f>Calculations!M43</f>
        <v>0</v>
      </c>
      <c r="J2">
        <f>Calculations!N43</f>
        <v>0</v>
      </c>
      <c r="K2">
        <f>Calculations!O43</f>
        <v>0</v>
      </c>
      <c r="L2">
        <f>Calculations!P43</f>
        <v>0</v>
      </c>
      <c r="M2">
        <f>Calculations!Q43</f>
        <v>0</v>
      </c>
      <c r="N2">
        <f>Calculations!R43</f>
        <v>0</v>
      </c>
      <c r="O2">
        <f>Calculations!S43</f>
        <v>0</v>
      </c>
      <c r="P2">
        <f>Calculations!T43</f>
        <v>0</v>
      </c>
      <c r="Q2">
        <f>Calculations!U43</f>
        <v>0</v>
      </c>
      <c r="R2">
        <f>Calculations!V43</f>
        <v>0</v>
      </c>
      <c r="S2">
        <f>Calculations!W43</f>
        <v>0</v>
      </c>
      <c r="T2">
        <f>Calculations!X43</f>
        <v>0</v>
      </c>
      <c r="U2">
        <f>Calculations!Y43</f>
        <v>0</v>
      </c>
      <c r="V2">
        <f>Calculations!Z43</f>
        <v>0</v>
      </c>
      <c r="W2">
        <f>Calculations!AA43</f>
        <v>0</v>
      </c>
      <c r="X2">
        <f>Calculations!AB43</f>
        <v>0</v>
      </c>
      <c r="Y2">
        <f>Calculations!AC43</f>
        <v>0</v>
      </c>
      <c r="Z2">
        <f>Calculations!AD43</f>
        <v>0</v>
      </c>
      <c r="AA2">
        <f>Calculations!AE43</f>
        <v>0</v>
      </c>
      <c r="AB2">
        <f>Calculations!AF43</f>
        <v>0</v>
      </c>
      <c r="AC2">
        <f>Calculations!AG43</f>
        <v>0</v>
      </c>
      <c r="AD2">
        <f>Calculations!AH43</f>
        <v>0</v>
      </c>
      <c r="AE2">
        <f>Calculations!AI43</f>
        <v>0</v>
      </c>
    </row>
    <row r="3" spans="1:31" x14ac:dyDescent="0.25">
      <c r="A3" t="s">
        <v>922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25">
      <c r="A4" t="s">
        <v>923</v>
      </c>
      <c r="B4">
        <f>Calculations!F44</f>
        <v>0</v>
      </c>
      <c r="C4">
        <f>Calculations!G44</f>
        <v>0</v>
      </c>
      <c r="D4">
        <f>Calculations!H44</f>
        <v>0</v>
      </c>
      <c r="E4">
        <f>Calculations!I44</f>
        <v>0</v>
      </c>
      <c r="F4">
        <f>Calculations!J44</f>
        <v>0</v>
      </c>
      <c r="G4">
        <f>Calculations!K44</f>
        <v>0</v>
      </c>
      <c r="H4">
        <f>Calculations!L44</f>
        <v>0</v>
      </c>
      <c r="I4">
        <f>Calculations!M44</f>
        <v>0</v>
      </c>
      <c r="J4">
        <f>Calculations!N44</f>
        <v>0</v>
      </c>
      <c r="K4">
        <f>Calculations!O44</f>
        <v>0</v>
      </c>
      <c r="L4">
        <f>Calculations!P44</f>
        <v>0</v>
      </c>
      <c r="M4">
        <f>Calculations!Q44</f>
        <v>0</v>
      </c>
      <c r="N4">
        <f>Calculations!R44</f>
        <v>0</v>
      </c>
      <c r="O4">
        <f>Calculations!S44</f>
        <v>1.6261636849348336E-3</v>
      </c>
      <c r="P4">
        <f>Calculations!T44</f>
        <v>4.0654092123370835E-3</v>
      </c>
      <c r="Q4">
        <f>Calculations!U44</f>
        <v>8.1308184246741671E-3</v>
      </c>
      <c r="R4">
        <f>Calculations!V44</f>
        <v>1.707471869181575E-2</v>
      </c>
      <c r="S4">
        <f>Calculations!W44</f>
        <v>3.3336355541164091E-2</v>
      </c>
      <c r="T4">
        <f>Calculations!X44</f>
        <v>6.3420383712458506E-2</v>
      </c>
      <c r="U4">
        <f>Calculations!Y44</f>
        <v>0.11870994900024284</v>
      </c>
      <c r="V4">
        <f>Calculations!Z44</f>
        <v>0.22034517930866993</v>
      </c>
      <c r="W4">
        <f>Calculations!AA44</f>
        <v>0.32116732777462964</v>
      </c>
      <c r="X4">
        <f>Calculations!AB44</f>
        <v>0.42280255808305667</v>
      </c>
      <c r="Y4">
        <f>Calculations!AC44</f>
        <v>0.52443778839148369</v>
      </c>
      <c r="Z4">
        <f>Calculations!AD44</f>
        <v>0.62607301869991083</v>
      </c>
      <c r="AA4">
        <f>Calculations!AE44</f>
        <v>0.72852133085080539</v>
      </c>
      <c r="AB4">
        <f>Calculations!AF44</f>
        <v>0.83096964300169973</v>
      </c>
      <c r="AC4">
        <f>Calculations!AG44</f>
        <v>0.93260487331012709</v>
      </c>
      <c r="AD4">
        <f>Calculations!AH44</f>
        <v>1.0350531854610217</v>
      </c>
      <c r="AE4">
        <f>Calculations!AI44</f>
        <v>1.137501497611916</v>
      </c>
    </row>
    <row r="5" spans="1:31" x14ac:dyDescent="0.25">
      <c r="A5" t="s">
        <v>8</v>
      </c>
      <c r="B5">
        <f>Calculations!F45</f>
        <v>0</v>
      </c>
      <c r="C5">
        <f>Calculations!G45</f>
        <v>0</v>
      </c>
      <c r="D5">
        <f>Calculations!H45</f>
        <v>0</v>
      </c>
      <c r="E5">
        <f>Calculations!I45</f>
        <v>0</v>
      </c>
      <c r="F5">
        <f>Calculations!J45</f>
        <v>0</v>
      </c>
      <c r="G5">
        <f>Calculations!K45</f>
        <v>0</v>
      </c>
      <c r="H5">
        <f>Calculations!L45</f>
        <v>0</v>
      </c>
      <c r="I5">
        <f>Calculations!M45</f>
        <v>0</v>
      </c>
      <c r="J5">
        <f>Calculations!N45</f>
        <v>0</v>
      </c>
      <c r="K5">
        <f>Calculations!O45</f>
        <v>0</v>
      </c>
      <c r="L5">
        <f>Calculations!P45</f>
        <v>0</v>
      </c>
      <c r="M5">
        <f>Calculations!Q45</f>
        <v>0</v>
      </c>
      <c r="N5">
        <f>Calculations!R45</f>
        <v>0</v>
      </c>
      <c r="O5">
        <f>Calculations!S45</f>
        <v>0</v>
      </c>
      <c r="P5">
        <f>Calculations!T45</f>
        <v>0</v>
      </c>
      <c r="Q5">
        <f>Calculations!U45</f>
        <v>0</v>
      </c>
      <c r="R5">
        <f>Calculations!V45</f>
        <v>0</v>
      </c>
      <c r="S5">
        <f>Calculations!W45</f>
        <v>0</v>
      </c>
      <c r="T5">
        <f>Calculations!X45</f>
        <v>0</v>
      </c>
      <c r="U5">
        <f>Calculations!Y45</f>
        <v>0</v>
      </c>
      <c r="V5">
        <f>Calculations!Z45</f>
        <v>0</v>
      </c>
      <c r="W5">
        <f>Calculations!AA45</f>
        <v>0</v>
      </c>
      <c r="X5">
        <f>Calculations!AB45</f>
        <v>0</v>
      </c>
      <c r="Y5">
        <f>Calculations!AC45</f>
        <v>0</v>
      </c>
      <c r="Z5">
        <f>Calculations!AD45</f>
        <v>0</v>
      </c>
      <c r="AA5">
        <f>Calculations!AE45</f>
        <v>0</v>
      </c>
      <c r="AB5">
        <f>Calculations!AF45</f>
        <v>0</v>
      </c>
      <c r="AC5">
        <f>Calculations!AG45</f>
        <v>0</v>
      </c>
      <c r="AD5">
        <f>Calculations!AH45</f>
        <v>0</v>
      </c>
      <c r="AE5">
        <f>Calculations!AI45</f>
        <v>0</v>
      </c>
    </row>
    <row r="6" spans="1:31" x14ac:dyDescent="0.25">
      <c r="A6" t="s">
        <v>9</v>
      </c>
      <c r="B6">
        <f>Calculations!F46</f>
        <v>0</v>
      </c>
      <c r="C6">
        <f>Calculations!G46</f>
        <v>0</v>
      </c>
      <c r="D6">
        <f>Calculations!H46</f>
        <v>0</v>
      </c>
      <c r="E6">
        <f>Calculations!I46</f>
        <v>0</v>
      </c>
      <c r="F6">
        <f>Calculations!J46</f>
        <v>0</v>
      </c>
      <c r="G6">
        <f>Calculations!K46</f>
        <v>0</v>
      </c>
      <c r="H6">
        <f>Calculations!L46</f>
        <v>0</v>
      </c>
      <c r="I6">
        <f>Calculations!M46</f>
        <v>0</v>
      </c>
      <c r="J6">
        <f>Calculations!N46</f>
        <v>0</v>
      </c>
      <c r="K6">
        <f>Calculations!O46</f>
        <v>0</v>
      </c>
      <c r="L6">
        <f>Calculations!P46</f>
        <v>0</v>
      </c>
      <c r="M6">
        <f>Calculations!Q46</f>
        <v>0</v>
      </c>
      <c r="N6">
        <f>Calculations!R46</f>
        <v>0</v>
      </c>
      <c r="O6">
        <f>Calculations!S46</f>
        <v>0</v>
      </c>
      <c r="P6">
        <f>Calculations!T46</f>
        <v>0</v>
      </c>
      <c r="Q6">
        <f>Calculations!U46</f>
        <v>0</v>
      </c>
      <c r="R6">
        <f>Calculations!V46</f>
        <v>0</v>
      </c>
      <c r="S6">
        <f>Calculations!W46</f>
        <v>0</v>
      </c>
      <c r="T6">
        <f>Calculations!X46</f>
        <v>0</v>
      </c>
      <c r="U6">
        <f>Calculations!Y46</f>
        <v>0</v>
      </c>
      <c r="V6">
        <f>Calculations!Z46</f>
        <v>0</v>
      </c>
      <c r="W6">
        <f>Calculations!AA46</f>
        <v>0</v>
      </c>
      <c r="X6">
        <f>Calculations!AB46</f>
        <v>0</v>
      </c>
      <c r="Y6">
        <f>Calculations!AC46</f>
        <v>0</v>
      </c>
      <c r="Z6">
        <f>Calculations!AD46</f>
        <v>0</v>
      </c>
      <c r="AA6">
        <f>Calculations!AE46</f>
        <v>0</v>
      </c>
      <c r="AB6">
        <f>Calculations!AF46</f>
        <v>0</v>
      </c>
      <c r="AC6">
        <f>Calculations!AG46</f>
        <v>0</v>
      </c>
      <c r="AD6">
        <f>Calculations!AH46</f>
        <v>0</v>
      </c>
      <c r="AE6">
        <f>Calculations!AI46</f>
        <v>0</v>
      </c>
    </row>
    <row r="7" spans="1:31" x14ac:dyDescent="0.25">
      <c r="A7" t="s">
        <v>59</v>
      </c>
      <c r="B7">
        <f>Calculations!F47</f>
        <v>11.571780781996274</v>
      </c>
      <c r="C7">
        <f>Calculations!G47</f>
        <v>11.571780781996274</v>
      </c>
      <c r="D7">
        <f>Calculations!H47</f>
        <v>11.571780781996274</v>
      </c>
      <c r="E7">
        <f>Calculations!I47</f>
        <v>11.571780781996274</v>
      </c>
      <c r="F7">
        <f>Calculations!J47</f>
        <v>11.571780781996274</v>
      </c>
      <c r="G7">
        <f>Calculations!K47</f>
        <v>11.571780781996274</v>
      </c>
      <c r="H7">
        <f>Calculations!L47</f>
        <v>11.571780781996274</v>
      </c>
      <c r="I7">
        <f>Calculations!M47</f>
        <v>11.571780781996274</v>
      </c>
      <c r="J7">
        <f>Calculations!N47</f>
        <v>11.571780781996274</v>
      </c>
      <c r="K7">
        <f>Calculations!O47</f>
        <v>11.571780781996274</v>
      </c>
      <c r="L7">
        <f>Calculations!P47</f>
        <v>11.571780781996274</v>
      </c>
      <c r="M7">
        <f>Calculations!Q47</f>
        <v>11.572593863838744</v>
      </c>
      <c r="N7">
        <f>Calculations!R47</f>
        <v>11.572593863838744</v>
      </c>
      <c r="O7">
        <f>Calculations!S47</f>
        <v>11.575033109366146</v>
      </c>
      <c r="P7">
        <f>Calculations!T47</f>
        <v>11.579911600420949</v>
      </c>
      <c r="Q7">
        <f>Calculations!U47</f>
        <v>11.588855500688091</v>
      </c>
      <c r="R7">
        <f>Calculations!V47</f>
        <v>11.605930219379907</v>
      </c>
      <c r="S7">
        <f>Calculations!W47</f>
        <v>11.638453493078604</v>
      </c>
      <c r="T7">
        <f>Calculations!X47</f>
        <v>11.698621549421192</v>
      </c>
      <c r="U7">
        <f>Calculations!Y47</f>
        <v>11.81001376183923</v>
      </c>
      <c r="V7">
        <f>Calculations!Z47</f>
        <v>12.011658058771149</v>
      </c>
      <c r="W7">
        <f>Calculations!AA47</f>
        <v>12.214115437545535</v>
      </c>
      <c r="X7">
        <f>Calculations!AB47</f>
        <v>12.417385898162388</v>
      </c>
      <c r="Y7">
        <f>Calculations!AC47</f>
        <v>12.620656358779241</v>
      </c>
      <c r="Z7">
        <f>Calculations!AD47</f>
        <v>12.824739901238564</v>
      </c>
      <c r="AA7">
        <f>Calculations!AE47</f>
        <v>13.028823443697886</v>
      </c>
      <c r="AB7">
        <f>Calculations!AF47</f>
        <v>13.232906986157209</v>
      </c>
      <c r="AC7">
        <f>Calculations!AG47</f>
        <v>13.437803610458998</v>
      </c>
      <c r="AD7">
        <f>Calculations!AH47</f>
        <v>13.642700234760786</v>
      </c>
      <c r="AE7">
        <f>Calculations!AI47</f>
        <v>13.847596859062577</v>
      </c>
    </row>
    <row r="8" spans="1:31" x14ac:dyDescent="0.25">
      <c r="A8" t="s">
        <v>10</v>
      </c>
      <c r="B8">
        <f>Calculations!F48</f>
        <v>17296.296503197602</v>
      </c>
      <c r="C8" s="62">
        <f>Calculations!G48</f>
        <v>21092.010533797456</v>
      </c>
      <c r="D8" s="62">
        <f>Calculations!H48+'Inflation Reduction Act'!B59</f>
        <v>23113.409236946489</v>
      </c>
      <c r="E8" s="62">
        <f>Calculations!I48+'Inflation Reduction Act'!C59</f>
        <v>25463.706863110172</v>
      </c>
      <c r="F8" s="62">
        <f>Calculations!J48+'Inflation Reduction Act'!D59</f>
        <v>29653.642685981089</v>
      </c>
      <c r="G8">
        <f>Calculations!K48</f>
        <v>30167.286125799401</v>
      </c>
      <c r="H8">
        <f>Calculations!L48</f>
        <v>32594.825713915645</v>
      </c>
      <c r="I8">
        <f>Calculations!M48</f>
        <v>35094.47021290374</v>
      </c>
      <c r="J8">
        <f>Calculations!N48</f>
        <v>37709.943098842385</v>
      </c>
      <c r="K8">
        <f>Calculations!O48</f>
        <v>40422.457302679504</v>
      </c>
      <c r="L8">
        <f>Calculations!P48</f>
        <v>43273.072644377884</v>
      </c>
      <c r="M8">
        <f>Calculations!Q48</f>
        <v>46324.650920424188</v>
      </c>
      <c r="N8">
        <f>Calculations!R48</f>
        <v>49421.337350926893</v>
      </c>
      <c r="O8">
        <f>Calculations!S48</f>
        <v>52604.78611867562</v>
      </c>
      <c r="P8">
        <f>Calculations!T48</f>
        <v>55382.019197927628</v>
      </c>
      <c r="Q8">
        <f>Calculations!U48</f>
        <v>58309.063419736085</v>
      </c>
      <c r="R8">
        <f>Calculations!V48</f>
        <v>61362.102803853304</v>
      </c>
      <c r="S8">
        <f>Calculations!W48</f>
        <v>64646.954260503517</v>
      </c>
      <c r="T8">
        <f>Calculations!X48</f>
        <v>68173.747163280175</v>
      </c>
      <c r="U8">
        <f>Calculations!Y48</f>
        <v>71943.692191046706</v>
      </c>
      <c r="V8">
        <f>Calculations!Z48</f>
        <v>75947.18034258885</v>
      </c>
      <c r="W8">
        <f>Calculations!AA48</f>
        <v>80184.142505949974</v>
      </c>
      <c r="X8">
        <f>Calculations!AB48</f>
        <v>84684.826138751727</v>
      </c>
      <c r="Y8">
        <f>Calculations!AC48</f>
        <v>89364.104011333271</v>
      </c>
      <c r="Z8">
        <f>Calculations!AD48</f>
        <v>94298.120425159883</v>
      </c>
      <c r="AA8">
        <f>Calculations!AE48</f>
        <v>99417.877255079729</v>
      </c>
      <c r="AB8">
        <f>Calculations!AF48</f>
        <v>104722.07763555412</v>
      </c>
      <c r="AC8">
        <f>Calculations!AG48</f>
        <v>110306.69286877681</v>
      </c>
      <c r="AD8">
        <f>Calculations!AH48</f>
        <v>116022.1858207723</v>
      </c>
      <c r="AE8">
        <f>Calculations!AI48</f>
        <v>121940.78824317978</v>
      </c>
    </row>
    <row r="9" spans="1:31" x14ac:dyDescent="0.25">
      <c r="A9" t="s">
        <v>11</v>
      </c>
      <c r="B9">
        <f>Calculations!F49</f>
        <v>0</v>
      </c>
      <c r="C9">
        <f>Calculations!G49</f>
        <v>0</v>
      </c>
      <c r="D9">
        <f>Calculations!H49</f>
        <v>0</v>
      </c>
      <c r="E9">
        <f>Calculations!I49</f>
        <v>0</v>
      </c>
      <c r="F9">
        <f>Calculations!J49</f>
        <v>0</v>
      </c>
      <c r="G9">
        <f>Calculations!K49</f>
        <v>0</v>
      </c>
      <c r="H9">
        <f>Calculations!L49</f>
        <v>0</v>
      </c>
      <c r="I9">
        <f>Calculations!M49</f>
        <v>0</v>
      </c>
      <c r="J9">
        <f>Calculations!N49</f>
        <v>0</v>
      </c>
      <c r="K9">
        <f>Calculations!O49</f>
        <v>0</v>
      </c>
      <c r="L9">
        <f>Calculations!P49</f>
        <v>0</v>
      </c>
      <c r="M9">
        <f>Calculations!Q49</f>
        <v>0</v>
      </c>
      <c r="N9">
        <f>Calculations!R49</f>
        <v>0</v>
      </c>
      <c r="O9">
        <f>Calculations!S49</f>
        <v>0</v>
      </c>
      <c r="P9">
        <f>Calculations!T49</f>
        <v>0</v>
      </c>
      <c r="Q9">
        <f>Calculations!U49</f>
        <v>0</v>
      </c>
      <c r="R9">
        <f>Calculations!V49</f>
        <v>0</v>
      </c>
      <c r="S9">
        <f>Calculations!W49</f>
        <v>0</v>
      </c>
      <c r="T9">
        <f>Calculations!X49</f>
        <v>0</v>
      </c>
      <c r="U9">
        <f>Calculations!Y49</f>
        <v>0</v>
      </c>
      <c r="V9">
        <f>Calculations!Z49</f>
        <v>0</v>
      </c>
      <c r="W9">
        <f>Calculations!AA49</f>
        <v>0</v>
      </c>
      <c r="X9">
        <f>Calculations!AB49</f>
        <v>0</v>
      </c>
      <c r="Y9">
        <f>Calculations!AC49</f>
        <v>0</v>
      </c>
      <c r="Z9">
        <f>Calculations!AD49</f>
        <v>0</v>
      </c>
      <c r="AA9">
        <f>Calculations!AE49</f>
        <v>0</v>
      </c>
      <c r="AB9">
        <f>Calculations!AF49</f>
        <v>0</v>
      </c>
      <c r="AC9">
        <f>Calculations!AG49</f>
        <v>0</v>
      </c>
      <c r="AD9">
        <f>Calculations!AH49</f>
        <v>0</v>
      </c>
      <c r="AE9">
        <f>Calculations!AI49</f>
        <v>0</v>
      </c>
    </row>
    <row r="10" spans="1:31" x14ac:dyDescent="0.25">
      <c r="A10" t="s">
        <v>12</v>
      </c>
      <c r="B10">
        <f>Calculations!F50</f>
        <v>0</v>
      </c>
      <c r="C10">
        <f>Calculations!G50</f>
        <v>0</v>
      </c>
      <c r="D10">
        <f>Calculations!H50</f>
        <v>0</v>
      </c>
      <c r="E10">
        <f>Calculations!I50</f>
        <v>0</v>
      </c>
      <c r="F10">
        <f>Calculations!J50</f>
        <v>0</v>
      </c>
      <c r="G10">
        <f>Calculations!K50</f>
        <v>0</v>
      </c>
      <c r="H10">
        <f>Calculations!L50</f>
        <v>0</v>
      </c>
      <c r="I10">
        <f>Calculations!M50</f>
        <v>0</v>
      </c>
      <c r="J10">
        <f>Calculations!N50</f>
        <v>0</v>
      </c>
      <c r="K10">
        <f>Calculations!O50</f>
        <v>0</v>
      </c>
      <c r="L10">
        <f>Calculations!P50</f>
        <v>0</v>
      </c>
      <c r="M10">
        <f>Calculations!Q50</f>
        <v>0</v>
      </c>
      <c r="N10">
        <f>Calculations!R50</f>
        <v>0</v>
      </c>
      <c r="O10">
        <f>Calculations!S50</f>
        <v>0</v>
      </c>
      <c r="P10">
        <f>Calculations!T50</f>
        <v>0</v>
      </c>
      <c r="Q10">
        <f>Calculations!U50</f>
        <v>0</v>
      </c>
      <c r="R10">
        <f>Calculations!V50</f>
        <v>0</v>
      </c>
      <c r="S10">
        <f>Calculations!W50</f>
        <v>0</v>
      </c>
      <c r="T10">
        <f>Calculations!X50</f>
        <v>0</v>
      </c>
      <c r="U10">
        <f>Calculations!Y50</f>
        <v>0</v>
      </c>
      <c r="V10">
        <f>Calculations!Z50</f>
        <v>0</v>
      </c>
      <c r="W10">
        <f>Calculations!AA50</f>
        <v>0</v>
      </c>
      <c r="X10">
        <f>Calculations!AB50</f>
        <v>0</v>
      </c>
      <c r="Y10">
        <f>Calculations!AC50</f>
        <v>0</v>
      </c>
      <c r="Z10">
        <f>Calculations!AD50</f>
        <v>0</v>
      </c>
      <c r="AA10">
        <f>Calculations!AE50</f>
        <v>0</v>
      </c>
      <c r="AB10">
        <f>Calculations!AF50</f>
        <v>0</v>
      </c>
      <c r="AC10">
        <f>Calculations!AG50</f>
        <v>0</v>
      </c>
      <c r="AD10">
        <f>Calculations!AH50</f>
        <v>0</v>
      </c>
      <c r="AE10">
        <f>Calculations!AI50</f>
        <v>0</v>
      </c>
    </row>
    <row r="11" spans="1:31" x14ac:dyDescent="0.25">
      <c r="A11" t="s">
        <v>13</v>
      </c>
      <c r="B11">
        <f>Calculations!F51</f>
        <v>0</v>
      </c>
      <c r="C11">
        <f>Calculations!G51</f>
        <v>0</v>
      </c>
      <c r="D11">
        <f>Calculations!H51</f>
        <v>0</v>
      </c>
      <c r="E11">
        <f>Calculations!I51</f>
        <v>0</v>
      </c>
      <c r="F11">
        <f>Calculations!J51</f>
        <v>0</v>
      </c>
      <c r="G11">
        <f>Calculations!K51</f>
        <v>0</v>
      </c>
      <c r="H11">
        <f>Calculations!L51</f>
        <v>0</v>
      </c>
      <c r="I11">
        <f>Calculations!M51</f>
        <v>0</v>
      </c>
      <c r="J11">
        <f>Calculations!N51</f>
        <v>0</v>
      </c>
      <c r="K11">
        <f>Calculations!O51</f>
        <v>0</v>
      </c>
      <c r="L11">
        <f>Calculations!P51</f>
        <v>0</v>
      </c>
      <c r="M11">
        <f>Calculations!Q51</f>
        <v>0</v>
      </c>
      <c r="N11">
        <f>Calculations!R51</f>
        <v>0</v>
      </c>
      <c r="O11">
        <f>Calculations!S51</f>
        <v>0</v>
      </c>
      <c r="P11">
        <f>Calculations!T51</f>
        <v>0</v>
      </c>
      <c r="Q11">
        <f>Calculations!U51</f>
        <v>0</v>
      </c>
      <c r="R11">
        <f>Calculations!V51</f>
        <v>0</v>
      </c>
      <c r="S11">
        <f>Calculations!W51</f>
        <v>0</v>
      </c>
      <c r="T11">
        <f>Calculations!X51</f>
        <v>0</v>
      </c>
      <c r="U11">
        <f>Calculations!Y51</f>
        <v>0</v>
      </c>
      <c r="V11">
        <f>Calculations!Z51</f>
        <v>0</v>
      </c>
      <c r="W11">
        <f>Calculations!AA51</f>
        <v>0</v>
      </c>
      <c r="X11">
        <f>Calculations!AB51</f>
        <v>0</v>
      </c>
      <c r="Y11">
        <f>Calculations!AC51</f>
        <v>0</v>
      </c>
      <c r="Z11">
        <f>Calculations!AD51</f>
        <v>0</v>
      </c>
      <c r="AA11">
        <f>Calculations!AE51</f>
        <v>0</v>
      </c>
      <c r="AB11">
        <f>Calculations!AF51</f>
        <v>0</v>
      </c>
      <c r="AC11">
        <f>Calculations!AG51</f>
        <v>0</v>
      </c>
      <c r="AD11">
        <f>Calculations!AH51</f>
        <v>0</v>
      </c>
      <c r="AE11">
        <f>Calculations!AI51</f>
        <v>0</v>
      </c>
    </row>
    <row r="12" spans="1:31" x14ac:dyDescent="0.25">
      <c r="A12" t="s">
        <v>14</v>
      </c>
      <c r="B12">
        <f>Calculations!F52</f>
        <v>0</v>
      </c>
      <c r="C12">
        <f>Calculations!G52</f>
        <v>0</v>
      </c>
      <c r="D12">
        <f>Calculations!H52</f>
        <v>0</v>
      </c>
      <c r="E12">
        <f>Calculations!I52</f>
        <v>0</v>
      </c>
      <c r="F12">
        <f>Calculations!J52</f>
        <v>0</v>
      </c>
      <c r="G12">
        <f>Calculations!K52</f>
        <v>0</v>
      </c>
      <c r="H12">
        <f>Calculations!L52</f>
        <v>0</v>
      </c>
      <c r="I12">
        <f>Calculations!M52</f>
        <v>0</v>
      </c>
      <c r="J12">
        <f>Calculations!N52</f>
        <v>0</v>
      </c>
      <c r="K12">
        <f>Calculations!O52</f>
        <v>0</v>
      </c>
      <c r="L12">
        <f>Calculations!P52</f>
        <v>0</v>
      </c>
      <c r="M12">
        <f>Calculations!Q52</f>
        <v>0</v>
      </c>
      <c r="N12">
        <f>Calculations!R52</f>
        <v>0</v>
      </c>
      <c r="O12">
        <f>Calculations!S52</f>
        <v>0</v>
      </c>
      <c r="P12">
        <f>Calculations!T52</f>
        <v>0</v>
      </c>
      <c r="Q12">
        <f>Calculations!U52</f>
        <v>0</v>
      </c>
      <c r="R12">
        <f>Calculations!V52</f>
        <v>0</v>
      </c>
      <c r="S12">
        <f>Calculations!W52</f>
        <v>0</v>
      </c>
      <c r="T12">
        <f>Calculations!X52</f>
        <v>0</v>
      </c>
      <c r="U12">
        <f>Calculations!Y52</f>
        <v>0</v>
      </c>
      <c r="V12">
        <f>Calculations!Z52</f>
        <v>0</v>
      </c>
      <c r="W12">
        <f>Calculations!AA52</f>
        <v>0</v>
      </c>
      <c r="X12">
        <f>Calculations!AB52</f>
        <v>0</v>
      </c>
      <c r="Y12">
        <f>Calculations!AC52</f>
        <v>0</v>
      </c>
      <c r="Z12">
        <f>Calculations!AD52</f>
        <v>0</v>
      </c>
      <c r="AA12">
        <f>Calculations!AE52</f>
        <v>0</v>
      </c>
      <c r="AB12">
        <f>Calculations!AF52</f>
        <v>0</v>
      </c>
      <c r="AC12">
        <f>Calculations!AG52</f>
        <v>0</v>
      </c>
      <c r="AD12">
        <f>Calculations!AH52</f>
        <v>0</v>
      </c>
      <c r="AE12">
        <f>Calculations!AI52</f>
        <v>0</v>
      </c>
    </row>
    <row r="13" spans="1:31" x14ac:dyDescent="0.25">
      <c r="A13" t="s">
        <v>15</v>
      </c>
      <c r="B13">
        <f>Calculations!F53</f>
        <v>0</v>
      </c>
      <c r="C13">
        <f>Calculations!G53</f>
        <v>0</v>
      </c>
      <c r="D13">
        <f>Calculations!H53</f>
        <v>0</v>
      </c>
      <c r="E13">
        <f>Calculations!I53</f>
        <v>0</v>
      </c>
      <c r="F13">
        <f>Calculations!J53</f>
        <v>0</v>
      </c>
      <c r="G13">
        <f>Calculations!K53</f>
        <v>0</v>
      </c>
      <c r="H13">
        <f>Calculations!L53</f>
        <v>0</v>
      </c>
      <c r="I13">
        <f>Calculations!M53</f>
        <v>0</v>
      </c>
      <c r="J13">
        <f>Calculations!N53</f>
        <v>0</v>
      </c>
      <c r="K13">
        <f>Calculations!O53</f>
        <v>0</v>
      </c>
      <c r="L13">
        <f>Calculations!P53</f>
        <v>0</v>
      </c>
      <c r="M13">
        <f>Calculations!Q53</f>
        <v>0</v>
      </c>
      <c r="N13">
        <f>Calculations!R53</f>
        <v>0</v>
      </c>
      <c r="O13">
        <f>Calculations!S53</f>
        <v>0</v>
      </c>
      <c r="P13">
        <f>Calculations!T53</f>
        <v>0</v>
      </c>
      <c r="Q13">
        <f>Calculations!U53</f>
        <v>0</v>
      </c>
      <c r="R13">
        <f>Calculations!V53</f>
        <v>0</v>
      </c>
      <c r="S13">
        <f>Calculations!W53</f>
        <v>0</v>
      </c>
      <c r="T13">
        <f>Calculations!X53</f>
        <v>0</v>
      </c>
      <c r="U13">
        <f>Calculations!Y53</f>
        <v>0</v>
      </c>
      <c r="V13">
        <f>Calculations!Z53</f>
        <v>0</v>
      </c>
      <c r="W13">
        <f>Calculations!AA53</f>
        <v>0</v>
      </c>
      <c r="X13">
        <f>Calculations!AB53</f>
        <v>0</v>
      </c>
      <c r="Y13">
        <f>Calculations!AC53</f>
        <v>0</v>
      </c>
      <c r="Z13">
        <f>Calculations!AD53</f>
        <v>0</v>
      </c>
      <c r="AA13">
        <f>Calculations!AE53</f>
        <v>0</v>
      </c>
      <c r="AB13">
        <f>Calculations!AF53</f>
        <v>0</v>
      </c>
      <c r="AC13">
        <f>Calculations!AG53</f>
        <v>0</v>
      </c>
      <c r="AD13">
        <f>Calculations!AH53</f>
        <v>0</v>
      </c>
      <c r="AE13">
        <f>Calculations!AI53</f>
        <v>0</v>
      </c>
    </row>
    <row r="14" spans="1:31" x14ac:dyDescent="0.25">
      <c r="A14" t="s">
        <v>57</v>
      </c>
      <c r="B14">
        <f>Calculations!F54</f>
        <v>0</v>
      </c>
      <c r="C14">
        <f>Calculations!G54</f>
        <v>0</v>
      </c>
      <c r="D14">
        <f>Calculations!H54</f>
        <v>0</v>
      </c>
      <c r="E14">
        <f>Calculations!I54</f>
        <v>0</v>
      </c>
      <c r="F14">
        <f>Calculations!J54</f>
        <v>0</v>
      </c>
      <c r="G14">
        <f>Calculations!K54</f>
        <v>0</v>
      </c>
      <c r="H14">
        <f>Calculations!L54</f>
        <v>0</v>
      </c>
      <c r="I14">
        <f>Calculations!M54</f>
        <v>0</v>
      </c>
      <c r="J14">
        <f>Calculations!N54</f>
        <v>0</v>
      </c>
      <c r="K14">
        <f>Calculations!O54</f>
        <v>0</v>
      </c>
      <c r="L14">
        <f>Calculations!P54</f>
        <v>0</v>
      </c>
      <c r="M14">
        <f>Calculations!Q54</f>
        <v>0</v>
      </c>
      <c r="N14">
        <f>Calculations!R54</f>
        <v>0</v>
      </c>
      <c r="O14">
        <f>Calculations!S54</f>
        <v>0</v>
      </c>
      <c r="P14">
        <f>Calculations!T54</f>
        <v>0</v>
      </c>
      <c r="Q14">
        <f>Calculations!U54</f>
        <v>0</v>
      </c>
      <c r="R14">
        <f>Calculations!V54</f>
        <v>0</v>
      </c>
      <c r="S14">
        <f>Calculations!W54</f>
        <v>0</v>
      </c>
      <c r="T14">
        <f>Calculations!X54</f>
        <v>0</v>
      </c>
      <c r="U14">
        <f>Calculations!Y54</f>
        <v>0</v>
      </c>
      <c r="V14">
        <f>Calculations!Z54</f>
        <v>0</v>
      </c>
      <c r="W14">
        <f>Calculations!AA54</f>
        <v>0</v>
      </c>
      <c r="X14">
        <f>Calculations!AB54</f>
        <v>0</v>
      </c>
      <c r="Y14">
        <f>Calculations!AC54</f>
        <v>0</v>
      </c>
      <c r="Z14">
        <f>Calculations!AD54</f>
        <v>0</v>
      </c>
      <c r="AA14">
        <f>Calculations!AE54</f>
        <v>0</v>
      </c>
      <c r="AB14">
        <f>Calculations!AF54</f>
        <v>0</v>
      </c>
      <c r="AC14">
        <f>Calculations!AG54</f>
        <v>0</v>
      </c>
      <c r="AD14">
        <f>Calculations!AH54</f>
        <v>0</v>
      </c>
      <c r="AE14">
        <f>Calculations!AI54</f>
        <v>0</v>
      </c>
    </row>
    <row r="15" spans="1:31" x14ac:dyDescent="0.25">
      <c r="A15" t="s">
        <v>60</v>
      </c>
      <c r="B15">
        <f>Calculations!F55</f>
        <v>0</v>
      </c>
      <c r="C15">
        <f>Calculations!G55</f>
        <v>0</v>
      </c>
      <c r="D15">
        <f>Calculations!H55</f>
        <v>0</v>
      </c>
      <c r="E15">
        <f>Calculations!I55</f>
        <v>0</v>
      </c>
      <c r="F15">
        <f>Calculations!J55</f>
        <v>0</v>
      </c>
      <c r="G15">
        <f>Calculations!K55</f>
        <v>0</v>
      </c>
      <c r="H15">
        <f>Calculations!L55</f>
        <v>0</v>
      </c>
      <c r="I15">
        <f>Calculations!M55</f>
        <v>0</v>
      </c>
      <c r="J15">
        <f>Calculations!N55</f>
        <v>0</v>
      </c>
      <c r="K15">
        <f>Calculations!O55</f>
        <v>0</v>
      </c>
      <c r="L15">
        <f>Calculations!P55</f>
        <v>0</v>
      </c>
      <c r="M15">
        <f>Calculations!Q55</f>
        <v>0</v>
      </c>
      <c r="N15">
        <f>Calculations!R55</f>
        <v>0</v>
      </c>
      <c r="O15">
        <f>Calculations!S55</f>
        <v>0</v>
      </c>
      <c r="P15">
        <f>Calculations!T55</f>
        <v>0</v>
      </c>
      <c r="Q15">
        <f>Calculations!U55</f>
        <v>0</v>
      </c>
      <c r="R15">
        <f>Calculations!V55</f>
        <v>0</v>
      </c>
      <c r="S15">
        <f>Calculations!W55</f>
        <v>0</v>
      </c>
      <c r="T15">
        <f>Calculations!X55</f>
        <v>0</v>
      </c>
      <c r="U15">
        <f>Calculations!Y55</f>
        <v>0</v>
      </c>
      <c r="V15">
        <f>Calculations!Z55</f>
        <v>0</v>
      </c>
      <c r="W15">
        <f>Calculations!AA55</f>
        <v>0</v>
      </c>
      <c r="X15">
        <f>Calculations!AB55</f>
        <v>0</v>
      </c>
      <c r="Y15">
        <f>Calculations!AC55</f>
        <v>0</v>
      </c>
      <c r="Z15">
        <f>Calculations!AD55</f>
        <v>0</v>
      </c>
      <c r="AA15">
        <f>Calculations!AE55</f>
        <v>0</v>
      </c>
      <c r="AB15">
        <f>Calculations!AF55</f>
        <v>0</v>
      </c>
      <c r="AC15">
        <f>Calculations!AG55</f>
        <v>0</v>
      </c>
      <c r="AD15">
        <f>Calculations!AH55</f>
        <v>0</v>
      </c>
      <c r="AE15">
        <f>Calculations!AI55</f>
        <v>0</v>
      </c>
    </row>
    <row r="16" spans="1:31" x14ac:dyDescent="0.25">
      <c r="A16" t="s">
        <v>158</v>
      </c>
      <c r="B16">
        <f>Calculations!F56</f>
        <v>0</v>
      </c>
      <c r="C16">
        <f>Calculations!G56</f>
        <v>0</v>
      </c>
      <c r="D16">
        <f>Calculations!H56</f>
        <v>0</v>
      </c>
      <c r="E16">
        <f>Calculations!I56</f>
        <v>0</v>
      </c>
      <c r="F16">
        <f>Calculations!J56</f>
        <v>0</v>
      </c>
      <c r="G16">
        <f>Calculations!K56</f>
        <v>0</v>
      </c>
      <c r="H16">
        <f>Calculations!L56</f>
        <v>0</v>
      </c>
      <c r="I16">
        <f>Calculations!M56</f>
        <v>0</v>
      </c>
      <c r="J16">
        <f>Calculations!N56</f>
        <v>0</v>
      </c>
      <c r="K16">
        <f>Calculations!O56</f>
        <v>0</v>
      </c>
      <c r="L16">
        <f>Calculations!P56</f>
        <v>0</v>
      </c>
      <c r="M16">
        <f>Calculations!Q56</f>
        <v>0</v>
      </c>
      <c r="N16">
        <f>Calculations!R56</f>
        <v>0</v>
      </c>
      <c r="O16">
        <f>Calculations!S56</f>
        <v>0</v>
      </c>
      <c r="P16">
        <f>Calculations!T56</f>
        <v>0</v>
      </c>
      <c r="Q16">
        <f>Calculations!U56</f>
        <v>0</v>
      </c>
      <c r="R16">
        <f>Calculations!V56</f>
        <v>0</v>
      </c>
      <c r="S16">
        <f>Calculations!W56</f>
        <v>0</v>
      </c>
      <c r="T16">
        <f>Calculations!X56</f>
        <v>0</v>
      </c>
      <c r="U16">
        <f>Calculations!Y56</f>
        <v>0</v>
      </c>
      <c r="V16">
        <f>Calculations!Z56</f>
        <v>0</v>
      </c>
      <c r="W16">
        <f>Calculations!AA56</f>
        <v>0</v>
      </c>
      <c r="X16">
        <f>Calculations!AB56</f>
        <v>0</v>
      </c>
      <c r="Y16">
        <f>Calculations!AC56</f>
        <v>0</v>
      </c>
      <c r="Z16">
        <f>Calculations!AD56</f>
        <v>0</v>
      </c>
      <c r="AA16">
        <f>Calculations!AE56</f>
        <v>0</v>
      </c>
      <c r="AB16">
        <f>Calculations!AF56</f>
        <v>0</v>
      </c>
      <c r="AC16">
        <f>Calculations!AG56</f>
        <v>0</v>
      </c>
      <c r="AD16">
        <f>Calculations!AH56</f>
        <v>0</v>
      </c>
      <c r="AE16">
        <f>Calculations!AI56</f>
        <v>0</v>
      </c>
    </row>
    <row r="17" spans="1:31" x14ac:dyDescent="0.25">
      <c r="A17" t="s">
        <v>159</v>
      </c>
      <c r="B17">
        <f>Calculations!F57</f>
        <v>0</v>
      </c>
      <c r="C17">
        <f>Calculations!G57</f>
        <v>0</v>
      </c>
      <c r="D17">
        <f>Calculations!H57</f>
        <v>0</v>
      </c>
      <c r="E17">
        <f>Calculations!I57</f>
        <v>0</v>
      </c>
      <c r="F17">
        <f>Calculations!J57</f>
        <v>0</v>
      </c>
      <c r="G17">
        <f>Calculations!K57</f>
        <v>0</v>
      </c>
      <c r="H17">
        <f>Calculations!L57</f>
        <v>0</v>
      </c>
      <c r="I17">
        <f>Calculations!M57</f>
        <v>0</v>
      </c>
      <c r="J17">
        <f>Calculations!N57</f>
        <v>0</v>
      </c>
      <c r="K17">
        <f>Calculations!O57</f>
        <v>0</v>
      </c>
      <c r="L17">
        <f>Calculations!P57</f>
        <v>0</v>
      </c>
      <c r="M17">
        <f>Calculations!Q57</f>
        <v>0</v>
      </c>
      <c r="N17">
        <f>Calculations!R57</f>
        <v>0</v>
      </c>
      <c r="O17">
        <f>Calculations!S57</f>
        <v>0</v>
      </c>
      <c r="P17">
        <f>Calculations!T57</f>
        <v>0</v>
      </c>
      <c r="Q17">
        <f>Calculations!U57</f>
        <v>0</v>
      </c>
      <c r="R17">
        <f>Calculations!V57</f>
        <v>0</v>
      </c>
      <c r="S17">
        <f>Calculations!W57</f>
        <v>0</v>
      </c>
      <c r="T17">
        <f>Calculations!X57</f>
        <v>0</v>
      </c>
      <c r="U17">
        <f>Calculations!Y57</f>
        <v>0</v>
      </c>
      <c r="V17">
        <f>Calculations!Z57</f>
        <v>0</v>
      </c>
      <c r="W17">
        <f>Calculations!AA57</f>
        <v>0</v>
      </c>
      <c r="X17">
        <f>Calculations!AB57</f>
        <v>0</v>
      </c>
      <c r="Y17">
        <f>Calculations!AC57</f>
        <v>0</v>
      </c>
      <c r="Z17">
        <f>Calculations!AD57</f>
        <v>0</v>
      </c>
      <c r="AA17">
        <f>Calculations!AE57</f>
        <v>0</v>
      </c>
      <c r="AB17">
        <f>Calculations!AF57</f>
        <v>0</v>
      </c>
      <c r="AC17">
        <f>Calculations!AG57</f>
        <v>0</v>
      </c>
      <c r="AD17">
        <f>Calculations!AH57</f>
        <v>0</v>
      </c>
      <c r="AE17">
        <f>Calculations!AI57</f>
        <v>0</v>
      </c>
    </row>
    <row r="18" spans="1:31" x14ac:dyDescent="0.25">
      <c r="A18" t="s">
        <v>160</v>
      </c>
      <c r="B18">
        <f>Calculations!F58</f>
        <v>0</v>
      </c>
      <c r="C18">
        <f>Calculations!G58</f>
        <v>0</v>
      </c>
      <c r="D18">
        <f>Calculations!H58</f>
        <v>0</v>
      </c>
      <c r="E18">
        <f>Calculations!I58</f>
        <v>0</v>
      </c>
      <c r="F18">
        <f>Calculations!J58</f>
        <v>0</v>
      </c>
      <c r="G18">
        <f>Calculations!K58</f>
        <v>0</v>
      </c>
      <c r="H18">
        <f>Calculations!L58</f>
        <v>0</v>
      </c>
      <c r="I18">
        <f>Calculations!M58</f>
        <v>0</v>
      </c>
      <c r="J18">
        <f>Calculations!N58</f>
        <v>0</v>
      </c>
      <c r="K18">
        <f>Calculations!O58</f>
        <v>0</v>
      </c>
      <c r="L18">
        <f>Calculations!P58</f>
        <v>0</v>
      </c>
      <c r="M18">
        <f>Calculations!Q58</f>
        <v>0</v>
      </c>
      <c r="N18">
        <f>Calculations!R58</f>
        <v>0</v>
      </c>
      <c r="O18">
        <f>Calculations!S58</f>
        <v>0</v>
      </c>
      <c r="P18">
        <f>Calculations!T58</f>
        <v>0</v>
      </c>
      <c r="Q18">
        <f>Calculations!U58</f>
        <v>0</v>
      </c>
      <c r="R18">
        <f>Calculations!V58</f>
        <v>0</v>
      </c>
      <c r="S18">
        <f>Calculations!W58</f>
        <v>0</v>
      </c>
      <c r="T18">
        <f>Calculations!X58</f>
        <v>0</v>
      </c>
      <c r="U18">
        <f>Calculations!Y58</f>
        <v>0</v>
      </c>
      <c r="V18">
        <f>Calculations!Z58</f>
        <v>0</v>
      </c>
      <c r="W18">
        <f>Calculations!AA58</f>
        <v>0</v>
      </c>
      <c r="X18">
        <f>Calculations!AB58</f>
        <v>0</v>
      </c>
      <c r="Y18">
        <f>Calculations!AC58</f>
        <v>0</v>
      </c>
      <c r="Z18">
        <f>Calculations!AD58</f>
        <v>0</v>
      </c>
      <c r="AA18">
        <f>Calculations!AE58</f>
        <v>0</v>
      </c>
      <c r="AB18">
        <f>Calculations!AF58</f>
        <v>0</v>
      </c>
      <c r="AC18">
        <f>Calculations!AG58</f>
        <v>0</v>
      </c>
      <c r="AD18">
        <f>Calculations!AH58</f>
        <v>0</v>
      </c>
      <c r="AE18">
        <f>Calculations!AI58</f>
        <v>0</v>
      </c>
    </row>
    <row r="19" spans="1:31" x14ac:dyDescent="0.25">
      <c r="A19" s="53" t="s">
        <v>924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s="53" t="s">
        <v>925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s="53" t="s">
        <v>926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s="53" t="s">
        <v>927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s="53" t="s">
        <v>928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54" t="s">
        <v>929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54" t="s">
        <v>930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G25"/>
  <sheetViews>
    <sheetView workbookViewId="0">
      <selection activeCell="H7" sqref="H7"/>
    </sheetView>
  </sheetViews>
  <sheetFormatPr defaultColWidth="8.7109375" defaultRowHeight="15" x14ac:dyDescent="0.25"/>
  <cols>
    <col min="1" max="1" width="23.42578125" customWidth="1"/>
    <col min="2" max="33" width="9.5703125" bestFit="1" customWidth="1"/>
  </cols>
  <sheetData>
    <row r="1" spans="1:33" x14ac:dyDescent="0.25">
      <c r="A1" t="s">
        <v>161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x14ac:dyDescent="0.25">
      <c r="A2" t="s">
        <v>58</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c r="AC2">
        <f>Calculations!AE62</f>
        <v>0</v>
      </c>
      <c r="AD2">
        <f>Calculations!AF62</f>
        <v>0</v>
      </c>
      <c r="AE2">
        <f>Calculations!AG62</f>
        <v>0</v>
      </c>
      <c r="AF2">
        <f>Calculations!AH62</f>
        <v>0</v>
      </c>
      <c r="AG2">
        <f>Calculations!AI62</f>
        <v>0</v>
      </c>
    </row>
    <row r="3" spans="1:33" x14ac:dyDescent="0.25">
      <c r="A3" t="s">
        <v>922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3" x14ac:dyDescent="0.25">
      <c r="A4" t="s">
        <v>923</v>
      </c>
      <c r="B4">
        <f>Calculations!D63</f>
        <v>0</v>
      </c>
      <c r="C4">
        <f>Calculations!E63</f>
        <v>0</v>
      </c>
      <c r="D4">
        <f>Calculations!F63</f>
        <v>0</v>
      </c>
      <c r="E4">
        <f>Calculations!G63</f>
        <v>0</v>
      </c>
      <c r="F4">
        <f>Calculations!H63</f>
        <v>0</v>
      </c>
      <c r="G4">
        <f>Calculations!I63</f>
        <v>0</v>
      </c>
      <c r="H4">
        <f>Calculations!J63</f>
        <v>0</v>
      </c>
      <c r="I4">
        <f>Calculations!K63</f>
        <v>0</v>
      </c>
      <c r="J4">
        <f>Calculations!L63</f>
        <v>0</v>
      </c>
      <c r="K4">
        <f>Calculations!M63</f>
        <v>0</v>
      </c>
      <c r="L4">
        <f>Calculations!N63</f>
        <v>0</v>
      </c>
      <c r="M4">
        <f>Calculations!O63</f>
        <v>0</v>
      </c>
      <c r="N4">
        <f>Calculations!P63</f>
        <v>0</v>
      </c>
      <c r="O4">
        <f>Calculations!Q63</f>
        <v>0</v>
      </c>
      <c r="P4">
        <f>Calculations!R63</f>
        <v>0</v>
      </c>
      <c r="Q4">
        <f>Calculations!S63</f>
        <v>3.7383631506516634E-4</v>
      </c>
      <c r="R4">
        <f>Calculations!T63</f>
        <v>9.3459078766291591E-4</v>
      </c>
      <c r="S4">
        <f>Calculations!U63</f>
        <v>1.8691815753258318E-3</v>
      </c>
      <c r="T4">
        <f>Calculations!V63</f>
        <v>3.9252813081842464E-3</v>
      </c>
      <c r="U4">
        <f>Calculations!W63</f>
        <v>7.6636444588359101E-3</v>
      </c>
      <c r="V4">
        <f>Calculations!X63</f>
        <v>1.4579616287541487E-2</v>
      </c>
      <c r="W4">
        <f>Calculations!Y63</f>
        <v>2.7290050999757141E-2</v>
      </c>
      <c r="X4">
        <f>Calculations!Z63</f>
        <v>5.0654820691330031E-2</v>
      </c>
      <c r="Y4">
        <f>Calculations!AA63</f>
        <v>7.3832672225370363E-2</v>
      </c>
      <c r="Z4">
        <f>Calculations!AB63</f>
        <v>9.7197441916943239E-2</v>
      </c>
      <c r="AA4">
        <f>Calculations!AC63</f>
        <v>0.12056221160851613</v>
      </c>
      <c r="AB4">
        <f>Calculations!AD63</f>
        <v>0.14392698130008902</v>
      </c>
      <c r="AC4">
        <f>Calculations!AE63</f>
        <v>0.16747866914919451</v>
      </c>
      <c r="AD4">
        <f>Calculations!AF63</f>
        <v>0.19103035699829995</v>
      </c>
      <c r="AE4">
        <f>Calculations!AG63</f>
        <v>0.2143951266898729</v>
      </c>
      <c r="AF4">
        <f>Calculations!AH63</f>
        <v>0.2379468145389784</v>
      </c>
      <c r="AG4">
        <f>Calculations!AI63</f>
        <v>0.26149850238808386</v>
      </c>
    </row>
    <row r="5" spans="1:33" x14ac:dyDescent="0.25">
      <c r="A5" t="s">
        <v>8</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c r="AC5">
        <f>Calculations!AE64</f>
        <v>0</v>
      </c>
      <c r="AD5">
        <f>Calculations!AF64</f>
        <v>0</v>
      </c>
      <c r="AE5">
        <f>Calculations!AG64</f>
        <v>0</v>
      </c>
      <c r="AF5">
        <f>Calculations!AH64</f>
        <v>0</v>
      </c>
      <c r="AG5">
        <f>Calculations!AI64</f>
        <v>0</v>
      </c>
    </row>
    <row r="6" spans="1:33" x14ac:dyDescent="0.25">
      <c r="A6" t="s">
        <v>9</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c r="AC6">
        <f>Calculations!AE65</f>
        <v>0</v>
      </c>
      <c r="AD6">
        <f>Calculations!AF65</f>
        <v>0</v>
      </c>
      <c r="AE6">
        <f>Calculations!AG65</f>
        <v>0</v>
      </c>
      <c r="AF6">
        <f>Calculations!AH65</f>
        <v>0</v>
      </c>
      <c r="AG6">
        <f>Calculations!AI65</f>
        <v>0</v>
      </c>
    </row>
    <row r="7" spans="1:33" x14ac:dyDescent="0.25">
      <c r="A7" t="s">
        <v>59</v>
      </c>
      <c r="B7">
        <f>Calculations!D66</f>
        <v>0</v>
      </c>
      <c r="C7">
        <f>Calculations!E66</f>
        <v>2.6602192180037236</v>
      </c>
      <c r="D7">
        <f>Calculations!F66</f>
        <v>2.6602192180037236</v>
      </c>
      <c r="E7">
        <f>Calculations!G66</f>
        <v>2.6602192180037236</v>
      </c>
      <c r="F7">
        <f>Calculations!H66</f>
        <v>2.6602192180037236</v>
      </c>
      <c r="G7">
        <f>Calculations!I66</f>
        <v>2.6602192180037236</v>
      </c>
      <c r="H7">
        <f>Calculations!J66</f>
        <v>2.6602192180037236</v>
      </c>
      <c r="I7">
        <f>Calculations!K66</f>
        <v>2.6602192180037236</v>
      </c>
      <c r="J7">
        <f>Calculations!L66</f>
        <v>2.6602192180037236</v>
      </c>
      <c r="K7">
        <f>Calculations!M66</f>
        <v>2.6602192180037236</v>
      </c>
      <c r="L7">
        <f>Calculations!N66</f>
        <v>2.6602192180037236</v>
      </c>
      <c r="M7">
        <f>Calculations!O66</f>
        <v>2.6602192180037236</v>
      </c>
      <c r="N7">
        <f>Calculations!P66</f>
        <v>2.6602192180037236</v>
      </c>
      <c r="O7">
        <f>Calculations!Q66</f>
        <v>2.6604061361612565</v>
      </c>
      <c r="P7">
        <f>Calculations!R66</f>
        <v>2.6604061361612565</v>
      </c>
      <c r="Q7">
        <f>Calculations!S66</f>
        <v>2.6609668906338544</v>
      </c>
      <c r="R7">
        <f>Calculations!T66</f>
        <v>2.6620883995790492</v>
      </c>
      <c r="S7">
        <f>Calculations!U66</f>
        <v>2.6641444993119081</v>
      </c>
      <c r="T7">
        <f>Calculations!V66</f>
        <v>2.6680697806200926</v>
      </c>
      <c r="U7">
        <f>Calculations!W66</f>
        <v>2.6755465069213957</v>
      </c>
      <c r="V7">
        <f>Calculations!X66</f>
        <v>2.6893784505788068</v>
      </c>
      <c r="W7">
        <f>Calculations!Y66</f>
        <v>2.7149862381607708</v>
      </c>
      <c r="X7">
        <f>Calculations!Z66</f>
        <v>2.7613419412288511</v>
      </c>
      <c r="Y7">
        <f>Calculations!AA66</f>
        <v>2.8078845624544644</v>
      </c>
      <c r="Z7">
        <f>Calculations!AB66</f>
        <v>2.8546141018376101</v>
      </c>
      <c r="AA7">
        <f>Calculations!AC66</f>
        <v>2.9013436412207558</v>
      </c>
      <c r="AB7">
        <f>Calculations!AD66</f>
        <v>2.9482600987614345</v>
      </c>
      <c r="AC7">
        <f>Calculations!AE66</f>
        <v>2.9951765563021131</v>
      </c>
      <c r="AD7">
        <f>Calculations!AF66</f>
        <v>3.0420930138427917</v>
      </c>
      <c r="AE7">
        <f>Calculations!AG66</f>
        <v>3.0891963895410024</v>
      </c>
      <c r="AF7">
        <f>Calculations!AH66</f>
        <v>3.1362997652392131</v>
      </c>
      <c r="AG7">
        <f>Calculations!AI66</f>
        <v>3.1834031409374246</v>
      </c>
    </row>
    <row r="8" spans="1:33" x14ac:dyDescent="0.25">
      <c r="A8" t="s">
        <v>10</v>
      </c>
      <c r="B8">
        <f>Calculations!D67</f>
        <v>0</v>
      </c>
      <c r="C8">
        <f>Calculations!E67</f>
        <v>3424.0051279041522</v>
      </c>
      <c r="D8" s="62">
        <f>Calculations!F67</f>
        <v>3976.219496802396</v>
      </c>
      <c r="E8" s="62">
        <f>Calculations!G67</f>
        <v>4848.8104662025416</v>
      </c>
      <c r="F8" s="62">
        <f>Calculations!H67+'Inflation Reduction Act'!B60</f>
        <v>5313.5067630535086</v>
      </c>
      <c r="G8" s="62">
        <f>Calculations!I67+'Inflation Reduction Act'!C60</f>
        <v>5853.8131368898239</v>
      </c>
      <c r="H8" s="62">
        <f>Calculations!J67+'Inflation Reduction Act'!D60</f>
        <v>6817.0311590930241</v>
      </c>
      <c r="I8">
        <f>Calculations!K67</f>
        <v>6935.1118742005992</v>
      </c>
      <c r="J8">
        <f>Calculations!L67</f>
        <v>7493.1752860843508</v>
      </c>
      <c r="K8">
        <f>Calculations!M67</f>
        <v>8067.8147870962512</v>
      </c>
      <c r="L8">
        <f>Calculations!N67</f>
        <v>8669.0819011576132</v>
      </c>
      <c r="M8">
        <f>Calculations!O67</f>
        <v>9292.6576973204883</v>
      </c>
      <c r="N8">
        <f>Calculations!P67</f>
        <v>9947.9813556221161</v>
      </c>
      <c r="O8">
        <f>Calculations!Q67</f>
        <v>10649.504079575812</v>
      </c>
      <c r="P8">
        <f>Calculations!R67</f>
        <v>11361.396649073098</v>
      </c>
      <c r="Q8">
        <f>Calculations!S67</f>
        <v>12093.234881324375</v>
      </c>
      <c r="R8">
        <f>Calculations!T67</f>
        <v>12731.688802072371</v>
      </c>
      <c r="S8">
        <f>Calculations!U67</f>
        <v>13404.582580263901</v>
      </c>
      <c r="T8">
        <f>Calculations!V67</f>
        <v>14106.441196146683</v>
      </c>
      <c r="U8">
        <f>Calculations!W67</f>
        <v>14861.590739496478</v>
      </c>
      <c r="V8">
        <f>Calculations!X67</f>
        <v>15672.359836719825</v>
      </c>
      <c r="W8">
        <f>Calculations!Y67</f>
        <v>16539.026808953291</v>
      </c>
      <c r="X8">
        <f>Calculations!Z67</f>
        <v>17459.382657411155</v>
      </c>
      <c r="Y8">
        <f>Calculations!AA67</f>
        <v>18433.411494050029</v>
      </c>
      <c r="Z8">
        <f>Calculations!AB67</f>
        <v>19468.06686124828</v>
      </c>
      <c r="AA8">
        <f>Calculations!AC67</f>
        <v>20543.77898866672</v>
      </c>
      <c r="AB8">
        <f>Calculations!AD67</f>
        <v>21678.05257484012</v>
      </c>
      <c r="AC8">
        <f>Calculations!AE67</f>
        <v>22855.025744920262</v>
      </c>
      <c r="AD8">
        <f>Calculations!AF67</f>
        <v>24074.400364445883</v>
      </c>
      <c r="AE8">
        <f>Calculations!AG67</f>
        <v>25358.239131223185</v>
      </c>
      <c r="AF8">
        <f>Calculations!AH67</f>
        <v>26672.165179227723</v>
      </c>
      <c r="AG8">
        <f>Calculations!AI67</f>
        <v>28032.783756820201</v>
      </c>
    </row>
    <row r="9" spans="1:33" x14ac:dyDescent="0.25">
      <c r="A9" t="s">
        <v>11</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c r="AC9">
        <f>Calculations!AE68</f>
        <v>0</v>
      </c>
      <c r="AD9">
        <f>Calculations!AF68</f>
        <v>0</v>
      </c>
      <c r="AE9">
        <f>Calculations!AG68</f>
        <v>0</v>
      </c>
      <c r="AF9">
        <f>Calculations!AH68</f>
        <v>0</v>
      </c>
      <c r="AG9">
        <f>Calculations!AI68</f>
        <v>0</v>
      </c>
    </row>
    <row r="10" spans="1:33" x14ac:dyDescent="0.25">
      <c r="A10" t="s">
        <v>12</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c r="AC10">
        <f>Calculations!AE69</f>
        <v>0</v>
      </c>
      <c r="AD10">
        <f>Calculations!AF69</f>
        <v>0</v>
      </c>
      <c r="AE10">
        <f>Calculations!AG69</f>
        <v>0</v>
      </c>
      <c r="AF10">
        <f>Calculations!AH69</f>
        <v>0</v>
      </c>
      <c r="AG10">
        <f>Calculations!AI69</f>
        <v>0</v>
      </c>
    </row>
    <row r="11" spans="1:33" x14ac:dyDescent="0.25">
      <c r="A11" t="s">
        <v>13</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c r="AC11">
        <f>Calculations!AE70</f>
        <v>0</v>
      </c>
      <c r="AD11">
        <f>Calculations!AF70</f>
        <v>0</v>
      </c>
      <c r="AE11">
        <f>Calculations!AG70</f>
        <v>0</v>
      </c>
      <c r="AF11">
        <f>Calculations!AH70</f>
        <v>0</v>
      </c>
      <c r="AG11">
        <f>Calculations!AI70</f>
        <v>0</v>
      </c>
    </row>
    <row r="12" spans="1:33" x14ac:dyDescent="0.25">
      <c r="A12" t="s">
        <v>14</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c r="AC12">
        <f>Calculations!AE71</f>
        <v>0</v>
      </c>
      <c r="AD12">
        <f>Calculations!AF71</f>
        <v>0</v>
      </c>
      <c r="AE12">
        <f>Calculations!AG71</f>
        <v>0</v>
      </c>
      <c r="AF12">
        <f>Calculations!AH71</f>
        <v>0</v>
      </c>
      <c r="AG12">
        <f>Calculations!AI71</f>
        <v>0</v>
      </c>
    </row>
    <row r="13" spans="1:33" x14ac:dyDescent="0.25">
      <c r="A13" t="s">
        <v>15</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c r="AC13">
        <f>Calculations!AE72</f>
        <v>0</v>
      </c>
      <c r="AD13">
        <f>Calculations!AF72</f>
        <v>0</v>
      </c>
      <c r="AE13">
        <f>Calculations!AG72</f>
        <v>0</v>
      </c>
      <c r="AF13">
        <f>Calculations!AH72</f>
        <v>0</v>
      </c>
      <c r="AG13">
        <f>Calculations!AI72</f>
        <v>0</v>
      </c>
    </row>
    <row r="14" spans="1:33" x14ac:dyDescent="0.25">
      <c r="A14" t="s">
        <v>57</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c r="AC14">
        <f>Calculations!AE73</f>
        <v>0</v>
      </c>
      <c r="AD14">
        <f>Calculations!AF73</f>
        <v>0</v>
      </c>
      <c r="AE14">
        <f>Calculations!AG73</f>
        <v>0</v>
      </c>
      <c r="AF14">
        <f>Calculations!AH73</f>
        <v>0</v>
      </c>
      <c r="AG14">
        <f>Calculations!AI73</f>
        <v>0</v>
      </c>
    </row>
    <row r="15" spans="1:33" x14ac:dyDescent="0.25">
      <c r="A15" t="s">
        <v>60</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c r="AC15">
        <f>Calculations!AE74</f>
        <v>0</v>
      </c>
      <c r="AD15">
        <f>Calculations!AF74</f>
        <v>0</v>
      </c>
      <c r="AE15">
        <f>Calculations!AG74</f>
        <v>0</v>
      </c>
      <c r="AF15">
        <f>Calculations!AH74</f>
        <v>0</v>
      </c>
      <c r="AG15">
        <f>Calculations!AI74</f>
        <v>0</v>
      </c>
    </row>
    <row r="16" spans="1:33" x14ac:dyDescent="0.25">
      <c r="A16" t="s">
        <v>158</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c r="AC16">
        <f>Calculations!AE75</f>
        <v>0</v>
      </c>
      <c r="AD16">
        <f>Calculations!AF75</f>
        <v>0</v>
      </c>
      <c r="AE16">
        <f>Calculations!AG75</f>
        <v>0</v>
      </c>
      <c r="AF16">
        <f>Calculations!AH75</f>
        <v>0</v>
      </c>
      <c r="AG16">
        <f>Calculations!AI75</f>
        <v>0</v>
      </c>
    </row>
    <row r="17" spans="1:33" x14ac:dyDescent="0.25">
      <c r="A17" t="s">
        <v>159</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c r="AC17">
        <f>Calculations!AE76</f>
        <v>0</v>
      </c>
      <c r="AD17">
        <f>Calculations!AF76</f>
        <v>0</v>
      </c>
      <c r="AE17">
        <f>Calculations!AG76</f>
        <v>0</v>
      </c>
      <c r="AF17">
        <f>Calculations!AH76</f>
        <v>0</v>
      </c>
      <c r="AG17">
        <f>Calculations!AI76</f>
        <v>0</v>
      </c>
    </row>
    <row r="18" spans="1:33" x14ac:dyDescent="0.25">
      <c r="A18" t="s">
        <v>160</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c r="AC18">
        <f>Calculations!AE77</f>
        <v>0</v>
      </c>
      <c r="AD18">
        <f>Calculations!AF77</f>
        <v>0</v>
      </c>
      <c r="AE18">
        <f>Calculations!AG77</f>
        <v>0</v>
      </c>
      <c r="AF18">
        <f>Calculations!AH77</f>
        <v>0</v>
      </c>
      <c r="AG18">
        <f>Calculations!AI77</f>
        <v>0</v>
      </c>
    </row>
    <row r="19" spans="1:33" x14ac:dyDescent="0.25">
      <c r="A19" s="53" t="s">
        <v>924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row>
    <row r="20" spans="1:33" x14ac:dyDescent="0.25">
      <c r="A20" s="53" t="s">
        <v>925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row>
    <row r="21" spans="1:33" x14ac:dyDescent="0.25">
      <c r="A21" s="53" t="s">
        <v>926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row>
    <row r="22" spans="1:33" x14ac:dyDescent="0.25">
      <c r="A22" s="53" t="s">
        <v>927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row>
    <row r="23" spans="1:33" x14ac:dyDescent="0.25">
      <c r="A23" s="53" t="s">
        <v>928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row>
    <row r="24" spans="1:33" x14ac:dyDescent="0.25">
      <c r="A24" s="54" t="s">
        <v>929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row>
    <row r="25" spans="1:33" x14ac:dyDescent="0.25">
      <c r="A25" s="54" t="s">
        <v>930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T8" sqref="T8"/>
    </sheetView>
  </sheetViews>
  <sheetFormatPr defaultColWidth="8.7109375" defaultRowHeight="15" x14ac:dyDescent="0.25"/>
  <cols>
    <col min="1" max="1" width="23.42578125" customWidth="1"/>
    <col min="2" max="33" width="9.5703125" bestFit="1" customWidth="1"/>
  </cols>
  <sheetData>
    <row r="1" spans="1:33" x14ac:dyDescent="0.25">
      <c r="A1" t="s">
        <v>161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x14ac:dyDescent="0.25">
      <c r="A2" t="s">
        <v>58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c r="AC2">
        <f>Calculations!AE83</f>
        <v>0</v>
      </c>
      <c r="AD2">
        <f>Calculations!AF83</f>
        <v>0</v>
      </c>
      <c r="AE2">
        <f>Calculations!AG83</f>
        <v>0</v>
      </c>
      <c r="AF2">
        <f>Calculations!AH83</f>
        <v>0</v>
      </c>
      <c r="AG2">
        <f>Calculations!AI83</f>
        <v>0</v>
      </c>
    </row>
    <row r="3" spans="1:33" x14ac:dyDescent="0.25">
      <c r="A3" t="s">
        <v>922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3" x14ac:dyDescent="0.25">
      <c r="A4" t="s">
        <v>923</v>
      </c>
      <c r="B4">
        <f>Calculations!D84</f>
        <v>0</v>
      </c>
      <c r="C4">
        <f>Calculations!E84</f>
        <v>1377.152</v>
      </c>
      <c r="D4">
        <f>Calculations!F84</f>
        <v>1385.0491999999995</v>
      </c>
      <c r="E4">
        <f>Calculations!G84</f>
        <v>1392.9464000000007</v>
      </c>
      <c r="F4">
        <f>Calculations!H84</f>
        <v>1400.8436000000002</v>
      </c>
      <c r="G4">
        <f>Calculations!I84</f>
        <v>1408.7407999999996</v>
      </c>
      <c r="H4">
        <f>Calculations!J84</f>
        <v>1416.6380000000001</v>
      </c>
      <c r="I4">
        <f>Calculations!K84</f>
        <v>1432.388600000002</v>
      </c>
      <c r="J4">
        <f>Calculations!L84</f>
        <v>1448.1392000000014</v>
      </c>
      <c r="K4">
        <f>Calculations!M84</f>
        <v>1463.8898000000008</v>
      </c>
      <c r="L4">
        <f>Calculations!N84</f>
        <v>1479.6404000000002</v>
      </c>
      <c r="M4">
        <f>Calculations!O84</f>
        <v>1495.3909999999998</v>
      </c>
      <c r="N4">
        <f>Calculations!P84</f>
        <v>1510.5756000000001</v>
      </c>
      <c r="O4">
        <f>Calculations!Q84</f>
        <v>1525.7602000000006</v>
      </c>
      <c r="P4">
        <f>Calculations!R84</f>
        <v>1540.9448000000011</v>
      </c>
      <c r="Q4">
        <f>Calculations!S84</f>
        <v>1556.1294000000016</v>
      </c>
      <c r="R4">
        <f>Calculations!T84</f>
        <v>1571.3140000000001</v>
      </c>
      <c r="S4">
        <f>Calculations!U84</f>
        <v>1585.6786000000029</v>
      </c>
      <c r="T4">
        <f>Calculations!V84</f>
        <v>1600.0432000000001</v>
      </c>
      <c r="U4">
        <f>Calculations!W84</f>
        <v>1614.4078000000009</v>
      </c>
      <c r="V4">
        <f>Calculations!X84</f>
        <v>1628.7724000000017</v>
      </c>
      <c r="W4">
        <f>Calculations!Y84</f>
        <v>1643.1370000000002</v>
      </c>
      <c r="X4">
        <f>Calculations!Z84</f>
        <v>1658.2861999999986</v>
      </c>
      <c r="Y4">
        <f>Calculations!AA84</f>
        <v>1673.4353999999985</v>
      </c>
      <c r="Z4">
        <f>Calculations!AB84</f>
        <v>1688.5845999999983</v>
      </c>
      <c r="AA4">
        <f>Calculations!AC84</f>
        <v>1703.7337999999982</v>
      </c>
      <c r="AB4">
        <f>Calculations!AD84</f>
        <v>1718.883</v>
      </c>
      <c r="AC4">
        <f>Calculations!AE84</f>
        <v>1731.7387999999992</v>
      </c>
      <c r="AD4">
        <f>Calculations!AF84</f>
        <v>1744.5945999999967</v>
      </c>
      <c r="AE4">
        <f>Calculations!AG84</f>
        <v>1757.4503999999979</v>
      </c>
      <c r="AF4">
        <f>Calculations!AH84</f>
        <v>1770.3061999999991</v>
      </c>
      <c r="AG4">
        <f>Calculations!AI84</f>
        <v>1783.1619999999998</v>
      </c>
    </row>
    <row r="5" spans="1:33" x14ac:dyDescent="0.25">
      <c r="A5" t="s">
        <v>8</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c r="AC5">
        <f>Calculations!AE85</f>
        <v>0</v>
      </c>
      <c r="AD5">
        <f>Calculations!AF85</f>
        <v>0</v>
      </c>
      <c r="AE5">
        <f>Calculations!AG85</f>
        <v>0</v>
      </c>
      <c r="AF5">
        <f>Calculations!AH85</f>
        <v>0</v>
      </c>
      <c r="AG5">
        <f>Calculations!AI85</f>
        <v>0</v>
      </c>
    </row>
    <row r="6" spans="1:33" x14ac:dyDescent="0.25">
      <c r="A6" t="s">
        <v>9</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c r="AC6">
        <f>Calculations!AE86</f>
        <v>0</v>
      </c>
      <c r="AD6">
        <f>Calculations!AF86</f>
        <v>0</v>
      </c>
      <c r="AE6">
        <f>Calculations!AG86</f>
        <v>0</v>
      </c>
      <c r="AF6">
        <f>Calculations!AH86</f>
        <v>0</v>
      </c>
      <c r="AG6">
        <f>Calculations!AI86</f>
        <v>0</v>
      </c>
    </row>
    <row r="7" spans="1:33" x14ac:dyDescent="0.25">
      <c r="A7" t="s">
        <v>59</v>
      </c>
      <c r="B7">
        <f>Calculations!D87</f>
        <v>0</v>
      </c>
      <c r="C7">
        <f>Calculations!E87</f>
        <v>554.88099999999997</v>
      </c>
      <c r="D7">
        <f>Calculations!F87</f>
        <v>555.80780000000004</v>
      </c>
      <c r="E7">
        <f>Calculations!G87</f>
        <v>556.7346</v>
      </c>
      <c r="F7">
        <f>Calculations!H87</f>
        <v>557.66139999999996</v>
      </c>
      <c r="G7">
        <f>Calculations!I87</f>
        <v>558.58819999999992</v>
      </c>
      <c r="H7">
        <f>Calculations!J87</f>
        <v>559.51499999999999</v>
      </c>
      <c r="I7">
        <f>Calculations!K87</f>
        <v>560.21679999999981</v>
      </c>
      <c r="J7">
        <f>Calculations!L87</f>
        <v>560.91859999999986</v>
      </c>
      <c r="K7">
        <f>Calculations!M87</f>
        <v>561.6203999999999</v>
      </c>
      <c r="L7">
        <f>Calculations!N87</f>
        <v>562.32219999999995</v>
      </c>
      <c r="M7">
        <f>Calculations!O87</f>
        <v>563.024</v>
      </c>
      <c r="N7">
        <f>Calculations!P87</f>
        <v>563.88020000000006</v>
      </c>
      <c r="O7">
        <f>Calculations!Q87</f>
        <v>564.7364</v>
      </c>
      <c r="P7">
        <f>Calculations!R87</f>
        <v>565.59259999999995</v>
      </c>
      <c r="Q7">
        <f>Calculations!S87</f>
        <v>566.44879999999989</v>
      </c>
      <c r="R7">
        <f>Calculations!T87</f>
        <v>567.30499999999995</v>
      </c>
      <c r="S7">
        <f>Calculations!U87</f>
        <v>567.67619999999988</v>
      </c>
      <c r="T7">
        <f>Calculations!V87</f>
        <v>568.04739999999993</v>
      </c>
      <c r="U7">
        <f>Calculations!W87</f>
        <v>568.41859999999997</v>
      </c>
      <c r="V7">
        <f>Calculations!X87</f>
        <v>568.78980000000001</v>
      </c>
      <c r="W7">
        <f>Calculations!Y87</f>
        <v>569.16100000000006</v>
      </c>
      <c r="X7">
        <f>Calculations!Z87</f>
        <v>569.76780000000008</v>
      </c>
      <c r="Y7">
        <f>Calculations!AA87</f>
        <v>570.3746000000001</v>
      </c>
      <c r="Z7">
        <f>Calculations!AB87</f>
        <v>570.98140000000012</v>
      </c>
      <c r="AA7">
        <f>Calculations!AC87</f>
        <v>571.58819999999992</v>
      </c>
      <c r="AB7">
        <f>Calculations!AD87</f>
        <v>572.19500000000005</v>
      </c>
      <c r="AC7">
        <f>Calculations!AE87</f>
        <v>572.2274000000001</v>
      </c>
      <c r="AD7">
        <f>Calculations!AF87</f>
        <v>572.25980000000004</v>
      </c>
      <c r="AE7">
        <f>Calculations!AG87</f>
        <v>572.29220000000009</v>
      </c>
      <c r="AF7">
        <f>Calculations!AH87</f>
        <v>572.32460000000003</v>
      </c>
      <c r="AG7">
        <f>Calculations!AI87</f>
        <v>572.35699999999997</v>
      </c>
    </row>
    <row r="8" spans="1:33" x14ac:dyDescent="0.25">
      <c r="A8" t="s">
        <v>10</v>
      </c>
      <c r="B8">
        <f>Calculations!D88</f>
        <v>0</v>
      </c>
      <c r="C8">
        <f>Calculations!E88</f>
        <v>15855.377</v>
      </c>
      <c r="D8">
        <f>Calculations!F88</f>
        <v>19319.994199999608</v>
      </c>
      <c r="E8">
        <f>Calculations!G88</f>
        <v>22491.291000000001</v>
      </c>
      <c r="F8">
        <f>Calculations!H88</f>
        <v>26815.535</v>
      </c>
      <c r="G8">
        <f>Calculations!I88</f>
        <v>30254.023000000001</v>
      </c>
      <c r="H8">
        <f>Calculations!J88</f>
        <v>33178.463000000003</v>
      </c>
      <c r="I8">
        <f>Calculations!K88</f>
        <v>34785.682999999997</v>
      </c>
      <c r="J8">
        <f>Calculations!L88</f>
        <v>36654.330999999998</v>
      </c>
      <c r="K8">
        <f>Calculations!M88</f>
        <v>38291.962</v>
      </c>
      <c r="L8">
        <f>Calculations!N88</f>
        <v>40837.508999999998</v>
      </c>
      <c r="M8">
        <f>Calculations!O88</f>
        <v>42625.346999999994</v>
      </c>
      <c r="N8">
        <f>Calculations!P88</f>
        <v>44444</v>
      </c>
      <c r="O8">
        <f>Calculations!Q88</f>
        <v>46077.877</v>
      </c>
      <c r="P8">
        <f>Calculations!R88</f>
        <v>48438.850000000006</v>
      </c>
      <c r="Q8">
        <f>Calculations!S88</f>
        <v>51029.842000000004</v>
      </c>
      <c r="R8">
        <f>Calculations!T88</f>
        <v>52509.289000000004</v>
      </c>
      <c r="S8">
        <f>Calculations!U88</f>
        <v>55255.535000000003</v>
      </c>
      <c r="T8">
        <f>Calculations!V88</f>
        <v>56865.172999999995</v>
      </c>
      <c r="U8">
        <f>Calculations!W88</f>
        <v>59174.522000000004</v>
      </c>
      <c r="V8">
        <f>Calculations!X88</f>
        <v>61338.108</v>
      </c>
      <c r="W8">
        <f>Calculations!Y88</f>
        <v>63244.408000000003</v>
      </c>
      <c r="X8">
        <f>Calculations!Z88</f>
        <v>64905.724000000009</v>
      </c>
      <c r="Y8">
        <f>Calculations!AA88</f>
        <v>66276.016000000003</v>
      </c>
      <c r="Z8">
        <f>Calculations!AB88</f>
        <v>67472.403999999995</v>
      </c>
      <c r="AA8">
        <f>Calculations!AC88</f>
        <v>68558.64</v>
      </c>
      <c r="AB8">
        <f>Calculations!AD88</f>
        <v>69653.053</v>
      </c>
      <c r="AC8">
        <f>Calculations!AE88</f>
        <v>71534.721000000005</v>
      </c>
      <c r="AD8">
        <f>Calculations!AF88</f>
        <v>72148.804000000004</v>
      </c>
      <c r="AE8">
        <f>Calculations!AG88</f>
        <v>73245.368999999992</v>
      </c>
      <c r="AF8">
        <f>Calculations!AH88</f>
        <v>73763.748000000007</v>
      </c>
      <c r="AG8">
        <f>Calculations!AI88</f>
        <v>74117.523000000001</v>
      </c>
    </row>
    <row r="9" spans="1:33" x14ac:dyDescent="0.25">
      <c r="A9" t="s">
        <v>11</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c r="AC9">
        <f>Calculations!AE89</f>
        <v>0</v>
      </c>
      <c r="AD9">
        <f>Calculations!AF89</f>
        <v>0</v>
      </c>
      <c r="AE9">
        <f>Calculations!AG89</f>
        <v>0</v>
      </c>
      <c r="AF9">
        <f>Calculations!AH89</f>
        <v>0</v>
      </c>
      <c r="AG9">
        <f>Calculations!AI89</f>
        <v>0</v>
      </c>
    </row>
    <row r="10" spans="1:33" x14ac:dyDescent="0.25">
      <c r="A10" t="s">
        <v>12</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c r="AC10">
        <f>Calculations!AE90</f>
        <v>0</v>
      </c>
      <c r="AD10">
        <f>Calculations!AF90</f>
        <v>0</v>
      </c>
      <c r="AE10">
        <f>Calculations!AG90</f>
        <v>0</v>
      </c>
      <c r="AF10">
        <f>Calculations!AH90</f>
        <v>0</v>
      </c>
      <c r="AG10">
        <f>Calculations!AI90</f>
        <v>0</v>
      </c>
    </row>
    <row r="11" spans="1:33" x14ac:dyDescent="0.25">
      <c r="A11" t="s">
        <v>13</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c r="AC11">
        <f>Calculations!AE91</f>
        <v>0</v>
      </c>
      <c r="AD11">
        <f>Calculations!AF91</f>
        <v>0</v>
      </c>
      <c r="AE11">
        <f>Calculations!AG91</f>
        <v>0</v>
      </c>
      <c r="AF11">
        <f>Calculations!AH91</f>
        <v>0</v>
      </c>
      <c r="AG11">
        <f>Calculations!AI91</f>
        <v>0</v>
      </c>
    </row>
    <row r="12" spans="1:33" x14ac:dyDescent="0.25">
      <c r="A12" t="s">
        <v>14</v>
      </c>
      <c r="B12">
        <f>Calculations!D92</f>
        <v>0</v>
      </c>
      <c r="C12">
        <f>Calculations!E92</f>
        <v>17.117000000000001</v>
      </c>
      <c r="D12">
        <f>Calculations!F92</f>
        <v>16.104200000000219</v>
      </c>
      <c r="E12">
        <f>Calculations!G92</f>
        <v>15.091400000000021</v>
      </c>
      <c r="F12">
        <f>Calculations!H92</f>
        <v>14.078600000000279</v>
      </c>
      <c r="G12">
        <f>Calculations!I92</f>
        <v>13.065800000000309</v>
      </c>
      <c r="H12">
        <f>Calculations!J92</f>
        <v>12.052999999999999</v>
      </c>
      <c r="I12">
        <f>Calculations!K92</f>
        <v>12.052999999999999</v>
      </c>
      <c r="J12">
        <f>Calculations!L92</f>
        <v>12.052999999999999</v>
      </c>
      <c r="K12">
        <f>Calculations!M92</f>
        <v>12.052999999999999</v>
      </c>
      <c r="L12">
        <f>Calculations!N92</f>
        <v>12.052999999999999</v>
      </c>
      <c r="M12">
        <f>Calculations!O92</f>
        <v>12.052999999999999</v>
      </c>
      <c r="N12">
        <f>Calculations!P92</f>
        <v>12.052999999999999</v>
      </c>
      <c r="O12">
        <f>Calculations!Q92</f>
        <v>12.052999999999999</v>
      </c>
      <c r="P12">
        <f>Calculations!R92</f>
        <v>12.052999999999999</v>
      </c>
      <c r="Q12">
        <f>Calculations!S92</f>
        <v>12.052999999999999</v>
      </c>
      <c r="R12">
        <f>Calculations!T92</f>
        <v>12.052999999999999</v>
      </c>
      <c r="S12">
        <f>Calculations!U92</f>
        <v>12.052999999999999</v>
      </c>
      <c r="T12">
        <f>Calculations!V92</f>
        <v>12.052999999999999</v>
      </c>
      <c r="U12">
        <f>Calculations!W92</f>
        <v>12.052999999999999</v>
      </c>
      <c r="V12">
        <f>Calculations!X92</f>
        <v>12.052999999999999</v>
      </c>
      <c r="W12">
        <f>Calculations!Y92</f>
        <v>12.052999999999999</v>
      </c>
      <c r="X12">
        <f>Calculations!Z92</f>
        <v>12.052999999999999</v>
      </c>
      <c r="Y12">
        <f>Calculations!AA92</f>
        <v>12.052999999999999</v>
      </c>
      <c r="Z12">
        <f>Calculations!AB92</f>
        <v>12.052999999999999</v>
      </c>
      <c r="AA12">
        <f>Calculations!AC92</f>
        <v>12.052999999999999</v>
      </c>
      <c r="AB12">
        <f>Calculations!AD92</f>
        <v>12.052999999999999</v>
      </c>
      <c r="AC12">
        <f>Calculations!AE92</f>
        <v>12.052999999999999</v>
      </c>
      <c r="AD12">
        <f>Calculations!AF92</f>
        <v>12.052999999999999</v>
      </c>
      <c r="AE12">
        <f>Calculations!AG92</f>
        <v>12.052999999999999</v>
      </c>
      <c r="AF12">
        <f>Calculations!AH92</f>
        <v>12.052999999999999</v>
      </c>
      <c r="AG12">
        <f>Calculations!AI92</f>
        <v>12.052999999999999</v>
      </c>
    </row>
    <row r="13" spans="1:33" x14ac:dyDescent="0.25">
      <c r="A13" t="s">
        <v>15</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c r="AC13">
        <f>Calculations!AE93</f>
        <v>0</v>
      </c>
      <c r="AD13">
        <f>Calculations!AF93</f>
        <v>0</v>
      </c>
      <c r="AE13">
        <f>Calculations!AG93</f>
        <v>0</v>
      </c>
      <c r="AF13">
        <f>Calculations!AH93</f>
        <v>0</v>
      </c>
      <c r="AG13">
        <f>Calculations!AI93</f>
        <v>0</v>
      </c>
    </row>
    <row r="14" spans="1:33" x14ac:dyDescent="0.25">
      <c r="A14" t="s">
        <v>57</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c r="AC14">
        <f>Calculations!AE94</f>
        <v>0</v>
      </c>
      <c r="AD14">
        <f>Calculations!AF94</f>
        <v>0</v>
      </c>
      <c r="AE14">
        <f>Calculations!AG94</f>
        <v>0</v>
      </c>
      <c r="AF14">
        <f>Calculations!AH94</f>
        <v>0</v>
      </c>
      <c r="AG14">
        <f>Calculations!AI94</f>
        <v>0</v>
      </c>
    </row>
    <row r="15" spans="1:33" x14ac:dyDescent="0.25">
      <c r="A15" t="s">
        <v>60</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c r="AC15">
        <f>Calculations!AE95</f>
        <v>0</v>
      </c>
      <c r="AD15">
        <f>Calculations!AF95</f>
        <v>0</v>
      </c>
      <c r="AE15">
        <f>Calculations!AG95</f>
        <v>0</v>
      </c>
      <c r="AF15">
        <f>Calculations!AH95</f>
        <v>0</v>
      </c>
      <c r="AG15">
        <f>Calculations!AI95</f>
        <v>0</v>
      </c>
    </row>
    <row r="16" spans="1:33" x14ac:dyDescent="0.25">
      <c r="A16" t="s">
        <v>158</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c r="AC16">
        <f>Calculations!AE96</f>
        <v>0</v>
      </c>
      <c r="AD16">
        <f>Calculations!AF96</f>
        <v>0</v>
      </c>
      <c r="AE16">
        <f>Calculations!AG96</f>
        <v>0</v>
      </c>
      <c r="AF16">
        <f>Calculations!AH96</f>
        <v>0</v>
      </c>
      <c r="AG16">
        <f>Calculations!AI96</f>
        <v>0</v>
      </c>
    </row>
    <row r="17" spans="1:33" x14ac:dyDescent="0.25">
      <c r="A17" t="s">
        <v>159</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c r="AC17">
        <f>Calculations!AE97</f>
        <v>0</v>
      </c>
      <c r="AD17">
        <f>Calculations!AF97</f>
        <v>0</v>
      </c>
      <c r="AE17">
        <f>Calculations!AG97</f>
        <v>0</v>
      </c>
      <c r="AF17">
        <f>Calculations!AH97</f>
        <v>0</v>
      </c>
      <c r="AG17">
        <f>Calculations!AI97</f>
        <v>0</v>
      </c>
    </row>
    <row r="18" spans="1:33" x14ac:dyDescent="0.25">
      <c r="A18" t="s">
        <v>160</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c r="AC18">
        <f>Calculations!AE98</f>
        <v>0</v>
      </c>
      <c r="AD18">
        <f>Calculations!AF98</f>
        <v>0</v>
      </c>
      <c r="AE18">
        <f>Calculations!AG98</f>
        <v>0</v>
      </c>
      <c r="AF18">
        <f>Calculations!AH98</f>
        <v>0</v>
      </c>
      <c r="AG18">
        <f>Calculations!AI98</f>
        <v>0</v>
      </c>
    </row>
    <row r="19" spans="1:33" x14ac:dyDescent="0.25">
      <c r="A19" s="53" t="s">
        <v>924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row>
    <row r="20" spans="1:33" x14ac:dyDescent="0.25">
      <c r="A20" s="53" t="s">
        <v>925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row>
    <row r="21" spans="1:33" x14ac:dyDescent="0.25">
      <c r="A21" s="53" t="s">
        <v>926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row>
    <row r="22" spans="1:33" x14ac:dyDescent="0.25">
      <c r="A22" s="53" t="s">
        <v>927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row>
    <row r="23" spans="1:33" x14ac:dyDescent="0.25">
      <c r="A23" s="53" t="s">
        <v>928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row>
    <row r="24" spans="1:33" x14ac:dyDescent="0.25">
      <c r="A24" s="54" t="s">
        <v>929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row>
    <row r="25" spans="1:33" x14ac:dyDescent="0.25">
      <c r="A25" s="54" t="s">
        <v>930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vt:i4>
      </vt:variant>
    </vt:vector>
  </HeadingPairs>
  <TitlesOfParts>
    <vt:vector size="17" baseType="lpstr">
      <vt:lpstr>About</vt:lpstr>
      <vt:lpstr>AEO21_Table_21._Residential_Sec</vt:lpstr>
      <vt:lpstr>AEO22_Table_21._Residential_Sec</vt:lpstr>
      <vt:lpstr>AEO23_Table_21._Residential</vt:lpstr>
      <vt:lpstr>AEO21_Table_22._Comm_Sector_Ene</vt:lpstr>
      <vt:lpstr>AEO23_table_22._Comm</vt:lpstr>
      <vt:lpstr>AEO22_Table_22._Comm_Sector_Ene</vt:lpstr>
      <vt:lpstr>Calculations</vt:lpstr>
      <vt:lpstr>RECS HC2.1</vt:lpstr>
      <vt:lpstr>Inflation Reduction Act</vt:lpstr>
      <vt:lpstr>BDESC-urban-residential</vt:lpstr>
      <vt:lpstr>BDESC-rural-residential</vt:lpstr>
      <vt:lpstr>BDESC-commercial</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2025-09-02T20:09:55Z</dcterms:modified>
</cp:coreProperties>
</file>