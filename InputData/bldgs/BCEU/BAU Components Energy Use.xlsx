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MeganMahajan\Documents\eps-us\InputData\bldgs\BCEU\"/>
    </mc:Choice>
  </mc:AlternateContent>
  <xr:revisionPtr revIDLastSave="0" documentId="13_ncr:1_{EEF0AF39-15D8-4EB2-9B56-B16CF8293413}" xr6:coauthVersionLast="47" xr6:coauthVersionMax="47" xr10:uidLastSave="{00000000-0000-0000-0000-000000000000}"/>
  <bookViews>
    <workbookView xWindow="-22215" yWindow="3075" windowWidth="21600" windowHeight="12645" firstSheet="7" activeTab="8" xr2:uid="{00000000-000D-0000-FFFF-FFFF00000000}"/>
  </bookViews>
  <sheets>
    <sheet name="About" sheetId="1" r:id="rId1"/>
    <sheet name="Source Data&gt;" sheetId="2" r:id="rId2"/>
    <sheet name="RECS HC2.1" sheetId="3" r:id="rId3"/>
    <sheet name="Table_4._Residential_Sector_Key" sheetId="4" r:id="rId4"/>
    <sheet name="AEO 2025 Table 5" sheetId="5" r:id="rId5"/>
    <sheet name="AEO 2023 Table 5" sheetId="6" r:id="rId6"/>
    <sheet name="EPRI" sheetId="8" r:id="rId7"/>
    <sheet name="Water and Waste" sheetId="9" r:id="rId8"/>
    <sheet name="Data Centers" sheetId="32" r:id="rId9"/>
    <sheet name="Calcs&gt;" sheetId="10" r:id="rId10"/>
    <sheet name="Crosswalk AEO to EPS Summary" sheetId="11" r:id="rId11"/>
    <sheet name="Calculations" sheetId="12" r:id="rId12"/>
    <sheet name="BCEU-urban-residential-heating" sheetId="13" r:id="rId13"/>
    <sheet name="BCEU-urban-residential-cooling" sheetId="14" r:id="rId14"/>
    <sheet name="BCEU-urban-residential-lighting" sheetId="15" r:id="rId15"/>
    <sheet name="BCEU-urban-residential-appl" sheetId="16" r:id="rId16"/>
    <sheet name="BCEU-urban-residential-other" sheetId="17" r:id="rId17"/>
    <sheet name="BCEU-rural-residential-heating" sheetId="18" r:id="rId18"/>
    <sheet name="BCEU-rural-residential-cooling" sheetId="19" r:id="rId19"/>
    <sheet name="BCEU-rural-residential-lighting" sheetId="20" r:id="rId20"/>
    <sheet name="BCEU-rural-residential-appl" sheetId="21" r:id="rId21"/>
    <sheet name="BCEU-rural-residential-other" sheetId="22" r:id="rId22"/>
    <sheet name="BCEU-commercial-heating" sheetId="23" r:id="rId23"/>
    <sheet name="BCEU-commercial-cooling" sheetId="24" r:id="rId24"/>
    <sheet name="BCEU-commercial-lighting" sheetId="25" r:id="rId25"/>
    <sheet name="BCEU-commercial-appl" sheetId="26" r:id="rId26"/>
    <sheet name="BCEU-commercial-other" sheetId="27" r:id="rId27"/>
    <sheet name="BCEU-all-envelope" sheetId="28" r:id="rId28"/>
    <sheet name="AEO 2026 Table 4" sheetId="29" r:id="rId29"/>
    <sheet name="AEO 2026 Table 5" sheetId="30" r:id="rId30"/>
  </sheets>
  <externalReferences>
    <externalReference r:id="rId31"/>
  </externalReferences>
  <definedNames>
    <definedName name="Fraction_coal" localSheetId="8">About!$C$53</definedName>
    <definedName name="Fraction_coal">About!$C$53</definedName>
    <definedName name="gal_per_barrel">#REF!</definedName>
    <definedName name="Percent_rural" localSheetId="8">About!$A$75</definedName>
    <definedName name="Percent_rural">About!$A$75</definedName>
    <definedName name="Percent_urban" localSheetId="8">About!$A$74</definedName>
    <definedName name="Percent_urban">About!$A$74</definedName>
    <definedName name="quadrillion" localSheetId="8">About!$B$77</definedName>
    <definedName name="quadrillion">About!$B$77</definedName>
    <definedName name="Table4">#REF!</definedName>
    <definedName name="Table4_1">#REF!</definedName>
    <definedName name="Table4_1_22">#REF!</definedName>
    <definedName name="Table4_22">#REF!</definedName>
    <definedName name="Table4_A">#REF!</definedName>
    <definedName name="Table4_A_22">#REF!</definedName>
    <definedName name="Table5">#REF!</definedName>
    <definedName name="Table5_1">#REF!</definedName>
    <definedName name="Table5_1_22">#REF!</definedName>
    <definedName name="Table5_22">#REF!</definedName>
    <definedName name="Table5_A">#REF!</definedName>
    <definedName name="Table5_A_2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4" i="32" l="1"/>
  <c r="E44" i="32"/>
  <c r="F44" i="32"/>
  <c r="G44" i="32"/>
  <c r="H44" i="32"/>
  <c r="I44" i="32"/>
  <c r="J44" i="32"/>
  <c r="K44" i="32"/>
  <c r="L44" i="32"/>
  <c r="M44" i="32"/>
  <c r="N44" i="32"/>
  <c r="O44" i="32"/>
  <c r="P44" i="32"/>
  <c r="Q44" i="32"/>
  <c r="R44" i="32"/>
  <c r="S44" i="32"/>
  <c r="T44" i="32"/>
  <c r="U44" i="32"/>
  <c r="V44" i="32"/>
  <c r="W44" i="32"/>
  <c r="X44" i="32"/>
  <c r="Y44" i="32"/>
  <c r="Z44" i="32"/>
  <c r="AA44" i="32"/>
  <c r="AB44" i="32"/>
  <c r="C44" i="32"/>
  <c r="D37" i="32" l="1"/>
  <c r="AH64" i="11"/>
  <c r="AG64" i="11"/>
  <c r="AF64" i="11"/>
  <c r="AE64" i="11"/>
  <c r="AD64" i="11"/>
  <c r="AC64" i="11"/>
  <c r="AB64" i="11"/>
  <c r="AA64" i="11"/>
  <c r="Z64" i="11"/>
  <c r="Y64" i="11"/>
  <c r="X64" i="11"/>
  <c r="W64" i="11"/>
  <c r="V64" i="11"/>
  <c r="U64" i="11"/>
  <c r="T64" i="11"/>
  <c r="S64" i="11"/>
  <c r="R64" i="11"/>
  <c r="Q64" i="11"/>
  <c r="P64" i="11"/>
  <c r="O64" i="11"/>
  <c r="N64" i="11"/>
  <c r="M64" i="11"/>
  <c r="L64" i="11"/>
  <c r="K64" i="11"/>
  <c r="J64" i="11"/>
  <c r="I64" i="11"/>
  <c r="AH63" i="11"/>
  <c r="AG63" i="11"/>
  <c r="AF63" i="11"/>
  <c r="AE63" i="11"/>
  <c r="AD63" i="11"/>
  <c r="AC63" i="11"/>
  <c r="AB63" i="11"/>
  <c r="AA63" i="11"/>
  <c r="Z63" i="11"/>
  <c r="Y63" i="11"/>
  <c r="X63" i="11"/>
  <c r="W63" i="11"/>
  <c r="V63" i="11"/>
  <c r="U63" i="11"/>
  <c r="T63" i="11"/>
  <c r="S63" i="11"/>
  <c r="R63" i="11"/>
  <c r="Q63" i="11"/>
  <c r="P63" i="11"/>
  <c r="O63" i="11"/>
  <c r="N63" i="11"/>
  <c r="M63" i="11"/>
  <c r="L63" i="11"/>
  <c r="K63" i="11"/>
  <c r="J63" i="11"/>
  <c r="I63" i="11"/>
  <c r="AH62" i="11"/>
  <c r="AG62" i="11"/>
  <c r="AF62" i="11"/>
  <c r="AE62" i="11"/>
  <c r="AD62" i="11"/>
  <c r="AC62" i="11"/>
  <c r="AB62" i="11"/>
  <c r="AA62" i="11"/>
  <c r="Z62" i="11"/>
  <c r="Y62" i="11"/>
  <c r="X62" i="11"/>
  <c r="W62" i="11"/>
  <c r="V62" i="11"/>
  <c r="U62" i="11"/>
  <c r="T62" i="11"/>
  <c r="S62" i="11"/>
  <c r="R62" i="11"/>
  <c r="Q62" i="11"/>
  <c r="P62" i="11"/>
  <c r="O62" i="11"/>
  <c r="N62" i="11"/>
  <c r="M62" i="11"/>
  <c r="L62" i="11"/>
  <c r="K62" i="11"/>
  <c r="J62" i="11"/>
  <c r="I62" i="11"/>
  <c r="AH61" i="11"/>
  <c r="AG61" i="11"/>
  <c r="AF61" i="11"/>
  <c r="AE61" i="11"/>
  <c r="AD61" i="11"/>
  <c r="AC61" i="11"/>
  <c r="AB61" i="11"/>
  <c r="AA61" i="11"/>
  <c r="Z61" i="11"/>
  <c r="Y61" i="11"/>
  <c r="X61" i="11"/>
  <c r="W61" i="11"/>
  <c r="V61" i="11"/>
  <c r="U61" i="11"/>
  <c r="T61" i="11"/>
  <c r="S61" i="11"/>
  <c r="R61" i="11"/>
  <c r="Q61" i="11"/>
  <c r="P61" i="11"/>
  <c r="O61" i="11"/>
  <c r="N61" i="11"/>
  <c r="M61" i="11"/>
  <c r="L61" i="11"/>
  <c r="K61" i="11"/>
  <c r="J61" i="11"/>
  <c r="I61" i="11"/>
  <c r="AH60" i="11"/>
  <c r="AG60" i="11"/>
  <c r="AF60" i="11"/>
  <c r="AE60" i="11"/>
  <c r="AD60" i="11"/>
  <c r="AC60" i="11"/>
  <c r="AB60" i="11"/>
  <c r="AA60" i="11"/>
  <c r="Z60" i="11"/>
  <c r="Y60" i="11"/>
  <c r="X60" i="11"/>
  <c r="W60" i="11"/>
  <c r="V60" i="11"/>
  <c r="U60" i="11"/>
  <c r="T60" i="11"/>
  <c r="S60" i="11"/>
  <c r="R60" i="11"/>
  <c r="Q60" i="11"/>
  <c r="P60" i="11"/>
  <c r="O60" i="11"/>
  <c r="N60" i="11"/>
  <c r="M60" i="11"/>
  <c r="L60" i="11"/>
  <c r="K60" i="11"/>
  <c r="J60" i="11"/>
  <c r="I60" i="11"/>
  <c r="AH59" i="11"/>
  <c r="AG59" i="11"/>
  <c r="AF59" i="11"/>
  <c r="AE59" i="11"/>
  <c r="AD59" i="11"/>
  <c r="AC59" i="11"/>
  <c r="AB59" i="11"/>
  <c r="AA59" i="11"/>
  <c r="Z59" i="11"/>
  <c r="Y59" i="11"/>
  <c r="X59" i="11"/>
  <c r="W59" i="11"/>
  <c r="V59" i="11"/>
  <c r="U59" i="11"/>
  <c r="T59" i="11"/>
  <c r="S59" i="11"/>
  <c r="R59" i="11"/>
  <c r="Q59" i="11"/>
  <c r="P59" i="11"/>
  <c r="O59" i="11"/>
  <c r="N59" i="11"/>
  <c r="M59" i="11"/>
  <c r="L59" i="11"/>
  <c r="K59" i="11"/>
  <c r="J59" i="11"/>
  <c r="I59" i="11"/>
  <c r="AH58" i="11"/>
  <c r="AG58" i="11"/>
  <c r="AF58" i="11"/>
  <c r="AE58" i="11"/>
  <c r="AD58" i="11"/>
  <c r="AC58" i="11"/>
  <c r="AB58" i="11"/>
  <c r="AA58" i="11"/>
  <c r="Z58" i="11"/>
  <c r="Y58" i="11"/>
  <c r="X58" i="11"/>
  <c r="W58" i="11"/>
  <c r="V58" i="11"/>
  <c r="U58" i="11"/>
  <c r="T58" i="11"/>
  <c r="S58" i="11"/>
  <c r="R58" i="11"/>
  <c r="Q58" i="11"/>
  <c r="P58" i="11"/>
  <c r="O58" i="11"/>
  <c r="N58" i="11"/>
  <c r="M58" i="11"/>
  <c r="L58" i="11"/>
  <c r="K58" i="11"/>
  <c r="J58" i="11"/>
  <c r="I58" i="11"/>
  <c r="AH57" i="11"/>
  <c r="AG57" i="11"/>
  <c r="AF57" i="11"/>
  <c r="AE57" i="11"/>
  <c r="AD57" i="11"/>
  <c r="AC57" i="11"/>
  <c r="AB57" i="11"/>
  <c r="AA57" i="11"/>
  <c r="Z57" i="11"/>
  <c r="Y57" i="11"/>
  <c r="X57" i="11"/>
  <c r="W57" i="11"/>
  <c r="V57" i="11"/>
  <c r="U57" i="11"/>
  <c r="T57" i="11"/>
  <c r="S57" i="11"/>
  <c r="R57" i="11"/>
  <c r="Q57" i="11"/>
  <c r="P57" i="11"/>
  <c r="O57" i="11"/>
  <c r="N57" i="11"/>
  <c r="M57" i="11"/>
  <c r="L57" i="11"/>
  <c r="K57" i="11"/>
  <c r="J57" i="11"/>
  <c r="I57" i="11"/>
  <c r="AH56" i="11"/>
  <c r="AG56" i="11"/>
  <c r="AF56" i="11"/>
  <c r="AE56" i="11"/>
  <c r="AD56" i="11"/>
  <c r="AC56" i="11"/>
  <c r="AB56" i="11"/>
  <c r="AA56" i="11"/>
  <c r="Z56" i="11"/>
  <c r="Y56" i="11"/>
  <c r="X56" i="11"/>
  <c r="W56" i="11"/>
  <c r="V56" i="11"/>
  <c r="U56" i="11"/>
  <c r="T56" i="11"/>
  <c r="S56" i="11"/>
  <c r="R56" i="11"/>
  <c r="Q56" i="11"/>
  <c r="P56" i="11"/>
  <c r="O56" i="11"/>
  <c r="N56" i="11"/>
  <c r="M56" i="11"/>
  <c r="L56" i="11"/>
  <c r="K56" i="11"/>
  <c r="J56" i="11"/>
  <c r="I56" i="11"/>
  <c r="AH55" i="11"/>
  <c r="AG55" i="11"/>
  <c r="AF55" i="11"/>
  <c r="AE55" i="11"/>
  <c r="AD55" i="11"/>
  <c r="AC55" i="11"/>
  <c r="AB55" i="11"/>
  <c r="AA55" i="11"/>
  <c r="Z55" i="11"/>
  <c r="Y55" i="11"/>
  <c r="X55" i="11"/>
  <c r="W55" i="11"/>
  <c r="V55" i="11"/>
  <c r="U55" i="11"/>
  <c r="T55" i="11"/>
  <c r="S55" i="11"/>
  <c r="R55" i="11"/>
  <c r="Q55" i="11"/>
  <c r="P55" i="11"/>
  <c r="O55" i="11"/>
  <c r="N55" i="11"/>
  <c r="M55" i="11"/>
  <c r="L55" i="11"/>
  <c r="K55" i="11"/>
  <c r="J55" i="11"/>
  <c r="I55" i="11"/>
  <c r="AH54" i="11"/>
  <c r="AG54" i="11"/>
  <c r="AF54" i="11"/>
  <c r="AE54" i="11"/>
  <c r="AD54" i="11"/>
  <c r="AC54" i="11"/>
  <c r="AB54" i="11"/>
  <c r="AA54" i="11"/>
  <c r="Z54" i="11"/>
  <c r="Y54" i="11"/>
  <c r="X54" i="11"/>
  <c r="W54" i="11"/>
  <c r="V54" i="11"/>
  <c r="U54" i="11"/>
  <c r="T54" i="11"/>
  <c r="S54" i="11"/>
  <c r="R54" i="11"/>
  <c r="Q54" i="11"/>
  <c r="P54" i="11"/>
  <c r="O54" i="11"/>
  <c r="N54" i="11"/>
  <c r="M54" i="11"/>
  <c r="L54" i="11"/>
  <c r="K54" i="11"/>
  <c r="J54" i="11"/>
  <c r="I54" i="11"/>
  <c r="AH53" i="11"/>
  <c r="AG53" i="11"/>
  <c r="AF53" i="11"/>
  <c r="AE53" i="11"/>
  <c r="AD53" i="11"/>
  <c r="AC53" i="11"/>
  <c r="AB53" i="11"/>
  <c r="AA53" i="11"/>
  <c r="Z53" i="11"/>
  <c r="Y53" i="11"/>
  <c r="X53" i="11"/>
  <c r="W53" i="11"/>
  <c r="V53" i="11"/>
  <c r="U53" i="11"/>
  <c r="T53" i="11"/>
  <c r="S53" i="11"/>
  <c r="R53" i="11"/>
  <c r="Q53" i="11"/>
  <c r="P53" i="11"/>
  <c r="O53" i="11"/>
  <c r="N53" i="11"/>
  <c r="M53" i="11"/>
  <c r="L53" i="11"/>
  <c r="K53" i="11"/>
  <c r="J53" i="11"/>
  <c r="I53" i="11"/>
  <c r="AH52" i="11"/>
  <c r="AG52" i="11"/>
  <c r="AF52" i="11"/>
  <c r="AE52" i="11"/>
  <c r="AD52" i="11"/>
  <c r="AC52" i="11"/>
  <c r="AB52" i="11"/>
  <c r="AA52" i="11"/>
  <c r="Z52" i="11"/>
  <c r="Y52" i="11"/>
  <c r="X52" i="11"/>
  <c r="W52" i="11"/>
  <c r="V52" i="11"/>
  <c r="U52" i="11"/>
  <c r="T52" i="11"/>
  <c r="S52" i="11"/>
  <c r="R52" i="11"/>
  <c r="Q52" i="11"/>
  <c r="P52" i="11"/>
  <c r="O52" i="11"/>
  <c r="N52" i="11"/>
  <c r="M52" i="11"/>
  <c r="L52" i="11"/>
  <c r="K52" i="11"/>
  <c r="J52" i="11"/>
  <c r="I52" i="11"/>
  <c r="AH51" i="11"/>
  <c r="AG51" i="11"/>
  <c r="AF51" i="11"/>
  <c r="AE51" i="11"/>
  <c r="AD51" i="11"/>
  <c r="AC51" i="11"/>
  <c r="AB51" i="11"/>
  <c r="AA51" i="11"/>
  <c r="Z51" i="11"/>
  <c r="Y51" i="11"/>
  <c r="X51" i="11"/>
  <c r="W51" i="11"/>
  <c r="V51" i="11"/>
  <c r="U51" i="11"/>
  <c r="T51" i="11"/>
  <c r="S51" i="11"/>
  <c r="R51" i="11"/>
  <c r="Q51" i="11"/>
  <c r="P51" i="11"/>
  <c r="O51" i="11"/>
  <c r="N51" i="11"/>
  <c r="M51" i="11"/>
  <c r="L51" i="11"/>
  <c r="K51" i="11"/>
  <c r="J51" i="11"/>
  <c r="I51" i="11"/>
  <c r="AH50" i="11"/>
  <c r="AG50" i="11"/>
  <c r="AF50" i="11"/>
  <c r="AE50" i="11"/>
  <c r="AD50" i="11"/>
  <c r="AC50" i="11"/>
  <c r="AB50" i="11"/>
  <c r="AA50" i="11"/>
  <c r="Z50" i="11"/>
  <c r="Y50" i="11"/>
  <c r="X50" i="11"/>
  <c r="W50" i="11"/>
  <c r="V50" i="11"/>
  <c r="U50" i="11"/>
  <c r="T50" i="11"/>
  <c r="S50" i="11"/>
  <c r="R50" i="11"/>
  <c r="Q50" i="11"/>
  <c r="P50" i="11"/>
  <c r="O50" i="11"/>
  <c r="N50" i="11"/>
  <c r="M50" i="11"/>
  <c r="L50" i="11"/>
  <c r="K50" i="11"/>
  <c r="J50" i="11"/>
  <c r="I50" i="11"/>
  <c r="AH49" i="11"/>
  <c r="AG49" i="11"/>
  <c r="AF49" i="11"/>
  <c r="AE49" i="11"/>
  <c r="AD49" i="11"/>
  <c r="AC49" i="11"/>
  <c r="AB49" i="11"/>
  <c r="AA49" i="11"/>
  <c r="Z49" i="11"/>
  <c r="Y49" i="11"/>
  <c r="X49" i="11"/>
  <c r="W49" i="11"/>
  <c r="V49" i="11"/>
  <c r="U49" i="11"/>
  <c r="T49" i="11"/>
  <c r="S49" i="11"/>
  <c r="R49" i="11"/>
  <c r="Q49" i="11"/>
  <c r="P49" i="11"/>
  <c r="O49" i="11"/>
  <c r="N49" i="11"/>
  <c r="M49" i="11"/>
  <c r="L49" i="11"/>
  <c r="K49" i="11"/>
  <c r="J49" i="11"/>
  <c r="I49" i="11"/>
  <c r="AH45" i="11"/>
  <c r="AG45" i="11"/>
  <c r="AF45" i="11"/>
  <c r="AE45" i="11"/>
  <c r="AD45" i="11"/>
  <c r="AC45" i="11"/>
  <c r="AB45" i="11"/>
  <c r="AA45" i="11"/>
  <c r="Z45" i="11"/>
  <c r="Y45" i="11"/>
  <c r="X45" i="11"/>
  <c r="W45" i="11"/>
  <c r="V45" i="11"/>
  <c r="U45" i="11"/>
  <c r="T45" i="11"/>
  <c r="S45" i="11"/>
  <c r="R45" i="11"/>
  <c r="Q45" i="11"/>
  <c r="P45" i="11"/>
  <c r="O45" i="11"/>
  <c r="N45" i="11"/>
  <c r="M45" i="11"/>
  <c r="L45" i="11"/>
  <c r="K45" i="11"/>
  <c r="J45" i="11"/>
  <c r="I45" i="11"/>
  <c r="AH44" i="11"/>
  <c r="AG44" i="11"/>
  <c r="AF44" i="11"/>
  <c r="AE44" i="11"/>
  <c r="AD44" i="11"/>
  <c r="AC44" i="11"/>
  <c r="AB44" i="11"/>
  <c r="AA44" i="11"/>
  <c r="Z44" i="11"/>
  <c r="Y44" i="11"/>
  <c r="X44" i="11"/>
  <c r="W44" i="11"/>
  <c r="V44" i="11"/>
  <c r="U44" i="11"/>
  <c r="T44" i="11"/>
  <c r="S44" i="11"/>
  <c r="R44" i="11"/>
  <c r="Q44" i="11"/>
  <c r="P44" i="11"/>
  <c r="O44" i="11"/>
  <c r="N44" i="11"/>
  <c r="M44" i="11"/>
  <c r="L44" i="11"/>
  <c r="K44" i="11"/>
  <c r="J44" i="11"/>
  <c r="I44" i="11"/>
  <c r="AH43" i="11"/>
  <c r="AG43" i="11"/>
  <c r="AF43" i="11"/>
  <c r="AE43" i="11"/>
  <c r="AD43" i="11"/>
  <c r="AC43" i="11"/>
  <c r="AB43" i="11"/>
  <c r="AA43" i="11"/>
  <c r="Z43" i="11"/>
  <c r="Y43" i="11"/>
  <c r="X43" i="11"/>
  <c r="W43" i="11"/>
  <c r="V43" i="11"/>
  <c r="U43" i="11"/>
  <c r="T43" i="11"/>
  <c r="S43" i="11"/>
  <c r="R43" i="11"/>
  <c r="Q43" i="11"/>
  <c r="P43" i="11"/>
  <c r="O43" i="11"/>
  <c r="N43" i="11"/>
  <c r="M43" i="11"/>
  <c r="L43" i="11"/>
  <c r="K43" i="11"/>
  <c r="J43" i="11"/>
  <c r="I43" i="11"/>
  <c r="AH41" i="11"/>
  <c r="AG41" i="11"/>
  <c r="AF41" i="11"/>
  <c r="AE41" i="11"/>
  <c r="AD41" i="11"/>
  <c r="AC41" i="11"/>
  <c r="AB41" i="11"/>
  <c r="AA41" i="11"/>
  <c r="Z41" i="11"/>
  <c r="Y41" i="11"/>
  <c r="X41" i="11"/>
  <c r="W41" i="11"/>
  <c r="V41" i="11"/>
  <c r="U41" i="11"/>
  <c r="T41" i="11"/>
  <c r="S41" i="11"/>
  <c r="R41" i="11"/>
  <c r="Q41" i="11"/>
  <c r="P41" i="11"/>
  <c r="O41" i="11"/>
  <c r="N41" i="11"/>
  <c r="M41" i="11"/>
  <c r="L41" i="11"/>
  <c r="K41" i="11"/>
  <c r="J41" i="11"/>
  <c r="I41" i="11"/>
  <c r="AH39" i="11"/>
  <c r="AG39" i="11"/>
  <c r="AF39" i="11"/>
  <c r="AE39" i="11"/>
  <c r="AD39" i="11"/>
  <c r="AC39" i="11"/>
  <c r="AB39" i="11"/>
  <c r="AA39" i="11"/>
  <c r="Z39" i="11"/>
  <c r="Y39" i="11"/>
  <c r="X39" i="11"/>
  <c r="W39" i="11"/>
  <c r="V39" i="11"/>
  <c r="U39" i="11"/>
  <c r="T39" i="11"/>
  <c r="S39" i="11"/>
  <c r="R39" i="11"/>
  <c r="Q39" i="11"/>
  <c r="P39" i="11"/>
  <c r="O39" i="11"/>
  <c r="N39" i="11"/>
  <c r="M39" i="11"/>
  <c r="L39" i="11"/>
  <c r="K39" i="11"/>
  <c r="J39" i="11"/>
  <c r="I39" i="11"/>
  <c r="AB58" i="32"/>
  <c r="AA58" i="32"/>
  <c r="Z58" i="32"/>
  <c r="Y58" i="32"/>
  <c r="X58" i="32"/>
  <c r="W58" i="32"/>
  <c r="V58" i="32"/>
  <c r="U58" i="32"/>
  <c r="T58" i="32"/>
  <c r="S58" i="32"/>
  <c r="R58" i="32"/>
  <c r="Q58" i="32"/>
  <c r="P58" i="32"/>
  <c r="O58" i="32"/>
  <c r="N58" i="32"/>
  <c r="M58" i="32"/>
  <c r="L58" i="32"/>
  <c r="K58" i="32"/>
  <c r="J58" i="32"/>
  <c r="I58" i="32"/>
  <c r="H58" i="32"/>
  <c r="G58" i="32"/>
  <c r="F58" i="32"/>
  <c r="E58" i="32"/>
  <c r="D58" i="32"/>
  <c r="C59" i="32"/>
  <c r="C58" i="32"/>
  <c r="AB40" i="32"/>
  <c r="AA40" i="32"/>
  <c r="Z40" i="32"/>
  <c r="Y40" i="32"/>
  <c r="X40" i="32"/>
  <c r="W40" i="32"/>
  <c r="V40" i="32"/>
  <c r="U40" i="32"/>
  <c r="T40" i="32"/>
  <c r="S40" i="32"/>
  <c r="R40" i="32"/>
  <c r="Q40" i="32"/>
  <c r="P40" i="32"/>
  <c r="O40" i="32"/>
  <c r="N40" i="32"/>
  <c r="M40" i="32"/>
  <c r="L40" i="32"/>
  <c r="K40" i="32"/>
  <c r="J40" i="32"/>
  <c r="I40" i="32"/>
  <c r="H40" i="32"/>
  <c r="G40" i="32"/>
  <c r="F40" i="32"/>
  <c r="E40" i="32"/>
  <c r="D40" i="32"/>
  <c r="C40" i="32"/>
  <c r="B40" i="32"/>
  <c r="E37" i="32"/>
  <c r="F37" i="32"/>
  <c r="G37" i="32"/>
  <c r="H37" i="32"/>
  <c r="I37" i="32"/>
  <c r="J37" i="32"/>
  <c r="K37" i="32"/>
  <c r="L37" i="32"/>
  <c r="M37" i="32"/>
  <c r="N37" i="32"/>
  <c r="O37" i="32"/>
  <c r="P37" i="32"/>
  <c r="Q37" i="32"/>
  <c r="R37" i="32"/>
  <c r="R41" i="32" s="1"/>
  <c r="S37" i="32"/>
  <c r="S41" i="32" s="1"/>
  <c r="T37" i="32"/>
  <c r="T41" i="32" s="1"/>
  <c r="U37" i="32"/>
  <c r="U41" i="32" s="1"/>
  <c r="V37" i="32"/>
  <c r="V41" i="32" s="1"/>
  <c r="W37" i="32"/>
  <c r="X37" i="32"/>
  <c r="Y37" i="32"/>
  <c r="Z37" i="32"/>
  <c r="AA37" i="32"/>
  <c r="AB37" i="32"/>
  <c r="D38" i="32"/>
  <c r="E38" i="32"/>
  <c r="F38" i="32"/>
  <c r="G38" i="32"/>
  <c r="H38" i="32"/>
  <c r="I38" i="32"/>
  <c r="J38" i="32"/>
  <c r="K38" i="32"/>
  <c r="L38" i="32"/>
  <c r="M38" i="32"/>
  <c r="N38" i="32"/>
  <c r="O38" i="32"/>
  <c r="P38" i="32"/>
  <c r="Q38" i="32"/>
  <c r="R38" i="32"/>
  <c r="S38" i="32"/>
  <c r="T38" i="32"/>
  <c r="U38" i="32"/>
  <c r="V38" i="32"/>
  <c r="W38" i="32"/>
  <c r="X38" i="32"/>
  <c r="Y38" i="32"/>
  <c r="Z38" i="32"/>
  <c r="AA38" i="32"/>
  <c r="AB38" i="32"/>
  <c r="D39" i="32"/>
  <c r="E39" i="32"/>
  <c r="F39" i="32"/>
  <c r="G39" i="32"/>
  <c r="H39" i="32"/>
  <c r="I39" i="32"/>
  <c r="J39" i="32"/>
  <c r="K39" i="32"/>
  <c r="L39" i="32"/>
  <c r="M39" i="32"/>
  <c r="N39" i="32"/>
  <c r="O39" i="32"/>
  <c r="P39" i="32"/>
  <c r="Q39" i="32"/>
  <c r="R39" i="32"/>
  <c r="S39" i="32"/>
  <c r="T39" i="32"/>
  <c r="U39" i="32"/>
  <c r="V39" i="32"/>
  <c r="W39" i="32"/>
  <c r="X39" i="32"/>
  <c r="Y39" i="32"/>
  <c r="Z39" i="32"/>
  <c r="AA39" i="32"/>
  <c r="AB39" i="32"/>
  <c r="C39" i="32"/>
  <c r="C38" i="32"/>
  <c r="C37" i="32"/>
  <c r="C41" i="32" s="1"/>
  <c r="B39" i="32"/>
  <c r="B38" i="32"/>
  <c r="B86" i="32" s="1"/>
  <c r="B37" i="32"/>
  <c r="B85" i="32" s="1"/>
  <c r="AB35" i="32"/>
  <c r="AA35" i="32"/>
  <c r="Z35" i="32"/>
  <c r="Y35" i="32"/>
  <c r="X35" i="32"/>
  <c r="W35" i="32"/>
  <c r="V35" i="32"/>
  <c r="U35" i="32"/>
  <c r="T35" i="32"/>
  <c r="S35" i="32"/>
  <c r="R35" i="32"/>
  <c r="Q35" i="32"/>
  <c r="P35" i="32"/>
  <c r="O35" i="32"/>
  <c r="N35" i="32"/>
  <c r="M35" i="32"/>
  <c r="L35" i="32"/>
  <c r="K35" i="32"/>
  <c r="J35" i="32"/>
  <c r="I35" i="32"/>
  <c r="H35" i="32"/>
  <c r="G35" i="32"/>
  <c r="F35" i="32"/>
  <c r="E35" i="32"/>
  <c r="D35" i="32"/>
  <c r="C35" i="32"/>
  <c r="C49" i="32" s="1"/>
  <c r="B35" i="32"/>
  <c r="H39" i="11"/>
  <c r="H216" i="12"/>
  <c r="I216" i="12"/>
  <c r="J216" i="12"/>
  <c r="L216" i="12"/>
  <c r="M216" i="12"/>
  <c r="N216" i="12"/>
  <c r="O216" i="12"/>
  <c r="P216" i="12"/>
  <c r="Q216" i="12"/>
  <c r="AB216" i="12"/>
  <c r="AC216" i="12"/>
  <c r="AD216" i="12"/>
  <c r="AF216" i="12"/>
  <c r="G216" i="12"/>
  <c r="H212" i="12"/>
  <c r="I212" i="12"/>
  <c r="J212" i="12"/>
  <c r="K212" i="12"/>
  <c r="V212" i="12"/>
  <c r="W212" i="12"/>
  <c r="X212" i="12"/>
  <c r="Z212" i="12"/>
  <c r="AA212" i="12"/>
  <c r="AB212" i="12"/>
  <c r="AC212" i="12"/>
  <c r="AD212" i="12"/>
  <c r="AE212" i="12"/>
  <c r="P208" i="12"/>
  <c r="Q208" i="12"/>
  <c r="R208" i="12"/>
  <c r="T208" i="12"/>
  <c r="U208" i="12"/>
  <c r="V208" i="12"/>
  <c r="W208" i="12"/>
  <c r="X208" i="12"/>
  <c r="Y208" i="12"/>
  <c r="J204" i="12"/>
  <c r="K204" i="12"/>
  <c r="L204" i="12"/>
  <c r="N204" i="12"/>
  <c r="O204" i="12"/>
  <c r="P204" i="12"/>
  <c r="Q204" i="12"/>
  <c r="R204" i="12"/>
  <c r="S204" i="12"/>
  <c r="AD204" i="12"/>
  <c r="AE204" i="12"/>
  <c r="AF204" i="12"/>
  <c r="H200" i="12"/>
  <c r="I200" i="12"/>
  <c r="J200" i="12"/>
  <c r="K200" i="12"/>
  <c r="L200" i="12"/>
  <c r="M200" i="12"/>
  <c r="X200" i="12"/>
  <c r="Y200" i="12"/>
  <c r="Z200" i="12"/>
  <c r="AB200" i="12"/>
  <c r="AC200" i="12"/>
  <c r="AD200" i="12"/>
  <c r="AE200" i="12"/>
  <c r="AF200" i="12"/>
  <c r="G200" i="12"/>
  <c r="R221" i="12"/>
  <c r="S221" i="12"/>
  <c r="T221" i="12"/>
  <c r="V221" i="12"/>
  <c r="W221" i="12"/>
  <c r="X221" i="12"/>
  <c r="Y221" i="12"/>
  <c r="Z221" i="12"/>
  <c r="AA221" i="12"/>
  <c r="AB11" i="27"/>
  <c r="AA11" i="27"/>
  <c r="Z11" i="27"/>
  <c r="Y11" i="27"/>
  <c r="X11" i="27"/>
  <c r="W11" i="27"/>
  <c r="V11" i="27"/>
  <c r="U11" i="27"/>
  <c r="T11" i="27"/>
  <c r="S11" i="27"/>
  <c r="R11" i="27"/>
  <c r="Q11" i="27"/>
  <c r="P11" i="27"/>
  <c r="O11" i="27"/>
  <c r="N11" i="27"/>
  <c r="M11" i="27"/>
  <c r="L11" i="27"/>
  <c r="K11" i="27"/>
  <c r="J11" i="27"/>
  <c r="I11" i="27"/>
  <c r="H11" i="27"/>
  <c r="G11" i="27"/>
  <c r="F11" i="27"/>
  <c r="E11" i="27"/>
  <c r="D11" i="27"/>
  <c r="C11" i="27"/>
  <c r="B11" i="27"/>
  <c r="AB9" i="27"/>
  <c r="AA9" i="27"/>
  <c r="Z9" i="27"/>
  <c r="Y9" i="27"/>
  <c r="X9" i="27"/>
  <c r="W9" i="27"/>
  <c r="V9" i="27"/>
  <c r="U9" i="27"/>
  <c r="T9" i="27"/>
  <c r="S9" i="27"/>
  <c r="R9" i="27"/>
  <c r="Q9" i="27"/>
  <c r="P9" i="27"/>
  <c r="O9" i="27"/>
  <c r="N9" i="27"/>
  <c r="M9" i="27"/>
  <c r="L9" i="27"/>
  <c r="K9" i="27"/>
  <c r="J9" i="27"/>
  <c r="I9" i="27"/>
  <c r="H9" i="27"/>
  <c r="G9" i="27"/>
  <c r="F9" i="27"/>
  <c r="E9" i="27"/>
  <c r="D9" i="27"/>
  <c r="C9" i="27"/>
  <c r="B9" i="27"/>
  <c r="AB8" i="27"/>
  <c r="AA8" i="27"/>
  <c r="Z8" i="27"/>
  <c r="Y8" i="27"/>
  <c r="X8" i="27"/>
  <c r="W8" i="27"/>
  <c r="V8" i="27"/>
  <c r="U8" i="27"/>
  <c r="T8" i="27"/>
  <c r="S8" i="27"/>
  <c r="R8" i="27"/>
  <c r="Q8" i="27"/>
  <c r="P8" i="27"/>
  <c r="O8" i="27"/>
  <c r="N8" i="27"/>
  <c r="M8" i="27"/>
  <c r="L8" i="27"/>
  <c r="K8" i="27"/>
  <c r="J8" i="27"/>
  <c r="I8" i="27"/>
  <c r="H8" i="27"/>
  <c r="G8" i="27"/>
  <c r="F8" i="27"/>
  <c r="E8" i="27"/>
  <c r="D8" i="27"/>
  <c r="C8" i="27"/>
  <c r="B8" i="27"/>
  <c r="AB7" i="27"/>
  <c r="AA7" i="27"/>
  <c r="Z7" i="27"/>
  <c r="Y7" i="27"/>
  <c r="X7" i="27"/>
  <c r="W7" i="27"/>
  <c r="V7" i="27"/>
  <c r="U7" i="27"/>
  <c r="T7" i="27"/>
  <c r="S7" i="27"/>
  <c r="R7" i="27"/>
  <c r="Q7" i="27"/>
  <c r="P7" i="27"/>
  <c r="O7" i="27"/>
  <c r="N7" i="27"/>
  <c r="M7" i="27"/>
  <c r="L7" i="27"/>
  <c r="K7" i="27"/>
  <c r="J7" i="27"/>
  <c r="I7" i="27"/>
  <c r="H7" i="27"/>
  <c r="G7" i="27"/>
  <c r="F7" i="27"/>
  <c r="E7" i="27"/>
  <c r="D7" i="27"/>
  <c r="C7" i="27"/>
  <c r="B7" i="27"/>
  <c r="AB6" i="27"/>
  <c r="AA6" i="27"/>
  <c r="Z6" i="27"/>
  <c r="Y6" i="27"/>
  <c r="X6" i="27"/>
  <c r="W6" i="27"/>
  <c r="V6" i="27"/>
  <c r="U6" i="27"/>
  <c r="T6" i="27"/>
  <c r="S6" i="27"/>
  <c r="R6" i="27"/>
  <c r="Q6" i="27"/>
  <c r="P6" i="27"/>
  <c r="O6" i="27"/>
  <c r="N6" i="27"/>
  <c r="M6" i="27"/>
  <c r="L6" i="27"/>
  <c r="K6" i="27"/>
  <c r="J6" i="27"/>
  <c r="I6" i="27"/>
  <c r="H6" i="27"/>
  <c r="G6" i="27"/>
  <c r="F6" i="27"/>
  <c r="E6" i="27"/>
  <c r="D6" i="27"/>
  <c r="C6" i="27"/>
  <c r="B6" i="27"/>
  <c r="AB11" i="26"/>
  <c r="AA11" i="26"/>
  <c r="Z11" i="26"/>
  <c r="Y11" i="26"/>
  <c r="X11" i="26"/>
  <c r="W11" i="26"/>
  <c r="V11" i="26"/>
  <c r="U11" i="26"/>
  <c r="T11" i="26"/>
  <c r="S11" i="26"/>
  <c r="R11" i="26"/>
  <c r="Q11" i="26"/>
  <c r="P11" i="26"/>
  <c r="O11" i="26"/>
  <c r="N11" i="26"/>
  <c r="M11" i="26"/>
  <c r="L11" i="26"/>
  <c r="K11" i="26"/>
  <c r="J11" i="26"/>
  <c r="I11" i="26"/>
  <c r="H11" i="26"/>
  <c r="G11" i="26"/>
  <c r="F11" i="26"/>
  <c r="E11" i="26"/>
  <c r="D11" i="26"/>
  <c r="C11" i="26"/>
  <c r="B11" i="26"/>
  <c r="AB9" i="26"/>
  <c r="AA9" i="26"/>
  <c r="Z9" i="26"/>
  <c r="Y9" i="26"/>
  <c r="X9" i="26"/>
  <c r="W9" i="26"/>
  <c r="V9" i="26"/>
  <c r="U9" i="26"/>
  <c r="T9" i="26"/>
  <c r="S9" i="26"/>
  <c r="R9" i="26"/>
  <c r="Q9" i="26"/>
  <c r="P9" i="26"/>
  <c r="O9" i="26"/>
  <c r="N9" i="26"/>
  <c r="M9" i="26"/>
  <c r="L9" i="26"/>
  <c r="K9" i="26"/>
  <c r="J9" i="26"/>
  <c r="I9" i="26"/>
  <c r="H9" i="26"/>
  <c r="G9" i="26"/>
  <c r="F9" i="26"/>
  <c r="E9" i="26"/>
  <c r="D9" i="26"/>
  <c r="C9" i="26"/>
  <c r="B9" i="26"/>
  <c r="AB8" i="26"/>
  <c r="AA8" i="26"/>
  <c r="Z8" i="26"/>
  <c r="Y8" i="26"/>
  <c r="X8" i="26"/>
  <c r="W8" i="26"/>
  <c r="V8" i="26"/>
  <c r="U8" i="26"/>
  <c r="T8" i="26"/>
  <c r="S8" i="26"/>
  <c r="R8" i="26"/>
  <c r="Q8" i="26"/>
  <c r="P8" i="26"/>
  <c r="O8" i="26"/>
  <c r="N8" i="26"/>
  <c r="M8" i="26"/>
  <c r="L8" i="26"/>
  <c r="K8" i="26"/>
  <c r="J8" i="26"/>
  <c r="I8" i="26"/>
  <c r="H8" i="26"/>
  <c r="G8" i="26"/>
  <c r="F8" i="26"/>
  <c r="E8" i="26"/>
  <c r="D8" i="26"/>
  <c r="C8" i="26"/>
  <c r="B8" i="26"/>
  <c r="AB7" i="26"/>
  <c r="AA7" i="26"/>
  <c r="Z7" i="26"/>
  <c r="Y7" i="26"/>
  <c r="X7" i="26"/>
  <c r="W7" i="26"/>
  <c r="V7" i="26"/>
  <c r="U7" i="26"/>
  <c r="T7" i="26"/>
  <c r="S7" i="26"/>
  <c r="R7" i="26"/>
  <c r="Q7" i="26"/>
  <c r="P7" i="26"/>
  <c r="O7" i="26"/>
  <c r="N7" i="26"/>
  <c r="M7" i="26"/>
  <c r="L7" i="26"/>
  <c r="K7" i="26"/>
  <c r="J7" i="26"/>
  <c r="I7" i="26"/>
  <c r="H7" i="26"/>
  <c r="G7" i="26"/>
  <c r="F7" i="26"/>
  <c r="E7" i="26"/>
  <c r="D7" i="26"/>
  <c r="C7" i="26"/>
  <c r="B7" i="26"/>
  <c r="AB6" i="26"/>
  <c r="AA6" i="26"/>
  <c r="Z6" i="26"/>
  <c r="Y6" i="26"/>
  <c r="X6" i="26"/>
  <c r="W6" i="26"/>
  <c r="V6" i="26"/>
  <c r="U6" i="26"/>
  <c r="T6" i="26"/>
  <c r="S6" i="26"/>
  <c r="R6" i="26"/>
  <c r="Q6" i="26"/>
  <c r="P6" i="26"/>
  <c r="O6" i="26"/>
  <c r="N6" i="26"/>
  <c r="M6" i="26"/>
  <c r="L6" i="26"/>
  <c r="K6" i="26"/>
  <c r="J6" i="26"/>
  <c r="I6" i="26"/>
  <c r="H6" i="26"/>
  <c r="G6" i="26"/>
  <c r="F6" i="26"/>
  <c r="E6" i="26"/>
  <c r="D6" i="26"/>
  <c r="C6" i="26"/>
  <c r="B6" i="26"/>
  <c r="AB3" i="26"/>
  <c r="AA3" i="26"/>
  <c r="Z3" i="26"/>
  <c r="Y3" i="26"/>
  <c r="X3" i="26"/>
  <c r="W3" i="26"/>
  <c r="V3" i="26"/>
  <c r="U3" i="26"/>
  <c r="T3" i="26"/>
  <c r="S3" i="26"/>
  <c r="R3" i="26"/>
  <c r="Q3" i="26"/>
  <c r="P3" i="26"/>
  <c r="O3" i="26"/>
  <c r="N3" i="26"/>
  <c r="M3" i="26"/>
  <c r="L3" i="26"/>
  <c r="K3" i="26"/>
  <c r="J3" i="26"/>
  <c r="I3" i="26"/>
  <c r="H3" i="26"/>
  <c r="G3" i="26"/>
  <c r="F3" i="26"/>
  <c r="E3" i="26"/>
  <c r="D3" i="26"/>
  <c r="C3" i="26"/>
  <c r="B3" i="26"/>
  <c r="AB11" i="25"/>
  <c r="AA11" i="25"/>
  <c r="Z11" i="25"/>
  <c r="Y11" i="25"/>
  <c r="X11" i="25"/>
  <c r="W11" i="25"/>
  <c r="V11" i="25"/>
  <c r="U11" i="25"/>
  <c r="T11" i="25"/>
  <c r="S11" i="25"/>
  <c r="R11" i="25"/>
  <c r="Q11" i="25"/>
  <c r="P11" i="25"/>
  <c r="O11" i="25"/>
  <c r="N11" i="25"/>
  <c r="M11" i="25"/>
  <c r="L11" i="25"/>
  <c r="K11" i="25"/>
  <c r="J11" i="25"/>
  <c r="I11" i="25"/>
  <c r="H11" i="25"/>
  <c r="G11" i="25"/>
  <c r="F11" i="25"/>
  <c r="E11" i="25"/>
  <c r="D11" i="25"/>
  <c r="C11" i="25"/>
  <c r="B11" i="25"/>
  <c r="AB10" i="25"/>
  <c r="AA10" i="25"/>
  <c r="Z10" i="25"/>
  <c r="Y10" i="25"/>
  <c r="X10" i="25"/>
  <c r="W10" i="25"/>
  <c r="V10" i="25"/>
  <c r="U10" i="25"/>
  <c r="T10" i="25"/>
  <c r="S10" i="25"/>
  <c r="R10" i="25"/>
  <c r="Q10" i="25"/>
  <c r="P10" i="25"/>
  <c r="O10" i="25"/>
  <c r="N10" i="25"/>
  <c r="M10" i="25"/>
  <c r="L10" i="25"/>
  <c r="K10" i="25"/>
  <c r="J10" i="25"/>
  <c r="I10" i="25"/>
  <c r="H10" i="25"/>
  <c r="G10" i="25"/>
  <c r="F10" i="25"/>
  <c r="E10" i="25"/>
  <c r="D10" i="25"/>
  <c r="C10" i="25"/>
  <c r="B10" i="25"/>
  <c r="AB9" i="25"/>
  <c r="AA9" i="25"/>
  <c r="Z9" i="25"/>
  <c r="Y9" i="25"/>
  <c r="X9" i="25"/>
  <c r="W9" i="25"/>
  <c r="V9" i="25"/>
  <c r="U9" i="25"/>
  <c r="T9" i="25"/>
  <c r="S9" i="25"/>
  <c r="R9" i="25"/>
  <c r="Q9" i="25"/>
  <c r="P9" i="25"/>
  <c r="O9" i="25"/>
  <c r="N9" i="25"/>
  <c r="M9" i="25"/>
  <c r="L9" i="25"/>
  <c r="K9" i="25"/>
  <c r="J9" i="25"/>
  <c r="I9" i="25"/>
  <c r="H9" i="25"/>
  <c r="G9" i="25"/>
  <c r="F9" i="25"/>
  <c r="E9" i="25"/>
  <c r="D9" i="25"/>
  <c r="C9" i="25"/>
  <c r="B9" i="25"/>
  <c r="AB8" i="25"/>
  <c r="AA8" i="25"/>
  <c r="Z8" i="25"/>
  <c r="Y8" i="25"/>
  <c r="X8" i="25"/>
  <c r="W8" i="25"/>
  <c r="V8" i="25"/>
  <c r="U8" i="25"/>
  <c r="T8" i="25"/>
  <c r="S8" i="25"/>
  <c r="R8" i="25"/>
  <c r="Q8" i="25"/>
  <c r="P8" i="25"/>
  <c r="O8" i="25"/>
  <c r="N8" i="25"/>
  <c r="M8" i="25"/>
  <c r="L8" i="25"/>
  <c r="K8" i="25"/>
  <c r="J8" i="25"/>
  <c r="I8" i="25"/>
  <c r="H8" i="25"/>
  <c r="G8" i="25"/>
  <c r="F8" i="25"/>
  <c r="E8" i="25"/>
  <c r="D8" i="25"/>
  <c r="C8" i="25"/>
  <c r="B8" i="25"/>
  <c r="AB7" i="25"/>
  <c r="AA7" i="25"/>
  <c r="Z7" i="25"/>
  <c r="Y7" i="25"/>
  <c r="X7" i="25"/>
  <c r="W7" i="25"/>
  <c r="V7" i="25"/>
  <c r="U7" i="25"/>
  <c r="T7" i="25"/>
  <c r="S7" i="25"/>
  <c r="R7" i="25"/>
  <c r="Q7" i="25"/>
  <c r="P7" i="25"/>
  <c r="O7" i="25"/>
  <c r="N7" i="25"/>
  <c r="M7" i="25"/>
  <c r="L7" i="25"/>
  <c r="K7" i="25"/>
  <c r="J7" i="25"/>
  <c r="I7" i="25"/>
  <c r="H7" i="25"/>
  <c r="G7" i="25"/>
  <c r="F7" i="25"/>
  <c r="E7" i="25"/>
  <c r="D7" i="25"/>
  <c r="C7" i="25"/>
  <c r="B7" i="25"/>
  <c r="AB6" i="25"/>
  <c r="AA6" i="25"/>
  <c r="Z6" i="25"/>
  <c r="Y6" i="25"/>
  <c r="X6" i="25"/>
  <c r="W6" i="25"/>
  <c r="V6" i="25"/>
  <c r="U6" i="25"/>
  <c r="T6" i="25"/>
  <c r="S6" i="25"/>
  <c r="R6" i="25"/>
  <c r="Q6" i="25"/>
  <c r="P6" i="25"/>
  <c r="O6" i="25"/>
  <c r="N6" i="25"/>
  <c r="M6" i="25"/>
  <c r="L6" i="25"/>
  <c r="K6" i="25"/>
  <c r="J6" i="25"/>
  <c r="I6" i="25"/>
  <c r="H6" i="25"/>
  <c r="G6" i="25"/>
  <c r="F6" i="25"/>
  <c r="E6" i="25"/>
  <c r="D6" i="25"/>
  <c r="C6" i="25"/>
  <c r="B6" i="25"/>
  <c r="AB5" i="25"/>
  <c r="AA5" i="25"/>
  <c r="Z5" i="25"/>
  <c r="Y5" i="25"/>
  <c r="X5" i="25"/>
  <c r="W5" i="25"/>
  <c r="V5" i="25"/>
  <c r="U5" i="25"/>
  <c r="T5" i="25"/>
  <c r="S5" i="25"/>
  <c r="R5" i="25"/>
  <c r="Q5" i="25"/>
  <c r="P5" i="25"/>
  <c r="O5" i="25"/>
  <c r="N5" i="25"/>
  <c r="M5" i="25"/>
  <c r="L5" i="25"/>
  <c r="K5" i="25"/>
  <c r="J5" i="25"/>
  <c r="I5" i="25"/>
  <c r="H5" i="25"/>
  <c r="G5" i="25"/>
  <c r="F5" i="25"/>
  <c r="E5" i="25"/>
  <c r="D5" i="25"/>
  <c r="C5" i="25"/>
  <c r="B5" i="25"/>
  <c r="AB4" i="25"/>
  <c r="AA4" i="25"/>
  <c r="Z4" i="25"/>
  <c r="Y4" i="25"/>
  <c r="X4" i="25"/>
  <c r="W4" i="25"/>
  <c r="V4" i="25"/>
  <c r="U4" i="25"/>
  <c r="T4" i="25"/>
  <c r="S4" i="25"/>
  <c r="R4" i="25"/>
  <c r="Q4" i="25"/>
  <c r="P4" i="25"/>
  <c r="O4" i="25"/>
  <c r="N4" i="25"/>
  <c r="M4" i="25"/>
  <c r="L4" i="25"/>
  <c r="K4" i="25"/>
  <c r="J4" i="25"/>
  <c r="I4" i="25"/>
  <c r="H4" i="25"/>
  <c r="G4" i="25"/>
  <c r="F4" i="25"/>
  <c r="E4" i="25"/>
  <c r="D4" i="25"/>
  <c r="C4" i="25"/>
  <c r="B4" i="25"/>
  <c r="AB3" i="25"/>
  <c r="AA3" i="25"/>
  <c r="Z3" i="25"/>
  <c r="Y3" i="25"/>
  <c r="X3" i="25"/>
  <c r="W3" i="25"/>
  <c r="V3" i="25"/>
  <c r="U3" i="25"/>
  <c r="T3" i="25"/>
  <c r="S3" i="25"/>
  <c r="R3" i="25"/>
  <c r="Q3" i="25"/>
  <c r="P3" i="25"/>
  <c r="O3" i="25"/>
  <c r="N3" i="25"/>
  <c r="M3" i="25"/>
  <c r="L3" i="25"/>
  <c r="K3" i="25"/>
  <c r="J3" i="25"/>
  <c r="I3" i="25"/>
  <c r="H3" i="25"/>
  <c r="G3" i="25"/>
  <c r="F3" i="25"/>
  <c r="E3" i="25"/>
  <c r="D3" i="25"/>
  <c r="C3" i="25"/>
  <c r="B3" i="25"/>
  <c r="AB11" i="24"/>
  <c r="AA11" i="24"/>
  <c r="Z11" i="24"/>
  <c r="Y11" i="24"/>
  <c r="X11" i="24"/>
  <c r="W11" i="24"/>
  <c r="V11" i="24"/>
  <c r="U11" i="24"/>
  <c r="T11" i="24"/>
  <c r="S11" i="24"/>
  <c r="R11" i="24"/>
  <c r="Q11" i="24"/>
  <c r="P11" i="24"/>
  <c r="O11" i="24"/>
  <c r="N11" i="24"/>
  <c r="M11" i="24"/>
  <c r="L11" i="24"/>
  <c r="K11" i="24"/>
  <c r="J11" i="24"/>
  <c r="I11" i="24"/>
  <c r="H11" i="24"/>
  <c r="G11" i="24"/>
  <c r="F11" i="24"/>
  <c r="E11" i="24"/>
  <c r="D11" i="24"/>
  <c r="C11" i="24"/>
  <c r="B11" i="24"/>
  <c r="AB10" i="24"/>
  <c r="AA10" i="24"/>
  <c r="Z10" i="24"/>
  <c r="Y10" i="24"/>
  <c r="X10" i="24"/>
  <c r="W10" i="24"/>
  <c r="V10" i="24"/>
  <c r="U10" i="24"/>
  <c r="T10" i="24"/>
  <c r="S10" i="24"/>
  <c r="R10" i="24"/>
  <c r="Q10" i="24"/>
  <c r="P10" i="24"/>
  <c r="O10" i="24"/>
  <c r="N10" i="24"/>
  <c r="M10" i="24"/>
  <c r="L10" i="24"/>
  <c r="K10" i="24"/>
  <c r="J10" i="24"/>
  <c r="I10" i="24"/>
  <c r="H10" i="24"/>
  <c r="G10" i="24"/>
  <c r="F10" i="24"/>
  <c r="E10" i="24"/>
  <c r="D10" i="24"/>
  <c r="C10" i="24"/>
  <c r="B10" i="24"/>
  <c r="AB9" i="24"/>
  <c r="AA9" i="24"/>
  <c r="Z9" i="24"/>
  <c r="Y9" i="24"/>
  <c r="X9" i="24"/>
  <c r="W9" i="24"/>
  <c r="V9" i="24"/>
  <c r="U9" i="24"/>
  <c r="T9" i="24"/>
  <c r="S9" i="24"/>
  <c r="R9" i="24"/>
  <c r="Q9" i="24"/>
  <c r="P9" i="24"/>
  <c r="O9" i="24"/>
  <c r="N9" i="24"/>
  <c r="M9" i="24"/>
  <c r="L9" i="24"/>
  <c r="K9" i="24"/>
  <c r="J9" i="24"/>
  <c r="I9" i="24"/>
  <c r="H9" i="24"/>
  <c r="G9" i="24"/>
  <c r="F9" i="24"/>
  <c r="E9" i="24"/>
  <c r="D9" i="24"/>
  <c r="C9" i="24"/>
  <c r="B9" i="24"/>
  <c r="AB8" i="24"/>
  <c r="AA8" i="24"/>
  <c r="Z8" i="24"/>
  <c r="Y8" i="24"/>
  <c r="X8" i="24"/>
  <c r="W8" i="24"/>
  <c r="V8" i="24"/>
  <c r="U8" i="24"/>
  <c r="T8" i="24"/>
  <c r="S8" i="24"/>
  <c r="R8" i="24"/>
  <c r="Q8" i="24"/>
  <c r="P8" i="24"/>
  <c r="O8" i="24"/>
  <c r="N8" i="24"/>
  <c r="M8" i="24"/>
  <c r="L8" i="24"/>
  <c r="K8" i="24"/>
  <c r="J8" i="24"/>
  <c r="I8" i="24"/>
  <c r="H8" i="24"/>
  <c r="G8" i="24"/>
  <c r="F8" i="24"/>
  <c r="E8" i="24"/>
  <c r="D8" i="24"/>
  <c r="C8" i="24"/>
  <c r="B8" i="24"/>
  <c r="AB7" i="24"/>
  <c r="AA7" i="24"/>
  <c r="Z7" i="24"/>
  <c r="Y7" i="24"/>
  <c r="X7" i="24"/>
  <c r="W7" i="24"/>
  <c r="V7" i="24"/>
  <c r="U7" i="24"/>
  <c r="T7" i="24"/>
  <c r="S7" i="24"/>
  <c r="R7" i="24"/>
  <c r="Q7" i="24"/>
  <c r="P7" i="24"/>
  <c r="O7" i="24"/>
  <c r="N7" i="24"/>
  <c r="M7" i="24"/>
  <c r="L7" i="24"/>
  <c r="K7" i="24"/>
  <c r="J7" i="24"/>
  <c r="I7" i="24"/>
  <c r="H7" i="24"/>
  <c r="G7" i="24"/>
  <c r="F7" i="24"/>
  <c r="E7" i="24"/>
  <c r="D7" i="24"/>
  <c r="C7" i="24"/>
  <c r="B7" i="24"/>
  <c r="AB6" i="24"/>
  <c r="AA6" i="24"/>
  <c r="Z6" i="24"/>
  <c r="Y6" i="24"/>
  <c r="X6" i="24"/>
  <c r="W6" i="24"/>
  <c r="V6" i="24"/>
  <c r="U6" i="24"/>
  <c r="T6" i="24"/>
  <c r="S6" i="24"/>
  <c r="R6" i="24"/>
  <c r="Q6" i="24"/>
  <c r="P6" i="24"/>
  <c r="O6" i="24"/>
  <c r="N6" i="24"/>
  <c r="M6" i="24"/>
  <c r="L6" i="24"/>
  <c r="K6" i="24"/>
  <c r="J6" i="24"/>
  <c r="I6" i="24"/>
  <c r="H6" i="24"/>
  <c r="G6" i="24"/>
  <c r="F6" i="24"/>
  <c r="E6" i="24"/>
  <c r="D6" i="24"/>
  <c r="C6" i="24"/>
  <c r="B6" i="24"/>
  <c r="AB5" i="24"/>
  <c r="AA5" i="24"/>
  <c r="Z5" i="24"/>
  <c r="Y5" i="24"/>
  <c r="X5" i="24"/>
  <c r="W5" i="24"/>
  <c r="V5" i="24"/>
  <c r="U5" i="24"/>
  <c r="T5" i="24"/>
  <c r="S5" i="24"/>
  <c r="R5" i="24"/>
  <c r="Q5" i="24"/>
  <c r="P5" i="24"/>
  <c r="O5" i="24"/>
  <c r="N5" i="24"/>
  <c r="M5" i="24"/>
  <c r="L5" i="24"/>
  <c r="K5" i="24"/>
  <c r="J5" i="24"/>
  <c r="I5" i="24"/>
  <c r="H5" i="24"/>
  <c r="G5" i="24"/>
  <c r="F5" i="24"/>
  <c r="E5" i="24"/>
  <c r="D5" i="24"/>
  <c r="C5" i="24"/>
  <c r="B5" i="24"/>
  <c r="AB3" i="24"/>
  <c r="AA3" i="24"/>
  <c r="Z3" i="24"/>
  <c r="Y3" i="24"/>
  <c r="X3" i="24"/>
  <c r="W3" i="24"/>
  <c r="V3" i="24"/>
  <c r="U3" i="24"/>
  <c r="T3" i="24"/>
  <c r="S3" i="24"/>
  <c r="R3" i="24"/>
  <c r="Q3" i="24"/>
  <c r="P3" i="24"/>
  <c r="O3" i="24"/>
  <c r="N3" i="24"/>
  <c r="M3" i="24"/>
  <c r="L3" i="24"/>
  <c r="K3" i="24"/>
  <c r="J3" i="24"/>
  <c r="I3" i="24"/>
  <c r="H3" i="24"/>
  <c r="G3" i="24"/>
  <c r="F3" i="24"/>
  <c r="E3" i="24"/>
  <c r="D3" i="24"/>
  <c r="C3" i="24"/>
  <c r="B3" i="24"/>
  <c r="AB11" i="23"/>
  <c r="AA11" i="23"/>
  <c r="Z11" i="23"/>
  <c r="Y11" i="23"/>
  <c r="X11" i="23"/>
  <c r="W11" i="23"/>
  <c r="V11" i="23"/>
  <c r="U11" i="23"/>
  <c r="T11" i="23"/>
  <c r="S11" i="23"/>
  <c r="R11" i="23"/>
  <c r="Q11" i="23"/>
  <c r="P11" i="23"/>
  <c r="O11" i="23"/>
  <c r="N11" i="23"/>
  <c r="M11" i="23"/>
  <c r="L11" i="23"/>
  <c r="K11" i="23"/>
  <c r="J11" i="23"/>
  <c r="I11" i="23"/>
  <c r="H11" i="23"/>
  <c r="G11" i="23"/>
  <c r="F11" i="23"/>
  <c r="E11" i="23"/>
  <c r="D11" i="23"/>
  <c r="C11" i="23"/>
  <c r="B11" i="23"/>
  <c r="AB9" i="23"/>
  <c r="AA9" i="23"/>
  <c r="Z9" i="23"/>
  <c r="Y9" i="23"/>
  <c r="X9" i="23"/>
  <c r="W9" i="23"/>
  <c r="V9" i="23"/>
  <c r="U9" i="23"/>
  <c r="T9" i="23"/>
  <c r="S9" i="23"/>
  <c r="R9" i="23"/>
  <c r="Q9" i="23"/>
  <c r="P9" i="23"/>
  <c r="O9" i="23"/>
  <c r="N9" i="23"/>
  <c r="M9" i="23"/>
  <c r="L9" i="23"/>
  <c r="K9" i="23"/>
  <c r="J9" i="23"/>
  <c r="I9" i="23"/>
  <c r="H9" i="23"/>
  <c r="G9" i="23"/>
  <c r="F9" i="23"/>
  <c r="E9" i="23"/>
  <c r="D9" i="23"/>
  <c r="C9" i="23"/>
  <c r="B9" i="23"/>
  <c r="AB8" i="23"/>
  <c r="AA8" i="23"/>
  <c r="Z8" i="23"/>
  <c r="Y8" i="23"/>
  <c r="X8" i="23"/>
  <c r="W8" i="23"/>
  <c r="V8" i="23"/>
  <c r="U8" i="23"/>
  <c r="T8" i="23"/>
  <c r="S8" i="23"/>
  <c r="R8" i="23"/>
  <c r="Q8" i="23"/>
  <c r="P8" i="23"/>
  <c r="O8" i="23"/>
  <c r="N8" i="23"/>
  <c r="M8" i="23"/>
  <c r="L8" i="23"/>
  <c r="K8" i="23"/>
  <c r="J8" i="23"/>
  <c r="I8" i="23"/>
  <c r="H8" i="23"/>
  <c r="G8" i="23"/>
  <c r="F8" i="23"/>
  <c r="E8" i="23"/>
  <c r="D8" i="23"/>
  <c r="C8" i="23"/>
  <c r="B8" i="23"/>
  <c r="AB3" i="23"/>
  <c r="AA3" i="23"/>
  <c r="Z3" i="23"/>
  <c r="Y3" i="23"/>
  <c r="X3" i="23"/>
  <c r="W3" i="23"/>
  <c r="V3" i="23"/>
  <c r="U3" i="23"/>
  <c r="T3" i="23"/>
  <c r="S3" i="23"/>
  <c r="R3" i="23"/>
  <c r="Q3" i="23"/>
  <c r="P3" i="23"/>
  <c r="O3" i="23"/>
  <c r="N3" i="23"/>
  <c r="M3" i="23"/>
  <c r="L3" i="23"/>
  <c r="K3" i="23"/>
  <c r="J3" i="23"/>
  <c r="I3" i="23"/>
  <c r="H3" i="23"/>
  <c r="G3" i="23"/>
  <c r="F3" i="23"/>
  <c r="E3" i="23"/>
  <c r="D3" i="23"/>
  <c r="C3" i="23"/>
  <c r="B3" i="23"/>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AB11" i="21"/>
  <c r="AA11" i="21"/>
  <c r="Z11" i="21"/>
  <c r="Y11" i="21"/>
  <c r="X11" i="21"/>
  <c r="W11" i="21"/>
  <c r="V11" i="21"/>
  <c r="U11" i="21"/>
  <c r="T11" i="21"/>
  <c r="S11" i="21"/>
  <c r="R11" i="21"/>
  <c r="Q11" i="21"/>
  <c r="P11" i="21"/>
  <c r="O11" i="21"/>
  <c r="N11" i="21"/>
  <c r="M11" i="21"/>
  <c r="L11" i="21"/>
  <c r="K11" i="21"/>
  <c r="J11" i="21"/>
  <c r="I11" i="21"/>
  <c r="H11" i="21"/>
  <c r="G11" i="21"/>
  <c r="F11" i="21"/>
  <c r="E11" i="21"/>
  <c r="D11" i="21"/>
  <c r="C11" i="21"/>
  <c r="B11" i="21"/>
  <c r="AB9" i="21"/>
  <c r="AA9" i="21"/>
  <c r="Z9" i="21"/>
  <c r="Y9" i="21"/>
  <c r="X9" i="21"/>
  <c r="W9" i="21"/>
  <c r="V9" i="21"/>
  <c r="U9" i="21"/>
  <c r="T9" i="21"/>
  <c r="S9" i="21"/>
  <c r="R9" i="21"/>
  <c r="Q9" i="21"/>
  <c r="P9" i="21"/>
  <c r="O9" i="21"/>
  <c r="N9" i="21"/>
  <c r="M9" i="21"/>
  <c r="L9" i="21"/>
  <c r="K9" i="21"/>
  <c r="J9" i="21"/>
  <c r="I9" i="21"/>
  <c r="H9" i="21"/>
  <c r="G9" i="21"/>
  <c r="F9" i="21"/>
  <c r="E9" i="21"/>
  <c r="D9" i="21"/>
  <c r="C9" i="21"/>
  <c r="B9"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AB7" i="21"/>
  <c r="AA7" i="21"/>
  <c r="Z7" i="21"/>
  <c r="Y7" i="21"/>
  <c r="X7" i="21"/>
  <c r="W7" i="21"/>
  <c r="V7" i="21"/>
  <c r="U7" i="21"/>
  <c r="T7" i="21"/>
  <c r="S7" i="21"/>
  <c r="R7" i="21"/>
  <c r="Q7" i="21"/>
  <c r="P7" i="21"/>
  <c r="O7" i="21"/>
  <c r="N7" i="21"/>
  <c r="M7" i="21"/>
  <c r="L7" i="21"/>
  <c r="K7" i="21"/>
  <c r="J7" i="21"/>
  <c r="I7" i="21"/>
  <c r="H7" i="21"/>
  <c r="G7" i="21"/>
  <c r="F7" i="21"/>
  <c r="E7" i="21"/>
  <c r="D7" i="21"/>
  <c r="C7" i="21"/>
  <c r="B7" i="21"/>
  <c r="AB6" i="21"/>
  <c r="AA6" i="21"/>
  <c r="Z6" i="21"/>
  <c r="Y6" i="21"/>
  <c r="X6" i="21"/>
  <c r="W6" i="21"/>
  <c r="V6" i="21"/>
  <c r="U6" i="21"/>
  <c r="T6" i="21"/>
  <c r="S6" i="21"/>
  <c r="R6" i="21"/>
  <c r="Q6" i="21"/>
  <c r="P6" i="21"/>
  <c r="O6" i="21"/>
  <c r="N6" i="21"/>
  <c r="M6" i="21"/>
  <c r="L6" i="21"/>
  <c r="K6" i="21"/>
  <c r="J6" i="21"/>
  <c r="I6" i="21"/>
  <c r="H6" i="21"/>
  <c r="G6" i="21"/>
  <c r="F6" i="21"/>
  <c r="E6" i="21"/>
  <c r="D6" i="21"/>
  <c r="C6" i="21"/>
  <c r="B6" i="21"/>
  <c r="AB3" i="21"/>
  <c r="AA3" i="21"/>
  <c r="Z3" i="21"/>
  <c r="Y3" i="21"/>
  <c r="X3" i="21"/>
  <c r="W3" i="21"/>
  <c r="V3" i="21"/>
  <c r="U3" i="21"/>
  <c r="T3" i="21"/>
  <c r="S3" i="21"/>
  <c r="R3" i="21"/>
  <c r="Q3" i="21"/>
  <c r="P3" i="21"/>
  <c r="O3" i="21"/>
  <c r="N3" i="21"/>
  <c r="M3" i="21"/>
  <c r="L3" i="21"/>
  <c r="K3" i="21"/>
  <c r="J3" i="21"/>
  <c r="I3" i="21"/>
  <c r="H3" i="21"/>
  <c r="G3" i="21"/>
  <c r="F3" i="21"/>
  <c r="E3" i="21"/>
  <c r="D3" i="21"/>
  <c r="C3" i="21"/>
  <c r="B3" i="21"/>
  <c r="AB11" i="20"/>
  <c r="AA11" i="20"/>
  <c r="Z11" i="20"/>
  <c r="Y11" i="20"/>
  <c r="X11" i="20"/>
  <c r="W11" i="20"/>
  <c r="V11" i="20"/>
  <c r="U11" i="20"/>
  <c r="T11" i="20"/>
  <c r="S11" i="20"/>
  <c r="R11" i="20"/>
  <c r="Q11" i="20"/>
  <c r="P11" i="20"/>
  <c r="O11" i="20"/>
  <c r="N11" i="20"/>
  <c r="M11" i="20"/>
  <c r="L11" i="20"/>
  <c r="K11" i="20"/>
  <c r="J11" i="20"/>
  <c r="I11" i="20"/>
  <c r="H11" i="20"/>
  <c r="G11" i="20"/>
  <c r="F11" i="20"/>
  <c r="E11" i="20"/>
  <c r="D11" i="20"/>
  <c r="C11" i="20"/>
  <c r="B11" i="20"/>
  <c r="AB10" i="20"/>
  <c r="AA10" i="20"/>
  <c r="Z10" i="20"/>
  <c r="Y10" i="20"/>
  <c r="X10" i="20"/>
  <c r="W10" i="20"/>
  <c r="V10" i="20"/>
  <c r="U10" i="20"/>
  <c r="T10" i="20"/>
  <c r="S10" i="20"/>
  <c r="R10" i="20"/>
  <c r="Q10" i="20"/>
  <c r="P10" i="20"/>
  <c r="O10" i="20"/>
  <c r="N10" i="20"/>
  <c r="M10" i="20"/>
  <c r="L10" i="20"/>
  <c r="K10" i="20"/>
  <c r="J10" i="20"/>
  <c r="I10" i="20"/>
  <c r="H10" i="20"/>
  <c r="G10" i="20"/>
  <c r="F10" i="20"/>
  <c r="E10" i="20"/>
  <c r="D10" i="20"/>
  <c r="C10" i="20"/>
  <c r="B10" i="20"/>
  <c r="AB9" i="20"/>
  <c r="AA9" i="20"/>
  <c r="Z9" i="20"/>
  <c r="Y9" i="20"/>
  <c r="X9" i="20"/>
  <c r="W9" i="20"/>
  <c r="V9" i="20"/>
  <c r="U9" i="20"/>
  <c r="T9" i="20"/>
  <c r="S9" i="20"/>
  <c r="R9" i="20"/>
  <c r="Q9" i="20"/>
  <c r="P9" i="20"/>
  <c r="O9" i="20"/>
  <c r="N9" i="20"/>
  <c r="M9" i="20"/>
  <c r="L9" i="20"/>
  <c r="K9" i="20"/>
  <c r="J9" i="20"/>
  <c r="I9" i="20"/>
  <c r="H9" i="20"/>
  <c r="G9" i="20"/>
  <c r="F9" i="20"/>
  <c r="E9" i="20"/>
  <c r="D9" i="20"/>
  <c r="C9" i="20"/>
  <c r="B9" i="20"/>
  <c r="AB8" i="20"/>
  <c r="AA8" i="20"/>
  <c r="Z8" i="20"/>
  <c r="Y8" i="20"/>
  <c r="X8" i="20"/>
  <c r="W8" i="20"/>
  <c r="V8" i="20"/>
  <c r="U8" i="20"/>
  <c r="T8" i="20"/>
  <c r="S8" i="20"/>
  <c r="R8" i="20"/>
  <c r="Q8" i="20"/>
  <c r="P8" i="20"/>
  <c r="O8" i="20"/>
  <c r="N8" i="20"/>
  <c r="M8" i="20"/>
  <c r="L8" i="20"/>
  <c r="K8" i="20"/>
  <c r="J8" i="20"/>
  <c r="I8" i="20"/>
  <c r="H8" i="20"/>
  <c r="G8" i="20"/>
  <c r="F8" i="20"/>
  <c r="E8" i="20"/>
  <c r="D8" i="20"/>
  <c r="C8" i="20"/>
  <c r="B8" i="20"/>
  <c r="AB7" i="20"/>
  <c r="AA7" i="20"/>
  <c r="Z7" i="20"/>
  <c r="Y7" i="20"/>
  <c r="X7" i="20"/>
  <c r="W7" i="20"/>
  <c r="V7" i="20"/>
  <c r="U7" i="20"/>
  <c r="T7" i="20"/>
  <c r="S7" i="20"/>
  <c r="R7" i="20"/>
  <c r="Q7" i="20"/>
  <c r="P7" i="20"/>
  <c r="O7" i="20"/>
  <c r="N7" i="20"/>
  <c r="M7" i="20"/>
  <c r="L7" i="20"/>
  <c r="K7" i="20"/>
  <c r="J7" i="20"/>
  <c r="I7" i="20"/>
  <c r="H7" i="20"/>
  <c r="G7" i="20"/>
  <c r="F7" i="20"/>
  <c r="E7" i="20"/>
  <c r="D7" i="20"/>
  <c r="C7" i="20"/>
  <c r="B7" i="20"/>
  <c r="AB6" i="20"/>
  <c r="AA6" i="20"/>
  <c r="Z6" i="20"/>
  <c r="Y6" i="20"/>
  <c r="X6" i="20"/>
  <c r="W6" i="20"/>
  <c r="V6" i="20"/>
  <c r="U6" i="20"/>
  <c r="T6" i="20"/>
  <c r="S6" i="20"/>
  <c r="R6" i="20"/>
  <c r="Q6" i="20"/>
  <c r="P6" i="20"/>
  <c r="O6" i="20"/>
  <c r="N6" i="20"/>
  <c r="M6" i="20"/>
  <c r="L6" i="20"/>
  <c r="K6" i="20"/>
  <c r="J6" i="20"/>
  <c r="I6" i="20"/>
  <c r="H6" i="20"/>
  <c r="G6" i="20"/>
  <c r="F6" i="20"/>
  <c r="E6" i="20"/>
  <c r="D6" i="20"/>
  <c r="C6" i="20"/>
  <c r="B6" i="20"/>
  <c r="AB5" i="20"/>
  <c r="AA5" i="20"/>
  <c r="Z5" i="20"/>
  <c r="Y5" i="20"/>
  <c r="X5" i="20"/>
  <c r="W5" i="20"/>
  <c r="V5" i="20"/>
  <c r="U5" i="20"/>
  <c r="T5" i="20"/>
  <c r="S5" i="20"/>
  <c r="R5" i="20"/>
  <c r="Q5" i="20"/>
  <c r="P5" i="20"/>
  <c r="O5" i="20"/>
  <c r="N5" i="20"/>
  <c r="M5" i="20"/>
  <c r="L5" i="20"/>
  <c r="K5" i="20"/>
  <c r="J5" i="20"/>
  <c r="I5" i="20"/>
  <c r="H5" i="20"/>
  <c r="G5" i="20"/>
  <c r="F5" i="20"/>
  <c r="E5" i="20"/>
  <c r="D5" i="20"/>
  <c r="C5" i="20"/>
  <c r="B5" i="20"/>
  <c r="AB4" i="20"/>
  <c r="AA4" i="20"/>
  <c r="Z4" i="20"/>
  <c r="Y4" i="20"/>
  <c r="X4" i="20"/>
  <c r="W4" i="20"/>
  <c r="V4" i="20"/>
  <c r="U4" i="20"/>
  <c r="T4" i="20"/>
  <c r="S4" i="20"/>
  <c r="R4" i="20"/>
  <c r="Q4" i="20"/>
  <c r="P4" i="20"/>
  <c r="O4" i="20"/>
  <c r="N4" i="20"/>
  <c r="M4" i="20"/>
  <c r="L4" i="20"/>
  <c r="K4" i="20"/>
  <c r="J4" i="20"/>
  <c r="I4" i="20"/>
  <c r="H4" i="20"/>
  <c r="G4" i="20"/>
  <c r="F4" i="20"/>
  <c r="E4" i="20"/>
  <c r="D4" i="20"/>
  <c r="C4" i="20"/>
  <c r="B4" i="20"/>
  <c r="AB3" i="20"/>
  <c r="AA3" i="20"/>
  <c r="Z3" i="20"/>
  <c r="Y3" i="20"/>
  <c r="X3" i="20"/>
  <c r="W3" i="20"/>
  <c r="V3" i="20"/>
  <c r="U3" i="20"/>
  <c r="T3" i="20"/>
  <c r="S3" i="20"/>
  <c r="R3" i="20"/>
  <c r="Q3" i="20"/>
  <c r="P3" i="20"/>
  <c r="O3" i="20"/>
  <c r="N3" i="20"/>
  <c r="M3" i="20"/>
  <c r="L3" i="20"/>
  <c r="K3" i="20"/>
  <c r="J3" i="20"/>
  <c r="I3" i="20"/>
  <c r="H3" i="20"/>
  <c r="G3" i="20"/>
  <c r="F3" i="20"/>
  <c r="E3" i="20"/>
  <c r="D3" i="20"/>
  <c r="C3" i="20"/>
  <c r="B3" i="20"/>
  <c r="AB11" i="19"/>
  <c r="AA11" i="19"/>
  <c r="Z11" i="19"/>
  <c r="Y11" i="19"/>
  <c r="X11" i="19"/>
  <c r="W11" i="19"/>
  <c r="V11" i="19"/>
  <c r="U11" i="19"/>
  <c r="T11" i="19"/>
  <c r="S11" i="19"/>
  <c r="R11" i="19"/>
  <c r="Q11" i="19"/>
  <c r="P11" i="19"/>
  <c r="O11" i="19"/>
  <c r="N11" i="19"/>
  <c r="M11" i="19"/>
  <c r="L11" i="19"/>
  <c r="K11" i="19"/>
  <c r="J11" i="19"/>
  <c r="I11" i="19"/>
  <c r="H11" i="19"/>
  <c r="G11" i="19"/>
  <c r="F11" i="19"/>
  <c r="E11" i="19"/>
  <c r="D11" i="19"/>
  <c r="C11" i="19"/>
  <c r="B11" i="19"/>
  <c r="AB10" i="19"/>
  <c r="AA10" i="19"/>
  <c r="Z10" i="19"/>
  <c r="Y10" i="19"/>
  <c r="X10" i="19"/>
  <c r="W10" i="19"/>
  <c r="V10" i="19"/>
  <c r="U10" i="19"/>
  <c r="T10" i="19"/>
  <c r="S10" i="19"/>
  <c r="R10" i="19"/>
  <c r="Q10" i="19"/>
  <c r="P10" i="19"/>
  <c r="O10" i="19"/>
  <c r="N10" i="19"/>
  <c r="M10" i="19"/>
  <c r="L10" i="19"/>
  <c r="K10" i="19"/>
  <c r="J10" i="19"/>
  <c r="I10" i="19"/>
  <c r="H10" i="19"/>
  <c r="G10" i="19"/>
  <c r="F10" i="19"/>
  <c r="E10" i="19"/>
  <c r="D10" i="19"/>
  <c r="C10" i="19"/>
  <c r="B10" i="19"/>
  <c r="AB9" i="19"/>
  <c r="AA9" i="19"/>
  <c r="Z9" i="19"/>
  <c r="Y9" i="19"/>
  <c r="X9" i="19"/>
  <c r="W9" i="19"/>
  <c r="V9" i="19"/>
  <c r="U9" i="19"/>
  <c r="T9" i="19"/>
  <c r="S9" i="19"/>
  <c r="R9" i="19"/>
  <c r="Q9" i="19"/>
  <c r="P9" i="19"/>
  <c r="O9" i="19"/>
  <c r="N9" i="19"/>
  <c r="M9" i="19"/>
  <c r="L9" i="19"/>
  <c r="K9" i="19"/>
  <c r="J9" i="19"/>
  <c r="I9" i="19"/>
  <c r="H9" i="19"/>
  <c r="G9" i="19"/>
  <c r="F9" i="19"/>
  <c r="E9" i="19"/>
  <c r="D9" i="19"/>
  <c r="C9" i="19"/>
  <c r="B9" i="19"/>
  <c r="AB8" i="19"/>
  <c r="AA8" i="19"/>
  <c r="Z8" i="19"/>
  <c r="Y8" i="19"/>
  <c r="X8" i="19"/>
  <c r="W8" i="19"/>
  <c r="V8" i="19"/>
  <c r="U8" i="19"/>
  <c r="T8" i="19"/>
  <c r="S8" i="19"/>
  <c r="R8" i="19"/>
  <c r="Q8" i="19"/>
  <c r="P8" i="19"/>
  <c r="O8" i="19"/>
  <c r="N8" i="19"/>
  <c r="M8" i="19"/>
  <c r="L8" i="19"/>
  <c r="K8" i="19"/>
  <c r="J8" i="19"/>
  <c r="I8" i="19"/>
  <c r="H8" i="19"/>
  <c r="G8" i="19"/>
  <c r="F8" i="19"/>
  <c r="E8" i="19"/>
  <c r="D8" i="19"/>
  <c r="C8" i="19"/>
  <c r="B8" i="19"/>
  <c r="AB7" i="19"/>
  <c r="AA7" i="19"/>
  <c r="Z7" i="19"/>
  <c r="Y7" i="19"/>
  <c r="X7" i="19"/>
  <c r="W7" i="19"/>
  <c r="V7" i="19"/>
  <c r="U7" i="19"/>
  <c r="T7" i="19"/>
  <c r="S7" i="19"/>
  <c r="R7" i="19"/>
  <c r="Q7" i="19"/>
  <c r="P7" i="19"/>
  <c r="O7" i="19"/>
  <c r="N7" i="19"/>
  <c r="M7" i="19"/>
  <c r="L7" i="19"/>
  <c r="K7" i="19"/>
  <c r="J7" i="19"/>
  <c r="I7" i="19"/>
  <c r="H7" i="19"/>
  <c r="G7" i="19"/>
  <c r="F7" i="19"/>
  <c r="E7" i="19"/>
  <c r="D7" i="19"/>
  <c r="C7" i="19"/>
  <c r="B7" i="19"/>
  <c r="AB6" i="19"/>
  <c r="AA6" i="19"/>
  <c r="Z6" i="19"/>
  <c r="Y6" i="19"/>
  <c r="X6" i="19"/>
  <c r="W6" i="19"/>
  <c r="V6" i="19"/>
  <c r="U6" i="19"/>
  <c r="T6" i="19"/>
  <c r="S6" i="19"/>
  <c r="R6" i="19"/>
  <c r="Q6" i="19"/>
  <c r="P6" i="19"/>
  <c r="O6" i="19"/>
  <c r="N6" i="19"/>
  <c r="M6" i="19"/>
  <c r="L6" i="19"/>
  <c r="K6" i="19"/>
  <c r="J6" i="19"/>
  <c r="I6" i="19"/>
  <c r="H6" i="19"/>
  <c r="G6" i="19"/>
  <c r="F6" i="19"/>
  <c r="E6" i="19"/>
  <c r="D6" i="19"/>
  <c r="C6" i="19"/>
  <c r="B6" i="19"/>
  <c r="AB5" i="19"/>
  <c r="AA5" i="19"/>
  <c r="Z5" i="19"/>
  <c r="Y5" i="19"/>
  <c r="X5" i="19"/>
  <c r="W5" i="19"/>
  <c r="V5" i="19"/>
  <c r="U5" i="19"/>
  <c r="T5" i="19"/>
  <c r="S5" i="19"/>
  <c r="R5" i="19"/>
  <c r="Q5" i="19"/>
  <c r="P5" i="19"/>
  <c r="O5" i="19"/>
  <c r="N5" i="19"/>
  <c r="M5" i="19"/>
  <c r="L5" i="19"/>
  <c r="K5" i="19"/>
  <c r="J5" i="19"/>
  <c r="I5" i="19"/>
  <c r="H5" i="19"/>
  <c r="G5" i="19"/>
  <c r="F5" i="19"/>
  <c r="E5" i="19"/>
  <c r="D5" i="19"/>
  <c r="C5" i="19"/>
  <c r="B5" i="19"/>
  <c r="AB3" i="19"/>
  <c r="AA3" i="19"/>
  <c r="Z3" i="19"/>
  <c r="Y3" i="19"/>
  <c r="X3" i="19"/>
  <c r="W3" i="19"/>
  <c r="V3" i="19"/>
  <c r="U3" i="19"/>
  <c r="T3" i="19"/>
  <c r="S3" i="19"/>
  <c r="R3" i="19"/>
  <c r="Q3" i="19"/>
  <c r="P3" i="19"/>
  <c r="O3" i="19"/>
  <c r="N3" i="19"/>
  <c r="M3" i="19"/>
  <c r="L3" i="19"/>
  <c r="K3" i="19"/>
  <c r="J3" i="19"/>
  <c r="I3" i="19"/>
  <c r="H3" i="19"/>
  <c r="G3" i="19"/>
  <c r="F3" i="19"/>
  <c r="E3" i="19"/>
  <c r="D3" i="19"/>
  <c r="C3" i="19"/>
  <c r="B3" i="19"/>
  <c r="AB11" i="18"/>
  <c r="AA11" i="18"/>
  <c r="Z11" i="18"/>
  <c r="Y11" i="18"/>
  <c r="X11" i="18"/>
  <c r="W11" i="18"/>
  <c r="V11" i="18"/>
  <c r="U11" i="18"/>
  <c r="T11" i="18"/>
  <c r="S11" i="18"/>
  <c r="R11" i="18"/>
  <c r="Q11" i="18"/>
  <c r="P11" i="18"/>
  <c r="O11" i="18"/>
  <c r="N11" i="18"/>
  <c r="M11" i="18"/>
  <c r="L11" i="18"/>
  <c r="K11" i="18"/>
  <c r="J11" i="18"/>
  <c r="I11" i="18"/>
  <c r="H11" i="18"/>
  <c r="G11" i="18"/>
  <c r="F11" i="18"/>
  <c r="E11" i="18"/>
  <c r="D11" i="18"/>
  <c r="C11" i="18"/>
  <c r="B11" i="18"/>
  <c r="AB9" i="18"/>
  <c r="AA9" i="18"/>
  <c r="Z9" i="18"/>
  <c r="Y9" i="18"/>
  <c r="X9" i="18"/>
  <c r="W9" i="18"/>
  <c r="V9" i="18"/>
  <c r="U9" i="18"/>
  <c r="T9" i="18"/>
  <c r="S9" i="18"/>
  <c r="R9" i="18"/>
  <c r="Q9" i="18"/>
  <c r="P9" i="18"/>
  <c r="O9" i="18"/>
  <c r="N9" i="18"/>
  <c r="M9" i="18"/>
  <c r="L9" i="18"/>
  <c r="K9" i="18"/>
  <c r="J9" i="18"/>
  <c r="I9" i="18"/>
  <c r="H9" i="18"/>
  <c r="G9" i="18"/>
  <c r="F9" i="18"/>
  <c r="E9" i="18"/>
  <c r="D9" i="18"/>
  <c r="C9" i="18"/>
  <c r="B9" i="18"/>
  <c r="AB8" i="18"/>
  <c r="AA8" i="18"/>
  <c r="Z8" i="18"/>
  <c r="Y8" i="18"/>
  <c r="X8" i="18"/>
  <c r="W8" i="18"/>
  <c r="V8" i="18"/>
  <c r="U8" i="18"/>
  <c r="T8" i="18"/>
  <c r="S8" i="18"/>
  <c r="R8" i="18"/>
  <c r="Q8" i="18"/>
  <c r="P8" i="18"/>
  <c r="O8" i="18"/>
  <c r="N8" i="18"/>
  <c r="M8" i="18"/>
  <c r="L8" i="18"/>
  <c r="K8" i="18"/>
  <c r="J8" i="18"/>
  <c r="I8" i="18"/>
  <c r="H8" i="18"/>
  <c r="G8" i="18"/>
  <c r="F8" i="18"/>
  <c r="E8" i="18"/>
  <c r="D8" i="18"/>
  <c r="C8" i="18"/>
  <c r="B8" i="18"/>
  <c r="AB6" i="18"/>
  <c r="AA6" i="18"/>
  <c r="Z6" i="18"/>
  <c r="Y6" i="18"/>
  <c r="X6" i="18"/>
  <c r="W6" i="18"/>
  <c r="V6" i="18"/>
  <c r="U6" i="18"/>
  <c r="T6" i="18"/>
  <c r="S6" i="18"/>
  <c r="R6" i="18"/>
  <c r="Q6" i="18"/>
  <c r="P6" i="18"/>
  <c r="O6" i="18"/>
  <c r="N6" i="18"/>
  <c r="M6" i="18"/>
  <c r="L6" i="18"/>
  <c r="K6" i="18"/>
  <c r="J6" i="18"/>
  <c r="I6" i="18"/>
  <c r="H6" i="18"/>
  <c r="G6" i="18"/>
  <c r="F6" i="18"/>
  <c r="E6" i="18"/>
  <c r="D6" i="18"/>
  <c r="C6" i="18"/>
  <c r="B6" i="18"/>
  <c r="AB3" i="18"/>
  <c r="AA3" i="18"/>
  <c r="Z3" i="18"/>
  <c r="Y3" i="18"/>
  <c r="X3" i="18"/>
  <c r="W3" i="18"/>
  <c r="V3" i="18"/>
  <c r="U3" i="18"/>
  <c r="T3" i="18"/>
  <c r="S3" i="18"/>
  <c r="R3" i="18"/>
  <c r="Q3" i="18"/>
  <c r="P3" i="18"/>
  <c r="O3" i="18"/>
  <c r="N3" i="18"/>
  <c r="M3" i="18"/>
  <c r="L3" i="18"/>
  <c r="K3" i="18"/>
  <c r="J3" i="18"/>
  <c r="I3" i="18"/>
  <c r="H3" i="18"/>
  <c r="G3" i="18"/>
  <c r="F3" i="18"/>
  <c r="E3" i="18"/>
  <c r="D3" i="18"/>
  <c r="C3" i="18"/>
  <c r="B3" i="18"/>
  <c r="AB11" i="17"/>
  <c r="AA11" i="17"/>
  <c r="Z11" i="17"/>
  <c r="Y11" i="17"/>
  <c r="X11" i="17"/>
  <c r="W11" i="17"/>
  <c r="V11" i="17"/>
  <c r="U11" i="17"/>
  <c r="T11" i="17"/>
  <c r="S11" i="17"/>
  <c r="R11" i="17"/>
  <c r="Q11" i="17"/>
  <c r="P11" i="17"/>
  <c r="O11" i="17"/>
  <c r="N11" i="17"/>
  <c r="M11" i="17"/>
  <c r="L11" i="17"/>
  <c r="K11" i="17"/>
  <c r="J11" i="17"/>
  <c r="I11" i="17"/>
  <c r="H11" i="17"/>
  <c r="G11" i="17"/>
  <c r="F11" i="17"/>
  <c r="E11" i="17"/>
  <c r="D11" i="17"/>
  <c r="C11" i="17"/>
  <c r="B11" i="17"/>
  <c r="AB9" i="17"/>
  <c r="AA9" i="17"/>
  <c r="Z9" i="17"/>
  <c r="Y9" i="17"/>
  <c r="X9" i="17"/>
  <c r="W9" i="17"/>
  <c r="V9" i="17"/>
  <c r="U9" i="17"/>
  <c r="T9" i="17"/>
  <c r="S9" i="17"/>
  <c r="R9" i="17"/>
  <c r="Q9" i="17"/>
  <c r="P9" i="17"/>
  <c r="O9" i="17"/>
  <c r="N9" i="17"/>
  <c r="M9" i="17"/>
  <c r="L9" i="17"/>
  <c r="K9" i="17"/>
  <c r="J9" i="17"/>
  <c r="I9" i="17"/>
  <c r="H9" i="17"/>
  <c r="G9" i="17"/>
  <c r="F9" i="17"/>
  <c r="E9" i="17"/>
  <c r="D9" i="17"/>
  <c r="C9" i="17"/>
  <c r="B9" i="17"/>
  <c r="AB8" i="17"/>
  <c r="AA8" i="17"/>
  <c r="Z8" i="17"/>
  <c r="Y8" i="17"/>
  <c r="X8" i="17"/>
  <c r="W8" i="17"/>
  <c r="V8" i="17"/>
  <c r="U8" i="17"/>
  <c r="T8" i="17"/>
  <c r="S8" i="17"/>
  <c r="R8" i="17"/>
  <c r="Q8" i="17"/>
  <c r="P8" i="17"/>
  <c r="O8" i="17"/>
  <c r="N8" i="17"/>
  <c r="M8" i="17"/>
  <c r="L8" i="17"/>
  <c r="K8" i="17"/>
  <c r="J8" i="17"/>
  <c r="I8" i="17"/>
  <c r="H8" i="17"/>
  <c r="G8" i="17"/>
  <c r="F8" i="17"/>
  <c r="E8" i="17"/>
  <c r="D8" i="17"/>
  <c r="C8" i="17"/>
  <c r="B8" i="17"/>
  <c r="AB7" i="17"/>
  <c r="AA7" i="17"/>
  <c r="Z7" i="17"/>
  <c r="Y7" i="17"/>
  <c r="X7" i="17"/>
  <c r="W7" i="17"/>
  <c r="V7" i="17"/>
  <c r="U7" i="17"/>
  <c r="T7" i="17"/>
  <c r="S7" i="17"/>
  <c r="R7" i="17"/>
  <c r="Q7" i="17"/>
  <c r="P7" i="17"/>
  <c r="O7" i="17"/>
  <c r="N7" i="17"/>
  <c r="M7" i="17"/>
  <c r="L7" i="17"/>
  <c r="K7" i="17"/>
  <c r="J7" i="17"/>
  <c r="I7" i="17"/>
  <c r="H7" i="17"/>
  <c r="G7" i="17"/>
  <c r="F7" i="17"/>
  <c r="E7" i="17"/>
  <c r="D7" i="17"/>
  <c r="C7" i="17"/>
  <c r="B7" i="17"/>
  <c r="AB6" i="17"/>
  <c r="AA6" i="17"/>
  <c r="Z6" i="17"/>
  <c r="Y6" i="17"/>
  <c r="X6" i="17"/>
  <c r="W6" i="17"/>
  <c r="V6" i="17"/>
  <c r="U6" i="17"/>
  <c r="T6" i="17"/>
  <c r="S6" i="17"/>
  <c r="R6" i="17"/>
  <c r="Q6" i="17"/>
  <c r="P6" i="17"/>
  <c r="O6" i="17"/>
  <c r="N6" i="17"/>
  <c r="M6" i="17"/>
  <c r="L6" i="17"/>
  <c r="K6" i="17"/>
  <c r="J6" i="17"/>
  <c r="I6" i="17"/>
  <c r="H6" i="17"/>
  <c r="G6" i="17"/>
  <c r="F6" i="17"/>
  <c r="E6" i="17"/>
  <c r="D6" i="17"/>
  <c r="C6" i="17"/>
  <c r="B6" i="17"/>
  <c r="AB3" i="17"/>
  <c r="AA3" i="17"/>
  <c r="Z3" i="17"/>
  <c r="Y3" i="17"/>
  <c r="X3" i="17"/>
  <c r="W3" i="17"/>
  <c r="V3" i="17"/>
  <c r="U3" i="17"/>
  <c r="T3" i="17"/>
  <c r="S3" i="17"/>
  <c r="R3" i="17"/>
  <c r="Q3" i="17"/>
  <c r="P3" i="17"/>
  <c r="O3" i="17"/>
  <c r="N3" i="17"/>
  <c r="M3" i="17"/>
  <c r="L3" i="17"/>
  <c r="K3" i="17"/>
  <c r="J3" i="17"/>
  <c r="I3" i="17"/>
  <c r="H3" i="17"/>
  <c r="G3" i="17"/>
  <c r="F3" i="17"/>
  <c r="E3" i="17"/>
  <c r="D3" i="17"/>
  <c r="C3" i="17"/>
  <c r="B3" i="17"/>
  <c r="AB11" i="16"/>
  <c r="AA11" i="16"/>
  <c r="Z11" i="16"/>
  <c r="Y11" i="16"/>
  <c r="X11" i="16"/>
  <c r="W11" i="16"/>
  <c r="V11" i="16"/>
  <c r="U11" i="16"/>
  <c r="T11" i="16"/>
  <c r="S11" i="16"/>
  <c r="R11" i="16"/>
  <c r="Q11" i="16"/>
  <c r="P11" i="16"/>
  <c r="O11" i="16"/>
  <c r="N11" i="16"/>
  <c r="M11" i="16"/>
  <c r="L11" i="16"/>
  <c r="K11" i="16"/>
  <c r="J11" i="16"/>
  <c r="I11" i="16"/>
  <c r="H11" i="16"/>
  <c r="G11" i="16"/>
  <c r="F11" i="16"/>
  <c r="E11" i="16"/>
  <c r="D11" i="16"/>
  <c r="C11" i="16"/>
  <c r="B11" i="16"/>
  <c r="AB9" i="16"/>
  <c r="AA9" i="16"/>
  <c r="Z9" i="16"/>
  <c r="Y9" i="16"/>
  <c r="X9" i="16"/>
  <c r="W9" i="16"/>
  <c r="V9" i="16"/>
  <c r="U9" i="16"/>
  <c r="T9" i="16"/>
  <c r="S9" i="16"/>
  <c r="R9" i="16"/>
  <c r="Q9" i="16"/>
  <c r="P9" i="16"/>
  <c r="O9" i="16"/>
  <c r="N9" i="16"/>
  <c r="M9" i="16"/>
  <c r="L9" i="16"/>
  <c r="K9" i="16"/>
  <c r="J9" i="16"/>
  <c r="I9" i="16"/>
  <c r="H9" i="16"/>
  <c r="G9" i="16"/>
  <c r="F9" i="16"/>
  <c r="E9" i="16"/>
  <c r="D9" i="16"/>
  <c r="C9" i="16"/>
  <c r="B9" i="16"/>
  <c r="AB8" i="16"/>
  <c r="AA8" i="16"/>
  <c r="Z8" i="16"/>
  <c r="Y8" i="16"/>
  <c r="X8" i="16"/>
  <c r="W8" i="16"/>
  <c r="V8" i="16"/>
  <c r="U8" i="16"/>
  <c r="T8" i="16"/>
  <c r="S8" i="16"/>
  <c r="R8" i="16"/>
  <c r="Q8" i="16"/>
  <c r="P8" i="16"/>
  <c r="O8" i="16"/>
  <c r="N8" i="16"/>
  <c r="M8" i="16"/>
  <c r="L8" i="16"/>
  <c r="K8" i="16"/>
  <c r="J8" i="16"/>
  <c r="I8" i="16"/>
  <c r="H8" i="16"/>
  <c r="G8" i="16"/>
  <c r="F8" i="16"/>
  <c r="E8" i="16"/>
  <c r="D8" i="16"/>
  <c r="C8" i="16"/>
  <c r="B8" i="16"/>
  <c r="AB7" i="16"/>
  <c r="AA7" i="16"/>
  <c r="Z7" i="16"/>
  <c r="Y7" i="16"/>
  <c r="X7" i="16"/>
  <c r="W7" i="16"/>
  <c r="V7" i="16"/>
  <c r="U7" i="16"/>
  <c r="T7" i="16"/>
  <c r="S7" i="16"/>
  <c r="R7" i="16"/>
  <c r="Q7" i="16"/>
  <c r="P7" i="16"/>
  <c r="O7" i="16"/>
  <c r="N7" i="16"/>
  <c r="M7" i="16"/>
  <c r="L7" i="16"/>
  <c r="K7" i="16"/>
  <c r="J7" i="16"/>
  <c r="I7" i="16"/>
  <c r="H7" i="16"/>
  <c r="G7" i="16"/>
  <c r="F7" i="16"/>
  <c r="E7" i="16"/>
  <c r="D7" i="16"/>
  <c r="C7" i="16"/>
  <c r="B7" i="16"/>
  <c r="AB6" i="16"/>
  <c r="AA6" i="16"/>
  <c r="Z6" i="16"/>
  <c r="Y6" i="16"/>
  <c r="X6" i="16"/>
  <c r="W6" i="16"/>
  <c r="V6" i="16"/>
  <c r="U6" i="16"/>
  <c r="T6" i="16"/>
  <c r="S6" i="16"/>
  <c r="R6" i="16"/>
  <c r="Q6" i="16"/>
  <c r="P6" i="16"/>
  <c r="O6" i="16"/>
  <c r="N6" i="16"/>
  <c r="M6" i="16"/>
  <c r="L6" i="16"/>
  <c r="K6" i="16"/>
  <c r="J6" i="16"/>
  <c r="I6" i="16"/>
  <c r="H6" i="16"/>
  <c r="G6" i="16"/>
  <c r="F6" i="16"/>
  <c r="E6" i="16"/>
  <c r="D6" i="16"/>
  <c r="C6" i="16"/>
  <c r="B6" i="16"/>
  <c r="AB3" i="16"/>
  <c r="AA3" i="16"/>
  <c r="Z3" i="16"/>
  <c r="Y3" i="16"/>
  <c r="X3" i="16"/>
  <c r="W3" i="16"/>
  <c r="V3" i="16"/>
  <c r="U3" i="16"/>
  <c r="T3" i="16"/>
  <c r="S3" i="16"/>
  <c r="R3" i="16"/>
  <c r="Q3" i="16"/>
  <c r="P3" i="16"/>
  <c r="O3" i="16"/>
  <c r="N3" i="16"/>
  <c r="M3" i="16"/>
  <c r="L3" i="16"/>
  <c r="K3" i="16"/>
  <c r="J3" i="16"/>
  <c r="I3" i="16"/>
  <c r="H3" i="16"/>
  <c r="G3" i="16"/>
  <c r="F3" i="16"/>
  <c r="E3" i="16"/>
  <c r="D3" i="16"/>
  <c r="C3" i="16"/>
  <c r="B3" i="16"/>
  <c r="AB11" i="15"/>
  <c r="AA11" i="15"/>
  <c r="Z11" i="15"/>
  <c r="Y11" i="15"/>
  <c r="X11" i="15"/>
  <c r="W11" i="15"/>
  <c r="V11" i="15"/>
  <c r="U11" i="15"/>
  <c r="T11" i="15"/>
  <c r="S11" i="15"/>
  <c r="R11" i="15"/>
  <c r="Q11" i="15"/>
  <c r="P11" i="15"/>
  <c r="O11" i="15"/>
  <c r="N11" i="15"/>
  <c r="M11" i="15"/>
  <c r="L11" i="15"/>
  <c r="K11" i="15"/>
  <c r="J11" i="15"/>
  <c r="I11" i="15"/>
  <c r="H11" i="15"/>
  <c r="G11" i="15"/>
  <c r="F11" i="15"/>
  <c r="E11" i="15"/>
  <c r="D11" i="15"/>
  <c r="C11" i="15"/>
  <c r="B11" i="15"/>
  <c r="AB10" i="15"/>
  <c r="AA10" i="15"/>
  <c r="Z10" i="15"/>
  <c r="Y10" i="15"/>
  <c r="X10" i="15"/>
  <c r="W10" i="15"/>
  <c r="V10" i="15"/>
  <c r="U10" i="15"/>
  <c r="T10" i="15"/>
  <c r="S10" i="15"/>
  <c r="R10" i="15"/>
  <c r="Q10" i="15"/>
  <c r="P10" i="15"/>
  <c r="O10" i="15"/>
  <c r="N10" i="15"/>
  <c r="M10" i="15"/>
  <c r="L10" i="15"/>
  <c r="K10" i="15"/>
  <c r="J10" i="15"/>
  <c r="I10" i="15"/>
  <c r="H10" i="15"/>
  <c r="G10" i="15"/>
  <c r="F10" i="15"/>
  <c r="E10" i="15"/>
  <c r="D10" i="15"/>
  <c r="C10" i="15"/>
  <c r="B10" i="15"/>
  <c r="AB9" i="15"/>
  <c r="AA9" i="15"/>
  <c r="Z9" i="15"/>
  <c r="Y9" i="15"/>
  <c r="X9" i="15"/>
  <c r="W9" i="15"/>
  <c r="V9" i="15"/>
  <c r="U9" i="15"/>
  <c r="T9" i="15"/>
  <c r="S9" i="15"/>
  <c r="R9" i="15"/>
  <c r="Q9" i="15"/>
  <c r="P9" i="15"/>
  <c r="O9" i="15"/>
  <c r="N9" i="15"/>
  <c r="M9" i="15"/>
  <c r="L9" i="15"/>
  <c r="K9" i="15"/>
  <c r="J9" i="15"/>
  <c r="I9" i="15"/>
  <c r="H9" i="15"/>
  <c r="G9" i="15"/>
  <c r="F9" i="15"/>
  <c r="E9" i="15"/>
  <c r="D9" i="15"/>
  <c r="C9" i="15"/>
  <c r="B9" i="15"/>
  <c r="AB8" i="15"/>
  <c r="AA8" i="15"/>
  <c r="Z8" i="15"/>
  <c r="Y8" i="15"/>
  <c r="X8" i="15"/>
  <c r="W8" i="15"/>
  <c r="V8" i="15"/>
  <c r="U8" i="15"/>
  <c r="T8" i="15"/>
  <c r="S8" i="15"/>
  <c r="R8" i="15"/>
  <c r="Q8" i="15"/>
  <c r="P8" i="15"/>
  <c r="O8" i="15"/>
  <c r="N8" i="15"/>
  <c r="M8" i="15"/>
  <c r="L8" i="15"/>
  <c r="K8" i="15"/>
  <c r="J8" i="15"/>
  <c r="I8" i="15"/>
  <c r="H8" i="15"/>
  <c r="G8" i="15"/>
  <c r="F8" i="15"/>
  <c r="E8" i="15"/>
  <c r="D8" i="15"/>
  <c r="C8" i="15"/>
  <c r="B8" i="15"/>
  <c r="AB7" i="15"/>
  <c r="AA7" i="15"/>
  <c r="Z7" i="15"/>
  <c r="Y7" i="15"/>
  <c r="X7" i="15"/>
  <c r="W7" i="15"/>
  <c r="V7" i="15"/>
  <c r="U7" i="15"/>
  <c r="T7" i="15"/>
  <c r="S7" i="15"/>
  <c r="R7" i="15"/>
  <c r="Q7" i="15"/>
  <c r="P7" i="15"/>
  <c r="O7" i="15"/>
  <c r="N7" i="15"/>
  <c r="M7" i="15"/>
  <c r="L7" i="15"/>
  <c r="K7" i="15"/>
  <c r="J7" i="15"/>
  <c r="I7" i="15"/>
  <c r="H7" i="15"/>
  <c r="G7" i="15"/>
  <c r="F7" i="15"/>
  <c r="E7" i="15"/>
  <c r="D7" i="15"/>
  <c r="C7" i="15"/>
  <c r="B7" i="15"/>
  <c r="AB6" i="15"/>
  <c r="AA6" i="15"/>
  <c r="Z6" i="15"/>
  <c r="Y6" i="15"/>
  <c r="X6" i="15"/>
  <c r="W6" i="15"/>
  <c r="V6" i="15"/>
  <c r="U6" i="15"/>
  <c r="T6" i="15"/>
  <c r="S6" i="15"/>
  <c r="R6" i="15"/>
  <c r="Q6" i="15"/>
  <c r="P6" i="15"/>
  <c r="O6" i="15"/>
  <c r="N6" i="15"/>
  <c r="M6" i="15"/>
  <c r="L6" i="15"/>
  <c r="K6" i="15"/>
  <c r="J6" i="15"/>
  <c r="I6" i="15"/>
  <c r="H6" i="15"/>
  <c r="G6" i="15"/>
  <c r="F6" i="15"/>
  <c r="E6" i="15"/>
  <c r="D6" i="15"/>
  <c r="C6" i="15"/>
  <c r="B6" i="15"/>
  <c r="AB5" i="15"/>
  <c r="AA5" i="15"/>
  <c r="Z5" i="15"/>
  <c r="Y5" i="15"/>
  <c r="X5" i="15"/>
  <c r="W5" i="15"/>
  <c r="V5" i="15"/>
  <c r="U5" i="15"/>
  <c r="T5" i="15"/>
  <c r="S5" i="15"/>
  <c r="R5" i="15"/>
  <c r="Q5" i="15"/>
  <c r="P5" i="15"/>
  <c r="O5" i="15"/>
  <c r="N5" i="15"/>
  <c r="M5" i="15"/>
  <c r="L5" i="15"/>
  <c r="K5" i="15"/>
  <c r="J5" i="15"/>
  <c r="I5" i="15"/>
  <c r="H5" i="15"/>
  <c r="G5" i="15"/>
  <c r="F5" i="15"/>
  <c r="E5" i="15"/>
  <c r="D5" i="15"/>
  <c r="C5" i="15"/>
  <c r="B5" i="15"/>
  <c r="AB4" i="15"/>
  <c r="AA4" i="15"/>
  <c r="Z4" i="15"/>
  <c r="Y4" i="15"/>
  <c r="X4" i="15"/>
  <c r="W4" i="15"/>
  <c r="V4" i="15"/>
  <c r="U4" i="15"/>
  <c r="T4" i="15"/>
  <c r="S4" i="15"/>
  <c r="R4" i="15"/>
  <c r="Q4" i="15"/>
  <c r="P4" i="15"/>
  <c r="O4" i="15"/>
  <c r="N4" i="15"/>
  <c r="M4" i="15"/>
  <c r="L4" i="15"/>
  <c r="K4" i="15"/>
  <c r="J4" i="15"/>
  <c r="I4" i="15"/>
  <c r="H4" i="15"/>
  <c r="G4" i="15"/>
  <c r="F4" i="15"/>
  <c r="E4" i="15"/>
  <c r="D4" i="15"/>
  <c r="C4" i="15"/>
  <c r="B4" i="15"/>
  <c r="AB3" i="15"/>
  <c r="AA3" i="15"/>
  <c r="Z3" i="15"/>
  <c r="Y3" i="15"/>
  <c r="X3" i="15"/>
  <c r="W3" i="15"/>
  <c r="V3" i="15"/>
  <c r="U3" i="15"/>
  <c r="T3" i="15"/>
  <c r="S3" i="15"/>
  <c r="R3" i="15"/>
  <c r="Q3" i="15"/>
  <c r="P3" i="15"/>
  <c r="O3" i="15"/>
  <c r="N3" i="15"/>
  <c r="M3" i="15"/>
  <c r="L3" i="15"/>
  <c r="K3" i="15"/>
  <c r="J3" i="15"/>
  <c r="I3" i="15"/>
  <c r="H3" i="15"/>
  <c r="G3" i="15"/>
  <c r="F3" i="15"/>
  <c r="E3" i="15"/>
  <c r="D3" i="15"/>
  <c r="C3" i="15"/>
  <c r="B3" i="15"/>
  <c r="AB11" i="14"/>
  <c r="AA11" i="14"/>
  <c r="Z11" i="14"/>
  <c r="Y11" i="14"/>
  <c r="X11" i="14"/>
  <c r="W11" i="14"/>
  <c r="V11" i="14"/>
  <c r="U11" i="14"/>
  <c r="T11" i="14"/>
  <c r="S11" i="14"/>
  <c r="R11" i="14"/>
  <c r="Q11" i="14"/>
  <c r="P11" i="14"/>
  <c r="O11" i="14"/>
  <c r="N11" i="14"/>
  <c r="M11" i="14"/>
  <c r="L11" i="14"/>
  <c r="K11" i="14"/>
  <c r="J11" i="14"/>
  <c r="I11" i="14"/>
  <c r="H11" i="14"/>
  <c r="G11" i="14"/>
  <c r="F11" i="14"/>
  <c r="E11" i="14"/>
  <c r="D11" i="14"/>
  <c r="C11" i="14"/>
  <c r="B11" i="14"/>
  <c r="AB10" i="14"/>
  <c r="AA10" i="14"/>
  <c r="Z10" i="14"/>
  <c r="Y10" i="14"/>
  <c r="X10" i="14"/>
  <c r="W10" i="14"/>
  <c r="V10" i="14"/>
  <c r="U10" i="14"/>
  <c r="T10" i="14"/>
  <c r="S10" i="14"/>
  <c r="R10" i="14"/>
  <c r="Q10" i="14"/>
  <c r="P10" i="14"/>
  <c r="O10" i="14"/>
  <c r="N10" i="14"/>
  <c r="M10" i="14"/>
  <c r="L10" i="14"/>
  <c r="K10" i="14"/>
  <c r="J10" i="14"/>
  <c r="I10" i="14"/>
  <c r="H10" i="14"/>
  <c r="G10" i="14"/>
  <c r="F10" i="14"/>
  <c r="E10" i="14"/>
  <c r="D10" i="14"/>
  <c r="C10" i="14"/>
  <c r="B10" i="14"/>
  <c r="AB9" i="14"/>
  <c r="AA9" i="14"/>
  <c r="Z9" i="14"/>
  <c r="Y9" i="14"/>
  <c r="X9" i="14"/>
  <c r="W9" i="14"/>
  <c r="V9" i="14"/>
  <c r="U9" i="14"/>
  <c r="T9" i="14"/>
  <c r="S9" i="14"/>
  <c r="R9" i="14"/>
  <c r="Q9" i="14"/>
  <c r="P9" i="14"/>
  <c r="O9" i="14"/>
  <c r="N9" i="14"/>
  <c r="M9" i="14"/>
  <c r="L9" i="14"/>
  <c r="K9" i="14"/>
  <c r="J9" i="14"/>
  <c r="I9" i="14"/>
  <c r="H9" i="14"/>
  <c r="G9" i="14"/>
  <c r="F9" i="14"/>
  <c r="E9" i="14"/>
  <c r="D9" i="14"/>
  <c r="C9" i="14"/>
  <c r="B9" i="14"/>
  <c r="AB8" i="14"/>
  <c r="AA8" i="14"/>
  <c r="Z8" i="14"/>
  <c r="Y8" i="14"/>
  <c r="X8" i="14"/>
  <c r="W8" i="14"/>
  <c r="V8" i="14"/>
  <c r="U8" i="14"/>
  <c r="T8" i="14"/>
  <c r="S8" i="14"/>
  <c r="R8" i="14"/>
  <c r="Q8" i="14"/>
  <c r="P8" i="14"/>
  <c r="O8" i="14"/>
  <c r="N8" i="14"/>
  <c r="M8" i="14"/>
  <c r="L8" i="14"/>
  <c r="K8" i="14"/>
  <c r="J8" i="14"/>
  <c r="I8" i="14"/>
  <c r="H8" i="14"/>
  <c r="G8" i="14"/>
  <c r="F8" i="14"/>
  <c r="E8" i="14"/>
  <c r="D8" i="14"/>
  <c r="C8" i="14"/>
  <c r="B8" i="14"/>
  <c r="AB7" i="14"/>
  <c r="AA7" i="14"/>
  <c r="Z7" i="14"/>
  <c r="Y7" i="14"/>
  <c r="X7" i="14"/>
  <c r="W7" i="14"/>
  <c r="V7" i="14"/>
  <c r="U7" i="14"/>
  <c r="T7" i="14"/>
  <c r="S7" i="14"/>
  <c r="R7" i="14"/>
  <c r="Q7" i="14"/>
  <c r="P7" i="14"/>
  <c r="O7" i="14"/>
  <c r="N7" i="14"/>
  <c r="M7" i="14"/>
  <c r="L7" i="14"/>
  <c r="K7" i="14"/>
  <c r="J7" i="14"/>
  <c r="I7" i="14"/>
  <c r="H7" i="14"/>
  <c r="G7" i="14"/>
  <c r="F7" i="14"/>
  <c r="E7" i="14"/>
  <c r="D7" i="14"/>
  <c r="C7" i="14"/>
  <c r="B7" i="14"/>
  <c r="AB6" i="14"/>
  <c r="AA6" i="14"/>
  <c r="Z6" i="14"/>
  <c r="Y6" i="14"/>
  <c r="X6" i="14"/>
  <c r="W6" i="14"/>
  <c r="V6" i="14"/>
  <c r="U6" i="14"/>
  <c r="T6" i="14"/>
  <c r="S6" i="14"/>
  <c r="R6" i="14"/>
  <c r="Q6" i="14"/>
  <c r="P6" i="14"/>
  <c r="O6" i="14"/>
  <c r="N6" i="14"/>
  <c r="M6" i="14"/>
  <c r="L6" i="14"/>
  <c r="K6" i="14"/>
  <c r="J6" i="14"/>
  <c r="I6" i="14"/>
  <c r="H6" i="14"/>
  <c r="G6" i="14"/>
  <c r="F6" i="14"/>
  <c r="E6" i="14"/>
  <c r="D6" i="14"/>
  <c r="C6" i="14"/>
  <c r="B6" i="14"/>
  <c r="AB5" i="14"/>
  <c r="AA5" i="14"/>
  <c r="Z5" i="14"/>
  <c r="Y5" i="14"/>
  <c r="X5" i="14"/>
  <c r="W5" i="14"/>
  <c r="V5" i="14"/>
  <c r="U5" i="14"/>
  <c r="T5" i="14"/>
  <c r="S5" i="14"/>
  <c r="R5" i="14"/>
  <c r="Q5" i="14"/>
  <c r="P5" i="14"/>
  <c r="O5" i="14"/>
  <c r="N5" i="14"/>
  <c r="M5" i="14"/>
  <c r="L5" i="14"/>
  <c r="K5" i="14"/>
  <c r="J5" i="14"/>
  <c r="I5" i="14"/>
  <c r="H5" i="14"/>
  <c r="G5" i="14"/>
  <c r="F5" i="14"/>
  <c r="E5" i="14"/>
  <c r="D5" i="14"/>
  <c r="C5" i="14"/>
  <c r="B5" i="14"/>
  <c r="AB3" i="14"/>
  <c r="AA3" i="14"/>
  <c r="Z3" i="14"/>
  <c r="Y3" i="14"/>
  <c r="X3" i="14"/>
  <c r="W3" i="14"/>
  <c r="V3" i="14"/>
  <c r="U3" i="14"/>
  <c r="T3" i="14"/>
  <c r="S3" i="14"/>
  <c r="R3" i="14"/>
  <c r="Q3" i="14"/>
  <c r="P3" i="14"/>
  <c r="O3" i="14"/>
  <c r="N3" i="14"/>
  <c r="M3" i="14"/>
  <c r="L3" i="14"/>
  <c r="K3" i="14"/>
  <c r="J3" i="14"/>
  <c r="I3" i="14"/>
  <c r="H3" i="14"/>
  <c r="G3" i="14"/>
  <c r="F3" i="14"/>
  <c r="E3" i="14"/>
  <c r="D3" i="14"/>
  <c r="C3" i="14"/>
  <c r="B3" i="14"/>
  <c r="AB11" i="13"/>
  <c r="AA11" i="13"/>
  <c r="Z11" i="13"/>
  <c r="Y11" i="13"/>
  <c r="X11" i="13"/>
  <c r="W11" i="13"/>
  <c r="V11" i="13"/>
  <c r="U11" i="13"/>
  <c r="T11" i="13"/>
  <c r="S11" i="13"/>
  <c r="R11" i="13"/>
  <c r="Q11" i="13"/>
  <c r="P11" i="13"/>
  <c r="O11" i="13"/>
  <c r="N11" i="13"/>
  <c r="M11" i="13"/>
  <c r="L11" i="13"/>
  <c r="K11" i="13"/>
  <c r="J11" i="13"/>
  <c r="I11" i="13"/>
  <c r="H11" i="13"/>
  <c r="G11" i="13"/>
  <c r="F11" i="13"/>
  <c r="E11" i="13"/>
  <c r="D11" i="13"/>
  <c r="C11" i="13"/>
  <c r="B11" i="13"/>
  <c r="AB9" i="13"/>
  <c r="AA9" i="13"/>
  <c r="Z9" i="13"/>
  <c r="Y9" i="13"/>
  <c r="X9" i="13"/>
  <c r="W9" i="13"/>
  <c r="V9" i="13"/>
  <c r="U9" i="13"/>
  <c r="T9" i="13"/>
  <c r="S9" i="13"/>
  <c r="R9" i="13"/>
  <c r="Q9" i="13"/>
  <c r="P9" i="13"/>
  <c r="O9" i="13"/>
  <c r="N9" i="13"/>
  <c r="M9" i="13"/>
  <c r="L9" i="13"/>
  <c r="K9" i="13"/>
  <c r="J9" i="13"/>
  <c r="I9" i="13"/>
  <c r="H9" i="13"/>
  <c r="G9" i="13"/>
  <c r="F9" i="13"/>
  <c r="E9" i="13"/>
  <c r="D9" i="13"/>
  <c r="C9" i="13"/>
  <c r="B9" i="13"/>
  <c r="AB8" i="13"/>
  <c r="AA8" i="13"/>
  <c r="Z8" i="13"/>
  <c r="Y8" i="13"/>
  <c r="X8" i="13"/>
  <c r="W8" i="13"/>
  <c r="V8" i="13"/>
  <c r="U8" i="13"/>
  <c r="T8" i="13"/>
  <c r="S8" i="13"/>
  <c r="R8" i="13"/>
  <c r="Q8" i="13"/>
  <c r="P8" i="13"/>
  <c r="O8" i="13"/>
  <c r="N8" i="13"/>
  <c r="M8" i="13"/>
  <c r="L8" i="13"/>
  <c r="K8" i="13"/>
  <c r="J8" i="13"/>
  <c r="I8" i="13"/>
  <c r="H8" i="13"/>
  <c r="G8" i="13"/>
  <c r="F8" i="13"/>
  <c r="E8" i="13"/>
  <c r="D8" i="13"/>
  <c r="C8" i="13"/>
  <c r="B8" i="13"/>
  <c r="AB6" i="13"/>
  <c r="AA6" i="13"/>
  <c r="Z6" i="13"/>
  <c r="Y6" i="13"/>
  <c r="X6" i="13"/>
  <c r="W6" i="13"/>
  <c r="V6" i="13"/>
  <c r="U6" i="13"/>
  <c r="T6" i="13"/>
  <c r="S6" i="13"/>
  <c r="R6" i="13"/>
  <c r="Q6" i="13"/>
  <c r="P6" i="13"/>
  <c r="O6" i="13"/>
  <c r="N6" i="13"/>
  <c r="M6" i="13"/>
  <c r="L6" i="13"/>
  <c r="K6" i="13"/>
  <c r="J6" i="13"/>
  <c r="I6" i="13"/>
  <c r="H6" i="13"/>
  <c r="G6" i="13"/>
  <c r="F6" i="13"/>
  <c r="E6" i="13"/>
  <c r="D6" i="13"/>
  <c r="C6" i="13"/>
  <c r="B6" i="13"/>
  <c r="AB3" i="13"/>
  <c r="AA3" i="13"/>
  <c r="Z3" i="13"/>
  <c r="Y3" i="13"/>
  <c r="X3" i="13"/>
  <c r="W3" i="13"/>
  <c r="V3" i="13"/>
  <c r="U3" i="13"/>
  <c r="T3" i="13"/>
  <c r="S3" i="13"/>
  <c r="R3" i="13"/>
  <c r="Q3" i="13"/>
  <c r="P3" i="13"/>
  <c r="O3" i="13"/>
  <c r="N3" i="13"/>
  <c r="M3" i="13"/>
  <c r="L3" i="13"/>
  <c r="K3" i="13"/>
  <c r="J3" i="13"/>
  <c r="I3" i="13"/>
  <c r="H3" i="13"/>
  <c r="G3" i="13"/>
  <c r="F3" i="13"/>
  <c r="E3" i="13"/>
  <c r="D3" i="13"/>
  <c r="C3" i="13"/>
  <c r="B3" i="13"/>
  <c r="R238" i="12"/>
  <c r="P238" i="12"/>
  <c r="O238" i="12"/>
  <c r="M238" i="12"/>
  <c r="G238" i="12"/>
  <c r="F238" i="12"/>
  <c r="AA234" i="12"/>
  <c r="X234" i="12"/>
  <c r="T234" i="12"/>
  <c r="AB230" i="12"/>
  <c r="X230" i="12"/>
  <c r="W230" i="12"/>
  <c r="S230" i="12"/>
  <c r="R230" i="12"/>
  <c r="L230" i="12"/>
  <c r="J230" i="12"/>
  <c r="F230" i="12"/>
  <c r="Z226" i="12"/>
  <c r="F226" i="12"/>
  <c r="F221" i="12"/>
  <c r="F216" i="12"/>
  <c r="F208" i="12"/>
  <c r="F204" i="12"/>
  <c r="F200"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B196" i="12"/>
  <c r="B195" i="12"/>
  <c r="B194" i="12"/>
  <c r="B193" i="12"/>
  <c r="B192" i="12"/>
  <c r="B191" i="12"/>
  <c r="B190" i="12"/>
  <c r="B189" i="12"/>
  <c r="B188" i="12"/>
  <c r="B187" i="12"/>
  <c r="B183" i="12"/>
  <c r="B182" i="12"/>
  <c r="B181" i="12"/>
  <c r="B180" i="12"/>
  <c r="B179" i="12"/>
  <c r="B178" i="12"/>
  <c r="B177" i="12"/>
  <c r="B176" i="12"/>
  <c r="B175" i="12"/>
  <c r="B174" i="12"/>
  <c r="B170" i="12"/>
  <c r="B169" i="12"/>
  <c r="B168" i="12"/>
  <c r="B167" i="12"/>
  <c r="B166" i="12"/>
  <c r="B165" i="12"/>
  <c r="B164" i="12"/>
  <c r="B163" i="12"/>
  <c r="B162" i="12"/>
  <c r="B161" i="12"/>
  <c r="B157" i="12"/>
  <c r="B156" i="12"/>
  <c r="B155" i="12"/>
  <c r="B154" i="12"/>
  <c r="B153" i="12"/>
  <c r="B152" i="12"/>
  <c r="B151" i="12"/>
  <c r="B150" i="12"/>
  <c r="B149" i="12"/>
  <c r="B148" i="12"/>
  <c r="B144" i="12"/>
  <c r="B143" i="12"/>
  <c r="B142" i="12"/>
  <c r="B141" i="12"/>
  <c r="B140" i="12"/>
  <c r="B139" i="12"/>
  <c r="B138" i="12"/>
  <c r="B137" i="12"/>
  <c r="B136" i="12"/>
  <c r="B135" i="12"/>
  <c r="B131" i="12"/>
  <c r="B130" i="12"/>
  <c r="B129" i="12"/>
  <c r="B128" i="12"/>
  <c r="B127" i="12"/>
  <c r="B126" i="12"/>
  <c r="B125" i="12"/>
  <c r="B124" i="12"/>
  <c r="B123" i="12"/>
  <c r="B122" i="12"/>
  <c r="B118" i="12"/>
  <c r="B117" i="12"/>
  <c r="B116" i="12"/>
  <c r="B115" i="12"/>
  <c r="B114" i="12"/>
  <c r="B113" i="12"/>
  <c r="B112" i="12"/>
  <c r="B111" i="12"/>
  <c r="B110" i="12"/>
  <c r="B109" i="12"/>
  <c r="B105" i="12"/>
  <c r="B104" i="12"/>
  <c r="B103" i="12"/>
  <c r="B102" i="12"/>
  <c r="B101" i="12"/>
  <c r="B100" i="12"/>
  <c r="B99" i="12"/>
  <c r="B98" i="12"/>
  <c r="B97" i="12"/>
  <c r="B96" i="12"/>
  <c r="B92" i="12"/>
  <c r="B91" i="12"/>
  <c r="B90" i="12"/>
  <c r="B89" i="12"/>
  <c r="B88" i="12"/>
  <c r="B87" i="12"/>
  <c r="B86" i="12"/>
  <c r="B85" i="12"/>
  <c r="B84" i="12"/>
  <c r="B83" i="12"/>
  <c r="B79" i="12"/>
  <c r="B78" i="12"/>
  <c r="B77" i="12"/>
  <c r="B76" i="12"/>
  <c r="B75" i="12"/>
  <c r="B74" i="12"/>
  <c r="B73" i="12"/>
  <c r="B72" i="12"/>
  <c r="B71" i="12"/>
  <c r="B70" i="12"/>
  <c r="B66" i="12"/>
  <c r="B65" i="12"/>
  <c r="B64" i="12"/>
  <c r="B63" i="12"/>
  <c r="B62" i="12"/>
  <c r="B61" i="12"/>
  <c r="B60" i="12"/>
  <c r="B59" i="12"/>
  <c r="B58" i="12"/>
  <c r="B57" i="12"/>
  <c r="B53" i="12"/>
  <c r="B52" i="12"/>
  <c r="B51" i="12"/>
  <c r="B50" i="12"/>
  <c r="B49" i="12"/>
  <c r="B48" i="12"/>
  <c r="B47" i="12"/>
  <c r="B46" i="12"/>
  <c r="B45" i="12"/>
  <c r="B44" i="12"/>
  <c r="B40" i="12"/>
  <c r="B39" i="12"/>
  <c r="B38" i="12"/>
  <c r="B37" i="12"/>
  <c r="B36" i="12"/>
  <c r="B35" i="12"/>
  <c r="B34" i="12"/>
  <c r="B33" i="12"/>
  <c r="B32" i="12"/>
  <c r="B31" i="12"/>
  <c r="B27" i="12"/>
  <c r="B26" i="12"/>
  <c r="B25" i="12"/>
  <c r="B24" i="12"/>
  <c r="B23" i="12"/>
  <c r="B22" i="12"/>
  <c r="B21" i="12"/>
  <c r="B20" i="12"/>
  <c r="B19" i="12"/>
  <c r="B18" i="12"/>
  <c r="B14" i="12"/>
  <c r="B13" i="12"/>
  <c r="B12" i="12"/>
  <c r="B11" i="12"/>
  <c r="B10" i="12"/>
  <c r="B9" i="12"/>
  <c r="B8" i="12"/>
  <c r="B7" i="12"/>
  <c r="B6" i="12"/>
  <c r="B5" i="12"/>
  <c r="AC9" i="9"/>
  <c r="AB9" i="9"/>
  <c r="AA9" i="9"/>
  <c r="Z9" i="9"/>
  <c r="K9" i="9"/>
  <c r="F9" i="9"/>
  <c r="E9" i="9"/>
  <c r="H6" i="9"/>
  <c r="G6" i="9"/>
  <c r="F6" i="9"/>
  <c r="E6" i="9"/>
  <c r="D6" i="9"/>
  <c r="D9" i="9" s="1"/>
  <c r="C6" i="9"/>
  <c r="B6" i="9"/>
  <c r="B77" i="1"/>
  <c r="AD238" i="12" s="1"/>
  <c r="A75" i="1"/>
  <c r="A74" i="1"/>
  <c r="H64" i="11"/>
  <c r="D64" i="11"/>
  <c r="H63" i="11"/>
  <c r="D63" i="11"/>
  <c r="H62" i="11"/>
  <c r="D62" i="11"/>
  <c r="H61" i="11"/>
  <c r="D61" i="11"/>
  <c r="H60" i="11"/>
  <c r="D60" i="11"/>
  <c r="H59" i="11"/>
  <c r="D59" i="11"/>
  <c r="H58" i="11"/>
  <c r="D58" i="11"/>
  <c r="H57" i="11"/>
  <c r="D57" i="11"/>
  <c r="H56" i="11"/>
  <c r="D56" i="11"/>
  <c r="H55" i="11"/>
  <c r="D55" i="11"/>
  <c r="H54" i="11"/>
  <c r="D54" i="11"/>
  <c r="H53" i="11"/>
  <c r="D53" i="11"/>
  <c r="H52" i="11"/>
  <c r="D52" i="11"/>
  <c r="H51" i="11"/>
  <c r="D51" i="11"/>
  <c r="H50" i="11"/>
  <c r="D50" i="11"/>
  <c r="H49" i="11"/>
  <c r="D49" i="11"/>
  <c r="H48" i="11"/>
  <c r="D48" i="11"/>
  <c r="H47" i="11"/>
  <c r="D47" i="11"/>
  <c r="H46" i="11"/>
  <c r="D46" i="11"/>
  <c r="H45" i="11"/>
  <c r="D45" i="11"/>
  <c r="H44" i="11"/>
  <c r="D44" i="11"/>
  <c r="H43" i="11"/>
  <c r="D43" i="11"/>
  <c r="H42" i="11"/>
  <c r="D42" i="11"/>
  <c r="H41" i="11"/>
  <c r="D41" i="11"/>
  <c r="H40" i="11"/>
  <c r="D40" i="11"/>
  <c r="D39" i="11"/>
  <c r="AH37" i="11"/>
  <c r="AG37" i="11"/>
  <c r="AF37" i="11"/>
  <c r="AE37" i="11"/>
  <c r="AD37" i="11"/>
  <c r="AC37" i="11"/>
  <c r="AB37" i="11"/>
  <c r="AA37" i="11"/>
  <c r="Z37" i="11"/>
  <c r="Y37" i="11"/>
  <c r="X37" i="11"/>
  <c r="W37" i="11"/>
  <c r="V37" i="11"/>
  <c r="U37" i="11"/>
  <c r="T37" i="11"/>
  <c r="S37" i="11"/>
  <c r="R37" i="11"/>
  <c r="Q37" i="11"/>
  <c r="P37" i="11"/>
  <c r="O37" i="11"/>
  <c r="N37" i="11"/>
  <c r="M37" i="11"/>
  <c r="L37" i="11"/>
  <c r="K37" i="11"/>
  <c r="J37" i="11"/>
  <c r="I37" i="11"/>
  <c r="H37" i="11"/>
  <c r="D37" i="11"/>
  <c r="AH36" i="11"/>
  <c r="AG36" i="11"/>
  <c r="AF36" i="11"/>
  <c r="AE36" i="11"/>
  <c r="AD36" i="11"/>
  <c r="AC36" i="11"/>
  <c r="AB36" i="11"/>
  <c r="AA36" i="11"/>
  <c r="Z36" i="11"/>
  <c r="Y36" i="11"/>
  <c r="X36" i="11"/>
  <c r="W36" i="11"/>
  <c r="V36" i="11"/>
  <c r="U36" i="11"/>
  <c r="T36" i="11"/>
  <c r="S36" i="11"/>
  <c r="R36" i="11"/>
  <c r="Q36" i="11"/>
  <c r="P36" i="11"/>
  <c r="O36" i="11"/>
  <c r="N36" i="11"/>
  <c r="M36" i="11"/>
  <c r="L36" i="11"/>
  <c r="K36" i="11"/>
  <c r="J36" i="11"/>
  <c r="I36" i="11"/>
  <c r="H36" i="11"/>
  <c r="D36" i="11"/>
  <c r="AH35" i="11"/>
  <c r="AG35" i="11"/>
  <c r="AF35" i="11"/>
  <c r="AE35" i="11"/>
  <c r="AD35" i="11"/>
  <c r="AC35" i="11"/>
  <c r="AB35" i="11"/>
  <c r="AA35" i="11"/>
  <c r="Z35" i="11"/>
  <c r="Y35" i="11"/>
  <c r="X35" i="11"/>
  <c r="W35" i="11"/>
  <c r="V35" i="11"/>
  <c r="U35" i="11"/>
  <c r="T35" i="11"/>
  <c r="S35" i="11"/>
  <c r="R35" i="11"/>
  <c r="Q35" i="11"/>
  <c r="P35" i="11"/>
  <c r="O35" i="11"/>
  <c r="N35" i="11"/>
  <c r="M35" i="11"/>
  <c r="L35" i="11"/>
  <c r="K35" i="11"/>
  <c r="J35" i="11"/>
  <c r="I35" i="11"/>
  <c r="H35" i="11"/>
  <c r="D35" i="11"/>
  <c r="AH34" i="11"/>
  <c r="AG34" i="11"/>
  <c r="AF34" i="11"/>
  <c r="AE34" i="11"/>
  <c r="AD34" i="11"/>
  <c r="AC34" i="11"/>
  <c r="AB34" i="11"/>
  <c r="AA34" i="11"/>
  <c r="Z34" i="11"/>
  <c r="Y34" i="11"/>
  <c r="X34" i="11"/>
  <c r="W34" i="11"/>
  <c r="V34" i="11"/>
  <c r="U34" i="11"/>
  <c r="T34" i="11"/>
  <c r="S34" i="11"/>
  <c r="R34" i="11"/>
  <c r="Q34" i="11"/>
  <c r="P34" i="11"/>
  <c r="O34" i="11"/>
  <c r="N34" i="11"/>
  <c r="M34" i="11"/>
  <c r="L34" i="11"/>
  <c r="K34" i="11"/>
  <c r="J34" i="11"/>
  <c r="I34" i="11"/>
  <c r="H34" i="11"/>
  <c r="D34" i="11"/>
  <c r="AH33" i="11"/>
  <c r="AG33" i="11"/>
  <c r="AF33" i="11"/>
  <c r="AE33" i="11"/>
  <c r="AD33" i="11"/>
  <c r="AC33" i="11"/>
  <c r="AB33" i="11"/>
  <c r="AA33" i="11"/>
  <c r="Z33" i="11"/>
  <c r="Y33" i="11"/>
  <c r="X33" i="11"/>
  <c r="W33" i="11"/>
  <c r="V33" i="11"/>
  <c r="U33" i="11"/>
  <c r="T33" i="11"/>
  <c r="S33" i="11"/>
  <c r="R33" i="11"/>
  <c r="Q33" i="11"/>
  <c r="P33" i="11"/>
  <c r="O33" i="11"/>
  <c r="N33" i="11"/>
  <c r="M33" i="11"/>
  <c r="L33" i="11"/>
  <c r="K33" i="11"/>
  <c r="J33" i="11"/>
  <c r="I33" i="11"/>
  <c r="H33" i="11"/>
  <c r="D33" i="11"/>
  <c r="AH32" i="11"/>
  <c r="AG32" i="11"/>
  <c r="AF32" i="11"/>
  <c r="AE32" i="11"/>
  <c r="AD32" i="11"/>
  <c r="AC32" i="11"/>
  <c r="AB32" i="11"/>
  <c r="AA32" i="11"/>
  <c r="Z32" i="11"/>
  <c r="Y32" i="11"/>
  <c r="X32" i="11"/>
  <c r="W32" i="11"/>
  <c r="V32" i="11"/>
  <c r="U32" i="11"/>
  <c r="T32" i="11"/>
  <c r="S32" i="11"/>
  <c r="R32" i="11"/>
  <c r="Q32" i="11"/>
  <c r="P32" i="11"/>
  <c r="O32" i="11"/>
  <c r="N32" i="11"/>
  <c r="M32" i="11"/>
  <c r="L32" i="11"/>
  <c r="K32" i="11"/>
  <c r="J32" i="11"/>
  <c r="I32" i="11"/>
  <c r="H32" i="11"/>
  <c r="D32" i="11"/>
  <c r="AH31" i="11"/>
  <c r="AG31" i="11"/>
  <c r="AF31" i="11"/>
  <c r="AE31" i="11"/>
  <c r="AD31" i="11"/>
  <c r="AC31" i="11"/>
  <c r="AB31" i="11"/>
  <c r="AA31" i="11"/>
  <c r="Z31" i="11"/>
  <c r="Y31" i="11"/>
  <c r="X31" i="11"/>
  <c r="W31" i="11"/>
  <c r="V31" i="11"/>
  <c r="U31" i="11"/>
  <c r="T31" i="11"/>
  <c r="S31" i="11"/>
  <c r="R31" i="11"/>
  <c r="Q31" i="11"/>
  <c r="P31" i="11"/>
  <c r="O31" i="11"/>
  <c r="N31" i="11"/>
  <c r="M31" i="11"/>
  <c r="L31" i="11"/>
  <c r="K31" i="11"/>
  <c r="J31" i="11"/>
  <c r="I31" i="11"/>
  <c r="H31" i="11"/>
  <c r="D31" i="11"/>
  <c r="AH30" i="11"/>
  <c r="AG30" i="11"/>
  <c r="AF30" i="11"/>
  <c r="AE30" i="11"/>
  <c r="AD30" i="11"/>
  <c r="AC30" i="11"/>
  <c r="AB30" i="11"/>
  <c r="AA30" i="11"/>
  <c r="Z30" i="11"/>
  <c r="Y30" i="11"/>
  <c r="X30" i="11"/>
  <c r="W30" i="11"/>
  <c r="V30" i="11"/>
  <c r="U30" i="11"/>
  <c r="T30" i="11"/>
  <c r="S30" i="11"/>
  <c r="R30" i="11"/>
  <c r="Q30" i="11"/>
  <c r="P30" i="11"/>
  <c r="O30" i="11"/>
  <c r="N30" i="11"/>
  <c r="M30" i="11"/>
  <c r="L30" i="11"/>
  <c r="K30" i="11"/>
  <c r="J30" i="11"/>
  <c r="I30" i="11"/>
  <c r="H30" i="11"/>
  <c r="D30" i="11"/>
  <c r="AH29" i="11"/>
  <c r="AG29" i="11"/>
  <c r="AF29" i="11"/>
  <c r="AE29" i="11"/>
  <c r="AD29" i="11"/>
  <c r="AC29" i="11"/>
  <c r="AB29" i="11"/>
  <c r="AA29" i="11"/>
  <c r="Z29" i="11"/>
  <c r="Y29" i="11"/>
  <c r="X29" i="11"/>
  <c r="W29" i="11"/>
  <c r="V29" i="11"/>
  <c r="U29" i="11"/>
  <c r="T29" i="11"/>
  <c r="S29" i="11"/>
  <c r="R29" i="11"/>
  <c r="Q29" i="11"/>
  <c r="P29" i="11"/>
  <c r="O29" i="11"/>
  <c r="N29" i="11"/>
  <c r="M29" i="11"/>
  <c r="L29" i="11"/>
  <c r="K29" i="11"/>
  <c r="J29" i="11"/>
  <c r="I29" i="11"/>
  <c r="H29" i="11"/>
  <c r="D29" i="11"/>
  <c r="AH28" i="11"/>
  <c r="AG28" i="11"/>
  <c r="AF28" i="11"/>
  <c r="AE28" i="11"/>
  <c r="AD28" i="11"/>
  <c r="AC28" i="11"/>
  <c r="AB28" i="11"/>
  <c r="AA28" i="11"/>
  <c r="Z28" i="11"/>
  <c r="Y28" i="11"/>
  <c r="X28" i="11"/>
  <c r="W28" i="11"/>
  <c r="V28" i="11"/>
  <c r="U28" i="11"/>
  <c r="T28" i="11"/>
  <c r="S28" i="11"/>
  <c r="R28" i="11"/>
  <c r="Q28" i="11"/>
  <c r="P28" i="11"/>
  <c r="O28" i="11"/>
  <c r="N28" i="11"/>
  <c r="M28" i="11"/>
  <c r="L28" i="11"/>
  <c r="K28" i="11"/>
  <c r="J28" i="11"/>
  <c r="I28" i="11"/>
  <c r="H28" i="11"/>
  <c r="D28" i="11"/>
  <c r="AH27" i="11"/>
  <c r="AG27" i="11"/>
  <c r="AF27" i="11"/>
  <c r="AE27" i="11"/>
  <c r="AD27" i="11"/>
  <c r="AC27" i="11"/>
  <c r="AB27" i="11"/>
  <c r="AA27" i="11"/>
  <c r="Z27" i="11"/>
  <c r="Y27" i="11"/>
  <c r="X27" i="11"/>
  <c r="W27" i="11"/>
  <c r="V27" i="11"/>
  <c r="U27" i="11"/>
  <c r="T27" i="11"/>
  <c r="S27" i="11"/>
  <c r="R27" i="11"/>
  <c r="Q27" i="11"/>
  <c r="P27" i="11"/>
  <c r="O27" i="11"/>
  <c r="N27" i="11"/>
  <c r="M27" i="11"/>
  <c r="L27" i="11"/>
  <c r="K27" i="11"/>
  <c r="J27" i="11"/>
  <c r="I27" i="11"/>
  <c r="H27" i="11"/>
  <c r="D27" i="11"/>
  <c r="AH26" i="11"/>
  <c r="AG26" i="11"/>
  <c r="AF26" i="11"/>
  <c r="AE26" i="11"/>
  <c r="AD26" i="11"/>
  <c r="AC26" i="11"/>
  <c r="AB26" i="11"/>
  <c r="AA26" i="11"/>
  <c r="Z26" i="11"/>
  <c r="Y26" i="11"/>
  <c r="X26" i="11"/>
  <c r="W26" i="11"/>
  <c r="V26" i="11"/>
  <c r="U26" i="11"/>
  <c r="T26" i="11"/>
  <c r="S26" i="11"/>
  <c r="R26" i="11"/>
  <c r="Q26" i="11"/>
  <c r="P26" i="11"/>
  <c r="O26" i="11"/>
  <c r="N26" i="11"/>
  <c r="M26" i="11"/>
  <c r="L26" i="11"/>
  <c r="K26" i="11"/>
  <c r="J26" i="11"/>
  <c r="I26" i="11"/>
  <c r="H26" i="11"/>
  <c r="D26" i="11"/>
  <c r="AH25" i="11"/>
  <c r="AG25" i="11"/>
  <c r="AF25" i="11"/>
  <c r="AE25" i="11"/>
  <c r="AD25" i="11"/>
  <c r="AC25" i="11"/>
  <c r="AB25" i="11"/>
  <c r="AA25" i="11"/>
  <c r="Z25" i="11"/>
  <c r="Y25" i="11"/>
  <c r="X25" i="11"/>
  <c r="W25" i="11"/>
  <c r="V25" i="11"/>
  <c r="U25" i="11"/>
  <c r="T25" i="11"/>
  <c r="S25" i="11"/>
  <c r="R25" i="11"/>
  <c r="Q25" i="11"/>
  <c r="P25" i="11"/>
  <c r="O25" i="11"/>
  <c r="N25" i="11"/>
  <c r="M25" i="11"/>
  <c r="L25" i="11"/>
  <c r="K25" i="11"/>
  <c r="J25" i="11"/>
  <c r="I25" i="11"/>
  <c r="H25" i="11"/>
  <c r="D25" i="11"/>
  <c r="AH24" i="11"/>
  <c r="AG24" i="11"/>
  <c r="AF24" i="11"/>
  <c r="AE24" i="11"/>
  <c r="AD24" i="11"/>
  <c r="AC24" i="11"/>
  <c r="AB24" i="11"/>
  <c r="AA24" i="11"/>
  <c r="Z24" i="11"/>
  <c r="Y24" i="11"/>
  <c r="X24" i="11"/>
  <c r="W24" i="11"/>
  <c r="V24" i="11"/>
  <c r="U24" i="11"/>
  <c r="T24" i="11"/>
  <c r="S24" i="11"/>
  <c r="R24" i="11"/>
  <c r="Q24" i="11"/>
  <c r="P24" i="11"/>
  <c r="O24" i="11"/>
  <c r="N24" i="11"/>
  <c r="M24" i="11"/>
  <c r="L24" i="11"/>
  <c r="K24" i="11"/>
  <c r="J24" i="11"/>
  <c r="I24" i="11"/>
  <c r="H24" i="11"/>
  <c r="D24" i="11"/>
  <c r="AH23" i="11"/>
  <c r="AG23" i="11"/>
  <c r="AF23" i="11"/>
  <c r="AE23" i="11"/>
  <c r="AD23" i="11"/>
  <c r="AC23" i="11"/>
  <c r="AB23" i="11"/>
  <c r="AA23" i="11"/>
  <c r="Z23" i="11"/>
  <c r="Y23" i="11"/>
  <c r="X23" i="11"/>
  <c r="W23" i="11"/>
  <c r="V23" i="11"/>
  <c r="U23" i="11"/>
  <c r="T23" i="11"/>
  <c r="S23" i="11"/>
  <c r="R23" i="11"/>
  <c r="Q23" i="11"/>
  <c r="P23" i="11"/>
  <c r="O23" i="11"/>
  <c r="N23" i="11"/>
  <c r="M23" i="11"/>
  <c r="L23" i="11"/>
  <c r="K23" i="11"/>
  <c r="J23" i="11"/>
  <c r="I23" i="11"/>
  <c r="H23" i="11"/>
  <c r="D23" i="11"/>
  <c r="AH22" i="11"/>
  <c r="AG22" i="11"/>
  <c r="AF22" i="11"/>
  <c r="AE22" i="11"/>
  <c r="AD22" i="11"/>
  <c r="AC22" i="11"/>
  <c r="AB22" i="11"/>
  <c r="AA22" i="11"/>
  <c r="Z22" i="11"/>
  <c r="Y22" i="11"/>
  <c r="X22" i="11"/>
  <c r="W22" i="11"/>
  <c r="V22" i="11"/>
  <c r="U22" i="11"/>
  <c r="T22" i="11"/>
  <c r="S22" i="11"/>
  <c r="R22" i="11"/>
  <c r="Q22" i="11"/>
  <c r="P22" i="11"/>
  <c r="O22" i="11"/>
  <c r="N22" i="11"/>
  <c r="M22" i="11"/>
  <c r="L22" i="11"/>
  <c r="K22" i="11"/>
  <c r="J22" i="11"/>
  <c r="I22" i="11"/>
  <c r="H22" i="11"/>
  <c r="D22" i="11"/>
  <c r="AH21" i="11"/>
  <c r="AG21" i="11"/>
  <c r="AF21" i="11"/>
  <c r="AE21" i="11"/>
  <c r="AD21" i="11"/>
  <c r="AC21" i="11"/>
  <c r="AB21" i="11"/>
  <c r="AA21" i="11"/>
  <c r="Z21" i="11"/>
  <c r="Y21" i="11"/>
  <c r="X21" i="11"/>
  <c r="W21" i="11"/>
  <c r="V21" i="11"/>
  <c r="U21" i="11"/>
  <c r="T21" i="11"/>
  <c r="S21" i="11"/>
  <c r="R21" i="11"/>
  <c r="Q21" i="11"/>
  <c r="P21" i="11"/>
  <c r="O21" i="11"/>
  <c r="N21" i="11"/>
  <c r="M21" i="11"/>
  <c r="L21" i="11"/>
  <c r="K21" i="11"/>
  <c r="J21" i="11"/>
  <c r="I21" i="11"/>
  <c r="H21" i="11"/>
  <c r="D21" i="11"/>
  <c r="AH20" i="11"/>
  <c r="AG20" i="11"/>
  <c r="AF20" i="11"/>
  <c r="AE20" i="11"/>
  <c r="AD20" i="11"/>
  <c r="AC20" i="11"/>
  <c r="AB20" i="11"/>
  <c r="AA20" i="11"/>
  <c r="Z20" i="11"/>
  <c r="Y20" i="11"/>
  <c r="X20" i="11"/>
  <c r="W20" i="11"/>
  <c r="V20" i="11"/>
  <c r="U20" i="11"/>
  <c r="T20" i="11"/>
  <c r="S20" i="11"/>
  <c r="R20" i="11"/>
  <c r="Q20" i="11"/>
  <c r="P20" i="11"/>
  <c r="O20" i="11"/>
  <c r="N20" i="11"/>
  <c r="M20" i="11"/>
  <c r="L20" i="11"/>
  <c r="K20" i="11"/>
  <c r="J20" i="11"/>
  <c r="I20" i="11"/>
  <c r="H20" i="11"/>
  <c r="D20" i="11"/>
  <c r="AH19" i="11"/>
  <c r="AG19" i="11"/>
  <c r="AF19" i="11"/>
  <c r="AE19" i="11"/>
  <c r="AD19" i="11"/>
  <c r="AC19" i="11"/>
  <c r="AB19" i="11"/>
  <c r="AA19" i="11"/>
  <c r="Z19" i="11"/>
  <c r="Y19" i="11"/>
  <c r="X19" i="11"/>
  <c r="W19" i="11"/>
  <c r="V19" i="11"/>
  <c r="U19" i="11"/>
  <c r="T19" i="11"/>
  <c r="S19" i="11"/>
  <c r="R19" i="11"/>
  <c r="Q19" i="11"/>
  <c r="P19" i="11"/>
  <c r="O19" i="11"/>
  <c r="N19" i="11"/>
  <c r="M19" i="11"/>
  <c r="L19" i="11"/>
  <c r="K19" i="11"/>
  <c r="J19" i="11"/>
  <c r="I19" i="11"/>
  <c r="H19" i="11"/>
  <c r="D19" i="11"/>
  <c r="AH18" i="11"/>
  <c r="AG18" i="11"/>
  <c r="AF18" i="11"/>
  <c r="AE18" i="11"/>
  <c r="AD18" i="11"/>
  <c r="AC18" i="11"/>
  <c r="AB18" i="11"/>
  <c r="AA18" i="11"/>
  <c r="Z18" i="11"/>
  <c r="Y18" i="11"/>
  <c r="X18" i="11"/>
  <c r="W18" i="11"/>
  <c r="V18" i="11"/>
  <c r="U18" i="11"/>
  <c r="T18" i="11"/>
  <c r="S18" i="11"/>
  <c r="R18" i="11"/>
  <c r="Q18" i="11"/>
  <c r="P18" i="11"/>
  <c r="O18" i="11"/>
  <c r="N18" i="11"/>
  <c r="M18" i="11"/>
  <c r="L18" i="11"/>
  <c r="K18" i="11"/>
  <c r="J18" i="11"/>
  <c r="I18" i="11"/>
  <c r="H18" i="11"/>
  <c r="D18" i="11"/>
  <c r="AH17" i="11"/>
  <c r="AG17" i="11"/>
  <c r="AF17" i="11"/>
  <c r="AE17" i="11"/>
  <c r="AD17" i="11"/>
  <c r="AC17" i="11"/>
  <c r="AB17" i="11"/>
  <c r="AA17" i="11"/>
  <c r="Z17" i="11"/>
  <c r="Y17" i="11"/>
  <c r="X17" i="11"/>
  <c r="W17" i="11"/>
  <c r="V17" i="11"/>
  <c r="U17" i="11"/>
  <c r="T17" i="11"/>
  <c r="S17" i="11"/>
  <c r="R17" i="11"/>
  <c r="Q17" i="11"/>
  <c r="P17" i="11"/>
  <c r="O17" i="11"/>
  <c r="N17" i="11"/>
  <c r="M17" i="11"/>
  <c r="L17" i="11"/>
  <c r="K17" i="11"/>
  <c r="J17" i="11"/>
  <c r="I17" i="11"/>
  <c r="H17" i="11"/>
  <c r="D17" i="11"/>
  <c r="AH16" i="11"/>
  <c r="AG16" i="11"/>
  <c r="AF16" i="11"/>
  <c r="AE16" i="11"/>
  <c r="AD16" i="11"/>
  <c r="AC16" i="11"/>
  <c r="AB16" i="11"/>
  <c r="AA16" i="11"/>
  <c r="Z16" i="11"/>
  <c r="Y16" i="11"/>
  <c r="X16" i="11"/>
  <c r="W16" i="11"/>
  <c r="V16" i="11"/>
  <c r="U16" i="11"/>
  <c r="T16" i="11"/>
  <c r="S16" i="11"/>
  <c r="R16" i="11"/>
  <c r="Q16" i="11"/>
  <c r="P16" i="11"/>
  <c r="O16" i="11"/>
  <c r="N16" i="11"/>
  <c r="M16" i="11"/>
  <c r="L16" i="11"/>
  <c r="K16" i="11"/>
  <c r="J16" i="11"/>
  <c r="I16" i="11"/>
  <c r="H16" i="11"/>
  <c r="D16" i="11"/>
  <c r="AH15" i="11"/>
  <c r="AG15" i="11"/>
  <c r="AF15" i="11"/>
  <c r="AE15" i="11"/>
  <c r="AD15" i="11"/>
  <c r="AC15" i="11"/>
  <c r="AB15" i="11"/>
  <c r="AA15" i="11"/>
  <c r="Z15" i="11"/>
  <c r="Y15" i="11"/>
  <c r="X15" i="11"/>
  <c r="W15" i="11"/>
  <c r="V15" i="11"/>
  <c r="U15" i="11"/>
  <c r="T15" i="11"/>
  <c r="S15" i="11"/>
  <c r="R15" i="11"/>
  <c r="Q15" i="11"/>
  <c r="P15" i="11"/>
  <c r="O15" i="11"/>
  <c r="N15" i="11"/>
  <c r="M15" i="11"/>
  <c r="L15" i="11"/>
  <c r="K15" i="11"/>
  <c r="J15" i="11"/>
  <c r="I15" i="11"/>
  <c r="H15" i="11"/>
  <c r="D15" i="11"/>
  <c r="AH14" i="11"/>
  <c r="AG14" i="11"/>
  <c r="AF14" i="11"/>
  <c r="AE14" i="11"/>
  <c r="AD14" i="11"/>
  <c r="AC14" i="11"/>
  <c r="AB14" i="11"/>
  <c r="AA14" i="11"/>
  <c r="Z14" i="11"/>
  <c r="Y14" i="11"/>
  <c r="X14" i="11"/>
  <c r="W14" i="11"/>
  <c r="V14" i="11"/>
  <c r="U14" i="11"/>
  <c r="T14" i="11"/>
  <c r="S14" i="11"/>
  <c r="R14" i="11"/>
  <c r="Q14" i="11"/>
  <c r="P14" i="11"/>
  <c r="O14" i="11"/>
  <c r="N14" i="11"/>
  <c r="M14" i="11"/>
  <c r="L14" i="11"/>
  <c r="K14" i="11"/>
  <c r="J14" i="11"/>
  <c r="I14" i="11"/>
  <c r="H14" i="11"/>
  <c r="D14" i="11"/>
  <c r="AH13" i="11"/>
  <c r="AG13" i="11"/>
  <c r="AF13" i="11"/>
  <c r="AE13" i="11"/>
  <c r="AD13" i="11"/>
  <c r="AC13" i="11"/>
  <c r="AB13" i="11"/>
  <c r="AA13" i="11"/>
  <c r="Z13" i="11"/>
  <c r="Y13" i="11"/>
  <c r="X13" i="11"/>
  <c r="W13" i="11"/>
  <c r="V13" i="11"/>
  <c r="U13" i="11"/>
  <c r="T13" i="11"/>
  <c r="S13" i="11"/>
  <c r="R13" i="11"/>
  <c r="Q13" i="11"/>
  <c r="P13" i="11"/>
  <c r="O13" i="11"/>
  <c r="N13" i="11"/>
  <c r="M13" i="11"/>
  <c r="L13" i="11"/>
  <c r="K13" i="11"/>
  <c r="J13" i="11"/>
  <c r="I13" i="11"/>
  <c r="H13" i="11"/>
  <c r="D13" i="11"/>
  <c r="AH12" i="11"/>
  <c r="AG12" i="11"/>
  <c r="AF12" i="11"/>
  <c r="AE12" i="11"/>
  <c r="AD12" i="11"/>
  <c r="AC12" i="11"/>
  <c r="AB12" i="11"/>
  <c r="AA12" i="11"/>
  <c r="Z12" i="11"/>
  <c r="Y12" i="11"/>
  <c r="X12" i="11"/>
  <c r="W12" i="11"/>
  <c r="V12" i="11"/>
  <c r="U12" i="11"/>
  <c r="T12" i="11"/>
  <c r="S12" i="11"/>
  <c r="R12" i="11"/>
  <c r="Q12" i="11"/>
  <c r="P12" i="11"/>
  <c r="O12" i="11"/>
  <c r="N12" i="11"/>
  <c r="M12" i="11"/>
  <c r="L12" i="11"/>
  <c r="K12" i="11"/>
  <c r="J12" i="11"/>
  <c r="I12" i="11"/>
  <c r="H12" i="11"/>
  <c r="D12" i="11"/>
  <c r="AH11" i="11"/>
  <c r="AG11" i="11"/>
  <c r="AF11" i="11"/>
  <c r="AE11" i="11"/>
  <c r="AD11" i="11"/>
  <c r="AC11" i="11"/>
  <c r="AB11" i="11"/>
  <c r="AA11" i="11"/>
  <c r="Z11" i="11"/>
  <c r="Y11" i="11"/>
  <c r="X11" i="11"/>
  <c r="W11" i="11"/>
  <c r="V11" i="11"/>
  <c r="U11" i="11"/>
  <c r="T11" i="11"/>
  <c r="S11" i="11"/>
  <c r="R11" i="11"/>
  <c r="Q11" i="11"/>
  <c r="P11" i="11"/>
  <c r="O11" i="11"/>
  <c r="N11" i="11"/>
  <c r="M11" i="11"/>
  <c r="L11" i="11"/>
  <c r="K11" i="11"/>
  <c r="J11" i="11"/>
  <c r="I11" i="11"/>
  <c r="H11" i="11"/>
  <c r="D11" i="11"/>
  <c r="AH10" i="11"/>
  <c r="AG10" i="11"/>
  <c r="AF10" i="11"/>
  <c r="AE10" i="11"/>
  <c r="AD10" i="11"/>
  <c r="AC10" i="11"/>
  <c r="AB10" i="11"/>
  <c r="AA10" i="11"/>
  <c r="Z10" i="11"/>
  <c r="Y10" i="11"/>
  <c r="X10" i="11"/>
  <c r="W10" i="11"/>
  <c r="V10" i="11"/>
  <c r="U10" i="11"/>
  <c r="T10" i="11"/>
  <c r="S10" i="11"/>
  <c r="R10" i="11"/>
  <c r="Q10" i="11"/>
  <c r="P10" i="11"/>
  <c r="O10" i="11"/>
  <c r="N10" i="11"/>
  <c r="M10" i="11"/>
  <c r="L10" i="11"/>
  <c r="K10" i="11"/>
  <c r="J10" i="11"/>
  <c r="I10" i="11"/>
  <c r="H10" i="11"/>
  <c r="D10" i="11"/>
  <c r="AH9" i="11"/>
  <c r="AG9" i="11"/>
  <c r="AF9" i="11"/>
  <c r="AE9" i="11"/>
  <c r="AD9" i="11"/>
  <c r="AC9" i="11"/>
  <c r="AB9" i="11"/>
  <c r="AA9" i="11"/>
  <c r="Z9" i="11"/>
  <c r="Y9" i="11"/>
  <c r="X9" i="11"/>
  <c r="W9" i="11"/>
  <c r="V9" i="11"/>
  <c r="U9" i="11"/>
  <c r="T9" i="11"/>
  <c r="S9" i="11"/>
  <c r="R9" i="11"/>
  <c r="Q9" i="11"/>
  <c r="P9" i="11"/>
  <c r="O9" i="11"/>
  <c r="N9" i="11"/>
  <c r="M9" i="11"/>
  <c r="L9" i="11"/>
  <c r="K9" i="11"/>
  <c r="J9" i="11"/>
  <c r="I9" i="11"/>
  <c r="H9" i="11"/>
  <c r="D9" i="11"/>
  <c r="AH8" i="11"/>
  <c r="AG8" i="11"/>
  <c r="AF8" i="11"/>
  <c r="AE8" i="11"/>
  <c r="AD8" i="11"/>
  <c r="AC8" i="11"/>
  <c r="AB8" i="11"/>
  <c r="AA8" i="11"/>
  <c r="Z8" i="11"/>
  <c r="Y8" i="11"/>
  <c r="X8" i="11"/>
  <c r="W8" i="11"/>
  <c r="V8" i="11"/>
  <c r="U8" i="11"/>
  <c r="T8" i="11"/>
  <c r="S8" i="11"/>
  <c r="R8" i="11"/>
  <c r="Q8" i="11"/>
  <c r="P8" i="11"/>
  <c r="O8" i="11"/>
  <c r="N8" i="11"/>
  <c r="M8" i="11"/>
  <c r="L8" i="11"/>
  <c r="K8" i="11"/>
  <c r="J8" i="11"/>
  <c r="I8" i="11"/>
  <c r="H8" i="11"/>
  <c r="D8" i="11"/>
  <c r="AH7" i="11"/>
  <c r="AG7" i="11"/>
  <c r="AF7" i="11"/>
  <c r="AE7" i="11"/>
  <c r="AD7" i="11"/>
  <c r="AC7" i="11"/>
  <c r="AB7" i="11"/>
  <c r="AA7" i="11"/>
  <c r="Z7" i="11"/>
  <c r="Y7" i="11"/>
  <c r="X7" i="11"/>
  <c r="W7" i="11"/>
  <c r="V7" i="11"/>
  <c r="U7" i="11"/>
  <c r="T7" i="11"/>
  <c r="S7" i="11"/>
  <c r="R7" i="11"/>
  <c r="Q7" i="11"/>
  <c r="P7" i="11"/>
  <c r="O7" i="11"/>
  <c r="N7" i="11"/>
  <c r="M7" i="11"/>
  <c r="L7" i="11"/>
  <c r="K7" i="11"/>
  <c r="J7" i="11"/>
  <c r="I7" i="11"/>
  <c r="H7" i="11"/>
  <c r="D7" i="11"/>
  <c r="AH6" i="11"/>
  <c r="AG6" i="11"/>
  <c r="AF6" i="11"/>
  <c r="AE6" i="11"/>
  <c r="AD6" i="11"/>
  <c r="AC6" i="11"/>
  <c r="AB6" i="11"/>
  <c r="AA6" i="11"/>
  <c r="Z6" i="11"/>
  <c r="Y6" i="11"/>
  <c r="X6" i="11"/>
  <c r="W6" i="11"/>
  <c r="V6" i="11"/>
  <c r="U6" i="11"/>
  <c r="T6" i="11"/>
  <c r="S6" i="11"/>
  <c r="R6" i="11"/>
  <c r="Q6" i="11"/>
  <c r="P6" i="11"/>
  <c r="O6" i="11"/>
  <c r="N6" i="11"/>
  <c r="M6" i="11"/>
  <c r="L6" i="11"/>
  <c r="K6" i="11"/>
  <c r="J6" i="11"/>
  <c r="I6" i="11"/>
  <c r="H6" i="11"/>
  <c r="D6" i="11"/>
  <c r="AH5" i="11"/>
  <c r="AG5" i="11"/>
  <c r="AF5" i="11"/>
  <c r="AE5" i="11"/>
  <c r="AD5" i="11"/>
  <c r="AC5" i="11"/>
  <c r="AB5" i="11"/>
  <c r="AA5" i="11"/>
  <c r="Z5" i="11"/>
  <c r="Y5" i="11"/>
  <c r="X5" i="11"/>
  <c r="W5" i="11"/>
  <c r="V5" i="11"/>
  <c r="U5" i="11"/>
  <c r="T5" i="11"/>
  <c r="S5" i="11"/>
  <c r="R5" i="11"/>
  <c r="Q5" i="11"/>
  <c r="P5" i="11"/>
  <c r="O5" i="11"/>
  <c r="N5" i="11"/>
  <c r="M5" i="11"/>
  <c r="L5" i="11"/>
  <c r="K5" i="11"/>
  <c r="J5" i="11"/>
  <c r="I5" i="11"/>
  <c r="H5" i="11"/>
  <c r="D5" i="11"/>
  <c r="AH4" i="11"/>
  <c r="AG4" i="11"/>
  <c r="AF4" i="11"/>
  <c r="AE4" i="11"/>
  <c r="AD4" i="11"/>
  <c r="AC4" i="11"/>
  <c r="AB4" i="11"/>
  <c r="AA4" i="11"/>
  <c r="Z4" i="11"/>
  <c r="Y4" i="11"/>
  <c r="X4" i="11"/>
  <c r="W4" i="11"/>
  <c r="V4" i="11"/>
  <c r="U4" i="11"/>
  <c r="T4" i="11"/>
  <c r="S4" i="11"/>
  <c r="R4" i="11"/>
  <c r="Q4" i="11"/>
  <c r="P4" i="11"/>
  <c r="O4" i="11"/>
  <c r="N4" i="11"/>
  <c r="M4" i="11"/>
  <c r="L4" i="11"/>
  <c r="K4" i="11"/>
  <c r="J4" i="11"/>
  <c r="I4" i="11"/>
  <c r="H4" i="11"/>
  <c r="D4" i="11"/>
  <c r="AH3" i="11"/>
  <c r="AG3" i="11"/>
  <c r="AF3" i="11"/>
  <c r="AE3" i="11"/>
  <c r="AD3" i="11"/>
  <c r="AC3" i="11"/>
  <c r="AB3" i="11"/>
  <c r="AA3" i="11"/>
  <c r="Z3" i="11"/>
  <c r="Y3" i="11"/>
  <c r="X3" i="11"/>
  <c r="W3" i="11"/>
  <c r="V3" i="11"/>
  <c r="U3" i="11"/>
  <c r="T3" i="11"/>
  <c r="S3" i="11"/>
  <c r="R3" i="11"/>
  <c r="Q3" i="11"/>
  <c r="P3" i="11"/>
  <c r="O3" i="11"/>
  <c r="N3" i="11"/>
  <c r="M3" i="11"/>
  <c r="L3" i="11"/>
  <c r="K3" i="11"/>
  <c r="J3" i="11"/>
  <c r="I3" i="11"/>
  <c r="H3" i="11"/>
  <c r="D3" i="11"/>
  <c r="Y226" i="12" l="1"/>
  <c r="S234" i="12"/>
  <c r="AB221" i="12"/>
  <c r="H221" i="12"/>
  <c r="N200" i="12"/>
  <c r="T204" i="12"/>
  <c r="Z208" i="12"/>
  <c r="AF212" i="12"/>
  <c r="L212" i="12"/>
  <c r="R216" i="12"/>
  <c r="W41" i="32"/>
  <c r="Q41" i="32"/>
  <c r="C82" i="32" a="1"/>
  <c r="C82" i="32" s="1"/>
  <c r="F212" i="12"/>
  <c r="V230" i="12"/>
  <c r="N238" i="12"/>
  <c r="U221" i="12"/>
  <c r="AA200" i="12"/>
  <c r="G204" i="12"/>
  <c r="M204" i="12"/>
  <c r="S208" i="12"/>
  <c r="Y212" i="12"/>
  <c r="AE216" i="12"/>
  <c r="K216" i="12"/>
  <c r="P41" i="32"/>
  <c r="M41" i="32"/>
  <c r="G226" i="12"/>
  <c r="AE230" i="12"/>
  <c r="X238" i="12"/>
  <c r="Q221" i="12"/>
  <c r="W200" i="12"/>
  <c r="AC204" i="12"/>
  <c r="I204" i="12"/>
  <c r="O208" i="12"/>
  <c r="U212" i="12"/>
  <c r="AA216" i="12"/>
  <c r="L41" i="32"/>
  <c r="H226" i="12"/>
  <c r="AF230" i="12"/>
  <c r="AA238" i="12"/>
  <c r="P221" i="12"/>
  <c r="V200" i="12"/>
  <c r="AB204" i="12"/>
  <c r="H204" i="12"/>
  <c r="N208" i="12"/>
  <c r="T212" i="12"/>
  <c r="Z216" i="12"/>
  <c r="K41" i="32"/>
  <c r="I226" i="12"/>
  <c r="G234" i="12"/>
  <c r="AB238" i="12"/>
  <c r="O221" i="12"/>
  <c r="U200" i="12"/>
  <c r="AA204" i="12"/>
  <c r="G208" i="12"/>
  <c r="M208" i="12"/>
  <c r="S212" i="12"/>
  <c r="Y216" i="12"/>
  <c r="J41" i="32"/>
  <c r="K226" i="12"/>
  <c r="I234" i="12"/>
  <c r="AF238" i="12"/>
  <c r="N221" i="12"/>
  <c r="T200" i="12"/>
  <c r="Z204" i="12"/>
  <c r="AF208" i="12"/>
  <c r="L208" i="12"/>
  <c r="R212" i="12"/>
  <c r="X216" i="12"/>
  <c r="I41" i="32"/>
  <c r="O226" i="12"/>
  <c r="K234" i="12"/>
  <c r="G221" i="12"/>
  <c r="M221" i="12"/>
  <c r="S200" i="12"/>
  <c r="Y204" i="12"/>
  <c r="AE208" i="12"/>
  <c r="K208" i="12"/>
  <c r="Q212" i="12"/>
  <c r="W216" i="12"/>
  <c r="AB41" i="32"/>
  <c r="H41" i="32"/>
  <c r="P226" i="12"/>
  <c r="L234" i="12"/>
  <c r="AF221" i="12"/>
  <c r="L221" i="12"/>
  <c r="R200" i="12"/>
  <c r="X204" i="12"/>
  <c r="AD208" i="12"/>
  <c r="J208" i="12"/>
  <c r="P212" i="12"/>
  <c r="V216" i="12"/>
  <c r="AA41" i="32"/>
  <c r="G41" i="32"/>
  <c r="Q226" i="12"/>
  <c r="M234" i="12"/>
  <c r="AE221" i="12"/>
  <c r="K221" i="12"/>
  <c r="Q200" i="12"/>
  <c r="W204" i="12"/>
  <c r="AC208" i="12"/>
  <c r="I208" i="12"/>
  <c r="O212" i="12"/>
  <c r="U216" i="12"/>
  <c r="Z41" i="32"/>
  <c r="F41" i="32"/>
  <c r="S226" i="12"/>
  <c r="P234" i="12"/>
  <c r="AD221" i="12"/>
  <c r="J221" i="12"/>
  <c r="P200" i="12"/>
  <c r="V204" i="12"/>
  <c r="AB208" i="12"/>
  <c r="H208" i="12"/>
  <c r="N212" i="12"/>
  <c r="T216" i="12"/>
  <c r="Y41" i="32"/>
  <c r="E41" i="32"/>
  <c r="O41" i="32"/>
  <c r="N41" i="32"/>
  <c r="T226" i="12"/>
  <c r="Q234" i="12"/>
  <c r="AC221" i="12"/>
  <c r="I221" i="12"/>
  <c r="O200" i="12"/>
  <c r="U204" i="12"/>
  <c r="AA208" i="12"/>
  <c r="G212" i="12"/>
  <c r="M212" i="12"/>
  <c r="S216" i="12"/>
  <c r="X41" i="32"/>
  <c r="D41" i="32"/>
  <c r="B83" i="32"/>
  <c r="B84" i="32"/>
  <c r="D49" i="32"/>
  <c r="D59" i="32" s="1"/>
  <c r="C50" i="32"/>
  <c r="C86" i="32" s="1"/>
  <c r="M189" i="12"/>
  <c r="I4" i="27" s="1"/>
  <c r="F148" i="12"/>
  <c r="B2" i="24" s="1"/>
  <c r="F187" i="12"/>
  <c r="F96" i="12"/>
  <c r="B2" i="20" s="1"/>
  <c r="X96" i="12"/>
  <c r="T2" i="20" s="1"/>
  <c r="F122" i="12"/>
  <c r="B2" i="22" s="1"/>
  <c r="N174" i="12"/>
  <c r="J2" i="26" s="1"/>
  <c r="O70" i="12"/>
  <c r="K2" i="18" s="1"/>
  <c r="N75" i="12"/>
  <c r="J7" i="18" s="1"/>
  <c r="V83" i="12"/>
  <c r="R2" i="19" s="1"/>
  <c r="AD83" i="12"/>
  <c r="Z2" i="19" s="1"/>
  <c r="Q59" i="12"/>
  <c r="M4" i="17" s="1"/>
  <c r="H44" i="12"/>
  <c r="D2" i="16" s="1"/>
  <c r="AB111" i="12"/>
  <c r="X4" i="21" s="1"/>
  <c r="L190" i="12"/>
  <c r="H5" i="27" s="1"/>
  <c r="H188" i="12"/>
  <c r="D3" i="27" s="1"/>
  <c r="K177" i="12"/>
  <c r="L176" i="12"/>
  <c r="H4" i="26" s="1"/>
  <c r="G140" i="12"/>
  <c r="H139" i="12"/>
  <c r="D6" i="23" s="1"/>
  <c r="L137" i="12"/>
  <c r="W125" i="12"/>
  <c r="S5" i="22" s="1"/>
  <c r="AE117" i="12"/>
  <c r="AA10" i="21" s="1"/>
  <c r="K112" i="12"/>
  <c r="G5" i="21" s="1"/>
  <c r="P109" i="12"/>
  <c r="L2" i="21" s="1"/>
  <c r="AF72" i="12"/>
  <c r="AB4" i="18" s="1"/>
  <c r="G72" i="12"/>
  <c r="C4" i="18" s="1"/>
  <c r="K70" i="12"/>
  <c r="G2" i="18" s="1"/>
  <c r="S60" i="12"/>
  <c r="O5" i="17" s="1"/>
  <c r="AE52" i="12"/>
  <c r="AA10" i="16" s="1"/>
  <c r="F52" i="12"/>
  <c r="B10" i="16" s="1"/>
  <c r="AD139" i="12"/>
  <c r="Z6" i="23" s="1"/>
  <c r="F112" i="12"/>
  <c r="B5" i="21" s="1"/>
  <c r="Y10" i="12"/>
  <c r="H190" i="12"/>
  <c r="D5" i="27" s="1"/>
  <c r="AE139" i="12"/>
  <c r="AA6" i="23" s="1"/>
  <c r="X117" i="12"/>
  <c r="T10" i="21" s="1"/>
  <c r="G112" i="12"/>
  <c r="C5" i="21" s="1"/>
  <c r="AB72" i="12"/>
  <c r="X4" i="18" s="1"/>
  <c r="AA52" i="12"/>
  <c r="W10" i="16" s="1"/>
  <c r="AF188" i="12"/>
  <c r="AB3" i="27" s="1"/>
  <c r="AF112" i="12"/>
  <c r="AB5" i="21" s="1"/>
  <c r="AA72" i="12"/>
  <c r="W4" i="18" s="1"/>
  <c r="N60" i="12"/>
  <c r="J5" i="17" s="1"/>
  <c r="AC8" i="12"/>
  <c r="G177" i="12"/>
  <c r="H137" i="12"/>
  <c r="R125" i="12"/>
  <c r="N5" i="22" s="1"/>
  <c r="AC70" i="12"/>
  <c r="Y2" i="18" s="1"/>
  <c r="G190" i="12"/>
  <c r="C5" i="27" s="1"/>
  <c r="AF174" i="12"/>
  <c r="AB2" i="26" s="1"/>
  <c r="G137" i="12"/>
  <c r="W117" i="12"/>
  <c r="S10" i="21" s="1"/>
  <c r="AD140" i="12"/>
  <c r="L109" i="12"/>
  <c r="H2" i="21" s="1"/>
  <c r="O60" i="12"/>
  <c r="K5" i="17" s="1"/>
  <c r="Z10" i="12"/>
  <c r="F177" i="12"/>
  <c r="B5" i="26" s="1"/>
  <c r="AC140" i="12"/>
  <c r="Q125" i="12"/>
  <c r="M5" i="22" s="1"/>
  <c r="K109" i="12"/>
  <c r="G2" i="21" s="1"/>
  <c r="AB70" i="12"/>
  <c r="X2" i="18" s="1"/>
  <c r="Z52" i="12"/>
  <c r="V10" i="16" s="1"/>
  <c r="AE189" i="12"/>
  <c r="AA4" i="27" s="1"/>
  <c r="U188" i="12"/>
  <c r="Q3" i="27" s="1"/>
  <c r="AB176" i="12"/>
  <c r="X4" i="26" s="1"/>
  <c r="Y174" i="12"/>
  <c r="U2" i="26" s="1"/>
  <c r="M140" i="12"/>
  <c r="AC138" i="12"/>
  <c r="W137" i="12"/>
  <c r="H125" i="12"/>
  <c r="D5" i="22" s="1"/>
  <c r="R117" i="12"/>
  <c r="N10" i="21" s="1"/>
  <c r="Y112" i="12"/>
  <c r="U5" i="21" s="1"/>
  <c r="I109" i="12"/>
  <c r="E2" i="21" s="1"/>
  <c r="G75" i="12"/>
  <c r="C7" i="18" s="1"/>
  <c r="X70" i="12"/>
  <c r="T2" i="18" s="1"/>
  <c r="V60" i="12"/>
  <c r="R5" i="17" s="1"/>
  <c r="G52" i="12"/>
  <c r="C10" i="16" s="1"/>
  <c r="G47" i="12"/>
  <c r="C5" i="16" s="1"/>
  <c r="K31" i="12"/>
  <c r="G2" i="15" s="1"/>
  <c r="G20" i="12"/>
  <c r="C4" i="14" s="1"/>
  <c r="Y8" i="12"/>
  <c r="AD189" i="12"/>
  <c r="Z4" i="27" s="1"/>
  <c r="T188" i="12"/>
  <c r="P3" i="27" s="1"/>
  <c r="AA176" i="12"/>
  <c r="W4" i="26" s="1"/>
  <c r="X174" i="12"/>
  <c r="T2" i="26" s="1"/>
  <c r="L140" i="12"/>
  <c r="AB138" i="12"/>
  <c r="V137" i="12"/>
  <c r="G130" i="12"/>
  <c r="C10" i="22" s="1"/>
  <c r="P117" i="12"/>
  <c r="L10" i="21" s="1"/>
  <c r="X112" i="12"/>
  <c r="T5" i="21" s="1"/>
  <c r="H109" i="12"/>
  <c r="D2" i="21" s="1"/>
  <c r="W85" i="12"/>
  <c r="S4" i="19" s="1"/>
  <c r="H78" i="12"/>
  <c r="D10" i="18" s="1"/>
  <c r="F75" i="12"/>
  <c r="B7" i="18" s="1"/>
  <c r="Z72" i="12"/>
  <c r="V4" i="18" s="1"/>
  <c r="W70" i="12"/>
  <c r="S2" i="18" s="1"/>
  <c r="W65" i="12"/>
  <c r="S10" i="17" s="1"/>
  <c r="U60" i="12"/>
  <c r="Q5" i="17" s="1"/>
  <c r="H57" i="12"/>
  <c r="D2" i="17" s="1"/>
  <c r="F47" i="12"/>
  <c r="B5" i="16" s="1"/>
  <c r="F20" i="12"/>
  <c r="B4" i="14" s="1"/>
  <c r="X10" i="12"/>
  <c r="X8" i="12"/>
  <c r="AC189" i="12"/>
  <c r="Y4" i="27" s="1"/>
  <c r="S188" i="12"/>
  <c r="O3" i="27" s="1"/>
  <c r="Z176" i="12"/>
  <c r="V4" i="26" s="1"/>
  <c r="W174" i="12"/>
  <c r="S2" i="26" s="1"/>
  <c r="K140" i="12"/>
  <c r="AA138" i="12"/>
  <c r="U137" i="12"/>
  <c r="O117" i="12"/>
  <c r="K10" i="21" s="1"/>
  <c r="W112" i="12"/>
  <c r="S5" i="21" s="1"/>
  <c r="G109" i="12"/>
  <c r="C2" i="21" s="1"/>
  <c r="V72" i="12"/>
  <c r="R4" i="18" s="1"/>
  <c r="V70" i="12"/>
  <c r="R2" i="18" s="1"/>
  <c r="T60" i="12"/>
  <c r="P5" i="17" s="1"/>
  <c r="W10" i="12"/>
  <c r="W8" i="12"/>
  <c r="AB189" i="12"/>
  <c r="X4" i="27" s="1"/>
  <c r="R188" i="12"/>
  <c r="N3" i="27" s="1"/>
  <c r="Y176" i="12"/>
  <c r="U4" i="26" s="1"/>
  <c r="V174" i="12"/>
  <c r="R2" i="26" s="1"/>
  <c r="Z138" i="12"/>
  <c r="T137" i="12"/>
  <c r="N117" i="12"/>
  <c r="J10" i="21" s="1"/>
  <c r="V112" i="12"/>
  <c r="R5" i="21" s="1"/>
  <c r="U85" i="12"/>
  <c r="Q4" i="19" s="1"/>
  <c r="U72" i="12"/>
  <c r="Q4" i="18" s="1"/>
  <c r="U70" i="12"/>
  <c r="Q2" i="18" s="1"/>
  <c r="U65" i="12"/>
  <c r="Q10" i="17" s="1"/>
  <c r="M60" i="12"/>
  <c r="I5" i="17" s="1"/>
  <c r="V10" i="12"/>
  <c r="V8" i="12"/>
  <c r="AA189" i="12"/>
  <c r="W4" i="27" s="1"/>
  <c r="Q188" i="12"/>
  <c r="M3" i="27" s="1"/>
  <c r="X176" i="12"/>
  <c r="T4" i="26" s="1"/>
  <c r="U174" i="12"/>
  <c r="Q2" i="26" s="1"/>
  <c r="AB139" i="12"/>
  <c r="X6" i="23" s="1"/>
  <c r="Y138" i="12"/>
  <c r="S137" i="12"/>
  <c r="M117" i="12"/>
  <c r="I10" i="21" s="1"/>
  <c r="U112" i="12"/>
  <c r="Q5" i="21" s="1"/>
  <c r="T85" i="12"/>
  <c r="P4" i="19" s="1"/>
  <c r="AF73" i="12"/>
  <c r="AB5" i="18" s="1"/>
  <c r="T72" i="12"/>
  <c r="P4" i="18" s="1"/>
  <c r="T70" i="12"/>
  <c r="P2" i="18" s="1"/>
  <c r="T65" i="12"/>
  <c r="P10" i="17" s="1"/>
  <c r="L60" i="12"/>
  <c r="H5" i="17" s="1"/>
  <c r="AF18" i="12"/>
  <c r="AB2" i="14" s="1"/>
  <c r="U10" i="12"/>
  <c r="U8" i="12"/>
  <c r="AA190" i="12"/>
  <c r="W5" i="27" s="1"/>
  <c r="Q189" i="12"/>
  <c r="M4" i="27" s="1"/>
  <c r="W177" i="12"/>
  <c r="Q176" i="12"/>
  <c r="M4" i="26" s="1"/>
  <c r="M174" i="12"/>
  <c r="I2" i="26" s="1"/>
  <c r="AA140" i="12"/>
  <c r="U139" i="12"/>
  <c r="Q6" i="23" s="1"/>
  <c r="P138" i="12"/>
  <c r="F137" i="12"/>
  <c r="AD125" i="12"/>
  <c r="Z5" i="22" s="1"/>
  <c r="G117" i="12"/>
  <c r="C10" i="21" s="1"/>
  <c r="L112" i="12"/>
  <c r="H5" i="21" s="1"/>
  <c r="AE109" i="12"/>
  <c r="AA2" i="21" s="1"/>
  <c r="AB75" i="12"/>
  <c r="X7" i="18" s="1"/>
  <c r="T73" i="12"/>
  <c r="P5" i="18" s="1"/>
  <c r="N72" i="12"/>
  <c r="J4" i="18" s="1"/>
  <c r="N70" i="12"/>
  <c r="J2" i="18" s="1"/>
  <c r="F60" i="12"/>
  <c r="B5" i="17" s="1"/>
  <c r="S52" i="12"/>
  <c r="O10" i="16" s="1"/>
  <c r="AB47" i="12"/>
  <c r="X5" i="16" s="1"/>
  <c r="Z31" i="12"/>
  <c r="V2" i="15" s="1"/>
  <c r="AB20" i="12"/>
  <c r="X4" i="14" s="1"/>
  <c r="Z18" i="12"/>
  <c r="V2" i="14" s="1"/>
  <c r="O10" i="12"/>
  <c r="L8" i="12"/>
  <c r="Z190" i="12"/>
  <c r="P189" i="12"/>
  <c r="L4" i="27" s="1"/>
  <c r="V177" i="12"/>
  <c r="P176" i="12"/>
  <c r="L4" i="26" s="1"/>
  <c r="Z140" i="12"/>
  <c r="T139" i="12"/>
  <c r="P6" i="23" s="1"/>
  <c r="O138" i="12"/>
  <c r="Z125" i="12"/>
  <c r="V5" i="22" s="1"/>
  <c r="F117" i="12"/>
  <c r="B10" i="21" s="1"/>
  <c r="AD109" i="12"/>
  <c r="Z2" i="21" s="1"/>
  <c r="AA75" i="12"/>
  <c r="W7" i="18" s="1"/>
  <c r="P73" i="12"/>
  <c r="L5" i="18" s="1"/>
  <c r="M72" i="12"/>
  <c r="I4" i="18" s="1"/>
  <c r="M70" i="12"/>
  <c r="I2" i="18" s="1"/>
  <c r="R52" i="12"/>
  <c r="N10" i="16" s="1"/>
  <c r="AA47" i="12"/>
  <c r="W5" i="16" s="1"/>
  <c r="Y31" i="12"/>
  <c r="U2" i="15" s="1"/>
  <c r="AA20" i="12"/>
  <c r="W4" i="14" s="1"/>
  <c r="Y18" i="12"/>
  <c r="U2" i="14" s="1"/>
  <c r="N10" i="12"/>
  <c r="K8" i="12"/>
  <c r="W176" i="12"/>
  <c r="S4" i="26" s="1"/>
  <c r="R140" i="12"/>
  <c r="W138" i="12"/>
  <c r="J130" i="12"/>
  <c r="F10" i="22" s="1"/>
  <c r="AF117" i="12"/>
  <c r="AB10" i="21" s="1"/>
  <c r="R112" i="12"/>
  <c r="N5" i="21" s="1"/>
  <c r="W109" i="12"/>
  <c r="S2" i="21" s="1"/>
  <c r="R85" i="12"/>
  <c r="N4" i="19" s="1"/>
  <c r="AA78" i="12"/>
  <c r="W10" i="18" s="1"/>
  <c r="M75" i="12"/>
  <c r="I7" i="18" s="1"/>
  <c r="R72" i="12"/>
  <c r="N4" i="18" s="1"/>
  <c r="AE65" i="12"/>
  <c r="AA10" i="17" s="1"/>
  <c r="X60" i="12"/>
  <c r="T5" i="17" s="1"/>
  <c r="AE57" i="12"/>
  <c r="AA2" i="17" s="1"/>
  <c r="L52" i="12"/>
  <c r="H10" i="16" s="1"/>
  <c r="R47" i="12"/>
  <c r="N5" i="16" s="1"/>
  <c r="X31" i="12"/>
  <c r="T2" i="15" s="1"/>
  <c r="W20" i="12"/>
  <c r="S4" i="14" s="1"/>
  <c r="G18" i="12"/>
  <c r="C2" i="14" s="1"/>
  <c r="R10" i="12"/>
  <c r="Z189" i="12"/>
  <c r="V4" i="27" s="1"/>
  <c r="V176" i="12"/>
  <c r="R4" i="26" s="1"/>
  <c r="AF150" i="12"/>
  <c r="AB4" i="24" s="1"/>
  <c r="Q140" i="12"/>
  <c r="V138" i="12"/>
  <c r="AC135" i="12"/>
  <c r="V117" i="12"/>
  <c r="R10" i="21" s="1"/>
  <c r="Q112" i="12"/>
  <c r="M5" i="21" s="1"/>
  <c r="V109" i="12"/>
  <c r="R2" i="21" s="1"/>
  <c r="Q85" i="12"/>
  <c r="M4" i="19" s="1"/>
  <c r="W78" i="12"/>
  <c r="S10" i="18" s="1"/>
  <c r="I75" i="12"/>
  <c r="E7" i="18" s="1"/>
  <c r="Q72" i="12"/>
  <c r="M4" i="18" s="1"/>
  <c r="AD65" i="12"/>
  <c r="Z10" i="17" s="1"/>
  <c r="W60" i="12"/>
  <c r="S5" i="17" s="1"/>
  <c r="AB57" i="12"/>
  <c r="X2" i="17" s="1"/>
  <c r="K52" i="12"/>
  <c r="G10" i="16" s="1"/>
  <c r="Q47" i="12"/>
  <c r="M5" i="16" s="1"/>
  <c r="W31" i="12"/>
  <c r="S2" i="15" s="1"/>
  <c r="V20" i="12"/>
  <c r="R4" i="14" s="1"/>
  <c r="F18" i="12"/>
  <c r="B2" i="14" s="1"/>
  <c r="Q10" i="12"/>
  <c r="AB7" i="12"/>
  <c r="V189" i="12"/>
  <c r="R4" i="27" s="1"/>
  <c r="N138" i="12"/>
  <c r="Z135" i="12"/>
  <c r="S109" i="12"/>
  <c r="O2" i="21" s="1"/>
  <c r="T78" i="12"/>
  <c r="P10" i="18" s="1"/>
  <c r="I60" i="12"/>
  <c r="E5" i="17" s="1"/>
  <c r="H52" i="12"/>
  <c r="D10" i="16" s="1"/>
  <c r="T31" i="12"/>
  <c r="P2" i="15" s="1"/>
  <c r="Y7" i="12"/>
  <c r="O176" i="12"/>
  <c r="K4" i="26" s="1"/>
  <c r="O150" i="12"/>
  <c r="K4" i="24" s="1"/>
  <c r="M138" i="12"/>
  <c r="Q109" i="12"/>
  <c r="M2" i="21" s="1"/>
  <c r="AE73" i="12"/>
  <c r="AA5" i="18" s="1"/>
  <c r="K72" i="12"/>
  <c r="G4" i="18" s="1"/>
  <c r="H60" i="12"/>
  <c r="D5" i="17" s="1"/>
  <c r="L20" i="12"/>
  <c r="H4" i="14" s="1"/>
  <c r="X7" i="12"/>
  <c r="Y189" i="12"/>
  <c r="U4" i="27" s="1"/>
  <c r="T176" i="12"/>
  <c r="P4" i="26" s="1"/>
  <c r="P140" i="12"/>
  <c r="R138" i="12"/>
  <c r="U117" i="12"/>
  <c r="Q10" i="21" s="1"/>
  <c r="P112" i="12"/>
  <c r="L5" i="21" s="1"/>
  <c r="U109" i="12"/>
  <c r="Q2" i="21" s="1"/>
  <c r="P85" i="12"/>
  <c r="L4" i="19" s="1"/>
  <c r="V78" i="12"/>
  <c r="R10" i="18" s="1"/>
  <c r="H75" i="12"/>
  <c r="D7" i="18" s="1"/>
  <c r="P72" i="12"/>
  <c r="L4" i="18" s="1"/>
  <c r="AC65" i="12"/>
  <c r="Y10" i="17" s="1"/>
  <c r="K60" i="12"/>
  <c r="G5" i="17" s="1"/>
  <c r="U57" i="12"/>
  <c r="Q2" i="17" s="1"/>
  <c r="J52" i="12"/>
  <c r="F10" i="16" s="1"/>
  <c r="V31" i="12"/>
  <c r="R2" i="15" s="1"/>
  <c r="U20" i="12"/>
  <c r="Q4" i="14" s="1"/>
  <c r="P10" i="12"/>
  <c r="W189" i="12"/>
  <c r="S4" i="27" s="1"/>
  <c r="S176" i="12"/>
  <c r="O4" i="26" s="1"/>
  <c r="Q150" i="12"/>
  <c r="M4" i="24" s="1"/>
  <c r="O140" i="12"/>
  <c r="Q138" i="12"/>
  <c r="AA135" i="12"/>
  <c r="T117" i="12"/>
  <c r="P10" i="21" s="1"/>
  <c r="T109" i="12"/>
  <c r="P2" i="21" s="1"/>
  <c r="F85" i="12"/>
  <c r="B4" i="19" s="1"/>
  <c r="U78" i="12"/>
  <c r="Q10" i="18" s="1"/>
  <c r="O72" i="12"/>
  <c r="K4" i="18" s="1"/>
  <c r="AB65" i="12"/>
  <c r="X10" i="17" s="1"/>
  <c r="J60" i="12"/>
  <c r="F5" i="17" s="1"/>
  <c r="T57" i="12"/>
  <c r="P2" i="17" s="1"/>
  <c r="I52" i="12"/>
  <c r="E10" i="16" s="1"/>
  <c r="U31" i="12"/>
  <c r="Q2" i="15" s="1"/>
  <c r="N20" i="12"/>
  <c r="J4" i="14" s="1"/>
  <c r="M10" i="12"/>
  <c r="Z7" i="12"/>
  <c r="R176" i="12"/>
  <c r="N4" i="26" s="1"/>
  <c r="P150" i="12"/>
  <c r="L4" i="24" s="1"/>
  <c r="N140" i="12"/>
  <c r="S117" i="12"/>
  <c r="O10" i="21" s="1"/>
  <c r="L72" i="12"/>
  <c r="H4" i="18" s="1"/>
  <c r="AA65" i="12"/>
  <c r="W10" i="17" s="1"/>
  <c r="S57" i="12"/>
  <c r="O2" i="17" s="1"/>
  <c r="M20" i="12"/>
  <c r="I4" i="14" s="1"/>
  <c r="L10" i="12"/>
  <c r="R189" i="12"/>
  <c r="N4" i="27" s="1"/>
  <c r="Y135" i="12"/>
  <c r="L117" i="12"/>
  <c r="H10" i="21" s="1"/>
  <c r="S78" i="12"/>
  <c r="O10" i="18" s="1"/>
  <c r="Z65" i="12"/>
  <c r="V10" i="17" s="1"/>
  <c r="O57" i="12"/>
  <c r="K2" i="17" s="1"/>
  <c r="P31" i="12"/>
  <c r="L2" i="15" s="1"/>
  <c r="K10" i="12"/>
  <c r="AE188" i="12"/>
  <c r="AA3" i="27" s="1"/>
  <c r="AD177" i="12"/>
  <c r="AE174" i="12"/>
  <c r="AA2" i="26" s="1"/>
  <c r="V139" i="12"/>
  <c r="R6" i="23" s="1"/>
  <c r="AD137" i="12"/>
  <c r="P125" i="12"/>
  <c r="L5" i="22" s="1"/>
  <c r="O73" i="12"/>
  <c r="K5" i="18" s="1"/>
  <c r="M65" i="12"/>
  <c r="I10" i="17" s="1"/>
  <c r="J57" i="12"/>
  <c r="F2" i="17" s="1"/>
  <c r="AF47" i="12"/>
  <c r="AB5" i="16" s="1"/>
  <c r="AD18" i="12"/>
  <c r="Z2" i="14" s="1"/>
  <c r="AB8" i="12"/>
  <c r="AF190" i="12"/>
  <c r="AD188" i="12"/>
  <c r="Z3" i="27" s="1"/>
  <c r="X177" i="12"/>
  <c r="AD174" i="12"/>
  <c r="Z2" i="26" s="1"/>
  <c r="S139" i="12"/>
  <c r="O6" i="23" s="1"/>
  <c r="AC137" i="12"/>
  <c r="O125" i="12"/>
  <c r="K5" i="22" s="1"/>
  <c r="N73" i="12"/>
  <c r="J5" i="18" s="1"/>
  <c r="AA70" i="12"/>
  <c r="W2" i="18" s="1"/>
  <c r="F65" i="12"/>
  <c r="B10" i="17" s="1"/>
  <c r="AE47" i="12"/>
  <c r="AA5" i="16" s="1"/>
  <c r="AC18" i="12"/>
  <c r="Y2" i="14" s="1"/>
  <c r="AA8" i="12"/>
  <c r="AB190" i="12"/>
  <c r="X5" i="27" s="1"/>
  <c r="AC188" i="12"/>
  <c r="Y3" i="27" s="1"/>
  <c r="U177" i="12"/>
  <c r="Q5" i="26" s="1"/>
  <c r="AC174" i="12"/>
  <c r="Y2" i="26" s="1"/>
  <c r="R139" i="12"/>
  <c r="N6" i="23" s="1"/>
  <c r="AB137" i="12"/>
  <c r="AF130" i="12"/>
  <c r="AB10" i="22" s="1"/>
  <c r="N125" i="12"/>
  <c r="J5" i="22" s="1"/>
  <c r="AE75" i="12"/>
  <c r="AA7" i="18" s="1"/>
  <c r="M73" i="12"/>
  <c r="I5" i="18" s="1"/>
  <c r="Z70" i="12"/>
  <c r="V2" i="18" s="1"/>
  <c r="AD47" i="12"/>
  <c r="Z5" i="16" s="1"/>
  <c r="AB18" i="12"/>
  <c r="X2" i="14" s="1"/>
  <c r="Z8" i="12"/>
  <c r="AE5" i="12"/>
  <c r="Y190" i="12"/>
  <c r="AB188" i="12"/>
  <c r="X3" i="27" s="1"/>
  <c r="T177" i="12"/>
  <c r="P5" i="26" s="1"/>
  <c r="AB174" i="12"/>
  <c r="X2" i="26" s="1"/>
  <c r="Q139" i="12"/>
  <c r="M6" i="23" s="1"/>
  <c r="X137" i="12"/>
  <c r="AB130" i="12"/>
  <c r="X10" i="22" s="1"/>
  <c r="M125" i="12"/>
  <c r="I5" i="22" s="1"/>
  <c r="AD75" i="12"/>
  <c r="Z7" i="18" s="1"/>
  <c r="L73" i="12"/>
  <c r="H5" i="18" s="1"/>
  <c r="Y70" i="12"/>
  <c r="U2" i="18" s="1"/>
  <c r="AF52" i="12"/>
  <c r="AB10" i="16" s="1"/>
  <c r="AC47" i="12"/>
  <c r="Y5" i="16" s="1"/>
  <c r="AA18" i="12"/>
  <c r="W2" i="14" s="1"/>
  <c r="T8" i="12"/>
  <c r="AA5" i="12"/>
  <c r="X190" i="12"/>
  <c r="W188" i="12"/>
  <c r="S3" i="27" s="1"/>
  <c r="S177" i="12"/>
  <c r="O5" i="26" s="1"/>
  <c r="AA174" i="12"/>
  <c r="W2" i="26" s="1"/>
  <c r="P139" i="12"/>
  <c r="L6" i="23" s="1"/>
  <c r="R137" i="12"/>
  <c r="AA130" i="12"/>
  <c r="W10" i="22" s="1"/>
  <c r="L125" i="12"/>
  <c r="H5" i="22" s="1"/>
  <c r="AC75" i="12"/>
  <c r="Y7" i="18" s="1"/>
  <c r="K73" i="12"/>
  <c r="G5" i="18" s="1"/>
  <c r="S70" i="12"/>
  <c r="O2" i="18" s="1"/>
  <c r="V52" i="12"/>
  <c r="R10" i="16" s="1"/>
  <c r="Z47" i="12"/>
  <c r="V5" i="16" s="1"/>
  <c r="R18" i="12"/>
  <c r="N2" i="14" s="1"/>
  <c r="S8" i="12"/>
  <c r="Z5" i="12"/>
  <c r="G150" i="12"/>
  <c r="C4" i="24" s="1"/>
  <c r="X140" i="12"/>
  <c r="N137" i="12"/>
  <c r="L70" i="12"/>
  <c r="H2" i="18" s="1"/>
  <c r="O7" i="12"/>
  <c r="M188" i="12"/>
  <c r="I3" i="27" s="1"/>
  <c r="H117" i="12"/>
  <c r="D10" i="21" s="1"/>
  <c r="R65" i="12"/>
  <c r="N10" i="17" s="1"/>
  <c r="AC20" i="12"/>
  <c r="Y4" i="14" s="1"/>
  <c r="I188" i="12"/>
  <c r="E3" i="27" s="1"/>
  <c r="J125" i="12"/>
  <c r="F5" i="22" s="1"/>
  <c r="J73" i="12"/>
  <c r="F5" i="18" s="1"/>
  <c r="Z20" i="12"/>
  <c r="V4" i="14" s="1"/>
  <c r="P177" i="12"/>
  <c r="L5" i="26" s="1"/>
  <c r="X139" i="12"/>
  <c r="T6" i="23" s="1"/>
  <c r="AE78" i="12"/>
  <c r="AA10" i="18" s="1"/>
  <c r="M57" i="12"/>
  <c r="I2" i="17" s="1"/>
  <c r="Y20" i="12"/>
  <c r="U4" i="14" s="1"/>
  <c r="J109" i="12"/>
  <c r="F2" i="21" s="1"/>
  <c r="L57" i="12"/>
  <c r="H2" i="17" s="1"/>
  <c r="X20" i="12"/>
  <c r="T4" i="14" s="1"/>
  <c r="L139" i="12"/>
  <c r="H6" i="23" s="1"/>
  <c r="L78" i="12"/>
  <c r="H10" i="18" s="1"/>
  <c r="K20" i="12"/>
  <c r="G4" i="14" s="1"/>
  <c r="K139" i="12"/>
  <c r="G6" i="23" s="1"/>
  <c r="W190" i="12"/>
  <c r="Z130" i="12"/>
  <c r="V10" i="22" s="1"/>
  <c r="AC31" i="12"/>
  <c r="Y2" i="15" s="1"/>
  <c r="T190" i="12"/>
  <c r="P5" i="27" s="1"/>
  <c r="N176" i="12"/>
  <c r="J4" i="26" s="1"/>
  <c r="AC112" i="12"/>
  <c r="Y5" i="21" s="1"/>
  <c r="AC85" i="12"/>
  <c r="Y4" i="19" s="1"/>
  <c r="AE60" i="12"/>
  <c r="AA5" i="17" s="1"/>
  <c r="AB31" i="12"/>
  <c r="X2" i="15" s="1"/>
  <c r="AA85" i="12"/>
  <c r="W4" i="19" s="1"/>
  <c r="R75" i="12"/>
  <c r="N7" i="18" s="1"/>
  <c r="N52" i="12"/>
  <c r="J10" i="16" s="1"/>
  <c r="J18" i="12"/>
  <c r="F2" i="14" s="1"/>
  <c r="S174" i="12"/>
  <c r="O2" i="26" s="1"/>
  <c r="AF137" i="12"/>
  <c r="L122" i="12"/>
  <c r="H2" i="22" s="1"/>
  <c r="R70" i="12"/>
  <c r="N2" i="18" s="1"/>
  <c r="AB44" i="12"/>
  <c r="X2" i="16" s="1"/>
  <c r="J8" i="12"/>
  <c r="H122" i="12"/>
  <c r="D2" i="22" s="1"/>
  <c r="O174" i="12"/>
  <c r="K2" i="26" s="1"/>
  <c r="AB140" i="12"/>
  <c r="G122" i="12"/>
  <c r="C2" i="22" s="1"/>
  <c r="AE96" i="12"/>
  <c r="AA2" i="20" s="1"/>
  <c r="P70" i="12"/>
  <c r="L2" i="18" s="1"/>
  <c r="AE7" i="12"/>
  <c r="V188" i="12"/>
  <c r="R3" i="27" s="1"/>
  <c r="F150" i="12"/>
  <c r="B4" i="24" s="1"/>
  <c r="U140" i="12"/>
  <c r="M137" i="12"/>
  <c r="AF125" i="12"/>
  <c r="AB5" i="22" s="1"/>
  <c r="N7" i="12"/>
  <c r="O188" i="12"/>
  <c r="K3" i="27" s="1"/>
  <c r="J117" i="12"/>
  <c r="F10" i="21" s="1"/>
  <c r="Y65" i="12"/>
  <c r="U10" i="17" s="1"/>
  <c r="X47" i="12"/>
  <c r="T5" i="16" s="1"/>
  <c r="N188" i="12"/>
  <c r="J3" i="27" s="1"/>
  <c r="AE135" i="12"/>
  <c r="I117" i="12"/>
  <c r="E10" i="21" s="1"/>
  <c r="S65" i="12"/>
  <c r="O10" i="17" s="1"/>
  <c r="W47" i="12"/>
  <c r="S5" i="16" s="1"/>
  <c r="Z139" i="12"/>
  <c r="V6" i="23" s="1"/>
  <c r="K125" i="12"/>
  <c r="G5" i="22" s="1"/>
  <c r="U73" i="12"/>
  <c r="Q5" i="18" s="1"/>
  <c r="Y139" i="12"/>
  <c r="U6" i="23" s="1"/>
  <c r="Y109" i="12"/>
  <c r="U2" i="21" s="1"/>
  <c r="N65" i="12"/>
  <c r="J10" i="17" s="1"/>
  <c r="U47" i="12"/>
  <c r="Q5" i="16" s="1"/>
  <c r="Y5" i="12"/>
  <c r="I125" i="12"/>
  <c r="E5" i="22" s="1"/>
  <c r="X109" i="12"/>
  <c r="T2" i="21" s="1"/>
  <c r="I73" i="12"/>
  <c r="E5" i="18" s="1"/>
  <c r="O177" i="12"/>
  <c r="K5" i="26" s="1"/>
  <c r="W139" i="12"/>
  <c r="S6" i="23" s="1"/>
  <c r="H73" i="12"/>
  <c r="D5" i="18" s="1"/>
  <c r="S47" i="12"/>
  <c r="O5" i="16" s="1"/>
  <c r="K57" i="12"/>
  <c r="G2" i="17" s="1"/>
  <c r="T10" i="12"/>
  <c r="M177" i="12"/>
  <c r="K78" i="12"/>
  <c r="G10" i="18" s="1"/>
  <c r="S10" i="12"/>
  <c r="AE85" i="12"/>
  <c r="AA4" i="19" s="1"/>
  <c r="G10" i="12"/>
  <c r="V190" i="12"/>
  <c r="R5" i="27" s="1"/>
  <c r="I139" i="12"/>
  <c r="E6" i="23" s="1"/>
  <c r="AD112" i="12"/>
  <c r="Z5" i="21" s="1"/>
  <c r="AD85" i="12"/>
  <c r="Z4" i="19" s="1"/>
  <c r="S72" i="12"/>
  <c r="O4" i="18" s="1"/>
  <c r="AF60" i="12"/>
  <c r="AB5" i="17" s="1"/>
  <c r="U52" i="12"/>
  <c r="Q10" i="16" s="1"/>
  <c r="AE18" i="12"/>
  <c r="AA2" i="14" s="1"/>
  <c r="F10" i="12"/>
  <c r="S5" i="12"/>
  <c r="N18" i="12"/>
  <c r="J2" i="14" s="1"/>
  <c r="W130" i="12"/>
  <c r="S10" i="22" s="1"/>
  <c r="AB85" i="12"/>
  <c r="X4" i="19" s="1"/>
  <c r="I72" i="12"/>
  <c r="E4" i="18" s="1"/>
  <c r="Q52" i="12"/>
  <c r="M10" i="16" s="1"/>
  <c r="M18" i="12"/>
  <c r="I2" i="14" s="1"/>
  <c r="V130" i="12"/>
  <c r="R10" i="22" s="1"/>
  <c r="Z112" i="12"/>
  <c r="V5" i="21" s="1"/>
  <c r="H72" i="12"/>
  <c r="D4" i="18" s="1"/>
  <c r="P52" i="12"/>
  <c r="L10" i="16" s="1"/>
  <c r="L18" i="12"/>
  <c r="H2" i="14" s="1"/>
  <c r="Q190" i="12"/>
  <c r="U130" i="12"/>
  <c r="Q10" i="22" s="1"/>
  <c r="T112" i="12"/>
  <c r="P5" i="21" s="1"/>
  <c r="S75" i="12"/>
  <c r="O7" i="18" s="1"/>
  <c r="O52" i="12"/>
  <c r="K10" i="16" s="1"/>
  <c r="K18" i="12"/>
  <c r="G2" i="14" s="1"/>
  <c r="Q75" i="12"/>
  <c r="M7" i="18" s="1"/>
  <c r="AD111" i="12"/>
  <c r="Z4" i="21" s="1"/>
  <c r="AD59" i="12"/>
  <c r="Z4" i="17" s="1"/>
  <c r="N189" i="12"/>
  <c r="J4" i="27" s="1"/>
  <c r="K150" i="12"/>
  <c r="G4" i="24" s="1"/>
  <c r="P137" i="12"/>
  <c r="AC111" i="12"/>
  <c r="Y4" i="21" s="1"/>
  <c r="AF83" i="12"/>
  <c r="AB2" i="19" s="1"/>
  <c r="W44" i="12"/>
  <c r="S2" i="16" s="1"/>
  <c r="P188" i="12"/>
  <c r="L3" i="27" s="1"/>
  <c r="T140" i="12"/>
  <c r="AE125" i="12"/>
  <c r="AA5" i="22" s="1"/>
  <c r="K117" i="12"/>
  <c r="G10" i="21" s="1"/>
  <c r="AD73" i="12"/>
  <c r="Z5" i="18" s="1"/>
  <c r="Y47" i="12"/>
  <c r="U5" i="16" s="1"/>
  <c r="M7" i="12"/>
  <c r="S140" i="12"/>
  <c r="Y125" i="12"/>
  <c r="U5" i="22" s="1"/>
  <c r="W73" i="12"/>
  <c r="S5" i="18" s="1"/>
  <c r="F7" i="12"/>
  <c r="AF177" i="12"/>
  <c r="AB5" i="26" s="1"/>
  <c r="X125" i="12"/>
  <c r="T5" i="22" s="1"/>
  <c r="AF109" i="12"/>
  <c r="AB2" i="21" s="1"/>
  <c r="V73" i="12"/>
  <c r="R5" i="18" s="1"/>
  <c r="AE177" i="12"/>
  <c r="W135" i="12"/>
  <c r="AC109" i="12"/>
  <c r="Y2" i="21" s="1"/>
  <c r="AF57" i="12"/>
  <c r="AB2" i="17" s="1"/>
  <c r="V47" i="12"/>
  <c r="R5" i="16" s="1"/>
  <c r="R177" i="12"/>
  <c r="V135" i="12"/>
  <c r="AF78" i="12"/>
  <c r="AB10" i="18" s="1"/>
  <c r="N57" i="12"/>
  <c r="J2" i="17" s="1"/>
  <c r="G135" i="12"/>
  <c r="T47" i="12"/>
  <c r="P5" i="16" s="1"/>
  <c r="X5" i="12"/>
  <c r="F135" i="12"/>
  <c r="AB78" i="12"/>
  <c r="X10" i="18" s="1"/>
  <c r="W5" i="12"/>
  <c r="N177" i="12"/>
  <c r="G73" i="12"/>
  <c r="C5" i="18" s="1"/>
  <c r="V5" i="12"/>
  <c r="F73" i="12"/>
  <c r="B5" i="18" s="1"/>
  <c r="U5" i="12"/>
  <c r="L177" i="12"/>
  <c r="J139" i="12"/>
  <c r="F6" i="23" s="1"/>
  <c r="AE112" i="12"/>
  <c r="AA5" i="21" s="1"/>
  <c r="J78" i="12"/>
  <c r="F10" i="18" s="1"/>
  <c r="T5" i="12"/>
  <c r="Y130" i="12"/>
  <c r="U10" i="22" s="1"/>
  <c r="X130" i="12"/>
  <c r="T10" i="22" s="1"/>
  <c r="J72" i="12"/>
  <c r="F4" i="18" s="1"/>
  <c r="T52" i="12"/>
  <c r="P10" i="16" s="1"/>
  <c r="S190" i="12"/>
  <c r="M176" i="12"/>
  <c r="I4" i="26" s="1"/>
  <c r="AD138" i="12"/>
  <c r="AB112" i="12"/>
  <c r="X5" i="21" s="1"/>
  <c r="AD60" i="12"/>
  <c r="Z5" i="17" s="1"/>
  <c r="AA31" i="12"/>
  <c r="W2" i="15" s="1"/>
  <c r="R190" i="12"/>
  <c r="X138" i="12"/>
  <c r="Z75" i="12"/>
  <c r="V7" i="18" s="1"/>
  <c r="AC60" i="12"/>
  <c r="Y5" i="17" s="1"/>
  <c r="O31" i="12"/>
  <c r="K2" i="15" s="1"/>
  <c r="R8" i="12"/>
  <c r="L138" i="12"/>
  <c r="Z85" i="12"/>
  <c r="V4" i="19" s="1"/>
  <c r="AB60" i="12"/>
  <c r="X5" i="17" s="1"/>
  <c r="N31" i="12"/>
  <c r="J2" i="15" s="1"/>
  <c r="N8" i="12"/>
  <c r="M190" i="12"/>
  <c r="T174" i="12"/>
  <c r="P2" i="26" s="1"/>
  <c r="K130" i="12"/>
  <c r="G10" i="22" s="1"/>
  <c r="M122" i="12"/>
  <c r="I2" i="22" s="1"/>
  <c r="S112" i="12"/>
  <c r="O5" i="21" s="1"/>
  <c r="S85" i="12"/>
  <c r="O4" i="19" s="1"/>
  <c r="G60" i="12"/>
  <c r="C5" i="17" s="1"/>
  <c r="M31" i="12"/>
  <c r="I2" i="15" s="1"/>
  <c r="M8" i="12"/>
  <c r="M52" i="12"/>
  <c r="I10" i="16" s="1"/>
  <c r="L31" i="12"/>
  <c r="H2" i="15" s="1"/>
  <c r="I18" i="12"/>
  <c r="E2" i="14" s="1"/>
  <c r="O189" i="12"/>
  <c r="K4" i="27" s="1"/>
  <c r="R174" i="12"/>
  <c r="N2" i="26" s="1"/>
  <c r="AF96" i="12"/>
  <c r="AB2" i="20" s="1"/>
  <c r="P75" i="12"/>
  <c r="L7" i="18" s="1"/>
  <c r="AA44" i="12"/>
  <c r="W2" i="16" s="1"/>
  <c r="H18" i="12"/>
  <c r="D2" i="14" s="1"/>
  <c r="O75" i="12"/>
  <c r="K7" i="18" s="1"/>
  <c r="AE137" i="12"/>
  <c r="AC59" i="12"/>
  <c r="Y4" i="17" s="1"/>
  <c r="Q70" i="12"/>
  <c r="M2" i="18" s="1"/>
  <c r="Y140" i="12"/>
  <c r="H150" i="12"/>
  <c r="D4" i="24" s="1"/>
  <c r="O137" i="12"/>
  <c r="AD7" i="12"/>
  <c r="S46" i="12"/>
  <c r="O4" i="16" s="1"/>
  <c r="R46" i="12"/>
  <c r="N4" i="16" s="1"/>
  <c r="Q46" i="12"/>
  <c r="M4" i="16" s="1"/>
  <c r="P46" i="12"/>
  <c r="L4" i="16" s="1"/>
  <c r="K46" i="12"/>
  <c r="G4" i="16" s="1"/>
  <c r="O46" i="12"/>
  <c r="K4" i="16" s="1"/>
  <c r="N46" i="12"/>
  <c r="J4" i="16" s="1"/>
  <c r="M46" i="12"/>
  <c r="I4" i="16" s="1"/>
  <c r="L46" i="12"/>
  <c r="H4" i="16" s="1"/>
  <c r="AF46" i="12"/>
  <c r="AB4" i="16" s="1"/>
  <c r="AE46" i="12"/>
  <c r="AA4" i="16" s="1"/>
  <c r="Y46" i="12"/>
  <c r="U4" i="16" s="1"/>
  <c r="X46" i="12"/>
  <c r="T4" i="16" s="1"/>
  <c r="AB46" i="12"/>
  <c r="X4" i="16" s="1"/>
  <c r="AD46" i="12"/>
  <c r="Z4" i="16" s="1"/>
  <c r="AC46" i="12"/>
  <c r="Y4" i="16" s="1"/>
  <c r="U46" i="12"/>
  <c r="Q4" i="16" s="1"/>
  <c r="T46" i="12"/>
  <c r="P4" i="16" s="1"/>
  <c r="J46" i="12"/>
  <c r="F4" i="16" s="1"/>
  <c r="I46" i="12"/>
  <c r="E4" i="16" s="1"/>
  <c r="H46" i="12"/>
  <c r="D4" i="16" s="1"/>
  <c r="F46" i="12"/>
  <c r="B4" i="16" s="1"/>
  <c r="M124" i="12"/>
  <c r="I4" i="22" s="1"/>
  <c r="L124" i="12"/>
  <c r="H4" i="22" s="1"/>
  <c r="K124" i="12"/>
  <c r="G4" i="22" s="1"/>
  <c r="Y124" i="12"/>
  <c r="U4" i="22" s="1"/>
  <c r="Z124" i="12"/>
  <c r="V4" i="22" s="1"/>
  <c r="T124" i="12"/>
  <c r="P4" i="22" s="1"/>
  <c r="X124" i="12"/>
  <c r="T4" i="22" s="1"/>
  <c r="U124" i="12"/>
  <c r="Q4" i="22" s="1"/>
  <c r="W124" i="12"/>
  <c r="S4" i="22" s="1"/>
  <c r="V124" i="12"/>
  <c r="R4" i="22" s="1"/>
  <c r="AF124" i="12"/>
  <c r="AB4" i="22" s="1"/>
  <c r="AE124" i="12"/>
  <c r="AA4" i="22" s="1"/>
  <c r="AD124" i="12"/>
  <c r="Z4" i="22" s="1"/>
  <c r="Q124" i="12"/>
  <c r="M4" i="22" s="1"/>
  <c r="P124" i="12"/>
  <c r="L4" i="22" s="1"/>
  <c r="S124" i="12"/>
  <c r="O4" i="22" s="1"/>
  <c r="R124" i="12"/>
  <c r="N4" i="22" s="1"/>
  <c r="J124" i="12"/>
  <c r="F4" i="22" s="1"/>
  <c r="I124" i="12"/>
  <c r="E4" i="22" s="1"/>
  <c r="O124" i="12"/>
  <c r="K4" i="22" s="1"/>
  <c r="N124" i="12"/>
  <c r="J4" i="22" s="1"/>
  <c r="G46" i="12"/>
  <c r="C4" i="16" s="1"/>
  <c r="AC10" i="12"/>
  <c r="AF161" i="12"/>
  <c r="AB2" i="25" s="1"/>
  <c r="J161" i="12"/>
  <c r="F2" i="25" s="1"/>
  <c r="AE161" i="12"/>
  <c r="AA2" i="25" s="1"/>
  <c r="Y161" i="12"/>
  <c r="U2" i="25" s="1"/>
  <c r="X161" i="12"/>
  <c r="T2" i="25" s="1"/>
  <c r="W161" i="12"/>
  <c r="S2" i="25" s="1"/>
  <c r="O161" i="12"/>
  <c r="K2" i="25" s="1"/>
  <c r="S161" i="12"/>
  <c r="O2" i="25" s="1"/>
  <c r="R161" i="12"/>
  <c r="N2" i="25" s="1"/>
  <c r="Q161" i="12"/>
  <c r="M2" i="25" s="1"/>
  <c r="P161" i="12"/>
  <c r="L2" i="25" s="1"/>
  <c r="N161" i="12"/>
  <c r="J2" i="25" s="1"/>
  <c r="M161" i="12"/>
  <c r="I2" i="25" s="1"/>
  <c r="AC161" i="12"/>
  <c r="Y2" i="25" s="1"/>
  <c r="AB161" i="12"/>
  <c r="X2" i="25" s="1"/>
  <c r="AA161" i="12"/>
  <c r="W2" i="25" s="1"/>
  <c r="Z161" i="12"/>
  <c r="V2" i="25" s="1"/>
  <c r="V161" i="12"/>
  <c r="R2" i="25" s="1"/>
  <c r="H161" i="12"/>
  <c r="D2" i="25" s="1"/>
  <c r="G161" i="12"/>
  <c r="C2" i="25" s="1"/>
  <c r="T161" i="12"/>
  <c r="P2" i="25" s="1"/>
  <c r="L161" i="12"/>
  <c r="H2" i="25" s="1"/>
  <c r="K161" i="12"/>
  <c r="G2" i="25" s="1"/>
  <c r="I161" i="12"/>
  <c r="E2" i="25" s="1"/>
  <c r="F161" i="12"/>
  <c r="B2" i="25" s="1"/>
  <c r="AA46" i="12"/>
  <c r="W4" i="16" s="1"/>
  <c r="AD161" i="12"/>
  <c r="Z2" i="25" s="1"/>
  <c r="AC124" i="12"/>
  <c r="Y4" i="22" s="1"/>
  <c r="X13" i="12"/>
  <c r="W13" i="12"/>
  <c r="V13" i="12"/>
  <c r="AB13" i="12"/>
  <c r="AA13" i="12"/>
  <c r="U13" i="12"/>
  <c r="Z13" i="12"/>
  <c r="Y13" i="12"/>
  <c r="T13" i="12"/>
  <c r="AF13" i="12"/>
  <c r="AE13" i="12"/>
  <c r="AD13" i="12"/>
  <c r="O13" i="12"/>
  <c r="N13" i="12"/>
  <c r="AC13" i="12"/>
  <c r="S13" i="12"/>
  <c r="L13" i="12"/>
  <c r="K13" i="12"/>
  <c r="J13" i="12"/>
  <c r="I13" i="12"/>
  <c r="H13" i="12"/>
  <c r="F13" i="12"/>
  <c r="K59" i="12"/>
  <c r="G4" i="17" s="1"/>
  <c r="AF59" i="12"/>
  <c r="AB4" i="17" s="1"/>
  <c r="J59" i="12"/>
  <c r="F4" i="17" s="1"/>
  <c r="AE59" i="12"/>
  <c r="AA4" i="17" s="1"/>
  <c r="I59" i="12"/>
  <c r="E4" i="17" s="1"/>
  <c r="W59" i="12"/>
  <c r="S4" i="17" s="1"/>
  <c r="R59" i="12"/>
  <c r="N4" i="17" s="1"/>
  <c r="V59" i="12"/>
  <c r="R4" i="17" s="1"/>
  <c r="S59" i="12"/>
  <c r="O4" i="17" s="1"/>
  <c r="U59" i="12"/>
  <c r="Q4" i="17" s="1"/>
  <c r="T59" i="12"/>
  <c r="P4" i="17" s="1"/>
  <c r="N59" i="12"/>
  <c r="J4" i="17" s="1"/>
  <c r="M59" i="12"/>
  <c r="I4" i="17" s="1"/>
  <c r="L59" i="12"/>
  <c r="H4" i="17" s="1"/>
  <c r="H59" i="12"/>
  <c r="D4" i="17" s="1"/>
  <c r="G59" i="12"/>
  <c r="C4" i="17" s="1"/>
  <c r="AB59" i="12"/>
  <c r="X4" i="17" s="1"/>
  <c r="AA59" i="12"/>
  <c r="W4" i="17" s="1"/>
  <c r="Z59" i="12"/>
  <c r="V4" i="17" s="1"/>
  <c r="Y59" i="12"/>
  <c r="U4" i="17" s="1"/>
  <c r="X59" i="12"/>
  <c r="T4" i="17" s="1"/>
  <c r="F83" i="12"/>
  <c r="B2" i="19" s="1"/>
  <c r="R9" i="9"/>
  <c r="Q9" i="9"/>
  <c r="W9" i="9"/>
  <c r="V9" i="9"/>
  <c r="U9" i="9"/>
  <c r="S9" i="9"/>
  <c r="T9" i="9"/>
  <c r="I9" i="9"/>
  <c r="G9" i="9"/>
  <c r="Y9" i="9"/>
  <c r="X9" i="9"/>
  <c r="N9" i="9"/>
  <c r="M9" i="9"/>
  <c r="L9" i="9"/>
  <c r="P13" i="12"/>
  <c r="Z44" i="12"/>
  <c r="V2" i="16" s="1"/>
  <c r="Y44" i="12"/>
  <c r="U2" i="16" s="1"/>
  <c r="X44" i="12"/>
  <c r="T2" i="16" s="1"/>
  <c r="T44" i="12"/>
  <c r="P2" i="16" s="1"/>
  <c r="O44" i="12"/>
  <c r="K2" i="16" s="1"/>
  <c r="S44" i="12"/>
  <c r="O2" i="16" s="1"/>
  <c r="R44" i="12"/>
  <c r="N2" i="16" s="1"/>
  <c r="P44" i="12"/>
  <c r="L2" i="16" s="1"/>
  <c r="Q44" i="12"/>
  <c r="M2" i="16" s="1"/>
  <c r="AF44" i="12"/>
  <c r="AB2" i="16" s="1"/>
  <c r="AE44" i="12"/>
  <c r="AA2" i="16" s="1"/>
  <c r="AD44" i="12"/>
  <c r="Z2" i="16" s="1"/>
  <c r="AC44" i="12"/>
  <c r="Y2" i="16" s="1"/>
  <c r="N44" i="12"/>
  <c r="J2" i="16" s="1"/>
  <c r="M44" i="12"/>
  <c r="I2" i="16" s="1"/>
  <c r="V44" i="12"/>
  <c r="R2" i="16" s="1"/>
  <c r="U44" i="12"/>
  <c r="Q2" i="16" s="1"/>
  <c r="I44" i="12"/>
  <c r="E2" i="16" s="1"/>
  <c r="L44" i="12"/>
  <c r="H2" i="16" s="1"/>
  <c r="K44" i="12"/>
  <c r="G2" i="16" s="1"/>
  <c r="J44" i="12"/>
  <c r="F2" i="16" s="1"/>
  <c r="F59" i="12"/>
  <c r="B4" i="17" s="1"/>
  <c r="U111" i="12"/>
  <c r="Q4" i="21" s="1"/>
  <c r="T111" i="12"/>
  <c r="P4" i="21" s="1"/>
  <c r="S111" i="12"/>
  <c r="O4" i="21" s="1"/>
  <c r="K111" i="12"/>
  <c r="G4" i="21" s="1"/>
  <c r="N111" i="12"/>
  <c r="J4" i="21" s="1"/>
  <c r="M111" i="12"/>
  <c r="I4" i="21" s="1"/>
  <c r="L111" i="12"/>
  <c r="H4" i="21" s="1"/>
  <c r="I111" i="12"/>
  <c r="E4" i="21" s="1"/>
  <c r="J111" i="12"/>
  <c r="F4" i="21" s="1"/>
  <c r="H111" i="12"/>
  <c r="D4" i="21" s="1"/>
  <c r="V111" i="12"/>
  <c r="R4" i="21" s="1"/>
  <c r="R111" i="12"/>
  <c r="N4" i="21" s="1"/>
  <c r="Q111" i="12"/>
  <c r="M4" i="21" s="1"/>
  <c r="P111" i="12"/>
  <c r="L4" i="21" s="1"/>
  <c r="O111" i="12"/>
  <c r="K4" i="21" s="1"/>
  <c r="AF111" i="12"/>
  <c r="AB4" i="21" s="1"/>
  <c r="AE111" i="12"/>
  <c r="AA4" i="21" s="1"/>
  <c r="Z111" i="12"/>
  <c r="V4" i="21" s="1"/>
  <c r="Y111" i="12"/>
  <c r="U4" i="21" s="1"/>
  <c r="X111" i="12"/>
  <c r="T4" i="21" s="1"/>
  <c r="W111" i="12"/>
  <c r="S4" i="21" s="1"/>
  <c r="G111" i="12"/>
  <c r="C4" i="21" s="1"/>
  <c r="F124" i="12"/>
  <c r="B4" i="22" s="1"/>
  <c r="V46" i="12"/>
  <c r="R4" i="16" s="1"/>
  <c r="W46" i="12"/>
  <c r="S4" i="16" s="1"/>
  <c r="AD78" i="12"/>
  <c r="Z10" i="18" s="1"/>
  <c r="AB177" i="12"/>
  <c r="Z46" i="12"/>
  <c r="V4" i="16" s="1"/>
  <c r="AA124" i="12"/>
  <c r="W4" i="22" s="1"/>
  <c r="U161" i="12"/>
  <c r="Q2" i="25" s="1"/>
  <c r="T125" i="12"/>
  <c r="P5" i="22" s="1"/>
  <c r="AB124" i="12"/>
  <c r="X4" i="22" s="1"/>
  <c r="G13" i="12"/>
  <c r="S83" i="12"/>
  <c r="O2" i="19" s="1"/>
  <c r="R83" i="12"/>
  <c r="N2" i="19" s="1"/>
  <c r="Q83" i="12"/>
  <c r="M2" i="19" s="1"/>
  <c r="AE83" i="12"/>
  <c r="AA2" i="19" s="1"/>
  <c r="I83" i="12"/>
  <c r="E2" i="19" s="1"/>
  <c r="O83" i="12"/>
  <c r="K2" i="19" s="1"/>
  <c r="J83" i="12"/>
  <c r="F2" i="19" s="1"/>
  <c r="N83" i="12"/>
  <c r="J2" i="19" s="1"/>
  <c r="M83" i="12"/>
  <c r="I2" i="19" s="1"/>
  <c r="K83" i="12"/>
  <c r="G2" i="19" s="1"/>
  <c r="L83" i="12"/>
  <c r="H2" i="19" s="1"/>
  <c r="U83" i="12"/>
  <c r="Q2" i="19" s="1"/>
  <c r="T83" i="12"/>
  <c r="P2" i="19" s="1"/>
  <c r="P83" i="12"/>
  <c r="L2" i="19" s="1"/>
  <c r="H83" i="12"/>
  <c r="D2" i="19" s="1"/>
  <c r="G83" i="12"/>
  <c r="C2" i="19" s="1"/>
  <c r="AA83" i="12"/>
  <c r="W2" i="19" s="1"/>
  <c r="Z83" i="12"/>
  <c r="V2" i="19" s="1"/>
  <c r="Y83" i="12"/>
  <c r="U2" i="19" s="1"/>
  <c r="X83" i="12"/>
  <c r="T2" i="19" s="1"/>
  <c r="W83" i="12"/>
  <c r="S2" i="19" s="1"/>
  <c r="M13" i="12"/>
  <c r="U96" i="12"/>
  <c r="Q2" i="20" s="1"/>
  <c r="T96" i="12"/>
  <c r="P2" i="20" s="1"/>
  <c r="S96" i="12"/>
  <c r="O2" i="20" s="1"/>
  <c r="K96" i="12"/>
  <c r="G2" i="20" s="1"/>
  <c r="AD96" i="12"/>
  <c r="Z2" i="20" s="1"/>
  <c r="AC96" i="12"/>
  <c r="Y2" i="20" s="1"/>
  <c r="Y96" i="12"/>
  <c r="U2" i="20" s="1"/>
  <c r="AB96" i="12"/>
  <c r="X2" i="20" s="1"/>
  <c r="Z96" i="12"/>
  <c r="V2" i="20" s="1"/>
  <c r="AA96" i="12"/>
  <c r="W2" i="20" s="1"/>
  <c r="N96" i="12"/>
  <c r="J2" i="20" s="1"/>
  <c r="M96" i="12"/>
  <c r="I2" i="20" s="1"/>
  <c r="L96" i="12"/>
  <c r="H2" i="20" s="1"/>
  <c r="J96" i="12"/>
  <c r="F2" i="20" s="1"/>
  <c r="I96" i="12"/>
  <c r="E2" i="20" s="1"/>
  <c r="R96" i="12"/>
  <c r="N2" i="20" s="1"/>
  <c r="Q96" i="12"/>
  <c r="M2" i="20" s="1"/>
  <c r="P96" i="12"/>
  <c r="L2" i="20" s="1"/>
  <c r="O96" i="12"/>
  <c r="K2" i="20" s="1"/>
  <c r="H96" i="12"/>
  <c r="D2" i="20" s="1"/>
  <c r="G96" i="12"/>
  <c r="C2" i="20" s="1"/>
  <c r="AE9" i="9"/>
  <c r="AD9" i="9"/>
  <c r="AJ9" i="9"/>
  <c r="AF9" i="9"/>
  <c r="AI9" i="9"/>
  <c r="AH9" i="9"/>
  <c r="AG9" i="9"/>
  <c r="Q13" i="12"/>
  <c r="F44" i="12"/>
  <c r="B2" i="16" s="1"/>
  <c r="O59" i="12"/>
  <c r="K4" i="17" s="1"/>
  <c r="AB83" i="12"/>
  <c r="X2" i="19" s="1"/>
  <c r="V96" i="12"/>
  <c r="R2" i="20" s="1"/>
  <c r="F111" i="12"/>
  <c r="B4" i="21" s="1"/>
  <c r="AF8" i="12"/>
  <c r="H138" i="12"/>
  <c r="G124" i="12"/>
  <c r="C4" i="22" s="1"/>
  <c r="H124" i="12"/>
  <c r="D4" i="22" s="1"/>
  <c r="R13" i="12"/>
  <c r="G44" i="12"/>
  <c r="C2" i="16" s="1"/>
  <c r="P59" i="12"/>
  <c r="L4" i="17" s="1"/>
  <c r="AC83" i="12"/>
  <c r="Y2" i="19" s="1"/>
  <c r="W96" i="12"/>
  <c r="S2" i="20" s="1"/>
  <c r="AA111" i="12"/>
  <c r="W4" i="21" s="1"/>
  <c r="T122" i="12"/>
  <c r="P2" i="22" s="1"/>
  <c r="S122" i="12"/>
  <c r="O2" i="22" s="1"/>
  <c r="R122" i="12"/>
  <c r="N2" i="22" s="1"/>
  <c r="AF122" i="12"/>
  <c r="AB2" i="22" s="1"/>
  <c r="J122" i="12"/>
  <c r="F2" i="22" s="1"/>
  <c r="AB122" i="12"/>
  <c r="X2" i="22" s="1"/>
  <c r="AA122" i="12"/>
  <c r="W2" i="22" s="1"/>
  <c r="W122" i="12"/>
  <c r="S2" i="22" s="1"/>
  <c r="Z122" i="12"/>
  <c r="V2" i="22" s="1"/>
  <c r="Y122" i="12"/>
  <c r="U2" i="22" s="1"/>
  <c r="X122" i="12"/>
  <c r="T2" i="22" s="1"/>
  <c r="AD122" i="12"/>
  <c r="Z2" i="22" s="1"/>
  <c r="AC122" i="12"/>
  <c r="Y2" i="22" s="1"/>
  <c r="V122" i="12"/>
  <c r="R2" i="22" s="1"/>
  <c r="U122" i="12"/>
  <c r="Q2" i="22" s="1"/>
  <c r="Q122" i="12"/>
  <c r="M2" i="22" s="1"/>
  <c r="K122" i="12"/>
  <c r="G2" i="22" s="1"/>
  <c r="I122" i="12"/>
  <c r="E2" i="22" s="1"/>
  <c r="AE122" i="12"/>
  <c r="AA2" i="22" s="1"/>
  <c r="P122" i="12"/>
  <c r="L2" i="22" s="1"/>
  <c r="O122" i="12"/>
  <c r="K2" i="22" s="1"/>
  <c r="N122" i="12"/>
  <c r="J2" i="22" s="1"/>
  <c r="F189" i="12"/>
  <c r="B4" i="27" s="1"/>
  <c r="AD57" i="12"/>
  <c r="Z2" i="17" s="1"/>
  <c r="W7" i="12"/>
  <c r="V7" i="12"/>
  <c r="U7" i="12"/>
  <c r="L7" i="12"/>
  <c r="K7" i="12"/>
  <c r="J7" i="12"/>
  <c r="H7" i="12"/>
  <c r="AF7" i="12"/>
  <c r="I7" i="12"/>
  <c r="G7" i="12"/>
  <c r="T7" i="12"/>
  <c r="S7" i="12"/>
  <c r="R7" i="12"/>
  <c r="Q7" i="12"/>
  <c r="P7" i="12"/>
  <c r="L135" i="12"/>
  <c r="K135" i="12"/>
  <c r="AF135" i="12"/>
  <c r="J135" i="12"/>
  <c r="X135" i="12"/>
  <c r="Q135" i="12"/>
  <c r="P135" i="12"/>
  <c r="M135" i="12"/>
  <c r="O135" i="12"/>
  <c r="N135" i="12"/>
  <c r="I135" i="12"/>
  <c r="U135" i="12"/>
  <c r="T135" i="12"/>
  <c r="S135" i="12"/>
  <c r="R135" i="12"/>
  <c r="H135" i="12"/>
  <c r="W150" i="12"/>
  <c r="S4" i="24" s="1"/>
  <c r="N150" i="12"/>
  <c r="J4" i="24" s="1"/>
  <c r="M150" i="12"/>
  <c r="I4" i="24" s="1"/>
  <c r="L150" i="12"/>
  <c r="H4" i="24" s="1"/>
  <c r="AA150" i="12"/>
  <c r="W4" i="24" s="1"/>
  <c r="AD150" i="12"/>
  <c r="Z4" i="24" s="1"/>
  <c r="X150" i="12"/>
  <c r="T4" i="24" s="1"/>
  <c r="AC150" i="12"/>
  <c r="Y4" i="24" s="1"/>
  <c r="AB150" i="12"/>
  <c r="X4" i="24" s="1"/>
  <c r="Z150" i="12"/>
  <c r="V4" i="24" s="1"/>
  <c r="Y150" i="12"/>
  <c r="U4" i="24" s="1"/>
  <c r="AE150" i="12"/>
  <c r="AA4" i="24" s="1"/>
  <c r="V150" i="12"/>
  <c r="R4" i="24" s="1"/>
  <c r="U150" i="12"/>
  <c r="Q4" i="24" s="1"/>
  <c r="T150" i="12"/>
  <c r="P4" i="24" s="1"/>
  <c r="S150" i="12"/>
  <c r="O4" i="24" s="1"/>
  <c r="J150" i="12"/>
  <c r="F4" i="24" s="1"/>
  <c r="I150" i="12"/>
  <c r="E4" i="24" s="1"/>
  <c r="AA7" i="12"/>
  <c r="AB135" i="12"/>
  <c r="R150" i="12"/>
  <c r="N4" i="24" s="1"/>
  <c r="AD130" i="12"/>
  <c r="Z10" i="22" s="1"/>
  <c r="AF5" i="12"/>
  <c r="AC7" i="12"/>
  <c r="AD135" i="12"/>
  <c r="AC57" i="12"/>
  <c r="Y2" i="17" s="1"/>
  <c r="AA60" i="12"/>
  <c r="W5" i="17" s="1"/>
  <c r="AC78" i="12"/>
  <c r="Y10" i="18" s="1"/>
  <c r="O112" i="12"/>
  <c r="K5" i="21" s="1"/>
  <c r="AC130" i="12"/>
  <c r="Y10" i="22" s="1"/>
  <c r="AA137" i="12"/>
  <c r="R60" i="12"/>
  <c r="N5" i="17" s="1"/>
  <c r="P9" i="9"/>
  <c r="O9" i="9"/>
  <c r="Q65" i="12"/>
  <c r="M10" i="17" s="1"/>
  <c r="P65" i="12"/>
  <c r="L10" i="17" s="1"/>
  <c r="O65" i="12"/>
  <c r="K10" i="17" s="1"/>
  <c r="L65" i="12"/>
  <c r="H10" i="17" s="1"/>
  <c r="AF65" i="12"/>
  <c r="AB10" i="17" s="1"/>
  <c r="K65" i="12"/>
  <c r="G10" i="17" s="1"/>
  <c r="J65" i="12"/>
  <c r="F10" i="17" s="1"/>
  <c r="H65" i="12"/>
  <c r="D10" i="17" s="1"/>
  <c r="G65" i="12"/>
  <c r="C10" i="17" s="1"/>
  <c r="I65" i="12"/>
  <c r="E10" i="17" s="1"/>
  <c r="L85" i="12"/>
  <c r="H4" i="19" s="1"/>
  <c r="K85" i="12"/>
  <c r="G4" i="19" s="1"/>
  <c r="AF85" i="12"/>
  <c r="AB4" i="19" s="1"/>
  <c r="J85" i="12"/>
  <c r="F4" i="19" s="1"/>
  <c r="X85" i="12"/>
  <c r="T4" i="19" s="1"/>
  <c r="O85" i="12"/>
  <c r="K4" i="19" s="1"/>
  <c r="N85" i="12"/>
  <c r="J4" i="19" s="1"/>
  <c r="G85" i="12"/>
  <c r="C4" i="19" s="1"/>
  <c r="M85" i="12"/>
  <c r="I4" i="19" s="1"/>
  <c r="H85" i="12"/>
  <c r="D4" i="19" s="1"/>
  <c r="I85" i="12"/>
  <c r="E4" i="19" s="1"/>
  <c r="AD5" i="12"/>
  <c r="H5" i="12"/>
  <c r="AC5" i="12"/>
  <c r="G5" i="12"/>
  <c r="AB5" i="12"/>
  <c r="F5" i="12"/>
  <c r="P5" i="12"/>
  <c r="O5" i="12"/>
  <c r="N5" i="12"/>
  <c r="L5" i="12"/>
  <c r="K5" i="12"/>
  <c r="M5" i="12"/>
  <c r="R57" i="12"/>
  <c r="N2" i="17" s="1"/>
  <c r="Q57" i="12"/>
  <c r="M2" i="17" s="1"/>
  <c r="P57" i="12"/>
  <c r="L2" i="17" s="1"/>
  <c r="AA57" i="12"/>
  <c r="W2" i="17" s="1"/>
  <c r="Z57" i="12"/>
  <c r="V2" i="17" s="1"/>
  <c r="Y57" i="12"/>
  <c r="U2" i="17" s="1"/>
  <c r="W57" i="12"/>
  <c r="S2" i="17" s="1"/>
  <c r="V57" i="12"/>
  <c r="R2" i="17" s="1"/>
  <c r="X57" i="12"/>
  <c r="T2" i="17" s="1"/>
  <c r="Z78" i="12"/>
  <c r="V10" i="18" s="1"/>
  <c r="Y78" i="12"/>
  <c r="U10" i="18" s="1"/>
  <c r="X78" i="12"/>
  <c r="T10" i="18" s="1"/>
  <c r="R78" i="12"/>
  <c r="N10" i="18" s="1"/>
  <c r="Q78" i="12"/>
  <c r="M10" i="18" s="1"/>
  <c r="P78" i="12"/>
  <c r="L10" i="18" s="1"/>
  <c r="N78" i="12"/>
  <c r="J10" i="18" s="1"/>
  <c r="O78" i="12"/>
  <c r="K10" i="18" s="1"/>
  <c r="M78" i="12"/>
  <c r="I10" i="18" s="1"/>
  <c r="I5" i="12"/>
  <c r="F57" i="12"/>
  <c r="B2" i="17" s="1"/>
  <c r="F78" i="12"/>
  <c r="B10" i="18" s="1"/>
  <c r="AA109" i="12"/>
  <c r="W2" i="21" s="1"/>
  <c r="S130" i="12"/>
  <c r="O10" i="22" s="1"/>
  <c r="R130" i="12"/>
  <c r="N10" i="22" s="1"/>
  <c r="Q130" i="12"/>
  <c r="M10" i="22" s="1"/>
  <c r="AE130" i="12"/>
  <c r="AA10" i="22" s="1"/>
  <c r="I130" i="12"/>
  <c r="E10" i="22" s="1"/>
  <c r="T130" i="12"/>
  <c r="P10" i="22" s="1"/>
  <c r="P130" i="12"/>
  <c r="L10" i="22" s="1"/>
  <c r="M130" i="12"/>
  <c r="I10" i="22" s="1"/>
  <c r="L130" i="12"/>
  <c r="H10" i="22" s="1"/>
  <c r="O130" i="12"/>
  <c r="K10" i="22" s="1"/>
  <c r="N130" i="12"/>
  <c r="J10" i="22" s="1"/>
  <c r="H9" i="9"/>
  <c r="J5" i="12"/>
  <c r="AF20" i="12"/>
  <c r="AB4" i="14" s="1"/>
  <c r="J20" i="12"/>
  <c r="F4" i="14" s="1"/>
  <c r="AE20" i="12"/>
  <c r="AA4" i="14" s="1"/>
  <c r="I20" i="12"/>
  <c r="E4" i="14" s="1"/>
  <c r="AD20" i="12"/>
  <c r="Z4" i="14" s="1"/>
  <c r="H20" i="12"/>
  <c r="D4" i="14" s="1"/>
  <c r="T20" i="12"/>
  <c r="P4" i="14" s="1"/>
  <c r="S20" i="12"/>
  <c r="O4" i="14" s="1"/>
  <c r="O20" i="12"/>
  <c r="K4" i="14" s="1"/>
  <c r="R20" i="12"/>
  <c r="N4" i="14" s="1"/>
  <c r="P20" i="12"/>
  <c r="L4" i="14" s="1"/>
  <c r="Q20" i="12"/>
  <c r="M4" i="14" s="1"/>
  <c r="M47" i="12"/>
  <c r="I5" i="16" s="1"/>
  <c r="L47" i="12"/>
  <c r="H5" i="16" s="1"/>
  <c r="K47" i="12"/>
  <c r="G5" i="16" s="1"/>
  <c r="P47" i="12"/>
  <c r="L5" i="16" s="1"/>
  <c r="O47" i="12"/>
  <c r="K5" i="16" s="1"/>
  <c r="N47" i="12"/>
  <c r="J5" i="16" s="1"/>
  <c r="I47" i="12"/>
  <c r="E5" i="16" s="1"/>
  <c r="H47" i="12"/>
  <c r="D5" i="16" s="1"/>
  <c r="J47" i="12"/>
  <c r="F5" i="16" s="1"/>
  <c r="G57" i="12"/>
  <c r="C2" i="17" s="1"/>
  <c r="V65" i="12"/>
  <c r="R10" i="17" s="1"/>
  <c r="L75" i="12"/>
  <c r="H7" i="18" s="1"/>
  <c r="K75" i="12"/>
  <c r="G7" i="18" s="1"/>
  <c r="AF75" i="12"/>
  <c r="AB7" i="18" s="1"/>
  <c r="J75" i="12"/>
  <c r="F7" i="18" s="1"/>
  <c r="Y75" i="12"/>
  <c r="U7" i="18" s="1"/>
  <c r="X75" i="12"/>
  <c r="T7" i="18" s="1"/>
  <c r="W75" i="12"/>
  <c r="S7" i="18" s="1"/>
  <c r="U75" i="12"/>
  <c r="Q7" i="18" s="1"/>
  <c r="T75" i="12"/>
  <c r="P7" i="18" s="1"/>
  <c r="V75" i="12"/>
  <c r="R7" i="18" s="1"/>
  <c r="G78" i="12"/>
  <c r="C10" i="18" s="1"/>
  <c r="V85" i="12"/>
  <c r="R4" i="19" s="1"/>
  <c r="F130" i="12"/>
  <c r="B10" i="22" s="1"/>
  <c r="Q5" i="12"/>
  <c r="AF31" i="12"/>
  <c r="AB2" i="15" s="1"/>
  <c r="AC52" i="12"/>
  <c r="Y10" i="16" s="1"/>
  <c r="AB125" i="12"/>
  <c r="X5" i="22" s="1"/>
  <c r="J9" i="9"/>
  <c r="R5" i="12"/>
  <c r="Q18" i="12"/>
  <c r="M2" i="14" s="1"/>
  <c r="P18" i="12"/>
  <c r="L2" i="14" s="1"/>
  <c r="O18" i="12"/>
  <c r="K2" i="14" s="1"/>
  <c r="X18" i="12"/>
  <c r="T2" i="14" s="1"/>
  <c r="S18" i="12"/>
  <c r="O2" i="14" s="1"/>
  <c r="W18" i="12"/>
  <c r="S2" i="14" s="1"/>
  <c r="V18" i="12"/>
  <c r="R2" i="14" s="1"/>
  <c r="U18" i="12"/>
  <c r="Q2" i="14" s="1"/>
  <c r="T18" i="12"/>
  <c r="P2" i="14" s="1"/>
  <c r="I57" i="12"/>
  <c r="E2" i="17" s="1"/>
  <c r="X65" i="12"/>
  <c r="T10" i="17" s="1"/>
  <c r="S73" i="12"/>
  <c r="O5" i="18" s="1"/>
  <c r="R73" i="12"/>
  <c r="N5" i="18" s="1"/>
  <c r="Q73" i="12"/>
  <c r="M5" i="18" s="1"/>
  <c r="AC73" i="12"/>
  <c r="Y5" i="18" s="1"/>
  <c r="AB73" i="12"/>
  <c r="X5" i="18" s="1"/>
  <c r="X73" i="12"/>
  <c r="T5" i="18" s="1"/>
  <c r="AA73" i="12"/>
  <c r="W5" i="18" s="1"/>
  <c r="Y73" i="12"/>
  <c r="U5" i="18" s="1"/>
  <c r="Z73" i="12"/>
  <c r="V5" i="18" s="1"/>
  <c r="I78" i="12"/>
  <c r="E10" i="18" s="1"/>
  <c r="Y85" i="12"/>
  <c r="U4" i="19" s="1"/>
  <c r="H130" i="12"/>
  <c r="D10" i="22" s="1"/>
  <c r="F31" i="12"/>
  <c r="B2" i="15" s="1"/>
  <c r="Q174" i="12"/>
  <c r="M2" i="26" s="1"/>
  <c r="P174" i="12"/>
  <c r="L2" i="26" s="1"/>
  <c r="L174" i="12"/>
  <c r="H2" i="26" s="1"/>
  <c r="K174" i="12"/>
  <c r="G2" i="26" s="1"/>
  <c r="J174" i="12"/>
  <c r="F2" i="26" s="1"/>
  <c r="Z174" i="12"/>
  <c r="V2" i="26" s="1"/>
  <c r="F8" i="12"/>
  <c r="AE8" i="12"/>
  <c r="AA10" i="12"/>
  <c r="G31" i="12"/>
  <c r="C2" i="15" s="1"/>
  <c r="AB52" i="12"/>
  <c r="X10" i="16" s="1"/>
  <c r="P60" i="12"/>
  <c r="L5" i="17" s="1"/>
  <c r="AF70" i="12"/>
  <c r="AB2" i="18" s="1"/>
  <c r="J70" i="12"/>
  <c r="F2" i="18" s="1"/>
  <c r="AE70" i="12"/>
  <c r="AA2" i="18" s="1"/>
  <c r="I70" i="12"/>
  <c r="E2" i="18" s="1"/>
  <c r="AD70" i="12"/>
  <c r="Z2" i="18" s="1"/>
  <c r="H70" i="12"/>
  <c r="D2" i="18" s="1"/>
  <c r="AC72" i="12"/>
  <c r="Y4" i="18" s="1"/>
  <c r="M109" i="12"/>
  <c r="I2" i="21" s="1"/>
  <c r="H112" i="12"/>
  <c r="D5" i="21" s="1"/>
  <c r="AB117" i="12"/>
  <c r="X10" i="21" s="1"/>
  <c r="I137" i="12"/>
  <c r="G138" i="12"/>
  <c r="AF139" i="12"/>
  <c r="AB6" i="23" s="1"/>
  <c r="F174" i="12"/>
  <c r="B2" i="26" s="1"/>
  <c r="H177" i="12"/>
  <c r="I190" i="12"/>
  <c r="E5" i="27" s="1"/>
  <c r="AA226" i="12"/>
  <c r="Y230" i="12"/>
  <c r="U234" i="12"/>
  <c r="AC238" i="12"/>
  <c r="S31" i="12"/>
  <c r="O2" i="15" s="1"/>
  <c r="R31" i="12"/>
  <c r="N2" i="15" s="1"/>
  <c r="Q31" i="12"/>
  <c r="M2" i="15" s="1"/>
  <c r="AE138" i="12"/>
  <c r="AD8" i="12"/>
  <c r="F138" i="12"/>
  <c r="AF138" i="12"/>
  <c r="U189" i="12"/>
  <c r="Q4" i="27" s="1"/>
  <c r="T189" i="12"/>
  <c r="P4" i="27" s="1"/>
  <c r="S189" i="12"/>
  <c r="O4" i="27" s="1"/>
  <c r="I189" i="12"/>
  <c r="E4" i="27" s="1"/>
  <c r="H189" i="12"/>
  <c r="D4" i="27" s="1"/>
  <c r="AF189" i="12"/>
  <c r="AB4" i="27" s="1"/>
  <c r="G189" i="12"/>
  <c r="C4" i="27" s="1"/>
  <c r="X189" i="12"/>
  <c r="T4" i="27" s="1"/>
  <c r="AC125" i="12"/>
  <c r="Y5" i="22" s="1"/>
  <c r="G125" i="12"/>
  <c r="C5" i="22" s="1"/>
  <c r="AB109" i="12"/>
  <c r="X2" i="21" s="1"/>
  <c r="F109" i="12"/>
  <c r="B2" i="21" s="1"/>
  <c r="Z109" i="12"/>
  <c r="V2" i="21" s="1"/>
  <c r="S125" i="12"/>
  <c r="O5" i="22" s="1"/>
  <c r="Q117" i="12"/>
  <c r="M10" i="21" s="1"/>
  <c r="R109" i="12"/>
  <c r="N2" i="21" s="1"/>
  <c r="G8" i="12"/>
  <c r="AB10" i="12"/>
  <c r="H31" i="12"/>
  <c r="D2" i="15" s="1"/>
  <c r="Q60" i="12"/>
  <c r="M5" i="17" s="1"/>
  <c r="F70" i="12"/>
  <c r="B2" i="18" s="1"/>
  <c r="Y72" i="12"/>
  <c r="U4" i="18" s="1"/>
  <c r="X72" i="12"/>
  <c r="T4" i="18" s="1"/>
  <c r="W72" i="12"/>
  <c r="S4" i="18" s="1"/>
  <c r="AD72" i="12"/>
  <c r="Z4" i="18" s="1"/>
  <c r="N109" i="12"/>
  <c r="J2" i="21" s="1"/>
  <c r="I112" i="12"/>
  <c r="E5" i="21" s="1"/>
  <c r="AC117" i="12"/>
  <c r="Y10" i="21" s="1"/>
  <c r="U125" i="12"/>
  <c r="Q5" i="22" s="1"/>
  <c r="J137" i="12"/>
  <c r="F139" i="12"/>
  <c r="B6" i="23" s="1"/>
  <c r="W140" i="12"/>
  <c r="J140" i="12"/>
  <c r="AF140" i="12"/>
  <c r="I140" i="12"/>
  <c r="AE140" i="12"/>
  <c r="H140" i="12"/>
  <c r="V140" i="12"/>
  <c r="G174" i="12"/>
  <c r="C2" i="26" s="1"/>
  <c r="H176" i="12"/>
  <c r="D4" i="26" s="1"/>
  <c r="I177" i="12"/>
  <c r="E5" i="26" s="1"/>
  <c r="F188" i="12"/>
  <c r="B3" i="27" s="1"/>
  <c r="J189" i="12"/>
  <c r="F4" i="27" s="1"/>
  <c r="J190" i="12"/>
  <c r="AB226" i="12"/>
  <c r="Z230" i="12"/>
  <c r="V234" i="12"/>
  <c r="U138" i="12"/>
  <c r="T138" i="12"/>
  <c r="S138" i="12"/>
  <c r="K138" i="12"/>
  <c r="Q8" i="12"/>
  <c r="P8" i="12"/>
  <c r="O8" i="12"/>
  <c r="AE31" i="12"/>
  <c r="AA2" i="15" s="1"/>
  <c r="V238" i="12"/>
  <c r="O234" i="12"/>
  <c r="AD230" i="12"/>
  <c r="H230" i="12"/>
  <c r="W226" i="12"/>
  <c r="U238" i="12"/>
  <c r="N234" i="12"/>
  <c r="AC230" i="12"/>
  <c r="G230" i="12"/>
  <c r="V226" i="12"/>
  <c r="Q238" i="12"/>
  <c r="Z238" i="12"/>
  <c r="AD234" i="12"/>
  <c r="F234" i="12"/>
  <c r="O230" i="12"/>
  <c r="X226" i="12"/>
  <c r="Y238" i="12"/>
  <c r="AC234" i="12"/>
  <c r="N230" i="12"/>
  <c r="U226" i="12"/>
  <c r="K238" i="12"/>
  <c r="J234" i="12"/>
  <c r="K230" i="12"/>
  <c r="L226" i="12"/>
  <c r="J238" i="12"/>
  <c r="I238" i="12"/>
  <c r="H234" i="12"/>
  <c r="I230" i="12"/>
  <c r="J226" i="12"/>
  <c r="AA188" i="12"/>
  <c r="W3" i="27" s="1"/>
  <c r="L238" i="12"/>
  <c r="Z234" i="12"/>
  <c r="U230" i="12"/>
  <c r="N226" i="12"/>
  <c r="Y188" i="12"/>
  <c r="U3" i="27" s="1"/>
  <c r="H238" i="12"/>
  <c r="Y234" i="12"/>
  <c r="T230" i="12"/>
  <c r="M226" i="12"/>
  <c r="X188" i="12"/>
  <c r="T3" i="27" s="1"/>
  <c r="W238" i="12"/>
  <c r="AF234" i="12"/>
  <c r="Q230" i="12"/>
  <c r="AF226" i="12"/>
  <c r="AE190" i="12"/>
  <c r="F190" i="12"/>
  <c r="B5" i="27" s="1"/>
  <c r="L188" i="12"/>
  <c r="H3" i="27" s="1"/>
  <c r="G176" i="12"/>
  <c r="C4" i="26" s="1"/>
  <c r="T238" i="12"/>
  <c r="AE234" i="12"/>
  <c r="P230" i="12"/>
  <c r="AE226" i="12"/>
  <c r="K188" i="12"/>
  <c r="G3" i="27" s="1"/>
  <c r="S238" i="12"/>
  <c r="AB234" i="12"/>
  <c r="M230" i="12"/>
  <c r="AD226" i="12"/>
  <c r="AC190" i="12"/>
  <c r="Y5" i="27" s="1"/>
  <c r="J188" i="12"/>
  <c r="F3" i="27" s="1"/>
  <c r="R234" i="12"/>
  <c r="R226" i="12"/>
  <c r="U190" i="12"/>
  <c r="Q5" i="27" s="1"/>
  <c r="Z188" i="12"/>
  <c r="V3" i="27" s="1"/>
  <c r="Q177" i="12"/>
  <c r="U176" i="12"/>
  <c r="Q4" i="26" s="1"/>
  <c r="Q137" i="12"/>
  <c r="H8" i="12"/>
  <c r="I31" i="12"/>
  <c r="E2" i="15" s="1"/>
  <c r="Y52" i="12"/>
  <c r="U10" i="16" s="1"/>
  <c r="X52" i="12"/>
  <c r="T10" i="16" s="1"/>
  <c r="W52" i="12"/>
  <c r="S10" i="16" s="1"/>
  <c r="AD52" i="12"/>
  <c r="Z10" i="16" s="1"/>
  <c r="G70" i="12"/>
  <c r="C2" i="18" s="1"/>
  <c r="F72" i="12"/>
  <c r="B4" i="18" s="1"/>
  <c r="AE72" i="12"/>
  <c r="AA4" i="18" s="1"/>
  <c r="O109" i="12"/>
  <c r="K2" i="21" s="1"/>
  <c r="J112" i="12"/>
  <c r="F5" i="21" s="1"/>
  <c r="AD117" i="12"/>
  <c r="Z10" i="21" s="1"/>
  <c r="V125" i="12"/>
  <c r="R5" i="22" s="1"/>
  <c r="K137" i="12"/>
  <c r="I138" i="12"/>
  <c r="G139" i="12"/>
  <c r="C6" i="23" s="1"/>
  <c r="F140" i="12"/>
  <c r="H174" i="12"/>
  <c r="D2" i="26" s="1"/>
  <c r="K176" i="12"/>
  <c r="G4" i="26" s="1"/>
  <c r="J177" i="12"/>
  <c r="G188" i="12"/>
  <c r="C3" i="27" s="1"/>
  <c r="K189" i="12"/>
  <c r="G4" i="27" s="1"/>
  <c r="K190" i="12"/>
  <c r="AC226" i="12"/>
  <c r="AA230" i="12"/>
  <c r="W234" i="12"/>
  <c r="AE238" i="12"/>
  <c r="AD31" i="12"/>
  <c r="Z2" i="15" s="1"/>
  <c r="I8" i="12"/>
  <c r="AF10" i="12"/>
  <c r="J10" i="12"/>
  <c r="AE10" i="12"/>
  <c r="I10" i="12"/>
  <c r="AD10" i="12"/>
  <c r="H10" i="12"/>
  <c r="J31" i="12"/>
  <c r="F2" i="15" s="1"/>
  <c r="AA117" i="12"/>
  <c r="W10" i="21" s="1"/>
  <c r="J138" i="12"/>
  <c r="I174" i="12"/>
  <c r="E2" i="26" s="1"/>
  <c r="L189" i="12"/>
  <c r="H4" i="27" s="1"/>
  <c r="AA112" i="12"/>
  <c r="W5" i="21" s="1"/>
  <c r="AC139" i="12"/>
  <c r="Y6" i="23" s="1"/>
  <c r="AA139" i="12"/>
  <c r="W6" i="23" s="1"/>
  <c r="Y60" i="12"/>
  <c r="U5" i="17" s="1"/>
  <c r="M112" i="12"/>
  <c r="I5" i="21" s="1"/>
  <c r="Y117" i="12"/>
  <c r="U10" i="21" s="1"/>
  <c r="AA125" i="12"/>
  <c r="W5" i="22" s="1"/>
  <c r="Y137" i="12"/>
  <c r="M139" i="12"/>
  <c r="I6" i="23" s="1"/>
  <c r="AF176" i="12"/>
  <c r="AB4" i="26" s="1"/>
  <c r="J176" i="12"/>
  <c r="F4" i="26" s="1"/>
  <c r="AE176" i="12"/>
  <c r="AA4" i="26" s="1"/>
  <c r="I176" i="12"/>
  <c r="E4" i="26" s="1"/>
  <c r="AC176" i="12"/>
  <c r="Y4" i="26" s="1"/>
  <c r="AA177" i="12"/>
  <c r="Z60" i="12"/>
  <c r="V5" i="17" s="1"/>
  <c r="N112" i="12"/>
  <c r="J5" i="21" s="1"/>
  <c r="Z117" i="12"/>
  <c r="V10" i="21" s="1"/>
  <c r="F125" i="12"/>
  <c r="B5" i="22" s="1"/>
  <c r="Z137" i="12"/>
  <c r="N139" i="12"/>
  <c r="J6" i="23" s="1"/>
  <c r="F176" i="12"/>
  <c r="B4" i="26" s="1"/>
  <c r="AD176" i="12"/>
  <c r="Z4" i="26" s="1"/>
  <c r="O190" i="12"/>
  <c r="P190" i="12"/>
  <c r="N190" i="12"/>
  <c r="AD190" i="12"/>
  <c r="O139" i="12"/>
  <c r="K6" i="23" s="1"/>
  <c r="Z177" i="12"/>
  <c r="Y177" i="12"/>
  <c r="AC177" i="12"/>
  <c r="C85" i="32" l="1"/>
  <c r="C52" i="32"/>
  <c r="S182" i="12"/>
  <c r="O10" i="26" s="1"/>
  <c r="AA195" i="12"/>
  <c r="W10" i="27" s="1"/>
  <c r="H195" i="12"/>
  <c r="D10" i="27" s="1"/>
  <c r="I195" i="12"/>
  <c r="E10" i="27" s="1"/>
  <c r="AB195" i="12"/>
  <c r="X10" i="27" s="1"/>
  <c r="Y143" i="12"/>
  <c r="AE143" i="12"/>
  <c r="AA10" i="23" s="1"/>
  <c r="AC195" i="12"/>
  <c r="Y10" i="27" s="1"/>
  <c r="Z143" i="12"/>
  <c r="V10" i="23" s="1"/>
  <c r="E49" i="32"/>
  <c r="E59" i="32" s="1"/>
  <c r="D52" i="32"/>
  <c r="H205" i="12"/>
  <c r="H206" i="12" s="1"/>
  <c r="O143" i="12"/>
  <c r="K10" i="23" s="1"/>
  <c r="L195" i="12"/>
  <c r="H10" i="27" s="1"/>
  <c r="U10" i="23"/>
  <c r="H239" i="12"/>
  <c r="H240" i="12" s="1"/>
  <c r="D7" i="23"/>
  <c r="O201" i="12"/>
  <c r="O202" i="12" s="1"/>
  <c r="K2" i="13"/>
  <c r="K205" i="12"/>
  <c r="K206" i="12" s="1"/>
  <c r="G4" i="13"/>
  <c r="N5" i="13"/>
  <c r="R209" i="12"/>
  <c r="R210" i="12" s="1"/>
  <c r="R217" i="12"/>
  <c r="R218" i="12" s="1"/>
  <c r="N7" i="13"/>
  <c r="H4" i="23"/>
  <c r="L227" i="12"/>
  <c r="L228" i="12" s="1"/>
  <c r="AA7" i="23"/>
  <c r="AE239" i="12"/>
  <c r="AE240" i="12" s="1"/>
  <c r="R201" i="12"/>
  <c r="R202" i="12" s="1"/>
  <c r="N2" i="13"/>
  <c r="L2" i="13"/>
  <c r="P201" i="12"/>
  <c r="P202" i="12" s="1"/>
  <c r="E2" i="23"/>
  <c r="L5" i="27"/>
  <c r="P195" i="12"/>
  <c r="L10" i="27" s="1"/>
  <c r="E7" i="23"/>
  <c r="I239" i="12"/>
  <c r="I240" i="12" s="1"/>
  <c r="B2" i="13"/>
  <c r="F201" i="12"/>
  <c r="F202" i="12" s="1"/>
  <c r="J2" i="23"/>
  <c r="F205" i="12"/>
  <c r="F206" i="12" s="1"/>
  <c r="B4" i="13"/>
  <c r="K5" i="27"/>
  <c r="O195" i="12"/>
  <c r="K10" i="27" s="1"/>
  <c r="K2" i="23"/>
  <c r="K4" i="13"/>
  <c r="O205" i="12"/>
  <c r="O206" i="12" s="1"/>
  <c r="G5" i="27"/>
  <c r="K195" i="12"/>
  <c r="G10" i="27" s="1"/>
  <c r="F7" i="23"/>
  <c r="J239" i="12"/>
  <c r="J240" i="12" s="1"/>
  <c r="W239" i="12"/>
  <c r="W240" i="12" s="1"/>
  <c r="S7" i="23"/>
  <c r="N5" i="27"/>
  <c r="R195" i="12"/>
  <c r="N10" i="27" s="1"/>
  <c r="Y7" i="23"/>
  <c r="AC239" i="12"/>
  <c r="AC240" i="12" s="1"/>
  <c r="AC205" i="12"/>
  <c r="AC206" i="12" s="1"/>
  <c r="Y4" i="13"/>
  <c r="F10" i="13"/>
  <c r="J213" i="12"/>
  <c r="J214" i="12" s="1"/>
  <c r="N239" i="12"/>
  <c r="N240" i="12" s="1"/>
  <c r="J7" i="23"/>
  <c r="AB2" i="13"/>
  <c r="AF201" i="12"/>
  <c r="AF202" i="12" s="1"/>
  <c r="F2" i="23"/>
  <c r="V2" i="13"/>
  <c r="Z201" i="12"/>
  <c r="Z202" i="12" s="1"/>
  <c r="V7" i="13"/>
  <c r="Z217" i="12"/>
  <c r="Z218" i="12" s="1"/>
  <c r="F5" i="27"/>
  <c r="J195" i="12"/>
  <c r="F10" i="27" s="1"/>
  <c r="AB2" i="23"/>
  <c r="L213" i="12"/>
  <c r="L214" i="12" s="1"/>
  <c r="H10" i="13"/>
  <c r="Z5" i="23"/>
  <c r="AD231" i="12"/>
  <c r="AD232" i="12" s="1"/>
  <c r="I5" i="26"/>
  <c r="M182" i="12"/>
  <c r="I10" i="26" s="1"/>
  <c r="AA2" i="23"/>
  <c r="O5" i="13"/>
  <c r="S209" i="12"/>
  <c r="S210" i="12" s="1"/>
  <c r="I5" i="23"/>
  <c r="M143" i="12"/>
  <c r="M231" i="12"/>
  <c r="M232" i="12" s="1"/>
  <c r="U7" i="13"/>
  <c r="Y217" i="12"/>
  <c r="Y218" i="12" s="1"/>
  <c r="H217" i="12"/>
  <c r="H218" i="12" s="1"/>
  <c r="D7" i="13"/>
  <c r="G195" i="12"/>
  <c r="C10" i="27" s="1"/>
  <c r="AA217" i="12"/>
  <c r="AA218" i="12" s="1"/>
  <c r="W7" i="13"/>
  <c r="G2" i="23"/>
  <c r="M10" i="13"/>
  <c r="Q213" i="12"/>
  <c r="Q214" i="12" s="1"/>
  <c r="L10" i="13"/>
  <c r="P213" i="12"/>
  <c r="P214" i="12" s="1"/>
  <c r="S213" i="12"/>
  <c r="S214" i="12" s="1"/>
  <c r="O10" i="13"/>
  <c r="C2" i="23"/>
  <c r="P7" i="13"/>
  <c r="T217" i="12"/>
  <c r="T218" i="12" s="1"/>
  <c r="AB4" i="23"/>
  <c r="AF227" i="12"/>
  <c r="AF228" i="12" s="1"/>
  <c r="Z4" i="23"/>
  <c r="AD227" i="12"/>
  <c r="AD228" i="12" s="1"/>
  <c r="V4" i="13"/>
  <c r="Z205" i="12"/>
  <c r="Z206" i="12" s="1"/>
  <c r="Z7" i="13"/>
  <c r="AD217" i="12"/>
  <c r="AD218" i="12" s="1"/>
  <c r="AA5" i="13"/>
  <c r="AE209" i="12"/>
  <c r="AE210" i="12" s="1"/>
  <c r="H2" i="23"/>
  <c r="Y10" i="13"/>
  <c r="AC213" i="12"/>
  <c r="AC214" i="12" s="1"/>
  <c r="Y7" i="13"/>
  <c r="AC217" i="12"/>
  <c r="AC218" i="12" s="1"/>
  <c r="O5" i="27"/>
  <c r="S195" i="12"/>
  <c r="O10" i="27" s="1"/>
  <c r="P7" i="23"/>
  <c r="T239" i="12"/>
  <c r="T240" i="12" s="1"/>
  <c r="M217" i="12"/>
  <c r="M218" i="12" s="1"/>
  <c r="I7" i="13"/>
  <c r="O4" i="23"/>
  <c r="S227" i="12"/>
  <c r="S228" i="12" s="1"/>
  <c r="S5" i="13"/>
  <c r="W209" i="12"/>
  <c r="W210" i="12" s="1"/>
  <c r="Z7" i="23"/>
  <c r="AD239" i="12"/>
  <c r="AD240" i="12" s="1"/>
  <c r="J5" i="27"/>
  <c r="N195" i="12"/>
  <c r="J10" i="27" s="1"/>
  <c r="U205" i="12"/>
  <c r="U206" i="12" s="1"/>
  <c r="Q4" i="13"/>
  <c r="W213" i="12"/>
  <c r="W214" i="12" s="1"/>
  <c r="S10" i="13"/>
  <c r="W2" i="13"/>
  <c r="AA201" i="12"/>
  <c r="AA202" i="12" s="1"/>
  <c r="AB7" i="23"/>
  <c r="AF239" i="12"/>
  <c r="AF240" i="12" s="1"/>
  <c r="J5" i="26"/>
  <c r="N182" i="12"/>
  <c r="J10" i="26" s="1"/>
  <c r="T5" i="13"/>
  <c r="X209" i="12"/>
  <c r="X210" i="12" s="1"/>
  <c r="E5" i="23"/>
  <c r="I143" i="12"/>
  <c r="I231" i="12"/>
  <c r="I232" i="12" s="1"/>
  <c r="W201" i="12"/>
  <c r="W202" i="12" s="1"/>
  <c r="S2" i="13"/>
  <c r="N227" i="12"/>
  <c r="N228" i="12" s="1"/>
  <c r="J4" i="23"/>
  <c r="T7" i="13"/>
  <c r="X217" i="12"/>
  <c r="X218" i="12" s="1"/>
  <c r="I213" i="12"/>
  <c r="I214" i="12" s="1"/>
  <c r="E10" i="13"/>
  <c r="Z227" i="12"/>
  <c r="Z228" i="12" s="1"/>
  <c r="V4" i="23"/>
  <c r="S217" i="12"/>
  <c r="S218" i="12" s="1"/>
  <c r="O7" i="13"/>
  <c r="L4" i="13"/>
  <c r="P205" i="12"/>
  <c r="P206" i="12" s="1"/>
  <c r="O227" i="12"/>
  <c r="O228" i="12" s="1"/>
  <c r="K4" i="23"/>
  <c r="Z5" i="26"/>
  <c r="AD182" i="12"/>
  <c r="Z10" i="26" s="1"/>
  <c r="B4" i="23"/>
  <c r="F227" i="12"/>
  <c r="F228" i="12" s="1"/>
  <c r="C4" i="23"/>
  <c r="G227" i="12"/>
  <c r="G228" i="12" s="1"/>
  <c r="J217" i="12"/>
  <c r="J218" i="12" s="1"/>
  <c r="F7" i="13"/>
  <c r="T182" i="12"/>
  <c r="P10" i="26" s="1"/>
  <c r="W4" i="13"/>
  <c r="AA205" i="12"/>
  <c r="AA206" i="12" s="1"/>
  <c r="N4" i="13"/>
  <c r="R205" i="12"/>
  <c r="R206" i="12" s="1"/>
  <c r="N10" i="13"/>
  <c r="R213" i="12"/>
  <c r="R214" i="12" s="1"/>
  <c r="Z10" i="13"/>
  <c r="AD213" i="12"/>
  <c r="AD214" i="12" s="1"/>
  <c r="N5" i="26"/>
  <c r="R182" i="12"/>
  <c r="N10" i="26" s="1"/>
  <c r="V7" i="23"/>
  <c r="Z239" i="12"/>
  <c r="Z240" i="12" s="1"/>
  <c r="L5" i="23"/>
  <c r="P231" i="12"/>
  <c r="P232" i="12" s="1"/>
  <c r="M5" i="26"/>
  <c r="Q182" i="12"/>
  <c r="M10" i="26" s="1"/>
  <c r="H4" i="13"/>
  <c r="L205" i="12"/>
  <c r="L206" i="12" s="1"/>
  <c r="R2" i="13"/>
  <c r="V201" i="12"/>
  <c r="V202" i="12" s="1"/>
  <c r="G239" i="12"/>
  <c r="G240" i="12" s="1"/>
  <c r="C7" i="23"/>
  <c r="B7" i="23"/>
  <c r="F239" i="12"/>
  <c r="F240" i="12" s="1"/>
  <c r="X2" i="13"/>
  <c r="AB201" i="12"/>
  <c r="AB202" i="12" s="1"/>
  <c r="H231" i="12"/>
  <c r="H232" i="12" s="1"/>
  <c r="D5" i="23"/>
  <c r="H143" i="12"/>
  <c r="X213" i="12"/>
  <c r="X214" i="12" s="1"/>
  <c r="T10" i="13"/>
  <c r="AB209" i="12"/>
  <c r="AB210" i="12" s="1"/>
  <c r="X5" i="13"/>
  <c r="C2" i="13"/>
  <c r="G201" i="12"/>
  <c r="G202" i="12" s="1"/>
  <c r="B10" i="13"/>
  <c r="F213" i="12"/>
  <c r="F214" i="12" s="1"/>
  <c r="X231" i="12"/>
  <c r="X232" i="12" s="1"/>
  <c r="T5" i="23"/>
  <c r="O7" i="23"/>
  <c r="S239" i="12"/>
  <c r="S240" i="12" s="1"/>
  <c r="P4" i="23"/>
  <c r="T227" i="12"/>
  <c r="T228" i="12" s="1"/>
  <c r="K227" i="12"/>
  <c r="K228" i="12" s="1"/>
  <c r="G4" i="23"/>
  <c r="Z2" i="23"/>
  <c r="F223" i="12"/>
  <c r="F224" i="12" s="1"/>
  <c r="B2" i="23"/>
  <c r="Q201" i="12"/>
  <c r="Q202" i="12" s="1"/>
  <c r="M2" i="13"/>
  <c r="I5" i="13"/>
  <c r="M209" i="12"/>
  <c r="M210" i="12" s="1"/>
  <c r="I217" i="12"/>
  <c r="I218" i="12" s="1"/>
  <c r="E7" i="13"/>
  <c r="B5" i="13"/>
  <c r="F209" i="12"/>
  <c r="F210" i="12" s="1"/>
  <c r="J10" i="13"/>
  <c r="N213" i="12"/>
  <c r="N214" i="12" s="1"/>
  <c r="Y231" i="12"/>
  <c r="Y232" i="12" s="1"/>
  <c r="U5" i="23"/>
  <c r="X2" i="23"/>
  <c r="K10" i="13"/>
  <c r="O213" i="12"/>
  <c r="O214" i="12" s="1"/>
  <c r="O4" i="13"/>
  <c r="S205" i="12"/>
  <c r="S206" i="12" s="1"/>
  <c r="K217" i="12"/>
  <c r="K218" i="12" s="1"/>
  <c r="G7" i="13"/>
  <c r="AF231" i="12"/>
  <c r="AF232" i="12" s="1"/>
  <c r="AB5" i="23"/>
  <c r="R5" i="26"/>
  <c r="V182" i="12"/>
  <c r="R10" i="26" s="1"/>
  <c r="W7" i="23"/>
  <c r="AA239" i="12"/>
  <c r="AA240" i="12" s="1"/>
  <c r="C5" i="23"/>
  <c r="G143" i="12"/>
  <c r="G231" i="12"/>
  <c r="G232" i="12" s="1"/>
  <c r="C4" i="13"/>
  <c r="G205" i="12"/>
  <c r="G206" i="12" s="1"/>
  <c r="M213" i="12"/>
  <c r="M214" i="12" s="1"/>
  <c r="I10" i="13"/>
  <c r="R5" i="23"/>
  <c r="V231" i="12"/>
  <c r="V232" i="12" s="1"/>
  <c r="V143" i="12"/>
  <c r="Y5" i="26"/>
  <c r="AC182" i="12"/>
  <c r="Y10" i="26" s="1"/>
  <c r="M5" i="13"/>
  <c r="Q209" i="12"/>
  <c r="Q210" i="12" s="1"/>
  <c r="Z5" i="13"/>
  <c r="AD209" i="12"/>
  <c r="AD210" i="12" s="1"/>
  <c r="I2" i="13"/>
  <c r="M201" i="12"/>
  <c r="M202" i="12" s="1"/>
  <c r="E4" i="13"/>
  <c r="I205" i="12"/>
  <c r="I206" i="12" s="1"/>
  <c r="G213" i="12"/>
  <c r="G214" i="12" s="1"/>
  <c r="C10" i="13"/>
  <c r="S2" i="23"/>
  <c r="B7" i="13"/>
  <c r="F217" i="12"/>
  <c r="F218" i="12" s="1"/>
  <c r="R227" i="12"/>
  <c r="R228" i="12" s="1"/>
  <c r="N4" i="23"/>
  <c r="Q239" i="12"/>
  <c r="Q240" i="12" s="1"/>
  <c r="M7" i="23"/>
  <c r="V5" i="27"/>
  <c r="Z195" i="12"/>
  <c r="V10" i="27" s="1"/>
  <c r="V209" i="12"/>
  <c r="V210" i="12" s="1"/>
  <c r="R5" i="13"/>
  <c r="D4" i="23"/>
  <c r="H227" i="12"/>
  <c r="H228" i="12" s="1"/>
  <c r="Y182" i="12"/>
  <c r="U10" i="26" s="1"/>
  <c r="U5" i="26"/>
  <c r="U4" i="23"/>
  <c r="Y227" i="12"/>
  <c r="Y228" i="12" s="1"/>
  <c r="AF143" i="12"/>
  <c r="D5" i="13"/>
  <c r="H209" i="12"/>
  <c r="H210" i="12" s="1"/>
  <c r="X7" i="13"/>
  <c r="AB217" i="12"/>
  <c r="AB218" i="12" s="1"/>
  <c r="AA5" i="23"/>
  <c r="AE231" i="12"/>
  <c r="AE232" i="12" s="1"/>
  <c r="K201" i="12"/>
  <c r="K202" i="12" s="1"/>
  <c r="G2" i="13"/>
  <c r="N2" i="23"/>
  <c r="AB4" i="13"/>
  <c r="AF205" i="12"/>
  <c r="AF206" i="12" s="1"/>
  <c r="Z213" i="12"/>
  <c r="Z214" i="12" s="1"/>
  <c r="V10" i="13"/>
  <c r="AA4" i="23"/>
  <c r="AE227" i="12"/>
  <c r="AE228" i="12" s="1"/>
  <c r="AA5" i="26"/>
  <c r="AE182" i="12"/>
  <c r="AA10" i="26" s="1"/>
  <c r="Z209" i="12"/>
  <c r="Z210" i="12" s="1"/>
  <c r="V5" i="13"/>
  <c r="AC227" i="12"/>
  <c r="AC228" i="12" s="1"/>
  <c r="Y4" i="23"/>
  <c r="N143" i="12"/>
  <c r="N231" i="12"/>
  <c r="N232" i="12" s="1"/>
  <c r="J5" i="23"/>
  <c r="H5" i="13"/>
  <c r="L209" i="12"/>
  <c r="L210" i="12" s="1"/>
  <c r="S5" i="26"/>
  <c r="W182" i="12"/>
  <c r="S10" i="26" s="1"/>
  <c r="R7" i="13"/>
  <c r="V217" i="12"/>
  <c r="V218" i="12" s="1"/>
  <c r="U227" i="12"/>
  <c r="U228" i="12" s="1"/>
  <c r="Q4" i="23"/>
  <c r="I7" i="23"/>
  <c r="M239" i="12"/>
  <c r="M240" i="12" s="1"/>
  <c r="C5" i="26"/>
  <c r="G182" i="12"/>
  <c r="C10" i="26" s="1"/>
  <c r="Z5" i="27"/>
  <c r="AD195" i="12"/>
  <c r="Z10" i="27" s="1"/>
  <c r="Q2" i="23"/>
  <c r="X10" i="13"/>
  <c r="AB213" i="12"/>
  <c r="AB214" i="12" s="1"/>
  <c r="T5" i="26"/>
  <c r="X182" i="12"/>
  <c r="T10" i="26" s="1"/>
  <c r="M7" i="13"/>
  <c r="Q217" i="12"/>
  <c r="Q218" i="12" s="1"/>
  <c r="U209" i="12"/>
  <c r="U210" i="12" s="1"/>
  <c r="Q5" i="13"/>
  <c r="R10" i="13"/>
  <c r="V213" i="12"/>
  <c r="V214" i="12" s="1"/>
  <c r="T5" i="27"/>
  <c r="X195" i="12"/>
  <c r="T10" i="27" s="1"/>
  <c r="W2" i="23"/>
  <c r="Q7" i="13"/>
  <c r="U217" i="12"/>
  <c r="U218" i="12" s="1"/>
  <c r="B2" i="27"/>
  <c r="M5" i="23"/>
  <c r="Q231" i="12"/>
  <c r="Q232" i="12" s="1"/>
  <c r="Q143" i="12"/>
  <c r="X7" i="23"/>
  <c r="AB239" i="12"/>
  <c r="AB240" i="12" s="1"/>
  <c r="O239" i="12"/>
  <c r="O240" i="12" s="1"/>
  <c r="K7" i="23"/>
  <c r="I2" i="23"/>
  <c r="G5" i="26"/>
  <c r="K182" i="12"/>
  <c r="G10" i="26" s="1"/>
  <c r="Y2" i="13"/>
  <c r="AC201" i="12"/>
  <c r="AC202" i="12" s="1"/>
  <c r="L2" i="23"/>
  <c r="X5" i="26"/>
  <c r="AB182" i="12"/>
  <c r="X10" i="26" s="1"/>
  <c r="M5" i="27"/>
  <c r="Q195" i="12"/>
  <c r="M10" i="27" s="1"/>
  <c r="X4" i="23"/>
  <c r="AB227" i="12"/>
  <c r="AB228" i="12" s="1"/>
  <c r="Y209" i="12"/>
  <c r="Y210" i="12" s="1"/>
  <c r="U5" i="13"/>
  <c r="X239" i="12"/>
  <c r="X240" i="12" s="1"/>
  <c r="T7" i="23"/>
  <c r="Z2" i="13"/>
  <c r="AD201" i="12"/>
  <c r="AD202" i="12" s="1"/>
  <c r="T2" i="23"/>
  <c r="I182" i="12"/>
  <c r="E10" i="26" s="1"/>
  <c r="AF182" i="12"/>
  <c r="AB10" i="26" s="1"/>
  <c r="AD205" i="12"/>
  <c r="AD206" i="12" s="1"/>
  <c r="Z4" i="13"/>
  <c r="S7" i="13"/>
  <c r="W217" i="12"/>
  <c r="W218" i="12" s="1"/>
  <c r="D5" i="26"/>
  <c r="H182" i="12"/>
  <c r="D10" i="26" s="1"/>
  <c r="AB7" i="13"/>
  <c r="AF217" i="12"/>
  <c r="AF218" i="12" s="1"/>
  <c r="F182" i="12"/>
  <c r="B10" i="26" s="1"/>
  <c r="AE213" i="12"/>
  <c r="AE214" i="12" s="1"/>
  <c r="AA10" i="13"/>
  <c r="J4" i="13"/>
  <c r="N205" i="12"/>
  <c r="N206" i="12" s="1"/>
  <c r="F5" i="26"/>
  <c r="J182" i="12"/>
  <c r="F10" i="26" s="1"/>
  <c r="AB10" i="13"/>
  <c r="AF213" i="12"/>
  <c r="AF214" i="12" s="1"/>
  <c r="P2" i="13"/>
  <c r="T201" i="12"/>
  <c r="T202" i="12" s="1"/>
  <c r="Y2" i="23"/>
  <c r="L5" i="13"/>
  <c r="P209" i="12"/>
  <c r="P210" i="12" s="1"/>
  <c r="J5" i="13"/>
  <c r="N209" i="12"/>
  <c r="N210" i="12" s="1"/>
  <c r="I4" i="23"/>
  <c r="M227" i="12"/>
  <c r="M228" i="12" s="1"/>
  <c r="U5" i="27"/>
  <c r="Y195" i="12"/>
  <c r="U10" i="27" s="1"/>
  <c r="S5" i="23"/>
  <c r="W231" i="12"/>
  <c r="W232" i="12" s="1"/>
  <c r="W143" i="12"/>
  <c r="V195" i="12"/>
  <c r="R10" i="27" s="1"/>
  <c r="D2" i="23"/>
  <c r="Q7" i="23"/>
  <c r="U239" i="12"/>
  <c r="U240" i="12" s="1"/>
  <c r="AA2" i="13"/>
  <c r="AE201" i="12"/>
  <c r="AE202" i="12" s="1"/>
  <c r="V2" i="23"/>
  <c r="R239" i="12"/>
  <c r="R240" i="12" s="1"/>
  <c r="N7" i="23"/>
  <c r="Y5" i="23"/>
  <c r="AC143" i="12"/>
  <c r="AC231" i="12"/>
  <c r="AC232" i="12" s="1"/>
  <c r="V5" i="26"/>
  <c r="Z182" i="12"/>
  <c r="V10" i="26" s="1"/>
  <c r="P143" i="12"/>
  <c r="Q227" i="12"/>
  <c r="Q228" i="12" s="1"/>
  <c r="M4" i="23"/>
  <c r="K231" i="12"/>
  <c r="K232" i="12" s="1"/>
  <c r="G5" i="23"/>
  <c r="K143" i="12"/>
  <c r="C5" i="13"/>
  <c r="G209" i="12"/>
  <c r="G210" i="12" s="1"/>
  <c r="E2" i="13"/>
  <c r="I201" i="12"/>
  <c r="I202" i="12" s="1"/>
  <c r="H2" i="13"/>
  <c r="L201" i="12"/>
  <c r="L202" i="12" s="1"/>
  <c r="O2" i="23"/>
  <c r="D4" i="13"/>
  <c r="Q10" i="13"/>
  <c r="U213" i="12"/>
  <c r="U214" i="12" s="1"/>
  <c r="H5" i="26"/>
  <c r="L182" i="12"/>
  <c r="H10" i="26" s="1"/>
  <c r="Y201" i="12"/>
  <c r="Y202" i="12" s="1"/>
  <c r="U2" i="13"/>
  <c r="G5" i="13"/>
  <c r="K209" i="12"/>
  <c r="K210" i="12" s="1"/>
  <c r="O217" i="12"/>
  <c r="O218" i="12" s="1"/>
  <c r="K7" i="13"/>
  <c r="W5" i="23"/>
  <c r="AA143" i="12"/>
  <c r="AA231" i="12"/>
  <c r="AA232" i="12" s="1"/>
  <c r="R4" i="23"/>
  <c r="V227" i="12"/>
  <c r="V228" i="12" s="1"/>
  <c r="Y5" i="13"/>
  <c r="AC209" i="12"/>
  <c r="AC210" i="12" s="1"/>
  <c r="P5" i="23"/>
  <c r="T231" i="12"/>
  <c r="T232" i="12" s="1"/>
  <c r="T143" i="12"/>
  <c r="AA227" i="12"/>
  <c r="AA228" i="12" s="1"/>
  <c r="W4" i="23"/>
  <c r="P239" i="12"/>
  <c r="P240" i="12" s="1"/>
  <c r="L7" i="23"/>
  <c r="L239" i="12"/>
  <c r="L240" i="12" s="1"/>
  <c r="H7" i="23"/>
  <c r="U231" i="12"/>
  <c r="U232" i="12" s="1"/>
  <c r="U143" i="12"/>
  <c r="Q5" i="23"/>
  <c r="L217" i="12"/>
  <c r="L218" i="12" s="1"/>
  <c r="H7" i="13"/>
  <c r="S5" i="27"/>
  <c r="W195" i="12"/>
  <c r="S10" i="27" s="1"/>
  <c r="AB5" i="27"/>
  <c r="AF195" i="12"/>
  <c r="AB10" i="27" s="1"/>
  <c r="U195" i="12"/>
  <c r="Q10" i="27" s="1"/>
  <c r="F2" i="13"/>
  <c r="J201" i="12"/>
  <c r="J202" i="12" s="1"/>
  <c r="V205" i="12"/>
  <c r="V206" i="12" s="1"/>
  <c r="R4" i="13"/>
  <c r="P5" i="13"/>
  <c r="T209" i="12"/>
  <c r="T210" i="12" s="1"/>
  <c r="X205" i="12"/>
  <c r="X206" i="12" s="1"/>
  <c r="T4" i="13"/>
  <c r="W205" i="12"/>
  <c r="W206" i="12" s="1"/>
  <c r="S4" i="13"/>
  <c r="AB5" i="13"/>
  <c r="AF209" i="12"/>
  <c r="AF210" i="12" s="1"/>
  <c r="H213" i="12"/>
  <c r="H214" i="12" s="1"/>
  <c r="D10" i="13"/>
  <c r="C7" i="13"/>
  <c r="G217" i="12"/>
  <c r="G218" i="12" s="1"/>
  <c r="H201" i="12"/>
  <c r="H202" i="12" s="1"/>
  <c r="D2" i="13"/>
  <c r="M2" i="23"/>
  <c r="I4" i="13"/>
  <c r="M205" i="12"/>
  <c r="M206" i="12" s="1"/>
  <c r="F5" i="13"/>
  <c r="J209" i="12"/>
  <c r="J210" i="12" s="1"/>
  <c r="V5" i="23"/>
  <c r="Z231" i="12"/>
  <c r="Z232" i="12" s="1"/>
  <c r="J231" i="12"/>
  <c r="J232" i="12" s="1"/>
  <c r="F5" i="23"/>
  <c r="J143" i="12"/>
  <c r="F4" i="23"/>
  <c r="J227" i="12"/>
  <c r="J228" i="12" s="1"/>
  <c r="P217" i="12"/>
  <c r="P218" i="12" s="1"/>
  <c r="L7" i="13"/>
  <c r="G10" i="13"/>
  <c r="K213" i="12"/>
  <c r="K214" i="12" s="1"/>
  <c r="T2" i="13"/>
  <c r="X201" i="12"/>
  <c r="X202" i="12" s="1"/>
  <c r="W5" i="26"/>
  <c r="AA182" i="12"/>
  <c r="W10" i="26" s="1"/>
  <c r="T4" i="23"/>
  <c r="X227" i="12"/>
  <c r="X228" i="12" s="1"/>
  <c r="W5" i="13"/>
  <c r="AA209" i="12"/>
  <c r="AA210" i="12" s="1"/>
  <c r="Y205" i="12"/>
  <c r="Y206" i="12" s="1"/>
  <c r="U4" i="13"/>
  <c r="K5" i="23"/>
  <c r="O231" i="12"/>
  <c r="O232" i="12" s="1"/>
  <c r="AA7" i="13"/>
  <c r="AE217" i="12"/>
  <c r="AE218" i="12" s="1"/>
  <c r="T195" i="12"/>
  <c r="P10" i="27" s="1"/>
  <c r="M4" i="13"/>
  <c r="Q205" i="12"/>
  <c r="Q206" i="12" s="1"/>
  <c r="R2" i="23"/>
  <c r="U182" i="12"/>
  <c r="Q10" i="26" s="1"/>
  <c r="AD143" i="12"/>
  <c r="E5" i="13"/>
  <c r="I209" i="12"/>
  <c r="I210" i="12" s="1"/>
  <c r="O209" i="12"/>
  <c r="O210" i="12" s="1"/>
  <c r="K5" i="13"/>
  <c r="O182" i="12"/>
  <c r="K10" i="26" s="1"/>
  <c r="T205" i="12"/>
  <c r="T206" i="12" s="1"/>
  <c r="P4" i="13"/>
  <c r="U7" i="23"/>
  <c r="Y239" i="12"/>
  <c r="Y240" i="12" s="1"/>
  <c r="I5" i="27"/>
  <c r="M195" i="12"/>
  <c r="I10" i="27" s="1"/>
  <c r="L4" i="23"/>
  <c r="P227" i="12"/>
  <c r="P228" i="12" s="1"/>
  <c r="AA5" i="27"/>
  <c r="AE195" i="12"/>
  <c r="AA10" i="27" s="1"/>
  <c r="P182" i="12"/>
  <c r="L10" i="26" s="1"/>
  <c r="F231" i="12"/>
  <c r="F232" i="12" s="1"/>
  <c r="F143" i="12"/>
  <c r="B5" i="23"/>
  <c r="P10" i="13"/>
  <c r="T213" i="12"/>
  <c r="T214" i="12" s="1"/>
  <c r="O2" i="13"/>
  <c r="S201" i="12"/>
  <c r="S202" i="12" s="1"/>
  <c r="S4" i="23"/>
  <c r="W227" i="12"/>
  <c r="W228" i="12" s="1"/>
  <c r="I227" i="12"/>
  <c r="I228" i="12" s="1"/>
  <c r="E4" i="23"/>
  <c r="Y213" i="12"/>
  <c r="Y214" i="12" s="1"/>
  <c r="U10" i="13"/>
  <c r="X143" i="12"/>
  <c r="F195" i="12"/>
  <c r="B10" i="27" s="1"/>
  <c r="O5" i="23"/>
  <c r="S231" i="12"/>
  <c r="S232" i="12" s="1"/>
  <c r="S143" i="12"/>
  <c r="R7" i="23"/>
  <c r="V239" i="12"/>
  <c r="V240" i="12" s="1"/>
  <c r="J2" i="13"/>
  <c r="N201" i="12"/>
  <c r="N202" i="12" s="1"/>
  <c r="P2" i="23"/>
  <c r="F4" i="13"/>
  <c r="J205" i="12"/>
  <c r="J206" i="12" s="1"/>
  <c r="AA213" i="12"/>
  <c r="AA214" i="12" s="1"/>
  <c r="W10" i="13"/>
  <c r="L231" i="12"/>
  <c r="L232" i="12" s="1"/>
  <c r="L143" i="12"/>
  <c r="H5" i="23"/>
  <c r="U201" i="12"/>
  <c r="U202" i="12" s="1"/>
  <c r="Q2" i="13"/>
  <c r="AE205" i="12"/>
  <c r="AE206" i="12" s="1"/>
  <c r="AA4" i="13"/>
  <c r="U2" i="23"/>
  <c r="N5" i="23"/>
  <c r="R231" i="12"/>
  <c r="R232" i="12" s="1"/>
  <c r="R143" i="12"/>
  <c r="AB205" i="12"/>
  <c r="AB206" i="12" s="1"/>
  <c r="X4" i="13"/>
  <c r="N217" i="12"/>
  <c r="N218" i="12" s="1"/>
  <c r="J7" i="13"/>
  <c r="K239" i="12"/>
  <c r="K240" i="12" s="1"/>
  <c r="G7" i="23"/>
  <c r="X5" i="23"/>
  <c r="AB143" i="12"/>
  <c r="AB231" i="12"/>
  <c r="AB232" i="12" s="1"/>
  <c r="C53" i="32" l="1"/>
  <c r="C62" i="32"/>
  <c r="D53" i="32"/>
  <c r="D62" i="32"/>
  <c r="D50" i="32"/>
  <c r="J48" i="11"/>
  <c r="J46" i="11"/>
  <c r="J42" i="11"/>
  <c r="J40" i="11"/>
  <c r="AE235" i="12"/>
  <c r="AE236" i="12" s="1"/>
  <c r="Y235" i="12"/>
  <c r="Y236" i="12" s="1"/>
  <c r="F49" i="32"/>
  <c r="F59" i="32" s="1"/>
  <c r="E50" i="32"/>
  <c r="E52" i="32"/>
  <c r="O235" i="12"/>
  <c r="O236" i="12" s="1"/>
  <c r="R10" i="23"/>
  <c r="V235" i="12"/>
  <c r="V236" i="12" s="1"/>
  <c r="L10" i="23"/>
  <c r="P235" i="12"/>
  <c r="P236" i="12" s="1"/>
  <c r="AB235" i="12"/>
  <c r="AB236" i="12" s="1"/>
  <c r="X10" i="23"/>
  <c r="Z235" i="12"/>
  <c r="Z236" i="12" s="1"/>
  <c r="Q10" i="23"/>
  <c r="U235" i="12"/>
  <c r="U236" i="12" s="1"/>
  <c r="I235" i="12"/>
  <c r="I236" i="12" s="1"/>
  <c r="E10" i="23"/>
  <c r="I10" i="23"/>
  <c r="M235" i="12"/>
  <c r="M236" i="12" s="1"/>
  <c r="Z10" i="23"/>
  <c r="AD235" i="12"/>
  <c r="AD236" i="12" s="1"/>
  <c r="Y10" i="23"/>
  <c r="AC235" i="12"/>
  <c r="AC236" i="12" s="1"/>
  <c r="P10" i="23"/>
  <c r="T235" i="12"/>
  <c r="T236" i="12" s="1"/>
  <c r="H235" i="12"/>
  <c r="H236" i="12" s="1"/>
  <c r="D10" i="23"/>
  <c r="H10" i="23"/>
  <c r="L235" i="12"/>
  <c r="L236" i="12" s="1"/>
  <c r="F235" i="12"/>
  <c r="F236" i="12" s="1"/>
  <c r="B10" i="23"/>
  <c r="G235" i="12"/>
  <c r="G236" i="12" s="1"/>
  <c r="C10" i="23"/>
  <c r="J10" i="23"/>
  <c r="N235" i="12"/>
  <c r="N236" i="12" s="1"/>
  <c r="N10" i="23"/>
  <c r="R235" i="12"/>
  <c r="R236" i="12" s="1"/>
  <c r="AF235" i="12"/>
  <c r="AF236" i="12" s="1"/>
  <c r="AB10" i="23"/>
  <c r="O10" i="23"/>
  <c r="S235" i="12"/>
  <c r="S236" i="12" s="1"/>
  <c r="M10" i="23"/>
  <c r="Q235" i="12"/>
  <c r="Q236" i="12" s="1"/>
  <c r="T10" i="23"/>
  <c r="X235" i="12"/>
  <c r="X236" i="12" s="1"/>
  <c r="AA235" i="12"/>
  <c r="AA236" i="12" s="1"/>
  <c r="W10" i="23"/>
  <c r="K235" i="12"/>
  <c r="K236" i="12" s="1"/>
  <c r="G10" i="23"/>
  <c r="S10" i="23"/>
  <c r="W235" i="12"/>
  <c r="W236" i="12" s="1"/>
  <c r="J235" i="12"/>
  <c r="J236" i="12" s="1"/>
  <c r="F10" i="23"/>
  <c r="H187" i="12" l="1"/>
  <c r="D2" i="27" s="1"/>
  <c r="D85" i="32"/>
  <c r="D86" i="32"/>
  <c r="E85" i="32"/>
  <c r="E86" i="32"/>
  <c r="C83" i="32"/>
  <c r="C84" i="32"/>
  <c r="I40" i="11"/>
  <c r="I48" i="11"/>
  <c r="I42" i="11"/>
  <c r="I46" i="11"/>
  <c r="E53" i="32"/>
  <c r="E62" i="32"/>
  <c r="D84" i="32"/>
  <c r="D83" i="32"/>
  <c r="H148" i="12"/>
  <c r="H223" i="12" s="1"/>
  <c r="H224" i="12" s="1"/>
  <c r="K46" i="11"/>
  <c r="K42" i="11"/>
  <c r="K40" i="11"/>
  <c r="K48" i="11"/>
  <c r="G49" i="32"/>
  <c r="G59" i="32" s="1"/>
  <c r="F50" i="32"/>
  <c r="F52" i="32"/>
  <c r="G187" i="12" l="1"/>
  <c r="C2" i="27" s="1"/>
  <c r="G148" i="12"/>
  <c r="F86" i="32"/>
  <c r="F85" i="32"/>
  <c r="F53" i="32"/>
  <c r="F62" i="32"/>
  <c r="E84" i="32"/>
  <c r="E83" i="32"/>
  <c r="D2" i="24"/>
  <c r="I148" i="12"/>
  <c r="E2" i="24" s="1"/>
  <c r="L46" i="11"/>
  <c r="L48" i="11"/>
  <c r="L40" i="11"/>
  <c r="L42" i="11"/>
  <c r="I187" i="12"/>
  <c r="E2" i="27" s="1"/>
  <c r="H49" i="32"/>
  <c r="H59" i="32" s="1"/>
  <c r="G50" i="32"/>
  <c r="G52" i="32"/>
  <c r="G86" i="32" l="1"/>
  <c r="G85" i="32"/>
  <c r="C2" i="24"/>
  <c r="G223" i="12"/>
  <c r="G224" i="12" s="1"/>
  <c r="G53" i="32"/>
  <c r="G62" i="32"/>
  <c r="F84" i="32"/>
  <c r="F83" i="32"/>
  <c r="J148" i="12"/>
  <c r="I223" i="12"/>
  <c r="I224" i="12" s="1"/>
  <c r="J187" i="12"/>
  <c r="F2" i="27" s="1"/>
  <c r="M46" i="11"/>
  <c r="M42" i="11"/>
  <c r="M40" i="11"/>
  <c r="M48" i="11"/>
  <c r="F2" i="24"/>
  <c r="I49" i="32"/>
  <c r="I59" i="32" s="1"/>
  <c r="H50" i="32"/>
  <c r="H52" i="32"/>
  <c r="K148" i="12" l="1"/>
  <c r="H86" i="32"/>
  <c r="H85" i="32"/>
  <c r="H53" i="32"/>
  <c r="H62" i="32"/>
  <c r="G84" i="32"/>
  <c r="G83" i="32"/>
  <c r="J223" i="12"/>
  <c r="J224" i="12" s="1"/>
  <c r="K187" i="12"/>
  <c r="G2" i="27" s="1"/>
  <c r="N46" i="11"/>
  <c r="N40" i="11"/>
  <c r="N48" i="11"/>
  <c r="N42" i="11"/>
  <c r="G2" i="24"/>
  <c r="J49" i="32"/>
  <c r="J59" i="32" s="1"/>
  <c r="I50" i="32"/>
  <c r="I52" i="32"/>
  <c r="I86" i="32" l="1"/>
  <c r="I85" i="32"/>
  <c r="L187" i="12"/>
  <c r="H2" i="27" s="1"/>
  <c r="I53" i="32"/>
  <c r="I62" i="32"/>
  <c r="H84" i="32"/>
  <c r="H83" i="32"/>
  <c r="K223" i="12"/>
  <c r="K224" i="12" s="1"/>
  <c r="L148" i="12"/>
  <c r="H2" i="24" s="1"/>
  <c r="O40" i="11"/>
  <c r="O48" i="11"/>
  <c r="O42" i="11"/>
  <c r="O46" i="11"/>
  <c r="L223" i="12"/>
  <c r="L224" i="12" s="1"/>
  <c r="K49" i="32"/>
  <c r="K59" i="32" s="1"/>
  <c r="J50" i="32"/>
  <c r="J52" i="32"/>
  <c r="J86" i="32" l="1"/>
  <c r="J85" i="32"/>
  <c r="J53" i="32"/>
  <c r="J62" i="32"/>
  <c r="I84" i="32"/>
  <c r="I83" i="32"/>
  <c r="M148" i="12"/>
  <c r="I2" i="24" s="1"/>
  <c r="M187" i="12"/>
  <c r="I2" i="27" s="1"/>
  <c r="P40" i="11"/>
  <c r="P48" i="11"/>
  <c r="P42" i="11"/>
  <c r="P46" i="11"/>
  <c r="N187" i="12" s="1"/>
  <c r="J2" i="27" s="1"/>
  <c r="M223" i="12"/>
  <c r="M224" i="12" s="1"/>
  <c r="L49" i="32"/>
  <c r="L59" i="32" s="1"/>
  <c r="K50" i="32"/>
  <c r="K52" i="32"/>
  <c r="K86" i="32" l="1"/>
  <c r="K85" i="32"/>
  <c r="K53" i="32"/>
  <c r="K62" i="32"/>
  <c r="J83" i="32"/>
  <c r="J84" i="32"/>
  <c r="N148" i="12"/>
  <c r="J2" i="24" s="1"/>
  <c r="Q46" i="11"/>
  <c r="Q40" i="11"/>
  <c r="Q42" i="11"/>
  <c r="Q48" i="11"/>
  <c r="M49" i="32"/>
  <c r="M59" i="32" s="1"/>
  <c r="L50" i="32"/>
  <c r="L52" i="32"/>
  <c r="O148" i="12" l="1"/>
  <c r="L85" i="32"/>
  <c r="L86" i="32"/>
  <c r="L53" i="32"/>
  <c r="L62" i="32"/>
  <c r="K84" i="32"/>
  <c r="K83" i="32"/>
  <c r="N223" i="12"/>
  <c r="N224" i="12" s="1"/>
  <c r="O187" i="12"/>
  <c r="K2" i="27" s="1"/>
  <c r="R40" i="11"/>
  <c r="R48" i="11"/>
  <c r="R46" i="11"/>
  <c r="R42" i="11"/>
  <c r="K2" i="24"/>
  <c r="O223" i="12"/>
  <c r="O224" i="12" s="1"/>
  <c r="N49" i="32"/>
  <c r="N59" i="32" s="1"/>
  <c r="M50" i="32"/>
  <c r="M52" i="32"/>
  <c r="M85" i="32" l="1"/>
  <c r="M86" i="32"/>
  <c r="M53" i="32"/>
  <c r="M62" i="32"/>
  <c r="L83" i="32"/>
  <c r="L84" i="32"/>
  <c r="P187" i="12"/>
  <c r="L2" i="27" s="1"/>
  <c r="S40" i="11"/>
  <c r="S42" i="11"/>
  <c r="S48" i="11"/>
  <c r="S46" i="11"/>
  <c r="P148" i="12"/>
  <c r="O49" i="32"/>
  <c r="O59" i="32" s="1"/>
  <c r="N50" i="32"/>
  <c r="N52" i="32"/>
  <c r="N85" i="32" l="1"/>
  <c r="N86" i="32"/>
  <c r="N53" i="32"/>
  <c r="N62" i="32"/>
  <c r="M83" i="32"/>
  <c r="M84" i="32"/>
  <c r="Q148" i="12"/>
  <c r="M2" i="24" s="1"/>
  <c r="Q187" i="12"/>
  <c r="M2" i="27" s="1"/>
  <c r="T40" i="11"/>
  <c r="T42" i="11"/>
  <c r="T48" i="11"/>
  <c r="T46" i="11"/>
  <c r="L2" i="24"/>
  <c r="P223" i="12"/>
  <c r="P224" i="12" s="1"/>
  <c r="P49" i="32"/>
  <c r="P59" i="32" s="1"/>
  <c r="O50" i="32"/>
  <c r="O52" i="32"/>
  <c r="O86" i="32" l="1"/>
  <c r="O85" i="32"/>
  <c r="O53" i="32"/>
  <c r="O62" i="32"/>
  <c r="N83" i="32"/>
  <c r="N84" i="32"/>
  <c r="Q223" i="12"/>
  <c r="Q224" i="12" s="1"/>
  <c r="R148" i="12"/>
  <c r="U40" i="11"/>
  <c r="U42" i="11"/>
  <c r="U48" i="11"/>
  <c r="U46" i="11"/>
  <c r="R187" i="12"/>
  <c r="N2" i="27" s="1"/>
  <c r="N2" i="24"/>
  <c r="Q49" i="32"/>
  <c r="Q59" i="32" s="1"/>
  <c r="P50" i="32"/>
  <c r="P52" i="32"/>
  <c r="S148" i="12" l="1"/>
  <c r="S187" i="12"/>
  <c r="O2" i="27" s="1"/>
  <c r="P86" i="32"/>
  <c r="P85" i="32"/>
  <c r="R223" i="12"/>
  <c r="R224" i="12" s="1"/>
  <c r="P53" i="32"/>
  <c r="P62" i="32"/>
  <c r="O83" i="32"/>
  <c r="O84" i="32"/>
  <c r="V42" i="11"/>
  <c r="V48" i="11"/>
  <c r="V46" i="11"/>
  <c r="T187" i="12" s="1"/>
  <c r="P2" i="27" s="1"/>
  <c r="V40" i="11"/>
  <c r="O2" i="24"/>
  <c r="S223" i="12"/>
  <c r="S224" i="12" s="1"/>
  <c r="R49" i="32"/>
  <c r="R59" i="32" s="1"/>
  <c r="Q50" i="32"/>
  <c r="Q52" i="32"/>
  <c r="Q86" i="32" l="1"/>
  <c r="Q85" i="32"/>
  <c r="Q53" i="32"/>
  <c r="Q62" i="32"/>
  <c r="P83" i="32"/>
  <c r="P84" i="32"/>
  <c r="T148" i="12"/>
  <c r="T223" i="12" s="1"/>
  <c r="T224" i="12" s="1"/>
  <c r="W42" i="11"/>
  <c r="W48" i="11"/>
  <c r="W46" i="11"/>
  <c r="U187" i="12" s="1"/>
  <c r="Q2" i="27" s="1"/>
  <c r="W40" i="11"/>
  <c r="U148" i="12" s="1"/>
  <c r="S49" i="32"/>
  <c r="S59" i="32" s="1"/>
  <c r="R50" i="32"/>
  <c r="R52" i="32"/>
  <c r="P2" i="24" l="1"/>
  <c r="R86" i="32"/>
  <c r="R85" i="32"/>
  <c r="R53" i="32"/>
  <c r="R62" i="32"/>
  <c r="Q84" i="32"/>
  <c r="Q83" i="32"/>
  <c r="X42" i="11"/>
  <c r="X48" i="11"/>
  <c r="X40" i="11"/>
  <c r="X46" i="11"/>
  <c r="Q2" i="24"/>
  <c r="U223" i="12"/>
  <c r="U224" i="12" s="1"/>
  <c r="T49" i="32"/>
  <c r="T59" i="32" s="1"/>
  <c r="S50" i="32"/>
  <c r="S52" i="32"/>
  <c r="V187" i="12" l="1"/>
  <c r="R2" i="27" s="1"/>
  <c r="S86" i="32"/>
  <c r="S85" i="32"/>
  <c r="S53" i="32"/>
  <c r="S62" i="32"/>
  <c r="R84" i="32"/>
  <c r="R83" i="32"/>
  <c r="V148" i="12"/>
  <c r="R2" i="24" s="1"/>
  <c r="Y48" i="11"/>
  <c r="Y42" i="11"/>
  <c r="Y46" i="11"/>
  <c r="Y40" i="11"/>
  <c r="W148" i="12" s="1"/>
  <c r="V223" i="12"/>
  <c r="V224" i="12" s="1"/>
  <c r="U49" i="32"/>
  <c r="U59" i="32" s="1"/>
  <c r="T50" i="32"/>
  <c r="T52" i="32"/>
  <c r="W187" i="12" l="1"/>
  <c r="S2" i="27" s="1"/>
  <c r="T85" i="32"/>
  <c r="T86" i="32"/>
  <c r="T53" i="32"/>
  <c r="T62" i="32"/>
  <c r="S84" i="32"/>
  <c r="S83" i="32"/>
  <c r="Z42" i="11"/>
  <c r="Z48" i="11"/>
  <c r="Z46" i="11"/>
  <c r="Z40" i="11"/>
  <c r="S2" i="24"/>
  <c r="W223" i="12"/>
  <c r="W224" i="12" s="1"/>
  <c r="V49" i="32"/>
  <c r="V59" i="32" s="1"/>
  <c r="U50" i="32"/>
  <c r="U52" i="32"/>
  <c r="U85" i="32" l="1"/>
  <c r="U86" i="32"/>
  <c r="X187" i="12"/>
  <c r="T2" i="27" s="1"/>
  <c r="U53" i="32"/>
  <c r="U62" i="32"/>
  <c r="T84" i="32"/>
  <c r="T83" i="32"/>
  <c r="X148" i="12"/>
  <c r="T2" i="24" s="1"/>
  <c r="AA42" i="11"/>
  <c r="AA48" i="11"/>
  <c r="AA46" i="11"/>
  <c r="AA40" i="11"/>
  <c r="W49" i="32"/>
  <c r="W59" i="32" s="1"/>
  <c r="V50" i="32"/>
  <c r="V52" i="32"/>
  <c r="Y148" i="12" l="1"/>
  <c r="V85" i="32"/>
  <c r="V86" i="32"/>
  <c r="V53" i="32"/>
  <c r="V62" i="32"/>
  <c r="U84" i="32"/>
  <c r="U83" i="32"/>
  <c r="X223" i="12"/>
  <c r="X224" i="12" s="1"/>
  <c r="Y187" i="12"/>
  <c r="U2" i="27" s="1"/>
  <c r="AB42" i="11"/>
  <c r="AB40" i="11"/>
  <c r="Z148" i="12" s="1"/>
  <c r="AB48" i="11"/>
  <c r="AB46" i="11"/>
  <c r="U2" i="24"/>
  <c r="Y223" i="12"/>
  <c r="Y224" i="12" s="1"/>
  <c r="X49" i="32"/>
  <c r="X59" i="32" s="1"/>
  <c r="W50" i="32"/>
  <c r="W52" i="32"/>
  <c r="W85" i="32" l="1"/>
  <c r="W86" i="32"/>
  <c r="W53" i="32"/>
  <c r="W62" i="32"/>
  <c r="V84" i="32"/>
  <c r="V83" i="32"/>
  <c r="Z187" i="12"/>
  <c r="V2" i="27" s="1"/>
  <c r="AC42" i="11"/>
  <c r="AC48" i="11"/>
  <c r="AC46" i="11"/>
  <c r="AC40" i="11"/>
  <c r="AA148" i="12" s="1"/>
  <c r="V2" i="24"/>
  <c r="Z223" i="12"/>
  <c r="Z224" i="12" s="1"/>
  <c r="Y49" i="32"/>
  <c r="Y59" i="32" s="1"/>
  <c r="X50" i="32"/>
  <c r="X52" i="32"/>
  <c r="AA187" i="12" l="1"/>
  <c r="W2" i="27" s="1"/>
  <c r="X85" i="32"/>
  <c r="X86" i="32"/>
  <c r="X53" i="32"/>
  <c r="X62" i="32"/>
  <c r="W83" i="32"/>
  <c r="W84" i="32"/>
  <c r="AD42" i="11"/>
  <c r="AD48" i="11"/>
  <c r="AD40" i="11"/>
  <c r="AB148" i="12" s="1"/>
  <c r="AD46" i="11"/>
  <c r="W2" i="24"/>
  <c r="AA223" i="12"/>
  <c r="AA224" i="12" s="1"/>
  <c r="Z49" i="32"/>
  <c r="Z59" i="32" s="1"/>
  <c r="Y50" i="32"/>
  <c r="Y52" i="32"/>
  <c r="AB187" i="12" l="1"/>
  <c r="X2" i="27" s="1"/>
  <c r="Y85" i="32"/>
  <c r="Y86" i="32"/>
  <c r="Y53" i="32"/>
  <c r="Y62" i="32"/>
  <c r="X83" i="32"/>
  <c r="X84" i="32"/>
  <c r="AE48" i="11"/>
  <c r="AE40" i="11"/>
  <c r="AE46" i="11"/>
  <c r="AE42" i="11"/>
  <c r="X2" i="24"/>
  <c r="AB223" i="12"/>
  <c r="AB224" i="12" s="1"/>
  <c r="AA49" i="32"/>
  <c r="AA59" i="32" s="1"/>
  <c r="Z50" i="32"/>
  <c r="Z52" i="32"/>
  <c r="Z86" i="32" l="1"/>
  <c r="Z85" i="32"/>
  <c r="Z53" i="32"/>
  <c r="Z62" i="32"/>
  <c r="Y83" i="32"/>
  <c r="Y84" i="32"/>
  <c r="AC187" i="12"/>
  <c r="Y2" i="27" s="1"/>
  <c r="AC148" i="12"/>
  <c r="Y2" i="24" s="1"/>
  <c r="AF48" i="11"/>
  <c r="AF42" i="11"/>
  <c r="AF46" i="11"/>
  <c r="AF40" i="11"/>
  <c r="AB49" i="32"/>
  <c r="AB59" i="32" s="1"/>
  <c r="AA50" i="32"/>
  <c r="AA52" i="32"/>
  <c r="AA85" i="32" l="1"/>
  <c r="AA86" i="32"/>
  <c r="AA53" i="32"/>
  <c r="AA62" i="32"/>
  <c r="Z83" i="32"/>
  <c r="Z84" i="32"/>
  <c r="AC223" i="12"/>
  <c r="AC224" i="12" s="1"/>
  <c r="AD187" i="12"/>
  <c r="Z2" i="27" s="1"/>
  <c r="AD148" i="12"/>
  <c r="Z2" i="24" s="1"/>
  <c r="AG42" i="11"/>
  <c r="AG46" i="11"/>
  <c r="AG40" i="11"/>
  <c r="AE148" i="12" s="1"/>
  <c r="AG48" i="11"/>
  <c r="AD223" i="12"/>
  <c r="AD224" i="12" s="1"/>
  <c r="AB50" i="32"/>
  <c r="AB52" i="32"/>
  <c r="AB85" i="32" l="1"/>
  <c r="AB86" i="32"/>
  <c r="AB53" i="32"/>
  <c r="AB62" i="32"/>
  <c r="AA83" i="32"/>
  <c r="AA84" i="32"/>
  <c r="AE187" i="12"/>
  <c r="AA2" i="27" s="1"/>
  <c r="AH46" i="11"/>
  <c r="AH42" i="11"/>
  <c r="AH40" i="11"/>
  <c r="AH48" i="11"/>
  <c r="AA2" i="24"/>
  <c r="AE223" i="12"/>
  <c r="AE224" i="12" s="1"/>
  <c r="AB84" i="32" l="1"/>
  <c r="AB83" i="32"/>
  <c r="AF148" i="12"/>
  <c r="AB2" i="24" s="1"/>
  <c r="AF187" i="12"/>
  <c r="AB2" i="27" s="1"/>
  <c r="AF223" i="12" l="1"/>
  <c r="AF224" i="1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<sst xmlns="http://schemas.openxmlformats.org/spreadsheetml/2006/main" count="3702" uniqueCount="1375">
  <si>
    <t>AEO CODE</t>
  </si>
  <si>
    <t>Variables</t>
  </si>
  <si>
    <t>Combined Code</t>
  </si>
  <si>
    <t>EPS-end use</t>
  </si>
  <si>
    <t>EPS-fuel</t>
  </si>
  <si>
    <t>AEO Table 4</t>
  </si>
  <si>
    <t>Residential: Electricity: Space Heating: Alternative Electricity and Transportation</t>
  </si>
  <si>
    <t>Residential: Electricity: Space Heating: High Zero-Carbon Technology Cost</t>
  </si>
  <si>
    <t>residential</t>
  </si>
  <si>
    <t>heating</t>
  </si>
  <si>
    <t>electricity (BTU)</t>
  </si>
  <si>
    <t>Residential: Electricity: Space Cooling: Alternative Electricity and Transportation</t>
  </si>
  <si>
    <t>Residential: Electricity: Space Cooling: High Zero-Carbon Technology Cost</t>
  </si>
  <si>
    <t>cooling</t>
  </si>
  <si>
    <t>Residential: Electricity: Water Heating: Alternative Electricity and Transportation</t>
  </si>
  <si>
    <t>Residential: Electricity: Water Heating: High Zero-Carbon Technology Cost</t>
  </si>
  <si>
    <t>appliances</t>
  </si>
  <si>
    <t>Residential: Electricity: Refrigeration: Alternative Electricity and Transportation</t>
  </si>
  <si>
    <t>Residential: Electricity: Refrigeration: High Zero-Carbon Technology Cost</t>
  </si>
  <si>
    <t>Residential: Electricity: Cooking: Alternative Electricity and Transportation</t>
  </si>
  <si>
    <t>Residential: Electricity: Cooking: High Zero-Carbon Technology Cost</t>
  </si>
  <si>
    <t>Residential: Electricity: Clothes Dryers: Alternative Electricity and Transportation</t>
  </si>
  <si>
    <t>Residential: Electricity: Clothes Dryers: High Zero-Carbon Technology Cost</t>
  </si>
  <si>
    <t>Residential: Electricity: Freezers: Alternative Electricity and Transportation</t>
  </si>
  <si>
    <t>Residential: Electricity: Freezers: High Zero-Carbon Technology Cost</t>
  </si>
  <si>
    <t>Residential: Electricity: Lighting: Alternative Electricity and Transportation</t>
  </si>
  <si>
    <t>Residential: Electricity: Lighting: High Zero-Carbon Technology Cost</t>
  </si>
  <si>
    <t>lighting</t>
  </si>
  <si>
    <t>Residential: Electricity: Clothes Washers: Alternative Electricity and Transportation</t>
  </si>
  <si>
    <t>Residential: Electricity: Clothes Washers: High Zero-Carbon Technology Cost</t>
  </si>
  <si>
    <t>Residential: Electricity: Dishwashers: Alternative Electricity and Transportation</t>
  </si>
  <si>
    <t>Residential: Electricity: Dishwashers: High Zero-Carbon Technology Cost</t>
  </si>
  <si>
    <t>Residential: Electricity: Televisions: Alternative Electricity and Transportation</t>
  </si>
  <si>
    <t>Residential: Electricity: Televisions: High Zero-Carbon Technology Cost</t>
  </si>
  <si>
    <t>other</t>
  </si>
  <si>
    <t>Residential: Electricity: Computers: Alternative Electricity and Transportation</t>
  </si>
  <si>
    <t>Residential: Electricity: Computers: High Zero-Carbon Technology Cost</t>
  </si>
  <si>
    <t>Residential: Electricity: Fans and Pumps: Alternative Electricity and Transportation</t>
  </si>
  <si>
    <t>Residential: Electricity: Fans and Pumps: High Zero-Carbon Technology Cost</t>
  </si>
  <si>
    <t>Residential: Electricity: Other Uses: Alternative Electricity and Transportation</t>
  </si>
  <si>
    <t>Residential: Electricity: Other Uses: High Zero-Carbon Technology Cost</t>
  </si>
  <si>
    <t>Residential: Electricity: Gross End-use Electricity Consumption: Alternative Electricity and Transportation</t>
  </si>
  <si>
    <t>Residential: Electricity: Gross End-use Electricity Consumption: High Zero-Carbon Technology Cost</t>
  </si>
  <si>
    <t>total</t>
  </si>
  <si>
    <t>Residential: Electricity: Purchased Electricity for EV Charging: Alternative Electricity and Transportation</t>
  </si>
  <si>
    <t>Residential: Electricity: Purchased Electricity for EV Charging: High Zero-Carbon Technology Cost</t>
  </si>
  <si>
    <t>NA</t>
  </si>
  <si>
    <t>Residential: Electricity: Generation for Own Use: Alternative Electricity and Transportation</t>
  </si>
  <si>
    <t>Residential: Electricity: Generation for Own Use: High Zero-Carbon Technology Cost</t>
  </si>
  <si>
    <t>Residential: Electricity: Purchased Electricity at Residential Location: Alternative Electricity and Transportation</t>
  </si>
  <si>
    <t>Residential: Electricity: Purchased Electricity at Residential Location: High Zero-Carbon Technology Cost</t>
  </si>
  <si>
    <t>Residential: Natural Gas: Space Heating: Alternative Electricity and Transportation</t>
  </si>
  <si>
    <t>Residential: Natural Gas: Space Heating: High Zero-Carbon Technology Cost</t>
  </si>
  <si>
    <t>natural gas (BTU)</t>
  </si>
  <si>
    <t>Residential: Natural Gas: Space Cooling: Alternative Electricity and Transportation</t>
  </si>
  <si>
    <t>Residential: Natural Gas: Space Cooling: High Zero-Carbon Technology Cost</t>
  </si>
  <si>
    <t>Residential: Natural Gas: Water Heating: Alternative Electricity and Transportation</t>
  </si>
  <si>
    <t>Residential: Natural Gas: Water Heating: High Zero-Carbon Technology Cost</t>
  </si>
  <si>
    <t>Residential: Natural Gas: Cooking: Alternative Electricity and Transportation</t>
  </si>
  <si>
    <t>Residential: Natural Gas: Cooking: High Zero-Carbon Technology Cost</t>
  </si>
  <si>
    <t>Residential: Natural Gas: Clothes Dryers: Alternative Electricity and Transportation</t>
  </si>
  <si>
    <t>Residential: Natural Gas: Clothes Dryers: High Zero-Carbon Technology Cost</t>
  </si>
  <si>
    <t>Residential: Natural Gas: Other Uses: Alternative Electricity and Transportation</t>
  </si>
  <si>
    <t>Residential: Natural Gas: Other Uses: High Zero-Carbon Technology Cost</t>
  </si>
  <si>
    <t>Residential: Natural Gas: Delivered Energy: Alternative Electricity and Transportation</t>
  </si>
  <si>
    <t>Residential: Natural Gas: Delivered Energy: High Zero-Carbon Technology Cost</t>
  </si>
  <si>
    <t>Residential: Distillate Fuel Oil: Space Heating: Alternative Electricity and Transportation</t>
  </si>
  <si>
    <t>Residential: Distillate Fuel Oil: Space Heating: High Zero-Carbon Technology Cost</t>
  </si>
  <si>
    <t>petroleum diesel (BTU)</t>
  </si>
  <si>
    <t>Residential: Distillate Fuel Oil: Water Heating: Alternative Electricity and Transportation</t>
  </si>
  <si>
    <t>Residential: Distillate Fuel Oil: Water Heating: High Zero-Carbon Technology Cost</t>
  </si>
  <si>
    <t>Residential: Distillate Fuel Oil: Other Uses: Alternative Electricity and Transportation</t>
  </si>
  <si>
    <t>Residential: Distillate Fuel Oil: Other Uses: High Zero-Carbon Technology Cost</t>
  </si>
  <si>
    <t>Residential: Distillate Fuel Oil: Delivered Energy: Alternative Electricity and Transportation</t>
  </si>
  <si>
    <t>Residential: Distillate Fuel Oil: Delivered Energy: High Zero-Carbon Technology Cost</t>
  </si>
  <si>
    <t>Residential: Propane: Space Heating: Alternative Electricity and Transportation</t>
  </si>
  <si>
    <t>Residential: Propane: Space Heating: High Zero-Carbon Technology Cost</t>
  </si>
  <si>
    <t>LPG propane or butane (BTU)</t>
  </si>
  <si>
    <t>Residential: Propane: Water Heating: Alternative Electricity and Transportation</t>
  </si>
  <si>
    <t>Residential: Propane: Water Heating: High Zero-Carbon Technology Cost</t>
  </si>
  <si>
    <t>Residential: Propane: Cooking: Alternative Electricity and Transportation</t>
  </si>
  <si>
    <t>Residential: Propane: Cooking: High Zero-Carbon Technology Cost</t>
  </si>
  <si>
    <t>Residential: Propane: Other Uses: Alternative Electricity and Transportation</t>
  </si>
  <si>
    <t>Residential: Propane: Other Uses: High Zero-Carbon Technology Cost</t>
  </si>
  <si>
    <t>Residential: Propane: Delivered Energy: Alternative Electricity and Transportation</t>
  </si>
  <si>
    <t>Residential: Propane: Delivered Energy: High Zero-Carbon Technology Cost</t>
  </si>
  <si>
    <t>Residential: Marketed Renewables (wood): Alternative Electricity and Transportation</t>
  </si>
  <si>
    <t>Residential: Marketed Renewables (wood): High Zero-Carbon Technology Cost</t>
  </si>
  <si>
    <t>biomass (BTU)</t>
  </si>
  <si>
    <t>AEO Table 5</t>
  </si>
  <si>
    <t>Commercial: Purchased Electricity: Space Heating: Alternative Electricity and Transportation</t>
  </si>
  <si>
    <t>Commercial: Purchased Electricity: Space Heating: High Zero-Carbon Technology Cost</t>
  </si>
  <si>
    <t>commercial</t>
  </si>
  <si>
    <t>Commercial: Purchased Electricity: Space Cooling: Alternative Electricity and Transportation</t>
  </si>
  <si>
    <t>Commercial: Purchased Electricity: Space Cooling: High Zero-Carbon Technology Cost</t>
  </si>
  <si>
    <t>Commercial: Purchased Electricity: Water Heating: Alternative Electricity and Transportation</t>
  </si>
  <si>
    <t>Commercial: Purchased Electricity: Water Heating: High Zero-Carbon Technology Cost</t>
  </si>
  <si>
    <t>Commercial: Purchased Electricity: Ventilation: Alternative Electricity and Transportation</t>
  </si>
  <si>
    <t>Commercial: Purchased Electricity: Ventilation: High Zero-Carbon Technology Cost</t>
  </si>
  <si>
    <t>Commercial: Purchased Electricity: Cooking: Alternative Electricity and Transportation</t>
  </si>
  <si>
    <t>Commercial: Purchased Electricity: Cooking: High Zero-Carbon Technology Cost</t>
  </si>
  <si>
    <t>Commercial: Purchased Electricity: Lighting: Alternative Electricity and Transportation</t>
  </si>
  <si>
    <t>Commercial: Purchased Electricity: Lighting: High Zero-Carbon Technology Cost</t>
  </si>
  <si>
    <t>Commercial: Purchased Electricity: Refrigeration: Alternative Electricity and Transportation</t>
  </si>
  <si>
    <t>Commercial: Purchased Electricity: Refrigeration: High Zero-Carbon Technology Cost</t>
  </si>
  <si>
    <t>Commercial: Purchased Electricity: Computers and Office Equipment: Alternative Electricity and Transportation</t>
  </si>
  <si>
    <t>Commercial: Purchased Electricity: Computing: High Zero-Carbon Technology Cost</t>
  </si>
  <si>
    <t>Commercial: Purchased Electricity: Office Equipment: High Zero-Carbon Technology Cost</t>
  </si>
  <si>
    <t>Commercial: Purchased Electricity: Other Uses: Alternative Electricity and Transportation</t>
  </si>
  <si>
    <t>Commercial: Purchased Electricity: Other Uses: High Zero-Carbon Technology Cost</t>
  </si>
  <si>
    <t>Commercial: Energy Consumption by Fuel: Electricity Subtotal: Alternative Electricity and Transportation</t>
  </si>
  <si>
    <t>Commercial: Energy Consumption by Fuel: Electricity Subtotal: High Zero-Carbon Technology Cost</t>
  </si>
  <si>
    <t>Commercial: Energy Consumption by Fuel: Purchased Electricity for EV Charging: Alternative Electricity and Transportation</t>
  </si>
  <si>
    <t>Commercial: Energy Consumption by Fuel: Purchased Electricity for EV Charging: High Zero-Carbon Technology Cost</t>
  </si>
  <si>
    <t>Commercial: Energy Consumption by Fuel: Generation for Own Use: Alternative Electricity and Transportation</t>
  </si>
  <si>
    <t>Commercial: Energy Consumption by Fuel: Generation for Own Use: High Zero-Carbon Technology Cost</t>
  </si>
  <si>
    <t>Commercial: Energy Consumption by Fuel: Purchased Electricity: Alternative Electricity and Transportation</t>
  </si>
  <si>
    <t>Commercial: Energy Consumption by Fuel: Purchased Electricity: High Zero-Carbon Technology Cost</t>
  </si>
  <si>
    <t>Commercial: Natural Gas: Space Heating: Alternative Electricity and Transportation</t>
  </si>
  <si>
    <t>Commercial: Natural Gas: Space Heating: High Zero-Carbon Technology Cost</t>
  </si>
  <si>
    <t>Commercial: Natural Gas: Space Cooling: Alternative Electricity and Transportation</t>
  </si>
  <si>
    <t>Commercial: Natural Gas: Space Cooling: High Zero-Carbon Technology Cost</t>
  </si>
  <si>
    <t>Commercial: Natural Gas: Water Heating: Alternative Electricity and Transportation</t>
  </si>
  <si>
    <t>Commercial: Natural Gas: Water Heating: High Zero-Carbon Technology Cost</t>
  </si>
  <si>
    <t>Commercial: Natural Gas: Cooking: Alternative Electricity and Transportation</t>
  </si>
  <si>
    <t>Commercial: Natural Gas: Cooking: High Zero-Carbon Technology Cost</t>
  </si>
  <si>
    <t>Commercial: Natural Gas: Other Uses: Alternative Electricity and Transportation</t>
  </si>
  <si>
    <t>Commercial: Natural Gas: Other Uses: High Zero-Carbon Technology Cost</t>
  </si>
  <si>
    <t>Commercial: Natural Gas: Delivered Energy: Alternative Electricity and Transportation</t>
  </si>
  <si>
    <t>Commercial: Natural Gas: Delivered Energy: High Zero-Carbon Technology Cost</t>
  </si>
  <si>
    <t>Commercial: Distillate Fuel Oil: Space Heating: Alternative Electricity and Transportation</t>
  </si>
  <si>
    <t>Commercial: Distillate Fuel Oil: Space Heating: High Zero-Carbon Technology Cost</t>
  </si>
  <si>
    <t>Commercial: Distillate Fuel Oil: Water Heating: Alternative Electricity and Transportation</t>
  </si>
  <si>
    <t>Commercial: Distillate Fuel Oil: Water Heating: High Zero-Carbon Technology Cost</t>
  </si>
  <si>
    <t>Commercial: Distillate Fuel Oil: Other Uses: Alternative Electricity and Transportation</t>
  </si>
  <si>
    <t>Commercial: Distillate Fuel Oil: Other Uses: High Zero-Carbon Technology Cost</t>
  </si>
  <si>
    <t>Commercial: Distillate Fuel Oil: Delivered Energy: Alternative Electricity and Transportation</t>
  </si>
  <si>
    <t>Commercial: Distillate Fuel Oil: Delivered Energy: High Zero-Carbon Technology Cost</t>
  </si>
  <si>
    <t>Commercial: Marketed Renewables (biomass): Alternative Electricity and Transportation</t>
  </si>
  <si>
    <t>Commercial: Marketed Renewables (biomass): High Zero-Carbon Technology Cost</t>
  </si>
  <si>
    <t>Commercial: Other Fuels: Alternative Electricity and Transportation</t>
  </si>
  <si>
    <t>Commercial: Other Fuels: High Zero-Carbon Technology Cost</t>
  </si>
  <si>
    <t>BCEU BAU Components Energy Use</t>
  </si>
  <si>
    <t>Sources:</t>
  </si>
  <si>
    <t>Residential</t>
  </si>
  <si>
    <t>U.S. Energy Information Administration</t>
  </si>
  <si>
    <t>https://www.eia.gov/outlooks/aeo/tables_side_xls.php</t>
  </si>
  <si>
    <t>Commercial</t>
  </si>
  <si>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</si>
  <si>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</si>
  <si>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</si>
  <si>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</si>
  <si>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</si>
  <si>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</si>
  <si>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Historic Data Center Demand</t>
  </si>
  <si>
    <t>EPRI</t>
  </si>
  <si>
    <t>Powering Intelligence 2026</t>
  </si>
  <si>
    <t>https://powering-intelligence.epri.com/</t>
  </si>
  <si>
    <t>U.S. National data download</t>
  </si>
  <si>
    <t>Notes:</t>
  </si>
  <si>
    <t>Notes on Component Categorization</t>
  </si>
  <si>
    <t>Water heaters are categorized as appliances, not as part of the "heating"</t>
  </si>
  <si>
    <t>component.  The "heating" component refers to heating of air and is affected by</t>
  </si>
  <si>
    <t>the building envelope, whereas appliances are not affected by envelope.</t>
  </si>
  <si>
    <t>The two plug load categories ("televisions and related equipment" and</t>
  </si>
  <si>
    <t>"computers and related equipment" in Table 4, "office equipment (PC)" and</t>
  </si>
  <si>
    <t>office equipment (non-PC)" in Table 5) are assigned to the</t>
  </si>
  <si>
    <t>"other component" category, not to appliances.</t>
  </si>
  <si>
    <t>Notes on Coal</t>
  </si>
  <si>
    <t>The AEO tables do not include a breakdown of coal or where it is used.</t>
  </si>
  <si>
    <t>Table 5 (commercial buildings), footnote 5 indicates that "other fuels" includes</t>
  </si>
  <si>
    <t>coal (as well as residual fuel oil, propane, motor gasoline, and kerosene).</t>
  </si>
  <si>
    <t>Accordingly, we make the following assumptions based on comparing emissions</t>
  </si>
  <si>
    <t>Coal is only used in commercial buildings.</t>
  </si>
  <si>
    <t>Coal is only used for "other components" (not heating, lighting, etc.)</t>
  </si>
  <si>
    <t>Coal composes the following fraction of "other fuels":</t>
  </si>
  <si>
    <t>Remainng "other fuels" are LPG/propane/butane</t>
  </si>
  <si>
    <t>Note on Envelope</t>
  </si>
  <si>
    <t>Envelope does not use energy itself, so it must always have zero in this variable.  We export</t>
  </si>
  <si>
    <t>only one envelope CSV file, which is read by all building types.  (We need to export a CSV</t>
  </si>
  <si>
    <t>file for envelope, instead of hard-coding the zero value in Vensim, because Vensim's VDF2TAB</t>
  </si>
  <si>
    <t>export function inserts extra "Time" rows for variables of mixed type - data for some</t>
  </si>
  <si>
    <t>subscript elements, constand for others - and we wish to avoid extra time rows when</t>
  </si>
  <si>
    <t>VDF2TAB is used on BCEU BAU Components Energy Use.)</t>
  </si>
  <si>
    <t>The 'Crosswalk AEO to EPS Summary' tab summarizes relevant AEO data and tags it with EPS categories. The 'Calculations' tab organizes the AEO data and makes a few adjustments.</t>
  </si>
  <si>
    <t>Notes on commercial electricity other</t>
  </si>
  <si>
    <t>Commercial electricity consumption includes electricity used for water and waste facilities. In the EPS model, these are included in the industrial fuel use. To avoid double counting, we removed water and waste electricity consumption from commercial-other.</t>
  </si>
  <si>
    <t>Notes on data centers</t>
  </si>
  <si>
    <t>Units:</t>
  </si>
  <si>
    <t>Urban/Rural Residential Split</t>
  </si>
  <si>
    <t>Urban</t>
  </si>
  <si>
    <t>Rural</t>
  </si>
  <si>
    <t>Quadrillion</t>
  </si>
  <si>
    <t>quad to TWh</t>
  </si>
  <si>
    <t>Preliminary data release date: March 2022</t>
  </si>
  <si>
    <t>Table HC2.1  Structural and geographic characteristics of U.S. homes, by housing unit type, 2020</t>
  </si>
  <si>
    <t>Number of housing units (million)</t>
  </si>
  <si>
    <t>Housing unit type</t>
  </si>
  <si>
    <t>Total U.S.a</t>
  </si>
  <si>
    <t>Single-family detached</t>
  </si>
  <si>
    <t>Single-family attached</t>
  </si>
  <si>
    <t>Apartments 
(2–4 unit building)</t>
  </si>
  <si>
    <t>Apartments
(5 or more unit building)</t>
  </si>
  <si>
    <t>Mobile home</t>
  </si>
  <si>
    <t>All homes</t>
  </si>
  <si>
    <t>Census region and division</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</si>
  <si>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</si>
  <si>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</si>
  <si>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</si>
  <si>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</si>
  <si>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</si>
  <si>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</si>
  <si>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</si>
  <si>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</si>
  <si>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</si>
  <si>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</si>
  <si>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</si>
  <si>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</si>
  <si>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</si>
  <si>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</si>
  <si>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</si>
  <si>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t>Census urban-rural classificationb</t>
  </si>
  <si>
    <t>Urbanized area</t>
  </si>
  <si>
    <t>Urban cluster</t>
  </si>
  <si>
    <t>Climate regionc</t>
  </si>
  <si>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</si>
  <si>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</si>
  <si>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</si>
  <si>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</si>
  <si>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</si>
  <si>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</si>
  <si>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</si>
  <si>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</si>
  <si>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</si>
  <si>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</si>
  <si>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</si>
  <si>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</si>
  <si>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</si>
  <si>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</si>
  <si>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</si>
  <si>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</si>
  <si>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</si>
  <si>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</si>
  <si>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</si>
  <si>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</si>
  <si>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</si>
  <si>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</si>
  <si>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</si>
  <si>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</si>
  <si>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</si>
  <si>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</si>
  <si>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</si>
  <si>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</si>
  <si>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</si>
  <si>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</si>
  <si>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</si>
  <si>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</si>
  <si>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</si>
  <si>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</si>
  <si>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</si>
  <si>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</si>
  <si>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</si>
  <si>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</si>
  <si>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</si>
  <si>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</si>
  <si>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</si>
  <si>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</si>
  <si>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</si>
  <si>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</si>
  <si>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</si>
  <si>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</si>
  <si>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</si>
  <si>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</si>
  <si>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</si>
  <si>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</si>
  <si>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</si>
  <si>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</si>
  <si>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</si>
  <si>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</si>
  <si>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</si>
  <si>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</si>
  <si>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</si>
  <si>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</si>
  <si>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</si>
  <si>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</si>
  <si>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</si>
  <si>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</si>
  <si>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</si>
  <si>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</si>
  <si>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</si>
  <si>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</si>
  <si>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</si>
  <si>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</si>
  <si>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</si>
  <si>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</si>
  <si>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</si>
  <si>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</si>
  <si>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</si>
  <si>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</si>
  <si>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</si>
  <si>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</si>
  <si>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</si>
  <si>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</si>
  <si>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</si>
  <si>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</si>
  <si>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</si>
  <si>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</si>
  <si>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</si>
  <si>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</si>
  <si>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</si>
  <si>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</si>
  <si>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</si>
  <si>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</si>
  <si>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</si>
  <si>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</si>
  <si>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</si>
  <si>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</si>
  <si>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</si>
  <si>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</si>
  <si>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</si>
  <si>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</si>
  <si>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</si>
  <si>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</si>
  <si>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</si>
  <si>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</si>
  <si>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</si>
  <si>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</si>
  <si>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</si>
  <si>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</si>
  <si>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</si>
  <si>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</si>
  <si>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</si>
  <si>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</si>
  <si>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</si>
  <si>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</si>
  <si>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</si>
  <si>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</si>
  <si>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</si>
  <si>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</si>
  <si>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</si>
  <si>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</si>
  <si>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</si>
  <si>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</si>
  <si>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</si>
  <si>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</si>
  <si>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</si>
  <si>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</si>
  <si>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</si>
  <si>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</si>
  <si>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</si>
  <si>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</si>
  <si>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t>Source: U.S. Energy Information Administration, Office of Energy Demand and Integrated Statistics, Form EIA-457A of the 2020 Residential Energy Consumption Survey
Notes:  Because of rounding, data may not sum to totals.  See RECS Terminology for definition of terms used in these tables.
a Total U.S. includes all primary occupied housing units in the 50 states and the District of Columbia. Vacant housing units, seasonal units, second homes, military houses, and group quarters are excluded.
b 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c 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</si>
  <si>
    <t>Table 4.  Residential Sector Key Indicators and Consumption</t>
  </si>
  <si>
    <t>https://www.eia.gov/outlooks/aeo/data/browser/#/?id=4-AEO2025&amp;cases=highZTC&amp;sourcekey=0</t>
  </si>
  <si>
    <t>Tue Dec 02 2025 13:13:01 GMT-0800 (Pacific Standard Time)</t>
  </si>
  <si>
    <t>Source: U.S. Energy Information Administration</t>
  </si>
  <si>
    <t>full name</t>
  </si>
  <si>
    <t>api key</t>
  </si>
  <si>
    <t>units</t>
  </si>
  <si>
    <t>Growth (2024-2050)</t>
  </si>
  <si>
    <t>Key Indicators</t>
  </si>
  <si>
    <t>Households (millions)</t>
  </si>
  <si>
    <t>Single-Family</t>
  </si>
  <si>
    <t>Residential: Key Indicators: Households: Single-Family: High Zero-Carbon Technology Cost</t>
  </si>
  <si>
    <t>AEO.2025.HIGHZTC.KEI_HHD_RESD_SFR_NA_NA_USA_MILL.A</t>
  </si>
  <si>
    <t>millions</t>
  </si>
  <si>
    <t>Multifamily</t>
  </si>
  <si>
    <t>Residential: Key Indicators: Households: Multifamily: High Zero-Carbon Technology Cost</t>
  </si>
  <si>
    <t>AEO.2025.HIGHZTC.KEI_HHD_RESD_MFR_NA_NA_USA_MILL.A</t>
  </si>
  <si>
    <t>Mobile Homes</t>
  </si>
  <si>
    <t>Residential: Key Indicators: Households: Mobile Homes: High Zero-Carbon Technology Cost</t>
  </si>
  <si>
    <t>AEO.2025.HIGHZTC.KEI_HHD_RESD_MBH_NA_NA_USA_MILL.A</t>
  </si>
  <si>
    <t>Total</t>
  </si>
  <si>
    <t>Residential: Key Indicators: Households: Total: High Zero-Carbon Technology Cost</t>
  </si>
  <si>
    <t>AEO.2025.HIGHZTC.KEI_HHD_RESD_TEN_NA_NA_USA_MILL.A</t>
  </si>
  <si>
    <t>Average House Square Footage</t>
  </si>
  <si>
    <t>Residential: Key Indicators: Average House Square Footage: High Zero-Carbon Technology Cost</t>
  </si>
  <si>
    <t>AEO.2025.HIGHZTC.KEI_HHD_RESD_NA_NA_NA_USA_SQFT.A</t>
  </si>
  <si>
    <t>sq ft</t>
  </si>
  <si>
    <t>Energy Intensity</t>
  </si>
  <si>
    <t>(MMBtu per household)</t>
  </si>
  <si>
    <t>Gross End-use Consumption</t>
  </si>
  <si>
    <t>Residential: Household Energy Intensity: Gross End-use Consumption: High Zero-Carbon Technology Cost</t>
  </si>
  <si>
    <t>AEO.2025.HIGHZTC.INY_HHD_RESD_DELE_NA_NA_USA_MILLBTUPHOSD.A</t>
  </si>
  <si>
    <t>MMBtu/household</t>
  </si>
  <si>
    <t>Delivered Energy Consumption</t>
  </si>
  <si>
    <t>Residential: Household Energy Intensity: Delivered Energy Consumption: High Zero-Carbon Technology Cost</t>
  </si>
  <si>
    <t>AEO.2025.HIGHZTC.INY_HHD_RESD_TEN_NA_NA_USA_MILLBTUPHOSD.A</t>
  </si>
  <si>
    <t>(thousand Btu per square foot)</t>
  </si>
  <si>
    <t>Residential: Energy Intensity per Square Foot: Gross End-use Consumption: High Zero-Carbon Technology Cost</t>
  </si>
  <si>
    <t>AEO.2025.HIGHZTC.INY_HHD_RESD_DELE_NA_NA_USA_THBTUPSQFT.A</t>
  </si>
  <si>
    <t>thousand Btu/sq ft</t>
  </si>
  <si>
    <t>Residential: Energy Intensity per Square Foot: Delivered Energy Consumption: High Zero-Carbon Technology Cost</t>
  </si>
  <si>
    <t>AEO.2025.HIGHZTC.INY_HHD_RESD_TEN_NA_NA_USA_THBTUPSQFT.A</t>
  </si>
  <si>
    <t>Energy Consumption by Fuel</t>
  </si>
  <si>
    <t>Space Heating</t>
  </si>
  <si>
    <t>AEO.2025.HIGHZTC.CNSM_HHD_RESD_SPH_ELC_NA_USA_QBTU.A</t>
  </si>
  <si>
    <t>quads</t>
  </si>
  <si>
    <t>Space Cooling</t>
  </si>
  <si>
    <t>AEO.2025.HIGHZTC.CNSM_NA_RESD_SPC_ELC_NA_USA_QBTU.A</t>
  </si>
  <si>
    <t>Water Heating</t>
  </si>
  <si>
    <t>AEO.2025.HIGHZTC.CNSM_NA_RESD_WTHT_ELC_NA_USA_QBTU.A</t>
  </si>
  <si>
    <t>Refrigeration</t>
  </si>
  <si>
    <t>AEO.2025.HIGHZTC.CNSM_NA_RESD_REFR_ELC_NA_USA_QBTU.A</t>
  </si>
  <si>
    <t>Cooking</t>
  </si>
  <si>
    <t>AEO.2025.HIGHZTC.CNSM_NA_RESD_CGR_ELC_NA_USA_QBTU.A</t>
  </si>
  <si>
    <t>Clothes Dryers</t>
  </si>
  <si>
    <t>AEO.2025.HIGHZTC.CNSM_NA_RESD_CDR_ELC_NA_USA_QBTU.A</t>
  </si>
  <si>
    <t>Freezers</t>
  </si>
  <si>
    <t>AEO.2025.HIGHZTC.CNSM_NA_RESD_FRZ_ELC_NA_USA_QBTU.A</t>
  </si>
  <si>
    <t>Lighting</t>
  </si>
  <si>
    <t>AEO.2025.HIGHZTC.CNSM_NA_RESD_LGHTNG_ELC_NA_USA_QBTU.A</t>
  </si>
  <si>
    <t>Clothes Washers</t>
  </si>
  <si>
    <t>AEO.2025.HIGHZTC.CNSM_NA_RESD_CLW_ELC_NA_USA_QBTU.A</t>
  </si>
  <si>
    <t>Dishwashers</t>
  </si>
  <si>
    <t>AEO.2025.HIGHZTC.CNSM_NA_RESD_DSW_ELC_NA_USA_QBTU.A</t>
  </si>
  <si>
    <t>Televisions and Related Equipment</t>
  </si>
  <si>
    <t>AEO.2025.HIGHZTC.CNSM_NA_RESD_TVR_ELC_NA_USA_QBTU.A</t>
  </si>
  <si>
    <t>Computers and Related Equipment</t>
  </si>
  <si>
    <t>AEO.2025.HIGHZTC.CNSM_NA_RESD_CMPR_ELC_NA_USA_QBTU.A</t>
  </si>
  <si>
    <t>Furnace Fans and Boiler Circulation Pumps</t>
  </si>
  <si>
    <t>AEO.2025.HIGHZTC.CNSM_NA_RESD_FPR_ELC_NA_USA_QBTU.A</t>
  </si>
  <si>
    <t>Other Uses</t>
  </si>
  <si>
    <t>AEO.2025.HIGHZTC.CNSM_NA_RESD_OTHU_ELC_NA_USA_QBTU.A</t>
  </si>
  <si>
    <t>Gross End-use Electricity Consumption</t>
  </si>
  <si>
    <t>AEO.2025.HIGHZTC.CNSM_NA_RESD_DELE_ELC_NA_USA_QBTU.A</t>
  </si>
  <si>
    <t>Purchased Electricity for Electric Vehicle Charging</t>
  </si>
  <si>
    <t>AEO.2025.HIGHZTC.CNSM_NA_RESD_EVCHRING_ELC_NA_USA_QBTU.A</t>
  </si>
  <si>
    <t>On-site Generation for Own Use</t>
  </si>
  <si>
    <t>AEO.2025.HIGHZTC.GEN_NA_RESD_GFO_ELC_NA_USA_QBTU.A</t>
  </si>
  <si>
    <t>Purchased Electricity at Residential Location</t>
  </si>
  <si>
    <t>AEO.2025.HIGHZTC.CNSM_NA_RESD_PURCHELEC_ELC_NA_USA_QBTU.A</t>
  </si>
  <si>
    <t>Natural Gas</t>
  </si>
  <si>
    <t>AEO.2025.HIGHZTC.CNSM_NA_RESD_SPH_NG_NA_USA_QBTU.A</t>
  </si>
  <si>
    <t>AEO.2025.HIGHZTC.CNSM_NA_RESD_SPC_NG_NA_USA_QBTU.A</t>
  </si>
  <si>
    <t>AEO.2025.HIGHZTC.CNSM_NA_RESD_WTHT_NG_NA_USA_QBTU.A</t>
  </si>
  <si>
    <t>AEO.2025.HIGHZTC.CNSM_NA_RESD_CGR_NG_NA_USA_QBTU.A</t>
  </si>
  <si>
    <t>AEO.2025.HIGHZTC.CNSM_NA_RESD_CDR_NG_NA_USA_QBTU.A</t>
  </si>
  <si>
    <t>AEO.2025.HIGHZTC.CNSM_NA_RESD_OTHU_NG_NA_USA_QBTU.A</t>
  </si>
  <si>
    <t>Delivered Energy</t>
  </si>
  <si>
    <t>AEO.2025.HIGHZTC.CNSM_NA_RESD_DELE_NG_NA_USA_QBTU.A</t>
  </si>
  <si>
    <t>Distillate Fuel Oil</t>
  </si>
  <si>
    <t>AEO.2025.HIGHZTC.CNSM_NA_RESD_SPH_DFO_NA_USA_QBTU.A</t>
  </si>
  <si>
    <t>AEO.2025.HIGHZTC.CNSM_NA_RESD_WTHT_DFO_NA_USA_QBTU.A</t>
  </si>
  <si>
    <t>AEO.2025.HIGHZTC.CNSM_NA_RESD_OTHU_DFO_NA_USA_QBTU.A</t>
  </si>
  <si>
    <t>AEO.2025.HIGHZTC.CNSM_NA_RESD_NA_DFO_NA_USA_QBTU.A</t>
  </si>
  <si>
    <t>AEO.2025.HIGHZTC.CNSM_NA_RESD_SPH_PROP_NA_USA_QBTU.A</t>
  </si>
  <si>
    <t>AEO.2025.HIGHZTC.CNSM_NA_RESD_WTHT_PROP_NA_USA_QBTU.A</t>
  </si>
  <si>
    <t>AEO.2025.HIGHZTC.CNSM_NA_RESD_CGR_PROP_NA_USA_QBTU.A</t>
  </si>
  <si>
    <t>AEO.2025.HIGHZTC.CNSM_NA_RESD_OTHU_PROP_NA_USA_QBTU.A</t>
  </si>
  <si>
    <t>AEO.2025.HIGHZTC.CNSM_NA_RESD_DELE_PROP_NA_USA_QBTU.A</t>
  </si>
  <si>
    <t>Marketed Renewables (wood)</t>
  </si>
  <si>
    <t>AEO.2025.HIGHZTC.CNSM_NA_RESD_NA_MRW_NA_USA_QBTU.A</t>
  </si>
  <si>
    <t>Energy Consumption by End Use</t>
  </si>
  <si>
    <t>Residential: Delivered Energy Use by End Use: Space Heating: High Zero-Carbon Technology Cost</t>
  </si>
  <si>
    <t>AEO.2025.HIGHZTC.CNSM_NA_RESD_SPH_DEE_NA_USA_QBTU.A</t>
  </si>
  <si>
    <t>Residential: Delivered Energy Use by End Use: Space Cooling: High Zero-Carbon Technology Cost</t>
  </si>
  <si>
    <t>AEO.2025.HIGHZTC.CNSM_NA_RESD_SPC_DEE_NA_USA_QBTU.A</t>
  </si>
  <si>
    <t>Residential: Delivered Energy Use by End Use: Water Heating: High Zero-Carbon Technology Cost</t>
  </si>
  <si>
    <t>AEO.2025.HIGHZTC.CNSM_NA_RESD_WTHT_DEE_NA_USA_QBTU.A</t>
  </si>
  <si>
    <t>Residential: Delivered Energy Use by End Use: Refrigeration: High Zero-Carbon Technology Cost</t>
  </si>
  <si>
    <t>AEO.2025.HIGHZTC.CNSM_NA_RESD_REFR_DEE_NA_USA_QBTU.A</t>
  </si>
  <si>
    <t>Residential: Delivered Energy Use by End Use: Cooking: High Zero-Carbon Technology Cost</t>
  </si>
  <si>
    <t>AEO.2025.HIGHZTC.CNSM_NA_RESD_CGR_DEE_NA_USA_QBTU.A</t>
  </si>
  <si>
    <t>Residential: Delivered Energy Use by End Use: Clothes Dryers: High Zero-Carbon Technology Cost</t>
  </si>
  <si>
    <t>AEO.2025.HIGHZTC.CNSM_NA_RESD_CDR_DEE_NA_USA_QBTU.A</t>
  </si>
  <si>
    <t>Residential: Delivered Energy Use by End Use: Freezers: High Zero-Carbon Technology Cost</t>
  </si>
  <si>
    <t>AEO.2025.HIGHZTC.CNSM_NA_RESD_FRZ_DEE_NA_USA_QBTU.A</t>
  </si>
  <si>
    <t>Residential: Delivered Energy Use by End Use: Lighting: High Zero-Carbon Technology Cost</t>
  </si>
  <si>
    <t>AEO.2025.HIGHZTC.CNSM_NA_RESD_LGHTNG_DEE_NA_USA_QBTU.A</t>
  </si>
  <si>
    <t>Residential: Delivered Energy Use by End Use: Clothes Washers: High Zero-Carbon Technology Cost</t>
  </si>
  <si>
    <t>AEO.2025.HIGHZTC.CNSM_NA_RESD_CLW_DEE_NA_USA_QBTU.A</t>
  </si>
  <si>
    <t>Residential: Delivered Energy Use by End Use: Dishwashers: High Zero-Carbon Technology Cost</t>
  </si>
  <si>
    <t>AEO.2025.HIGHZTC.CNSM_NA_RESD_DSW_DEE_NA_USA_QBTU.A</t>
  </si>
  <si>
    <t>Residential: Delivered Energy Use by End Use: Televisions: High Zero-Carbon Technology Cost</t>
  </si>
  <si>
    <t>AEO.2025.HIGHZTC.CNSM_NA_RESD_TVR_DEE_NA_USA_QBTU.A</t>
  </si>
  <si>
    <t>Residential: Delivered Energy Use by End Use: Computers: High Zero-Carbon Technology Cost</t>
  </si>
  <si>
    <t>AEO.2025.HIGHZTC.CNSM_NA_RESD_CMPR_DEE_NA_USA_QBTU.A</t>
  </si>
  <si>
    <t>Residential: Delivered Energy Use by End Use: Fans and Pumps: High Zero-Carbon Technology Cost</t>
  </si>
  <si>
    <t>AEO.2025.HIGHZTC.CNSM_NA_RESD_FPR_DEE_NA_USA_QBTU.A</t>
  </si>
  <si>
    <t>Residential: Delivered Energy Use by End Use: Other Uses: High Zero-Carbon Technology Cost</t>
  </si>
  <si>
    <t>AEO.2025.HIGHZTC.CNSM_NA_RESD_OTHU_DEE_NA_USA_QBTU.A</t>
  </si>
  <si>
    <t>Residential: Energy Consumption by End Use: Gross End-use Consumption: High Zero-Carbon Technology Cost</t>
  </si>
  <si>
    <t>AEO.2025.HIGHZTC.CNSM_NA_RESD_TUS_DEE_NA_USA_QBTU.A</t>
  </si>
  <si>
    <t>Residential: Energy Consumption by End Use: Purchased Electricity for EV Charging: High Zero-Carbon Technology Cost</t>
  </si>
  <si>
    <t>AEO.2025.HIGHZTC.CNSM_NA_RESD_PUELEVCHRG_DEE_NA_USA_QBTU.A</t>
  </si>
  <si>
    <t>Residential: Energy Consumption by End Use: Generation for Own Use: High Zero-Carbon Technology Cost</t>
  </si>
  <si>
    <t>AEO.2025.HIGHZTC.GEN_NA_RESD_GFO_DEE_NA_USA_QBTU.A</t>
  </si>
  <si>
    <t>Residential: Energy Consumption by End Use: Delivered Energy: High Zero-Carbon Technology Cost</t>
  </si>
  <si>
    <t>AEO.2025.HIGHZTC.CNSM_NA_RESD_DELE_DEE_NA_USA_QBTU.A</t>
  </si>
  <si>
    <t>Electricity Related Losses</t>
  </si>
  <si>
    <t>Residential: Electricity Related Losses: High Zero-Carbon Technology Cost</t>
  </si>
  <si>
    <t>AEO.2025.HIGHZTC.CNSM_LOSSES_RESD_NA_ENRL_NA_USA_QBTU.A</t>
  </si>
  <si>
    <t>Total Energy Consumption by End Use</t>
  </si>
  <si>
    <t>Residential: Total Energy Use by End Use: Space Heating: High Zero-Carbon Technology Cost</t>
  </si>
  <si>
    <t>AEO.2025.HIGHZTC.CNSM_NA_RESD_SPH_TEE_NA_USA_QBTU.A</t>
  </si>
  <si>
    <t>Residential: Total Energy Use by End Use: Space Cooling: High Zero-Carbon Technology Cost</t>
  </si>
  <si>
    <t>AEO.2025.HIGHZTC.CNSM_NA_RESD_SPC_TEE_NA_USA_QBTU.A</t>
  </si>
  <si>
    <t>Residential: Total Energy Use by End Use: Water Heating: High Zero-Carbon Technology Cost</t>
  </si>
  <si>
    <t>AEO.2025.HIGHZTC.CNSM_NA_RESD_WTHT_TEE_NA_USA_QBTU.A</t>
  </si>
  <si>
    <t>Residential: Total Energy Use by End Use: Refrigeration: High Zero-Carbon Technology Cost</t>
  </si>
  <si>
    <t>AEO.2025.HIGHZTC.CNSM_NA_RESD_REFR_TEE_NA_USA_QBTU.A</t>
  </si>
  <si>
    <t>Residential: Total Energy Use by End Use: Cooking: High Zero-Carbon Technology Cost</t>
  </si>
  <si>
    <t>AEO.2025.HIGHZTC.CNSM_NA_RESD_CGR_TEE_NA_USA_QBTU.A</t>
  </si>
  <si>
    <t>Residential: Total Energy Use by End Use: Clothes Dryers: High Zero-Carbon Technology Cost</t>
  </si>
  <si>
    <t>AEO.2025.HIGHZTC.CNSM_NA_RESD_CDR_TEE_NA_USA_QBTU.A</t>
  </si>
  <si>
    <t>Residential: Total Energy Use by End Use: Freezers: High Zero-Carbon Technology Cost</t>
  </si>
  <si>
    <t>AEO.2025.HIGHZTC.CNSM_NA_RESD_FRZ_TEE_NA_USA_QBTU.A</t>
  </si>
  <si>
    <t>Residential: Total Energy Use by End Use: Lighting: High Zero-Carbon Technology Cost</t>
  </si>
  <si>
    <t>AEO.2025.HIGHZTC.CNSM_NA_RESD_LGHTNG_TEE_NA_USA_QBTU.A</t>
  </si>
  <si>
    <t>Residential: Total Energy Use by End Use: Clothes Washers: High Zero-Carbon Technology Cost</t>
  </si>
  <si>
    <t>AEO.2025.HIGHZTC.CNSM_NA_RESD_CLW_TEE_NA_USA_QBTU.A</t>
  </si>
  <si>
    <t>Residential: Total Energy Use by End Use: Dishwashers: High Zero-Carbon Technology Cost</t>
  </si>
  <si>
    <t>AEO.2025.HIGHZTC.CNSM_NA_RESD_DSW_TEE_NA_USA_QBTU.A</t>
  </si>
  <si>
    <t>Residential: Total Energy Use by End Use: Televisions: High Zero-Carbon Technology Cost</t>
  </si>
  <si>
    <t>AEO.2025.HIGHZTC.CNSM_NA_RESD_TVR_TEE_NA_USA_QBTU.A</t>
  </si>
  <si>
    <t>Residential: Total Energy Use by End Use: Computers: High Zero-Carbon Technology Cost</t>
  </si>
  <si>
    <t>AEO.2025.HIGHZTC.CNSM_NA_RESD_CMPR_TEE_NA_USA_QBTU.A</t>
  </si>
  <si>
    <t>Residential: Total Energy Use by End Use: Fans and Pumps: High Zero-Carbon Technology Cost</t>
  </si>
  <si>
    <t>AEO.2025.HIGHZTC.CNSM_NA_RESD_FPR_TEE_NA_USA_QBTU.A</t>
  </si>
  <si>
    <t>Residential: Total Energy Use by End Use: Other Uses: High Zero-Carbon Technology Cost</t>
  </si>
  <si>
    <t>AEO.2025.HIGHZTC.CNSM_NA_RESD_OTHU_TEE_NA_USA_QBTU.A</t>
  </si>
  <si>
    <t>Total Gross End-use Consumption</t>
  </si>
  <si>
    <t>Residential: Total Energy Use by End Use: Total Gross End-use Consumption: High Zero-Carbon Technology Cost</t>
  </si>
  <si>
    <t>AEO.2025.HIGHZTC.CNSM_NA_RESD_TOTENCONS_TEE_NA_USA_QBTU.A</t>
  </si>
  <si>
    <t>Residential: Generation for Own Use: Purchased Electricity for EV Charging: High Zero-Carbon Technology Cost</t>
  </si>
  <si>
    <t>AEO.2025.HIGHZTC.GEN_NA_RESD_PUELEVCHRG_TEE_NA_USA_QBTU.A</t>
  </si>
  <si>
    <t>Residential: Generation for Own Use: Total Gross End-use Consumption: High Zero-Carbon Technology Cost</t>
  </si>
  <si>
    <t>AEO.2025.HIGHZTC.GEN_NA_RESD_GFO_TEE_NA_USA_QBTU.A</t>
  </si>
  <si>
    <t>Total Energy</t>
  </si>
  <si>
    <t>Residential: Total Net Own-use Generation: Total Gross End-use Consumption: High Zero-Carbon Technology Cost</t>
  </si>
  <si>
    <t>AEO.2025.HIGHZTC.GEN_NA_RESD_TTG_TEE_NA_USA_QBTU.A</t>
  </si>
  <si>
    <t>Nonmarketed Renewables</t>
  </si>
  <si>
    <t>Solar Hot Water Heating</t>
  </si>
  <si>
    <t>Residential: Nonmarketed Renewables: Solar Hot Water Heating: High Zero-Carbon Technology Cost</t>
  </si>
  <si>
    <t>AEO.2025.HIGHZTC.CNSM_NA_RESD_SHW_NRW_NA_USA_QBTU.A</t>
  </si>
  <si>
    <t>Solar Photovoltaic</t>
  </si>
  <si>
    <t>Residential: Nonmarketed Renewables: Solar Photovoltaic: High Zero-Carbon Technology Cost</t>
  </si>
  <si>
    <t>AEO.2025.HIGHZTC.CNSM_NA_RESD_SOPH_NRW_NA_USA_QBTU.A</t>
  </si>
  <si>
    <t>Wind</t>
  </si>
  <si>
    <t>Residential: Nonmarketed Renewables: Wind: High Zero-Carbon Technology Cost</t>
  </si>
  <si>
    <t>AEO.2025.HIGHZTC.CNSM_NA_RESD_WND_NRW_NA_USA_QBTU.A</t>
  </si>
  <si>
    <t>Residential: Nonmarketed Renewables: Total: High Zero-Carbon Technology Cost</t>
  </si>
  <si>
    <t>AEO.2025.HIGHZTC.CNSM_NA_RESD_NA_NRW_NA_USA_QBTU.A</t>
  </si>
  <si>
    <t>Heating Degree Days</t>
  </si>
  <si>
    <t>Residential: Heating Degree Days: New England: High Zero-Carbon Technology Cost</t>
  </si>
  <si>
    <t>AEO.2025.HIGHZTC.KEI_HDD_RESD_NA_NA_NA_NENGL_HDD.A</t>
  </si>
  <si>
    <t>HDD</t>
  </si>
  <si>
    <t>Residential: Heating Degree Days: Middle Atlantic: High Zero-Carbon Technology Cost</t>
  </si>
  <si>
    <t>AEO.2025.HIGHZTC.KEI_HDD_RESD_NA_NA_NA_MATL_HDD.A</t>
  </si>
  <si>
    <t>Residential: Heating Degree Days: East North Central: High Zero-Carbon Technology Cost</t>
  </si>
  <si>
    <t>AEO.2025.HIGHZTC.KEI_HDD_RESD_NA_NA_NA_ENC_HDD.A</t>
  </si>
  <si>
    <t>Residential: Heating Degree Days: West North Central: High Zero-Carbon Technology Cost</t>
  </si>
  <si>
    <t>AEO.2025.HIGHZTC.KEI_HDD_RESD_NA_NA_NA_WNC_HDD.A</t>
  </si>
  <si>
    <t>Residential: Heating Degree Days: South Atlantic: High Zero-Carbon Technology Cost</t>
  </si>
  <si>
    <t>AEO.2025.HIGHZTC.KEI_HDD_RESD_NA_NA_NA_SATL_HDD.A</t>
  </si>
  <si>
    <t>Residential: Heating Degree Days: East South Central: High Zero-Carbon Technology Cost</t>
  </si>
  <si>
    <t>AEO.2025.HIGHZTC.KEI_HDD_RESD_NA_NA_NA_ESC_HDD.A</t>
  </si>
  <si>
    <t>Residential: Heating Degree Days: West South Central: High Zero-Carbon Technology Cost</t>
  </si>
  <si>
    <t>AEO.2025.HIGHZTC.KEI_HDD_RESD_NA_NA_NA_WSC_HDD.A</t>
  </si>
  <si>
    <t>Residential: Heating Degree Days: Mountain: High Zero-Carbon Technology Cost</t>
  </si>
  <si>
    <t>AEO.2025.HIGHZTC.KEI_HDD_RESD_NA_NA_NA_MTN_HDD.A</t>
  </si>
  <si>
    <t>Residential: Heating Degree Days: Pacific: High Zero-Carbon Technology Cost</t>
  </si>
  <si>
    <t>AEO.2025.HIGHZTC.KEI_HDD_RESD_NA_NA_NA_PCF_HDD.A</t>
  </si>
  <si>
    <t>United States</t>
  </si>
  <si>
    <t>Residential: Heating Degree Days: United States: High Zero-Carbon Technology Cost</t>
  </si>
  <si>
    <t>AEO.2025.HIGHZTC.KEI_HDD_RESD_NA_NA_NA_USA_HDD.A</t>
  </si>
  <si>
    <t>Cooling Degree Days</t>
  </si>
  <si>
    <t>Residential: Cooling Degree Days: New England: High Zero-Carbon Technology Cost</t>
  </si>
  <si>
    <t>AEO.2025.HIGHZTC.KEI_CDD_RESD_NA_NA_NA_NENGL_CDD.A</t>
  </si>
  <si>
    <t>CDD</t>
  </si>
  <si>
    <t>Residential: Cooling Degree Days: Middle Atlantic: High Zero-Carbon Technology Cost</t>
  </si>
  <si>
    <t>AEO.2025.HIGHZTC.KEI_CDD_RESD_NA_NA_NA_MATL_CDD.A</t>
  </si>
  <si>
    <t>Residential: Cooling Degree Days: East North Central: High Zero-Carbon Technology Cost</t>
  </si>
  <si>
    <t>AEO.2025.HIGHZTC.KEI_CDD_RESD_NA_NA_NA_ENC_CDD.A</t>
  </si>
  <si>
    <t>Residential: Cooling Degree Days: West North Central: High Zero-Carbon Technology Cost</t>
  </si>
  <si>
    <t>AEO.2025.HIGHZTC.KEI_CDD_RESD_NA_NA_NA_WNC_CDD.A</t>
  </si>
  <si>
    <t>Residential: Cooling Degree Days: South Atlantic: High Zero-Carbon Technology Cost</t>
  </si>
  <si>
    <t>AEO.2025.HIGHZTC.KEI_CDD_RESD_NA_NA_NA_SATL_CDD.A</t>
  </si>
  <si>
    <t>Residential: Cooling Degree Days: East South Central: High Zero-Carbon Technology Cost</t>
  </si>
  <si>
    <t>AEO.2025.HIGHZTC.KEI_CDD_RESD_NA_NA_NA_ESC_CDD.A</t>
  </si>
  <si>
    <t>Residential: Cooling Degree Days: West South Central: High Zero-Carbon Technology Cost</t>
  </si>
  <si>
    <t>AEO.2025.HIGHZTC.KEI_CDD_RESD_NA_NA_NA_WSC_CDD.A</t>
  </si>
  <si>
    <t>Residential: Cooling Degree Days: Mountain: High Zero-Carbon Technology Cost</t>
  </si>
  <si>
    <t>AEO.2025.HIGHZTC.KEI_CDD_RESD_NA_NA_NA_MTN_CDD.A</t>
  </si>
  <si>
    <t>Residential: Cooling Degree Days: Pacific: High Zero-Carbon Technology Cost</t>
  </si>
  <si>
    <t>AEO.2025.HIGHZTC.KEI_CDD_RESD_NA_NA_NA_PCF_CDD.A</t>
  </si>
  <si>
    <t>Residential: Cooling Degree Days: United States: High Zero-Carbon Technology Cost</t>
  </si>
  <si>
    <t>AEO.2025.HIGHZTC.KEI_CDD_RESD_NA_NA_NA_USA_CDD.A</t>
  </si>
  <si>
    <t>Table 5.  Commercial Sector Key Indicators and Consumption</t>
  </si>
  <si>
    <t>https://www.eia.gov/outlooks/aeo/data/browser/#/?id=5-AEO2025&amp;cases=highZTC&amp;sourcekey=0</t>
  </si>
  <si>
    <t>Tue Dec 02 2025 13:13:07 GMT-0800 (Pacific Standard Time)</t>
  </si>
  <si>
    <t>Total Floorspace (billion square feet)</t>
  </si>
  <si>
    <t>Surviving</t>
  </si>
  <si>
    <t>Commercial: Total Floorspace: Surviving: High Zero-Carbon Technology Cost</t>
  </si>
  <si>
    <t>AEO.2025.HIGHZTC.KEI_NA_COMM_NA_TFP_SURV_USA_BLNSQFT.A</t>
  </si>
  <si>
    <t>billion sq ft</t>
  </si>
  <si>
    <t>New Additions</t>
  </si>
  <si>
    <t>Commercial: Total Floorspace: New Additions: High Zero-Carbon Technology Cost</t>
  </si>
  <si>
    <t>AEO.2025.HIGHZTC.KEI_NA_COMM_NA_TFP_NADN_USA_BLNSQFT.A</t>
  </si>
  <si>
    <t>Commercial: Total Floorspace: Total: High Zero-Carbon Technology Cost</t>
  </si>
  <si>
    <t>AEO.2025.HIGHZTC.KEI_NA_COMM_NA_TFP_TOT_USA_BLNSQFT.A</t>
  </si>
  <si>
    <t>Energy Consumption Intensity</t>
  </si>
  <si>
    <t>Commercial: Energy Use Intensity: Gross End-use Consumption: High Zero-Carbon Technology Cost</t>
  </si>
  <si>
    <t>AEO.2025.HIGHZTC.INY_NA_COMM_NA_EUI_DLENCONS_USA_THBTUPSQFT.A</t>
  </si>
  <si>
    <t>Commercial: Energy Use Intensity: Delivered Energy Consumption: High Zero-Carbon Technology Cost</t>
  </si>
  <si>
    <t>AEO.2025.HIGHZTC.INY_NA_COMM_NA_EUI_ERL_USA_THBTUPSQFT.A</t>
  </si>
  <si>
    <t>AEO.2025.HIGHZTC.CNSM_NA_COMM_NA_PRC_SPH_USA_QBTU.A</t>
  </si>
  <si>
    <t>Space Cooling 3/</t>
  </si>
  <si>
    <t>AEO.2025.HIGHZTC.CNSM_NA_COMM_NA_PRC_SPC_USA_QBTU.A</t>
  </si>
  <si>
    <t>AEO.2025.HIGHZTC.CNSM_NA_COMM_NA_PRC_WTHT_USA_QBTU.A</t>
  </si>
  <si>
    <t>Ventilation</t>
  </si>
  <si>
    <t>AEO.2025.HIGHZTC.CNSM_NA_COMM_NA_PRC_VNTC_USA_QBTU.A</t>
  </si>
  <si>
    <t>AEO.2025.HIGHZTC.CNSM_NA_COMM_NA_PRC_CGR_USA_QBTU.A</t>
  </si>
  <si>
    <t>AEO.2025.HIGHZTC.CNSM_NA_COMM_NA_PRC_LGHTNG_USA_QBTU.A</t>
  </si>
  <si>
    <t>AEO.2025.HIGHZTC.CNSM_NA_COMM_NA_PRC_REFR_USA_QBTU.A</t>
  </si>
  <si>
    <t>Computing</t>
  </si>
  <si>
    <t>AEO.2025.HIGHZTC.CNSM_NA_COMM_NA_PRC_OTHEQPPC_USA_QBTU.A</t>
  </si>
  <si>
    <t>Office Equipment</t>
  </si>
  <si>
    <t>AEO.2025.HIGHZTC.CNSM_NA_COMM_NA_PRC_OTHEQPNPC_USA_QBTU.A</t>
  </si>
  <si>
    <t>AEO.2025.HIGHZTC.CNSM_NA_COMM_NA_PRC_OTHU_USA_QBTU.A</t>
  </si>
  <si>
    <t>AEO.2025.HIGHZTC.CNSM_NA_COMM_NA_PRC_DELE_USA_QBTU.A</t>
  </si>
  <si>
    <t>AEO.2025.HIGHZTC.GEN_NA_COMM_NA_PRC_EVCHA_USA_QBTU.A</t>
  </si>
  <si>
    <t>AEO.2025.HIGHZTC.GEN_NA_COMM_NA_GFO_ELC_USA_QBTU.A</t>
  </si>
  <si>
    <t>Purchased Electricity at Commercial Location</t>
  </si>
  <si>
    <t>AEO.2025.HIGHZTC.CNSM_NA_COMM_NA_DELE_ELC_USA_QBTU.A</t>
  </si>
  <si>
    <t>AEO.2025.HIGHZTC.CNSM_NA_COMM_NA_NG_SPH_USA_QBTU.A</t>
  </si>
  <si>
    <t>AEO.2025.HIGHZTC.CNSM_NA_COMM_NA_NG_SPC_USA_QBTU.A</t>
  </si>
  <si>
    <t>AEO.2025.HIGHZTC.CNSM_NA_COMM_NA_NG_WTHT_USA_QBTU.A</t>
  </si>
  <si>
    <t>AEO.2025.HIGHZTC.CNSM_NA_COMM_NA_NG_CGR_USA_QBTU.A</t>
  </si>
  <si>
    <t>AEO.2025.HIGHZTC.CNSM_NA_COMM_NA_NG_OTHU_USA_QBTU.A</t>
  </si>
  <si>
    <t>AEO.2025.HIGHZTC.CNSM_NA_COMM_NA_NG_DELE_USA_QBTU.A</t>
  </si>
  <si>
    <t>AEO.2025.HIGHZTC.CNSM_NA_COMM_NA_DFO_SPH_USA_QBTU.A</t>
  </si>
  <si>
    <t>AEO.2025.HIGHZTC.CNSM_NA_COMM_NA_DFO_WTHT_USA_QBTU.A</t>
  </si>
  <si>
    <t>AEO.2025.HIGHZTC.CNSM_NA_COMM_NA_DFO_OTHU_USA_QBTU.A</t>
  </si>
  <si>
    <t>AEO.2025.HIGHZTC.CNSM_NA_COMM_NA_DFO_DELE_USA_QBTU.A</t>
  </si>
  <si>
    <t>Marketed Renewables (biomass)</t>
  </si>
  <si>
    <t>AEO.2025.HIGHZTC.CNSM_NA_COMM_NA_BMS_NA_USA_QBTU.A</t>
  </si>
  <si>
    <t>Other Fuels</t>
  </si>
  <si>
    <t>AEO.2025.HIGHZTC.CNSM_NA_COMM_NA_OFU_NA_USA_QBTU.A</t>
  </si>
  <si>
    <t>Commercial: Delivered Energy Use by End Use: Space Heating: High Zero-Carbon Technology Cost</t>
  </si>
  <si>
    <t>AEO.2025.HIGHZTC.CNSM_NA_COMM_NA_DEE_SPH_USA_QBTU.A</t>
  </si>
  <si>
    <t>Commercial: Delivered Energy Use by End Use: Space Cooling: High Zero-Carbon Technology Cost</t>
  </si>
  <si>
    <t>AEO.2025.HIGHZTC.CNSM_NA_COMM_NA_DEE_SPC_USA_QBTU.A</t>
  </si>
  <si>
    <t>Commercial: Delivered Energy Use by End Use: Water Heating: High Zero-Carbon Technology Cost</t>
  </si>
  <si>
    <t>AEO.2025.HIGHZTC.CNSM_NA_COMM_NA_DEE_WTHT_USA_QBTU.A</t>
  </si>
  <si>
    <t>Commercial: Delivered Energy Use by End Use: Ventilation: High Zero-Carbon Technology Cost</t>
  </si>
  <si>
    <t>AEO.2025.HIGHZTC.CNSM_NA_COMM_NA_DEE_VNTC_USA_QBTU.A</t>
  </si>
  <si>
    <t>Commercial: Delivered Energy Use by End Use: Cooking: High Zero-Carbon Technology Cost</t>
  </si>
  <si>
    <t>AEO.2025.HIGHZTC.CNSM_NA_COMM_NA_DEE_CGR_USA_QBTU.A</t>
  </si>
  <si>
    <t>Commercial: Delivered Energy Use by End Use: Lighting: High Zero-Carbon Technology Cost</t>
  </si>
  <si>
    <t>AEO.2025.HIGHZTC.CNSM_NA_COMM_NA_DEE_LGHTNG_USA_QBTU.A</t>
  </si>
  <si>
    <t>Commercial: Delivered Energy Use by End Use: Refrigeration: High Zero-Carbon Technology Cost</t>
  </si>
  <si>
    <t>AEO.2025.HIGHZTC.CNSM_NA_COMM_NA_DEE_REFR_USA_QBTU.A</t>
  </si>
  <si>
    <t>Commercial: Delivered Energy Use by End Use: Computing: High Zero-Carbon Technology Cost</t>
  </si>
  <si>
    <t>AEO.2025.HIGHZTC.CNSM_NA_COMM_NA_DEE_OFEQPC_USA_QBTU.A</t>
  </si>
  <si>
    <t>Commercial: Delivered Energy Use by End Use: Office Equipment: High Zero-Carbon Technology Cost</t>
  </si>
  <si>
    <t>AEO.2025.HIGHZTC.CNSM_NA_COMM_NA_DEE_OFEQPNPC_USA_QBTU.A</t>
  </si>
  <si>
    <t>Commercial: Delivered Energy Use by End Use: Other Uses: High Zero-Carbon Technology Cost</t>
  </si>
  <si>
    <t>AEO.2025.HIGHZTC.CNSM_NA_COMM_NA_DEE_OTHU_USA_QBTU.A</t>
  </si>
  <si>
    <t>Commercial: Delivered Energy Use by End Use: Gross End-use Consumption: High Zero-Carbon Technology Cost</t>
  </si>
  <si>
    <t>AEO.2025.HIGHZTC.CNSM_NA_COMM_NA_DEE_NA_USA_QBTU.A</t>
  </si>
  <si>
    <t>Commercial: Energy Consumption by End Use: Purchased Electricity for EV Charging: High Zero-Carbon Technology Cost</t>
  </si>
  <si>
    <t>AEO.2025.HIGHZTC.CNSM_NA_COMM_NA_DEE_EVCHA_USA_QBTU.A</t>
  </si>
  <si>
    <t>Commercial: Energy Consumption by End Use: Generation for Own Use: High Zero-Carbon Technology Cost</t>
  </si>
  <si>
    <t>AEO.2025.HIGHZTC.GEN_NA_COMM_NA_DEE_GFO_USA_QBTU.A</t>
  </si>
  <si>
    <t>Commercial: Energy Consumption by End Use: Delivered Energy: High Zero-Carbon Technology Cost</t>
  </si>
  <si>
    <t>Commercial: Electricity Related Losses: High Zero-Carbon Technology Cost</t>
  </si>
  <si>
    <t>AEO.2025.HIGHZTC.CNSM_NA_COMM_NA_ERL_NA_USA_QBTU.A</t>
  </si>
  <si>
    <t>Commercial: Total Energy Use by End Use: Space Heating: High Zero-Carbon Technology Cost</t>
  </si>
  <si>
    <t>AEO.2025.HIGHZTC.CNSM_NA_COMM_NA_TEE_SPH_USA_QBTU.A</t>
  </si>
  <si>
    <t>Commercial: Total Energy Use by End Use: Space Cooling: High Zero-Carbon Technology Cost</t>
  </si>
  <si>
    <t>AEO.2025.HIGHZTC.CNSM_NA_COMM_NA_TEE_SPC_USA_QBTU.A</t>
  </si>
  <si>
    <t>Commercial: Total Energy Use by End Use: Water Heating: High Zero-Carbon Technology Cost</t>
  </si>
  <si>
    <t>AEO.2025.HIGHZTC.CNSM_NA_COMM_NA_TEE_WTHT_USA_QBTU.A</t>
  </si>
  <si>
    <t>Commercial: Total Energy Use by End Use: Ventilation: High Zero-Carbon Technology Cost</t>
  </si>
  <si>
    <t>AEO.2025.HIGHZTC.CNSM_NA_COMM_NA_TEE_VNTC_USA_QBTU.A</t>
  </si>
  <si>
    <t>Commercial: Total Energy Use by End Use: Cooking: High Zero-Carbon Technology Cost</t>
  </si>
  <si>
    <t>AEO.2025.HIGHZTC.CNSM_NA_COMM_NA_TEE_CGR_USA_QBTU.A</t>
  </si>
  <si>
    <t>Commercial: Total Energy Use by End Use: Lighting: High Zero-Carbon Technology Cost</t>
  </si>
  <si>
    <t>AEO.2025.HIGHZTC.CNSM_NA_COMM_NA_TEE_LGHTNG_USA_QBTU.A</t>
  </si>
  <si>
    <t>Commercial: Total Energy Use by End Use: Refrigeration: High Zero-Carbon Technology Cost</t>
  </si>
  <si>
    <t>AEO.2025.HIGHZTC.CNSM_NA_COMM_NA_TEE_REFR_USA_QBTU.A</t>
  </si>
  <si>
    <t>Commercial: Total Energy Use by End Use: Computing: High Zero-Carbon Technology Cost</t>
  </si>
  <si>
    <t>AEO.2025.HIGHZTC.CNSM_NA_COMM_NA_TEE_OFEQPC_USA_QBTU.A</t>
  </si>
  <si>
    <t>Commercial: Total Energy Use by End Use: Office Equipment: High Zero-Carbon Technology Cost</t>
  </si>
  <si>
    <t>AEO.2025.HIGHZTC.CNSM_NA_COMM_NA_TEE_OFEQPNPC_USA_QBTU.A</t>
  </si>
  <si>
    <t>Commercial: Total Energy Use by End Use: Other Uses: High Zero-Carbon Technology Cost</t>
  </si>
  <si>
    <t>AEO.2025.HIGHZTC.CNSM_NA_COMM_NA_TEE_OTHU_USA_QBTU.A</t>
  </si>
  <si>
    <t>Commercial: Total Energy Use by End Use: Total Gross End-use Consumption: High Zero-Carbon Technology Cost</t>
  </si>
  <si>
    <t>AEO.2025.HIGHZTC.CNSM_NA_COMM_NA_TEE_NA_USA_QBTU.A</t>
  </si>
  <si>
    <t>Commercial: Total Energy Use by End Use: Purchased Electricity for EV Charging: High Zero-Carbon Technology Cost</t>
  </si>
  <si>
    <t>AEO.2025.HIGHZTC.GEN_GFO_COMM_NA_TEE_NA_USA_QBTU.A</t>
  </si>
  <si>
    <t>Commercial: Total Energy Use by End Use: Generation for Own Use: High Zero-Carbon Technology Cost</t>
  </si>
  <si>
    <t>Commercial: Total Energy Use by End Use: Total Net Own-use Generation: High Zero-Carbon Technology Cost</t>
  </si>
  <si>
    <t>AEO.2025.HIGHZTC.GEN_GFO_COMM_NA_TEE_TOT_USA_QBTU.A</t>
  </si>
  <si>
    <t>Nonmarketed Renewable Fuels</t>
  </si>
  <si>
    <t>Solar Thermal</t>
  </si>
  <si>
    <t>Commercial: Nonmarketed Renewable Fuels: Solar Thermal: High Zero-Carbon Technology Cost</t>
  </si>
  <si>
    <t>AEO.2025.HIGHZTC.CNSM_NA_COMM_NA_NRF_SOTH_USA_QBTU.A</t>
  </si>
  <si>
    <t>Commercial: Nonmarketed Renewable Fuels: Solar Photovoltaic: High Zero-Carbon Technology Cost</t>
  </si>
  <si>
    <t>AEO.2025.HIGHZTC.CNSM_NA_COMM_NA_NRF_SOPH_USA_QBTU.A</t>
  </si>
  <si>
    <t>Commercial: Nonmarketed Renewable Fuels: Wind: High Zero-Carbon Technology Cost</t>
  </si>
  <si>
    <t>AEO.2025.HIGHZTC.CNSM_NA_COMM_NA_NRF_WND_USA_QBTU.A</t>
  </si>
  <si>
    <t>Commercial: Nonmarketed Renewable Fuels: Total: High Zero-Carbon Technology Cost</t>
  </si>
  <si>
    <t>AEO.2025.HIGHZTC.CNSM_NA_COMM_NA_NRF_TOT_USA_QBTU.A</t>
  </si>
  <si>
    <t>Commercial: Heating Degree Days: New England: High Zero-Carbon Technology Cost</t>
  </si>
  <si>
    <t>AEO.2025.HIGHZTC.KEI_NA_COMM_NA_NA_NA_NENGL_HDD.A</t>
  </si>
  <si>
    <t>Commercial: Heating Degree Days: Middle Atlantic: High Zero-Carbon Technology Cost</t>
  </si>
  <si>
    <t>AEO.2025.HIGHZTC.KEI_NA_COMM_NA_NA_NA_MATL_HDD.A</t>
  </si>
  <si>
    <t>Commercial: Heating Degree Days: East North Central: High Zero-Carbon Technology Cost</t>
  </si>
  <si>
    <t>AEO.2025.HIGHZTC.KEI_NA_COMM_NA_NA_NA_ENC_HDD.A</t>
  </si>
  <si>
    <t>Commercial: Heating Degree Days: West North Central: High Zero-Carbon Technology Cost</t>
  </si>
  <si>
    <t>AEO.2025.HIGHZTC.KEI_NA_COMM_NA_NA_NA_WNC_HDD.A</t>
  </si>
  <si>
    <t>Commercial: Heating Degree Days: South Atlantic: High Zero-Carbon Technology Cost</t>
  </si>
  <si>
    <t>AEO.2025.HIGHZTC.KEI_NA_COMM_NA_NA_NA_SATL_HDD.A</t>
  </si>
  <si>
    <t>Commercial: Heating Degree Days: East South Central: High Zero-Carbon Technology Cost</t>
  </si>
  <si>
    <t>AEO.2025.HIGHZTC.KEI_NA_COMM_NA_NA_NA_ESC_HDD.A</t>
  </si>
  <si>
    <t>Commercial: Heating Degree Days: West South Central: High Zero-Carbon Technology Cost</t>
  </si>
  <si>
    <t>AEO.2025.HIGHZTC.KEI_NA_COMM_NA_NA_NA_WSC_HDD.A</t>
  </si>
  <si>
    <t>Commercial: Heating Degree Days: Mountain: High Zero-Carbon Technology Cost</t>
  </si>
  <si>
    <t>AEO.2025.HIGHZTC.KEI_NA_COMM_NA_NA_NA_MTN_HDD.A</t>
  </si>
  <si>
    <t>Commercial: Heating Degree Days: Pacific: High Zero-Carbon Technology Cost</t>
  </si>
  <si>
    <t>AEO.2025.HIGHZTC.KEI_NA_COMM_NA_NA_NA_PCF_HDD.A</t>
  </si>
  <si>
    <t>Commercial: Heating Degree Days: United States: High Zero-Carbon Technology Cost</t>
  </si>
  <si>
    <t>AEO.2025.HIGHZTC.KEI_NA_COMM_NA_NA_NA_USA_HDD.A</t>
  </si>
  <si>
    <t>Commercial: Cooling Degree Days: New England: High Zero-Carbon Technology Cost</t>
  </si>
  <si>
    <t>AEO.2025.HIGHZTC.KEI_NA_COMM_NA_NA_NA_NENGL_CDD.A</t>
  </si>
  <si>
    <t>Commercial: Cooling Degree Days: Middle Atlantic: High Zero-Carbon Technology Cost</t>
  </si>
  <si>
    <t>AEO.2025.HIGHZTC.KEI_NA_COMM_NA_NA_NA_MATL_CDD.A</t>
  </si>
  <si>
    <t>Commercial: Cooling Degree Days: East North Central: High Zero-Carbon Technology Cost</t>
  </si>
  <si>
    <t>AEO.2025.HIGHZTC.KEI_NA_COMM_NA_NA_NA_ENC_CDD.A</t>
  </si>
  <si>
    <t>Commercial: Cooling Degree Days: West North Central: High Zero-Carbon Technology Cost</t>
  </si>
  <si>
    <t>AEO.2025.HIGHZTC.KEI_NA_COMM_NA_NA_NA_WNC_CDD.A</t>
  </si>
  <si>
    <t>Commercial: Cooling Degree Days: South Atlantic: High Zero-Carbon Technology Cost</t>
  </si>
  <si>
    <t>AEO.2025.HIGHZTC.KEI_NA_COMM_NA_NA_NA_SATL_CDD.A</t>
  </si>
  <si>
    <t>Commercial: Cooling Degree Days: East South Central: High Zero-Carbon Technology Cost</t>
  </si>
  <si>
    <t>AEO.2025.HIGHZTC.KEI_NA_COMM_NA_NA_NA_ESC_CDD.A</t>
  </si>
  <si>
    <t>Commercial: Cooling Degree Days: West South Central: High Zero-Carbon Technology Cost</t>
  </si>
  <si>
    <t>AEO.2025.HIGHZTC.KEI_NA_COMM_NA_NA_NA_WSC_CDD.A</t>
  </si>
  <si>
    <t>Commercial: Cooling Degree Days: Mountain: High Zero-Carbon Technology Cost</t>
  </si>
  <si>
    <t>AEO.2025.HIGHZTC.KEI_NA_COMM_NA_NA_NA_MTN_CDD.A</t>
  </si>
  <si>
    <t>Commercial: Cooling Degree Days: Pacific: High Zero-Carbon Technology Cost</t>
  </si>
  <si>
    <t>AEO.2025.HIGHZTC.KEI_NA_COMM_NA_NA_NA_PCF_CDD.A</t>
  </si>
  <si>
    <t>Commercial: Cooling Degree Days: United States: High Zero-Carbon Technology Cost</t>
  </si>
  <si>
    <t>AEO.2025.HIGHZTC.KEI_NA_COMM_NA_NA_NA_USA_CDD.A</t>
  </si>
  <si>
    <t>https://www.eia.gov/outlooks/aeo/data/browser/#/?id=5-AEO2023&amp;sourcekey=0</t>
  </si>
  <si>
    <t>Fri Jan 30 2026 11:55:45 GMT-0800 (Pacific Standard Time)</t>
  </si>
  <si>
    <t>Growth (2022-2050)</t>
  </si>
  <si>
    <t>Commercial: Total Floorspace: Surviving: Reference case</t>
  </si>
  <si>
    <t>AEO.2023.REF2023.KEI_NA_COMM_NA_TFP_SURV_USA_BLNSQFT.A</t>
  </si>
  <si>
    <t>Commercial: Total Floorspace: New Additions: Reference case</t>
  </si>
  <si>
    <t>AEO.2023.REF2023.KEI_NA_COMM_NA_TFP_NADN_USA_BLNSQFT.A</t>
  </si>
  <si>
    <t>Commercial: Total Floorspace: Total: Reference case</t>
  </si>
  <si>
    <t>AEO.2023.REF2023.KEI_NA_COMM_NA_TFP_TOT_USA_BLNSQFT.A</t>
  </si>
  <si>
    <t>Commercial: Energy Use Intensity: Gross End-use Consumption: Reference case</t>
  </si>
  <si>
    <t>AEO.2023.REF2023.INY_NA_COMM_NA_EUI_DLENCONS_USA_THBTUPSQFT.A</t>
  </si>
  <si>
    <t>Commercial: Energy Use Intensity: Delivered Energy Consumption: Reference case</t>
  </si>
  <si>
    <t>AEO.2023.REF2023.INY_NA_COMM_NA_EUI_ERL_USA_THBTUPSQFT.A</t>
  </si>
  <si>
    <t>Commercial: Purchased Electricity: Space Heating: Reference case</t>
  </si>
  <si>
    <t>AEO.2023.REF2023.CNSM_NA_COMM_NA_PRC_SPH_USA_QBTU.A</t>
  </si>
  <si>
    <t>Commercial: Purchased Electricity: Space Cooling: Reference case</t>
  </si>
  <si>
    <t>AEO.2023.REF2023.CNSM_NA_COMM_NA_PRC_SPC_USA_QBTU.A</t>
  </si>
  <si>
    <t>Commercial: Purchased Electricity: Water Heating: Reference case</t>
  </si>
  <si>
    <t>AEO.2023.REF2023.CNSM_NA_COMM_NA_PRC_WTHT_USA_QBTU.A</t>
  </si>
  <si>
    <t>Commercial: Purchased Electricity: Ventilation: Reference case</t>
  </si>
  <si>
    <t>AEO.2023.REF2023.CNSM_NA_COMM_NA_PRC_VNTC_USA_QBTU.A</t>
  </si>
  <si>
    <t>Commercial: Purchased Electricity: Cooking: Reference case</t>
  </si>
  <si>
    <t>AEO.2023.REF2023.CNSM_NA_COMM_NA_PRC_CGR_USA_QBTU.A</t>
  </si>
  <si>
    <t>Commercial: Purchased Electricity: Lighting: Reference case</t>
  </si>
  <si>
    <t>AEO.2023.REF2023.CNSM_NA_COMM_NA_PRC_LGHTNG_USA_QBTU.A</t>
  </si>
  <si>
    <t>Commercial: Purchased Electricity: Refrigeration: Reference case</t>
  </si>
  <si>
    <t>AEO.2023.REF2023.CNSM_NA_COMM_NA_PRC_REFR_USA_QBTU.A</t>
  </si>
  <si>
    <t>Commercial: Purchased Electricity: Computing: Reference case</t>
  </si>
  <si>
    <t>AEO.2023.REF2023.CNSM_NA_COMM_NA_PRC_OTHEQPPC_USA_QBTU.A</t>
  </si>
  <si>
    <t>Commercial: Purchased Electricity: Office Equipment: Reference case</t>
  </si>
  <si>
    <t>AEO.2023.REF2023.CNSM_NA_COMM_NA_PRC_OTHEQPNPC_USA_QBTU.A</t>
  </si>
  <si>
    <t>Commercial: Purchased Electricity: Other Uses: Reference case</t>
  </si>
  <si>
    <t>AEO.2023.REF2023.CNSM_NA_COMM_NA_PRC_OTHU_USA_QBTU.A</t>
  </si>
  <si>
    <t>Electricity Subtotal</t>
  </si>
  <si>
    <t>Commercial: Energy Consumption by Fuel: Electricity Subtotal: Reference case</t>
  </si>
  <si>
    <t>AEO.2023.REF2023.CNSM_NA_COMM_NA_PRC_DELE_USA_QBTU.A</t>
  </si>
  <si>
    <t>Commercial: Energy Consumption by Fuel: Generation for Own Use: Reference case</t>
  </si>
  <si>
    <t>AEO.2023.REF2023.GEN_NA_COMM_NA_GFO_ELC_USA_QBTU.A</t>
  </si>
  <si>
    <t>Purchased Electricity</t>
  </si>
  <si>
    <t>Commercial: Energy Consumption by Fuel: Purchased Electricity: Reference case</t>
  </si>
  <si>
    <t>AEO.2023.REF2023.CNSM_NA_COMM_NA_DELE_ELC_USA_QBTU.A</t>
  </si>
  <si>
    <t>Commercial: Natural Gas: Space Heating: Reference case</t>
  </si>
  <si>
    <t>AEO.2023.REF2023.CNSM_NA_COMM_NA_NG_SPH_USA_QBTU.A</t>
  </si>
  <si>
    <t>Commercial: Natural Gas: Space Cooling: Reference case</t>
  </si>
  <si>
    <t>AEO.2023.REF2023.CNSM_NA_COMM_NA_NG_SPC_USA_QBTU.A</t>
  </si>
  <si>
    <t>Commercial: Natural Gas: Water Heating: Reference case</t>
  </si>
  <si>
    <t>AEO.2023.REF2023.CNSM_NA_COMM_NA_NG_WTHT_USA_QBTU.A</t>
  </si>
  <si>
    <t>Commercial: Natural Gas: Cooking: Reference case</t>
  </si>
  <si>
    <t>AEO.2023.REF2023.CNSM_NA_COMM_NA_NG_CGR_USA_QBTU.A</t>
  </si>
  <si>
    <t>Commercial: Natural Gas: Other Uses: Reference case</t>
  </si>
  <si>
    <t>AEO.2023.REF2023.CNSM_NA_COMM_NA_NG_OTHU_USA_QBTU.A</t>
  </si>
  <si>
    <t>Commercial: Natural Gas: Delivered Energy: Reference case</t>
  </si>
  <si>
    <t>AEO.2023.REF2023.CNSM_NA_COMM_NA_NG_DELE_USA_QBTU.A</t>
  </si>
  <si>
    <t>Commercial: Distillate Fuel Oil: Space Heating: Reference case</t>
  </si>
  <si>
    <t>AEO.2023.REF2023.CNSM_NA_COMM_NA_DFO_SPH_USA_QBTU.A</t>
  </si>
  <si>
    <t>Commercial: Distillate Fuel Oil: Water Heating: Reference case</t>
  </si>
  <si>
    <t>AEO.2023.REF2023.CNSM_NA_COMM_NA_DFO_WTHT_USA_QBTU.A</t>
  </si>
  <si>
    <t>Commercial: Distillate Fuel Oil: Other Uses: Reference case</t>
  </si>
  <si>
    <t>AEO.2023.REF2023.CNSM_NA_COMM_NA_DFO_OTHU_USA_QBTU.A</t>
  </si>
  <si>
    <t>Commercial: Distillate Fuel Oil: Delivered Energy: Reference case</t>
  </si>
  <si>
    <t>AEO.2023.REF2023.CNSM_NA_COMM_NA_DFO_DELE_USA_QBTU.A</t>
  </si>
  <si>
    <t>Commercial: Marketed Renewables (biomass): Reference case</t>
  </si>
  <si>
    <t>AEO.2023.REF2023.CNSM_NA_COMM_NA_BMS_NA_USA_QBTU.A</t>
  </si>
  <si>
    <t>Commercial: Other Fuels: Reference case</t>
  </si>
  <si>
    <t>AEO.2023.REF2023.CNSM_NA_COMM_NA_OFU_NA_USA_QBTU.A</t>
  </si>
  <si>
    <t>Commercial: Delivered Energy Use by End Use: Space Heating: Reference case</t>
  </si>
  <si>
    <t>AEO.2023.REF2023.CNSM_NA_COMM_NA_DEE_SPH_USA_QBTU.A</t>
  </si>
  <si>
    <t>Commercial: Delivered Energy Use by End Use: Space Cooling: Reference case</t>
  </si>
  <si>
    <t>AEO.2023.REF2023.CNSM_NA_COMM_NA_DEE_SPC_USA_QBTU.A</t>
  </si>
  <si>
    <t>Commercial: Delivered Energy Use by End Use: Water Heating: Reference case</t>
  </si>
  <si>
    <t>AEO.2023.REF2023.CNSM_NA_COMM_NA_DEE_WTHT_USA_QBTU.A</t>
  </si>
  <si>
    <t>Commercial: Delivered Energy Use by End Use: Ventilation: Reference case</t>
  </si>
  <si>
    <t>AEO.2023.REF2023.CNSM_NA_COMM_NA_DEE_VNTC_USA_QBTU.A</t>
  </si>
  <si>
    <t>Commercial: Delivered Energy Use by End Use: Cooking: Reference case</t>
  </si>
  <si>
    <t>AEO.2023.REF2023.CNSM_NA_COMM_NA_DEE_CGR_USA_QBTU.A</t>
  </si>
  <si>
    <t>Commercial: Delivered Energy Use by End Use: Lighting: Reference case</t>
  </si>
  <si>
    <t>AEO.2023.REF2023.CNSM_NA_COMM_NA_DEE_LGHTNG_USA_QBTU.A</t>
  </si>
  <si>
    <t>Commercial: Delivered Energy Use by End Use: Refrigeration: Reference case</t>
  </si>
  <si>
    <t>AEO.2023.REF2023.CNSM_NA_COMM_NA_DEE_REFR_USA_QBTU.A</t>
  </si>
  <si>
    <t>Commercial: Delivered Energy Use by End Use: Computing: Reference case</t>
  </si>
  <si>
    <t>AEO.2023.REF2023.CNSM_NA_COMM_NA_DEE_OFEQPC_USA_QBTU.A</t>
  </si>
  <si>
    <t>Commercial: Delivered Energy Use by End Use: Office Equipment: Reference case</t>
  </si>
  <si>
    <t>AEO.2023.REF2023.CNSM_NA_COMM_NA_DEE_OFEQPNPC_USA_QBTU.A</t>
  </si>
  <si>
    <t>Commercial: Delivered Energy Use by End Use: Other Uses: Reference case</t>
  </si>
  <si>
    <t>AEO.2023.REF2023.CNSM_NA_COMM_NA_DEE_OTHU_USA_QBTU.A</t>
  </si>
  <si>
    <t>Commercial: Delivered Energy Use by End Use: Gross End-use Consumption: Reference case</t>
  </si>
  <si>
    <t>AEO.2023.REF2023.CNSM_NA_COMM_NA_DEE_NA_USA_QBTU.A</t>
  </si>
  <si>
    <t>Commercial: Energy Consumption by End Use: Generation for Own Use: Reference case</t>
  </si>
  <si>
    <t>AEO.2023.REF2023.GEN_NA_COMM_NA_DEE_GFO_USA_QBTU.A</t>
  </si>
  <si>
    <t>Commercial: Energy Consumption by End Use: Delivered Energy: Reference case</t>
  </si>
  <si>
    <t>Commercial: Electricity Related Losses: Reference case</t>
  </si>
  <si>
    <t>AEO.2023.REF2023.CNSM_NA_COMM_NA_ERL_NA_USA_QBTU.A</t>
  </si>
  <si>
    <t>Commercial: Total Energy Use by End Use: Space Heating: Reference case</t>
  </si>
  <si>
    <t>AEO.2023.REF2023.CNSM_NA_COMM_NA_TEE_SPH_USA_QBTU.A</t>
  </si>
  <si>
    <t>Commercial: Total Energy Use by End Use: Space Cooling: Reference case</t>
  </si>
  <si>
    <t>AEO.2023.REF2023.CNSM_NA_COMM_NA_TEE_SPC_USA_QBTU.A</t>
  </si>
  <si>
    <t>Commercial: Total Energy Use by End Use: Water Heating: Reference case</t>
  </si>
  <si>
    <t>AEO.2023.REF2023.CNSM_NA_COMM_NA_TEE_WTHT_USA_QBTU.A</t>
  </si>
  <si>
    <t>Commercial: Total Energy Use by End Use: Ventilation: Reference case</t>
  </si>
  <si>
    <t>AEO.2023.REF2023.CNSM_NA_COMM_NA_TEE_VNTC_USA_QBTU.A</t>
  </si>
  <si>
    <t>Commercial: Total Energy Use by End Use: Cooking: Reference case</t>
  </si>
  <si>
    <t>AEO.2023.REF2023.CNSM_NA_COMM_NA_TEE_CGR_USA_QBTU.A</t>
  </si>
  <si>
    <t>Commercial: Total Energy Use by End Use: Lighting: Reference case</t>
  </si>
  <si>
    <t>AEO.2023.REF2023.CNSM_NA_COMM_NA_TEE_LGHTNG_USA_QBTU.A</t>
  </si>
  <si>
    <t>Commercial: Total Energy Use by End Use: Refrigeration: Reference case</t>
  </si>
  <si>
    <t>AEO.2023.REF2023.CNSM_NA_COMM_NA_TEE_REFR_USA_QBTU.A</t>
  </si>
  <si>
    <t>Commercial: Total Energy Use by End Use: Computing: Reference case</t>
  </si>
  <si>
    <t>AEO.2023.REF2023.CNSM_NA_COMM_NA_TEE_OFEQPC_USA_QBTU.A</t>
  </si>
  <si>
    <t>Commercial: Total Energy Use by End Use: Office Equipment: Reference case</t>
  </si>
  <si>
    <t>AEO.2023.REF2023.CNSM_NA_COMM_NA_TEE_OFEQPNPC_USA_QBTU.A</t>
  </si>
  <si>
    <t>Commercial: Total Energy Use by End Use: Other Uses: Reference case</t>
  </si>
  <si>
    <t>AEO.2023.REF2023.CNSM_NA_COMM_NA_TEE_OTHU_USA_QBTU.A</t>
  </si>
  <si>
    <t>Commercial: Total Energy Use by End Use: Total Gross End-use Consumption: Reference case</t>
  </si>
  <si>
    <t>AEO.2023.REF2023.CNSM_NA_COMM_NA_TEE_NA_USA_QBTU.A</t>
  </si>
  <si>
    <t>Commercial: Total Energy Use by End Use: Generation for Own Use: Reference case</t>
  </si>
  <si>
    <t>AEO.2023.REF2023.GEN_GFO_COMM_NA_TEE_NA_USA_QBTU.A</t>
  </si>
  <si>
    <t>Total Net Own-use Generation</t>
  </si>
  <si>
    <t>Commercial: Total Energy Use by End Use: Total Net Own-use Generation: Reference case</t>
  </si>
  <si>
    <t>AEO.2023.REF2023.GEN_GFO_COMM_NA_TEE_TOT_USA_QBTU.A</t>
  </si>
  <si>
    <t>Commercial: Nonmarketed Renewable Fuels: Solar Thermal: Reference case</t>
  </si>
  <si>
    <t>AEO.2023.REF2023.CNSM_NA_COMM_NA_NRF_SOTH_USA_QBTU.A</t>
  </si>
  <si>
    <t>Commercial: Nonmarketed Renewable Fuels: Solar Photovoltaic: Reference case</t>
  </si>
  <si>
    <t>AEO.2023.REF2023.CNSM_NA_COMM_NA_NRF_SOPH_USA_QBTU.A</t>
  </si>
  <si>
    <t>Commercial: Nonmarketed Renewable Fuels: Wind: Reference case</t>
  </si>
  <si>
    <t>AEO.2023.REF2023.CNSM_NA_COMM_NA_NRF_WND_USA_QBTU.A</t>
  </si>
  <si>
    <t>Commercial: Nonmarketed Renewable Fuels: Total: Reference case</t>
  </si>
  <si>
    <t>AEO.2023.REF2023.CNSM_NA_COMM_NA_NRF_TOT_USA_QBTU.A</t>
  </si>
  <si>
    <t>Commercial: Heating Degree Days: New England: Reference case</t>
  </si>
  <si>
    <t>AEO.2023.REF2023.KEI_NA_COMM_NA_NA_NA_NENGL_HDD.A</t>
  </si>
  <si>
    <t>Commercial: Heating Degree Days: Middle Atlantic: Reference case</t>
  </si>
  <si>
    <t>AEO.2023.REF2023.KEI_NA_COMM_NA_NA_NA_MATL_HDD.A</t>
  </si>
  <si>
    <t>Commercial: Heating Degree Days: East North Central: Reference case</t>
  </si>
  <si>
    <t>AEO.2023.REF2023.KEI_NA_COMM_NA_NA_NA_ENC_HDD.A</t>
  </si>
  <si>
    <t>Commercial: Heating Degree Days: West North Central: Reference case</t>
  </si>
  <si>
    <t>AEO.2023.REF2023.KEI_NA_COMM_NA_NA_NA_WNC_HDD.A</t>
  </si>
  <si>
    <t>Commercial: Heating Degree Days: South Atlantic: Reference case</t>
  </si>
  <si>
    <t>AEO.2023.REF2023.KEI_NA_COMM_NA_NA_NA_SATL_HDD.A</t>
  </si>
  <si>
    <t>Commercial: Heating Degree Days: East South Central: Reference case</t>
  </si>
  <si>
    <t>AEO.2023.REF2023.KEI_NA_COMM_NA_NA_NA_ESC_HDD.A</t>
  </si>
  <si>
    <t>Commercial: Heating Degree Days: West South Central: Reference case</t>
  </si>
  <si>
    <t>AEO.2023.REF2023.KEI_NA_COMM_NA_NA_NA_WSC_HDD.A</t>
  </si>
  <si>
    <t>Commercial: Heating Degree Days: Mountain: Reference case</t>
  </si>
  <si>
    <t>AEO.2023.REF2023.KEI_NA_COMM_NA_NA_NA_MTN_HDD.A</t>
  </si>
  <si>
    <t>Commercial: Heating Degree Days: Pacific: Reference case</t>
  </si>
  <si>
    <t>AEO.2023.REF2023.KEI_NA_COMM_NA_NA_NA_PCF_HDD.A</t>
  </si>
  <si>
    <t>Commercial: Heating Degree Days: United States: Reference case</t>
  </si>
  <si>
    <t>AEO.2023.REF2023.KEI_NA_COMM_NA_NA_NA_USA_HDD.A</t>
  </si>
  <si>
    <t>Commercial: Cooling Degree Days: New England: Reference case</t>
  </si>
  <si>
    <t>AEO.2023.REF2023.KEI_NA_COMM_NA_NA_NA_NENGL_CDD.A</t>
  </si>
  <si>
    <t>Commercial: Cooling Degree Days: Middle Atlantic: Reference case</t>
  </si>
  <si>
    <t>AEO.2023.REF2023.KEI_NA_COMM_NA_NA_NA_MATL_CDD.A</t>
  </si>
  <si>
    <t>Commercial: Cooling Degree Days: East North Central: Reference case</t>
  </si>
  <si>
    <t>AEO.2023.REF2023.KEI_NA_COMM_NA_NA_NA_ENC_CDD.A</t>
  </si>
  <si>
    <t>Commercial: Cooling Degree Days: West North Central: Reference case</t>
  </si>
  <si>
    <t>AEO.2023.REF2023.KEI_NA_COMM_NA_NA_NA_WNC_CDD.A</t>
  </si>
  <si>
    <t>Commercial: Cooling Degree Days: South Atlantic: Reference case</t>
  </si>
  <si>
    <t>AEO.2023.REF2023.KEI_NA_COMM_NA_NA_NA_SATL_CDD.A</t>
  </si>
  <si>
    <t>Commercial: Cooling Degree Days: East South Central: Reference case</t>
  </si>
  <si>
    <t>AEO.2023.REF2023.KEI_NA_COMM_NA_NA_NA_ESC_CDD.A</t>
  </si>
  <si>
    <t>Commercial: Cooling Degree Days: West South Central: Reference case</t>
  </si>
  <si>
    <t>AEO.2023.REF2023.KEI_NA_COMM_NA_NA_NA_WSC_CDD.A</t>
  </si>
  <si>
    <t>Commercial: Cooling Degree Days: Mountain: Reference case</t>
  </si>
  <si>
    <t>AEO.2023.REF2023.KEI_NA_COMM_NA_NA_NA_MTN_CDD.A</t>
  </si>
  <si>
    <t>Commercial: Cooling Degree Days: Pacific: Reference case</t>
  </si>
  <si>
    <t>AEO.2023.REF2023.KEI_NA_COMM_NA_NA_NA_PCF_CDD.A</t>
  </si>
  <si>
    <t>Commercial: Cooling Degree Days: United States: Reference case</t>
  </si>
  <si>
    <t>AEO.2023.REF2023.KEI_NA_COMM_NA_NA_NA_USA_CDD.A</t>
  </si>
  <si>
    <t>Scenario</t>
  </si>
  <si>
    <t>State</t>
  </si>
  <si>
    <t>Year</t>
  </si>
  <si>
    <t>Nominal Capacity (GW)</t>
  </si>
  <si>
    <t>Peak Load (GW)</t>
  </si>
  <si>
    <t>Annual Energy (TWh)</t>
  </si>
  <si>
    <t>Historical</t>
  </si>
  <si>
    <t>US</t>
  </si>
  <si>
    <t>Low</t>
  </si>
  <si>
    <t>Medium</t>
  </si>
  <si>
    <t>High</t>
  </si>
  <si>
    <t>EIA</t>
  </si>
  <si>
    <t>terrwatt to btu</t>
  </si>
  <si>
    <t>Commercial MEL TWh/yr</t>
  </si>
  <si>
    <t>Wastewater Treatment</t>
  </si>
  <si>
    <t xml:space="preserve">Water Supply &amp; Purification </t>
  </si>
  <si>
    <t>btus</t>
  </si>
  <si>
    <t>Table 4</t>
  </si>
  <si>
    <t>BCEU-urban-residential-heating</t>
  </si>
  <si>
    <t>coal (BTU)</t>
  </si>
  <si>
    <t>heat (BTU)</t>
  </si>
  <si>
    <t>kerosene (BTU)</t>
  </si>
  <si>
    <t>heavy or residual fuel oil (BTU)</t>
  </si>
  <si>
    <t>hydrogen (BTU)</t>
  </si>
  <si>
    <t>BCEU-urban-residential-cooling</t>
  </si>
  <si>
    <t>BCEU-urban-residential-lighting</t>
  </si>
  <si>
    <t>BCEU-urban-residential-appl</t>
  </si>
  <si>
    <t>BCEU-urban-residential-other</t>
  </si>
  <si>
    <t>BCEU-rural-residential-heating</t>
  </si>
  <si>
    <t>BCEU-rural-residential-cooling</t>
  </si>
  <si>
    <t>BCEU-rural-residential-lighting</t>
  </si>
  <si>
    <t>BCEU-rural-residential-appl</t>
  </si>
  <si>
    <t>BCEU-rural-residential-other</t>
  </si>
  <si>
    <t>Table 5</t>
  </si>
  <si>
    <t>BCEU-commercial-heating</t>
  </si>
  <si>
    <t>BCEU-commercial-cooling</t>
  </si>
  <si>
    <t>BCEU-commercial-lighting</t>
  </si>
  <si>
    <t>BCEU-commercial-appl</t>
  </si>
  <si>
    <t>BCEU-commercial-other</t>
  </si>
  <si>
    <t>CHECK</t>
  </si>
  <si>
    <t>RESIDENTIAL CHECK</t>
  </si>
  <si>
    <t>aeo</t>
  </si>
  <si>
    <t>electricity</t>
  </si>
  <si>
    <t>eps</t>
  </si>
  <si>
    <t>COMMERCIAL CHECK</t>
  </si>
  <si>
    <t>DOE</t>
  </si>
  <si>
    <t>https://www.eia.gov/outlooks/aeo/data/browser/#/?id=4-AEO2026&amp;cases=electrnp&amp;sourcekey=0</t>
  </si>
  <si>
    <t>Thu Apr 23 2026 14:30:24 GMT-0700 (Pacific Daylight Time)</t>
  </si>
  <si>
    <t>Growth (2025-2050)</t>
  </si>
  <si>
    <t>Residential: Key Indicators: Households: Single-Family: Alternative Electricity and Transportation</t>
  </si>
  <si>
    <t>AEO.2026.ELECTRNP.KEI_HHD_RESD_SFR_NA_NA_USA_MILL.A</t>
  </si>
  <si>
    <t>0.8%</t>
  </si>
  <si>
    <t>Residential: Key Indicators: Households: Multifamily: Alternative Electricity and Transportation</t>
  </si>
  <si>
    <t>AEO.2026.ELECTRNP.KEI_HHD_RESD_MFR_NA_NA_USA_MILL.A</t>
  </si>
  <si>
    <t>0.9%</t>
  </si>
  <si>
    <t>Residential: Key Indicators: Households: Mobile Homes: Alternative Electricity and Transportation</t>
  </si>
  <si>
    <t>AEO.2026.ELECTRNP.KEI_HHD_RESD_MBH_NA_NA_USA_MILL.A</t>
  </si>
  <si>
    <t>0.1%</t>
  </si>
  <si>
    <t>Residential: Key Indicators: Households: Total: Alternative Electricity and Transportation</t>
  </si>
  <si>
    <t>AEO.2026.ELECTRNP.KEI_HHD_RESD_TEN_NA_NA_USA_MILL.A</t>
  </si>
  <si>
    <t>Residential: Key Indicators: Average House Square Footage: Alternative Electricity and Transportation</t>
  </si>
  <si>
    <t>AEO.2026.ELECTRNP.KEI_HHD_RESD_NA_NA_NA_USA_SQFT.A</t>
  </si>
  <si>
    <t>0.3%</t>
  </si>
  <si>
    <t>Residential: Household Energy Intensity: Gross End-use Consumption: Alternative Electricity and Transportation</t>
  </si>
  <si>
    <t>AEO.2026.ELECTRNP.INY_HHD_RESD_DELE_NA_NA_USA_MILLBTUPHOSD.A</t>
  </si>
  <si>
    <t>-1.0%</t>
  </si>
  <si>
    <t>Residential: Household Energy Intensity: Delivered Energy Consumption: Alternative Electricity and Transportation</t>
  </si>
  <si>
    <t>AEO.2026.ELECTRNP.INY_HHD_RESD_TEN_NA_NA_USA_MILLBTUPHOSD.A</t>
  </si>
  <si>
    <t>-1.1%</t>
  </si>
  <si>
    <t>Residential: Energy Intensity per Square Foot: Gross End-use Consumption: Alternative Electricity and Transportation</t>
  </si>
  <si>
    <t>AEO.2026.ELECTRNP.INY_HHD_RESD_DELE_NA_NA_USA_THBTUPSQFT.A</t>
  </si>
  <si>
    <t>-1.2%</t>
  </si>
  <si>
    <t>Residential: Energy Intensity per Square Foot: Delivered Energy Consumption: Alternative Electricity and Transportation</t>
  </si>
  <si>
    <t>AEO.2026.ELECTRNP.INY_HHD_RESD_TEN_NA_NA_USA_THBTUPSQFT.A</t>
  </si>
  <si>
    <t>-1.4%</t>
  </si>
  <si>
    <t>AEO.2026.ELECTRNP.CNSM_HHD_RESD_SPH_ELC_NA_USA_QBTU.A</t>
  </si>
  <si>
    <t>-0.9%</t>
  </si>
  <si>
    <t>AEO.2026.ELECTRNP.CNSM_NA_RESD_SPC_ELC_NA_USA_QBTU.A</t>
  </si>
  <si>
    <t>1.4%</t>
  </si>
  <si>
    <t>AEO.2026.ELECTRNP.CNSM_NA_RESD_WTHT_ELC_NA_USA_QBTU.A</t>
  </si>
  <si>
    <t>-2.7%</t>
  </si>
  <si>
    <t>AEO.2026.ELECTRNP.CNSM_NA_RESD_REFR_ELC_NA_USA_QBTU.A</t>
  </si>
  <si>
    <t>-0.0%</t>
  </si>
  <si>
    <t>AEO.2026.ELECTRNP.CNSM_NA_RESD_CGR_ELC_NA_USA_QBTU.A</t>
  </si>
  <si>
    <t>AEO.2026.ELECTRNP.CNSM_NA_RESD_CDR_ELC_NA_USA_QBTU.A</t>
  </si>
  <si>
    <t>0.6%</t>
  </si>
  <si>
    <t>AEO.2026.ELECTRNP.CNSM_NA_RESD_FRZ_ELC_NA_USA_QBTU.A</t>
  </si>
  <si>
    <t>-0.4%</t>
  </si>
  <si>
    <t>AEO.2026.ELECTRNP.CNSM_NA_RESD_LGHTNG_ELC_NA_USA_QBTU.A</t>
  </si>
  <si>
    <t>AEO.2026.ELECTRNP.CNSM_NA_RESD_CLW_ELC_NA_USA_QBTU.A</t>
  </si>
  <si>
    <t>AEO.2026.ELECTRNP.CNSM_NA_RESD_DSW_ELC_NA_USA_QBTU.A</t>
  </si>
  <si>
    <t>1.0%</t>
  </si>
  <si>
    <t>AEO.2026.ELECTRNP.CNSM_NA_RESD_TVR_ELC_NA_USA_QBTU.A</t>
  </si>
  <si>
    <t>AEO.2026.ELECTRNP.CNSM_NA_RESD_CMPR_ELC_NA_USA_QBTU.A</t>
  </si>
  <si>
    <t>-1.7%</t>
  </si>
  <si>
    <t>AEO.2026.ELECTRNP.CNSM_NA_RESD_FPR_ELC_NA_USA_QBTU.A</t>
  </si>
  <si>
    <t>AEO.2026.ELECTRNP.CNSM_NA_RESD_OTHU_ELC_NA_USA_QBTU.A</t>
  </si>
  <si>
    <t>1.2%</t>
  </si>
  <si>
    <t>AEO.2026.ELECTRNP.CNSM_NA_RESD_DELE_ELC_NA_USA_QBTU.A</t>
  </si>
  <si>
    <t>0.5%</t>
  </si>
  <si>
    <t>AEO.2026.ELECTRNP.CNSM_NA_RESD_EVCHRING_ELC_NA_USA_QBTU.A</t>
  </si>
  <si>
    <t>9.0%</t>
  </si>
  <si>
    <t>AEO.2026.ELECTRNP.GEN_NA_RESD_GFO_ELC_NA_USA_QBTU.A</t>
  </si>
  <si>
    <t>5.0%</t>
  </si>
  <si>
    <t>AEO.2026.ELECTRNP.CNSM_NA_RESD_PURCHELEC_ELC_NA_USA_QBTU.A</t>
  </si>
  <si>
    <t>AEO.2026.ELECTRNP.CNSM_NA_RESD_SPH_NG_NA_USA_QBTU.A</t>
  </si>
  <si>
    <t>AEO.2026.ELECTRNP.CNSM_NA_RESD_SPC_NG_NA_USA_QBTU.A</t>
  </si>
  <si>
    <t>AEO.2026.ELECTRNP.CNSM_NA_RESD_WTHT_NG_NA_USA_QBTU.A</t>
  </si>
  <si>
    <t>-0.1%</t>
  </si>
  <si>
    <t>AEO.2026.ELECTRNP.CNSM_NA_RESD_CGR_NG_NA_USA_QBTU.A</t>
  </si>
  <si>
    <t>0.2%</t>
  </si>
  <si>
    <t>AEO.2026.ELECTRNP.CNSM_NA_RESD_CDR_NG_NA_USA_QBTU.A</t>
  </si>
  <si>
    <t>1.3%</t>
  </si>
  <si>
    <t>AEO.2026.ELECTRNP.CNSM_NA_RESD_OTHU_NG_NA_USA_QBTU.A</t>
  </si>
  <si>
    <t>AEO.2026.ELECTRNP.CNSM_NA_RESD_DELE_NG_NA_USA_QBTU.A</t>
  </si>
  <si>
    <t>-0.7%</t>
  </si>
  <si>
    <t>AEO.2026.ELECTRNP.CNSM_NA_RESD_SPH_DFO_NA_USA_QBTU.A</t>
  </si>
  <si>
    <t>-1.5%</t>
  </si>
  <si>
    <t>AEO.2026.ELECTRNP.CNSM_NA_RESD_WTHT_DFO_NA_USA_QBTU.A</t>
  </si>
  <si>
    <t>-3.3%</t>
  </si>
  <si>
    <t>AEO.2026.ELECTRNP.CNSM_NA_RESD_OTHU_DFO_NA_USA_QBTU.A</t>
  </si>
  <si>
    <t>AEO.2026.ELECTRNP.CNSM_NA_RESD_NA_DFO_NA_USA_QBTU.A</t>
  </si>
  <si>
    <t>AEO.2026.ELECTRNP.CNSM_NA_RESD_SPH_PROP_NA_USA_QBTU.A</t>
  </si>
  <si>
    <t>-1.6%</t>
  </si>
  <si>
    <t>AEO.2026.ELECTRNP.CNSM_NA_RESD_WTHT_PROP_NA_USA_QBTU.A</t>
  </si>
  <si>
    <t>AEO.2026.ELECTRNP.CNSM_NA_RESD_CGR_PROP_NA_USA_QBTU.A</t>
  </si>
  <si>
    <t>-0.2%</t>
  </si>
  <si>
    <t>AEO.2026.ELECTRNP.CNSM_NA_RESD_OTHU_PROP_NA_USA_QBTU.A</t>
  </si>
  <si>
    <t>2.3%</t>
  </si>
  <si>
    <t>AEO.2026.ELECTRNP.CNSM_NA_RESD_DELE_PROP_NA_USA_QBTU.A</t>
  </si>
  <si>
    <t>AEO.2026.ELECTRNP.CNSM_NA_RESD_NA_MRW_NA_USA_QBTU.A</t>
  </si>
  <si>
    <t>Residential: Delivered Energy Use by End Use: Space Heating: Alternative Electricity and Transportation</t>
  </si>
  <si>
    <t>AEO.2026.ELECTRNP.CNSM_NA_RESD_SPH_DEE_NA_USA_QBTU.A</t>
  </si>
  <si>
    <t>-1.3%</t>
  </si>
  <si>
    <t>Residential: Delivered Energy Use by End Use: Space Cooling: Alternative Electricity and Transportation</t>
  </si>
  <si>
    <t>AEO.2026.ELECTRNP.CNSM_NA_RESD_SPC_DEE_NA_USA_QBTU.A</t>
  </si>
  <si>
    <t>Residential: Delivered Energy Use by End Use: Water Heating: Alternative Electricity and Transportation</t>
  </si>
  <si>
    <t>AEO.2026.ELECTRNP.CNSM_NA_RESD_WTHT_DEE_NA_USA_QBTU.A</t>
  </si>
  <si>
    <t>-0.8%</t>
  </si>
  <si>
    <t>Residential: Delivered Energy Use by End Use: Refrigeration: Alternative Electricity and Transportation</t>
  </si>
  <si>
    <t>AEO.2026.ELECTRNP.CNSM_NA_RESD_REFR_DEE_NA_USA_QBTU.A</t>
  </si>
  <si>
    <t>Residential: Delivered Energy Use by End Use: Cooking: Alternative Electricity and Transportation</t>
  </si>
  <si>
    <t>AEO.2026.ELECTRNP.CNSM_NA_RESD_CGR_DEE_NA_USA_QBTU.A</t>
  </si>
  <si>
    <t>Residential: Delivered Energy Use by End Use: Clothes Dryers: Alternative Electricity and Transportation</t>
  </si>
  <si>
    <t>AEO.2026.ELECTRNP.CNSM_NA_RESD_CDR_DEE_NA_USA_QBTU.A</t>
  </si>
  <si>
    <t>0.7%</t>
  </si>
  <si>
    <t>Residential: Delivered Energy Use by End Use: Freezers: Alternative Electricity and Transportation</t>
  </si>
  <si>
    <t>AEO.2026.ELECTRNP.CNSM_NA_RESD_FRZ_DEE_NA_USA_QBTU.A</t>
  </si>
  <si>
    <t>Residential: Delivered Energy Use by End Use: Lighting: Alternative Electricity and Transportation</t>
  </si>
  <si>
    <t>AEO.2026.ELECTRNP.CNSM_NA_RESD_LGHTNG_DEE_NA_USA_QBTU.A</t>
  </si>
  <si>
    <t>Residential: Delivered Energy Use by End Use: Clothes Washers: Alternative Electricity and Transportation</t>
  </si>
  <si>
    <t>AEO.2026.ELECTRNP.CNSM_NA_RESD_CLW_DEE_NA_USA_QBTU.A</t>
  </si>
  <si>
    <t>Residential: Delivered Energy Use by End Use: Dishwashers: Alternative Electricity and Transportation</t>
  </si>
  <si>
    <t>AEO.2026.ELECTRNP.CNSM_NA_RESD_DSW_DEE_NA_USA_QBTU.A</t>
  </si>
  <si>
    <t>Residential: Delivered Energy Use by End Use: Televisions: Alternative Electricity and Transportation</t>
  </si>
  <si>
    <t>AEO.2026.ELECTRNP.CNSM_NA_RESD_TVR_DEE_NA_USA_QBTU.A</t>
  </si>
  <si>
    <t>Residential: Delivered Energy Use by End Use: Computers: Alternative Electricity and Transportation</t>
  </si>
  <si>
    <t>AEO.2026.ELECTRNP.CNSM_NA_RESD_CMPR_DEE_NA_USA_QBTU.A</t>
  </si>
  <si>
    <t>Residential: Delivered Energy Use by End Use: Fans and Pumps: Alternative Electricity and Transportation</t>
  </si>
  <si>
    <t>AEO.2026.ELECTRNP.CNSM_NA_RESD_FPR_DEE_NA_USA_QBTU.A</t>
  </si>
  <si>
    <t>Residential: Delivered Energy Use by End Use: Other Uses: Alternative Electricity and Transportation</t>
  </si>
  <si>
    <t>AEO.2026.ELECTRNP.CNSM_NA_RESD_OTHU_DEE_NA_USA_QBTU.A</t>
  </si>
  <si>
    <t>Residential: Energy Consumption by End Use: Gross End-use Consumption: Alternative Electricity and Transportation</t>
  </si>
  <si>
    <t>AEO.2026.ELECTRNP.CNSM_NA_RESD_TUS_DEE_NA_USA_QBTU.A</t>
  </si>
  <si>
    <t>Residential: Energy Consumption by End Use: Purchased Electricity for EV Charging: Alternative Electricity and Transportation</t>
  </si>
  <si>
    <t>AEO.2026.ELECTRNP.CNSM_NA_RESD_PUELEVCHRG_DEE_NA_USA_QBTU.A</t>
  </si>
  <si>
    <t>Residential: Energy Consumption by End Use: Generation for Own Use: Alternative Electricity and Transportation</t>
  </si>
  <si>
    <t>AEO.2026.ELECTRNP.GEN_NA_RESD_GFO_DEE_NA_USA_QBTU.A</t>
  </si>
  <si>
    <t>Residential: Energy Consumption by End Use: Delivered Energy: Alternative Electricity and Transportation</t>
  </si>
  <si>
    <t>AEO.2026.ELECTRNP.CNSM_NA_RESD_DELE_DEE_NA_USA_QBTU.A</t>
  </si>
  <si>
    <t>Residential: Electricity Related Losses: Alternative Electricity and Transportation</t>
  </si>
  <si>
    <t>AEO.2026.ELECTRNP.CNSM_LOSSES_RESD_NA_ENRL_NA_USA_QBTU.A</t>
  </si>
  <si>
    <t>Residential: Total Energy Use by End Use: Space Heating: Alternative Electricity and Transportation</t>
  </si>
  <si>
    <t>AEO.2026.ELECTRNP.CNSM_NA_RESD_SPH_TEE_NA_USA_QBTU.A</t>
  </si>
  <si>
    <t>Residential: Total Energy Use by End Use: Space Cooling: Alternative Electricity and Transportation</t>
  </si>
  <si>
    <t>AEO.2026.ELECTRNP.CNSM_NA_RESD_SPC_TEE_NA_USA_QBTU.A</t>
  </si>
  <si>
    <t>Residential: Total Energy Use by End Use: Water Heating: Alternative Electricity and Transportation</t>
  </si>
  <si>
    <t>AEO.2026.ELECTRNP.CNSM_NA_RESD_WTHT_TEE_NA_USA_QBTU.A</t>
  </si>
  <si>
    <t>Residential: Total Energy Use by End Use: Refrigeration: Alternative Electricity and Transportation</t>
  </si>
  <si>
    <t>AEO.2026.ELECTRNP.CNSM_NA_RESD_REFR_TEE_NA_USA_QBTU.A</t>
  </si>
  <si>
    <t>Residential: Total Energy Use by End Use: Cooking: Alternative Electricity and Transportation</t>
  </si>
  <si>
    <t>AEO.2026.ELECTRNP.CNSM_NA_RESD_CGR_TEE_NA_USA_QBTU.A</t>
  </si>
  <si>
    <t>0.0%</t>
  </si>
  <si>
    <t>Residential: Total Energy Use by End Use: Clothes Dryers: Alternative Electricity and Transportation</t>
  </si>
  <si>
    <t>AEO.2026.ELECTRNP.CNSM_NA_RESD_CDR_TEE_NA_USA_QBTU.A</t>
  </si>
  <si>
    <t>Residential: Total Energy Use by End Use: Freezers: Alternative Electricity and Transportation</t>
  </si>
  <si>
    <t>AEO.2026.ELECTRNP.CNSM_NA_RESD_FRZ_TEE_NA_USA_QBTU.A</t>
  </si>
  <si>
    <t>Residential: Total Energy Use by End Use: Lighting: Alternative Electricity and Transportation</t>
  </si>
  <si>
    <t>AEO.2026.ELECTRNP.CNSM_NA_RESD_LGHTNG_TEE_NA_USA_QBTU.A</t>
  </si>
  <si>
    <t>Residential: Total Energy Use by End Use: Clothes Washers: Alternative Electricity and Transportation</t>
  </si>
  <si>
    <t>AEO.2026.ELECTRNP.CNSM_NA_RESD_CLW_TEE_NA_USA_QBTU.A</t>
  </si>
  <si>
    <t>-2.4%</t>
  </si>
  <si>
    <t>Residential: Total Energy Use by End Use: Dishwashers: Alternative Electricity and Transportation</t>
  </si>
  <si>
    <t>AEO.2026.ELECTRNP.CNSM_NA_RESD_DSW_TEE_NA_USA_QBTU.A</t>
  </si>
  <si>
    <t>Residential: Total Energy Use by End Use: Televisions: Alternative Electricity and Transportation</t>
  </si>
  <si>
    <t>AEO.2026.ELECTRNP.CNSM_NA_RESD_TVR_TEE_NA_USA_QBTU.A</t>
  </si>
  <si>
    <t>-1.9%</t>
  </si>
  <si>
    <t>Residential: Total Energy Use by End Use: Computers: Alternative Electricity and Transportation</t>
  </si>
  <si>
    <t>AEO.2026.ELECTRNP.CNSM_NA_RESD_CMPR_TEE_NA_USA_QBTU.A</t>
  </si>
  <si>
    <t>-2.6%</t>
  </si>
  <si>
    <t>Residential: Total Energy Use by End Use: Fans and Pumps: Alternative Electricity and Transportation</t>
  </si>
  <si>
    <t>AEO.2026.ELECTRNP.CNSM_NA_RESD_FPR_TEE_NA_USA_QBTU.A</t>
  </si>
  <si>
    <t>-2.0%</t>
  </si>
  <si>
    <t>Residential: Total Energy Use by End Use: Other Uses: Alternative Electricity and Transportation</t>
  </si>
  <si>
    <t>AEO.2026.ELECTRNP.CNSM_NA_RESD_OTHU_TEE_NA_USA_QBTU.A</t>
  </si>
  <si>
    <t>Residential: Total Energy Use by End Use: Total Gross End-use Consumption: Alternative Electricity and Transportation</t>
  </si>
  <si>
    <t>AEO.2026.ELECTRNP.CNSM_NA_RESD_TOTENCONS_TEE_NA_USA_QBTU.A</t>
  </si>
  <si>
    <t>-0.6%</t>
  </si>
  <si>
    <t>Residential: Generation for Own Use: Purchased Electricity for EV Charging: Alternative Electricity and Transportation</t>
  </si>
  <si>
    <t>AEO.2026.ELECTRNP.GEN_NA_RESD_PUELEVCHRG_TEE_NA_USA_QBTU.A</t>
  </si>
  <si>
    <t>8.1%</t>
  </si>
  <si>
    <t>Residential: Generation for Own Use: Total Gross End-use Consumption: Alternative Electricity and Transportation</t>
  </si>
  <si>
    <t>AEO.2026.ELECTRNP.GEN_NA_RESD_GFO_TEE_NA_USA_QBTU.A</t>
  </si>
  <si>
    <t>Residential: Total Net Own-use Generation: Total Gross End-use Consumption: Alternative Electricity and Transportation</t>
  </si>
  <si>
    <t>AEO.2026.ELECTRNP.GEN_NA_RESD_TTG_TEE_NA_USA_QBTU.A</t>
  </si>
  <si>
    <t>Residential: Nonmarketed Renewables: Solar Hot Water Heating: Alternative Electricity and Transportation</t>
  </si>
  <si>
    <t>AEO.2026.ELECTRNP.CNSM_NA_RESD_SHW_NRW_NA_USA_QBTU.A</t>
  </si>
  <si>
    <t>Residential: Nonmarketed Renewables: Solar Photovoltaic: Alternative Electricity and Transportation</t>
  </si>
  <si>
    <t>AEO.2026.ELECTRNP.CNSM_NA_RESD_SOPH_NRW_NA_USA_QBTU.A</t>
  </si>
  <si>
    <t>5.1%</t>
  </si>
  <si>
    <t>Residential: Nonmarketed Renewables: Wind: Alternative Electricity and Transportation</t>
  </si>
  <si>
    <t>AEO.2026.ELECTRNP.CNSM_NA_RESD_WND_NRW_NA_USA_QBTU.A</t>
  </si>
  <si>
    <t>2.0%</t>
  </si>
  <si>
    <t>Residential: Nonmarketed Renewables: Total: Alternative Electricity and Transportation</t>
  </si>
  <si>
    <t>AEO.2026.ELECTRNP.CNSM_NA_RESD_NA_NRW_NA_USA_QBTU.A</t>
  </si>
  <si>
    <t>4.5%</t>
  </si>
  <si>
    <t>Residential: Heating Degree Days: New England: Alternative Electricity and Transportation</t>
  </si>
  <si>
    <t>AEO.2026.ELECTRNP.KEI_HDD_RESD_NA_NA_NA_NENGL_HDD.A</t>
  </si>
  <si>
    <t>-0.5%</t>
  </si>
  <si>
    <t>Residential: Heating Degree Days: Middle Atlantic: Alternative Electricity and Transportation</t>
  </si>
  <si>
    <t>AEO.2026.ELECTRNP.KEI_HDD_RESD_NA_NA_NA_MATL_HDD.A</t>
  </si>
  <si>
    <t>Residential: Heating Degree Days: East North Central: Alternative Electricity and Transportation</t>
  </si>
  <si>
    <t>AEO.2026.ELECTRNP.KEI_HDD_RESD_NA_NA_NA_ENC_HDD.A</t>
  </si>
  <si>
    <t>Residential: Heating Degree Days: West North Central: Alternative Electricity and Transportation</t>
  </si>
  <si>
    <t>AEO.2026.ELECTRNP.KEI_HDD_RESD_NA_NA_NA_WNC_HDD.A</t>
  </si>
  <si>
    <t>Residential: Heating Degree Days: South Atlantic: Alternative Electricity and Transportation</t>
  </si>
  <si>
    <t>AEO.2026.ELECTRNP.KEI_HDD_RESD_NA_NA_NA_SATL_HDD.A</t>
  </si>
  <si>
    <t>Residential: Heating Degree Days: East South Central: Alternative Electricity and Transportation</t>
  </si>
  <si>
    <t>AEO.2026.ELECTRNP.KEI_HDD_RESD_NA_NA_NA_ESC_HDD.A</t>
  </si>
  <si>
    <t>Residential: Heating Degree Days: West South Central: Alternative Electricity and Transportation</t>
  </si>
  <si>
    <t>AEO.2026.ELECTRNP.KEI_HDD_RESD_NA_NA_NA_WSC_HDD.A</t>
  </si>
  <si>
    <t>Residential: Heating Degree Days: Mountain: Alternative Electricity and Transportation</t>
  </si>
  <si>
    <t>AEO.2026.ELECTRNP.KEI_HDD_RESD_NA_NA_NA_MTN_HDD.A</t>
  </si>
  <si>
    <t>Residential: Heating Degree Days: Pacific: Alternative Electricity and Transportation</t>
  </si>
  <si>
    <t>AEO.2026.ELECTRNP.KEI_HDD_RESD_NA_NA_NA_PCF_HDD.A</t>
  </si>
  <si>
    <t>Residential: Heating Degree Days: United States: Alternative Electricity and Transportation</t>
  </si>
  <si>
    <t>AEO.2026.ELECTRNP.KEI_HDD_RESD_NA_NA_NA_USA_HDD.A</t>
  </si>
  <si>
    <t>Residential: Cooling Degree Days: New England: Alternative Electricity and Transportation</t>
  </si>
  <si>
    <t>AEO.2026.ELECTRNP.KEI_CDD_RESD_NA_NA_NA_NENGL_CDD.A</t>
  </si>
  <si>
    <t>1.6%</t>
  </si>
  <si>
    <t>Residential: Cooling Degree Days: Middle Atlantic: Alternative Electricity and Transportation</t>
  </si>
  <si>
    <t>AEO.2026.ELECTRNP.KEI_CDD_RESD_NA_NA_NA_MATL_CDD.A</t>
  </si>
  <si>
    <t>Residential: Cooling Degree Days: East North Central: Alternative Electricity and Transportation</t>
  </si>
  <si>
    <t>AEO.2026.ELECTRNP.KEI_CDD_RESD_NA_NA_NA_ENC_CDD.A</t>
  </si>
  <si>
    <t>0.4%</t>
  </si>
  <si>
    <t>Residential: Cooling Degree Days: West North Central: Alternative Electricity and Transportation</t>
  </si>
  <si>
    <t>AEO.2026.ELECTRNP.KEI_CDD_RESD_NA_NA_NA_WNC_CDD.A</t>
  </si>
  <si>
    <t>Residential: Cooling Degree Days: South Atlantic: Alternative Electricity and Transportation</t>
  </si>
  <si>
    <t>AEO.2026.ELECTRNP.KEI_CDD_RESD_NA_NA_NA_SATL_CDD.A</t>
  </si>
  <si>
    <t>Residential: Cooling Degree Days: East South Central: Alternative Electricity and Transportation</t>
  </si>
  <si>
    <t>AEO.2026.ELECTRNP.KEI_CDD_RESD_NA_NA_NA_ESC_CDD.A</t>
  </si>
  <si>
    <t>Residential: Cooling Degree Days: West South Central: Alternative Electricity and Transportation</t>
  </si>
  <si>
    <t>AEO.2026.ELECTRNP.KEI_CDD_RESD_NA_NA_NA_WSC_CDD.A</t>
  </si>
  <si>
    <t>Residential: Cooling Degree Days: Mountain: Alternative Electricity and Transportation</t>
  </si>
  <si>
    <t>AEO.2026.ELECTRNP.KEI_CDD_RESD_NA_NA_NA_MTN_CDD.A</t>
  </si>
  <si>
    <t>Residential: Cooling Degree Days: Pacific: Alternative Electricity and Transportation</t>
  </si>
  <si>
    <t>AEO.2026.ELECTRNP.KEI_CDD_RESD_NA_NA_NA_PCF_CDD.A</t>
  </si>
  <si>
    <t>Residential: Cooling Degree Days: United States: Alternative Electricity and Transportation</t>
  </si>
  <si>
    <t>AEO.2026.ELECTRNP.KEI_CDD_RESD_NA_NA_NA_USA_CDD.A</t>
  </si>
  <si>
    <t>https://www.eia.gov/outlooks/aeo/data/browser/#/?id=5-AEO2026&amp;cases=electrnp&amp;sourcekey=0</t>
  </si>
  <si>
    <t>Thu Apr 23 2026 14:57:48 GMT-0700 (Pacific Daylight Time)</t>
  </si>
  <si>
    <t>Commercial: Total Floorspace: Surviving: Alternative Electricity and Transportation</t>
  </si>
  <si>
    <t>AEO.2026.ELECTRNP.KEI_NA_COMM_NA_TFP_SURV_USA_BLNSQFT.A</t>
  </si>
  <si>
    <t>Commercial: Total Floorspace: New Additions: Alternative Electricity and Transportation</t>
  </si>
  <si>
    <t>AEO.2026.ELECTRNP.KEI_NA_COMM_NA_TFP_NADN_USA_BLNSQFT.A</t>
  </si>
  <si>
    <t>Commercial: Total Floorspace: Total: Alternative Electricity and Transportation</t>
  </si>
  <si>
    <t>AEO.2026.ELECTRNP.KEI_NA_COMM_NA_TFP_TOT_USA_BLNSQFT.A</t>
  </si>
  <si>
    <t>Commercial: Energy Use Intensity: Gross End-use Consumption: Alternative Electricity and Transportation</t>
  </si>
  <si>
    <t>AEO.2026.ELECTRNP.INY_NA_COMM_NA_EUI_DLENCONS_USA_THBTUPSQFT.A</t>
  </si>
  <si>
    <t>Commercial: Energy Use Intensity: Delivered Energy Consumption: Alternative Electricity and Transportation</t>
  </si>
  <si>
    <t>AEO.2026.ELECTRNP.INY_NA_COMM_NA_EUI_ERL_USA_THBTUPSQFT.A</t>
  </si>
  <si>
    <t>AEO.2026.ELECTRNP.CNSM_NA_COMM_NA_PRC_SPH_USA_QBTU.A</t>
  </si>
  <si>
    <t>AEO.2026.ELECTRNP.CNSM_NA_COMM_NA_PRC_SPC_USA_QBTU.A</t>
  </si>
  <si>
    <t>AEO.2026.ELECTRNP.CNSM_NA_COMM_NA_PRC_WTHT_USA_QBTU.A</t>
  </si>
  <si>
    <t>AEO.2026.ELECTRNP.CNSM_NA_COMM_NA_PRC_VNTC_USA_QBTU.A</t>
  </si>
  <si>
    <t>AEO.2026.ELECTRNP.CNSM_NA_COMM_NA_PRC_CGR_USA_QBTU.A</t>
  </si>
  <si>
    <t>AEO.2026.ELECTRNP.CNSM_NA_COMM_NA_PRC_LGHTNG_USA_QBTU.A</t>
  </si>
  <si>
    <t>AEO.2026.ELECTRNP.CNSM_NA_COMM_NA_PRC_REFR_USA_QBTU.A</t>
  </si>
  <si>
    <t>Data Center Servers</t>
  </si>
  <si>
    <t>Commercial: Purchased Electricity: Data Center Servers: Alternative Electricity and Transportation</t>
  </si>
  <si>
    <t>AEO.2026.ELECTRNP.CNSM_NA_COMM_NA_PRC_DATACTRSERV_USA_QBTU.A</t>
  </si>
  <si>
    <t>6.0%</t>
  </si>
  <si>
    <t>Computers and office equipment</t>
  </si>
  <si>
    <t>AEO.2026.ELECTRNP.CNSM_NA_COMM_NA_PRC_OTHEQP_USA_QBTU.A</t>
  </si>
  <si>
    <t>AEO.2026.ELECTRNP.CNSM_NA_COMM_NA_PRC_OTHU_USA_QBTU.A</t>
  </si>
  <si>
    <t>AEO.2026.ELECTRNP.CNSM_NA_COMM_NA_PRC_DELE_USA_QBTU.A</t>
  </si>
  <si>
    <t>1.1%</t>
  </si>
  <si>
    <t>AEO.2026.ELECTRNP.GEN_NA_COMM_NA_PRC_EVCHA_USA_QBTU.A</t>
  </si>
  <si>
    <t>10.4%</t>
  </si>
  <si>
    <t>AEO.2026.ELECTRNP.GEN_NA_COMM_NA_GFO_ELC_USA_QBTU.A</t>
  </si>
  <si>
    <t>2.7%</t>
  </si>
  <si>
    <t>AEO.2026.ELECTRNP.CNSM_NA_COMM_NA_DELE_ELC_USA_QBTU.A</t>
  </si>
  <si>
    <t>AEO.2026.ELECTRNP.CNSM_NA_COMM_NA_NG_SPH_USA_QBTU.A</t>
  </si>
  <si>
    <t>AEO.2026.ELECTRNP.CNSM_NA_COMM_NA_NG_SPC_USA_QBTU.A</t>
  </si>
  <si>
    <t>3.1%</t>
  </si>
  <si>
    <t>AEO.2026.ELECTRNP.CNSM_NA_COMM_NA_NG_WTHT_USA_QBTU.A</t>
  </si>
  <si>
    <t>AEO.2026.ELECTRNP.CNSM_NA_COMM_NA_NG_CGR_USA_QBTU.A</t>
  </si>
  <si>
    <t>AEO.2026.ELECTRNP.CNSM_NA_COMM_NA_NG_OTHU_USA_QBTU.A</t>
  </si>
  <si>
    <t>-0.3%</t>
  </si>
  <si>
    <t>AEO.2026.ELECTRNP.CNSM_NA_COMM_NA_NG_DELE_USA_QBTU.A</t>
  </si>
  <si>
    <t>AEO.2026.ELECTRNP.CNSM_NA_COMM_NA_DFO_SPH_USA_QBTU.A</t>
  </si>
  <si>
    <t>AEO.2026.ELECTRNP.CNSM_NA_COMM_NA_DFO_WTHT_USA_QBTU.A</t>
  </si>
  <si>
    <t>AEO.2026.ELECTRNP.CNSM_NA_COMM_NA_DFO_OTHU_USA_QBTU.A</t>
  </si>
  <si>
    <t>AEO.2026.ELECTRNP.CNSM_NA_COMM_NA_DFO_DELE_USA_QBTU.A</t>
  </si>
  <si>
    <t>AEO.2026.ELECTRNP.CNSM_NA_COMM_NA_BMS_NA_USA_QBTU.A</t>
  </si>
  <si>
    <t>AEO.2026.ELECTRNP.CNSM_NA_COMM_NA_OFU_NA_USA_QBTU.A</t>
  </si>
  <si>
    <t>Commercial: Delivered Energy Use by End Use: Space Heating: Alternative Electricity and Transportation</t>
  </si>
  <si>
    <t>AEO.2026.ELECTRNP.CNSM_NA_COMM_NA_DEE_SPH_USA_QBTU.A</t>
  </si>
  <si>
    <t>Commercial: Delivered Energy Use by End Use: Space Cooling: Alternative Electricity and Transportation</t>
  </si>
  <si>
    <t>AEO.2026.ELECTRNP.CNSM_NA_COMM_NA_DEE_SPC_USA_QBTU.A</t>
  </si>
  <si>
    <t>Commercial: Delivered Energy Use by End Use: Water Heating: Alternative Electricity and Transportation</t>
  </si>
  <si>
    <t>AEO.2026.ELECTRNP.CNSM_NA_COMM_NA_DEE_WTHT_USA_QBTU.A</t>
  </si>
  <si>
    <t>Commercial: Delivered Energy Use by End Use: Ventilation: Alternative Electricity and Transportation</t>
  </si>
  <si>
    <t>AEO.2026.ELECTRNP.CNSM_NA_COMM_NA_DEE_VNTC_USA_QBTU.A</t>
  </si>
  <si>
    <t>Commercial: Delivered Energy Use by End Use: Cooking: Alternative Electricity and Transportation</t>
  </si>
  <si>
    <t>AEO.2026.ELECTRNP.CNSM_NA_COMM_NA_DEE_CGR_USA_QBTU.A</t>
  </si>
  <si>
    <t>Commercial: Delivered Energy Use by End Use: Lighting: Alternative Electricity and Transportation</t>
  </si>
  <si>
    <t>AEO.2026.ELECTRNP.CNSM_NA_COMM_NA_DEE_LGHTNG_USA_QBTU.A</t>
  </si>
  <si>
    <t>Commercial: Delivered Energy Use by End Use: Refrigeration: Alternative Electricity and Transportation</t>
  </si>
  <si>
    <t>AEO.2026.ELECTRNP.CNSM_NA_COMM_NA_DEE_REFR_USA_QBTU.A</t>
  </si>
  <si>
    <t>Commercial: Delivered Energy Use by End Use: Data Center Servers: Alternative Electricity and Transportation</t>
  </si>
  <si>
    <t>AEO.2026.ELECTRNP.CNSM_NA_COMM_NA_DEE_DATACTRSERV_USA_QBTU.A</t>
  </si>
  <si>
    <t>Commercial: Delivered Energy Use by End Use: Computers and Office Equipment: Alternative Electricity and Transportation</t>
  </si>
  <si>
    <t>AEO.2026.ELECTRNP.CNSM_NA_COMM_NA_DEE_OFEQP_USA_QBTU.A</t>
  </si>
  <si>
    <t>Commercial: Delivered Energy Use by End Use: Other Uses: Alternative Electricity and Transportation</t>
  </si>
  <si>
    <t>AEO.2026.ELECTRNP.CNSM_NA_COMM_NA_DEE_OTHU_USA_QBTU.A</t>
  </si>
  <si>
    <t>Commercial: Delivered Energy Use by End Use: Gross End-use Consumption: Alternative Electricity and Transportation</t>
  </si>
  <si>
    <t>AEO.2026.ELECTRNP.CNSM_NA_COMM_NA_DEE_NA_USA_QBTU.A</t>
  </si>
  <si>
    <t>Commercial: Energy Consumption by End Use: Purchased Electricity for EV Charging: Alternative Electricity and Transportation</t>
  </si>
  <si>
    <t>AEO.2026.ELECTRNP.CNSM_NA_COMM_NA_DEE_EVCHA_USA_QBTU.A</t>
  </si>
  <si>
    <t>Commercial: Energy Consumption by End Use: Generation for Own Use: Alternative Electricity and Transportation</t>
  </si>
  <si>
    <t>AEO.2026.ELECTRNP.GEN_NA_COMM_NA_DEE_GFO_USA_QBTU.A</t>
  </si>
  <si>
    <t>Commercial: Energy Consumption by End Use: Delivered Energy: Alternative Electricity and Transportation</t>
  </si>
  <si>
    <t>Commercial: Electricity Related Losses: Alternative Electricity and Transportation</t>
  </si>
  <si>
    <t>AEO.2026.ELECTRNP.CNSM_NA_COMM_NA_ERL_NA_USA_QBTU.A</t>
  </si>
  <si>
    <t>Commercial: Total Energy Use by End Use: Space Heating: Alternative Electricity and Transportation</t>
  </si>
  <si>
    <t>AEO.2026.ELECTRNP.CNSM_NA_COMM_NA_TEE_SPH_USA_QBTU.A</t>
  </si>
  <si>
    <t>Commercial: Total Energy Use by End Use: Space Cooling: Alternative Electricity and Transportation</t>
  </si>
  <si>
    <t>AEO.2026.ELECTRNP.CNSM_NA_COMM_NA_TEE_SPC_USA_QBTU.A</t>
  </si>
  <si>
    <t>Commercial: Total Energy Use by End Use: Water Heating: Alternative Electricity and Transportation</t>
  </si>
  <si>
    <t>AEO.2026.ELECTRNP.CNSM_NA_COMM_NA_TEE_WTHT_USA_QBTU.A</t>
  </si>
  <si>
    <t>Commercial: Total Energy Use by End Use: Ventilation: Alternative Electricity and Transportation</t>
  </si>
  <si>
    <t>AEO.2026.ELECTRNP.CNSM_NA_COMM_NA_TEE_VNTC_USA_QBTU.A</t>
  </si>
  <si>
    <t>Commercial: Total Energy Use by End Use: Cooking: Alternative Electricity and Transportation</t>
  </si>
  <si>
    <t>AEO.2026.ELECTRNP.CNSM_NA_COMM_NA_TEE_CGR_USA_QBTU.A</t>
  </si>
  <si>
    <t>Commercial: Total Energy Use by End Use: Lighting: Alternative Electricity and Transportation</t>
  </si>
  <si>
    <t>AEO.2026.ELECTRNP.CNSM_NA_COMM_NA_TEE_LGHTNG_USA_QBTU.A</t>
  </si>
  <si>
    <t>Commercial: Total Energy Use by End Use: Refrigeration: Alternative Electricity and Transportation</t>
  </si>
  <si>
    <t>AEO.2026.ELECTRNP.CNSM_NA_COMM_NA_TEE_REFR_USA_QBTU.A</t>
  </si>
  <si>
    <t>Commercial: Total Energy Use by End Use: Data Center Servers: Alternative Electricity and Transportation</t>
  </si>
  <si>
    <t>AEO.2026.ELECTRNP.CNSM_NA_COMM_NA_TEE_DATACTRSERV_USA_QBTU.A</t>
  </si>
  <si>
    <t>Commercial: Total Energy Use by End Use: Computers and Office Equipment: Alternative Electricity and Transportation</t>
  </si>
  <si>
    <t>AEO.2026.ELECTRNP.CNSM_NA_COMM_NA_TEE_OFEQP_USA_QBTU.A</t>
  </si>
  <si>
    <t>-2.3%</t>
  </si>
  <si>
    <t>Commercial: Total Energy Use by End Use: Other Uses: Alternative Electricity and Transportation</t>
  </si>
  <si>
    <t>AEO.2026.ELECTRNP.CNSM_NA_COMM_NA_TEE_OTHU_USA_QBTU.A</t>
  </si>
  <si>
    <t>Commercial: Total Energy Use by End Use: Total Gross End-use Consumption: Alternative Electricity and Transportation</t>
  </si>
  <si>
    <t>AEO.2026.ELECTRNP.CNSM_NA_COMM_NA_TEE_NA_USA_QBTU.A</t>
  </si>
  <si>
    <t>Commercial: Total Energy Use by End Use: Purchased Electricity for EV Charging: Alternative Electricity and Transportation</t>
  </si>
  <si>
    <t>AEO.2026.ELECTRNP.GEN_GFO_COMM_NA_TEE_NA_USA_QBTU.A</t>
  </si>
  <si>
    <t>9.5%</t>
  </si>
  <si>
    <t>Commercial: Total Energy Use by End Use: Generation for Own Use: Alternative Electricity and Transportation</t>
  </si>
  <si>
    <t>Commercial: Total Energy Use by End Use: Total Net Own-use Generation: Alternative Electricity and Transportation</t>
  </si>
  <si>
    <t>AEO.2026.ELECTRNP.GEN_GFO_COMM_NA_TEE_TOT_USA_QBTU.A</t>
  </si>
  <si>
    <t>Commercial: Nonmarketed Renewable Fuels: Solar Thermal: Alternative Electricity and Transportation</t>
  </si>
  <si>
    <t>AEO.2026.ELECTRNP.CNSM_NA_COMM_NA_NRF_SOTH_USA_QBTU.A</t>
  </si>
  <si>
    <t>Commercial: Nonmarketed Renewable Fuels: Solar Photovoltaic: Alternative Electricity and Transportation</t>
  </si>
  <si>
    <t>AEO.2026.ELECTRNP.CNSM_NA_COMM_NA_NRF_SOPH_USA_QBTU.A</t>
  </si>
  <si>
    <t>Commercial: Nonmarketed Renewable Fuels: Wind: Alternative Electricity and Transportation</t>
  </si>
  <si>
    <t>AEO.2026.ELECTRNP.CNSM_NA_COMM_NA_NRF_WND_USA_QBTU.A</t>
  </si>
  <si>
    <t>Commercial: Nonmarketed Renewable Fuels: Total: Alternative Electricity and Transportation</t>
  </si>
  <si>
    <t>AEO.2026.ELECTRNP.CNSM_NA_COMM_NA_NRF_TOT_USA_QBTU.A</t>
  </si>
  <si>
    <t>1.9%</t>
  </si>
  <si>
    <t>Commercial: Heating Degree Days: New England: Alternative Electricity and Transportation</t>
  </si>
  <si>
    <t>AEO.2026.ELECTRNP.KEI_NA_COMM_NA_NA_NA_NENGL_HDD.A</t>
  </si>
  <si>
    <t>Commercial: Heating Degree Days: Middle Atlantic: Alternative Electricity and Transportation</t>
  </si>
  <si>
    <t>AEO.2026.ELECTRNP.KEI_NA_COMM_NA_NA_NA_MATL_HDD.A</t>
  </si>
  <si>
    <t>Commercial: Heating Degree Days: East North Central: Alternative Electricity and Transportation</t>
  </si>
  <si>
    <t>AEO.2026.ELECTRNP.KEI_NA_COMM_NA_NA_NA_ENC_HDD.A</t>
  </si>
  <si>
    <t>Commercial: Heating Degree Days: West North Central: Alternative Electricity and Transportation</t>
  </si>
  <si>
    <t>AEO.2026.ELECTRNP.KEI_NA_COMM_NA_NA_NA_WNC_HDD.A</t>
  </si>
  <si>
    <t>Commercial: Heating Degree Days: South Atlantic: Alternative Electricity and Transportation</t>
  </si>
  <si>
    <t>AEO.2026.ELECTRNP.KEI_NA_COMM_NA_NA_NA_SATL_HDD.A</t>
  </si>
  <si>
    <t>Commercial: Heating Degree Days: East South Central: Alternative Electricity and Transportation</t>
  </si>
  <si>
    <t>AEO.2026.ELECTRNP.KEI_NA_COMM_NA_NA_NA_ESC_HDD.A</t>
  </si>
  <si>
    <t>Commercial: Heating Degree Days: West South Central: Alternative Electricity and Transportation</t>
  </si>
  <si>
    <t>AEO.2026.ELECTRNP.KEI_NA_COMM_NA_NA_NA_WSC_HDD.A</t>
  </si>
  <si>
    <t>Commercial: Heating Degree Days: Mountain: Alternative Electricity and Transportation</t>
  </si>
  <si>
    <t>AEO.2026.ELECTRNP.KEI_NA_COMM_NA_NA_NA_MTN_HDD.A</t>
  </si>
  <si>
    <t>Commercial: Heating Degree Days: Pacific: Alternative Electricity and Transportation</t>
  </si>
  <si>
    <t>AEO.2026.ELECTRNP.KEI_NA_COMM_NA_NA_NA_PCF_HDD.A</t>
  </si>
  <si>
    <t>Commercial: Heating Degree Days: United States: Alternative Electricity and Transportation</t>
  </si>
  <si>
    <t>AEO.2026.ELECTRNP.KEI_NA_COMM_NA_NA_NA_USA_HDD.A</t>
  </si>
  <si>
    <t>Commercial: Cooling Degree Days: New England: Alternative Electricity and Transportation</t>
  </si>
  <si>
    <t>AEO.2026.ELECTRNP.KEI_NA_COMM_NA_NA_NA_NENGL_CDD.A</t>
  </si>
  <si>
    <t>Commercial: Cooling Degree Days: Middle Atlantic: Alternative Electricity and Transportation</t>
  </si>
  <si>
    <t>AEO.2026.ELECTRNP.KEI_NA_COMM_NA_NA_NA_MATL_CDD.A</t>
  </si>
  <si>
    <t>Commercial: Cooling Degree Days: East North Central: Alternative Electricity and Transportation</t>
  </si>
  <si>
    <t>AEO.2026.ELECTRNP.KEI_NA_COMM_NA_NA_NA_ENC_CDD.A</t>
  </si>
  <si>
    <t>Commercial: Cooling Degree Days: West North Central: Alternative Electricity and Transportation</t>
  </si>
  <si>
    <t>AEO.2026.ELECTRNP.KEI_NA_COMM_NA_NA_NA_WNC_CDD.A</t>
  </si>
  <si>
    <t>Commercial: Cooling Degree Days: South Atlantic: Alternative Electricity and Transportation</t>
  </si>
  <si>
    <t>AEO.2026.ELECTRNP.KEI_NA_COMM_NA_NA_NA_SATL_CDD.A</t>
  </si>
  <si>
    <t>Commercial: Cooling Degree Days: East South Central: Alternative Electricity and Transportation</t>
  </si>
  <si>
    <t>AEO.2026.ELECTRNP.KEI_NA_COMM_NA_NA_NA_ESC_CDD.A</t>
  </si>
  <si>
    <t>Commercial: Cooling Degree Days: West South Central: Alternative Electricity and Transportation</t>
  </si>
  <si>
    <t>AEO.2026.ELECTRNP.KEI_NA_COMM_NA_NA_NA_WSC_CDD.A</t>
  </si>
  <si>
    <t>Commercial: Cooling Degree Days: Mountain: Alternative Electricity and Transportation</t>
  </si>
  <si>
    <t>AEO.2026.ELECTRNP.KEI_NA_COMM_NA_NA_NA_MTN_CDD.A</t>
  </si>
  <si>
    <t>Commercial: Cooling Degree Days: Pacific: Alternative Electricity and Transportation</t>
  </si>
  <si>
    <t>AEO.2026.ELECTRNP.KEI_NA_COMM_NA_NA_NA_PCF_CDD.A</t>
  </si>
  <si>
    <t>Commercial: Cooling Degree Days: United States: Alternative Electricity and Transportation</t>
  </si>
  <si>
    <t>AEO.2026.ELECTRNP.KEI_NA_COMM_NA_NA_NA_USA_CDD.A</t>
  </si>
  <si>
    <t>Annual Energy Outlook 2026</t>
  </si>
  <si>
    <t>Alternative electricity and transportation: Table 4</t>
  </si>
  <si>
    <t>Alternative electricity and transportation: Table 5</t>
  </si>
  <si>
    <t>Full Time Series</t>
  </si>
  <si>
    <t>low</t>
  </si>
  <si>
    <t>mid</t>
  </si>
  <si>
    <t>high</t>
  </si>
  <si>
    <t>mid share of AEO commercial</t>
  </si>
  <si>
    <t>Color Code</t>
  </si>
  <si>
    <t>EPRI Historical</t>
  </si>
  <si>
    <t>IEA Historical</t>
  </si>
  <si>
    <t>AEO</t>
  </si>
  <si>
    <t>EPRI Low</t>
  </si>
  <si>
    <t>EPRI Mid</t>
  </si>
  <si>
    <t>EPRI High</t>
  </si>
  <si>
    <t>ADP mid growth rate</t>
  </si>
  <si>
    <t>ADP high growth rate</t>
  </si>
  <si>
    <t>Extrapolated ADO Trajectories</t>
  </si>
  <si>
    <t>use mid case growth trajectory from Evolved Energy</t>
  </si>
  <si>
    <t>Growth Rate Estimates</t>
  </si>
  <si>
    <t>evolved energy mid</t>
  </si>
  <si>
    <t>evolved energy high</t>
  </si>
  <si>
    <t>ADP</t>
  </si>
  <si>
    <t>growth rate</t>
  </si>
  <si>
    <t>ADP high</t>
  </si>
  <si>
    <t>AEO 2026 Data Center Categories</t>
  </si>
  <si>
    <t>https://www.eia.gov/energyexplained/units-and-calculators/energy-conversion-calculators.php</t>
  </si>
  <si>
    <t>other DC related comm</t>
  </si>
  <si>
    <t>non-DC comm</t>
  </si>
  <si>
    <t>non-DC comm end-uses have essentially no growth from 2026-2050</t>
  </si>
  <si>
    <t>let's assume all growth in other end uses are from DCs</t>
  </si>
  <si>
    <t>multiplier for other DC related comm</t>
  </si>
  <si>
    <t>Therefore, our data center demand we are subtracting from AEO is:</t>
  </si>
  <si>
    <r>
      <t>we do this by applying the "</t>
    </r>
    <r>
      <rPr>
        <b/>
        <sz val="11"/>
        <color theme="1"/>
        <rFont val="Calibri"/>
        <family val="2"/>
        <scheme val="minor"/>
      </rPr>
      <t>multiplier for other DC related comm</t>
    </r>
    <r>
      <rPr>
        <sz val="11"/>
        <color theme="1"/>
        <rFont val="Calibri"/>
        <family val="2"/>
        <scheme val="minor"/>
      </rPr>
      <t>" to space cooling, ventilation, computers and other office equipment, and other uses.</t>
    </r>
  </si>
  <si>
    <t>Data center related?</t>
  </si>
  <si>
    <t>and the remaining data-center related elec demand is:</t>
  </si>
  <si>
    <t>AEO DCs</t>
  </si>
  <si>
    <t>Data center load is captured in a separate EPS file bldgs/BDCL. We therefore estimate data center load in AEO and remove it from the totals in this file. See the "Data Centers" tab.</t>
  </si>
  <si>
    <t>^space cooling, vent, computers/office eqpt, other uses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</si>
</sst>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0E+00"/>
    <numFmt numFmtId="165" formatCode="0.0%"/>
    <numFmt numFmtId="166" formatCode="_(* #,##0_);_(* \(#,##0\);_(* &quot;-&quot;??_);_(@_)"/>
    <numFmt numFmtId="167" formatCode="0.0"/>
    <numFmt numFmtId="168" formatCode="0.000%"/>
  </numFmts>
  <fonts count="24" x14ac:knownFonts="1">
    <font>
      <sz val="11"/>
      <color theme="1"/>
      <name val="Calibri"/>
      <family val="2"/>
      <scheme val="minor"/>
    </font>
    <font>
      <b/>
      <sz val="11"/>
      <color theme="1"/>
      <name val="Calibri"/>
      <family val="2"/>
      <scheme val="minor"/>
    </font>
    <font>
      <sz val="9"/>
      <color theme="1"/>
      <name val="Calibri"/>
      <family val="2"/>
      <scheme val="minor"/>
    </font>
    <font>
      <b/>
      <sz val="9"/>
      <color theme="1"/>
      <name val="Calibri"/>
      <family val="2"/>
      <scheme val="minor"/>
    </font>
    <font>
      <b/>
      <sz val="12"/>
      <color theme="4"/>
      <name val="Calibri"/>
      <family val="2"/>
      <scheme val="minor"/>
    </font>
    <font>
      <u/>
      <sz val="11"/>
      <color theme="10"/>
      <name val="Calibri"/>
      <family val="2"/>
      <scheme val="minor"/>
    </font>
    <font>
      <b/>
      <sz val="12"/>
      <color indexed="30"/>
      <name val="Calibri"/>
      <family val="2"/>
    </font>
    <font>
      <sz val="9"/>
      <color indexed="8"/>
      <name val="Calibri"/>
      <family val="2"/>
    </font>
    <font>
      <b/>
      <sz val="9"/>
      <color indexed="8"/>
      <name val="Calibri"/>
      <family val="2"/>
    </font>
    <font>
      <sz val="11"/>
      <color theme="1"/>
      <name val="Calibri"/>
      <family val="2"/>
      <scheme val="minor"/>
    </font>
    <font>
      <sz val="11"/>
      <color theme="0" tint="-0.499984740745262"/>
      <name val="Calibri"/>
      <family val="2"/>
      <scheme val="minor"/>
    </font>
    <font>
      <b/>
      <sz val="10"/>
      <color theme="1"/>
      <name val="Calibri"/>
      <family val="2"/>
      <scheme val="minor"/>
    </font>
    <font>
      <sz val="10"/>
      <color theme="1"/>
      <name val="Calibri"/>
      <family val="2"/>
      <scheme val="minor"/>
    </font>
    <font>
      <b/>
      <sz val="14"/>
      <color theme="1"/>
      <name val="Calibri"/>
      <family val="2"/>
      <scheme val="minor"/>
    </font>
    <font>
      <sz val="11"/>
      <color rgb="FF000000"/>
      <name val="Calibri"/>
      <family val="2"/>
    </font>
    <font>
      <b/>
      <sz val="12"/>
      <name val="Calibri"/>
      <family val="2"/>
      <scheme val="minor"/>
    </font>
    <font>
      <b/>
      <sz val="11"/>
      <color theme="0"/>
      <name val="Calibri"/>
      <family val="2"/>
      <scheme val="minor"/>
    </font>
    <font>
      <sz val="11"/>
      <color theme="0"/>
      <name val="Calibri"/>
      <family val="2"/>
      <scheme val="minor"/>
    </font>
    <font>
      <sz val="11"/>
      <name val="Calibri"/>
      <family val="2"/>
      <scheme val="minor"/>
    </font>
    <font>
      <sz val="11"/>
      <color rgb="FF000000"/>
      <name val="Calibri"/>
      <family val="2"/>
      <scheme val="minor"/>
    </font>
    <font>
      <b/>
      <sz val="11"/>
      <color rgb="FF000000"/>
      <name val="Calibri"/>
      <family val="2"/>
      <scheme val="minor"/>
    </font>
    <font>
      <i/>
      <sz val="11"/>
      <color theme="1"/>
      <name val="Calibri"/>
      <family val="2"/>
      <scheme val="minor"/>
    </font>
    <font>
      <b/>
      <i/>
      <sz val="11"/>
      <color theme="1"/>
      <name val="Calibri"/>
      <family val="2"/>
      <scheme val="minor"/>
    </font>
    <font>
      <sz val="11"/>
      <color theme="0" tint="-0.34998626667073579"/>
      <name val="Calibri"/>
      <family val="2"/>
      <scheme val="minor"/>
    </font>
  </fonts>
  <fills count="2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theme="0" tint="-0.14999847407452621"/>
        <bgColor indexed="64"/>
      </patternFill>
    </fill>
    <fill>
      <patternFill patternType="solid">
        <fgColor theme="6"/>
        <bgColor indexed="64"/>
      </patternFill>
    </fill>
    <fill>
      <patternFill patternType="solid">
        <fgColor rgb="FFFFC1C1"/>
        <bgColor indexed="64"/>
      </patternFill>
    </fill>
    <fill>
      <patternFill patternType="solid">
        <fgColor theme="5"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5"/>
        <bgColor indexed="64"/>
      </patternFill>
    </fill>
    <fill>
      <patternFill patternType="solid">
        <fgColor theme="6"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9"/>
        <bgColor indexed="64"/>
      </patternFill>
    </fill>
    <fill>
      <patternFill patternType="solid">
        <fgColor theme="4"/>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FDF6CF"/>
        <bgColor indexed="64"/>
      </patternFill>
    </fill>
    <fill>
      <patternFill patternType="solid">
        <fgColor theme="2" tint="-9.9978637043366805E-2"/>
        <bgColor indexed="64"/>
      </patternFill>
    </fill>
  </fills>
  <borders count="17">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right/>
      <top style="thick">
        <color theme="4"/>
      </top>
      <bottom style="dashed">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style="thin">
        <color indexed="64"/>
      </left>
      <right/>
      <top/>
      <bottom/>
      <diagonal/>
    </border>
    <border>
      <left/>
      <right/>
      <top style="thick">
        <color theme="0" tint="-0.24994659260841701"/>
      </top>
      <bottom style="thin">
        <color theme="0" tint="-0.24994659260841701"/>
      </bottom>
      <diagonal/>
    </border>
    <border>
      <left/>
      <right style="thick">
        <color theme="0"/>
      </right>
      <top style="thick">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s>
  <cellStyleXfs count="38">
    <xf numFmtId="0" fontId="0" fillId="0" borderId="0"/>
    <xf numFmtId="0" fontId="2" fillId="0" borderId="0"/>
    <xf numFmtId="0" fontId="3" fillId="0" borderId="1">
      <alignment wrapText="1"/>
    </xf>
    <xf numFmtId="0" fontId="4" fillId="0" borderId="0">
      <alignment horizontal="left"/>
    </xf>
    <xf numFmtId="0" fontId="2" fillId="0" borderId="2">
      <alignment wrapText="1"/>
    </xf>
    <xf numFmtId="0" fontId="3" fillId="0" borderId="3">
      <alignment wrapText="1"/>
    </xf>
    <xf numFmtId="0" fontId="2" fillId="0" borderId="4">
      <alignment vertical="top" wrapText="1"/>
    </xf>
    <xf numFmtId="0" fontId="5" fillId="0" borderId="0"/>
    <xf numFmtId="0" fontId="7" fillId="0" borderId="0"/>
    <xf numFmtId="0" fontId="7" fillId="0" borderId="8">
      <alignment wrapText="1"/>
    </xf>
    <xf numFmtId="0" fontId="8" fillId="0" borderId="6">
      <alignment wrapText="1"/>
    </xf>
    <xf numFmtId="0" fontId="7" fillId="0" borderId="7">
      <alignment wrapText="1"/>
    </xf>
    <xf numFmtId="0" fontId="8" fillId="0" borderId="5">
      <alignment wrapText="1"/>
    </xf>
    <xf numFmtId="0" fontId="7" fillId="0" borderId="0"/>
    <xf numFmtId="0" fontId="6" fillId="0" borderId="0">
      <alignment horizontal="left"/>
    </xf>
    <xf numFmtId="9" fontId="9" fillId="0" borderId="0"/>
    <xf numFmtId="0" fontId="3" fillId="0" borderId="10">
      <alignment horizontal="left" wrapText="1"/>
    </xf>
    <xf numFmtId="43" fontId="9" fillId="0" borderId="0"/>
    <xf numFmtId="0" fontId="7" fillId="0" borderId="8">
      <alignment wrapText="1"/>
    </xf>
    <xf numFmtId="0" fontId="8" fillId="0" borderId="6">
      <alignment wrapText="1"/>
    </xf>
    <xf numFmtId="0" fontId="7" fillId="0" borderId="7">
      <alignment wrapText="1"/>
    </xf>
    <xf numFmtId="0" fontId="8" fillId="0" borderId="5">
      <alignment wrapText="1"/>
    </xf>
    <xf numFmtId="0" fontId="7" fillId="0" borderId="0"/>
    <xf numFmtId="0" fontId="6" fillId="0" borderId="0">
      <alignment horizontal="left"/>
    </xf>
    <xf numFmtId="0" fontId="9" fillId="0" borderId="0"/>
    <xf numFmtId="0" fontId="7" fillId="0" borderId="0"/>
    <xf numFmtId="0" fontId="9" fillId="0" borderId="0"/>
    <xf numFmtId="0" fontId="7" fillId="0" borderId="7">
      <alignment wrapText="1"/>
    </xf>
    <xf numFmtId="0" fontId="7" fillId="0" borderId="0"/>
    <xf numFmtId="0" fontId="7" fillId="0" borderId="8">
      <alignment wrapText="1"/>
    </xf>
    <xf numFmtId="0" fontId="8" fillId="0" borderId="5">
      <alignment wrapText="1"/>
    </xf>
    <xf numFmtId="0" fontId="8" fillId="0" borderId="6">
      <alignment wrapText="1"/>
    </xf>
    <xf numFmtId="0" fontId="6" fillId="0" borderId="0">
      <alignment horizontal="left"/>
    </xf>
    <xf numFmtId="0" fontId="9" fillId="0" borderId="0"/>
    <xf numFmtId="0" fontId="9" fillId="0" borderId="0"/>
    <xf numFmtId="0" fontId="9" fillId="0" borderId="0"/>
    <xf numFmtId="0" fontId="19" fillId="0" borderId="0"/>
    <xf numFmtId="9" fontId="9" fillId="0" borderId="0" applyFont="0" applyFill="0" applyBorder="0" applyAlignment="0" applyProtection="0"/>
  </cellStyleXfs>
  <cellXfs count="102">
    <xf numFmtId="0" fontId="0" fillId="0" borderId="0" xfId="0"/>
    <xf numFmtId="0" fontId="1" fillId="0" borderId="0" xfId="0" applyFont="1"/>
    <xf numFmtId="0" fontId="1" fillId="2" borderId="0" xfId="0" applyFont="1" applyFill="1"/>
    <xf numFmtId="0" fontId="0" fillId="3" borderId="0" xfId="0" applyFill="1"/>
    <xf numFmtId="0" fontId="0" fillId="0" borderId="0" xfId="0" applyAlignment="1">
      <alignment horizontal="left"/>
    </xf>
    <xf numFmtId="0" fontId="5" fillId="0" borderId="0" xfId="7"/>
    <xf numFmtId="11" fontId="0" fillId="0" borderId="0" xfId="0" applyNumberFormat="1"/>
    <xf numFmtId="164" fontId="0" fillId="0" borderId="0" xfId="0" applyNumberFormat="1"/>
    <xf numFmtId="165" fontId="0" fillId="0" borderId="0" xfId="15" applyNumberFormat="1" applyFont="1"/>
    <xf numFmtId="4" fontId="0" fillId="0" borderId="0" xfId="0" applyNumberFormat="1"/>
    <xf numFmtId="0" fontId="13" fillId="0" borderId="0" xfId="0" applyFont="1"/>
    <xf numFmtId="11" fontId="0" fillId="0" borderId="0" xfId="17" applyNumberFormat="1" applyFont="1"/>
    <xf numFmtId="0" fontId="0" fillId="4" borderId="0" xfId="0" applyFill="1"/>
    <xf numFmtId="9" fontId="0" fillId="0" borderId="0" xfId="15" applyFont="1"/>
    <xf numFmtId="0" fontId="13" fillId="4" borderId="0" xfId="0" applyFont="1" applyFill="1"/>
    <xf numFmtId="0" fontId="14" fillId="0" borderId="0" xfId="4" applyFont="1" applyBorder="1">
      <alignment wrapText="1"/>
    </xf>
    <xf numFmtId="0" fontId="9" fillId="0" borderId="0" xfId="0" applyFont="1" applyAlignment="1" applyProtection="1">
      <alignment horizontal="right"/>
      <protection locked="0"/>
    </xf>
    <xf numFmtId="0" fontId="9" fillId="0" borderId="0" xfId="0" applyFont="1"/>
    <xf numFmtId="1" fontId="9" fillId="0" borderId="0" xfId="0" applyNumberFormat="1" applyFont="1"/>
    <xf numFmtId="0" fontId="1" fillId="5" borderId="0" xfId="0" applyFont="1" applyFill="1"/>
    <xf numFmtId="11" fontId="9" fillId="0" borderId="0" xfId="0" applyNumberFormat="1" applyFont="1"/>
    <xf numFmtId="0" fontId="1" fillId="6" borderId="0" xfId="0" applyFont="1" applyFill="1"/>
    <xf numFmtId="166" fontId="1" fillId="0" borderId="0" xfId="17" applyNumberFormat="1" applyFont="1"/>
    <xf numFmtId="166" fontId="1" fillId="0" borderId="0" xfId="0" applyNumberFormat="1" applyFont="1"/>
    <xf numFmtId="0" fontId="6" fillId="0" borderId="0" xfId="14" applyAlignment="1">
      <alignment horizontal="left" wrapText="1"/>
    </xf>
    <xf numFmtId="3" fontId="11" fillId="0" borderId="0" xfId="0" applyNumberFormat="1" applyFont="1" applyAlignment="1">
      <alignment horizontal="left" wrapText="1"/>
    </xf>
    <xf numFmtId="0" fontId="11" fillId="0" borderId="5" xfId="12" applyFont="1">
      <alignment wrapText="1"/>
    </xf>
    <xf numFmtId="3" fontId="11" fillId="0" borderId="1" xfId="12" applyNumberFormat="1" applyFont="1" applyBorder="1" applyAlignment="1">
      <alignment horizontal="right" wrapText="1"/>
    </xf>
    <xf numFmtId="0" fontId="11" fillId="0" borderId="11" xfId="11" applyFont="1" applyBorder="1">
      <alignment wrapText="1"/>
    </xf>
    <xf numFmtId="2" fontId="12" fillId="0" borderId="11" xfId="11" applyNumberFormat="1" applyFont="1" applyBorder="1" applyAlignment="1">
      <alignment horizontal="right" wrapText="1"/>
    </xf>
    <xf numFmtId="0" fontId="11" fillId="0" borderId="6" xfId="10" applyFont="1">
      <alignment wrapText="1"/>
    </xf>
    <xf numFmtId="2" fontId="11" fillId="0" borderId="6" xfId="10" applyNumberFormat="1" applyFont="1" applyAlignment="1">
      <alignment horizontal="right" wrapText="1"/>
    </xf>
    <xf numFmtId="0" fontId="12" fillId="0" borderId="7" xfId="11" applyFont="1">
      <alignment wrapText="1"/>
    </xf>
    <xf numFmtId="2" fontId="12" fillId="0" borderId="7" xfId="11" applyNumberFormat="1" applyFont="1" applyAlignment="1">
      <alignment horizontal="right" wrapText="1"/>
    </xf>
    <xf numFmtId="0" fontId="12" fillId="0" borderId="7" xfId="11" applyFont="1" applyAlignment="1">
      <alignment horizontal="left" wrapText="1" indent="1"/>
    </xf>
    <xf numFmtId="0" fontId="12" fillId="0" borderId="7" xfId="11" applyFont="1" applyAlignment="1">
      <alignment horizontal="left" wrapText="1" indent="2"/>
    </xf>
    <xf numFmtId="0" fontId="0" fillId="0" borderId="0" xfId="0" applyAlignment="1">
      <alignment horizontal="left" indent="1"/>
    </xf>
    <xf numFmtId="0" fontId="12" fillId="0" borderId="7" xfId="11" applyFont="1" applyAlignment="1">
      <alignment horizontal="left" wrapText="1"/>
    </xf>
    <xf numFmtId="0" fontId="12" fillId="0" borderId="7" xfId="11" quotePrefix="1" applyFont="1">
      <alignment wrapText="1"/>
    </xf>
    <xf numFmtId="0" fontId="12" fillId="0" borderId="7" xfId="11" applyFont="1" applyAlignment="1">
      <alignment horizontal="right" wrapText="1"/>
    </xf>
    <xf numFmtId="0" fontId="11" fillId="0" borderId="6" xfId="10" applyFont="1" applyAlignment="1">
      <alignment horizontal="left" wrapText="1" indent="1"/>
    </xf>
    <xf numFmtId="167" fontId="12" fillId="0" borderId="7" xfId="11" applyNumberFormat="1" applyFont="1" applyAlignment="1">
      <alignment horizontal="right" wrapText="1"/>
    </xf>
    <xf numFmtId="10" fontId="0" fillId="0" borderId="0" xfId="0" applyNumberFormat="1"/>
    <xf numFmtId="0" fontId="0" fillId="8" borderId="0" xfId="0" applyFill="1"/>
    <xf numFmtId="0" fontId="0" fillId="0" borderId="13" xfId="0" applyBorder="1"/>
    <xf numFmtId="0" fontId="1" fillId="9" borderId="0" xfId="0" applyFont="1" applyFill="1"/>
    <xf numFmtId="0" fontId="1" fillId="9" borderId="13" xfId="0" applyFont="1" applyFill="1" applyBorder="1"/>
    <xf numFmtId="9" fontId="0" fillId="7" borderId="0" xfId="15" applyFont="1" applyFill="1"/>
    <xf numFmtId="0" fontId="1" fillId="10" borderId="0" xfId="0" applyFont="1" applyFill="1"/>
    <xf numFmtId="0" fontId="0" fillId="10" borderId="0" xfId="0" applyFill="1"/>
    <xf numFmtId="0" fontId="16" fillId="11" borderId="0" xfId="0" applyFont="1" applyFill="1"/>
    <xf numFmtId="164" fontId="0" fillId="12" borderId="0" xfId="0" applyNumberFormat="1" applyFill="1"/>
    <xf numFmtId="0" fontId="17" fillId="11" borderId="0" xfId="0" applyFont="1" applyFill="1"/>
    <xf numFmtId="0" fontId="18" fillId="0" borderId="0" xfId="0" applyFont="1"/>
    <xf numFmtId="0" fontId="1" fillId="13" borderId="0" xfId="0" applyFont="1" applyFill="1"/>
    <xf numFmtId="0" fontId="1" fillId="13" borderId="13" xfId="0" applyFont="1" applyFill="1" applyBorder="1"/>
    <xf numFmtId="0" fontId="0" fillId="0" borderId="0" xfId="0" applyAlignment="1">
      <alignment wrapText="1"/>
    </xf>
    <xf numFmtId="0" fontId="0" fillId="5" borderId="0" xfId="0" applyFill="1"/>
    <xf numFmtId="0" fontId="20" fillId="0" borderId="0" xfId="36" applyFont="1"/>
    <xf numFmtId="0" fontId="19" fillId="0" borderId="0" xfId="36"/>
    <xf numFmtId="0" fontId="1" fillId="14" borderId="0" xfId="0" applyFont="1" applyFill="1"/>
    <xf numFmtId="0" fontId="0" fillId="0" borderId="16" xfId="0" applyBorder="1"/>
    <xf numFmtId="1" fontId="0" fillId="15" borderId="16" xfId="0" applyNumberFormat="1" applyFill="1" applyBorder="1"/>
    <xf numFmtId="1" fontId="0" fillId="16" borderId="16" xfId="0" applyNumberFormat="1" applyFill="1" applyBorder="1"/>
    <xf numFmtId="0" fontId="0" fillId="14" borderId="16" xfId="0" applyFill="1" applyBorder="1"/>
    <xf numFmtId="1" fontId="0" fillId="14" borderId="16" xfId="0" applyNumberFormat="1" applyFill="1" applyBorder="1"/>
    <xf numFmtId="1" fontId="0" fillId="17" borderId="16" xfId="0" applyNumberFormat="1" applyFill="1" applyBorder="1"/>
    <xf numFmtId="1" fontId="0" fillId="18" borderId="16" xfId="0" applyNumberFormat="1" applyFill="1" applyBorder="1"/>
    <xf numFmtId="1" fontId="0" fillId="7" borderId="16" xfId="0" applyNumberFormat="1" applyFill="1" applyBorder="1"/>
    <xf numFmtId="1" fontId="0" fillId="19" borderId="16" xfId="0" applyNumberFormat="1" applyFill="1" applyBorder="1"/>
    <xf numFmtId="1" fontId="0" fillId="10" borderId="16" xfId="0" applyNumberFormat="1" applyFill="1" applyBorder="1"/>
    <xf numFmtId="9" fontId="21" fillId="0" borderId="0" xfId="37" applyFont="1"/>
    <xf numFmtId="0" fontId="0" fillId="15" borderId="0" xfId="0" applyFill="1"/>
    <xf numFmtId="0" fontId="0" fillId="16" borderId="0" xfId="0" applyFill="1"/>
    <xf numFmtId="0" fontId="0" fillId="17" borderId="0" xfId="0" applyFill="1"/>
    <xf numFmtId="0" fontId="0" fillId="14" borderId="0" xfId="0" applyFill="1"/>
    <xf numFmtId="0" fontId="0" fillId="18" borderId="0" xfId="0" applyFill="1"/>
    <xf numFmtId="0" fontId="0" fillId="19" borderId="0" xfId="0" applyFill="1"/>
    <xf numFmtId="0" fontId="0" fillId="7" borderId="0" xfId="0" applyFill="1"/>
    <xf numFmtId="0" fontId="0" fillId="20" borderId="0" xfId="0" applyFill="1"/>
    <xf numFmtId="0" fontId="1" fillId="0" borderId="0" xfId="0" applyFont="1" applyAlignment="1">
      <alignment horizontal="left" indent="1"/>
    </xf>
    <xf numFmtId="2" fontId="0" fillId="0" borderId="0" xfId="37" applyNumberFormat="1" applyFont="1"/>
    <xf numFmtId="9" fontId="0" fillId="0" borderId="0" xfId="37" applyFont="1"/>
    <xf numFmtId="168" fontId="0" fillId="0" borderId="0" xfId="37" applyNumberFormat="1" applyFont="1"/>
    <xf numFmtId="0" fontId="0" fillId="21" borderId="0" xfId="0" applyFill="1"/>
    <xf numFmtId="1" fontId="0" fillId="0" borderId="0" xfId="0" applyNumberFormat="1"/>
    <xf numFmtId="9" fontId="0" fillId="0" borderId="0" xfId="0" applyNumberFormat="1"/>
    <xf numFmtId="9" fontId="21" fillId="0" borderId="0" xfId="0" applyNumberFormat="1" applyFont="1"/>
    <xf numFmtId="0" fontId="0" fillId="0" borderId="0" xfId="0" applyAlignment="1">
      <alignment horizontal="right"/>
    </xf>
    <xf numFmtId="0" fontId="22" fillId="0" borderId="0" xfId="0" applyFont="1"/>
    <xf numFmtId="0" fontId="23" fillId="0" borderId="0" xfId="0" applyFont="1"/>
    <xf numFmtId="0" fontId="1" fillId="0" borderId="0" xfId="0" applyFont="1" applyAlignment="1">
      <alignment horizontal="right"/>
    </xf>
    <xf numFmtId="3" fontId="11" fillId="0" borderId="9" xfId="0" applyNumberFormat="1" applyFont="1" applyBorder="1" applyAlignment="1">
      <alignment horizontal="left" wrapText="1"/>
    </xf>
    <xf numFmtId="0" fontId="0" fillId="0" borderId="9" xfId="0" applyBorder="1"/>
    <xf numFmtId="3" fontId="11" fillId="0" borderId="12" xfId="16" applyNumberFormat="1" applyFont="1" applyBorder="1">
      <alignment horizontal="left" wrapText="1"/>
    </xf>
    <xf numFmtId="0" fontId="0" fillId="0" borderId="14" xfId="0" applyBorder="1"/>
    <xf numFmtId="0" fontId="0" fillId="0" borderId="15" xfId="0" applyBorder="1"/>
    <xf numFmtId="0" fontId="15" fillId="0" borderId="0" xfId="14" applyFont="1" applyAlignment="1">
      <alignment horizontal="left" wrapText="1"/>
    </xf>
    <xf numFmtId="0" fontId="0" fillId="0" borderId="0" xfId="0"/>
    <xf numFmtId="0" fontId="7" fillId="0" borderId="8" xfId="9">
      <alignment wrapText="1"/>
    </xf>
    <xf numFmtId="0" fontId="0" fillId="0" borderId="8" xfId="0" applyBorder="1"/>
    <xf numFmtId="0" fontId="10" fillId="0" borderId="0" xfId="0" applyFont="1" applyAlignment="1">
      <alignment horizontal="left" wrapText="1"/>
    </xf>
  </cellXfs>
  <cellStyles count="38">
    <cellStyle name="Body: normal cell" xfId="4" xr:uid="{00000000-0005-0000-0000-000004000000}"/>
    <cellStyle name="Body: normal cell 2" xfId="11" xr:uid="{00000000-0005-0000-0000-00000B000000}"/>
    <cellStyle name="Body: normal cell 2 2" xfId="27" xr:uid="{00000000-0005-0000-0000-00001B000000}"/>
    <cellStyle name="Body: normal cell 3" xfId="20" xr:uid="{00000000-0005-0000-0000-000014000000}"/>
    <cellStyle name="Comma" xfId="17" builtinId="3"/>
    <cellStyle name="Font: Calibri, 9pt regular" xfId="1" xr:uid="{00000000-0005-0000-0000-000001000000}"/>
    <cellStyle name="Font: Calibri, 9pt regular 2" xfId="13" xr:uid="{00000000-0005-0000-0000-00000D000000}"/>
    <cellStyle name="Font: Calibri, 9pt regular 2 2" xfId="28" xr:uid="{00000000-0005-0000-0000-00001C000000}"/>
    <cellStyle name="Font: Calibri, 9pt regular 3" xfId="22" xr:uid="{00000000-0005-0000-0000-000016000000}"/>
    <cellStyle name="Footnotes: top row" xfId="6" xr:uid="{00000000-0005-0000-0000-000006000000}"/>
    <cellStyle name="Footnotes: top row 2" xfId="9" xr:uid="{00000000-0005-0000-0000-000009000000}"/>
    <cellStyle name="Footnotes: top row 2 2" xfId="29" xr:uid="{00000000-0005-0000-0000-00001D000000}"/>
    <cellStyle name="Footnotes: top row 3" xfId="18" xr:uid="{00000000-0005-0000-0000-000012000000}"/>
    <cellStyle name="Header: bottom row" xfId="2" xr:uid="{00000000-0005-0000-0000-000002000000}"/>
    <cellStyle name="Header: bottom row 2" xfId="12" xr:uid="{00000000-0005-0000-0000-00000C000000}"/>
    <cellStyle name="Header: bottom row 2 2" xfId="30" xr:uid="{00000000-0005-0000-0000-00001E000000}"/>
    <cellStyle name="Header: bottom row 3" xfId="21" xr:uid="{00000000-0005-0000-0000-000015000000}"/>
    <cellStyle name="Header: top rows" xfId="16" xr:uid="{00000000-0005-0000-0000-000010000000}"/>
    <cellStyle name="Hyperlink" xfId="7" builtinId="8"/>
    <cellStyle name="Normal" xfId="0" builtinId="0"/>
    <cellStyle name="Normal 2" xfId="8" xr:uid="{00000000-0005-0000-0000-000008000000}"/>
    <cellStyle name="Normal 3" xfId="26" xr:uid="{00000000-0005-0000-0000-00001A000000}"/>
    <cellStyle name="Normal 3 2" xfId="34" xr:uid="{00000000-0005-0000-0000-000022000000}"/>
    <cellStyle name="Normal 3 3" xfId="36" xr:uid="{00000000-0005-0000-0000-000024000000}"/>
    <cellStyle name="Normal 4" xfId="25" xr:uid="{00000000-0005-0000-0000-000019000000}"/>
    <cellStyle name="Normal 5" xfId="24" xr:uid="{00000000-0005-0000-0000-000018000000}"/>
    <cellStyle name="Normal 5 2" xfId="35" xr:uid="{00000000-0005-0000-0000-000023000000}"/>
    <cellStyle name="Normal 6" xfId="33" xr:uid="{00000000-0005-0000-0000-000021000000}"/>
    <cellStyle name="Parent row" xfId="5" xr:uid="{00000000-0005-0000-0000-000005000000}"/>
    <cellStyle name="Parent row 2" xfId="10" xr:uid="{00000000-0005-0000-0000-00000A000000}"/>
    <cellStyle name="Parent row 2 2" xfId="31" xr:uid="{00000000-0005-0000-0000-00001F000000}"/>
    <cellStyle name="Parent row 3" xfId="19" xr:uid="{00000000-0005-0000-0000-000013000000}"/>
    <cellStyle name="Percent" xfId="15" builtinId="5"/>
    <cellStyle name="Percent 2" xfId="37" xr:uid="{7E99A5AB-C8E5-4A70-AAD7-AC298617E11D}"/>
    <cellStyle name="Table title" xfId="3" xr:uid="{00000000-0005-0000-0000-000003000000}"/>
    <cellStyle name="Table title 2" xfId="14" xr:uid="{00000000-0005-0000-0000-00000E000000}"/>
    <cellStyle name="Table title 2 2" xfId="32" xr:uid="{00000000-0005-0000-0000-000020000000}"/>
    <cellStyle name="Table title 3" xfId="23" xr:uid="{00000000-0005-0000-0000-000017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eetMetadata" Target="metadata.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a:t>Data</a:t>
            </a:r>
            <a:r>
              <a:rPr lang="en-US" baseline="0"/>
              <a:t> Center Demand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plotArea>
      <c:layout/>
      <c:scatterChart>
        <c:scatterStyle val="lineMarker"/>
        <c:varyColors val="0"/>
        <c:ser>
          <c:idx val="0"/>
          <c:order val="0"/>
          <c:tx>
            <c:strRef>
              <c:f>'Data Centers'!$A$3</c:f>
              <c:strCache>
                <c:ptCount val="1"/>
                <c:pt idx="0">
                  <c:v>low</c:v>
                </c:pt>
              </c:strCache>
            </c:strRef>
          </c:tx>
          <c:spPr>
            <a:ln w="19050" cap="rnd">
              <a:solidFill>
                <a:schemeClr val="accent6">
                  <a:lumMod val="40000"/>
                  <a:lumOff val="60000"/>
                </a:schemeClr>
              </a:solidFill>
              <a:round/>
            </a:ln>
            <a:effectLst/>
          </c:spPr>
          <c:marker>
            <c:symbol val="none"/>
          </c:marker>
          <c:xVal>
            <c:numRef>
              <c:f>'Data Centers'!$B$2:$AB$2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'Data Centers'!$B$3:$AB$3</c:f>
              <c:numCache>
                <c:formatCode>0</c:formatCode>
                <c:ptCount val="27"/>
                <c:pt idx="0">
                  <c:v>184</c:v>
                </c:pt>
                <c:pt idx="1">
                  <c:v>224</c:v>
                </c:pt>
                <c:pt idx="2" formatCode="General">
                  <c:v>263</c:v>
                </c:pt>
                <c:pt idx="3">
                  <c:v>308</c:v>
                </c:pt>
                <c:pt idx="4">
                  <c:v>345</c:v>
                </c:pt>
                <c:pt idx="5">
                  <c:v>371</c:v>
                </c:pt>
                <c:pt idx="6">
                  <c:v>396</c:v>
                </c:pt>
                <c:pt idx="7">
                  <c:v>411.49090999999999</c:v>
                </c:pt>
                <c:pt idx="8">
                  <c:v>427.27921499999997</c:v>
                </c:pt>
                <c:pt idx="9">
                  <c:v>443.35700399999996</c:v>
                </c:pt>
                <c:pt idx="10">
                  <c:v>459.66919299999995</c:v>
                </c:pt>
                <c:pt idx="11">
                  <c:v>476.16831599999995</c:v>
                </c:pt>
                <c:pt idx="12">
                  <c:v>492.77203999999995</c:v>
                </c:pt>
                <c:pt idx="13">
                  <c:v>509.40359899999993</c:v>
                </c:pt>
                <c:pt idx="14">
                  <c:v>525.85730699999988</c:v>
                </c:pt>
                <c:pt idx="15">
                  <c:v>541.98812899999996</c:v>
                </c:pt>
                <c:pt idx="16">
                  <c:v>557.64663499999995</c:v>
                </c:pt>
                <c:pt idx="17">
                  <c:v>572.77334599999995</c:v>
                </c:pt>
                <c:pt idx="18">
                  <c:v>587.12858799999992</c:v>
                </c:pt>
                <c:pt idx="19">
                  <c:v>600.72613199999989</c:v>
                </c:pt>
                <c:pt idx="20">
                  <c:v>613.33128499999987</c:v>
                </c:pt>
                <c:pt idx="21">
                  <c:v>624.94814899999994</c:v>
                </c:pt>
                <c:pt idx="22">
                  <c:v>635.29808099999991</c:v>
                </c:pt>
                <c:pt idx="23">
                  <c:v>644.2914229999999</c:v>
                </c:pt>
                <c:pt idx="24">
                  <c:v>651.82972699999993</c:v>
                </c:pt>
                <c:pt idx="25">
                  <c:v>657.85703000000001</c:v>
                </c:pt>
                <c:pt idx="26">
                  <c:v>663.20984699999997</c:v>
                </c:pt>
              </c:numCache>
            </c:numRef>
          </c:yVal>
          <c:smooth val="0"/>
          <c:extLst>
            <c:ext xmlns:c16="http://schemas.microsoft.com/office/drawing/2014/chart" uri="{C3380CC4-5D6E-409C-BE32-E72D297353CC}">
              <c16:uniqueId val="{00000000-4391-49B7-94C4-014E94498BB4}"/>
            </c:ext>
          </c:extLst>
        </c:ser>
        <c:ser>
          <c:idx val="1"/>
          <c:order val="1"/>
          <c:tx>
            <c:strRef>
              <c:f>'Data Centers'!$A$5</c:f>
              <c:strCache>
                <c:ptCount val="1"/>
                <c:pt idx="0">
                  <c:v>high</c:v>
                </c:pt>
              </c:strCache>
            </c:strRef>
          </c:tx>
          <c:spPr>
            <a:ln w="19050" cap="rnd">
              <a:solidFill>
                <a:schemeClr val="accent6"/>
              </a:solidFill>
              <a:round/>
            </a:ln>
            <a:effectLst/>
          </c:spPr>
          <c:marker>
            <c:symbol val="none"/>
          </c:marker>
          <c:xVal>
            <c:numRef>
              <c:f>'Data Centers'!$B$2:$AB$2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'Data Centers'!$B$5:$AB$5</c:f>
              <c:numCache>
                <c:formatCode>0</c:formatCode>
                <c:ptCount val="27"/>
                <c:pt idx="0">
                  <c:v>184</c:v>
                </c:pt>
                <c:pt idx="1">
                  <c:v>224</c:v>
                </c:pt>
                <c:pt idx="2">
                  <c:v>314</c:v>
                </c:pt>
                <c:pt idx="3">
                  <c:v>425</c:v>
                </c:pt>
                <c:pt idx="4">
                  <c:v>544</c:v>
                </c:pt>
                <c:pt idx="5">
                  <c:v>653</c:v>
                </c:pt>
                <c:pt idx="6">
                  <c:v>760</c:v>
                </c:pt>
                <c:pt idx="7">
                  <c:v>825</c:v>
                </c:pt>
                <c:pt idx="8">
                  <c:v>890</c:v>
                </c:pt>
                <c:pt idx="9">
                  <c:v>955</c:v>
                </c:pt>
                <c:pt idx="10">
                  <c:v>1020</c:v>
                </c:pt>
                <c:pt idx="11">
                  <c:v>1085</c:v>
                </c:pt>
                <c:pt idx="12">
                  <c:v>1120.7999999999884</c:v>
                </c:pt>
                <c:pt idx="13">
                  <c:v>1156.5999999999913</c:v>
                </c:pt>
                <c:pt idx="14">
                  <c:v>1192.3999999999942</c:v>
                </c:pt>
                <c:pt idx="15">
                  <c:v>1228.1999999999971</c:v>
                </c:pt>
                <c:pt idx="16">
                  <c:v>1264</c:v>
                </c:pt>
                <c:pt idx="17">
                  <c:v>1309.7000000000116</c:v>
                </c:pt>
                <c:pt idx="18">
                  <c:v>1355.4000000000087</c:v>
                </c:pt>
                <c:pt idx="19">
                  <c:v>1401.1000000000058</c:v>
                </c:pt>
                <c:pt idx="20">
                  <c:v>1446.8000000000029</c:v>
                </c:pt>
                <c:pt idx="21">
                  <c:v>1492.5</c:v>
                </c:pt>
                <c:pt idx="22">
                  <c:v>1538.2000000000116</c:v>
                </c:pt>
                <c:pt idx="23">
                  <c:v>1583.9000000000087</c:v>
                </c:pt>
                <c:pt idx="24">
                  <c:v>1629.6000000000058</c:v>
                </c:pt>
                <c:pt idx="25">
                  <c:v>1675.3000000000029</c:v>
                </c:pt>
                <c:pt idx="26">
                  <c:v>1721</c:v>
                </c:pt>
              </c:numCache>
            </c:numRef>
          </c:yVal>
          <c:smooth val="0"/>
          <c:extLst>
            <c:ext xmlns:c16="http://schemas.microsoft.com/office/drawing/2014/chart" uri="{C3380CC4-5D6E-409C-BE32-E72D297353CC}">
              <c16:uniqueId val="{00000001-4391-49B7-94C4-014E94498BB4}"/>
            </c:ext>
          </c:extLst>
        </c:ser>
        <c:ser>
          <c:idx val="2"/>
          <c:order val="2"/>
          <c:tx>
            <c:strRef>
              <c:f>'Data Centers'!$A$4</c:f>
              <c:strCache>
                <c:ptCount val="1"/>
                <c:pt idx="0">
                  <c:v>mid</c:v>
                </c:pt>
              </c:strCache>
            </c:strRef>
          </c:tx>
          <c:spPr>
            <a:ln w="19050" cap="rnd">
              <a:solidFill>
                <a:schemeClr val="accent6">
                  <a:lumMod val="60000"/>
                  <a:lumOff val="40000"/>
                </a:schemeClr>
              </a:solidFill>
              <a:round/>
            </a:ln>
            <a:effectLst/>
          </c:spPr>
          <c:marker>
            <c:symbol val="none"/>
          </c:marker>
          <c:xVal>
            <c:numRef>
              <c:f>'Data Centers'!$B$2:$AB$2</c:f>
              <c:numCache>
                <c:formatCode>General</c:formatCode>
                <c:ptCount val="2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numCache>
            </c:numRef>
          </c:xVal>
          <c:yVal>
            <c:numRef>
              <c:f>'Data Centers'!$B$4:$AB$4</c:f>
              <c:numCache>
                <c:formatCode>0</c:formatCode>
                <c:ptCount val="27"/>
                <c:pt idx="0">
                  <c:v>184</c:v>
                </c:pt>
                <c:pt idx="1">
                  <c:v>224</c:v>
                </c:pt>
                <c:pt idx="2">
                  <c:v>290</c:v>
                </c:pt>
                <c:pt idx="3">
                  <c:v>369</c:v>
                </c:pt>
                <c:pt idx="4">
                  <c:v>448</c:v>
                </c:pt>
                <c:pt idx="5">
                  <c:v>518</c:v>
                </c:pt>
                <c:pt idx="6">
                  <c:v>585</c:v>
                </c:pt>
                <c:pt idx="7">
                  <c:v>615.39999999999418</c:v>
                </c:pt>
                <c:pt idx="8">
                  <c:v>645.79999999999563</c:v>
                </c:pt>
                <c:pt idx="9">
                  <c:v>676.19999999999709</c:v>
                </c:pt>
                <c:pt idx="10">
                  <c:v>706.59999999999854</c:v>
                </c:pt>
                <c:pt idx="11">
                  <c:v>737</c:v>
                </c:pt>
                <c:pt idx="12">
                  <c:v>753.60000000000582</c:v>
                </c:pt>
                <c:pt idx="13">
                  <c:v>770.20000000000437</c:v>
                </c:pt>
                <c:pt idx="14">
                  <c:v>786.80000000000291</c:v>
                </c:pt>
                <c:pt idx="15">
                  <c:v>803.40000000000146</c:v>
                </c:pt>
                <c:pt idx="16">
                  <c:v>820</c:v>
                </c:pt>
                <c:pt idx="17">
                  <c:v>829.40000000000146</c:v>
                </c:pt>
                <c:pt idx="18">
                  <c:v>838.79999999999927</c:v>
                </c:pt>
                <c:pt idx="19">
                  <c:v>848.20000000000073</c:v>
                </c:pt>
                <c:pt idx="20">
                  <c:v>857.60000000000218</c:v>
                </c:pt>
                <c:pt idx="21">
                  <c:v>867</c:v>
                </c:pt>
                <c:pt idx="22">
                  <c:v>876.40000000000146</c:v>
                </c:pt>
                <c:pt idx="23">
                  <c:v>885.79999999999927</c:v>
                </c:pt>
                <c:pt idx="24">
                  <c:v>895.20000000000073</c:v>
                </c:pt>
                <c:pt idx="25">
                  <c:v>904.60000000000218</c:v>
                </c:pt>
                <c:pt idx="26">
                  <c:v>914</c:v>
                </c:pt>
              </c:numCache>
            </c:numRef>
          </c:yVal>
          <c:smooth val="0"/>
          <c:extLst>
            <c:ext xmlns:c16="http://schemas.microsoft.com/office/drawing/2014/chart" uri="{C3380CC4-5D6E-409C-BE32-E72D297353CC}">
              <c16:uniqueId val="{00000002-4391-49B7-94C4-014E94498BB4}"/>
            </c:ext>
          </c:extLst>
        </c:ser>
        <c:ser>
          <c:idx val="3"/>
          <c:order val="3"/>
          <c:tx>
            <c:v>IEA</c:v>
          </c:tx>
          <c:spPr>
            <a:ln w="25400" cap="rnd">
              <a:noFill/>
              <a:round/>
            </a:ln>
            <a:effectLst/>
          </c:spPr>
          <c:marker>
            <c:symbol val="circle"/>
            <c:size val="5"/>
            <c:spPr>
              <a:solidFill>
                <a:schemeClr val="accent4"/>
              </a:solidFill>
              <a:ln w="9525">
                <a:solidFill>
                  <a:schemeClr val="accent4"/>
                </a:solidFill>
              </a:ln>
              <a:effectLst/>
            </c:spPr>
          </c:marker>
          <c:xVal>
            <c:numRef>
              <c:f>[1]IEA!$D$23:$E$23</c:f>
              <c:numCache>
                <c:formatCode>General</c:formatCode>
                <c:ptCount val="2"/>
                <c:pt idx="0">
                  <c:v>2025</c:v>
                </c:pt>
                <c:pt idx="1">
                  <c:v>2030</c:v>
                </c:pt>
              </c:numCache>
            </c:numRef>
          </c:xVal>
          <c:yVal>
            <c:numRef>
              <c:f>[1]IEA!$D$24:$E$24</c:f>
              <c:numCache>
                <c:formatCode>General</c:formatCode>
                <c:ptCount val="2"/>
                <c:pt idx="0">
                  <c:v>224</c:v>
                </c:pt>
                <c:pt idx="1">
                  <c:v>426</c:v>
                </c:pt>
              </c:numCache>
            </c:numRef>
          </c:yVal>
          <c:smooth val="0"/>
          <c:extLst>
            <c:ext xmlns:c16="http://schemas.microsoft.com/office/drawing/2014/chart" uri="{C3380CC4-5D6E-409C-BE32-E72D297353CC}">
              <c16:uniqueId val="{00000003-4391-49B7-94C4-014E94498BB4}"/>
            </c:ext>
          </c:extLst>
        </c:ser>
        <c:ser>
          <c:idx val="5"/>
          <c:order val="5"/>
          <c:tx>
            <c:strRef>
              <c:f>'Data Centers'!$B$59</c:f>
              <c:strCache>
                <c:ptCount val="1"/>
                <c:pt idx="0">
                  <c:v>AEO DCs</c:v>
                </c:pt>
              </c:strCache>
            </c:strRef>
          </c:tx>
          <c:spPr>
            <a:ln w="19050" cap="rnd">
              <a:solidFill>
                <a:schemeClr val="tx1">
                  <a:lumMod val="50000"/>
                  <a:lumOff val="50000"/>
                </a:schemeClr>
              </a:solidFill>
              <a:round/>
            </a:ln>
            <a:effectLst/>
          </c:spPr>
          <c:marker>
            <c:symbol val="none"/>
          </c:marker>
          <c:xVal>
            <c:numRef>
              <c:f>'Data Centers'!$C$58:$AB$58</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xVal>
          <c:yVal>
            <c:numRef>
              <c:f>'Data Centers'!$C$59:$AB$59</c:f>
              <c:numCache>
                <c:formatCode>0</c:formatCode>
                <c:ptCount val="26"/>
                <c:pt idx="0">
                  <c:v>224</c:v>
                </c:pt>
                <c:pt idx="1">
                  <c:v>299.76136933399988</c:v>
                </c:pt>
                <c:pt idx="2">
                  <c:v>319.14353428999999</c:v>
                </c:pt>
                <c:pt idx="3">
                  <c:v>338.43513659899986</c:v>
                </c:pt>
                <c:pt idx="4">
                  <c:v>356.90376184399992</c:v>
                </c:pt>
                <c:pt idx="5">
                  <c:v>372.80937625400009</c:v>
                </c:pt>
                <c:pt idx="6">
                  <c:v>389.36065251299988</c:v>
                </c:pt>
                <c:pt idx="7">
                  <c:v>406.82107223799983</c:v>
                </c:pt>
                <c:pt idx="8">
                  <c:v>425.65458581799999</c:v>
                </c:pt>
                <c:pt idx="9">
                  <c:v>445.52444088599992</c:v>
                </c:pt>
                <c:pt idx="10">
                  <c:v>466.198808789</c:v>
                </c:pt>
                <c:pt idx="11">
                  <c:v>488.22722015200003</c:v>
                </c:pt>
                <c:pt idx="12">
                  <c:v>510.64191490899992</c:v>
                </c:pt>
                <c:pt idx="13">
                  <c:v>533.15479247099995</c:v>
                </c:pt>
                <c:pt idx="14">
                  <c:v>555.57564197099987</c:v>
                </c:pt>
                <c:pt idx="15">
                  <c:v>577.66970392600001</c:v>
                </c:pt>
                <c:pt idx="16">
                  <c:v>599.38480956199987</c:v>
                </c:pt>
                <c:pt idx="17">
                  <c:v>620.79716045899977</c:v>
                </c:pt>
                <c:pt idx="18">
                  <c:v>641.72651057200005</c:v>
                </c:pt>
                <c:pt idx="19">
                  <c:v>661.94982373799985</c:v>
                </c:pt>
                <c:pt idx="20">
                  <c:v>681.55355944200005</c:v>
                </c:pt>
                <c:pt idx="21">
                  <c:v>699.71063745799984</c:v>
                </c:pt>
                <c:pt idx="22">
                  <c:v>715.95974514399995</c:v>
                </c:pt>
                <c:pt idx="23">
                  <c:v>730.73728308700015</c:v>
                </c:pt>
                <c:pt idx="24">
                  <c:v>744.35245385200017</c:v>
                </c:pt>
                <c:pt idx="25">
                  <c:v>757.35390881499995</c:v>
                </c:pt>
              </c:numCache>
            </c:numRef>
          </c:yVal>
          <c:smooth val="0"/>
          <c:extLst>
            <c:ext xmlns:c16="http://schemas.microsoft.com/office/drawing/2014/chart" uri="{C3380CC4-5D6E-409C-BE32-E72D297353CC}">
              <c16:uniqueId val="{00000005-4391-49B7-94C4-014E94498BB4}"/>
            </c:ext>
          </c:extLst>
        </c:ser>
        <c:dLbls>
          <c:showLegendKey val="0"/>
          <c:showVal val="0"/>
          <c:showCatName val="0"/>
          <c:showSerName val="0"/>
          <c:showPercent val="0"/>
          <c:showBubbleSize val="0"/>
        </c:dLbls>
        <c:axId val="2085314000"/>
        <c:axId val="2085316520"/>
      </c:scatterChart>
      <c:scatterChart>
        <c:scatterStyle val="lineMarker"/>
        <c:varyColors val="0"/>
        <c:ser>
          <c:idx val="4"/>
          <c:order val="4"/>
          <c:tx>
            <c:strRef>
              <c:f>'Data Centers'!$A$6</c:f>
              <c:strCache>
                <c:ptCount val="1"/>
                <c:pt idx="0">
                  <c:v>mid share of AEO commercial</c:v>
                </c:pt>
              </c:strCache>
            </c:strRef>
          </c:tx>
          <c:spPr>
            <a:ln w="19050" cap="rnd">
              <a:solidFill>
                <a:schemeClr val="accent2"/>
              </a:solidFill>
              <a:prstDash val="dash"/>
              <a:round/>
            </a:ln>
            <a:effectLst/>
          </c:spPr>
          <c:marker>
            <c:symbol val="none"/>
          </c:marker>
          <c:xVal>
            <c:numRef>
              <c:f>'Data Centers'!$C$2:$AB$2</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xVal>
          <c:yVal>
            <c:numRef>
              <c:f>'Data Centers'!$C$6:$AB$6</c:f>
              <c:numCache>
                <c:formatCode>0%</c:formatCode>
                <c:ptCount val="26"/>
                <c:pt idx="0">
                  <c:v>0.15212902991557539</c:v>
                </c:pt>
                <c:pt idx="1">
                  <c:v>0.18839537329183526</c:v>
                </c:pt>
                <c:pt idx="2">
                  <c:v>0.23731044824730663</c:v>
                </c:pt>
                <c:pt idx="3">
                  <c:v>0.28444521813543777</c:v>
                </c:pt>
                <c:pt idx="4">
                  <c:v>0.32478630968472066</c:v>
                </c:pt>
                <c:pt idx="5">
                  <c:v>0.36370222906443861</c:v>
                </c:pt>
                <c:pt idx="6">
                  <c:v>0.37910935995770323</c:v>
                </c:pt>
                <c:pt idx="7">
                  <c:v>0.393889889520806</c:v>
                </c:pt>
                <c:pt idx="8">
                  <c:v>0.40795230489516748</c:v>
                </c:pt>
                <c:pt idx="9">
                  <c:v>0.42153246534950545</c:v>
                </c:pt>
                <c:pt idx="10">
                  <c:v>0.43447014056945377</c:v>
                </c:pt>
                <c:pt idx="11">
                  <c:v>0.43853129145878789</c:v>
                </c:pt>
                <c:pt idx="12">
                  <c:v>0.44252598201787247</c:v>
                </c:pt>
                <c:pt idx="13">
                  <c:v>0.44631937052831533</c:v>
                </c:pt>
                <c:pt idx="14">
                  <c:v>0.45011744216215338</c:v>
                </c:pt>
                <c:pt idx="15">
                  <c:v>0.45392465948153865</c:v>
                </c:pt>
                <c:pt idx="16">
                  <c:v>0.45342323526859618</c:v>
                </c:pt>
                <c:pt idx="17">
                  <c:v>0.45303152656763168</c:v>
                </c:pt>
                <c:pt idx="18">
                  <c:v>0.45246959280043314</c:v>
                </c:pt>
                <c:pt idx="19">
                  <c:v>0.45199543911725426</c:v>
                </c:pt>
                <c:pt idx="20">
                  <c:v>0.4515255687360209</c:v>
                </c:pt>
                <c:pt idx="21">
                  <c:v>0.45149219036973348</c:v>
                </c:pt>
                <c:pt idx="22">
                  <c:v>0.45198315310712572</c:v>
                </c:pt>
                <c:pt idx="23">
                  <c:v>0.45279622953463944</c:v>
                </c:pt>
                <c:pt idx="24">
                  <c:v>0.45373450568766144</c:v>
                </c:pt>
                <c:pt idx="25">
                  <c:v>0.45488002187811655</c:v>
                </c:pt>
              </c:numCache>
            </c:numRef>
          </c:yVal>
          <c:smooth val="0"/>
          <c:extLst>
            <c:ext xmlns:c16="http://schemas.microsoft.com/office/drawing/2014/chart" uri="{C3380CC4-5D6E-409C-BE32-E72D297353CC}">
              <c16:uniqueId val="{00000004-4391-49B7-94C4-014E94498BB4}"/>
            </c:ext>
          </c:extLst>
        </c:ser>
        <c:dLbls>
          <c:showLegendKey val="0"/>
          <c:showVal val="0"/>
          <c:showCatName val="0"/>
          <c:showSerName val="0"/>
          <c:showPercent val="0"/>
          <c:showBubbleSize val="0"/>
        </c:dLbls>
        <c:axId val="237986032"/>
        <c:axId val="1979247568"/>
      </c:scatterChart>
      <c:valAx>
        <c:axId val="208531400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2085316520"/>
        <c:crosses val="autoZero"/>
        <c:crossBetween val="midCat"/>
      </c:valAx>
      <c:valAx>
        <c:axId val="2085316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Century Gothic" panose="020B0502020202020204" pitchFamily="34" charset="0"/>
                    <a:ea typeface="+mn-ea"/>
                    <a:cs typeface="+mn-cs"/>
                  </a:defRPr>
                </a:pPr>
                <a:r>
                  <a:rPr lang="en-US"/>
                  <a:t>TWh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title>
        <c:numFmt formatCode="0" sourceLinked="1"/>
        <c:majorTickMark val="in"/>
        <c:minorTickMark val="none"/>
        <c:tickLblPos val="nextTo"/>
        <c:spPr>
          <a:noFill/>
          <a:ln w="25400" cap="flat" cmpd="sng" algn="ctr">
            <a:solidFill>
              <a:schemeClr val="accent6"/>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2085314000"/>
        <c:crosses val="autoZero"/>
        <c:crossBetween val="midCat"/>
      </c:valAx>
      <c:valAx>
        <c:axId val="1979247568"/>
        <c:scaling>
          <c:orientation val="minMax"/>
        </c:scaling>
        <c:delete val="0"/>
        <c:axPos val="r"/>
        <c:numFmt formatCode="0%" sourceLinked="1"/>
        <c:majorTickMark val="in"/>
        <c:minorTickMark val="none"/>
        <c:tickLblPos val="nextTo"/>
        <c:spPr>
          <a:noFill/>
          <a:ln w="25400" cap="flat" cmpd="sng" algn="ctr">
            <a:solidFill>
              <a:schemeClr val="accent2"/>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237986032"/>
        <c:crosses val="max"/>
        <c:crossBetween val="midCat"/>
      </c:valAx>
      <c:valAx>
        <c:axId val="237986032"/>
        <c:scaling>
          <c:orientation val="minMax"/>
        </c:scaling>
        <c:delete val="1"/>
        <c:axPos val="b"/>
        <c:numFmt formatCode="General" sourceLinked="1"/>
        <c:majorTickMark val="out"/>
        <c:minorTickMark val="none"/>
        <c:tickLblPos val="nextTo"/>
        <c:crossAx val="1979247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entury Gothic" panose="020B0502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before DC</a:t>
            </a:r>
            <a:r>
              <a:rPr lang="en-US" baseline="0"/>
              <a:t> load reassignment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'Data Centers'!$B$35</c:f>
              <c:strCache>
                <c:ptCount val="1"/>
                <c:pt idx="0">
                  <c:v>Data Center Servers</c:v>
                </c:pt>
              </c:strCache>
            </c:strRef>
          </c:tx>
          <c:spPr>
            <a:solidFill>
              <a:schemeClr val="accent1"/>
            </a:solidFill>
            <a:ln>
              <a:noFill/>
            </a:ln>
            <a:effectLst/>
          </c:spPr>
          <c:cat>
            <c:numRef>
              <c:f>'Data Centers'!$C$2:$AB$2</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'Data Centers'!$C$35:$AB$35</c:f>
              <c:numCache>
                <c:formatCode>General</c:formatCode>
                <c:ptCount val="26"/>
                <c:pt idx="0">
                  <c:v>104.83315135300001</c:v>
                </c:pt>
                <c:pt idx="1">
                  <c:v>118.31702093400001</c:v>
                </c:pt>
                <c:pt idx="2">
                  <c:v>132.75722034400002</c:v>
                </c:pt>
                <c:pt idx="3">
                  <c:v>147.67397271199999</c:v>
                </c:pt>
                <c:pt idx="4">
                  <c:v>162.89582448300001</c:v>
                </c:pt>
                <c:pt idx="5">
                  <c:v>178.22553079800002</c:v>
                </c:pt>
                <c:pt idx="6">
                  <c:v>193.72082900800001</c:v>
                </c:pt>
                <c:pt idx="7">
                  <c:v>209.513606463</c:v>
                </c:pt>
                <c:pt idx="8">
                  <c:v>225.59594992200002</c:v>
                </c:pt>
                <c:pt idx="9">
                  <c:v>241.91275978100003</c:v>
                </c:pt>
                <c:pt idx="10">
                  <c:v>258.41655659400004</c:v>
                </c:pt>
                <c:pt idx="11">
                  <c:v>275.02498403800001</c:v>
                </c:pt>
                <c:pt idx="12">
                  <c:v>291.66125436700003</c:v>
                </c:pt>
                <c:pt idx="13">
                  <c:v>308.11962331500001</c:v>
                </c:pt>
                <c:pt idx="14">
                  <c:v>324.25501479700006</c:v>
                </c:pt>
                <c:pt idx="15">
                  <c:v>339.91795648300007</c:v>
                </c:pt>
                <c:pt idx="16">
                  <c:v>355.04895252400001</c:v>
                </c:pt>
                <c:pt idx="17">
                  <c:v>369.40826102599999</c:v>
                </c:pt>
                <c:pt idx="18">
                  <c:v>383.00965689000003</c:v>
                </c:pt>
                <c:pt idx="19">
                  <c:v>395.61838063300002</c:v>
                </c:pt>
                <c:pt idx="20">
                  <c:v>407.23853541700004</c:v>
                </c:pt>
                <c:pt idx="21">
                  <c:v>417.591399309</c:v>
                </c:pt>
                <c:pt idx="22">
                  <c:v>426.58728891100003</c:v>
                </c:pt>
                <c:pt idx="23">
                  <c:v>434.12772833500003</c:v>
                </c:pt>
                <c:pt idx="24">
                  <c:v>440.15673872800005</c:v>
                </c:pt>
                <c:pt idx="25">
                  <c:v>445.511072055</c:v>
                </c:pt>
              </c:numCache>
            </c:numRef>
          </c:val>
          <c:extLst>
            <c:ext xmlns:c16="http://schemas.microsoft.com/office/drawing/2014/chart" uri="{C3380CC4-5D6E-409C-BE32-E72D297353CC}">
              <c16:uniqueId val="{00000000-04F8-4E66-B517-8990FF3B4EFE}"/>
            </c:ext>
          </c:extLst>
        </c:ser>
        <c:ser>
          <c:idx val="1"/>
          <c:order val="1"/>
          <c:tx>
            <c:strRef>
              <c:f>'Data Centers'!$B$41</c:f>
              <c:strCache>
                <c:ptCount val="1"/>
                <c:pt idx="0">
                  <c:v>other DC related comm</c:v>
                </c:pt>
              </c:strCache>
            </c:strRef>
          </c:tx>
          <c:spPr>
            <a:solidFill>
              <a:schemeClr val="accent2"/>
            </a:solidFill>
            <a:ln>
              <a:noFill/>
            </a:ln>
            <a:effectLst/>
          </c:spPr>
          <c:cat>
            <c:numRef>
              <c:f>'Data Centers'!$C$2:$AB$2</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'Data Centers'!$C$41:$AB$41</c:f>
              <c:numCache>
                <c:formatCode>General</c:formatCode>
                <c:ptCount val="26"/>
                <c:pt idx="0">
                  <c:v>1027.4124213220002</c:v>
                </c:pt>
                <c:pt idx="1">
                  <c:v>1089.689921075</c:v>
                </c:pt>
                <c:pt idx="2">
                  <c:v>1094.6318866210001</c:v>
                </c:pt>
                <c:pt idx="3">
                  <c:v>1099.006736562</c:v>
                </c:pt>
                <c:pt idx="4">
                  <c:v>1102.2535100360001</c:v>
                </c:pt>
                <c:pt idx="5">
                  <c:v>1102.8294181310002</c:v>
                </c:pt>
                <c:pt idx="6">
                  <c:v>1103.88539618</c:v>
                </c:pt>
                <c:pt idx="7">
                  <c:v>1105.55303845</c:v>
                </c:pt>
                <c:pt idx="8">
                  <c:v>1108.3042085710001</c:v>
                </c:pt>
                <c:pt idx="9">
                  <c:v>1111.8572537800001</c:v>
                </c:pt>
                <c:pt idx="10">
                  <c:v>1116.0278248700001</c:v>
                </c:pt>
                <c:pt idx="11">
                  <c:v>1121.4478087890002</c:v>
                </c:pt>
                <c:pt idx="12">
                  <c:v>1127.2262332170001</c:v>
                </c:pt>
                <c:pt idx="13">
                  <c:v>1133.2807418310001</c:v>
                </c:pt>
                <c:pt idx="14">
                  <c:v>1139.566199849</c:v>
                </c:pt>
                <c:pt idx="15">
                  <c:v>1145.9973201180001</c:v>
                </c:pt>
                <c:pt idx="16">
                  <c:v>1152.581429713</c:v>
                </c:pt>
                <c:pt idx="17">
                  <c:v>1159.634472108</c:v>
                </c:pt>
                <c:pt idx="18">
                  <c:v>1166.9624263570001</c:v>
                </c:pt>
                <c:pt idx="19">
                  <c:v>1174.57701578</c:v>
                </c:pt>
                <c:pt idx="20">
                  <c:v>1182.5605967000001</c:v>
                </c:pt>
                <c:pt idx="21">
                  <c:v>1190.364810824</c:v>
                </c:pt>
                <c:pt idx="22">
                  <c:v>1197.618028908</c:v>
                </c:pt>
                <c:pt idx="23">
                  <c:v>1204.8551274270003</c:v>
                </c:pt>
                <c:pt idx="24">
                  <c:v>1212.4412877990003</c:v>
                </c:pt>
                <c:pt idx="25">
                  <c:v>1220.0884094350001</c:v>
                </c:pt>
              </c:numCache>
            </c:numRef>
          </c:val>
          <c:extLst>
            <c:ext xmlns:c16="http://schemas.microsoft.com/office/drawing/2014/chart" uri="{C3380CC4-5D6E-409C-BE32-E72D297353CC}">
              <c16:uniqueId val="{00000001-04F8-4E66-B517-8990FF3B4EFE}"/>
            </c:ext>
          </c:extLst>
        </c:ser>
        <c:ser>
          <c:idx val="3"/>
          <c:order val="2"/>
          <c:tx>
            <c:strRef>
              <c:f>'Data Centers'!$B$44</c:f>
              <c:strCache>
                <c:ptCount val="1"/>
                <c:pt idx="0">
                  <c:v>non-DC comm</c:v>
                </c:pt>
              </c:strCache>
            </c:strRef>
          </c:tx>
          <c:spPr>
            <a:solidFill>
              <a:schemeClr val="accent4"/>
            </a:solidFill>
            <a:ln w="25400">
              <a:noFill/>
            </a:ln>
            <a:effectLst/>
          </c:spPr>
          <c:cat>
            <c:numRef>
              <c:f>'Data Centers'!$C$2:$AB$2</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'Data Centers'!$C$44:$AB$44</c:f>
              <c:numCache>
                <c:formatCode>General</c:formatCode>
                <c:ptCount val="26"/>
                <c:pt idx="0">
                  <c:v>378.08615557300004</c:v>
                </c:pt>
                <c:pt idx="1">
                  <c:v>371.99354616900001</c:v>
                </c:pt>
                <c:pt idx="2">
                  <c:v>369.50937466100004</c:v>
                </c:pt>
                <c:pt idx="3">
                  <c:v>368.71511973100002</c:v>
                </c:pt>
                <c:pt idx="4">
                  <c:v>367.61635156400001</c:v>
                </c:pt>
                <c:pt idx="5">
                  <c:v>363.059203997</c:v>
                </c:pt>
                <c:pt idx="6">
                  <c:v>359.06741353700005</c:v>
                </c:pt>
                <c:pt idx="7">
                  <c:v>355.54807287300002</c:v>
                </c:pt>
                <c:pt idx="8">
                  <c:v>352.48183852700004</c:v>
                </c:pt>
                <c:pt idx="9">
                  <c:v>349.59878105600006</c:v>
                </c:pt>
                <c:pt idx="10">
                  <c:v>346.82650895900002</c:v>
                </c:pt>
                <c:pt idx="11">
                  <c:v>344.53254831800001</c:v>
                </c:pt>
                <c:pt idx="12">
                  <c:v>342.46748550000001</c:v>
                </c:pt>
                <c:pt idx="13">
                  <c:v>340.62809659200002</c:v>
                </c:pt>
                <c:pt idx="14">
                  <c:v>338.91502645700007</c:v>
                </c:pt>
                <c:pt idx="15">
                  <c:v>336.70195672400001</c:v>
                </c:pt>
                <c:pt idx="16">
                  <c:v>334.96925002800003</c:v>
                </c:pt>
                <c:pt idx="17">
                  <c:v>333.44199451500003</c:v>
                </c:pt>
                <c:pt idx="18">
                  <c:v>332.14949848500004</c:v>
                </c:pt>
                <c:pt idx="19">
                  <c:v>330.99738921200003</c:v>
                </c:pt>
                <c:pt idx="20">
                  <c:v>329.95958230900004</c:v>
                </c:pt>
                <c:pt idx="21">
                  <c:v>328.85260781799997</c:v>
                </c:pt>
                <c:pt idx="22">
                  <c:v>327.57447285500007</c:v>
                </c:pt>
                <c:pt idx="23">
                  <c:v>326.23947979000002</c:v>
                </c:pt>
                <c:pt idx="24">
                  <c:v>325.00266953000005</c:v>
                </c:pt>
                <c:pt idx="25">
                  <c:v>323.71398357900006</c:v>
                </c:pt>
              </c:numCache>
            </c:numRef>
          </c:val>
          <c:extLst>
            <c:ext xmlns:c16="http://schemas.microsoft.com/office/drawing/2014/chart" uri="{C3380CC4-5D6E-409C-BE32-E72D297353CC}">
              <c16:uniqueId val="{00000003-04F8-4E66-B517-8990FF3B4EFE}"/>
            </c:ext>
          </c:extLst>
        </c:ser>
        <c:dLbls>
          <c:showLegendKey val="0"/>
          <c:showVal val="0"/>
          <c:showCatName val="0"/>
          <c:showSerName val="0"/>
          <c:showPercent val="0"/>
          <c:showBubbleSize val="0"/>
        </c:dLbls>
        <c:axId val="413130304"/>
        <c:axId val="413132224"/>
      </c:areaChart>
      <c:scatterChart>
        <c:scatterStyle val="lineMarker"/>
        <c:varyColors val="0"/>
        <c:ser>
          <c:idx val="2"/>
          <c:order val="3"/>
          <c:tx>
            <c:strRef>
              <c:f>'Data Centers'!$A$4</c:f>
              <c:strCache>
                <c:ptCount val="1"/>
                <c:pt idx="0">
                  <c:v>mid</c:v>
                </c:pt>
              </c:strCache>
            </c:strRef>
          </c:tx>
          <c:spPr>
            <a:ln w="25400" cap="rnd">
              <a:noFill/>
              <a:round/>
            </a:ln>
            <a:effectLst/>
          </c:spPr>
          <c:marker>
            <c:symbol val="circle"/>
            <c:size val="5"/>
            <c:spPr>
              <a:solidFill>
                <a:schemeClr val="accent3"/>
              </a:solidFill>
              <a:ln w="9525">
                <a:solidFill>
                  <a:schemeClr val="accent3"/>
                </a:solidFill>
              </a:ln>
              <a:effectLst/>
            </c:spPr>
          </c:marker>
          <c:xVal>
            <c:numRef>
              <c:f>'Data Centers'!$C$2:$AB$2</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xVal>
          <c:yVal>
            <c:numRef>
              <c:f>'Data Centers'!$C$4:$AB$4</c:f>
              <c:numCache>
                <c:formatCode>0</c:formatCode>
                <c:ptCount val="26"/>
                <c:pt idx="0">
                  <c:v>224</c:v>
                </c:pt>
                <c:pt idx="1">
                  <c:v>290</c:v>
                </c:pt>
                <c:pt idx="2">
                  <c:v>369</c:v>
                </c:pt>
                <c:pt idx="3">
                  <c:v>448</c:v>
                </c:pt>
                <c:pt idx="4">
                  <c:v>518</c:v>
                </c:pt>
                <c:pt idx="5">
                  <c:v>585</c:v>
                </c:pt>
                <c:pt idx="6">
                  <c:v>615.39999999999418</c:v>
                </c:pt>
                <c:pt idx="7">
                  <c:v>645.79999999999563</c:v>
                </c:pt>
                <c:pt idx="8">
                  <c:v>676.19999999999709</c:v>
                </c:pt>
                <c:pt idx="9">
                  <c:v>706.59999999999854</c:v>
                </c:pt>
                <c:pt idx="10">
                  <c:v>737</c:v>
                </c:pt>
                <c:pt idx="11">
                  <c:v>753.60000000000582</c:v>
                </c:pt>
                <c:pt idx="12">
                  <c:v>770.20000000000437</c:v>
                </c:pt>
                <c:pt idx="13">
                  <c:v>786.80000000000291</c:v>
                </c:pt>
                <c:pt idx="14">
                  <c:v>803.40000000000146</c:v>
                </c:pt>
                <c:pt idx="15">
                  <c:v>820</c:v>
                </c:pt>
                <c:pt idx="16">
                  <c:v>829.40000000000146</c:v>
                </c:pt>
                <c:pt idx="17">
                  <c:v>838.79999999999927</c:v>
                </c:pt>
                <c:pt idx="18">
                  <c:v>848.20000000000073</c:v>
                </c:pt>
                <c:pt idx="19">
                  <c:v>857.60000000000218</c:v>
                </c:pt>
                <c:pt idx="20">
                  <c:v>867</c:v>
                </c:pt>
                <c:pt idx="21">
                  <c:v>876.40000000000146</c:v>
                </c:pt>
                <c:pt idx="22">
                  <c:v>885.79999999999927</c:v>
                </c:pt>
                <c:pt idx="23">
                  <c:v>895.20000000000073</c:v>
                </c:pt>
                <c:pt idx="24">
                  <c:v>904.60000000000218</c:v>
                </c:pt>
                <c:pt idx="25">
                  <c:v>914</c:v>
                </c:pt>
              </c:numCache>
            </c:numRef>
          </c:yVal>
          <c:smooth val="0"/>
          <c:extLst>
            <c:ext xmlns:c16="http://schemas.microsoft.com/office/drawing/2014/chart" uri="{C3380CC4-5D6E-409C-BE32-E72D297353CC}">
              <c16:uniqueId val="{00000002-04F8-4E66-B517-8990FF3B4EFE}"/>
            </c:ext>
          </c:extLst>
        </c:ser>
        <c:dLbls>
          <c:showLegendKey val="0"/>
          <c:showVal val="0"/>
          <c:showCatName val="0"/>
          <c:showSerName val="0"/>
          <c:showPercent val="0"/>
          <c:showBubbleSize val="0"/>
        </c:dLbls>
        <c:axId val="779916048"/>
        <c:axId val="779906928"/>
      </c:scatterChart>
      <c:catAx>
        <c:axId val="413130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132224"/>
        <c:crosses val="autoZero"/>
        <c:auto val="0"/>
        <c:lblAlgn val="ctr"/>
        <c:lblOffset val="100"/>
        <c:noMultiLvlLbl val="0"/>
      </c:catAx>
      <c:valAx>
        <c:axId val="413132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130304"/>
        <c:crosses val="autoZero"/>
        <c:crossBetween val="between"/>
      </c:valAx>
      <c:valAx>
        <c:axId val="779906928"/>
        <c:scaling>
          <c:orientation val="minMax"/>
          <c:max val="2500"/>
        </c:scaling>
        <c:delete val="0"/>
        <c:axPos val="r"/>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916048"/>
        <c:crosses val="max"/>
        <c:crossBetween val="midCat"/>
      </c:valAx>
      <c:valAx>
        <c:axId val="779916048"/>
        <c:scaling>
          <c:orientation val="minMax"/>
          <c:max val="2050"/>
          <c:min val="2025"/>
        </c:scaling>
        <c:delete val="0"/>
        <c:axPos val="t"/>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906928"/>
        <c:crosses val="max"/>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after DC load reassignment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'Data Centers'!$B$59</c:f>
              <c:strCache>
                <c:ptCount val="1"/>
                <c:pt idx="0">
                  <c:v>AEO DCs</c:v>
                </c:pt>
              </c:strCache>
            </c:strRef>
          </c:tx>
          <c:spPr>
            <a:solidFill>
              <a:schemeClr val="accent1"/>
            </a:solidFill>
            <a:ln>
              <a:noFill/>
            </a:ln>
            <a:effectLst/>
          </c:spPr>
          <c:cat>
            <c:numRef>
              <c:f>'Data Centers'!$C$2:$AB$2</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'Data Centers'!$C$59:$AB$59</c:f>
              <c:numCache>
                <c:formatCode>0</c:formatCode>
                <c:ptCount val="26"/>
                <c:pt idx="0">
                  <c:v>224</c:v>
                </c:pt>
                <c:pt idx="1">
                  <c:v>299.76136933399988</c:v>
                </c:pt>
                <c:pt idx="2">
                  <c:v>319.14353428999999</c:v>
                </c:pt>
                <c:pt idx="3">
                  <c:v>338.43513659899986</c:v>
                </c:pt>
                <c:pt idx="4">
                  <c:v>356.90376184399992</c:v>
                </c:pt>
                <c:pt idx="5">
                  <c:v>372.80937625400009</c:v>
                </c:pt>
                <c:pt idx="6">
                  <c:v>389.36065251299988</c:v>
                </c:pt>
                <c:pt idx="7">
                  <c:v>406.82107223799983</c:v>
                </c:pt>
                <c:pt idx="8">
                  <c:v>425.65458581799999</c:v>
                </c:pt>
                <c:pt idx="9">
                  <c:v>445.52444088599992</c:v>
                </c:pt>
                <c:pt idx="10">
                  <c:v>466.198808789</c:v>
                </c:pt>
                <c:pt idx="11">
                  <c:v>488.22722015200003</c:v>
                </c:pt>
                <c:pt idx="12">
                  <c:v>510.64191490899992</c:v>
                </c:pt>
                <c:pt idx="13">
                  <c:v>533.15479247099995</c:v>
                </c:pt>
                <c:pt idx="14">
                  <c:v>555.57564197099987</c:v>
                </c:pt>
                <c:pt idx="15">
                  <c:v>577.66970392600001</c:v>
                </c:pt>
                <c:pt idx="16">
                  <c:v>599.38480956199987</c:v>
                </c:pt>
                <c:pt idx="17">
                  <c:v>620.79716045899977</c:v>
                </c:pt>
                <c:pt idx="18">
                  <c:v>641.72651057200005</c:v>
                </c:pt>
                <c:pt idx="19">
                  <c:v>661.94982373799985</c:v>
                </c:pt>
                <c:pt idx="20">
                  <c:v>681.55355944200005</c:v>
                </c:pt>
                <c:pt idx="21">
                  <c:v>699.71063745799984</c:v>
                </c:pt>
                <c:pt idx="22">
                  <c:v>715.95974514399995</c:v>
                </c:pt>
                <c:pt idx="23">
                  <c:v>730.73728308700015</c:v>
                </c:pt>
                <c:pt idx="24">
                  <c:v>744.35245385200017</c:v>
                </c:pt>
                <c:pt idx="25">
                  <c:v>757.35390881499995</c:v>
                </c:pt>
              </c:numCache>
            </c:numRef>
          </c:val>
          <c:extLst>
            <c:ext xmlns:c16="http://schemas.microsoft.com/office/drawing/2014/chart" uri="{C3380CC4-5D6E-409C-BE32-E72D297353CC}">
              <c16:uniqueId val="{00000000-6BA2-4C7A-919C-3003097D3F5E}"/>
            </c:ext>
          </c:extLst>
        </c:ser>
        <c:ser>
          <c:idx val="1"/>
          <c:order val="1"/>
          <c:tx>
            <c:strRef>
              <c:f>'Data Centers'!$B$41</c:f>
              <c:strCache>
                <c:ptCount val="1"/>
                <c:pt idx="0">
                  <c:v>other DC related comm</c:v>
                </c:pt>
              </c:strCache>
            </c:strRef>
          </c:tx>
          <c:spPr>
            <a:solidFill>
              <a:schemeClr val="accent2"/>
            </a:solidFill>
            <a:ln>
              <a:noFill/>
            </a:ln>
            <a:effectLst/>
          </c:spPr>
          <c:cat>
            <c:numRef>
              <c:f>'Data Centers'!$C$2:$AB$2</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'Data Centers'!$C$62:$AB$62</c:f>
              <c:numCache>
                <c:formatCode>0</c:formatCode>
                <c:ptCount val="26"/>
                <c:pt idx="0">
                  <c:v>908.24557267500018</c:v>
                </c:pt>
                <c:pt idx="1">
                  <c:v>908.24557267500018</c:v>
                </c:pt>
                <c:pt idx="2">
                  <c:v>908.24557267500018</c:v>
                </c:pt>
                <c:pt idx="3">
                  <c:v>908.24557267500018</c:v>
                </c:pt>
                <c:pt idx="4">
                  <c:v>908.24557267500018</c:v>
                </c:pt>
                <c:pt idx="5">
                  <c:v>908.24557267500018</c:v>
                </c:pt>
                <c:pt idx="6">
                  <c:v>908.24557267500018</c:v>
                </c:pt>
                <c:pt idx="7">
                  <c:v>908.24557267500018</c:v>
                </c:pt>
                <c:pt idx="8">
                  <c:v>908.24557267500018</c:v>
                </c:pt>
                <c:pt idx="9">
                  <c:v>908.24557267500018</c:v>
                </c:pt>
                <c:pt idx="10">
                  <c:v>908.24557267500018</c:v>
                </c:pt>
                <c:pt idx="11">
                  <c:v>908.24557267500018</c:v>
                </c:pt>
                <c:pt idx="12">
                  <c:v>908.24557267500018</c:v>
                </c:pt>
                <c:pt idx="13">
                  <c:v>908.24557267500018</c:v>
                </c:pt>
                <c:pt idx="14">
                  <c:v>908.24557267500018</c:v>
                </c:pt>
                <c:pt idx="15">
                  <c:v>908.24557267500018</c:v>
                </c:pt>
                <c:pt idx="16">
                  <c:v>908.24557267500018</c:v>
                </c:pt>
                <c:pt idx="17">
                  <c:v>908.24557267500018</c:v>
                </c:pt>
                <c:pt idx="18">
                  <c:v>908.24557267500018</c:v>
                </c:pt>
                <c:pt idx="19">
                  <c:v>908.24557267500018</c:v>
                </c:pt>
                <c:pt idx="20">
                  <c:v>908.24557267500018</c:v>
                </c:pt>
                <c:pt idx="21">
                  <c:v>908.24557267500018</c:v>
                </c:pt>
                <c:pt idx="22">
                  <c:v>908.24557267500018</c:v>
                </c:pt>
                <c:pt idx="23">
                  <c:v>908.24557267500018</c:v>
                </c:pt>
                <c:pt idx="24">
                  <c:v>908.24557267500018</c:v>
                </c:pt>
                <c:pt idx="25">
                  <c:v>908.24557267500018</c:v>
                </c:pt>
              </c:numCache>
            </c:numRef>
          </c:val>
          <c:extLst>
            <c:ext xmlns:c16="http://schemas.microsoft.com/office/drawing/2014/chart" uri="{C3380CC4-5D6E-409C-BE32-E72D297353CC}">
              <c16:uniqueId val="{00000001-6BA2-4C7A-919C-3003097D3F5E}"/>
            </c:ext>
          </c:extLst>
        </c:ser>
        <c:ser>
          <c:idx val="3"/>
          <c:order val="2"/>
          <c:tx>
            <c:strRef>
              <c:f>'Data Centers'!$B$44</c:f>
              <c:strCache>
                <c:ptCount val="1"/>
                <c:pt idx="0">
                  <c:v>non-DC comm</c:v>
                </c:pt>
              </c:strCache>
            </c:strRef>
          </c:tx>
          <c:spPr>
            <a:solidFill>
              <a:schemeClr val="accent4"/>
            </a:solidFill>
            <a:ln w="25400">
              <a:noFill/>
            </a:ln>
            <a:effectLst/>
          </c:spPr>
          <c:cat>
            <c:numRef>
              <c:f>'Data Centers'!$C$2:$AB$2</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'Data Centers'!$C$44:$AB$44</c:f>
              <c:numCache>
                <c:formatCode>General</c:formatCode>
                <c:ptCount val="26"/>
                <c:pt idx="0">
                  <c:v>378.08615557300004</c:v>
                </c:pt>
                <c:pt idx="1">
                  <c:v>371.99354616900001</c:v>
                </c:pt>
                <c:pt idx="2">
                  <c:v>369.50937466100004</c:v>
                </c:pt>
                <c:pt idx="3">
                  <c:v>368.71511973100002</c:v>
                </c:pt>
                <c:pt idx="4">
                  <c:v>367.61635156400001</c:v>
                </c:pt>
                <c:pt idx="5">
                  <c:v>363.059203997</c:v>
                </c:pt>
                <c:pt idx="6">
                  <c:v>359.06741353700005</c:v>
                </c:pt>
                <c:pt idx="7">
                  <c:v>355.54807287300002</c:v>
                </c:pt>
                <c:pt idx="8">
                  <c:v>352.48183852700004</c:v>
                </c:pt>
                <c:pt idx="9">
                  <c:v>349.59878105600006</c:v>
                </c:pt>
                <c:pt idx="10">
                  <c:v>346.82650895900002</c:v>
                </c:pt>
                <c:pt idx="11">
                  <c:v>344.53254831800001</c:v>
                </c:pt>
                <c:pt idx="12">
                  <c:v>342.46748550000001</c:v>
                </c:pt>
                <c:pt idx="13">
                  <c:v>340.62809659200002</c:v>
                </c:pt>
                <c:pt idx="14">
                  <c:v>338.91502645700007</c:v>
                </c:pt>
                <c:pt idx="15">
                  <c:v>336.70195672400001</c:v>
                </c:pt>
                <c:pt idx="16">
                  <c:v>334.96925002800003</c:v>
                </c:pt>
                <c:pt idx="17">
                  <c:v>333.44199451500003</c:v>
                </c:pt>
                <c:pt idx="18">
                  <c:v>332.14949848500004</c:v>
                </c:pt>
                <c:pt idx="19">
                  <c:v>330.99738921200003</c:v>
                </c:pt>
                <c:pt idx="20">
                  <c:v>329.95958230900004</c:v>
                </c:pt>
                <c:pt idx="21">
                  <c:v>328.85260781799997</c:v>
                </c:pt>
                <c:pt idx="22">
                  <c:v>327.57447285500007</c:v>
                </c:pt>
                <c:pt idx="23">
                  <c:v>326.23947979000002</c:v>
                </c:pt>
                <c:pt idx="24">
                  <c:v>325.00266953000005</c:v>
                </c:pt>
                <c:pt idx="25">
                  <c:v>323.71398357900006</c:v>
                </c:pt>
              </c:numCache>
            </c:numRef>
          </c:val>
          <c:extLst>
            <c:ext xmlns:c16="http://schemas.microsoft.com/office/drawing/2014/chart" uri="{C3380CC4-5D6E-409C-BE32-E72D297353CC}">
              <c16:uniqueId val="{00000002-6BA2-4C7A-919C-3003097D3F5E}"/>
            </c:ext>
          </c:extLst>
        </c:ser>
        <c:dLbls>
          <c:showLegendKey val="0"/>
          <c:showVal val="0"/>
          <c:showCatName val="0"/>
          <c:showSerName val="0"/>
          <c:showPercent val="0"/>
          <c:showBubbleSize val="0"/>
        </c:dLbls>
        <c:axId val="413130304"/>
        <c:axId val="413132224"/>
      </c:areaChart>
      <c:scatterChart>
        <c:scatterStyle val="lineMarker"/>
        <c:varyColors val="0"/>
        <c:ser>
          <c:idx val="2"/>
          <c:order val="3"/>
          <c:tx>
            <c:strRef>
              <c:f>'Data Centers'!$A$4</c:f>
              <c:strCache>
                <c:ptCount val="1"/>
                <c:pt idx="0">
                  <c:v>mid</c:v>
                </c:pt>
              </c:strCache>
            </c:strRef>
          </c:tx>
          <c:spPr>
            <a:ln w="25400" cap="rnd">
              <a:noFill/>
              <a:round/>
            </a:ln>
            <a:effectLst/>
          </c:spPr>
          <c:marker>
            <c:symbol val="circle"/>
            <c:size val="5"/>
            <c:spPr>
              <a:solidFill>
                <a:schemeClr val="accent3"/>
              </a:solidFill>
              <a:ln w="9525">
                <a:solidFill>
                  <a:schemeClr val="accent3"/>
                </a:solidFill>
              </a:ln>
              <a:effectLst/>
            </c:spPr>
          </c:marker>
          <c:xVal>
            <c:numRef>
              <c:f>'Data Centers'!$C$2:$AB$2</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xVal>
          <c:yVal>
            <c:numRef>
              <c:f>'Data Centers'!$C$4:$AB$4</c:f>
              <c:numCache>
                <c:formatCode>0</c:formatCode>
                <c:ptCount val="26"/>
                <c:pt idx="0">
                  <c:v>224</c:v>
                </c:pt>
                <c:pt idx="1">
                  <c:v>290</c:v>
                </c:pt>
                <c:pt idx="2">
                  <c:v>369</c:v>
                </c:pt>
                <c:pt idx="3">
                  <c:v>448</c:v>
                </c:pt>
                <c:pt idx="4">
                  <c:v>518</c:v>
                </c:pt>
                <c:pt idx="5">
                  <c:v>585</c:v>
                </c:pt>
                <c:pt idx="6">
                  <c:v>615.39999999999418</c:v>
                </c:pt>
                <c:pt idx="7">
                  <c:v>645.79999999999563</c:v>
                </c:pt>
                <c:pt idx="8">
                  <c:v>676.19999999999709</c:v>
                </c:pt>
                <c:pt idx="9">
                  <c:v>706.59999999999854</c:v>
                </c:pt>
                <c:pt idx="10">
                  <c:v>737</c:v>
                </c:pt>
                <c:pt idx="11">
                  <c:v>753.60000000000582</c:v>
                </c:pt>
                <c:pt idx="12">
                  <c:v>770.20000000000437</c:v>
                </c:pt>
                <c:pt idx="13">
                  <c:v>786.80000000000291</c:v>
                </c:pt>
                <c:pt idx="14">
                  <c:v>803.40000000000146</c:v>
                </c:pt>
                <c:pt idx="15">
                  <c:v>820</c:v>
                </c:pt>
                <c:pt idx="16">
                  <c:v>829.40000000000146</c:v>
                </c:pt>
                <c:pt idx="17">
                  <c:v>838.79999999999927</c:v>
                </c:pt>
                <c:pt idx="18">
                  <c:v>848.20000000000073</c:v>
                </c:pt>
                <c:pt idx="19">
                  <c:v>857.60000000000218</c:v>
                </c:pt>
                <c:pt idx="20">
                  <c:v>867</c:v>
                </c:pt>
                <c:pt idx="21">
                  <c:v>876.40000000000146</c:v>
                </c:pt>
                <c:pt idx="22">
                  <c:v>885.79999999999927</c:v>
                </c:pt>
                <c:pt idx="23">
                  <c:v>895.20000000000073</c:v>
                </c:pt>
                <c:pt idx="24">
                  <c:v>904.60000000000218</c:v>
                </c:pt>
                <c:pt idx="25">
                  <c:v>914</c:v>
                </c:pt>
              </c:numCache>
            </c:numRef>
          </c:yVal>
          <c:smooth val="0"/>
          <c:extLst>
            <c:ext xmlns:c16="http://schemas.microsoft.com/office/drawing/2014/chart" uri="{C3380CC4-5D6E-409C-BE32-E72D297353CC}">
              <c16:uniqueId val="{00000003-6BA2-4C7A-919C-3003097D3F5E}"/>
            </c:ext>
          </c:extLst>
        </c:ser>
        <c:dLbls>
          <c:showLegendKey val="0"/>
          <c:showVal val="0"/>
          <c:showCatName val="0"/>
          <c:showSerName val="0"/>
          <c:showPercent val="0"/>
          <c:showBubbleSize val="0"/>
        </c:dLbls>
        <c:axId val="779916048"/>
        <c:axId val="779906928"/>
      </c:scatterChart>
      <c:catAx>
        <c:axId val="413130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132224"/>
        <c:crosses val="autoZero"/>
        <c:auto val="0"/>
        <c:lblAlgn val="ctr"/>
        <c:lblOffset val="100"/>
        <c:noMultiLvlLbl val="0"/>
      </c:catAx>
      <c:valAx>
        <c:axId val="413132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130304"/>
        <c:crossesAt val="1"/>
        <c:crossBetween val="between"/>
      </c:valAx>
      <c:valAx>
        <c:axId val="779906928"/>
        <c:scaling>
          <c:orientation val="minMax"/>
          <c:max val="2500"/>
        </c:scaling>
        <c:delete val="0"/>
        <c:axPos val="r"/>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916048"/>
        <c:crosses val="max"/>
        <c:crossBetween val="midCat"/>
      </c:valAx>
      <c:valAx>
        <c:axId val="779916048"/>
        <c:scaling>
          <c:orientation val="minMax"/>
          <c:max val="2050"/>
          <c:min val="2025"/>
        </c:scaling>
        <c:delete val="0"/>
        <c:axPos val="t"/>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906928"/>
        <c:crosses val="max"/>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'Data Centers'!$B$83</c:f>
              <c:strCache>
                <c:ptCount val="1"/>
                <c:pt idx="0">
                  <c:v>non-DC Space Cooling</c:v>
                </c:pt>
              </c:strCache>
            </c:strRef>
          </c:tx>
          <c:spPr>
            <a:ln w="19050" cap="rnd">
              <a:solidFill>
                <a:schemeClr val="accent1"/>
              </a:solidFill>
              <a:round/>
            </a:ln>
            <a:effectLst/>
          </c:spPr>
          <c:marker>
            <c:symbol val="none"/>
          </c:marker>
          <c:xVal>
            <c:numRef>
              <c:f>'Data Centers'!$C$82:$AB$82</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xVal>
          <c:yVal>
            <c:numRef>
              <c:f>'Data Centers'!$C$83:$AB$83</c:f>
              <c:numCache>
                <c:formatCode>General</c:formatCode>
                <c:ptCount val="26"/>
                <c:pt idx="0">
                  <c:v>146.86179400043596</c:v>
                </c:pt>
                <c:pt idx="1">
                  <c:v>145.21864755596121</c:v>
                </c:pt>
                <c:pt idx="2">
                  <c:v>146.11669457284069</c:v>
                </c:pt>
                <c:pt idx="3">
                  <c:v>147.51414806638431</c:v>
                </c:pt>
                <c:pt idx="4">
                  <c:v>148.71650292244283</c:v>
                </c:pt>
                <c:pt idx="5">
                  <c:v>149.66611786371277</c:v>
                </c:pt>
                <c:pt idx="6">
                  <c:v>150.70212351031935</c:v>
                </c:pt>
                <c:pt idx="7">
                  <c:v>151.79666458403381</c:v>
                </c:pt>
                <c:pt idx="8">
                  <c:v>152.85180296132273</c:v>
                </c:pt>
                <c:pt idx="9">
                  <c:v>153.92838307163214</c:v>
                </c:pt>
                <c:pt idx="10">
                  <c:v>154.98794998769463</c:v>
                </c:pt>
                <c:pt idx="11">
                  <c:v>156.05472413754873</c:v>
                </c:pt>
                <c:pt idx="12">
                  <c:v>157.10071403549588</c:v>
                </c:pt>
                <c:pt idx="13">
                  <c:v>158.13109898286851</c:v>
                </c:pt>
                <c:pt idx="14">
                  <c:v>159.09842356340843</c:v>
                </c:pt>
                <c:pt idx="15">
                  <c:v>160.11283777939488</c:v>
                </c:pt>
                <c:pt idx="16">
                  <c:v>161.2003203625452</c:v>
                </c:pt>
                <c:pt idx="17">
                  <c:v>162.31358365699847</c:v>
                </c:pt>
                <c:pt idx="18">
                  <c:v>163.53661731873243</c:v>
                </c:pt>
                <c:pt idx="19">
                  <c:v>164.75948079631536</c:v>
                </c:pt>
                <c:pt idx="20">
                  <c:v>166.02015059488488</c:v>
                </c:pt>
                <c:pt idx="21">
                  <c:v>167.1947480925337</c:v>
                </c:pt>
                <c:pt idx="22">
                  <c:v>168.33147969411249</c:v>
                </c:pt>
                <c:pt idx="23">
                  <c:v>169.44265269080239</c:v>
                </c:pt>
                <c:pt idx="24">
                  <c:v>170.60979537451371</c:v>
                </c:pt>
                <c:pt idx="25">
                  <c:v>171.7544958907574</c:v>
                </c:pt>
              </c:numCache>
            </c:numRef>
          </c:yVal>
          <c:smooth val="0"/>
          <c:extLst>
            <c:ext xmlns:c16="http://schemas.microsoft.com/office/drawing/2014/chart" uri="{C3380CC4-5D6E-409C-BE32-E72D297353CC}">
              <c16:uniqueId val="{00000000-3759-4D33-8B8D-910ED5ECDCF1}"/>
            </c:ext>
          </c:extLst>
        </c:ser>
        <c:ser>
          <c:idx val="1"/>
          <c:order val="1"/>
          <c:tx>
            <c:strRef>
              <c:f>'Data Centers'!$B$84</c:f>
              <c:strCache>
                <c:ptCount val="1"/>
                <c:pt idx="0">
                  <c:v>non-DC Ventilation</c:v>
                </c:pt>
              </c:strCache>
            </c:strRef>
          </c:tx>
          <c:spPr>
            <a:ln w="19050" cap="rnd">
              <a:solidFill>
                <a:schemeClr val="accent2"/>
              </a:solidFill>
              <a:round/>
            </a:ln>
            <a:effectLst/>
          </c:spPr>
          <c:marker>
            <c:symbol val="none"/>
          </c:marker>
          <c:xVal>
            <c:numRef>
              <c:f>'Data Centers'!$C$82:$AB$82</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xVal>
          <c:yVal>
            <c:numRef>
              <c:f>'Data Centers'!$C$84:$AB$84</c:f>
              <c:numCache>
                <c:formatCode>General</c:formatCode>
                <c:ptCount val="26"/>
                <c:pt idx="0">
                  <c:v>200.16678095025719</c:v>
                </c:pt>
                <c:pt idx="1">
                  <c:v>190.07097139813123</c:v>
                </c:pt>
                <c:pt idx="2">
                  <c:v>191.43429151642951</c:v>
                </c:pt>
                <c:pt idx="3">
                  <c:v>193.51386063349969</c:v>
                </c:pt>
                <c:pt idx="4">
                  <c:v>195.27888868910372</c:v>
                </c:pt>
                <c:pt idx="5">
                  <c:v>196.1981540243832</c:v>
                </c:pt>
                <c:pt idx="6">
                  <c:v>197.10886504602817</c:v>
                </c:pt>
                <c:pt idx="7">
                  <c:v>198.0361313372714</c:v>
                </c:pt>
                <c:pt idx="8">
                  <c:v>198.96952318767978</c:v>
                </c:pt>
                <c:pt idx="9">
                  <c:v>199.8448621809265</c:v>
                </c:pt>
                <c:pt idx="10">
                  <c:v>200.68990722245826</c:v>
                </c:pt>
                <c:pt idx="11">
                  <c:v>201.50779377462072</c:v>
                </c:pt>
                <c:pt idx="12">
                  <c:v>202.25914621902533</c:v>
                </c:pt>
                <c:pt idx="13">
                  <c:v>202.9895525835141</c:v>
                </c:pt>
                <c:pt idx="14">
                  <c:v>203.6561947185929</c:v>
                </c:pt>
                <c:pt idx="15">
                  <c:v>204.31533667188631</c:v>
                </c:pt>
                <c:pt idx="16">
                  <c:v>205.05654629792855</c:v>
                </c:pt>
                <c:pt idx="17">
                  <c:v>205.73366437610198</c:v>
                </c:pt>
                <c:pt idx="18">
                  <c:v>206.45547874264915</c:v>
                </c:pt>
                <c:pt idx="19">
                  <c:v>207.17461204265553</c:v>
                </c:pt>
                <c:pt idx="20">
                  <c:v>207.84887833097051</c:v>
                </c:pt>
                <c:pt idx="21">
                  <c:v>208.45316522128675</c:v>
                </c:pt>
                <c:pt idx="22">
                  <c:v>208.98928276234113</c:v>
                </c:pt>
                <c:pt idx="23">
                  <c:v>209.47756221672293</c:v>
                </c:pt>
                <c:pt idx="24">
                  <c:v>209.98299234845592</c:v>
                </c:pt>
                <c:pt idx="25">
                  <c:v>210.43256715266375</c:v>
                </c:pt>
              </c:numCache>
            </c:numRef>
          </c:yVal>
          <c:smooth val="0"/>
          <c:extLst>
            <c:ext xmlns:c16="http://schemas.microsoft.com/office/drawing/2014/chart" uri="{C3380CC4-5D6E-409C-BE32-E72D297353CC}">
              <c16:uniqueId val="{00000001-3759-4D33-8B8D-910ED5ECDCF1}"/>
            </c:ext>
          </c:extLst>
        </c:ser>
        <c:ser>
          <c:idx val="2"/>
          <c:order val="2"/>
          <c:tx>
            <c:strRef>
              <c:f>'Data Centers'!$B$85</c:f>
              <c:strCache>
                <c:ptCount val="1"/>
                <c:pt idx="0">
                  <c:v>DC Space Cooling</c:v>
                </c:pt>
              </c:strCache>
            </c:strRef>
          </c:tx>
          <c:spPr>
            <a:ln w="19050" cap="rnd">
              <a:solidFill>
                <a:schemeClr val="accent3"/>
              </a:solidFill>
              <a:round/>
            </a:ln>
            <a:effectLst/>
          </c:spPr>
          <c:marker>
            <c:symbol val="none"/>
          </c:marker>
          <c:xVal>
            <c:numRef>
              <c:f>'Data Centers'!$C$82:$AB$82</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xVal>
          <c:yVal>
            <c:numRef>
              <c:f>'Data Centers'!$C$85:$AB$85</c:f>
              <c:numCache>
                <c:formatCode>0</c:formatCode>
                <c:ptCount val="26"/>
                <c:pt idx="0">
                  <c:v>19.26908063656402</c:v>
                </c:pt>
                <c:pt idx="1">
                  <c:v>29.010989620038789</c:v>
                </c:pt>
                <c:pt idx="2">
                  <c:v>29.98544989015932</c:v>
                </c:pt>
                <c:pt idx="3">
                  <c:v>30.982777589615726</c:v>
                </c:pt>
                <c:pt idx="4">
                  <c:v>31.766939307557184</c:v>
                </c:pt>
                <c:pt idx="5">
                  <c:v>32.064685614287264</c:v>
                </c:pt>
                <c:pt idx="6">
                  <c:v>32.461855837680659</c:v>
                </c:pt>
                <c:pt idx="7">
                  <c:v>32.976340433966186</c:v>
                </c:pt>
                <c:pt idx="8">
                  <c:v>33.66856290267728</c:v>
                </c:pt>
                <c:pt idx="9">
                  <c:v>34.507866363367867</c:v>
                </c:pt>
                <c:pt idx="10">
                  <c:v>35.457090329305416</c:v>
                </c:pt>
                <c:pt idx="11">
                  <c:v>36.632401129451281</c:v>
                </c:pt>
                <c:pt idx="12">
                  <c:v>37.877441042504131</c:v>
                </c:pt>
                <c:pt idx="13">
                  <c:v>39.179996775131514</c:v>
                </c:pt>
                <c:pt idx="14">
                  <c:v>40.520700819591582</c:v>
                </c:pt>
                <c:pt idx="15">
                  <c:v>41.912791116605149</c:v>
                </c:pt>
                <c:pt idx="16">
                  <c:v>43.366045060454788</c:v>
                </c:pt>
                <c:pt idx="17">
                  <c:v>44.925991809001559</c:v>
                </c:pt>
                <c:pt idx="18">
                  <c:v>46.583964037267599</c:v>
                </c:pt>
                <c:pt idx="19">
                  <c:v>48.313618701684661</c:v>
                </c:pt>
                <c:pt idx="20">
                  <c:v>50.142629889115135</c:v>
                </c:pt>
                <c:pt idx="21">
                  <c:v>51.93403235146635</c:v>
                </c:pt>
                <c:pt idx="22">
                  <c:v>53.631413359887496</c:v>
                </c:pt>
                <c:pt idx="23">
                  <c:v>55.33559566119763</c:v>
                </c:pt>
                <c:pt idx="24">
                  <c:v>57.141780012486329</c:v>
                </c:pt>
                <c:pt idx="25">
                  <c:v>58.97128578024261</c:v>
                </c:pt>
              </c:numCache>
            </c:numRef>
          </c:yVal>
          <c:smooth val="0"/>
          <c:extLst>
            <c:ext xmlns:c16="http://schemas.microsoft.com/office/drawing/2014/chart" uri="{C3380CC4-5D6E-409C-BE32-E72D297353CC}">
              <c16:uniqueId val="{00000004-3759-4D33-8B8D-910ED5ECDCF1}"/>
            </c:ext>
          </c:extLst>
        </c:ser>
        <c:ser>
          <c:idx val="3"/>
          <c:order val="3"/>
          <c:tx>
            <c:strRef>
              <c:f>'Data Centers'!$B$86</c:f>
              <c:strCache>
                <c:ptCount val="1"/>
                <c:pt idx="0">
                  <c:v>DC Ventilation</c:v>
                </c:pt>
              </c:strCache>
            </c:strRef>
          </c:tx>
          <c:spPr>
            <a:ln w="19050" cap="rnd">
              <a:solidFill>
                <a:schemeClr val="accent4"/>
              </a:solidFill>
              <a:round/>
            </a:ln>
            <a:effectLst/>
          </c:spPr>
          <c:marker>
            <c:symbol val="none"/>
          </c:marker>
          <c:xVal>
            <c:numRef>
              <c:f>'Data Centers'!$C$82:$AB$82</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xVal>
          <c:yVal>
            <c:numRef>
              <c:f>'Data Centers'!$C$86:$AB$86</c:f>
              <c:numCache>
                <c:formatCode>0</c:formatCode>
                <c:ptCount val="26"/>
                <c:pt idx="0">
                  <c:v>26.262990106742826</c:v>
                </c:pt>
                <c:pt idx="1">
                  <c:v>37.971342324868793</c:v>
                </c:pt>
                <c:pt idx="2">
                  <c:v>39.2853354115705</c:v>
                </c:pt>
                <c:pt idx="3">
                  <c:v>40.644216050500305</c:v>
                </c:pt>
                <c:pt idx="4">
                  <c:v>41.713007521896316</c:v>
                </c:pt>
                <c:pt idx="5">
                  <c:v>42.033776359616837</c:v>
                </c:pt>
                <c:pt idx="6">
                  <c:v>42.458058402971872</c:v>
                </c:pt>
                <c:pt idx="7">
                  <c:v>43.021412249728634</c:v>
                </c:pt>
                <c:pt idx="8">
                  <c:v>43.826881838320254</c:v>
                </c:pt>
                <c:pt idx="9">
                  <c:v>44.801482741073521</c:v>
                </c:pt>
                <c:pt idx="10">
                  <c:v>45.91247364154178</c:v>
                </c:pt>
                <c:pt idx="11">
                  <c:v>47.302088245379302</c:v>
                </c:pt>
                <c:pt idx="12">
                  <c:v>48.765270948974731</c:v>
                </c:pt>
                <c:pt idx="13">
                  <c:v>50.294534514485932</c:v>
                </c:pt>
                <c:pt idx="14">
                  <c:v>51.869098080407142</c:v>
                </c:pt>
                <c:pt idx="15">
                  <c:v>53.483694041113708</c:v>
                </c:pt>
                <c:pt idx="16">
                  <c:v>55.164229244071457</c:v>
                </c:pt>
                <c:pt idx="17">
                  <c:v>56.944025954898031</c:v>
                </c:pt>
                <c:pt idx="18">
                  <c:v>58.809548312350877</c:v>
                </c:pt>
                <c:pt idx="19">
                  <c:v>60.751315569344477</c:v>
                </c:pt>
                <c:pt idx="20">
                  <c:v>62.776050628029516</c:v>
                </c:pt>
                <c:pt idx="21">
                  <c:v>64.749721805713278</c:v>
                </c:pt>
                <c:pt idx="22">
                  <c:v>66.585231900658854</c:v>
                </c:pt>
                <c:pt idx="23">
                  <c:v>68.409963482277078</c:v>
                </c:pt>
                <c:pt idx="24">
                  <c:v>70.328915926544113</c:v>
                </c:pt>
                <c:pt idx="25">
                  <c:v>72.251261841336273</c:v>
                </c:pt>
              </c:numCache>
            </c:numRef>
          </c:yVal>
          <c:smooth val="0"/>
          <c:extLst>
            <c:ext xmlns:c16="http://schemas.microsoft.com/office/drawing/2014/chart" uri="{C3380CC4-5D6E-409C-BE32-E72D297353CC}">
              <c16:uniqueId val="{00000005-3759-4D33-8B8D-910ED5ECDCF1}"/>
            </c:ext>
          </c:extLst>
        </c:ser>
        <c:dLbls>
          <c:showLegendKey val="0"/>
          <c:showVal val="0"/>
          <c:showCatName val="0"/>
          <c:showSerName val="0"/>
          <c:showPercent val="0"/>
          <c:showBubbleSize val="0"/>
        </c:dLbls>
        <c:axId val="8484735"/>
        <c:axId val="8485215"/>
      </c:scatterChart>
      <c:valAx>
        <c:axId val="8484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5215"/>
        <c:crosses val="autoZero"/>
        <c:crossBetween val="midCat"/>
      </c:valAx>
      <c:valAx>
        <c:axId val="848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473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455612</xdr:colOff>
      <xdr:row>8</xdr:row>
      <xdr:rowOff>47624</xdr:rowOff>
    </xdr:from>
    <xdr:to>
      <xdr:col>15</xdr:col>
      <xdr:colOff>226218</xdr:colOff>
      <xdr:row>24</xdr:row>
      <xdr:rowOff>115886</xdr:rowOff>
    </xdr:to>
    <xdr:graphicFrame macro="">
      <xdr:nvGraphicFramePr>
        <xdr:cNvPr id="2" name="Chart 1">
          <a:extLst>
            <a:ext uri="{FF2B5EF4-FFF2-40B4-BE49-F238E27FC236}">
              <a16:creationId xmlns:a16="http://schemas.microsoft.com/office/drawing/2014/main" id="{A64770AB-D4FE-41C7-88AD-7A30DA0E6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368244</xdr:colOff>
      <xdr:row>66</xdr:row>
      <xdr:rowOff>37588</xdr:rowOff>
    </xdr:from>
    <xdr:to>
      <xdr:col>8</xdr:col>
      <xdr:colOff>417570</xdr:colOff>
      <xdr:row>80</xdr:row>
      <xdr:rowOff>113788</xdr:rowOff>
    </xdr:to>
    <xdr:graphicFrame macro="">
      <xdr:nvGraphicFramePr>
        <xdr:cNvPr id="3" name="Chart 2">
          <a:extLst>
            <a:ext uri="{FF2B5EF4-FFF2-40B4-BE49-F238E27FC236}">
              <a16:creationId xmlns:a16="http://schemas.microsoft.com/office/drawing/2014/main" id="{B411F56C-EE6A-0294-F3E3-9594611AC1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66</xdr:row>
      <xdr:rowOff>40821</xdr:rowOff>
    </xdr:from>
    <xdr:to>
      <xdr:col>16</xdr:col>
      <xdr:colOff>321469</xdr:colOff>
      <xdr:row>80</xdr:row>
      <xdr:rowOff>117021</xdr:rowOff>
    </xdr:to>
    <xdr:graphicFrame macro="">
      <xdr:nvGraphicFramePr>
        <xdr:cNvPr id="4" name="Chart 3">
          <a:extLst>
            <a:ext uri="{FF2B5EF4-FFF2-40B4-BE49-F238E27FC236}">
              <a16:creationId xmlns:a16="http://schemas.microsoft.com/office/drawing/2014/main" id="{CC784AE7-D480-48DF-A0C6-670BF552D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197303</xdr:colOff>
      <xdr:row>63</xdr:row>
      <xdr:rowOff>131989</xdr:rowOff>
    </xdr:from>
    <xdr:to>
      <xdr:col>26</xdr:col>
      <xdr:colOff>483053</xdr:colOff>
      <xdr:row>78</xdr:row>
      <xdr:rowOff>17689</xdr:rowOff>
    </xdr:to>
    <xdr:graphicFrame macro="">
      <xdr:nvGraphicFramePr>
        <xdr:cNvPr id="5" name="Chart 4">
          <a:extLst>
            <a:ext uri="{FF2B5EF4-FFF2-40B4-BE49-F238E27FC236}">
              <a16:creationId xmlns:a16="http://schemas.microsoft.com/office/drawing/2014/main" id="{FF9194BD-9672-2E4E-1F91-BB4597FFC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anOBrien/Models/EPS/US/eps-us/InputData/bldgs/BDCL/BAU%20Data%20Center%20Load.xlsx" TargetMode="External"/><Relationship Id="rId2" Type="http://schemas.openxmlformats.org/officeDocument/2006/relationships/externalLinkPath" Target="file:///C:\Users\DanOBrien\Models\EPS\US\eps-us\InputData\bldgs\BDCL\BAU%20Data%20Center%20Load.xlsx" TargetMode="External"/><Relationship Id="rId1" Type="http://schemas.openxmlformats.org/officeDocument/2006/relationships/externalLinkPath" Target="/Users/DanOBrien/Models/EPS/US/eps-us/InputData/bldgs/BDCL/BAU%20Data%20Center%20Loa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Low_Mid_High Scenarios"/>
      <sheetName val="EPRI"/>
      <sheetName val="IEA"/>
      <sheetName val="AEO 2026 Table 5"/>
      <sheetName val="Evolved Energy ADP 2024"/>
      <sheetName val="BDCL-low"/>
      <sheetName val="BDCL-mid"/>
      <sheetName val="BDCL-high"/>
    </sheetNames>
    <sheetDataSet>
      <sheetData sheetId="0"/>
      <sheetData sheetId="1"/>
      <sheetData sheetId="2"/>
      <sheetData sheetId="3">
        <row r="23">
          <cell r="D23">
            <v>2025</v>
          </cell>
          <cell r="E23">
            <v>2030</v>
          </cell>
        </row>
        <row r="24">
          <cell r="D24">
            <v>224</v>
          </cell>
          <cell r="E24">
            <v>426</v>
          </cell>
        </row>
      </sheetData>
      <sheetData sheetId="4"/>
      <sheetData sheetId="5"/>
      <sheetData sheetId="6"/>
      <sheetData sheetId="7"/>
      <sheetData sheetId="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eia.gov/consumption/residential/data/2020/?src=%E2%80%B9%20Consumption%20%20%20%20%20%20Residential%20Energy%20Consumption%20Survey%20(RECS)-f1"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8"/>
  <sheetViews>
    <sheetView topLeftCell="A43" workbookViewId="0">
      <selection activeCell="A71" sqref="A71"/>
    </sheetView>
  </sheetViews>
  <sheetFormatPr defaultRowHeight="15" x14ac:dyDescent="0.25"/>
  <cols>
    <col min="1" max="1" width="12.42578125" customWidth="1"/>
    <col min="2" max="2" width="61.42578125" customWidth="1"/>
    <col min="3" max="3" width="19.28515625" customWidth="1"/>
  </cols>
  <sheetData>
    <row r="1" spans="1:2" x14ac:dyDescent="0.25">
      <c r="A1" s="1" t="s">
        <v>142</v>
      </c>
    </row>
    <row r="3" spans="1:2" x14ac:dyDescent="0.25">
      <c r="A3" s="1" t="s">
        <v>143</v>
      </c>
      <c r="B3" s="2" t="s">
        <v>144</v>
      </c>
    </row>
    <row r="4" spans="1:2" x14ac:dyDescent="0.25">
      <c r="B4" t="s">
        <v>145</v>
      </c>
    </row>
    <row r="5" spans="1:2" x14ac:dyDescent="0.25">
      <c r="B5" s="4">
        <v>2026</v>
      </c>
    </row>
    <row r="6" spans="1:2" x14ac:dyDescent="0.25">
      <c r="B6" t="s">
        <v>1336</v>
      </c>
    </row>
    <row r="7" spans="1:2" x14ac:dyDescent="0.25">
      <c r="B7" t="s">
        <v>1337</v>
      </c>
    </row>
    <row r="8" spans="1:2" x14ac:dyDescent="0.25">
      <c r="B8" t="s">
        <v>146</v>
      </c>
    </row>
    <row r="11" spans="1:2" x14ac:dyDescent="0.25">
      <c r="B11" s="2" t="s">
        <v>147</v>
      </c>
    </row>
    <row r="12" spans="1:2" x14ac:dyDescent="0.25">
      <c r="B12" t="s">
        <v>145</v>
      </c>
    </row>
    <row r="13" spans="1:2" x14ac:dyDescent="0.25">
      <c r="B13" s="4">
        <v>2026</v>
      </c>
    </row>
    <row r="14" spans="1:2" x14ac:dyDescent="0.25">
      <c r="B14" t="s">
        <v>1336</v>
      </c>
    </row>
    <row r="15" spans="1:2" x14ac:dyDescent="0.25">
      <c r="B15" t="s">
        <v>1338</v>
      </c>
    </row>
    <row r="16" spans="1:2" x14ac:dyDescent="0.25">
      <c r="B16" t="s">
        <v>146</v>
      </c>
    </row>
    <row r="19" spans="2:2" x14ac:dyDescent="0.25">
      <c r="B19" s="2" t="s">
        <v>148</v>
      </c>
    </row>
    <row r="20" spans="2:2" x14ac:dyDescent="0.25">
      <c r="B20" t="s">
        <v>149</v>
      </c>
    </row>
    <row r="21" spans="2:2" x14ac:dyDescent="0.25">
      <c r="B21" s="4">
        <v>2020</v>
      </c>
    </row>
    <row r="22" spans="2:2" x14ac:dyDescent="0.25">
      <c r="B22" t="s">
        <v>150</v>
      </c>
    </row>
    <row r="23" spans="2:2" x14ac:dyDescent="0.25">
      <c r="B23" s="5" t="s">
        <v>151</v>
      </c>
    </row>
    <row r="24" spans="2:2" x14ac:dyDescent="0.25">
      <c r="B24" s="5" t="s">
        <v>152</v>
      </c>
    </row>
    <row r="25" spans="2:2" x14ac:dyDescent="0.25">
      <c r="B25" t="s">
        <v>153</v>
      </c>
    </row>
    <row r="27" spans="2:2" x14ac:dyDescent="0.25">
      <c r="B27" s="2" t="s">
        <v>154</v>
      </c>
    </row>
    <row r="28" spans="2:2" x14ac:dyDescent="0.25">
      <c r="B28" t="s">
        <v>155</v>
      </c>
    </row>
    <row r="29" spans="2:2" x14ac:dyDescent="0.25">
      <c r="B29" s="4">
        <v>2026</v>
      </c>
    </row>
    <row r="30" spans="2:2" x14ac:dyDescent="0.25">
      <c r="B30" s="4" t="s">
        <v>156</v>
      </c>
    </row>
    <row r="31" spans="2:2" x14ac:dyDescent="0.25">
      <c r="B31" s="4" t="s">
        <v>157</v>
      </c>
    </row>
    <row r="32" spans="2:2" x14ac:dyDescent="0.25">
      <c r="B32" s="4" t="s">
        <v>158</v>
      </c>
    </row>
    <row r="34" spans="1:1" x14ac:dyDescent="0.25">
      <c r="A34" s="1" t="s">
        <v>159</v>
      </c>
    </row>
    <row r="35" spans="1:1" x14ac:dyDescent="0.25">
      <c r="A35" s="1"/>
    </row>
    <row r="36" spans="1:1" x14ac:dyDescent="0.25">
      <c r="A36" s="1" t="s">
        <v>160</v>
      </c>
    </row>
    <row r="37" spans="1:1" x14ac:dyDescent="0.25">
      <c r="A37" t="s">
        <v>161</v>
      </c>
    </row>
    <row r="38" spans="1:1" x14ac:dyDescent="0.25">
      <c r="A38" t="s">
        <v>162</v>
      </c>
    </row>
    <row r="39" spans="1:1" x14ac:dyDescent="0.25">
      <c r="A39" t="s">
        <v>163</v>
      </c>
    </row>
    <row r="41" spans="1:1" x14ac:dyDescent="0.25">
      <c r="A41" t="s">
        <v>164</v>
      </c>
    </row>
    <row r="42" spans="1:1" x14ac:dyDescent="0.25">
      <c r="A42" t="s">
        <v>165</v>
      </c>
    </row>
    <row r="43" spans="1:1" x14ac:dyDescent="0.25">
      <c r="A43" t="s">
        <v>166</v>
      </c>
    </row>
    <row r="44" spans="1:1" x14ac:dyDescent="0.25">
      <c r="A44" t="s">
        <v>167</v>
      </c>
    </row>
    <row r="46" spans="1:1" x14ac:dyDescent="0.25">
      <c r="A46" s="1" t="s">
        <v>168</v>
      </c>
    </row>
    <row r="47" spans="1:1" x14ac:dyDescent="0.25">
      <c r="A47" t="s">
        <v>169</v>
      </c>
    </row>
    <row r="48" spans="1:1" x14ac:dyDescent="0.25">
      <c r="A48" t="s">
        <v>170</v>
      </c>
    </row>
    <row r="49" spans="1:3" x14ac:dyDescent="0.25">
      <c r="A49" t="s">
        <v>171</v>
      </c>
    </row>
    <row r="50" spans="1:3" x14ac:dyDescent="0.25">
      <c r="A50" t="s">
        <v>172</v>
      </c>
    </row>
    <row r="51" spans="1:3" x14ac:dyDescent="0.25">
      <c r="B51" t="s">
        <v>173</v>
      </c>
    </row>
    <row r="52" spans="1:3" x14ac:dyDescent="0.25">
      <c r="B52" t="s">
        <v>174</v>
      </c>
    </row>
    <row r="53" spans="1:3" x14ac:dyDescent="0.25">
      <c r="B53" t="s">
        <v>175</v>
      </c>
      <c r="C53" s="3">
        <v>0.04</v>
      </c>
    </row>
    <row r="54" spans="1:3" x14ac:dyDescent="0.25">
      <c r="B54" t="s">
        <v>176</v>
      </c>
    </row>
    <row r="56" spans="1:3" x14ac:dyDescent="0.25">
      <c r="A56" s="1" t="s">
        <v>177</v>
      </c>
    </row>
    <row r="57" spans="1:3" x14ac:dyDescent="0.25">
      <c r="A57" t="s">
        <v>178</v>
      </c>
    </row>
    <row r="58" spans="1:3" x14ac:dyDescent="0.25">
      <c r="A58" t="s">
        <v>179</v>
      </c>
    </row>
    <row r="59" spans="1:3" x14ac:dyDescent="0.25">
      <c r="A59" t="s">
        <v>180</v>
      </c>
    </row>
    <row r="60" spans="1:3" x14ac:dyDescent="0.25">
      <c r="A60" t="s">
        <v>181</v>
      </c>
    </row>
    <row r="61" spans="1:3" x14ac:dyDescent="0.25">
      <c r="A61" t="s">
        <v>182</v>
      </c>
    </row>
    <row r="62" spans="1:3" x14ac:dyDescent="0.25">
      <c r="A62" t="s">
        <v>183</v>
      </c>
    </row>
    <row r="64" spans="1:3" x14ac:dyDescent="0.25">
      <c r="A64" s="1" t="s">
        <v>184</v>
      </c>
    </row>
    <row r="66" spans="1:3" x14ac:dyDescent="0.25">
      <c r="A66" s="1" t="s">
        <v>185</v>
      </c>
    </row>
    <row r="67" spans="1:3" x14ac:dyDescent="0.25">
      <c r="A67" t="s">
        <v>186</v>
      </c>
    </row>
    <row r="69" spans="1:3" x14ac:dyDescent="0.25">
      <c r="A69" s="1" t="s">
        <v>187</v>
      </c>
    </row>
    <row r="70" spans="1:3" x14ac:dyDescent="0.25">
      <c r="A70" t="s">
        <v>1373</v>
      </c>
    </row>
    <row r="72" spans="1:3" x14ac:dyDescent="0.25">
      <c r="A72" s="1" t="s">
        <v>188</v>
      </c>
    </row>
    <row r="73" spans="1:3" x14ac:dyDescent="0.25">
      <c r="A73" s="1" t="s">
        <v>189</v>
      </c>
    </row>
    <row r="74" spans="1:3" x14ac:dyDescent="0.25">
      <c r="A74" s="8">
        <f>'RECS HC2.1'!B24/SUM('RECS HC2.1'!B24,'RECS HC2.1'!B27)</f>
        <v>0.81308184246741677</v>
      </c>
      <c r="B74" t="s">
        <v>190</v>
      </c>
    </row>
    <row r="75" spans="1:3" x14ac:dyDescent="0.25">
      <c r="A75" s="8">
        <f>'RECS HC2.1'!B27/SUM('RECS HC2.1'!B24,'RECS HC2.1'!B27)</f>
        <v>0.18691815753258317</v>
      </c>
      <c r="B75" t="s">
        <v>191</v>
      </c>
    </row>
    <row r="77" spans="1:3" x14ac:dyDescent="0.25">
      <c r="A77" t="s">
        <v>192</v>
      </c>
      <c r="B77" s="11">
        <f>10^15</f>
        <v>1000000000000000</v>
      </c>
    </row>
    <row r="78" spans="1:3" x14ac:dyDescent="0.25">
      <c r="A78" t="s">
        <v>193</v>
      </c>
      <c r="B78">
        <v>293.08300000000003</v>
      </c>
      <c r="C78" s="90" t="s">
        <v>1362</v>
      </c>
    </row>
  </sheetData>
  <hyperlinks>
    <hyperlink ref="B23" r:id="rId1" xr:uid="{00000000-0004-0000-0000-000000000000}"/>
    <hyperlink ref="B24" r:id="rId2" xr:uid="{00000000-0004-0000-0000-000001000000}"/>
  </hyperlinks>
  <pageMargins left="0.7" right="0.7" top="0.75" bottom="0.75" header="0.3" footer="0.3"/>
  <pageSetup orientation="portrait" horizontalDpi="1200"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499984740745262"/>
  </sheetPr>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2"/>
  <sheetViews>
    <sheetView topLeftCell="A35" workbookViewId="0">
      <selection activeCell="B12" sqref="B12"/>
    </sheetView>
  </sheetViews>
  <sheetFormatPr defaultRowHeight="15" x14ac:dyDescent="0.25"/>
  <cols>
    <col min="1" max="1" width="31.7109375" customWidth="1"/>
    <col min="2" max="7" width="10.85546875" customWidth="1"/>
    <col min="257" max="257" width="31.7109375" customWidth="1"/>
    <col min="258" max="263" width="10.85546875" customWidth="1"/>
    <col min="513" max="513" width="31.7109375" customWidth="1"/>
    <col min="514" max="519" width="10.85546875" customWidth="1"/>
    <col min="769" max="769" width="31.7109375" customWidth="1"/>
    <col min="770" max="775" width="10.85546875" customWidth="1"/>
    <col min="1025" max="1025" width="31.7109375" customWidth="1"/>
    <col min="1026" max="1031" width="10.85546875" customWidth="1"/>
    <col min="1281" max="1281" width="31.7109375" customWidth="1"/>
    <col min="1282" max="1287" width="10.85546875" customWidth="1"/>
    <col min="1537" max="1537" width="31.7109375" customWidth="1"/>
    <col min="1538" max="1543" width="10.85546875" customWidth="1"/>
    <col min="1793" max="1793" width="31.7109375" customWidth="1"/>
    <col min="1794" max="1799" width="10.85546875" customWidth="1"/>
    <col min="2049" max="2049" width="31.7109375" customWidth="1"/>
    <col min="2050" max="2055" width="10.85546875" customWidth="1"/>
    <col min="2305" max="2305" width="31.7109375" customWidth="1"/>
    <col min="2306" max="2311" width="10.85546875" customWidth="1"/>
    <col min="2561" max="2561" width="31.7109375" customWidth="1"/>
    <col min="2562" max="2567" width="10.85546875" customWidth="1"/>
    <col min="2817" max="2817" width="31.7109375" customWidth="1"/>
    <col min="2818" max="2823" width="10.85546875" customWidth="1"/>
    <col min="3073" max="3073" width="31.7109375" customWidth="1"/>
    <col min="3074" max="3079" width="10.85546875" customWidth="1"/>
    <col min="3329" max="3329" width="31.7109375" customWidth="1"/>
    <col min="3330" max="3335" width="10.85546875" customWidth="1"/>
    <col min="3585" max="3585" width="31.7109375" customWidth="1"/>
    <col min="3586" max="3591" width="10.85546875" customWidth="1"/>
    <col min="3841" max="3841" width="31.7109375" customWidth="1"/>
    <col min="3842" max="3847" width="10.85546875" customWidth="1"/>
    <col min="4097" max="4097" width="31.7109375" customWidth="1"/>
    <col min="4098" max="4103" width="10.85546875" customWidth="1"/>
    <col min="4353" max="4353" width="31.7109375" customWidth="1"/>
    <col min="4354" max="4359" width="10.85546875" customWidth="1"/>
    <col min="4609" max="4609" width="31.7109375" customWidth="1"/>
    <col min="4610" max="4615" width="10.85546875" customWidth="1"/>
    <col min="4865" max="4865" width="31.7109375" customWidth="1"/>
    <col min="4866" max="4871" width="10.85546875" customWidth="1"/>
    <col min="5121" max="5121" width="31.7109375" customWidth="1"/>
    <col min="5122" max="5127" width="10.85546875" customWidth="1"/>
    <col min="5377" max="5377" width="31.7109375" customWidth="1"/>
    <col min="5378" max="5383" width="10.85546875" customWidth="1"/>
    <col min="5633" max="5633" width="31.7109375" customWidth="1"/>
    <col min="5634" max="5639" width="10.85546875" customWidth="1"/>
    <col min="5889" max="5889" width="31.7109375" customWidth="1"/>
    <col min="5890" max="5895" width="10.85546875" customWidth="1"/>
    <col min="6145" max="6145" width="31.7109375" customWidth="1"/>
    <col min="6146" max="6151" width="10.85546875" customWidth="1"/>
    <col min="6401" max="6401" width="31.7109375" customWidth="1"/>
    <col min="6402" max="6407" width="10.85546875" customWidth="1"/>
    <col min="6657" max="6657" width="31.7109375" customWidth="1"/>
    <col min="6658" max="6663" width="10.85546875" customWidth="1"/>
    <col min="6913" max="6913" width="31.7109375" customWidth="1"/>
    <col min="6914" max="6919" width="10.85546875" customWidth="1"/>
    <col min="7169" max="7169" width="31.7109375" customWidth="1"/>
    <col min="7170" max="7175" width="10.85546875" customWidth="1"/>
    <col min="7425" max="7425" width="31.7109375" customWidth="1"/>
    <col min="7426" max="7431" width="10.85546875" customWidth="1"/>
    <col min="7681" max="7681" width="31.7109375" customWidth="1"/>
    <col min="7682" max="7687" width="10.85546875" customWidth="1"/>
    <col min="7937" max="7937" width="31.7109375" customWidth="1"/>
    <col min="7938" max="7943" width="10.85546875" customWidth="1"/>
    <col min="8193" max="8193" width="31.7109375" customWidth="1"/>
    <col min="8194" max="8199" width="10.85546875" customWidth="1"/>
    <col min="8449" max="8449" width="31.7109375" customWidth="1"/>
    <col min="8450" max="8455" width="10.85546875" customWidth="1"/>
    <col min="8705" max="8705" width="31.7109375" customWidth="1"/>
    <col min="8706" max="8711" width="10.85546875" customWidth="1"/>
    <col min="8961" max="8961" width="31.7109375" customWidth="1"/>
    <col min="8962" max="8967" width="10.85546875" customWidth="1"/>
    <col min="9217" max="9217" width="31.7109375" customWidth="1"/>
    <col min="9218" max="9223" width="10.85546875" customWidth="1"/>
    <col min="9473" max="9473" width="31.7109375" customWidth="1"/>
    <col min="9474" max="9479" width="10.85546875" customWidth="1"/>
    <col min="9729" max="9729" width="31.7109375" customWidth="1"/>
    <col min="9730" max="9735" width="10.85546875" customWidth="1"/>
    <col min="9985" max="9985" width="31.7109375" customWidth="1"/>
    <col min="9986" max="9991" width="10.85546875" customWidth="1"/>
    <col min="10241" max="10241" width="31.7109375" customWidth="1"/>
    <col min="10242" max="10247" width="10.85546875" customWidth="1"/>
    <col min="10497" max="10497" width="31.7109375" customWidth="1"/>
    <col min="10498" max="10503" width="10.85546875" customWidth="1"/>
    <col min="10753" max="10753" width="31.7109375" customWidth="1"/>
    <col min="10754" max="10759" width="10.85546875" customWidth="1"/>
    <col min="11009" max="11009" width="31.7109375" customWidth="1"/>
    <col min="11010" max="11015" width="10.85546875" customWidth="1"/>
    <col min="11265" max="11265" width="31.7109375" customWidth="1"/>
    <col min="11266" max="11271" width="10.85546875" customWidth="1"/>
    <col min="11521" max="11521" width="31.7109375" customWidth="1"/>
    <col min="11522" max="11527" width="10.85546875" customWidth="1"/>
    <col min="11777" max="11777" width="31.7109375" customWidth="1"/>
    <col min="11778" max="11783" width="10.85546875" customWidth="1"/>
    <col min="12033" max="12033" width="31.7109375" customWidth="1"/>
    <col min="12034" max="12039" width="10.85546875" customWidth="1"/>
    <col min="12289" max="12289" width="31.7109375" customWidth="1"/>
    <col min="12290" max="12295" width="10.85546875" customWidth="1"/>
    <col min="12545" max="12545" width="31.7109375" customWidth="1"/>
    <col min="12546" max="12551" width="10.85546875" customWidth="1"/>
    <col min="12801" max="12801" width="31.7109375" customWidth="1"/>
    <col min="12802" max="12807" width="10.85546875" customWidth="1"/>
    <col min="13057" max="13057" width="31.7109375" customWidth="1"/>
    <col min="13058" max="13063" width="10.85546875" customWidth="1"/>
    <col min="13313" max="13313" width="31.7109375" customWidth="1"/>
    <col min="13314" max="13319" width="10.85546875" customWidth="1"/>
    <col min="13569" max="13569" width="31.7109375" customWidth="1"/>
    <col min="13570" max="13575" width="10.85546875" customWidth="1"/>
    <col min="13825" max="13825" width="31.7109375" customWidth="1"/>
    <col min="13826" max="13831" width="10.85546875" customWidth="1"/>
    <col min="14081" max="14081" width="31.7109375" customWidth="1"/>
    <col min="14082" max="14087" width="10.85546875" customWidth="1"/>
    <col min="14337" max="14337" width="31.7109375" customWidth="1"/>
    <col min="14338" max="14343" width="10.85546875" customWidth="1"/>
    <col min="14593" max="14593" width="31.7109375" customWidth="1"/>
    <col min="14594" max="14599" width="10.85546875" customWidth="1"/>
    <col min="14849" max="14849" width="31.7109375" customWidth="1"/>
    <col min="14850" max="14855" width="10.85546875" customWidth="1"/>
    <col min="15105" max="15105" width="31.7109375" customWidth="1"/>
    <col min="15106" max="15111" width="10.85546875" customWidth="1"/>
    <col min="15361" max="15361" width="31.7109375" customWidth="1"/>
    <col min="15362" max="15367" width="10.85546875" customWidth="1"/>
    <col min="15617" max="15617" width="31.7109375" customWidth="1"/>
    <col min="15618" max="15623" width="10.85546875" customWidth="1"/>
    <col min="15873" max="15873" width="31.7109375" customWidth="1"/>
    <col min="15874" max="15879" width="10.85546875" customWidth="1"/>
    <col min="16129" max="16129" width="31.7109375" customWidth="1"/>
    <col min="16130" max="16135" width="10.85546875" customWidth="1"/>
  </cols>
  <sheetData>
    <row r="1" spans="1:7" x14ac:dyDescent="0.25">
      <c r="A1" s="101" t="s">
        <v>194</v>
      </c>
      <c r="B1" s="98"/>
    </row>
    <row r="2" spans="1:7" ht="24" customHeight="1" x14ac:dyDescent="0.25">
      <c r="A2" s="97" t="s">
        <v>195</v>
      </c>
      <c r="B2" s="98"/>
      <c r="C2" s="98"/>
      <c r="D2" s="98"/>
      <c r="E2" s="98"/>
      <c r="F2" s="98"/>
      <c r="G2" s="98"/>
    </row>
    <row r="3" spans="1:7" ht="24" customHeight="1" thickBot="1" x14ac:dyDescent="0.3">
      <c r="A3" s="24"/>
      <c r="B3" s="92" t="s">
        <v>196</v>
      </c>
      <c r="C3" s="93"/>
      <c r="D3" s="93"/>
      <c r="E3" s="93"/>
      <c r="F3" s="93"/>
      <c r="G3" s="93"/>
    </row>
    <row r="4" spans="1:7" ht="23.25" customHeight="1" thickTop="1" x14ac:dyDescent="0.25">
      <c r="A4" s="24"/>
      <c r="B4" s="25"/>
      <c r="C4" s="94" t="s">
        <v>197</v>
      </c>
      <c r="D4" s="95"/>
      <c r="E4" s="95"/>
      <c r="F4" s="95"/>
      <c r="G4" s="96"/>
    </row>
    <row r="5" spans="1:7" ht="46.5" customHeight="1" thickBot="1" x14ac:dyDescent="0.3">
      <c r="A5" s="26"/>
      <c r="B5" s="27" t="s">
        <v>198</v>
      </c>
      <c r="C5" s="27" t="s">
        <v>199</v>
      </c>
      <c r="D5" s="27" t="s">
        <v>200</v>
      </c>
      <c r="E5" s="27" t="s">
        <v>201</v>
      </c>
      <c r="F5" s="27" t="s">
        <v>202</v>
      </c>
      <c r="G5" s="27" t="s">
        <v>203</v>
      </c>
    </row>
    <row r="6" spans="1:7" ht="24" customHeight="1" thickTop="1" x14ac:dyDescent="0.25">
      <c r="A6" s="28" t="s">
        <v>204</v>
      </c>
      <c r="B6" s="29">
        <v>123.53</v>
      </c>
      <c r="C6" s="29">
        <v>77.069999999999993</v>
      </c>
      <c r="D6" s="29">
        <v>7.45</v>
      </c>
      <c r="E6" s="29">
        <v>9.34</v>
      </c>
      <c r="F6" s="29">
        <v>22.84</v>
      </c>
      <c r="G6" s="29">
        <v>6.83</v>
      </c>
    </row>
    <row r="7" spans="1:7" ht="24" customHeight="1" x14ac:dyDescent="0.25">
      <c r="A7" s="30" t="s">
        <v>205</v>
      </c>
      <c r="B7" s="31"/>
      <c r="C7" s="31"/>
      <c r="D7" s="31"/>
      <c r="E7" s="31"/>
      <c r="F7" s="31"/>
      <c r="G7" s="31"/>
    </row>
    <row r="8" spans="1:7" ht="15" customHeight="1" x14ac:dyDescent="0.25">
      <c r="A8" s="32" t="s">
        <v>206</v>
      </c>
      <c r="B8" s="33">
        <v>21.92</v>
      </c>
      <c r="C8" s="33">
        <v>11.23</v>
      </c>
      <c r="D8" s="33">
        <v>1.95</v>
      </c>
      <c r="E8" s="33">
        <v>3.15</v>
      </c>
      <c r="F8" s="33">
        <v>5.0999999999999996</v>
      </c>
      <c r="G8" s="33">
        <v>0.5</v>
      </c>
    </row>
    <row r="9" spans="1:7" x14ac:dyDescent="0.25">
      <c r="A9" s="34" t="s">
        <v>207</v>
      </c>
      <c r="B9" s="33">
        <v>5.88</v>
      </c>
      <c r="C9" s="33">
        <v>3.34</v>
      </c>
      <c r="D9" s="33">
        <v>0.3</v>
      </c>
      <c r="E9" s="33">
        <v>0.99</v>
      </c>
      <c r="F9" s="33">
        <v>1.1000000000000001</v>
      </c>
      <c r="G9" s="33">
        <v>0.14000000000000001</v>
      </c>
    </row>
    <row r="10" spans="1:7" x14ac:dyDescent="0.25">
      <c r="A10" s="34" t="s">
        <v>208</v>
      </c>
      <c r="B10" s="33">
        <v>16.04</v>
      </c>
      <c r="C10" s="33">
        <v>7.89</v>
      </c>
      <c r="D10" s="33">
        <v>1.65</v>
      </c>
      <c r="E10" s="33">
        <v>2.15</v>
      </c>
      <c r="F10" s="33">
        <v>3.99</v>
      </c>
      <c r="G10" s="33">
        <v>0.36</v>
      </c>
    </row>
    <row r="11" spans="1:7" x14ac:dyDescent="0.25">
      <c r="A11" s="32" t="s">
        <v>209</v>
      </c>
      <c r="B11" s="33">
        <v>27.04</v>
      </c>
      <c r="C11" s="33">
        <v>18.579999999999998</v>
      </c>
      <c r="D11" s="33">
        <v>1.33</v>
      </c>
      <c r="E11" s="33">
        <v>1.95</v>
      </c>
      <c r="F11" s="33">
        <v>4.2</v>
      </c>
      <c r="G11" s="33">
        <v>0.97</v>
      </c>
    </row>
    <row r="12" spans="1:7" x14ac:dyDescent="0.25">
      <c r="A12" s="34" t="s">
        <v>210</v>
      </c>
      <c r="B12" s="33">
        <v>18.55</v>
      </c>
      <c r="C12" s="33">
        <v>12.59</v>
      </c>
      <c r="D12" s="33">
        <v>0.91</v>
      </c>
      <c r="E12" s="33">
        <v>1.49</v>
      </c>
      <c r="F12" s="33">
        <v>2.94</v>
      </c>
      <c r="G12" s="33">
        <v>0.63</v>
      </c>
    </row>
    <row r="13" spans="1:7" ht="15" customHeight="1" x14ac:dyDescent="0.25">
      <c r="A13" s="34" t="s">
        <v>211</v>
      </c>
      <c r="B13" s="33">
        <v>8.5</v>
      </c>
      <c r="C13" s="33">
        <v>5.99</v>
      </c>
      <c r="D13" s="33">
        <v>0.43</v>
      </c>
      <c r="E13" s="33">
        <v>0.47</v>
      </c>
      <c r="F13" s="33">
        <v>1.26</v>
      </c>
      <c r="G13" s="33">
        <v>0.35</v>
      </c>
    </row>
    <row r="14" spans="1:7" x14ac:dyDescent="0.25">
      <c r="A14" s="32" t="s">
        <v>212</v>
      </c>
      <c r="B14" s="33">
        <v>46.84</v>
      </c>
      <c r="C14" s="33">
        <v>30.29</v>
      </c>
      <c r="D14" s="33">
        <v>2.48</v>
      </c>
      <c r="E14" s="33">
        <v>2.36</v>
      </c>
      <c r="F14" s="33">
        <v>7.83</v>
      </c>
      <c r="G14" s="33">
        <v>3.89</v>
      </c>
    </row>
    <row r="15" spans="1:7" x14ac:dyDescent="0.25">
      <c r="A15" s="34" t="s">
        <v>213</v>
      </c>
      <c r="B15" s="33">
        <v>24.84</v>
      </c>
      <c r="C15" s="33">
        <v>15.25</v>
      </c>
      <c r="D15" s="33">
        <v>1.92</v>
      </c>
      <c r="E15" s="33">
        <v>1.17</v>
      </c>
      <c r="F15" s="33">
        <v>4.51</v>
      </c>
      <c r="G15" s="33">
        <v>2</v>
      </c>
    </row>
    <row r="16" spans="1:7" x14ac:dyDescent="0.25">
      <c r="A16" s="34" t="s">
        <v>214</v>
      </c>
      <c r="B16" s="33">
        <v>7.38</v>
      </c>
      <c r="C16" s="33">
        <v>5.17</v>
      </c>
      <c r="D16" s="33">
        <v>0.19</v>
      </c>
      <c r="E16" s="33">
        <v>0.41</v>
      </c>
      <c r="F16" s="33">
        <v>0.84</v>
      </c>
      <c r="G16" s="33">
        <v>0.77</v>
      </c>
    </row>
    <row r="17" spans="1:7" ht="15" customHeight="1" x14ac:dyDescent="0.25">
      <c r="A17" s="34" t="s">
        <v>215</v>
      </c>
      <c r="B17" s="33">
        <v>14.62</v>
      </c>
      <c r="C17" s="33">
        <v>9.8699999999999992</v>
      </c>
      <c r="D17" s="33">
        <v>0.36</v>
      </c>
      <c r="E17" s="33">
        <v>0.78</v>
      </c>
      <c r="F17" s="33">
        <v>2.48</v>
      </c>
      <c r="G17" s="33">
        <v>1.1200000000000001</v>
      </c>
    </row>
    <row r="18" spans="1:7" x14ac:dyDescent="0.25">
      <c r="A18" s="32" t="s">
        <v>216</v>
      </c>
      <c r="B18" s="33">
        <v>27.72</v>
      </c>
      <c r="C18" s="33">
        <v>16.97</v>
      </c>
      <c r="D18" s="33">
        <v>1.69</v>
      </c>
      <c r="E18" s="33">
        <v>1.89</v>
      </c>
      <c r="F18" s="33">
        <v>5.7</v>
      </c>
      <c r="G18" s="33">
        <v>1.47</v>
      </c>
    </row>
    <row r="19" spans="1:7" x14ac:dyDescent="0.25">
      <c r="A19" s="34" t="s">
        <v>217</v>
      </c>
      <c r="B19" s="33">
        <v>9.2200000000000006</v>
      </c>
      <c r="C19" s="33">
        <v>6.06</v>
      </c>
      <c r="D19" s="33">
        <v>0.5</v>
      </c>
      <c r="E19" s="33">
        <v>0.52</v>
      </c>
      <c r="F19" s="33">
        <v>1.47</v>
      </c>
      <c r="G19" s="33">
        <v>0.67</v>
      </c>
    </row>
    <row r="20" spans="1:7" x14ac:dyDescent="0.25">
      <c r="A20" s="35" t="s">
        <v>218</v>
      </c>
      <c r="B20" s="33">
        <v>4.62</v>
      </c>
      <c r="C20" s="33">
        <v>3.1</v>
      </c>
      <c r="D20" s="33">
        <v>0.28999999999999998</v>
      </c>
      <c r="E20" s="33">
        <v>0.26</v>
      </c>
      <c r="F20" s="33">
        <v>0.73</v>
      </c>
      <c r="G20" s="33">
        <v>0.24</v>
      </c>
    </row>
    <row r="21" spans="1:7" x14ac:dyDescent="0.25">
      <c r="A21" s="35" t="s">
        <v>219</v>
      </c>
      <c r="B21" s="33">
        <v>4.5999999999999996</v>
      </c>
      <c r="C21" s="33">
        <v>2.96</v>
      </c>
      <c r="D21" s="33">
        <v>0.21</v>
      </c>
      <c r="E21" s="33">
        <v>0.26</v>
      </c>
      <c r="F21" s="33">
        <v>0.74</v>
      </c>
      <c r="G21" s="33">
        <v>0.43</v>
      </c>
    </row>
    <row r="22" spans="1:7" x14ac:dyDescent="0.25">
      <c r="A22" s="34" t="s">
        <v>220</v>
      </c>
      <c r="B22" s="33">
        <v>18.510000000000002</v>
      </c>
      <c r="C22" s="33">
        <v>10.91</v>
      </c>
      <c r="D22" s="33">
        <v>1.19</v>
      </c>
      <c r="E22" s="33">
        <v>1.36</v>
      </c>
      <c r="F22" s="33">
        <v>4.24</v>
      </c>
      <c r="G22" s="33">
        <v>0.8</v>
      </c>
    </row>
    <row r="23" spans="1:7" ht="24" customHeight="1" x14ac:dyDescent="0.25">
      <c r="A23" s="30" t="s">
        <v>221</v>
      </c>
      <c r="B23" s="31"/>
      <c r="C23" s="31"/>
      <c r="D23" s="31"/>
      <c r="E23" s="31"/>
      <c r="F23" s="31"/>
      <c r="G23" s="31"/>
    </row>
    <row r="24" spans="1:7" x14ac:dyDescent="0.25">
      <c r="A24" s="32" t="s">
        <v>190</v>
      </c>
      <c r="B24" s="33">
        <v>100.44</v>
      </c>
      <c r="C24" s="33">
        <v>58.8</v>
      </c>
      <c r="D24" s="33">
        <v>7.04</v>
      </c>
      <c r="E24" s="33">
        <v>9.02</v>
      </c>
      <c r="F24" s="33">
        <v>22.27</v>
      </c>
      <c r="G24" s="33">
        <v>3.31</v>
      </c>
    </row>
    <row r="25" spans="1:7" s="36" customFormat="1" x14ac:dyDescent="0.25">
      <c r="A25" s="34" t="s">
        <v>222</v>
      </c>
      <c r="B25" s="33">
        <v>89.24</v>
      </c>
      <c r="C25" s="33">
        <v>50.99</v>
      </c>
      <c r="D25" s="33">
        <v>6.57</v>
      </c>
      <c r="E25" s="33">
        <v>7.95</v>
      </c>
      <c r="F25" s="33">
        <v>21.2</v>
      </c>
      <c r="G25" s="33">
        <v>2.5299999999999998</v>
      </c>
    </row>
    <row r="26" spans="1:7" s="36" customFormat="1" x14ac:dyDescent="0.25">
      <c r="A26" s="34" t="s">
        <v>223</v>
      </c>
      <c r="B26" s="33">
        <v>11.2</v>
      </c>
      <c r="C26" s="33">
        <v>7.82</v>
      </c>
      <c r="D26" s="33">
        <v>0.47</v>
      </c>
      <c r="E26" s="33">
        <v>1.07</v>
      </c>
      <c r="F26" s="33">
        <v>1.07</v>
      </c>
      <c r="G26" s="33">
        <v>0.77</v>
      </c>
    </row>
    <row r="27" spans="1:7" x14ac:dyDescent="0.25">
      <c r="A27" s="32" t="s">
        <v>191</v>
      </c>
      <c r="B27" s="33">
        <v>23.09</v>
      </c>
      <c r="C27" s="33">
        <v>18.27</v>
      </c>
      <c r="D27" s="33">
        <v>0.41</v>
      </c>
      <c r="E27" s="33">
        <v>0.32</v>
      </c>
      <c r="F27" s="33">
        <v>0.56999999999999995</v>
      </c>
      <c r="G27" s="33">
        <v>3.52</v>
      </c>
    </row>
    <row r="28" spans="1:7" ht="34.15" customHeight="1" x14ac:dyDescent="0.25">
      <c r="A28" s="30" t="s">
        <v>224</v>
      </c>
      <c r="B28" s="31"/>
      <c r="C28" s="31"/>
      <c r="D28" s="31"/>
      <c r="E28" s="31"/>
      <c r="F28" s="31"/>
      <c r="G28" s="31"/>
    </row>
    <row r="29" spans="1:7" x14ac:dyDescent="0.25">
      <c r="A29" s="32" t="s">
        <v>225</v>
      </c>
      <c r="B29" s="33">
        <v>42.5</v>
      </c>
      <c r="C29" s="33">
        <v>28.04</v>
      </c>
      <c r="D29" s="33">
        <v>2.4300000000000002</v>
      </c>
      <c r="E29" s="33">
        <v>3.78</v>
      </c>
      <c r="F29" s="33">
        <v>6.74</v>
      </c>
      <c r="G29" s="33">
        <v>1.52</v>
      </c>
    </row>
    <row r="30" spans="1:7" x14ac:dyDescent="0.25">
      <c r="A30" s="32" t="s">
        <v>226</v>
      </c>
      <c r="B30" s="33">
        <v>36.79</v>
      </c>
      <c r="C30" s="33">
        <v>21.89</v>
      </c>
      <c r="D30" s="33">
        <v>2.8</v>
      </c>
      <c r="E30" s="33">
        <v>2.72</v>
      </c>
      <c r="F30" s="33">
        <v>7.03</v>
      </c>
      <c r="G30" s="33">
        <v>2.35</v>
      </c>
    </row>
    <row r="31" spans="1:7" x14ac:dyDescent="0.25">
      <c r="A31" s="32" t="s">
        <v>227</v>
      </c>
      <c r="B31" s="33">
        <v>15.06</v>
      </c>
      <c r="C31" s="33">
        <v>9.07</v>
      </c>
      <c r="D31" s="33">
        <v>0.9</v>
      </c>
      <c r="E31" s="33">
        <v>1.1200000000000001</v>
      </c>
      <c r="F31" s="33">
        <v>3.12</v>
      </c>
      <c r="G31" s="33">
        <v>0.83</v>
      </c>
    </row>
    <row r="32" spans="1:7" ht="24" customHeight="1" x14ac:dyDescent="0.25">
      <c r="A32" s="32" t="s">
        <v>228</v>
      </c>
      <c r="B32" s="33">
        <v>22.31</v>
      </c>
      <c r="C32" s="33">
        <v>13.98</v>
      </c>
      <c r="D32" s="33">
        <v>0.92</v>
      </c>
      <c r="E32" s="33">
        <v>1.25</v>
      </c>
      <c r="F32" s="33">
        <v>4.37</v>
      </c>
      <c r="G32" s="33">
        <v>1.8</v>
      </c>
    </row>
    <row r="33" spans="1:7" x14ac:dyDescent="0.25">
      <c r="A33" s="32" t="s">
        <v>229</v>
      </c>
      <c r="B33" s="33">
        <v>6.87</v>
      </c>
      <c r="C33" s="33">
        <v>4.09</v>
      </c>
      <c r="D33" s="33">
        <v>0.4</v>
      </c>
      <c r="E33" s="33">
        <v>0.48</v>
      </c>
      <c r="F33" s="33">
        <v>1.57</v>
      </c>
      <c r="G33" s="33">
        <v>0.34</v>
      </c>
    </row>
    <row r="34" spans="1:7" x14ac:dyDescent="0.25">
      <c r="A34" s="30" t="s">
        <v>230</v>
      </c>
      <c r="B34" s="31"/>
      <c r="C34" s="31"/>
      <c r="D34" s="31"/>
      <c r="E34" s="31"/>
      <c r="F34" s="31"/>
      <c r="G34" s="31"/>
    </row>
    <row r="35" spans="1:7" x14ac:dyDescent="0.25">
      <c r="A35" s="32" t="s">
        <v>231</v>
      </c>
      <c r="B35" s="33">
        <v>20.260000000000002</v>
      </c>
      <c r="C35" s="33">
        <v>13.58</v>
      </c>
      <c r="D35" s="33">
        <v>1.1399999999999999</v>
      </c>
      <c r="E35" s="33">
        <v>2.36</v>
      </c>
      <c r="F35" s="33">
        <v>3.08</v>
      </c>
      <c r="G35" s="33">
        <v>0.09</v>
      </c>
    </row>
    <row r="36" spans="1:7" x14ac:dyDescent="0.25">
      <c r="A36" s="32" t="s">
        <v>232</v>
      </c>
      <c r="B36" s="33">
        <v>12.48</v>
      </c>
      <c r="C36" s="33">
        <v>9.9</v>
      </c>
      <c r="D36" s="33">
        <v>0.4</v>
      </c>
      <c r="E36" s="33">
        <v>0.77</v>
      </c>
      <c r="F36" s="33">
        <v>1.25</v>
      </c>
      <c r="G36" s="33">
        <v>0.16</v>
      </c>
    </row>
    <row r="37" spans="1:7" x14ac:dyDescent="0.25">
      <c r="A37" s="32" t="s">
        <v>233</v>
      </c>
      <c r="B37" s="33">
        <v>12.76</v>
      </c>
      <c r="C37" s="33">
        <v>8.23</v>
      </c>
      <c r="D37" s="33">
        <v>0.63</v>
      </c>
      <c r="E37" s="33">
        <v>1.1200000000000001</v>
      </c>
      <c r="F37" s="33">
        <v>2.41</v>
      </c>
      <c r="G37" s="33">
        <v>0.37</v>
      </c>
    </row>
    <row r="38" spans="1:7" ht="24" customHeight="1" x14ac:dyDescent="0.25">
      <c r="A38" s="32" t="s">
        <v>234</v>
      </c>
      <c r="B38" s="33">
        <v>18.34</v>
      </c>
      <c r="C38" s="33">
        <v>10.46</v>
      </c>
      <c r="D38" s="33">
        <v>0.97</v>
      </c>
      <c r="E38" s="33">
        <v>1.56</v>
      </c>
      <c r="F38" s="33">
        <v>4.01</v>
      </c>
      <c r="G38" s="33">
        <v>1.34</v>
      </c>
    </row>
    <row r="39" spans="1:7" x14ac:dyDescent="0.25">
      <c r="A39" s="32" t="s">
        <v>235</v>
      </c>
      <c r="B39" s="33">
        <v>16.3</v>
      </c>
      <c r="C39" s="33">
        <v>8.67</v>
      </c>
      <c r="D39" s="33">
        <v>1.26</v>
      </c>
      <c r="E39" s="33">
        <v>1.43</v>
      </c>
      <c r="F39" s="33">
        <v>3.6</v>
      </c>
      <c r="G39" s="33">
        <v>1.33</v>
      </c>
    </row>
    <row r="40" spans="1:7" x14ac:dyDescent="0.25">
      <c r="A40" s="32" t="s">
        <v>236</v>
      </c>
      <c r="B40" s="33">
        <v>17.16</v>
      </c>
      <c r="C40" s="33">
        <v>10.65</v>
      </c>
      <c r="D40" s="33">
        <v>1.08</v>
      </c>
      <c r="E40" s="33">
        <v>0.95</v>
      </c>
      <c r="F40" s="33">
        <v>2.5499999999999998</v>
      </c>
      <c r="G40" s="33">
        <v>1.92</v>
      </c>
    </row>
    <row r="41" spans="1:7" x14ac:dyDescent="0.25">
      <c r="A41" s="32" t="s">
        <v>237</v>
      </c>
      <c r="B41" s="33">
        <v>16.16</v>
      </c>
      <c r="C41" s="33">
        <v>9.98</v>
      </c>
      <c r="D41" s="33">
        <v>1.31</v>
      </c>
      <c r="E41" s="33">
        <v>0.72</v>
      </c>
      <c r="F41" s="33">
        <v>3.17</v>
      </c>
      <c r="G41" s="33">
        <v>0.98</v>
      </c>
    </row>
    <row r="42" spans="1:7" x14ac:dyDescent="0.25">
      <c r="A42" s="32" t="s">
        <v>238</v>
      </c>
      <c r="B42" s="33">
        <v>5.53</v>
      </c>
      <c r="C42" s="33">
        <v>3.05</v>
      </c>
      <c r="D42" s="33">
        <v>0.37</v>
      </c>
      <c r="E42" s="33">
        <v>0.26</v>
      </c>
      <c r="F42" s="33">
        <v>1.52</v>
      </c>
      <c r="G42" s="33">
        <v>0.32</v>
      </c>
    </row>
    <row r="43" spans="1:7" x14ac:dyDescent="0.25">
      <c r="A43" s="32" t="s">
        <v>239</v>
      </c>
      <c r="B43" s="33">
        <v>4.5599999999999996</v>
      </c>
      <c r="C43" s="33">
        <v>2.5299999999999998</v>
      </c>
      <c r="D43" s="33">
        <v>0.28999999999999998</v>
      </c>
      <c r="E43" s="33">
        <v>0.18</v>
      </c>
      <c r="F43" s="33">
        <v>1.26</v>
      </c>
      <c r="G43" s="33">
        <v>0.31</v>
      </c>
    </row>
    <row r="44" spans="1:7" x14ac:dyDescent="0.25">
      <c r="A44" s="30" t="s">
        <v>240</v>
      </c>
      <c r="B44" s="31"/>
      <c r="C44" s="31"/>
      <c r="D44" s="31"/>
      <c r="E44" s="31"/>
      <c r="F44" s="31"/>
      <c r="G44" s="31"/>
    </row>
    <row r="45" spans="1:7" x14ac:dyDescent="0.25">
      <c r="A45" s="32" t="s">
        <v>241</v>
      </c>
      <c r="B45" s="33">
        <v>47.15</v>
      </c>
      <c r="C45" s="33">
        <v>44.59</v>
      </c>
      <c r="D45" s="33">
        <v>2.57</v>
      </c>
      <c r="E45" s="33" t="s">
        <v>242</v>
      </c>
      <c r="F45" s="33" t="s">
        <v>242</v>
      </c>
      <c r="G45" s="33" t="s">
        <v>242</v>
      </c>
    </row>
    <row r="46" spans="1:7" x14ac:dyDescent="0.25">
      <c r="A46" s="32" t="s">
        <v>243</v>
      </c>
      <c r="B46" s="33">
        <v>32.47</v>
      </c>
      <c r="C46" s="33">
        <v>28.53</v>
      </c>
      <c r="D46" s="33">
        <v>3.94</v>
      </c>
      <c r="E46" s="33" t="s">
        <v>242</v>
      </c>
      <c r="F46" s="33" t="s">
        <v>242</v>
      </c>
      <c r="G46" s="33" t="s">
        <v>242</v>
      </c>
    </row>
    <row r="47" spans="1:7" ht="24" customHeight="1" x14ac:dyDescent="0.25">
      <c r="A47" s="32" t="s">
        <v>244</v>
      </c>
      <c r="B47" s="33">
        <v>2.61</v>
      </c>
      <c r="C47" s="33">
        <v>1.76</v>
      </c>
      <c r="D47" s="33">
        <v>0.85</v>
      </c>
      <c r="E47" s="33" t="s">
        <v>242</v>
      </c>
      <c r="F47" s="33" t="s">
        <v>242</v>
      </c>
      <c r="G47" s="33" t="s">
        <v>242</v>
      </c>
    </row>
    <row r="48" spans="1:7" x14ac:dyDescent="0.25">
      <c r="A48" s="32" t="s">
        <v>245</v>
      </c>
      <c r="B48" s="33">
        <v>2.2799999999999998</v>
      </c>
      <c r="C48" s="33">
        <v>2.19</v>
      </c>
      <c r="D48" s="33">
        <v>0.09</v>
      </c>
      <c r="E48" s="33" t="s">
        <v>242</v>
      </c>
      <c r="F48" s="33" t="s">
        <v>242</v>
      </c>
      <c r="G48" s="33" t="s">
        <v>242</v>
      </c>
    </row>
    <row r="49" spans="1:7" ht="26.65" customHeight="1" x14ac:dyDescent="0.25">
      <c r="A49" s="32" t="s">
        <v>246</v>
      </c>
      <c r="B49" s="33">
        <v>39.01</v>
      </c>
      <c r="C49" s="33" t="s">
        <v>242</v>
      </c>
      <c r="D49" s="33" t="s">
        <v>242</v>
      </c>
      <c r="E49" s="33">
        <v>9.34</v>
      </c>
      <c r="F49" s="33">
        <v>22.84</v>
      </c>
      <c r="G49" s="33">
        <v>6.83</v>
      </c>
    </row>
    <row r="50" spans="1:7" x14ac:dyDescent="0.25">
      <c r="A50" s="30" t="s">
        <v>247</v>
      </c>
      <c r="B50" s="31"/>
      <c r="C50" s="31"/>
      <c r="D50" s="31"/>
      <c r="E50" s="31"/>
      <c r="F50" s="31"/>
      <c r="G50" s="31"/>
    </row>
    <row r="51" spans="1:7" ht="26.65" customHeight="1" x14ac:dyDescent="0.25">
      <c r="A51" s="32" t="s">
        <v>248</v>
      </c>
      <c r="B51" s="33">
        <v>45.44</v>
      </c>
      <c r="C51" s="33">
        <v>31.14</v>
      </c>
      <c r="D51" s="33">
        <v>2.83</v>
      </c>
      <c r="E51" s="33">
        <v>2.23</v>
      </c>
      <c r="F51" s="33">
        <v>3.79</v>
      </c>
      <c r="G51" s="33">
        <v>5.45</v>
      </c>
    </row>
    <row r="52" spans="1:7" x14ac:dyDescent="0.25">
      <c r="A52" s="32" t="s">
        <v>249</v>
      </c>
      <c r="B52" s="33">
        <v>33.369999999999997</v>
      </c>
      <c r="C52" s="33">
        <v>17.52</v>
      </c>
      <c r="D52" s="33">
        <v>2.0099999999999998</v>
      </c>
      <c r="E52" s="33">
        <v>3.79</v>
      </c>
      <c r="F52" s="33">
        <v>9.8000000000000007</v>
      </c>
      <c r="G52" s="33">
        <v>0.24</v>
      </c>
    </row>
    <row r="53" spans="1:7" ht="24" customHeight="1" x14ac:dyDescent="0.25">
      <c r="A53" s="32" t="s">
        <v>250</v>
      </c>
      <c r="B53" s="33">
        <v>18.8</v>
      </c>
      <c r="C53" s="33">
        <v>12.63</v>
      </c>
      <c r="D53" s="33">
        <v>0.92</v>
      </c>
      <c r="E53" s="33">
        <v>1.55</v>
      </c>
      <c r="F53" s="33">
        <v>2.86</v>
      </c>
      <c r="G53" s="33">
        <v>0.84</v>
      </c>
    </row>
    <row r="54" spans="1:7" ht="15" customHeight="1" x14ac:dyDescent="0.25">
      <c r="A54" s="32" t="s">
        <v>251</v>
      </c>
      <c r="B54" s="33">
        <v>15.65</v>
      </c>
      <c r="C54" s="33">
        <v>10.54</v>
      </c>
      <c r="D54" s="33">
        <v>1.07</v>
      </c>
      <c r="E54" s="33">
        <v>0.89</v>
      </c>
      <c r="F54" s="33">
        <v>3.08</v>
      </c>
      <c r="G54" s="33">
        <v>0.08</v>
      </c>
    </row>
    <row r="55" spans="1:7" x14ac:dyDescent="0.25">
      <c r="A55" s="32" t="s">
        <v>252</v>
      </c>
      <c r="B55" s="33">
        <v>6.42</v>
      </c>
      <c r="C55" s="33">
        <v>2.89</v>
      </c>
      <c r="D55" s="33">
        <v>0.41</v>
      </c>
      <c r="E55" s="33">
        <v>0.5</v>
      </c>
      <c r="F55" s="33">
        <v>2.56</v>
      </c>
      <c r="G55" s="33" t="s">
        <v>253</v>
      </c>
    </row>
    <row r="56" spans="1:7" x14ac:dyDescent="0.25">
      <c r="A56" s="32" t="s">
        <v>254</v>
      </c>
      <c r="B56" s="33">
        <v>1.89</v>
      </c>
      <c r="C56" s="33">
        <v>1.1599999999999999</v>
      </c>
      <c r="D56" s="33">
        <v>0.11</v>
      </c>
      <c r="E56" s="33">
        <v>0.21</v>
      </c>
      <c r="F56" s="33">
        <v>0.3</v>
      </c>
      <c r="G56" s="33">
        <v>0.11</v>
      </c>
    </row>
    <row r="57" spans="1:7" x14ac:dyDescent="0.25">
      <c r="A57" s="32" t="s">
        <v>255</v>
      </c>
      <c r="B57" s="33">
        <v>1.46</v>
      </c>
      <c r="C57" s="33">
        <v>0.94</v>
      </c>
      <c r="D57" s="33">
        <v>0.08</v>
      </c>
      <c r="E57" s="33">
        <v>0.14000000000000001</v>
      </c>
      <c r="F57" s="33">
        <v>0.31</v>
      </c>
      <c r="G57" s="33" t="s">
        <v>242</v>
      </c>
    </row>
    <row r="58" spans="1:7" x14ac:dyDescent="0.25">
      <c r="A58" s="32" t="s">
        <v>256</v>
      </c>
      <c r="B58" s="33">
        <v>0.5</v>
      </c>
      <c r="C58" s="33">
        <v>0.26</v>
      </c>
      <c r="D58" s="33" t="s">
        <v>253</v>
      </c>
      <c r="E58" s="33" t="s">
        <v>253</v>
      </c>
      <c r="F58" s="33">
        <v>0.14000000000000001</v>
      </c>
      <c r="G58" s="33" t="s">
        <v>253</v>
      </c>
    </row>
    <row r="59" spans="1:7" x14ac:dyDescent="0.25">
      <c r="A59" s="30" t="s">
        <v>257</v>
      </c>
      <c r="B59" s="31"/>
      <c r="C59" s="31"/>
      <c r="D59" s="31"/>
      <c r="E59" s="31"/>
      <c r="F59" s="31"/>
      <c r="G59" s="31"/>
    </row>
    <row r="60" spans="1:7" x14ac:dyDescent="0.25">
      <c r="A60" s="32" t="s">
        <v>258</v>
      </c>
      <c r="B60" s="33">
        <v>76.03</v>
      </c>
      <c r="C60" s="33">
        <v>61.56</v>
      </c>
      <c r="D60" s="33">
        <v>5.49</v>
      </c>
      <c r="E60" s="33">
        <v>5.89</v>
      </c>
      <c r="F60" s="33" t="s">
        <v>242</v>
      </c>
      <c r="G60" s="33">
        <v>3.09</v>
      </c>
    </row>
    <row r="61" spans="1:7" x14ac:dyDescent="0.25">
      <c r="A61" s="32" t="s">
        <v>259</v>
      </c>
      <c r="B61" s="33">
        <v>9.69</v>
      </c>
      <c r="C61" s="33">
        <v>5.87</v>
      </c>
      <c r="D61" s="33">
        <v>0.28000000000000003</v>
      </c>
      <c r="E61" s="33">
        <v>0.46</v>
      </c>
      <c r="F61" s="33" t="s">
        <v>242</v>
      </c>
      <c r="G61" s="33">
        <v>3.08</v>
      </c>
    </row>
    <row r="62" spans="1:7" ht="24" customHeight="1" x14ac:dyDescent="0.25">
      <c r="A62" s="32" t="s">
        <v>260</v>
      </c>
      <c r="B62" s="33">
        <v>5.19</v>
      </c>
      <c r="C62" s="33">
        <v>3.06</v>
      </c>
      <c r="D62" s="33">
        <v>0.55000000000000004</v>
      </c>
      <c r="E62" s="33">
        <v>1.23</v>
      </c>
      <c r="F62" s="33" t="s">
        <v>242</v>
      </c>
      <c r="G62" s="33">
        <v>0.35</v>
      </c>
    </row>
    <row r="63" spans="1:7" x14ac:dyDescent="0.25">
      <c r="A63" s="32" t="s">
        <v>261</v>
      </c>
      <c r="B63" s="33">
        <v>4.8899999999999997</v>
      </c>
      <c r="C63" s="33">
        <v>3.6</v>
      </c>
      <c r="D63" s="33">
        <v>0.59</v>
      </c>
      <c r="E63" s="33">
        <v>0.66</v>
      </c>
      <c r="F63" s="33" t="s">
        <v>242</v>
      </c>
      <c r="G63" s="33" t="s">
        <v>253</v>
      </c>
    </row>
    <row r="64" spans="1:7" x14ac:dyDescent="0.25">
      <c r="A64" s="32" t="s">
        <v>262</v>
      </c>
      <c r="B64" s="33">
        <v>2.14</v>
      </c>
      <c r="C64" s="33">
        <v>1.58</v>
      </c>
      <c r="D64" s="33">
        <v>0.11</v>
      </c>
      <c r="E64" s="33">
        <v>0.43</v>
      </c>
      <c r="F64" s="33" t="s">
        <v>242</v>
      </c>
      <c r="G64" s="33" t="s">
        <v>253</v>
      </c>
    </row>
    <row r="65" spans="1:7" x14ac:dyDescent="0.25">
      <c r="A65" s="32" t="s">
        <v>263</v>
      </c>
      <c r="B65" s="33">
        <v>1.49</v>
      </c>
      <c r="C65" s="33">
        <v>0.73</v>
      </c>
      <c r="D65" s="33">
        <v>0.18</v>
      </c>
      <c r="E65" s="33">
        <v>0.51</v>
      </c>
      <c r="F65" s="33" t="s">
        <v>242</v>
      </c>
      <c r="G65" s="33">
        <v>0.08</v>
      </c>
    </row>
    <row r="66" spans="1:7" x14ac:dyDescent="0.25">
      <c r="A66" s="32" t="s">
        <v>256</v>
      </c>
      <c r="B66" s="33">
        <v>1.26</v>
      </c>
      <c r="C66" s="33">
        <v>0.67</v>
      </c>
      <c r="D66" s="33">
        <v>0.27</v>
      </c>
      <c r="E66" s="33">
        <v>0.15</v>
      </c>
      <c r="F66" s="33" t="s">
        <v>242</v>
      </c>
      <c r="G66" s="33">
        <v>0.18</v>
      </c>
    </row>
    <row r="67" spans="1:7" ht="26.65" customHeight="1" x14ac:dyDescent="0.25">
      <c r="A67" s="32" t="s">
        <v>264</v>
      </c>
      <c r="B67" s="33">
        <v>22.84</v>
      </c>
      <c r="C67" s="33" t="s">
        <v>242</v>
      </c>
      <c r="D67" s="33" t="s">
        <v>242</v>
      </c>
      <c r="E67" s="33" t="s">
        <v>242</v>
      </c>
      <c r="F67" s="33">
        <v>22.84</v>
      </c>
      <c r="G67" s="33" t="s">
        <v>242</v>
      </c>
    </row>
    <row r="68" spans="1:7" ht="26.65" customHeight="1" x14ac:dyDescent="0.25">
      <c r="A68" s="30" t="s">
        <v>265</v>
      </c>
      <c r="B68" s="31"/>
      <c r="C68" s="31"/>
      <c r="D68" s="31"/>
      <c r="E68" s="31"/>
      <c r="F68" s="31"/>
      <c r="G68" s="31"/>
    </row>
    <row r="69" spans="1:7" x14ac:dyDescent="0.25">
      <c r="A69" s="37" t="s">
        <v>266</v>
      </c>
      <c r="B69" s="33">
        <v>4.59</v>
      </c>
      <c r="C69" s="33">
        <v>0.09</v>
      </c>
      <c r="D69" s="33">
        <v>0.05</v>
      </c>
      <c r="E69" s="33">
        <v>0.77</v>
      </c>
      <c r="F69" s="33">
        <v>3.56</v>
      </c>
      <c r="G69" s="33">
        <v>0.11</v>
      </c>
    </row>
    <row r="70" spans="1:7" x14ac:dyDescent="0.25">
      <c r="A70" s="37">
        <v>3</v>
      </c>
      <c r="B70" s="33">
        <v>8.73</v>
      </c>
      <c r="C70" s="33">
        <v>0.65</v>
      </c>
      <c r="D70" s="33">
        <v>0.3</v>
      </c>
      <c r="E70" s="33">
        <v>1.71</v>
      </c>
      <c r="F70" s="33">
        <v>5.86</v>
      </c>
      <c r="G70" s="33">
        <v>0.21</v>
      </c>
    </row>
    <row r="71" spans="1:7" ht="34.15" customHeight="1" x14ac:dyDescent="0.25">
      <c r="A71" s="37">
        <v>4</v>
      </c>
      <c r="B71" s="33">
        <v>15.95</v>
      </c>
      <c r="C71" s="33">
        <v>3.3</v>
      </c>
      <c r="D71" s="33">
        <v>1.46</v>
      </c>
      <c r="E71" s="33">
        <v>3.04</v>
      </c>
      <c r="F71" s="33">
        <v>6.98</v>
      </c>
      <c r="G71" s="33">
        <v>1.17</v>
      </c>
    </row>
    <row r="72" spans="1:7" x14ac:dyDescent="0.25">
      <c r="A72" s="37">
        <v>5</v>
      </c>
      <c r="B72" s="33">
        <v>19.54</v>
      </c>
      <c r="C72" s="33">
        <v>9.77</v>
      </c>
      <c r="D72" s="33">
        <v>1.81</v>
      </c>
      <c r="E72" s="33">
        <v>2.17</v>
      </c>
      <c r="F72" s="33">
        <v>4.13</v>
      </c>
      <c r="G72" s="33">
        <v>1.65</v>
      </c>
    </row>
    <row r="73" spans="1:7" x14ac:dyDescent="0.25">
      <c r="A73" s="37">
        <v>6</v>
      </c>
      <c r="B73" s="33">
        <v>22.1</v>
      </c>
      <c r="C73" s="33">
        <v>15.86</v>
      </c>
      <c r="D73" s="33">
        <v>1.66</v>
      </c>
      <c r="E73" s="33">
        <v>0.97</v>
      </c>
      <c r="F73" s="33">
        <v>1.68</v>
      </c>
      <c r="G73" s="33">
        <v>1.94</v>
      </c>
    </row>
    <row r="74" spans="1:7" x14ac:dyDescent="0.25">
      <c r="A74" s="37">
        <v>7</v>
      </c>
      <c r="B74" s="33">
        <v>18.86</v>
      </c>
      <c r="C74" s="33">
        <v>16.23</v>
      </c>
      <c r="D74" s="33">
        <v>1.1000000000000001</v>
      </c>
      <c r="E74" s="33">
        <v>0.27</v>
      </c>
      <c r="F74" s="33">
        <v>0.38</v>
      </c>
      <c r="G74" s="33">
        <v>0.87</v>
      </c>
    </row>
    <row r="75" spans="1:7" x14ac:dyDescent="0.25">
      <c r="A75" s="37">
        <v>8</v>
      </c>
      <c r="B75" s="33">
        <v>13.87</v>
      </c>
      <c r="C75" s="33">
        <v>12.42</v>
      </c>
      <c r="D75" s="33">
        <v>0.56000000000000005</v>
      </c>
      <c r="E75" s="33">
        <v>0.16</v>
      </c>
      <c r="F75" s="33">
        <v>0.15</v>
      </c>
      <c r="G75" s="33">
        <v>0.57999999999999996</v>
      </c>
    </row>
    <row r="76" spans="1:7" x14ac:dyDescent="0.25">
      <c r="A76" s="37" t="s">
        <v>267</v>
      </c>
      <c r="B76" s="33">
        <v>19.899999999999999</v>
      </c>
      <c r="C76" s="33">
        <v>18.73</v>
      </c>
      <c r="D76" s="33">
        <v>0.51</v>
      </c>
      <c r="E76" s="33">
        <v>0.25</v>
      </c>
      <c r="F76" s="33">
        <v>0.11</v>
      </c>
      <c r="G76" s="33">
        <v>0.3</v>
      </c>
    </row>
    <row r="77" spans="1:7" x14ac:dyDescent="0.25">
      <c r="A77" s="30" t="s">
        <v>268</v>
      </c>
      <c r="B77" s="33"/>
      <c r="C77" s="33"/>
      <c r="D77" s="33"/>
      <c r="E77" s="33"/>
      <c r="F77" s="33"/>
      <c r="G77" s="33"/>
    </row>
    <row r="78" spans="1:7" x14ac:dyDescent="0.25">
      <c r="A78" s="37">
        <v>0</v>
      </c>
      <c r="B78" s="33">
        <v>1.82</v>
      </c>
      <c r="C78" s="33">
        <v>0.1</v>
      </c>
      <c r="D78" s="33" t="s">
        <v>253</v>
      </c>
      <c r="E78" s="33">
        <v>0.32</v>
      </c>
      <c r="F78" s="33">
        <v>1.36</v>
      </c>
      <c r="G78" s="33" t="s">
        <v>253</v>
      </c>
    </row>
    <row r="79" spans="1:7" x14ac:dyDescent="0.25">
      <c r="A79" s="37">
        <v>1</v>
      </c>
      <c r="B79" s="33">
        <v>14.52</v>
      </c>
      <c r="C79" s="33">
        <v>1.25</v>
      </c>
      <c r="D79" s="33">
        <v>0.49</v>
      </c>
      <c r="E79" s="33">
        <v>2.61</v>
      </c>
      <c r="F79" s="33">
        <v>9.7799999999999994</v>
      </c>
      <c r="G79" s="33">
        <v>0.4</v>
      </c>
    </row>
    <row r="80" spans="1:7" ht="24" customHeight="1" x14ac:dyDescent="0.25">
      <c r="A80" s="37">
        <v>2</v>
      </c>
      <c r="B80" s="33">
        <v>30.67</v>
      </c>
      <c r="C80" s="33">
        <v>10.56</v>
      </c>
      <c r="D80" s="33">
        <v>3.19</v>
      </c>
      <c r="E80" s="33">
        <v>4.57</v>
      </c>
      <c r="F80" s="33">
        <v>9.99</v>
      </c>
      <c r="G80" s="33">
        <v>2.36</v>
      </c>
    </row>
    <row r="81" spans="1:7" x14ac:dyDescent="0.25">
      <c r="A81" s="37">
        <v>3</v>
      </c>
      <c r="B81" s="33">
        <v>48.27</v>
      </c>
      <c r="C81" s="33">
        <v>38.869999999999997</v>
      </c>
      <c r="D81" s="33">
        <v>2.94</v>
      </c>
      <c r="E81" s="33">
        <v>1.48</v>
      </c>
      <c r="F81" s="33">
        <v>1.51</v>
      </c>
      <c r="G81" s="33">
        <v>3.49</v>
      </c>
    </row>
    <row r="82" spans="1:7" x14ac:dyDescent="0.25">
      <c r="A82" s="37">
        <v>4</v>
      </c>
      <c r="B82" s="33">
        <v>22.08</v>
      </c>
      <c r="C82" s="33">
        <v>20.61</v>
      </c>
      <c r="D82" s="33">
        <v>0.57999999999999996</v>
      </c>
      <c r="E82" s="33">
        <v>0.23</v>
      </c>
      <c r="F82" s="33">
        <v>0.15</v>
      </c>
      <c r="G82" s="33">
        <v>0.51</v>
      </c>
    </row>
    <row r="83" spans="1:7" x14ac:dyDescent="0.25">
      <c r="A83" s="37" t="s">
        <v>269</v>
      </c>
      <c r="B83" s="33">
        <v>6.16</v>
      </c>
      <c r="C83" s="33">
        <v>5.69</v>
      </c>
      <c r="D83" s="33">
        <v>0.21</v>
      </c>
      <c r="E83" s="33">
        <v>0.13</v>
      </c>
      <c r="F83" s="33" t="s">
        <v>253</v>
      </c>
      <c r="G83" s="33">
        <v>7.0000000000000007E-2</v>
      </c>
    </row>
    <row r="84" spans="1:7" ht="26.65" customHeight="1" x14ac:dyDescent="0.25">
      <c r="A84" s="30" t="s">
        <v>270</v>
      </c>
      <c r="B84" s="31"/>
      <c r="C84" s="31"/>
      <c r="D84" s="31"/>
      <c r="E84" s="31"/>
      <c r="F84" s="31"/>
      <c r="G84" s="31"/>
    </row>
    <row r="85" spans="1:7" x14ac:dyDescent="0.25">
      <c r="A85" s="37">
        <v>1</v>
      </c>
      <c r="B85" s="33">
        <v>8.41</v>
      </c>
      <c r="C85" s="33">
        <v>1.43</v>
      </c>
      <c r="D85" s="33">
        <v>0.31</v>
      </c>
      <c r="E85" s="33">
        <v>1.55</v>
      </c>
      <c r="F85" s="33">
        <v>4.84</v>
      </c>
      <c r="G85" s="33">
        <v>0.28000000000000003</v>
      </c>
    </row>
    <row r="86" spans="1:7" x14ac:dyDescent="0.25">
      <c r="A86" s="37">
        <v>2</v>
      </c>
      <c r="B86" s="33">
        <v>27.88</v>
      </c>
      <c r="C86" s="33">
        <v>9.65</v>
      </c>
      <c r="D86" s="33">
        <v>2.13</v>
      </c>
      <c r="E86" s="33">
        <v>3.9</v>
      </c>
      <c r="F86" s="33">
        <v>10.07</v>
      </c>
      <c r="G86" s="33">
        <v>2.13</v>
      </c>
    </row>
    <row r="87" spans="1:7" ht="34.15" customHeight="1" x14ac:dyDescent="0.25">
      <c r="A87" s="37">
        <v>3</v>
      </c>
      <c r="B87" s="33">
        <v>32.82</v>
      </c>
      <c r="C87" s="33">
        <v>19.91</v>
      </c>
      <c r="D87" s="33">
        <v>2.39</v>
      </c>
      <c r="E87" s="33">
        <v>2.5499999999999998</v>
      </c>
      <c r="F87" s="33">
        <v>5.6</v>
      </c>
      <c r="G87" s="33">
        <v>2.36</v>
      </c>
    </row>
    <row r="88" spans="1:7" x14ac:dyDescent="0.25">
      <c r="A88" s="37">
        <v>4</v>
      </c>
      <c r="B88" s="33">
        <v>26.77</v>
      </c>
      <c r="C88" s="33">
        <v>21.33</v>
      </c>
      <c r="D88" s="33">
        <v>1.5</v>
      </c>
      <c r="E88" s="33">
        <v>0.82</v>
      </c>
      <c r="F88" s="33">
        <v>1.86</v>
      </c>
      <c r="G88" s="33">
        <v>1.26</v>
      </c>
    </row>
    <row r="89" spans="1:7" x14ac:dyDescent="0.25">
      <c r="A89" s="37" t="s">
        <v>269</v>
      </c>
      <c r="B89" s="33">
        <v>27.64</v>
      </c>
      <c r="C89" s="33">
        <v>24.75</v>
      </c>
      <c r="D89" s="33">
        <v>1.1100000000000001</v>
      </c>
      <c r="E89" s="33">
        <v>0.51</v>
      </c>
      <c r="F89" s="33">
        <v>0.47</v>
      </c>
      <c r="G89" s="33">
        <v>0.79</v>
      </c>
    </row>
    <row r="90" spans="1:7" x14ac:dyDescent="0.25">
      <c r="A90" s="30" t="s">
        <v>271</v>
      </c>
      <c r="B90" s="31"/>
      <c r="C90" s="31"/>
      <c r="D90" s="31"/>
      <c r="E90" s="31"/>
      <c r="F90" s="31"/>
      <c r="G90" s="31"/>
    </row>
    <row r="91" spans="1:7" x14ac:dyDescent="0.25">
      <c r="A91" s="37">
        <v>0</v>
      </c>
      <c r="B91" s="33">
        <v>0.15</v>
      </c>
      <c r="C91" s="33">
        <v>7.0000000000000007E-2</v>
      </c>
      <c r="D91" s="33" t="s">
        <v>253</v>
      </c>
      <c r="E91" s="33" t="s">
        <v>253</v>
      </c>
      <c r="F91" s="33" t="s">
        <v>253</v>
      </c>
      <c r="G91" s="33" t="s">
        <v>253</v>
      </c>
    </row>
    <row r="92" spans="1:7" x14ac:dyDescent="0.25">
      <c r="A92" s="37">
        <v>1</v>
      </c>
      <c r="B92" s="33">
        <v>50.32</v>
      </c>
      <c r="C92" s="33">
        <v>21.7</v>
      </c>
      <c r="D92" s="33">
        <v>3.03</v>
      </c>
      <c r="E92" s="33">
        <v>7.24</v>
      </c>
      <c r="F92" s="33">
        <v>16.260000000000002</v>
      </c>
      <c r="G92" s="33">
        <v>2.1</v>
      </c>
    </row>
    <row r="93" spans="1:7" ht="24" customHeight="1" x14ac:dyDescent="0.25">
      <c r="A93" s="37">
        <v>2</v>
      </c>
      <c r="B93" s="33">
        <v>56.85</v>
      </c>
      <c r="C93" s="33">
        <v>40.42</v>
      </c>
      <c r="D93" s="33">
        <v>3.7</v>
      </c>
      <c r="E93" s="33">
        <v>1.86</v>
      </c>
      <c r="F93" s="33">
        <v>6.36</v>
      </c>
      <c r="G93" s="33">
        <v>4.51</v>
      </c>
    </row>
    <row r="94" spans="1:7" x14ac:dyDescent="0.25">
      <c r="A94" s="37" t="s">
        <v>272</v>
      </c>
      <c r="B94" s="33">
        <v>16.21</v>
      </c>
      <c r="C94" s="33">
        <v>14.89</v>
      </c>
      <c r="D94" s="33">
        <v>0.72</v>
      </c>
      <c r="E94" s="33">
        <v>0.23</v>
      </c>
      <c r="F94" s="33">
        <v>0.15</v>
      </c>
      <c r="G94" s="33">
        <v>0.22</v>
      </c>
    </row>
    <row r="95" spans="1:7" x14ac:dyDescent="0.25">
      <c r="A95" s="30" t="s">
        <v>273</v>
      </c>
      <c r="B95" s="31"/>
      <c r="C95" s="31"/>
      <c r="D95" s="31"/>
      <c r="E95" s="31"/>
      <c r="F95" s="31"/>
      <c r="G95" s="31"/>
    </row>
    <row r="96" spans="1:7" x14ac:dyDescent="0.25">
      <c r="A96" s="37">
        <v>0</v>
      </c>
      <c r="B96" s="33">
        <v>86.83</v>
      </c>
      <c r="C96" s="33">
        <v>47.8</v>
      </c>
      <c r="D96" s="33">
        <v>4.0599999999999996</v>
      </c>
      <c r="E96" s="33">
        <v>8.2100000000000009</v>
      </c>
      <c r="F96" s="33">
        <v>20.77</v>
      </c>
      <c r="G96" s="33">
        <v>5.98</v>
      </c>
    </row>
    <row r="97" spans="1:7" x14ac:dyDescent="0.25">
      <c r="A97" s="37">
        <v>1</v>
      </c>
      <c r="B97" s="33">
        <v>33.79</v>
      </c>
      <c r="C97" s="33">
        <v>26.87</v>
      </c>
      <c r="D97" s="33">
        <v>3.21</v>
      </c>
      <c r="E97" s="33">
        <v>1.03</v>
      </c>
      <c r="F97" s="33">
        <v>1.94</v>
      </c>
      <c r="G97" s="33">
        <v>0.75</v>
      </c>
    </row>
    <row r="98" spans="1:7" ht="24" customHeight="1" x14ac:dyDescent="0.25">
      <c r="A98" s="37" t="s">
        <v>274</v>
      </c>
      <c r="B98" s="33">
        <v>2.91</v>
      </c>
      <c r="C98" s="33">
        <v>2.39</v>
      </c>
      <c r="D98" s="33">
        <v>0.18</v>
      </c>
      <c r="E98" s="33">
        <v>0.11</v>
      </c>
      <c r="F98" s="33">
        <v>0.13</v>
      </c>
      <c r="G98" s="33">
        <v>0.1</v>
      </c>
    </row>
    <row r="99" spans="1:7" x14ac:dyDescent="0.25">
      <c r="A99" s="30" t="s">
        <v>275</v>
      </c>
      <c r="B99" s="31"/>
      <c r="C99" s="31"/>
      <c r="D99" s="31"/>
      <c r="E99" s="31"/>
      <c r="F99" s="31"/>
      <c r="G99" s="31"/>
    </row>
    <row r="100" spans="1:7" x14ac:dyDescent="0.25">
      <c r="A100" s="32" t="s">
        <v>276</v>
      </c>
      <c r="B100" s="33">
        <v>36.83</v>
      </c>
      <c r="C100" s="33">
        <v>33.86</v>
      </c>
      <c r="D100" s="33">
        <v>2.98</v>
      </c>
      <c r="E100" s="33" t="s">
        <v>242</v>
      </c>
      <c r="F100" s="33" t="s">
        <v>242</v>
      </c>
      <c r="G100" s="33" t="s">
        <v>242</v>
      </c>
    </row>
    <row r="101" spans="1:7" x14ac:dyDescent="0.25">
      <c r="A101" s="34" t="s">
        <v>277</v>
      </c>
      <c r="B101" s="33">
        <v>21.71</v>
      </c>
      <c r="C101" s="33">
        <v>19.850000000000001</v>
      </c>
      <c r="D101" s="33">
        <v>1.87</v>
      </c>
      <c r="E101" s="33" t="s">
        <v>242</v>
      </c>
      <c r="F101" s="33" t="s">
        <v>242</v>
      </c>
      <c r="G101" s="33" t="s">
        <v>242</v>
      </c>
    </row>
    <row r="102" spans="1:7" ht="24" customHeight="1" x14ac:dyDescent="0.25">
      <c r="A102" s="34" t="s">
        <v>278</v>
      </c>
      <c r="B102" s="33">
        <v>15.12</v>
      </c>
      <c r="C102" s="33">
        <v>14.01</v>
      </c>
      <c r="D102" s="33">
        <v>1.1100000000000001</v>
      </c>
      <c r="E102" s="33" t="s">
        <v>242</v>
      </c>
      <c r="F102" s="33" t="s">
        <v>242</v>
      </c>
      <c r="G102" s="33" t="s">
        <v>242</v>
      </c>
    </row>
    <row r="103" spans="1:7" x14ac:dyDescent="0.25">
      <c r="A103" s="37" t="s">
        <v>279</v>
      </c>
      <c r="B103" s="33">
        <v>47.68</v>
      </c>
      <c r="C103" s="33">
        <v>43.21</v>
      </c>
      <c r="D103" s="33">
        <v>4.47</v>
      </c>
      <c r="E103" s="33" t="s">
        <v>242</v>
      </c>
      <c r="F103" s="33" t="s">
        <v>242</v>
      </c>
      <c r="G103" s="33" t="s">
        <v>242</v>
      </c>
    </row>
    <row r="104" spans="1:7" ht="26.65" customHeight="1" x14ac:dyDescent="0.25">
      <c r="A104" s="37" t="s">
        <v>246</v>
      </c>
      <c r="B104" s="33">
        <v>39.01</v>
      </c>
      <c r="C104" s="33" t="s">
        <v>242</v>
      </c>
      <c r="D104" s="33" t="s">
        <v>242</v>
      </c>
      <c r="E104" s="33">
        <v>9.34</v>
      </c>
      <c r="F104" s="33">
        <v>22.84</v>
      </c>
      <c r="G104" s="33">
        <v>6.83</v>
      </c>
    </row>
    <row r="105" spans="1:7" x14ac:dyDescent="0.25">
      <c r="A105" s="30" t="s">
        <v>280</v>
      </c>
      <c r="B105" s="31"/>
      <c r="C105" s="31"/>
      <c r="D105" s="31"/>
      <c r="E105" s="31"/>
      <c r="F105" s="31"/>
      <c r="G105" s="31"/>
    </row>
    <row r="106" spans="1:7" x14ac:dyDescent="0.25">
      <c r="A106" s="32" t="s">
        <v>276</v>
      </c>
      <c r="B106" s="33">
        <v>56.5</v>
      </c>
      <c r="C106" s="33">
        <v>52.99</v>
      </c>
      <c r="D106" s="33">
        <v>3.52</v>
      </c>
      <c r="E106" s="33" t="s">
        <v>242</v>
      </c>
      <c r="F106" s="33" t="s">
        <v>242</v>
      </c>
      <c r="G106" s="33" t="s">
        <v>242</v>
      </c>
    </row>
    <row r="107" spans="1:7" x14ac:dyDescent="0.25">
      <c r="A107" s="34" t="s">
        <v>281</v>
      </c>
      <c r="B107" s="33">
        <v>7.68</v>
      </c>
      <c r="C107" s="33">
        <v>7.1</v>
      </c>
      <c r="D107" s="33">
        <v>0.56999999999999995</v>
      </c>
      <c r="E107" s="33" t="s">
        <v>242</v>
      </c>
      <c r="F107" s="33" t="s">
        <v>242</v>
      </c>
      <c r="G107" s="33" t="s">
        <v>242</v>
      </c>
    </row>
    <row r="108" spans="1:7" ht="24" customHeight="1" x14ac:dyDescent="0.25">
      <c r="A108" s="34" t="s">
        <v>282</v>
      </c>
      <c r="B108" s="33">
        <v>48.83</v>
      </c>
      <c r="C108" s="33">
        <v>45.88</v>
      </c>
      <c r="D108" s="33">
        <v>2.94</v>
      </c>
      <c r="E108" s="33" t="s">
        <v>242</v>
      </c>
      <c r="F108" s="33" t="s">
        <v>242</v>
      </c>
      <c r="G108" s="33" t="s">
        <v>242</v>
      </c>
    </row>
    <row r="109" spans="1:7" x14ac:dyDescent="0.25">
      <c r="A109" s="32" t="s">
        <v>279</v>
      </c>
      <c r="B109" s="33">
        <v>28.01</v>
      </c>
      <c r="C109" s="33">
        <v>24.08</v>
      </c>
      <c r="D109" s="33">
        <v>3.94</v>
      </c>
      <c r="E109" s="33" t="s">
        <v>242</v>
      </c>
      <c r="F109" s="33" t="s">
        <v>242</v>
      </c>
      <c r="G109" s="33" t="s">
        <v>242</v>
      </c>
    </row>
    <row r="110" spans="1:7" ht="26.65" customHeight="1" x14ac:dyDescent="0.25">
      <c r="A110" s="37" t="s">
        <v>246</v>
      </c>
      <c r="B110" s="33">
        <v>39.01</v>
      </c>
      <c r="C110" s="33" t="s">
        <v>242</v>
      </c>
      <c r="D110" s="33" t="s">
        <v>242</v>
      </c>
      <c r="E110" s="33">
        <v>9.34</v>
      </c>
      <c r="F110" s="33">
        <v>22.84</v>
      </c>
      <c r="G110" s="33">
        <v>6.83</v>
      </c>
    </row>
    <row r="111" spans="1:7" x14ac:dyDescent="0.25">
      <c r="A111" s="30" t="s">
        <v>283</v>
      </c>
      <c r="B111" s="31"/>
      <c r="C111" s="31"/>
      <c r="D111" s="31"/>
      <c r="E111" s="31"/>
      <c r="F111" s="31"/>
      <c r="G111" s="31"/>
    </row>
    <row r="112" spans="1:7" x14ac:dyDescent="0.25">
      <c r="A112" s="32" t="s">
        <v>276</v>
      </c>
      <c r="B112" s="33">
        <v>51.79</v>
      </c>
      <c r="C112" s="33">
        <v>48.19</v>
      </c>
      <c r="D112" s="33">
        <v>3.6</v>
      </c>
      <c r="E112" s="33" t="s">
        <v>242</v>
      </c>
      <c r="F112" s="33" t="s">
        <v>242</v>
      </c>
      <c r="G112" s="33" t="s">
        <v>242</v>
      </c>
    </row>
    <row r="113" spans="1:7" x14ac:dyDescent="0.25">
      <c r="A113" s="34" t="s">
        <v>284</v>
      </c>
      <c r="B113" s="33">
        <v>11.27</v>
      </c>
      <c r="C113" s="33">
        <v>9.64</v>
      </c>
      <c r="D113" s="33">
        <v>1.64</v>
      </c>
      <c r="E113" s="33" t="s">
        <v>242</v>
      </c>
      <c r="F113" s="33" t="s">
        <v>242</v>
      </c>
      <c r="G113" s="33" t="s">
        <v>242</v>
      </c>
    </row>
    <row r="114" spans="1:7" ht="24" customHeight="1" x14ac:dyDescent="0.25">
      <c r="A114" s="34" t="s">
        <v>285</v>
      </c>
      <c r="B114" s="33">
        <v>34.18</v>
      </c>
      <c r="C114" s="33">
        <v>32.270000000000003</v>
      </c>
      <c r="D114" s="33">
        <v>1.91</v>
      </c>
      <c r="E114" s="33" t="s">
        <v>242</v>
      </c>
      <c r="F114" s="33" t="s">
        <v>242</v>
      </c>
      <c r="G114" s="33" t="s">
        <v>242</v>
      </c>
    </row>
    <row r="115" spans="1:7" ht="24" customHeight="1" x14ac:dyDescent="0.25">
      <c r="A115" s="34" t="s">
        <v>286</v>
      </c>
      <c r="B115" s="33">
        <v>6.34</v>
      </c>
      <c r="C115" s="33">
        <v>6.28</v>
      </c>
      <c r="D115" s="33">
        <v>0.06</v>
      </c>
      <c r="E115" s="33" t="s">
        <v>242</v>
      </c>
      <c r="F115" s="33" t="s">
        <v>242</v>
      </c>
      <c r="G115" s="33" t="s">
        <v>242</v>
      </c>
    </row>
    <row r="116" spans="1:7" x14ac:dyDescent="0.25">
      <c r="A116" s="32" t="s">
        <v>279</v>
      </c>
      <c r="B116" s="33">
        <v>32.72</v>
      </c>
      <c r="C116" s="33">
        <v>28.88</v>
      </c>
      <c r="D116" s="33">
        <v>3.85</v>
      </c>
      <c r="E116" s="33" t="s">
        <v>242</v>
      </c>
      <c r="F116" s="33" t="s">
        <v>242</v>
      </c>
      <c r="G116" s="33" t="s">
        <v>242</v>
      </c>
    </row>
    <row r="117" spans="1:7" ht="26.65" customHeight="1" x14ac:dyDescent="0.25">
      <c r="A117" s="37" t="s">
        <v>246</v>
      </c>
      <c r="B117" s="33">
        <v>39.01</v>
      </c>
      <c r="C117" s="33" t="s">
        <v>242</v>
      </c>
      <c r="D117" s="33" t="s">
        <v>242</v>
      </c>
      <c r="E117" s="33">
        <v>9.34</v>
      </c>
      <c r="F117" s="33">
        <v>22.84</v>
      </c>
      <c r="G117" s="33">
        <v>6.83</v>
      </c>
    </row>
    <row r="118" spans="1:7" x14ac:dyDescent="0.25">
      <c r="A118" s="30" t="s">
        <v>287</v>
      </c>
      <c r="B118" s="31"/>
      <c r="C118" s="31"/>
      <c r="D118" s="31"/>
      <c r="E118" s="31"/>
      <c r="F118" s="31"/>
      <c r="G118" s="31"/>
    </row>
    <row r="119" spans="1:7" x14ac:dyDescent="0.25">
      <c r="A119" s="32" t="s">
        <v>288</v>
      </c>
      <c r="B119" s="33">
        <v>34.340000000000003</v>
      </c>
      <c r="C119" s="33">
        <v>24.33</v>
      </c>
      <c r="D119" s="33">
        <v>1.8</v>
      </c>
      <c r="E119" s="33">
        <v>1.59</v>
      </c>
      <c r="F119" s="33">
        <v>5.22</v>
      </c>
      <c r="G119" s="33">
        <v>1.39</v>
      </c>
    </row>
    <row r="120" spans="1:7" x14ac:dyDescent="0.25">
      <c r="A120" s="32" t="s">
        <v>289</v>
      </c>
      <c r="B120" s="33">
        <v>64.27</v>
      </c>
      <c r="C120" s="33">
        <v>40.369999999999997</v>
      </c>
      <c r="D120" s="33">
        <v>3.98</v>
      </c>
      <c r="E120" s="33">
        <v>4.41</v>
      </c>
      <c r="F120" s="33">
        <v>12.22</v>
      </c>
      <c r="G120" s="33">
        <v>3.28</v>
      </c>
    </row>
    <row r="121" spans="1:7" ht="24" customHeight="1" x14ac:dyDescent="0.25">
      <c r="A121" s="32" t="s">
        <v>290</v>
      </c>
      <c r="B121" s="33">
        <v>21.29</v>
      </c>
      <c r="C121" s="33">
        <v>11.11</v>
      </c>
      <c r="D121" s="33">
        <v>1.45</v>
      </c>
      <c r="E121" s="33">
        <v>2.7</v>
      </c>
      <c r="F121" s="33">
        <v>4.1500000000000004</v>
      </c>
      <c r="G121" s="33">
        <v>1.87</v>
      </c>
    </row>
    <row r="122" spans="1:7" x14ac:dyDescent="0.25">
      <c r="A122" s="32" t="s">
        <v>291</v>
      </c>
      <c r="B122" s="33">
        <v>3.63</v>
      </c>
      <c r="C122" s="33">
        <v>1.25</v>
      </c>
      <c r="D122" s="33">
        <v>0.21</v>
      </c>
      <c r="E122" s="33">
        <v>0.64</v>
      </c>
      <c r="F122" s="33">
        <v>1.24</v>
      </c>
      <c r="G122" s="33">
        <v>0.28999999999999998</v>
      </c>
    </row>
    <row r="123" spans="1:7" x14ac:dyDescent="0.25">
      <c r="A123" s="30" t="s">
        <v>292</v>
      </c>
      <c r="B123" s="31"/>
      <c r="C123" s="31"/>
      <c r="D123" s="31"/>
      <c r="E123" s="31"/>
      <c r="F123" s="31"/>
      <c r="G123" s="31"/>
    </row>
    <row r="124" spans="1:7" x14ac:dyDescent="0.25">
      <c r="A124" s="32" t="s">
        <v>293</v>
      </c>
      <c r="B124" s="33">
        <v>55.37</v>
      </c>
      <c r="C124" s="33">
        <v>37.020000000000003</v>
      </c>
      <c r="D124" s="33">
        <v>2.91</v>
      </c>
      <c r="E124" s="33">
        <v>2.9</v>
      </c>
      <c r="F124" s="33">
        <v>10.130000000000001</v>
      </c>
      <c r="G124" s="33">
        <v>2.41</v>
      </c>
    </row>
    <row r="125" spans="1:7" x14ac:dyDescent="0.25">
      <c r="A125" s="32" t="s">
        <v>294</v>
      </c>
      <c r="B125" s="33">
        <v>52.63</v>
      </c>
      <c r="C125" s="33">
        <v>32.53</v>
      </c>
      <c r="D125" s="33">
        <v>3.35</v>
      </c>
      <c r="E125" s="33">
        <v>4.22</v>
      </c>
      <c r="F125" s="33">
        <v>9.35</v>
      </c>
      <c r="G125" s="33">
        <v>3.19</v>
      </c>
    </row>
    <row r="126" spans="1:7" s="36" customFormat="1" ht="24" customHeight="1" x14ac:dyDescent="0.25">
      <c r="A126" s="32" t="s">
        <v>295</v>
      </c>
      <c r="B126" s="33">
        <v>10.39</v>
      </c>
      <c r="C126" s="33">
        <v>5.3</v>
      </c>
      <c r="D126" s="33">
        <v>0.76</v>
      </c>
      <c r="E126" s="33">
        <v>1.43</v>
      </c>
      <c r="F126" s="33">
        <v>2.15</v>
      </c>
      <c r="G126" s="33">
        <v>0.75</v>
      </c>
    </row>
    <row r="127" spans="1:7" s="36" customFormat="1" x14ac:dyDescent="0.25">
      <c r="A127" s="32" t="s">
        <v>296</v>
      </c>
      <c r="B127" s="33">
        <v>5.14</v>
      </c>
      <c r="C127" s="33">
        <v>2.2200000000000002</v>
      </c>
      <c r="D127" s="33">
        <v>0.44</v>
      </c>
      <c r="E127" s="33">
        <v>0.8</v>
      </c>
      <c r="F127" s="33">
        <v>1.2</v>
      </c>
      <c r="G127" s="33">
        <v>0.48</v>
      </c>
    </row>
    <row r="128" spans="1:7" s="36" customFormat="1" x14ac:dyDescent="0.25">
      <c r="A128" s="30" t="s">
        <v>297</v>
      </c>
      <c r="B128" s="31"/>
      <c r="C128" s="31"/>
      <c r="D128" s="31"/>
      <c r="E128" s="31"/>
      <c r="F128" s="31"/>
      <c r="G128" s="31"/>
    </row>
    <row r="129" spans="1:7" x14ac:dyDescent="0.25">
      <c r="A129" s="32" t="s">
        <v>276</v>
      </c>
      <c r="B129" s="33">
        <v>55.18</v>
      </c>
      <c r="C129" s="33">
        <v>39.22</v>
      </c>
      <c r="D129" s="33">
        <v>3.72</v>
      </c>
      <c r="E129" s="33">
        <v>3.49</v>
      </c>
      <c r="F129" s="33">
        <v>8.75</v>
      </c>
      <c r="G129" s="33" t="s">
        <v>242</v>
      </c>
    </row>
    <row r="130" spans="1:7" x14ac:dyDescent="0.25">
      <c r="A130" s="32" t="s">
        <v>279</v>
      </c>
      <c r="B130" s="33">
        <v>61.52</v>
      </c>
      <c r="C130" s="33">
        <v>37.85</v>
      </c>
      <c r="D130" s="33">
        <v>3.73</v>
      </c>
      <c r="E130" s="33">
        <v>5.85</v>
      </c>
      <c r="F130" s="33">
        <v>14.08</v>
      </c>
      <c r="G130" s="33" t="s">
        <v>242</v>
      </c>
    </row>
    <row r="131" spans="1:7" ht="24" customHeight="1" x14ac:dyDescent="0.25">
      <c r="A131" s="37" t="s">
        <v>298</v>
      </c>
      <c r="B131" s="33">
        <v>6.83</v>
      </c>
      <c r="C131" s="33" t="s">
        <v>242</v>
      </c>
      <c r="D131" s="33" t="s">
        <v>242</v>
      </c>
      <c r="E131" s="33" t="s">
        <v>242</v>
      </c>
      <c r="F131" s="33" t="s">
        <v>242</v>
      </c>
      <c r="G131" s="33">
        <v>6.83</v>
      </c>
    </row>
    <row r="132" spans="1:7" x14ac:dyDescent="0.25">
      <c r="A132" s="30" t="s">
        <v>299</v>
      </c>
      <c r="B132" s="31"/>
      <c r="C132" s="31"/>
      <c r="D132" s="31"/>
      <c r="E132" s="31"/>
      <c r="F132" s="31"/>
      <c r="G132" s="31"/>
    </row>
    <row r="133" spans="1:7" x14ac:dyDescent="0.25">
      <c r="A133" s="32" t="s">
        <v>300</v>
      </c>
      <c r="B133" s="33">
        <v>6.95</v>
      </c>
      <c r="C133" s="33">
        <v>0.1</v>
      </c>
      <c r="D133" s="33">
        <v>0.22</v>
      </c>
      <c r="E133" s="33">
        <v>0.77</v>
      </c>
      <c r="F133" s="33">
        <v>5.85</v>
      </c>
      <c r="G133" s="33" t="s">
        <v>253</v>
      </c>
    </row>
    <row r="134" spans="1:7" x14ac:dyDescent="0.25">
      <c r="A134" s="32" t="s">
        <v>301</v>
      </c>
      <c r="B134" s="33">
        <v>18.149999999999999</v>
      </c>
      <c r="C134" s="33">
        <v>1.72</v>
      </c>
      <c r="D134" s="33">
        <v>1.79</v>
      </c>
      <c r="E134" s="33">
        <v>3.81</v>
      </c>
      <c r="F134" s="33">
        <v>10.54</v>
      </c>
      <c r="G134" s="33">
        <v>0.28999999999999998</v>
      </c>
    </row>
    <row r="135" spans="1:7" ht="24" customHeight="1" x14ac:dyDescent="0.25">
      <c r="A135" s="32" t="s">
        <v>302</v>
      </c>
      <c r="B135" s="33">
        <v>29.35</v>
      </c>
      <c r="C135" s="33">
        <v>16.16</v>
      </c>
      <c r="D135" s="33">
        <v>2.6</v>
      </c>
      <c r="E135" s="33">
        <v>2.86</v>
      </c>
      <c r="F135" s="33">
        <v>5.09</v>
      </c>
      <c r="G135" s="33">
        <v>2.66</v>
      </c>
    </row>
    <row r="136" spans="1:7" x14ac:dyDescent="0.25">
      <c r="A136" s="38" t="s">
        <v>303</v>
      </c>
      <c r="B136" s="33">
        <v>38.42</v>
      </c>
      <c r="C136" s="33">
        <v>30.76</v>
      </c>
      <c r="D136" s="33">
        <v>1.97</v>
      </c>
      <c r="E136" s="33">
        <v>1.42</v>
      </c>
      <c r="F136" s="33">
        <v>1.04</v>
      </c>
      <c r="G136" s="33">
        <v>3.23</v>
      </c>
    </row>
    <row r="137" spans="1:7" x14ac:dyDescent="0.25">
      <c r="A137" s="38" t="s">
        <v>304</v>
      </c>
      <c r="B137" s="33">
        <v>13.61</v>
      </c>
      <c r="C137" s="33">
        <v>12.28</v>
      </c>
      <c r="D137" s="33">
        <v>0.43</v>
      </c>
      <c r="E137" s="33">
        <v>0.25</v>
      </c>
      <c r="F137" s="33">
        <v>0.14000000000000001</v>
      </c>
      <c r="G137" s="33">
        <v>0.51</v>
      </c>
    </row>
    <row r="138" spans="1:7" x14ac:dyDescent="0.25">
      <c r="A138" s="38" t="s">
        <v>305</v>
      </c>
      <c r="B138" s="33">
        <v>12.43</v>
      </c>
      <c r="C138" s="33">
        <v>11.7</v>
      </c>
      <c r="D138" s="33">
        <v>0.35</v>
      </c>
      <c r="E138" s="33">
        <v>0.14000000000000001</v>
      </c>
      <c r="F138" s="33" t="s">
        <v>253</v>
      </c>
      <c r="G138" s="33">
        <v>0.13</v>
      </c>
    </row>
    <row r="139" spans="1:7" x14ac:dyDescent="0.25">
      <c r="A139" s="38" t="s">
        <v>306</v>
      </c>
      <c r="B139" s="33">
        <v>4.62</v>
      </c>
      <c r="C139" s="33">
        <v>4.3499999999999996</v>
      </c>
      <c r="D139" s="33">
        <v>0.1</v>
      </c>
      <c r="E139" s="33">
        <v>0.09</v>
      </c>
      <c r="F139" s="33" t="s">
        <v>253</v>
      </c>
      <c r="G139" s="33" t="s">
        <v>253</v>
      </c>
    </row>
    <row r="140" spans="1:7" x14ac:dyDescent="0.25">
      <c r="A140" s="30" t="s">
        <v>307</v>
      </c>
      <c r="B140" s="31"/>
      <c r="C140" s="31"/>
      <c r="D140" s="31"/>
      <c r="E140" s="31"/>
      <c r="F140" s="31"/>
      <c r="G140" s="31"/>
    </row>
    <row r="141" spans="1:7" x14ac:dyDescent="0.25">
      <c r="A141" s="32" t="s">
        <v>308</v>
      </c>
      <c r="B141" s="33">
        <v>43.51</v>
      </c>
      <c r="C141" s="33">
        <v>21.45</v>
      </c>
      <c r="D141" s="33">
        <v>2.81</v>
      </c>
      <c r="E141" s="33">
        <v>4.9400000000000004</v>
      </c>
      <c r="F141" s="33">
        <v>10.84</v>
      </c>
      <c r="G141" s="33">
        <v>3.46</v>
      </c>
    </row>
    <row r="142" spans="1:7" x14ac:dyDescent="0.25">
      <c r="A142" s="32" t="s">
        <v>309</v>
      </c>
      <c r="B142" s="33">
        <v>77.95</v>
      </c>
      <c r="C142" s="33">
        <v>54.09</v>
      </c>
      <c r="D142" s="33">
        <v>4.5199999999999996</v>
      </c>
      <c r="E142" s="33">
        <v>4.33</v>
      </c>
      <c r="F142" s="33">
        <v>11.72</v>
      </c>
      <c r="G142" s="33">
        <v>3.29</v>
      </c>
    </row>
    <row r="143" spans="1:7" ht="24" customHeight="1" x14ac:dyDescent="0.25">
      <c r="A143" s="32" t="s">
        <v>310</v>
      </c>
      <c r="B143" s="33">
        <v>2.0699999999999998</v>
      </c>
      <c r="C143" s="33">
        <v>1.53</v>
      </c>
      <c r="D143" s="33">
        <v>0.12</v>
      </c>
      <c r="E143" s="33">
        <v>7.0000000000000007E-2</v>
      </c>
      <c r="F143" s="33">
        <v>0.27</v>
      </c>
      <c r="G143" s="33" t="s">
        <v>253</v>
      </c>
    </row>
    <row r="144" spans="1:7" x14ac:dyDescent="0.25">
      <c r="A144" s="30" t="s">
        <v>311</v>
      </c>
      <c r="B144" s="31"/>
      <c r="C144" s="31"/>
      <c r="D144" s="31"/>
      <c r="E144" s="31"/>
      <c r="F144" s="31"/>
      <c r="G144" s="31"/>
    </row>
    <row r="145" spans="1:7" x14ac:dyDescent="0.25">
      <c r="A145" s="32" t="s">
        <v>312</v>
      </c>
      <c r="B145" s="33">
        <v>47.4</v>
      </c>
      <c r="C145" s="33">
        <v>23.3</v>
      </c>
      <c r="D145" s="33">
        <v>2.89</v>
      </c>
      <c r="E145" s="33">
        <v>4.2300000000000004</v>
      </c>
      <c r="F145" s="33">
        <v>13.02</v>
      </c>
      <c r="G145" s="33">
        <v>3.94</v>
      </c>
    </row>
    <row r="146" spans="1:7" x14ac:dyDescent="0.25">
      <c r="A146" s="32" t="s">
        <v>250</v>
      </c>
      <c r="B146" s="33">
        <v>40.31</v>
      </c>
      <c r="C146" s="33">
        <v>27.87</v>
      </c>
      <c r="D146" s="33">
        <v>2.2599999999999998</v>
      </c>
      <c r="E146" s="33">
        <v>3.23</v>
      </c>
      <c r="F146" s="33">
        <v>5.52</v>
      </c>
      <c r="G146" s="33">
        <v>1.43</v>
      </c>
    </row>
    <row r="147" spans="1:7" ht="24" customHeight="1" x14ac:dyDescent="0.25">
      <c r="A147" s="32" t="s">
        <v>313</v>
      </c>
      <c r="B147" s="33">
        <v>31.85</v>
      </c>
      <c r="C147" s="33">
        <v>23.39</v>
      </c>
      <c r="D147" s="33">
        <v>1.95</v>
      </c>
      <c r="E147" s="33">
        <v>1.54</v>
      </c>
      <c r="F147" s="33">
        <v>3.66</v>
      </c>
      <c r="G147" s="33">
        <v>1.3</v>
      </c>
    </row>
    <row r="148" spans="1:7" x14ac:dyDescent="0.25">
      <c r="A148" s="38" t="s">
        <v>314</v>
      </c>
      <c r="B148" s="33">
        <v>1.72</v>
      </c>
      <c r="C148" s="33">
        <v>0.94</v>
      </c>
      <c r="D148" s="33">
        <v>0.15</v>
      </c>
      <c r="E148" s="33">
        <v>0.19</v>
      </c>
      <c r="F148" s="33">
        <v>0.34</v>
      </c>
      <c r="G148" s="33">
        <v>0.1</v>
      </c>
    </row>
    <row r="149" spans="1:7" x14ac:dyDescent="0.25">
      <c r="A149" s="38" t="s">
        <v>315</v>
      </c>
      <c r="B149" s="33">
        <v>2.25</v>
      </c>
      <c r="C149" s="33">
        <v>1.56</v>
      </c>
      <c r="D149" s="33">
        <v>0.19</v>
      </c>
      <c r="E149" s="33">
        <v>0.15</v>
      </c>
      <c r="F149" s="33">
        <v>0.3</v>
      </c>
      <c r="G149" s="33" t="s">
        <v>253</v>
      </c>
    </row>
    <row r="150" spans="1:7" ht="26.25" x14ac:dyDescent="0.25">
      <c r="A150" s="30" t="s">
        <v>316</v>
      </c>
      <c r="B150" s="31"/>
      <c r="C150" s="31"/>
      <c r="D150" s="31"/>
      <c r="E150" s="31"/>
      <c r="F150" s="31"/>
      <c r="G150" s="31"/>
    </row>
    <row r="151" spans="1:7" x14ac:dyDescent="0.25">
      <c r="A151" s="37">
        <v>0</v>
      </c>
      <c r="B151" s="33">
        <v>60.38</v>
      </c>
      <c r="C151" s="33">
        <v>33.83</v>
      </c>
      <c r="D151" s="33">
        <v>3.24</v>
      </c>
      <c r="E151" s="33">
        <v>6.19</v>
      </c>
      <c r="F151" s="33">
        <v>12.3</v>
      </c>
      <c r="G151" s="33">
        <v>4.8</v>
      </c>
    </row>
    <row r="152" spans="1:7" x14ac:dyDescent="0.25">
      <c r="A152" s="37">
        <v>1</v>
      </c>
      <c r="B152" s="33">
        <v>39.81</v>
      </c>
      <c r="C152" s="33">
        <v>25.64</v>
      </c>
      <c r="D152" s="33">
        <v>2.57</v>
      </c>
      <c r="E152" s="33">
        <v>2.27</v>
      </c>
      <c r="F152" s="33">
        <v>8.06</v>
      </c>
      <c r="G152" s="33">
        <v>1.27</v>
      </c>
    </row>
    <row r="153" spans="1:7" ht="24" customHeight="1" x14ac:dyDescent="0.25">
      <c r="A153" s="37">
        <v>2</v>
      </c>
      <c r="B153" s="33">
        <v>15.19</v>
      </c>
      <c r="C153" s="33">
        <v>10.85</v>
      </c>
      <c r="D153" s="33">
        <v>1.26</v>
      </c>
      <c r="E153" s="33">
        <v>0.67</v>
      </c>
      <c r="F153" s="33">
        <v>1.84</v>
      </c>
      <c r="G153" s="33">
        <v>0.56000000000000005</v>
      </c>
    </row>
    <row r="154" spans="1:7" x14ac:dyDescent="0.25">
      <c r="A154" s="37" t="s">
        <v>272</v>
      </c>
      <c r="B154" s="33">
        <v>8.16</v>
      </c>
      <c r="C154" s="33">
        <v>6.75</v>
      </c>
      <c r="D154" s="33">
        <v>0.38</v>
      </c>
      <c r="E154" s="33">
        <v>0.2</v>
      </c>
      <c r="F154" s="33">
        <v>0.64</v>
      </c>
      <c r="G154" s="33">
        <v>0.19</v>
      </c>
    </row>
    <row r="155" spans="1:7" x14ac:dyDescent="0.25">
      <c r="A155" s="30" t="s">
        <v>317</v>
      </c>
      <c r="B155" s="31"/>
      <c r="C155" s="31"/>
      <c r="D155" s="31"/>
      <c r="E155" s="31"/>
      <c r="F155" s="31"/>
      <c r="G155" s="31"/>
    </row>
    <row r="156" spans="1:7" x14ac:dyDescent="0.25">
      <c r="A156" s="32" t="s">
        <v>276</v>
      </c>
      <c r="B156" s="33">
        <v>34.299999999999997</v>
      </c>
      <c r="C156" s="33">
        <v>25.3</v>
      </c>
      <c r="D156" s="33">
        <v>1.83</v>
      </c>
      <c r="E156" s="33">
        <v>1.97</v>
      </c>
      <c r="F156" s="33">
        <v>3.38</v>
      </c>
      <c r="G156" s="33">
        <v>1.82</v>
      </c>
    </row>
    <row r="157" spans="1:7" x14ac:dyDescent="0.25">
      <c r="A157" s="32" t="s">
        <v>279</v>
      </c>
      <c r="B157" s="33">
        <v>36.81</v>
      </c>
      <c r="C157" s="33">
        <v>22.8</v>
      </c>
      <c r="D157" s="33">
        <v>2.2000000000000002</v>
      </c>
      <c r="E157" s="33">
        <v>2.74</v>
      </c>
      <c r="F157" s="33">
        <v>6.71</v>
      </c>
      <c r="G157" s="33">
        <v>2.35</v>
      </c>
    </row>
    <row r="158" spans="1:7" ht="24" customHeight="1" x14ac:dyDescent="0.25">
      <c r="A158" s="32" t="s">
        <v>318</v>
      </c>
      <c r="B158" s="33">
        <v>52.42</v>
      </c>
      <c r="C158" s="33">
        <v>28.96</v>
      </c>
      <c r="D158" s="33">
        <v>3.43</v>
      </c>
      <c r="E158" s="33">
        <v>4.62</v>
      </c>
      <c r="F158" s="33">
        <v>12.74</v>
      </c>
      <c r="G158" s="33">
        <v>2.66</v>
      </c>
    </row>
    <row r="159" spans="1:7" ht="26.65" customHeight="1" x14ac:dyDescent="0.25">
      <c r="A159" s="30" t="s">
        <v>319</v>
      </c>
      <c r="B159" s="31"/>
      <c r="C159" s="31"/>
      <c r="D159" s="31"/>
      <c r="E159" s="31"/>
      <c r="F159" s="31"/>
      <c r="G159" s="31"/>
    </row>
    <row r="160" spans="1:7" x14ac:dyDescent="0.25">
      <c r="A160" s="32" t="s">
        <v>276</v>
      </c>
      <c r="B160" s="33">
        <v>67.83</v>
      </c>
      <c r="C160" s="33">
        <v>58.09</v>
      </c>
      <c r="D160" s="33">
        <v>4.22</v>
      </c>
      <c r="E160" s="33">
        <v>2.11</v>
      </c>
      <c r="F160" s="33" t="s">
        <v>242</v>
      </c>
      <c r="G160" s="33">
        <v>3.41</v>
      </c>
    </row>
    <row r="161" spans="1:7" x14ac:dyDescent="0.25">
      <c r="A161" s="32" t="s">
        <v>279</v>
      </c>
      <c r="B161" s="33">
        <v>32.869999999999997</v>
      </c>
      <c r="C161" s="33">
        <v>18.97</v>
      </c>
      <c r="D161" s="33">
        <v>3.24</v>
      </c>
      <c r="E161" s="33">
        <v>7.23</v>
      </c>
      <c r="F161" s="33" t="s">
        <v>242</v>
      </c>
      <c r="G161" s="33">
        <v>3.42</v>
      </c>
    </row>
    <row r="162" spans="1:7" ht="24" customHeight="1" x14ac:dyDescent="0.25">
      <c r="A162" s="32" t="s">
        <v>264</v>
      </c>
      <c r="B162" s="33">
        <v>22.84</v>
      </c>
      <c r="C162" s="33" t="s">
        <v>242</v>
      </c>
      <c r="D162" s="33" t="s">
        <v>242</v>
      </c>
      <c r="E162" s="33" t="s">
        <v>242</v>
      </c>
      <c r="F162" s="33">
        <v>22.84</v>
      </c>
      <c r="G162" s="33" t="s">
        <v>242</v>
      </c>
    </row>
    <row r="163" spans="1:7" ht="26.65" customHeight="1" x14ac:dyDescent="0.25">
      <c r="A163" s="30" t="s">
        <v>320</v>
      </c>
      <c r="B163" s="39"/>
      <c r="C163" s="39"/>
      <c r="D163" s="39"/>
      <c r="E163" s="39"/>
      <c r="F163" s="39"/>
      <c r="G163" s="39"/>
    </row>
    <row r="164" spans="1:7" x14ac:dyDescent="0.25">
      <c r="A164" s="32" t="s">
        <v>276</v>
      </c>
      <c r="B164" s="39">
        <v>1.82</v>
      </c>
      <c r="C164" s="39">
        <v>1.46</v>
      </c>
      <c r="D164" s="39">
        <v>0.11</v>
      </c>
      <c r="E164" s="39" t="s">
        <v>253</v>
      </c>
      <c r="F164" s="39">
        <v>0.17</v>
      </c>
      <c r="G164" s="39" t="s">
        <v>253</v>
      </c>
    </row>
    <row r="165" spans="1:7" x14ac:dyDescent="0.25">
      <c r="A165" s="34" t="s">
        <v>321</v>
      </c>
      <c r="B165" s="39">
        <v>1.39</v>
      </c>
      <c r="C165" s="39">
        <v>1.22</v>
      </c>
      <c r="D165" s="39">
        <v>0.09</v>
      </c>
      <c r="E165" s="39" t="s">
        <v>253</v>
      </c>
      <c r="F165" s="39" t="s">
        <v>253</v>
      </c>
      <c r="G165" s="39" t="s">
        <v>253</v>
      </c>
    </row>
    <row r="166" spans="1:7" ht="33.75" customHeight="1" x14ac:dyDescent="0.25">
      <c r="A166" s="32" t="s">
        <v>279</v>
      </c>
      <c r="B166" s="39">
        <v>121.71</v>
      </c>
      <c r="C166" s="39">
        <v>75.61</v>
      </c>
      <c r="D166" s="39">
        <v>7.34</v>
      </c>
      <c r="E166" s="39">
        <v>9.2899999999999991</v>
      </c>
      <c r="F166" s="39">
        <v>22.67</v>
      </c>
      <c r="G166" s="39">
        <v>6.79</v>
      </c>
    </row>
    <row r="167" spans="1:7" x14ac:dyDescent="0.25">
      <c r="A167" s="30" t="s">
        <v>322</v>
      </c>
      <c r="B167" s="30"/>
      <c r="C167" s="30"/>
      <c r="D167" s="30"/>
      <c r="E167" s="30"/>
      <c r="F167" s="30"/>
      <c r="G167" s="30"/>
    </row>
    <row r="168" spans="1:7" x14ac:dyDescent="0.25">
      <c r="A168" s="32" t="s">
        <v>276</v>
      </c>
      <c r="B168" s="33">
        <v>84.52</v>
      </c>
      <c r="C168" s="33">
        <v>54.13</v>
      </c>
      <c r="D168" s="33">
        <v>5.63</v>
      </c>
      <c r="E168" s="33">
        <v>6.95</v>
      </c>
      <c r="F168" s="33">
        <v>14.94</v>
      </c>
      <c r="G168" s="33">
        <v>2.87</v>
      </c>
    </row>
    <row r="169" spans="1:7" x14ac:dyDescent="0.25">
      <c r="A169" s="34" t="s">
        <v>323</v>
      </c>
      <c r="B169" s="33">
        <v>69.489999999999995</v>
      </c>
      <c r="C169" s="33">
        <v>47.14</v>
      </c>
      <c r="D169" s="33">
        <v>4.9000000000000004</v>
      </c>
      <c r="E169" s="33">
        <v>5.27</v>
      </c>
      <c r="F169" s="33">
        <v>10.3</v>
      </c>
      <c r="G169" s="33">
        <v>1.89</v>
      </c>
    </row>
    <row r="170" spans="1:7" ht="33.75" customHeight="1" x14ac:dyDescent="0.25">
      <c r="A170" s="34" t="s">
        <v>324</v>
      </c>
      <c r="B170" s="33">
        <v>15.03</v>
      </c>
      <c r="C170" s="33">
        <v>6.99</v>
      </c>
      <c r="D170" s="33">
        <v>0.74</v>
      </c>
      <c r="E170" s="33">
        <v>1.68</v>
      </c>
      <c r="F170" s="33">
        <v>4.6399999999999997</v>
      </c>
      <c r="G170" s="33">
        <v>0.98</v>
      </c>
    </row>
    <row r="171" spans="1:7" x14ac:dyDescent="0.25">
      <c r="A171" s="32" t="s">
        <v>279</v>
      </c>
      <c r="B171" s="33">
        <v>39.01</v>
      </c>
      <c r="C171" s="33">
        <v>22.93</v>
      </c>
      <c r="D171" s="33">
        <v>1.82</v>
      </c>
      <c r="E171" s="33">
        <v>2.4</v>
      </c>
      <c r="F171" s="33">
        <v>7.9</v>
      </c>
      <c r="G171" s="33">
        <v>3.96</v>
      </c>
    </row>
    <row r="172" spans="1:7" x14ac:dyDescent="0.25">
      <c r="A172" s="30" t="s">
        <v>325</v>
      </c>
      <c r="B172" s="31"/>
      <c r="C172" s="31"/>
      <c r="D172" s="31"/>
      <c r="E172" s="31"/>
      <c r="F172" s="31"/>
      <c r="G172" s="31"/>
    </row>
    <row r="173" spans="1:7" x14ac:dyDescent="0.25">
      <c r="A173" s="32" t="s">
        <v>276</v>
      </c>
      <c r="B173" s="33">
        <v>3.37</v>
      </c>
      <c r="C173" s="33">
        <v>3.16</v>
      </c>
      <c r="D173" s="33">
        <v>0.11</v>
      </c>
      <c r="E173" s="33" t="s">
        <v>242</v>
      </c>
      <c r="F173" s="33" t="s">
        <v>242</v>
      </c>
      <c r="G173" s="33">
        <v>0.1</v>
      </c>
    </row>
    <row r="174" spans="1:7" x14ac:dyDescent="0.25">
      <c r="A174" s="32" t="s">
        <v>279</v>
      </c>
      <c r="B174" s="33">
        <v>87.98</v>
      </c>
      <c r="C174" s="33">
        <v>73.91</v>
      </c>
      <c r="D174" s="33">
        <v>7.34</v>
      </c>
      <c r="E174" s="33" t="s">
        <v>242</v>
      </c>
      <c r="F174" s="33" t="s">
        <v>242</v>
      </c>
      <c r="G174" s="33">
        <v>6.73</v>
      </c>
    </row>
    <row r="175" spans="1:7" ht="24" customHeight="1" x14ac:dyDescent="0.25">
      <c r="A175" s="32" t="s">
        <v>326</v>
      </c>
      <c r="B175" s="33">
        <v>32.18</v>
      </c>
      <c r="C175" s="33" t="s">
        <v>242</v>
      </c>
      <c r="D175" s="33" t="s">
        <v>242</v>
      </c>
      <c r="E175" s="33">
        <v>9.34</v>
      </c>
      <c r="F175" s="33">
        <v>22.84</v>
      </c>
      <c r="G175" s="33" t="s">
        <v>242</v>
      </c>
    </row>
    <row r="176" spans="1:7" ht="26.65" customHeight="1" x14ac:dyDescent="0.25">
      <c r="A176" s="30" t="s">
        <v>327</v>
      </c>
      <c r="B176" s="31"/>
      <c r="C176" s="31"/>
      <c r="D176" s="31"/>
      <c r="E176" s="31"/>
      <c r="F176" s="31"/>
      <c r="G176" s="31"/>
    </row>
    <row r="177" spans="1:7" x14ac:dyDescent="0.25">
      <c r="A177" s="32" t="s">
        <v>276</v>
      </c>
      <c r="B177" s="33">
        <v>22.72</v>
      </c>
      <c r="C177" s="33">
        <v>15.11</v>
      </c>
      <c r="D177" s="33">
        <v>1.05</v>
      </c>
      <c r="E177" s="33">
        <v>1.42</v>
      </c>
      <c r="F177" s="33">
        <v>3.64</v>
      </c>
      <c r="G177" s="33">
        <v>1.5</v>
      </c>
    </row>
    <row r="178" spans="1:7" x14ac:dyDescent="0.25">
      <c r="A178" s="34" t="s">
        <v>328</v>
      </c>
      <c r="B178" s="33">
        <v>19</v>
      </c>
      <c r="C178" s="33">
        <v>13.08</v>
      </c>
      <c r="D178" s="33">
        <v>0.83</v>
      </c>
      <c r="E178" s="33">
        <v>1.08</v>
      </c>
      <c r="F178" s="33">
        <v>2.68</v>
      </c>
      <c r="G178" s="33">
        <v>1.32</v>
      </c>
    </row>
    <row r="179" spans="1:7" ht="24" customHeight="1" x14ac:dyDescent="0.25">
      <c r="A179" s="34" t="s">
        <v>329</v>
      </c>
      <c r="B179" s="33">
        <v>0.25</v>
      </c>
      <c r="C179" s="33">
        <v>0.15</v>
      </c>
      <c r="D179" s="33" t="s">
        <v>253</v>
      </c>
      <c r="E179" s="33" t="s">
        <v>253</v>
      </c>
      <c r="F179" s="33" t="s">
        <v>253</v>
      </c>
      <c r="G179" s="33" t="s">
        <v>253</v>
      </c>
    </row>
    <row r="180" spans="1:7" ht="26.65" customHeight="1" x14ac:dyDescent="0.25">
      <c r="A180" s="34" t="s">
        <v>330</v>
      </c>
      <c r="B180" s="33">
        <v>3.08</v>
      </c>
      <c r="C180" s="33">
        <v>1.71</v>
      </c>
      <c r="D180" s="33">
        <v>0.18</v>
      </c>
      <c r="E180" s="33">
        <v>0.28999999999999998</v>
      </c>
      <c r="F180" s="33">
        <v>0.76</v>
      </c>
      <c r="G180" s="33">
        <v>0.14000000000000001</v>
      </c>
    </row>
    <row r="181" spans="1:7" x14ac:dyDescent="0.25">
      <c r="A181" s="34" t="s">
        <v>331</v>
      </c>
      <c r="B181" s="33">
        <v>0.39</v>
      </c>
      <c r="C181" s="33">
        <v>0.16</v>
      </c>
      <c r="D181" s="33" t="s">
        <v>253</v>
      </c>
      <c r="E181" s="33" t="s">
        <v>253</v>
      </c>
      <c r="F181" s="33">
        <v>0.18</v>
      </c>
      <c r="G181" s="33" t="s">
        <v>253</v>
      </c>
    </row>
    <row r="182" spans="1:7" x14ac:dyDescent="0.25">
      <c r="A182" s="32" t="s">
        <v>279</v>
      </c>
      <c r="B182" s="33">
        <v>100.81</v>
      </c>
      <c r="C182" s="33">
        <v>61.96</v>
      </c>
      <c r="D182" s="33">
        <v>6.4</v>
      </c>
      <c r="E182" s="33">
        <v>7.92</v>
      </c>
      <c r="F182" s="33">
        <v>19.190000000000001</v>
      </c>
      <c r="G182" s="33">
        <v>5.33</v>
      </c>
    </row>
    <row r="183" spans="1:7" ht="24" customHeight="1" x14ac:dyDescent="0.25">
      <c r="A183" s="30" t="s">
        <v>332</v>
      </c>
      <c r="B183" s="31"/>
      <c r="C183" s="31"/>
      <c r="D183" s="31"/>
      <c r="E183" s="31"/>
      <c r="F183" s="31"/>
      <c r="G183" s="31"/>
    </row>
    <row r="184" spans="1:7" x14ac:dyDescent="0.25">
      <c r="A184" s="32" t="s">
        <v>276</v>
      </c>
      <c r="B184" s="33">
        <v>17.66</v>
      </c>
      <c r="C184" s="33">
        <v>13.93</v>
      </c>
      <c r="D184" s="33">
        <v>0.34</v>
      </c>
      <c r="E184" s="33">
        <v>0.22</v>
      </c>
      <c r="F184" s="33">
        <v>2.15</v>
      </c>
      <c r="G184" s="33">
        <v>1.02</v>
      </c>
    </row>
    <row r="185" spans="1:7" x14ac:dyDescent="0.25">
      <c r="A185" s="32" t="s">
        <v>279</v>
      </c>
      <c r="B185" s="33">
        <v>105.87</v>
      </c>
      <c r="C185" s="33">
        <v>63.14</v>
      </c>
      <c r="D185" s="33">
        <v>7.11</v>
      </c>
      <c r="E185" s="33">
        <v>9.1199999999999992</v>
      </c>
      <c r="F185" s="33">
        <v>20.69</v>
      </c>
      <c r="G185" s="33">
        <v>5.82</v>
      </c>
    </row>
    <row r="186" spans="1:7" x14ac:dyDescent="0.25">
      <c r="A186" s="30" t="s">
        <v>333</v>
      </c>
      <c r="B186" s="31"/>
      <c r="C186" s="31"/>
      <c r="D186" s="31"/>
      <c r="E186" s="31"/>
      <c r="F186" s="31"/>
      <c r="G186" s="31"/>
    </row>
    <row r="187" spans="1:7" ht="24" customHeight="1" x14ac:dyDescent="0.25">
      <c r="A187" s="37" t="s">
        <v>276</v>
      </c>
      <c r="B187" s="33">
        <v>8.52</v>
      </c>
      <c r="C187" s="33">
        <v>8.09</v>
      </c>
      <c r="D187" s="33">
        <v>0.2</v>
      </c>
      <c r="E187" s="33" t="s">
        <v>242</v>
      </c>
      <c r="F187" s="33" t="s">
        <v>242</v>
      </c>
      <c r="G187" s="33">
        <v>0.23</v>
      </c>
    </row>
    <row r="188" spans="1:7" x14ac:dyDescent="0.25">
      <c r="A188" s="32" t="s">
        <v>279</v>
      </c>
      <c r="B188" s="33">
        <v>82.83</v>
      </c>
      <c r="C188" s="33">
        <v>68.98</v>
      </c>
      <c r="D188" s="33">
        <v>7.25</v>
      </c>
      <c r="E188" s="33" t="s">
        <v>242</v>
      </c>
      <c r="F188" s="33" t="s">
        <v>242</v>
      </c>
      <c r="G188" s="33">
        <v>6.6</v>
      </c>
    </row>
    <row r="189" spans="1:7" x14ac:dyDescent="0.25">
      <c r="A189" s="32" t="s">
        <v>326</v>
      </c>
      <c r="B189" s="33">
        <v>32.18</v>
      </c>
      <c r="C189" s="33" t="s">
        <v>242</v>
      </c>
      <c r="D189" s="33" t="s">
        <v>242</v>
      </c>
      <c r="E189" s="33">
        <v>9.34</v>
      </c>
      <c r="F189" s="33">
        <v>22.84</v>
      </c>
      <c r="G189" s="33" t="s">
        <v>242</v>
      </c>
    </row>
    <row r="190" spans="1:7" x14ac:dyDescent="0.25">
      <c r="A190" s="40" t="s">
        <v>334</v>
      </c>
      <c r="B190" s="31"/>
      <c r="C190" s="31"/>
      <c r="D190" s="31"/>
      <c r="E190" s="31"/>
      <c r="F190" s="31"/>
      <c r="G190" s="31"/>
    </row>
    <row r="191" spans="1:7" x14ac:dyDescent="0.25">
      <c r="A191" s="34" t="s">
        <v>335</v>
      </c>
      <c r="B191" s="33">
        <v>1.9</v>
      </c>
      <c r="C191" s="33">
        <v>1.77</v>
      </c>
      <c r="D191" s="33">
        <v>0.06</v>
      </c>
      <c r="E191" s="33" t="s">
        <v>242</v>
      </c>
      <c r="F191" s="33" t="s">
        <v>242</v>
      </c>
      <c r="G191" s="33" t="s">
        <v>253</v>
      </c>
    </row>
    <row r="192" spans="1:7" x14ac:dyDescent="0.25">
      <c r="A192" s="34" t="s">
        <v>336</v>
      </c>
      <c r="B192" s="33">
        <v>5.08</v>
      </c>
      <c r="C192" s="33">
        <v>4.84</v>
      </c>
      <c r="D192" s="33">
        <v>0.1</v>
      </c>
      <c r="E192" s="33" t="s">
        <v>242</v>
      </c>
      <c r="F192" s="33" t="s">
        <v>242</v>
      </c>
      <c r="G192" s="33">
        <v>0.14000000000000001</v>
      </c>
    </row>
    <row r="193" spans="1:7" ht="24" customHeight="1" x14ac:dyDescent="0.25">
      <c r="A193" s="34" t="s">
        <v>337</v>
      </c>
      <c r="B193" s="33">
        <v>1.54</v>
      </c>
      <c r="C193" s="33">
        <v>1.48</v>
      </c>
      <c r="D193" s="33" t="s">
        <v>253</v>
      </c>
      <c r="E193" s="33" t="s">
        <v>242</v>
      </c>
      <c r="F193" s="33" t="s">
        <v>242</v>
      </c>
      <c r="G193" s="33" t="s">
        <v>253</v>
      </c>
    </row>
    <row r="194" spans="1:7" x14ac:dyDescent="0.25">
      <c r="A194" s="34" t="s">
        <v>338</v>
      </c>
      <c r="B194" s="33">
        <v>82.83</v>
      </c>
      <c r="C194" s="33">
        <v>68.98</v>
      </c>
      <c r="D194" s="33">
        <v>7.25</v>
      </c>
      <c r="E194" s="33" t="s">
        <v>242</v>
      </c>
      <c r="F194" s="33" t="s">
        <v>242</v>
      </c>
      <c r="G194" s="33">
        <v>6.6</v>
      </c>
    </row>
    <row r="195" spans="1:7" x14ac:dyDescent="0.25">
      <c r="A195" s="34" t="s">
        <v>326</v>
      </c>
      <c r="B195" s="33">
        <v>32.18</v>
      </c>
      <c r="C195" s="33" t="s">
        <v>242</v>
      </c>
      <c r="D195" s="33" t="s">
        <v>242</v>
      </c>
      <c r="E195" s="33">
        <v>9.34</v>
      </c>
      <c r="F195" s="33">
        <v>22.84</v>
      </c>
      <c r="G195" s="33" t="s">
        <v>242</v>
      </c>
    </row>
    <row r="196" spans="1:7" x14ac:dyDescent="0.25">
      <c r="A196" s="40" t="s">
        <v>339</v>
      </c>
      <c r="B196" s="31"/>
      <c r="C196" s="31"/>
      <c r="D196" s="31"/>
      <c r="E196" s="31"/>
      <c r="F196" s="31"/>
      <c r="G196" s="31"/>
    </row>
    <row r="197" spans="1:7" x14ac:dyDescent="0.25">
      <c r="A197" s="34" t="s">
        <v>340</v>
      </c>
      <c r="B197" s="33">
        <v>2.89</v>
      </c>
      <c r="C197" s="33">
        <v>2.82</v>
      </c>
      <c r="D197" s="33">
        <v>0.05</v>
      </c>
      <c r="E197" s="33" t="s">
        <v>242</v>
      </c>
      <c r="F197" s="33" t="s">
        <v>242</v>
      </c>
      <c r="G197" s="33" t="s">
        <v>253</v>
      </c>
    </row>
    <row r="198" spans="1:7" x14ac:dyDescent="0.25">
      <c r="A198" s="35" t="s">
        <v>341</v>
      </c>
      <c r="B198" s="33">
        <v>0.85</v>
      </c>
      <c r="C198" s="33">
        <v>0.82</v>
      </c>
      <c r="D198" s="33" t="s">
        <v>253</v>
      </c>
      <c r="E198" s="33" t="s">
        <v>242</v>
      </c>
      <c r="F198" s="33" t="s">
        <v>242</v>
      </c>
      <c r="G198" s="33" t="s">
        <v>253</v>
      </c>
    </row>
    <row r="199" spans="1:7" x14ac:dyDescent="0.25">
      <c r="A199" s="35" t="s">
        <v>342</v>
      </c>
      <c r="B199" s="33">
        <v>1.32</v>
      </c>
      <c r="C199" s="33">
        <v>1.3</v>
      </c>
      <c r="D199" s="33" t="s">
        <v>253</v>
      </c>
      <c r="E199" s="33" t="s">
        <v>242</v>
      </c>
      <c r="F199" s="33" t="s">
        <v>242</v>
      </c>
      <c r="G199" s="33" t="s">
        <v>253</v>
      </c>
    </row>
    <row r="200" spans="1:7" x14ac:dyDescent="0.25">
      <c r="A200" s="35" t="s">
        <v>343</v>
      </c>
      <c r="B200" s="33">
        <v>0.28999999999999998</v>
      </c>
      <c r="C200" s="33">
        <v>0.28000000000000003</v>
      </c>
      <c r="D200" s="33" t="s">
        <v>253</v>
      </c>
      <c r="E200" s="33" t="s">
        <v>242</v>
      </c>
      <c r="F200" s="33" t="s">
        <v>242</v>
      </c>
      <c r="G200" s="33" t="s">
        <v>242</v>
      </c>
    </row>
    <row r="201" spans="1:7" x14ac:dyDescent="0.25">
      <c r="A201" s="35" t="s">
        <v>344</v>
      </c>
      <c r="B201" s="33">
        <v>0.42</v>
      </c>
      <c r="C201" s="33">
        <v>0.42</v>
      </c>
      <c r="D201" s="33" t="s">
        <v>253</v>
      </c>
      <c r="E201" s="33" t="s">
        <v>242</v>
      </c>
      <c r="F201" s="33" t="s">
        <v>242</v>
      </c>
      <c r="G201" s="33" t="s">
        <v>242</v>
      </c>
    </row>
    <row r="202" spans="1:7" x14ac:dyDescent="0.25">
      <c r="A202" s="34" t="s">
        <v>345</v>
      </c>
      <c r="B202" s="33">
        <v>5.63</v>
      </c>
      <c r="C202" s="33">
        <v>5.27</v>
      </c>
      <c r="D202" s="33">
        <v>0.15</v>
      </c>
      <c r="E202" s="33" t="s">
        <v>242</v>
      </c>
      <c r="F202" s="33" t="s">
        <v>242</v>
      </c>
      <c r="G202" s="33">
        <v>0.22</v>
      </c>
    </row>
    <row r="203" spans="1:7" ht="24" customHeight="1" x14ac:dyDescent="0.25">
      <c r="A203" s="34" t="s">
        <v>338</v>
      </c>
      <c r="B203" s="33">
        <v>82.83</v>
      </c>
      <c r="C203" s="33">
        <v>68.98</v>
      </c>
      <c r="D203" s="33">
        <v>7.25</v>
      </c>
      <c r="E203" s="33" t="s">
        <v>242</v>
      </c>
      <c r="F203" s="33" t="s">
        <v>242</v>
      </c>
      <c r="G203" s="33">
        <v>6.6</v>
      </c>
    </row>
    <row r="204" spans="1:7" s="36" customFormat="1" x14ac:dyDescent="0.25">
      <c r="A204" s="34" t="s">
        <v>326</v>
      </c>
      <c r="B204" s="33">
        <v>32.18</v>
      </c>
      <c r="C204" s="33" t="s">
        <v>242</v>
      </c>
      <c r="D204" s="33" t="s">
        <v>242</v>
      </c>
      <c r="E204" s="33">
        <v>9.34</v>
      </c>
      <c r="F204" s="33">
        <v>22.84</v>
      </c>
      <c r="G204" s="33" t="s">
        <v>242</v>
      </c>
    </row>
    <row r="205" spans="1:7" s="36" customFormat="1" x14ac:dyDescent="0.25">
      <c r="A205" s="30" t="s">
        <v>346</v>
      </c>
      <c r="B205" s="31"/>
      <c r="C205" s="31"/>
      <c r="D205" s="31"/>
      <c r="E205" s="31"/>
      <c r="F205" s="31"/>
      <c r="G205" s="31"/>
    </row>
    <row r="206" spans="1:7" s="36" customFormat="1" ht="24" customHeight="1" x14ac:dyDescent="0.25">
      <c r="A206" s="32" t="s">
        <v>276</v>
      </c>
      <c r="B206" s="33">
        <v>8.84</v>
      </c>
      <c r="C206" s="33">
        <v>7.33</v>
      </c>
      <c r="D206" s="33">
        <v>0.28000000000000003</v>
      </c>
      <c r="E206" s="33">
        <v>0.22</v>
      </c>
      <c r="F206" s="33">
        <v>0.73</v>
      </c>
      <c r="G206" s="33">
        <v>0.28999999999999998</v>
      </c>
    </row>
    <row r="207" spans="1:7" s="36" customFormat="1" x14ac:dyDescent="0.25">
      <c r="A207" s="32" t="s">
        <v>279</v>
      </c>
      <c r="B207" s="33">
        <v>114.69</v>
      </c>
      <c r="C207" s="33">
        <v>69.739999999999995</v>
      </c>
      <c r="D207" s="33">
        <v>7.18</v>
      </c>
      <c r="E207" s="33">
        <v>9.1199999999999992</v>
      </c>
      <c r="F207" s="33">
        <v>22.11</v>
      </c>
      <c r="G207" s="33">
        <v>6.55</v>
      </c>
    </row>
    <row r="208" spans="1:7" s="36" customFormat="1" x14ac:dyDescent="0.25">
      <c r="A208" s="40" t="s">
        <v>347</v>
      </c>
      <c r="B208" s="31"/>
      <c r="C208" s="31"/>
      <c r="D208" s="31"/>
      <c r="E208" s="31"/>
      <c r="F208" s="31"/>
      <c r="G208" s="31"/>
    </row>
    <row r="209" spans="1:7" s="36" customFormat="1" x14ac:dyDescent="0.25">
      <c r="A209" s="34" t="s">
        <v>335</v>
      </c>
      <c r="B209" s="33">
        <v>4.22</v>
      </c>
      <c r="C209" s="33">
        <v>3.3</v>
      </c>
      <c r="D209" s="33">
        <v>0.17</v>
      </c>
      <c r="E209" s="33">
        <v>0.14000000000000001</v>
      </c>
      <c r="F209" s="33">
        <v>0.44</v>
      </c>
      <c r="G209" s="33">
        <v>0.16</v>
      </c>
    </row>
    <row r="210" spans="1:7" s="36" customFormat="1" x14ac:dyDescent="0.25">
      <c r="A210" s="34" t="s">
        <v>336</v>
      </c>
      <c r="B210" s="33">
        <v>1.27</v>
      </c>
      <c r="C210" s="33">
        <v>1.1299999999999999</v>
      </c>
      <c r="D210" s="33" t="s">
        <v>253</v>
      </c>
      <c r="E210" s="33" t="s">
        <v>253</v>
      </c>
      <c r="F210" s="33" t="s">
        <v>253</v>
      </c>
      <c r="G210" s="33" t="s">
        <v>253</v>
      </c>
    </row>
    <row r="211" spans="1:7" ht="24" customHeight="1" x14ac:dyDescent="0.25">
      <c r="A211" s="34" t="s">
        <v>337</v>
      </c>
      <c r="B211" s="33">
        <v>3.35</v>
      </c>
      <c r="C211" s="33">
        <v>2.9</v>
      </c>
      <c r="D211" s="33">
        <v>0.08</v>
      </c>
      <c r="E211" s="33" t="s">
        <v>253</v>
      </c>
      <c r="F211" s="33">
        <v>0.21</v>
      </c>
      <c r="G211" s="33">
        <v>0.1</v>
      </c>
    </row>
    <row r="212" spans="1:7" x14ac:dyDescent="0.25">
      <c r="A212" s="34" t="s">
        <v>348</v>
      </c>
      <c r="B212" s="33">
        <v>114.69</v>
      </c>
      <c r="C212" s="33">
        <v>69.739999999999995</v>
      </c>
      <c r="D212" s="33">
        <v>7.18</v>
      </c>
      <c r="E212" s="33">
        <v>9.1199999999999992</v>
      </c>
      <c r="F212" s="33">
        <v>22.11</v>
      </c>
      <c r="G212" s="33">
        <v>6.55</v>
      </c>
    </row>
    <row r="213" spans="1:7" x14ac:dyDescent="0.25">
      <c r="A213" s="40" t="s">
        <v>349</v>
      </c>
      <c r="B213" s="31"/>
      <c r="C213" s="31"/>
      <c r="D213" s="31"/>
      <c r="E213" s="31"/>
      <c r="F213" s="31"/>
      <c r="G213" s="31"/>
    </row>
    <row r="214" spans="1:7" x14ac:dyDescent="0.25">
      <c r="A214" s="34" t="s">
        <v>341</v>
      </c>
      <c r="B214" s="33">
        <v>4.41</v>
      </c>
      <c r="C214" s="33">
        <v>3.8</v>
      </c>
      <c r="D214" s="33">
        <v>0.1</v>
      </c>
      <c r="E214" s="33" t="s">
        <v>253</v>
      </c>
      <c r="F214" s="33">
        <v>0.24</v>
      </c>
      <c r="G214" s="33">
        <v>0.17</v>
      </c>
    </row>
    <row r="215" spans="1:7" x14ac:dyDescent="0.25">
      <c r="A215" s="34" t="s">
        <v>342</v>
      </c>
      <c r="B215" s="33">
        <v>1.47</v>
      </c>
      <c r="C215" s="33">
        <v>1.23</v>
      </c>
      <c r="D215" s="33">
        <v>0.04</v>
      </c>
      <c r="E215" s="33" t="s">
        <v>253</v>
      </c>
      <c r="F215" s="33">
        <v>0.11</v>
      </c>
      <c r="G215" s="33" t="s">
        <v>253</v>
      </c>
    </row>
    <row r="216" spans="1:7" x14ac:dyDescent="0.25">
      <c r="A216" s="34" t="s">
        <v>344</v>
      </c>
      <c r="B216" s="33">
        <v>0.36</v>
      </c>
      <c r="C216" s="33">
        <v>0.32</v>
      </c>
      <c r="D216" s="33" t="s">
        <v>253</v>
      </c>
      <c r="E216" s="33" t="s">
        <v>242</v>
      </c>
      <c r="F216" s="33" t="s">
        <v>253</v>
      </c>
      <c r="G216" s="33" t="s">
        <v>242</v>
      </c>
    </row>
    <row r="217" spans="1:7" ht="43.5" customHeight="1" x14ac:dyDescent="0.25">
      <c r="A217" s="34" t="s">
        <v>350</v>
      </c>
      <c r="B217" s="33">
        <v>2.6</v>
      </c>
      <c r="C217" s="33">
        <v>1.98</v>
      </c>
      <c r="D217" s="33">
        <v>0.12</v>
      </c>
      <c r="E217" s="33" t="s">
        <v>253</v>
      </c>
      <c r="F217" s="33">
        <v>0.34</v>
      </c>
      <c r="G217" s="33">
        <v>0.09</v>
      </c>
    </row>
    <row r="218" spans="1:7" x14ac:dyDescent="0.25">
      <c r="A218" s="34" t="s">
        <v>348</v>
      </c>
      <c r="B218" s="33">
        <v>114.69</v>
      </c>
      <c r="C218" s="33">
        <v>69.739999999999995</v>
      </c>
      <c r="D218" s="33">
        <v>7.18</v>
      </c>
      <c r="E218" s="33">
        <v>9.1199999999999992</v>
      </c>
      <c r="F218" s="33">
        <v>22.11</v>
      </c>
      <c r="G218" s="33">
        <v>6.55</v>
      </c>
    </row>
    <row r="219" spans="1:7" x14ac:dyDescent="0.25">
      <c r="A219" s="32"/>
      <c r="B219" s="41"/>
      <c r="C219" s="41"/>
      <c r="D219" s="41"/>
      <c r="E219" s="41"/>
      <c r="F219" s="41"/>
      <c r="G219" s="41"/>
    </row>
    <row r="220" spans="1:7" s="36" customFormat="1" ht="14.65" customHeight="1" thickBot="1" x14ac:dyDescent="0.3">
      <c r="A220" s="34"/>
      <c r="B220" s="33"/>
      <c r="C220" s="33"/>
      <c r="D220" s="33"/>
      <c r="E220" s="33"/>
      <c r="F220" s="33"/>
      <c r="G220" s="33"/>
    </row>
    <row r="221" spans="1:7" s="36" customFormat="1" ht="206.25" customHeight="1" x14ac:dyDescent="0.25">
      <c r="A221" s="99" t="s">
        <v>351</v>
      </c>
      <c r="B221" s="100"/>
      <c r="C221" s="100"/>
      <c r="D221" s="100"/>
      <c r="E221" s="100"/>
      <c r="F221" s="100"/>
      <c r="G221" s="100"/>
    </row>
    <row r="222" spans="1:7" s="36" customFormat="1" x14ac:dyDescent="0.25"/>
  </sheetData>
  <mergeCells count="5">
    <mergeCell ref="B3:G3"/>
    <mergeCell ref="C4:G4"/>
    <mergeCell ref="A2:G2"/>
    <mergeCell ref="A221:G22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125"/>
  <sheetViews>
    <sheetView workbookViewId="0">
      <selection activeCell="B9" sqref="B9"/>
    </sheetView>
  </sheetViews>
  <sheetFormatPr defaultRowHeight="15" x14ac:dyDescent="0.25"/>
  <cols>
    <col min="1" max="1" width="27.7109375" customWidth="1"/>
    <col min="2" max="2" width="67.5703125" customWidth="1"/>
    <col min="3" max="3" width="65" bestFit="1" customWidth="1"/>
  </cols>
  <sheetData>
    <row r="1" spans="1:33" x14ac:dyDescent="0.25">
      <c r="A1" t="s">
        <v>352</v>
      </c>
    </row>
    <row r="2" spans="1:33" x14ac:dyDescent="0.25">
      <c r="A2" t="s">
        <v>353</v>
      </c>
    </row>
    <row r="3" spans="1:33" x14ac:dyDescent="0.25">
      <c r="A3" t="s">
        <v>354</v>
      </c>
    </row>
    <row r="4" spans="1:33" x14ac:dyDescent="0.25">
      <c r="A4" t="s">
        <v>355</v>
      </c>
    </row>
    <row r="5" spans="1:33" x14ac:dyDescent="0.25">
      <c r="B5" t="s">
        <v>356</v>
      </c>
      <c r="C5" t="s">
        <v>357</v>
      </c>
      <c r="D5" t="s">
        <v>358</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359</v>
      </c>
    </row>
    <row r="6" spans="1:33" x14ac:dyDescent="0.25">
      <c r="A6" t="s">
        <v>360</v>
      </c>
    </row>
    <row r="7" spans="1:33" x14ac:dyDescent="0.25">
      <c r="A7" t="s">
        <v>361</v>
      </c>
    </row>
    <row r="8" spans="1:33" x14ac:dyDescent="0.25">
      <c r="A8" t="s">
        <v>362</v>
      </c>
      <c r="B8" t="s">
        <v>363</v>
      </c>
      <c r="C8" t="s">
        <v>364</v>
      </c>
      <c r="D8" t="s">
        <v>365</v>
      </c>
      <c r="F8">
        <v>88.609744000000006</v>
      </c>
      <c r="G8">
        <v>89.620168000000007</v>
      </c>
      <c r="H8">
        <v>90.630560000000003</v>
      </c>
      <c r="I8">
        <v>91.639144000000002</v>
      </c>
      <c r="J8">
        <v>92.631343999999999</v>
      </c>
      <c r="K8">
        <v>93.625568000000001</v>
      </c>
      <c r="L8">
        <v>94.612880000000004</v>
      </c>
      <c r="M8">
        <v>95.597920000000002</v>
      </c>
      <c r="N8">
        <v>96.579055999999994</v>
      </c>
      <c r="O8">
        <v>97.539760000000001</v>
      </c>
      <c r="P8">
        <v>98.471496000000002</v>
      </c>
      <c r="Q8">
        <v>99.397143999999997</v>
      </c>
      <c r="R8">
        <v>100.30808</v>
      </c>
      <c r="S8">
        <v>101.19444</v>
      </c>
      <c r="T8">
        <v>102.05505599999999</v>
      </c>
      <c r="U8">
        <v>102.881776</v>
      </c>
      <c r="V8">
        <v>103.68031999999999</v>
      </c>
      <c r="W8">
        <v>104.448032</v>
      </c>
      <c r="X8">
        <v>105.19444</v>
      </c>
      <c r="Y8">
        <v>105.909008</v>
      </c>
      <c r="Z8">
        <v>106.60332</v>
      </c>
      <c r="AA8">
        <v>107.296992</v>
      </c>
      <c r="AB8">
        <v>107.988176</v>
      </c>
      <c r="AC8">
        <v>108.678416</v>
      </c>
      <c r="AD8">
        <v>109.36732000000001</v>
      </c>
      <c r="AE8">
        <v>110.055008</v>
      </c>
      <c r="AF8">
        <v>110.739904</v>
      </c>
      <c r="AG8" s="42">
        <v>8.9999999999999993E-3</v>
      </c>
    </row>
    <row r="9" spans="1:33" x14ac:dyDescent="0.25">
      <c r="A9" t="s">
        <v>366</v>
      </c>
      <c r="B9" t="s">
        <v>367</v>
      </c>
      <c r="C9" t="s">
        <v>368</v>
      </c>
      <c r="D9" t="s">
        <v>365</v>
      </c>
      <c r="F9">
        <v>34.017912000000003</v>
      </c>
      <c r="G9">
        <v>34.380360000000003</v>
      </c>
      <c r="H9">
        <v>34.797955999999999</v>
      </c>
      <c r="I9">
        <v>35.233648000000002</v>
      </c>
      <c r="J9">
        <v>35.702292</v>
      </c>
      <c r="K9">
        <v>36.208235999999999</v>
      </c>
      <c r="L9">
        <v>36.726044000000002</v>
      </c>
      <c r="M9">
        <v>37.246780000000001</v>
      </c>
      <c r="N9">
        <v>37.753312000000001</v>
      </c>
      <c r="O9">
        <v>38.226855999999998</v>
      </c>
      <c r="P9">
        <v>38.666983999999999</v>
      </c>
      <c r="Q9">
        <v>39.093076000000003</v>
      </c>
      <c r="R9">
        <v>39.503836</v>
      </c>
      <c r="S9">
        <v>39.883567999999997</v>
      </c>
      <c r="T9">
        <v>40.239072</v>
      </c>
      <c r="U9">
        <v>40.573248</v>
      </c>
      <c r="V9">
        <v>40.890327999999997</v>
      </c>
      <c r="W9">
        <v>41.185544</v>
      </c>
      <c r="X9">
        <v>41.464128000000002</v>
      </c>
      <c r="Y9">
        <v>41.734527999999997</v>
      </c>
      <c r="Z9">
        <v>42.005980000000001</v>
      </c>
      <c r="AA9">
        <v>42.277656</v>
      </c>
      <c r="AB9">
        <v>42.549807999999999</v>
      </c>
      <c r="AC9">
        <v>42.820991999999997</v>
      </c>
      <c r="AD9">
        <v>43.092480000000002</v>
      </c>
      <c r="AE9">
        <v>43.364628000000003</v>
      </c>
      <c r="AF9">
        <v>43.636816000000003</v>
      </c>
      <c r="AG9" s="42">
        <v>0.01</v>
      </c>
    </row>
    <row r="10" spans="1:33" x14ac:dyDescent="0.25">
      <c r="A10" t="s">
        <v>369</v>
      </c>
      <c r="B10" t="s">
        <v>370</v>
      </c>
      <c r="C10" t="s">
        <v>371</v>
      </c>
      <c r="D10" t="s">
        <v>365</v>
      </c>
      <c r="F10">
        <v>6.7559019999999999</v>
      </c>
      <c r="G10">
        <v>6.748634</v>
      </c>
      <c r="H10">
        <v>6.7704029999999999</v>
      </c>
      <c r="I10">
        <v>6.7926659999999996</v>
      </c>
      <c r="J10">
        <v>6.8042179999999997</v>
      </c>
      <c r="K10">
        <v>6.8138589999999999</v>
      </c>
      <c r="L10">
        <v>6.8186530000000003</v>
      </c>
      <c r="M10">
        <v>6.8248490000000004</v>
      </c>
      <c r="N10">
        <v>6.8337789999999998</v>
      </c>
      <c r="O10">
        <v>6.8433950000000001</v>
      </c>
      <c r="P10">
        <v>6.8506429999999998</v>
      </c>
      <c r="Q10">
        <v>6.8557889999999997</v>
      </c>
      <c r="R10">
        <v>6.86137</v>
      </c>
      <c r="S10">
        <v>6.8660889999999997</v>
      </c>
      <c r="T10">
        <v>6.8694940000000004</v>
      </c>
      <c r="U10">
        <v>6.8719570000000001</v>
      </c>
      <c r="V10">
        <v>6.8768599999999998</v>
      </c>
      <c r="W10">
        <v>6.8830470000000004</v>
      </c>
      <c r="X10">
        <v>6.8891169999999997</v>
      </c>
      <c r="Y10">
        <v>6.8947900000000004</v>
      </c>
      <c r="Z10">
        <v>6.9008120000000002</v>
      </c>
      <c r="AA10">
        <v>6.9073529999999996</v>
      </c>
      <c r="AB10">
        <v>6.9128509999999999</v>
      </c>
      <c r="AC10">
        <v>6.9189319999999999</v>
      </c>
      <c r="AD10">
        <v>6.9247629999999996</v>
      </c>
      <c r="AE10">
        <v>6.931044</v>
      </c>
      <c r="AF10">
        <v>6.9366469999999998</v>
      </c>
      <c r="AG10" s="42">
        <v>1E-3</v>
      </c>
    </row>
    <row r="11" spans="1:33" x14ac:dyDescent="0.25">
      <c r="A11" t="s">
        <v>372</v>
      </c>
      <c r="B11" t="s">
        <v>373</v>
      </c>
      <c r="C11" t="s">
        <v>374</v>
      </c>
      <c r="D11" t="s">
        <v>365</v>
      </c>
      <c r="F11">
        <v>129.383557</v>
      </c>
      <c r="G11">
        <v>130.74916300000001</v>
      </c>
      <c r="H11">
        <v>132.19891899999999</v>
      </c>
      <c r="I11">
        <v>133.665458</v>
      </c>
      <c r="J11">
        <v>135.137854</v>
      </c>
      <c r="K11">
        <v>136.64766299999999</v>
      </c>
      <c r="L11">
        <v>138.157577</v>
      </c>
      <c r="M11">
        <v>139.66954899999999</v>
      </c>
      <c r="N11">
        <v>141.166146</v>
      </c>
      <c r="O11">
        <v>142.61001099999999</v>
      </c>
      <c r="P11">
        <v>143.98912300000001</v>
      </c>
      <c r="Q11">
        <v>145.34600800000001</v>
      </c>
      <c r="R11">
        <v>146.67328499999999</v>
      </c>
      <c r="S11">
        <v>147.944097</v>
      </c>
      <c r="T11">
        <v>149.163622</v>
      </c>
      <c r="U11">
        <v>150.32698099999999</v>
      </c>
      <c r="V11">
        <v>151.447508</v>
      </c>
      <c r="W11">
        <v>152.51662300000001</v>
      </c>
      <c r="X11">
        <v>153.547685</v>
      </c>
      <c r="Y11">
        <v>154.53832600000001</v>
      </c>
      <c r="Z11">
        <v>155.51011199999999</v>
      </c>
      <c r="AA11">
        <v>156.482</v>
      </c>
      <c r="AB11">
        <v>157.45083500000001</v>
      </c>
      <c r="AC11">
        <v>158.41834</v>
      </c>
      <c r="AD11">
        <v>159.38456300000001</v>
      </c>
      <c r="AE11">
        <v>160.35067900000001</v>
      </c>
      <c r="AF11">
        <v>161.313367</v>
      </c>
      <c r="AG11" s="42">
        <v>8.9999999999999993E-3</v>
      </c>
    </row>
    <row r="12" spans="1:33" x14ac:dyDescent="0.25">
      <c r="A12" t="s">
        <v>375</v>
      </c>
      <c r="B12" t="s">
        <v>376</v>
      </c>
      <c r="C12" t="s">
        <v>377</v>
      </c>
      <c r="D12" t="s">
        <v>378</v>
      </c>
      <c r="F12">
        <v>1643.956909</v>
      </c>
      <c r="G12">
        <v>1650.5161129999999</v>
      </c>
      <c r="H12">
        <v>1656.4620359999999</v>
      </c>
      <c r="I12">
        <v>1662.1602780000001</v>
      </c>
      <c r="J12">
        <v>1667.528687</v>
      </c>
      <c r="K12">
        <v>1672.5445560000001</v>
      </c>
      <c r="L12">
        <v>1677.3793949999999</v>
      </c>
      <c r="M12">
        <v>1682.0760499999999</v>
      </c>
      <c r="N12">
        <v>1686.7470699999999</v>
      </c>
      <c r="O12">
        <v>1691.494995</v>
      </c>
      <c r="P12">
        <v>1696.3217770000001</v>
      </c>
      <c r="Q12">
        <v>1701.145996</v>
      </c>
      <c r="R12">
        <v>1705.9552000000001</v>
      </c>
      <c r="S12">
        <v>1710.841187</v>
      </c>
      <c r="T12">
        <v>1715.764404</v>
      </c>
      <c r="U12">
        <v>1720.697754</v>
      </c>
      <c r="V12">
        <v>1725.6134030000001</v>
      </c>
      <c r="W12">
        <v>1730.5462649999999</v>
      </c>
      <c r="X12">
        <v>1735.488159</v>
      </c>
      <c r="Y12">
        <v>1740.372437</v>
      </c>
      <c r="Z12">
        <v>1745.155029</v>
      </c>
      <c r="AA12">
        <v>1749.8751219999999</v>
      </c>
      <c r="AB12">
        <v>1754.534302</v>
      </c>
      <c r="AC12">
        <v>1759.1407469999999</v>
      </c>
      <c r="AD12">
        <v>1763.687866</v>
      </c>
      <c r="AE12">
        <v>1768.173706</v>
      </c>
      <c r="AF12">
        <v>1772.6058350000001</v>
      </c>
      <c r="AG12" s="42">
        <v>3.0000000000000001E-3</v>
      </c>
    </row>
    <row r="13" spans="1:33" x14ac:dyDescent="0.25">
      <c r="A13" t="s">
        <v>379</v>
      </c>
    </row>
    <row r="14" spans="1:33" x14ac:dyDescent="0.25">
      <c r="A14" t="s">
        <v>380</v>
      </c>
    </row>
    <row r="15" spans="1:33" x14ac:dyDescent="0.25">
      <c r="A15" t="s">
        <v>381</v>
      </c>
      <c r="B15" t="s">
        <v>382</v>
      </c>
      <c r="C15" t="s">
        <v>383</v>
      </c>
      <c r="D15" t="s">
        <v>384</v>
      </c>
      <c r="F15">
        <v>85.992243999999999</v>
      </c>
      <c r="G15">
        <v>87.976600000000005</v>
      </c>
      <c r="H15">
        <v>87.589889999999997</v>
      </c>
      <c r="I15">
        <v>87.167931999999993</v>
      </c>
      <c r="J15">
        <v>86.534193000000002</v>
      </c>
      <c r="K15">
        <v>85.477507000000003</v>
      </c>
      <c r="L15">
        <v>84.242287000000005</v>
      </c>
      <c r="M15">
        <v>82.878242</v>
      </c>
      <c r="N15">
        <v>81.472909000000001</v>
      </c>
      <c r="O15">
        <v>80.237629999999996</v>
      </c>
      <c r="P15">
        <v>79.124025000000003</v>
      </c>
      <c r="Q15">
        <v>78.223224000000002</v>
      </c>
      <c r="R15">
        <v>77.510908999999998</v>
      </c>
      <c r="S15">
        <v>76.934630999999996</v>
      </c>
      <c r="T15">
        <v>76.394609000000003</v>
      </c>
      <c r="U15">
        <v>75.933800000000005</v>
      </c>
      <c r="V15">
        <v>75.490183999999999</v>
      </c>
      <c r="W15">
        <v>75.046198000000004</v>
      </c>
      <c r="X15">
        <v>74.633349999999993</v>
      </c>
      <c r="Y15">
        <v>74.262237999999996</v>
      </c>
      <c r="Z15">
        <v>73.916539</v>
      </c>
      <c r="AA15">
        <v>73.581210999999996</v>
      </c>
      <c r="AB15">
        <v>73.253640000000004</v>
      </c>
      <c r="AC15">
        <v>72.937099000000003</v>
      </c>
      <c r="AD15">
        <v>72.637647000000001</v>
      </c>
      <c r="AE15">
        <v>72.361427000000006</v>
      </c>
      <c r="AF15">
        <v>72.093052999999998</v>
      </c>
      <c r="AG15" s="42">
        <v>-7.0000000000000001E-3</v>
      </c>
    </row>
    <row r="16" spans="1:33" x14ac:dyDescent="0.25">
      <c r="A16" t="s">
        <v>385</v>
      </c>
      <c r="B16" t="s">
        <v>386</v>
      </c>
      <c r="C16" t="s">
        <v>387</v>
      </c>
      <c r="D16" t="s">
        <v>384</v>
      </c>
      <c r="F16">
        <v>84.632913000000002</v>
      </c>
      <c r="G16">
        <v>86.447232</v>
      </c>
      <c r="H16">
        <v>85.892414000000002</v>
      </c>
      <c r="I16">
        <v>85.317886999999999</v>
      </c>
      <c r="J16">
        <v>84.531318999999996</v>
      </c>
      <c r="K16">
        <v>83.322996000000003</v>
      </c>
      <c r="L16">
        <v>81.928291000000002</v>
      </c>
      <c r="M16">
        <v>80.396377000000001</v>
      </c>
      <c r="N16">
        <v>78.827236999999997</v>
      </c>
      <c r="O16">
        <v>77.431217000000004</v>
      </c>
      <c r="P16">
        <v>76.162388000000007</v>
      </c>
      <c r="Q16">
        <v>75.148381999999998</v>
      </c>
      <c r="R16">
        <v>74.320521999999997</v>
      </c>
      <c r="S16">
        <v>73.627571000000003</v>
      </c>
      <c r="T16">
        <v>72.966007000000005</v>
      </c>
      <c r="U16">
        <v>72.382382000000007</v>
      </c>
      <c r="V16">
        <v>71.813781000000006</v>
      </c>
      <c r="W16">
        <v>71.243269999999995</v>
      </c>
      <c r="X16">
        <v>70.700708000000006</v>
      </c>
      <c r="Y16">
        <v>70.198181000000005</v>
      </c>
      <c r="Z16">
        <v>69.719190999999995</v>
      </c>
      <c r="AA16">
        <v>69.247444000000002</v>
      </c>
      <c r="AB16">
        <v>68.781064000000001</v>
      </c>
      <c r="AC16">
        <v>68.323617999999996</v>
      </c>
      <c r="AD16">
        <v>67.880285999999998</v>
      </c>
      <c r="AE16">
        <v>67.458633000000006</v>
      </c>
      <c r="AF16">
        <v>67.043820999999994</v>
      </c>
      <c r="AG16" s="42">
        <v>-8.9999999999999993E-3</v>
      </c>
    </row>
    <row r="17" spans="1:33" x14ac:dyDescent="0.25">
      <c r="A17" t="s">
        <v>388</v>
      </c>
    </row>
    <row r="18" spans="1:33" x14ac:dyDescent="0.25">
      <c r="A18" t="s">
        <v>381</v>
      </c>
      <c r="B18" t="s">
        <v>389</v>
      </c>
      <c r="C18" t="s">
        <v>390</v>
      </c>
      <c r="D18" t="s">
        <v>391</v>
      </c>
      <c r="F18">
        <v>52.308089000000002</v>
      </c>
      <c r="G18">
        <v>53.302478999999998</v>
      </c>
      <c r="H18">
        <v>52.877692000000003</v>
      </c>
      <c r="I18">
        <v>52.442554999999999</v>
      </c>
      <c r="J18">
        <v>51.893675999999999</v>
      </c>
      <c r="K18">
        <v>51.106265999999998</v>
      </c>
      <c r="L18">
        <v>50.222560000000001</v>
      </c>
      <c r="M18">
        <v>49.2714</v>
      </c>
      <c r="N18">
        <v>48.301794000000001</v>
      </c>
      <c r="O18">
        <v>47.435924999999997</v>
      </c>
      <c r="P18">
        <v>46.644466999999999</v>
      </c>
      <c r="Q18">
        <v>45.982663000000002</v>
      </c>
      <c r="R18">
        <v>45.435488999999997</v>
      </c>
      <c r="S18">
        <v>44.968890999999999</v>
      </c>
      <c r="T18">
        <v>44.525115999999997</v>
      </c>
      <c r="U18">
        <v>44.129655999999997</v>
      </c>
      <c r="V18">
        <v>43.746870000000001</v>
      </c>
      <c r="W18">
        <v>43.365611999999999</v>
      </c>
      <c r="X18">
        <v>43.004240000000003</v>
      </c>
      <c r="Y18">
        <v>42.670313999999998</v>
      </c>
      <c r="Z18">
        <v>42.355285000000002</v>
      </c>
      <c r="AA18">
        <v>42.049407000000002</v>
      </c>
      <c r="AB18">
        <v>41.751044999999998</v>
      </c>
      <c r="AC18">
        <v>41.461776</v>
      </c>
      <c r="AD18">
        <v>41.185091999999997</v>
      </c>
      <c r="AE18">
        <v>40.924388</v>
      </c>
      <c r="AF18">
        <v>40.670662</v>
      </c>
      <c r="AG18" s="42">
        <v>-0.01</v>
      </c>
    </row>
    <row r="19" spans="1:33" x14ac:dyDescent="0.25">
      <c r="A19" t="s">
        <v>385</v>
      </c>
      <c r="B19" t="s">
        <v>392</v>
      </c>
      <c r="C19" t="s">
        <v>393</v>
      </c>
      <c r="D19" t="s">
        <v>391</v>
      </c>
      <c r="F19">
        <v>51.481223999999997</v>
      </c>
      <c r="G19">
        <v>52.375878999999998</v>
      </c>
      <c r="H19">
        <v>51.852933</v>
      </c>
      <c r="I19">
        <v>51.329518</v>
      </c>
      <c r="J19">
        <v>50.692573000000003</v>
      </c>
      <c r="K19">
        <v>49.818103000000001</v>
      </c>
      <c r="L19">
        <v>48.843029000000001</v>
      </c>
      <c r="M19">
        <v>47.795923000000002</v>
      </c>
      <c r="N19">
        <v>46.733288000000002</v>
      </c>
      <c r="O19">
        <v>45.776794000000002</v>
      </c>
      <c r="P19">
        <v>44.89855</v>
      </c>
      <c r="Q19">
        <v>44.175151</v>
      </c>
      <c r="R19">
        <v>43.565342000000001</v>
      </c>
      <c r="S19">
        <v>43.035888999999997</v>
      </c>
      <c r="T19">
        <v>42.526822000000003</v>
      </c>
      <c r="U19">
        <v>42.065714999999997</v>
      </c>
      <c r="V19">
        <v>41.616379000000002</v>
      </c>
      <c r="W19">
        <v>41.168081999999998</v>
      </c>
      <c r="X19">
        <v>40.738225</v>
      </c>
      <c r="Y19">
        <v>40.335149000000001</v>
      </c>
      <c r="Z19">
        <v>39.950142</v>
      </c>
      <c r="AA19">
        <v>39.572792</v>
      </c>
      <c r="AB19">
        <v>39.201892000000001</v>
      </c>
      <c r="AC19">
        <v>38.839199000000001</v>
      </c>
      <c r="AD19">
        <v>38.487698000000002</v>
      </c>
      <c r="AE19">
        <v>38.151586999999999</v>
      </c>
      <c r="AF19">
        <v>37.822181999999998</v>
      </c>
      <c r="AG19" s="42">
        <v>-1.2E-2</v>
      </c>
    </row>
    <row r="20" spans="1:33" x14ac:dyDescent="0.25">
      <c r="A20" t="s">
        <v>394</v>
      </c>
    </row>
    <row r="21" spans="1:33" x14ac:dyDescent="0.25">
      <c r="A21" t="s">
        <v>341</v>
      </c>
    </row>
    <row r="22" spans="1:33" x14ac:dyDescent="0.25">
      <c r="A22" t="s">
        <v>395</v>
      </c>
      <c r="B22" t="s">
        <v>7</v>
      </c>
      <c r="C22" t="s">
        <v>396</v>
      </c>
      <c r="D22" t="s">
        <v>397</v>
      </c>
      <c r="F22">
        <v>0.528061</v>
      </c>
      <c r="G22">
        <v>0.58256200000000002</v>
      </c>
      <c r="H22">
        <v>0.58554499999999998</v>
      </c>
      <c r="I22">
        <v>0.58918800000000005</v>
      </c>
      <c r="J22">
        <v>0.58990399999999998</v>
      </c>
      <c r="K22">
        <v>0.58641200000000004</v>
      </c>
      <c r="L22">
        <v>0.58055100000000004</v>
      </c>
      <c r="M22">
        <v>0.57359499999999997</v>
      </c>
      <c r="N22">
        <v>0.56673899999999999</v>
      </c>
      <c r="O22">
        <v>0.56072599999999995</v>
      </c>
      <c r="P22">
        <v>0.55457199999999995</v>
      </c>
      <c r="Q22">
        <v>0.55030900000000005</v>
      </c>
      <c r="R22">
        <v>0.54765699999999995</v>
      </c>
      <c r="S22">
        <v>0.54529499999999997</v>
      </c>
      <c r="T22">
        <v>0.542041</v>
      </c>
      <c r="U22">
        <v>0.53859100000000004</v>
      </c>
      <c r="V22">
        <v>0.53495199999999998</v>
      </c>
      <c r="W22">
        <v>0.53082799999999997</v>
      </c>
      <c r="X22">
        <v>0.52682799999999996</v>
      </c>
      <c r="Y22">
        <v>0.52286699999999997</v>
      </c>
      <c r="Z22">
        <v>0.51832800000000001</v>
      </c>
      <c r="AA22">
        <v>0.51352500000000001</v>
      </c>
      <c r="AB22">
        <v>0.50834800000000002</v>
      </c>
      <c r="AC22">
        <v>0.50292800000000004</v>
      </c>
      <c r="AD22">
        <v>0.49740299999999998</v>
      </c>
      <c r="AE22">
        <v>0.49220799999999998</v>
      </c>
      <c r="AF22">
        <v>0.48680000000000001</v>
      </c>
      <c r="AG22" s="42">
        <v>-3.0000000000000001E-3</v>
      </c>
    </row>
    <row r="23" spans="1:33" x14ac:dyDescent="0.25">
      <c r="A23" t="s">
        <v>398</v>
      </c>
      <c r="B23" t="s">
        <v>12</v>
      </c>
      <c r="C23" t="s">
        <v>399</v>
      </c>
      <c r="D23" t="s">
        <v>397</v>
      </c>
      <c r="F23">
        <v>0.997081</v>
      </c>
      <c r="G23">
        <v>0.95247300000000001</v>
      </c>
      <c r="H23">
        <v>0.97135400000000005</v>
      </c>
      <c r="I23">
        <v>0.98970999999999998</v>
      </c>
      <c r="J23">
        <v>1.0020089999999999</v>
      </c>
      <c r="K23">
        <v>1.0070300000000001</v>
      </c>
      <c r="L23">
        <v>1.009506</v>
      </c>
      <c r="M23">
        <v>1.0103930000000001</v>
      </c>
      <c r="N23">
        <v>1.012497</v>
      </c>
      <c r="O23">
        <v>1.0194939999999999</v>
      </c>
      <c r="P23">
        <v>1.0285329999999999</v>
      </c>
      <c r="Q23">
        <v>1.0416970000000001</v>
      </c>
      <c r="R23">
        <v>1.058786</v>
      </c>
      <c r="S23">
        <v>1.0781130000000001</v>
      </c>
      <c r="T23">
        <v>1.0965370000000001</v>
      </c>
      <c r="U23">
        <v>1.1159330000000001</v>
      </c>
      <c r="V23">
        <v>1.1355759999999999</v>
      </c>
      <c r="W23">
        <v>1.1556649999999999</v>
      </c>
      <c r="X23">
        <v>1.175584</v>
      </c>
      <c r="Y23">
        <v>1.1958679999999999</v>
      </c>
      <c r="Z23">
        <v>1.215889</v>
      </c>
      <c r="AA23">
        <v>1.2354339999999999</v>
      </c>
      <c r="AB23">
        <v>1.2545770000000001</v>
      </c>
      <c r="AC23">
        <v>1.273539</v>
      </c>
      <c r="AD23">
        <v>1.292448</v>
      </c>
      <c r="AE23">
        <v>1.3116209999999999</v>
      </c>
      <c r="AF23">
        <v>1.3306359999999999</v>
      </c>
      <c r="AG23" s="42">
        <v>1.0999999999999999E-2</v>
      </c>
    </row>
    <row r="24" spans="1:33" x14ac:dyDescent="0.25">
      <c r="A24" t="s">
        <v>400</v>
      </c>
      <c r="B24" t="s">
        <v>15</v>
      </c>
      <c r="C24" t="s">
        <v>401</v>
      </c>
      <c r="D24" t="s">
        <v>397</v>
      </c>
      <c r="F24">
        <v>0.47269299999999997</v>
      </c>
      <c r="G24">
        <v>0.45925899999999997</v>
      </c>
      <c r="H24">
        <v>0.44969900000000002</v>
      </c>
      <c r="I24">
        <v>0.440442</v>
      </c>
      <c r="J24">
        <v>0.42854399999999998</v>
      </c>
      <c r="K24">
        <v>0.40814800000000001</v>
      </c>
      <c r="L24">
        <v>0.38494600000000001</v>
      </c>
      <c r="M24">
        <v>0.36072199999999999</v>
      </c>
      <c r="N24">
        <v>0.33842</v>
      </c>
      <c r="O24">
        <v>0.31828200000000001</v>
      </c>
      <c r="P24">
        <v>0.30056100000000002</v>
      </c>
      <c r="Q24">
        <v>0.28542600000000001</v>
      </c>
      <c r="R24">
        <v>0.27280199999999999</v>
      </c>
      <c r="S24">
        <v>0.26221100000000003</v>
      </c>
      <c r="T24">
        <v>0.253048</v>
      </c>
      <c r="U24">
        <v>0.24559400000000001</v>
      </c>
      <c r="V24">
        <v>0.23989199999999999</v>
      </c>
      <c r="W24">
        <v>0.23574999999999999</v>
      </c>
      <c r="X24">
        <v>0.23331199999999999</v>
      </c>
      <c r="Y24">
        <v>0.23255999999999999</v>
      </c>
      <c r="Z24">
        <v>0.23152700000000001</v>
      </c>
      <c r="AA24">
        <v>0.230325</v>
      </c>
      <c r="AB24">
        <v>0.22897300000000001</v>
      </c>
      <c r="AC24">
        <v>0.227549</v>
      </c>
      <c r="AD24">
        <v>0.22617699999999999</v>
      </c>
      <c r="AE24">
        <v>0.224938</v>
      </c>
      <c r="AF24">
        <v>0.22382099999999999</v>
      </c>
      <c r="AG24" s="42">
        <v>-2.8000000000000001E-2</v>
      </c>
    </row>
    <row r="25" spans="1:33" x14ac:dyDescent="0.25">
      <c r="A25" t="s">
        <v>402</v>
      </c>
      <c r="B25" t="s">
        <v>18</v>
      </c>
      <c r="C25" t="s">
        <v>403</v>
      </c>
      <c r="D25" t="s">
        <v>397</v>
      </c>
      <c r="F25">
        <v>0.35147899999999999</v>
      </c>
      <c r="G25">
        <v>0.34973700000000002</v>
      </c>
      <c r="H25">
        <v>0.34897</v>
      </c>
      <c r="I25">
        <v>0.34811799999999998</v>
      </c>
      <c r="J25">
        <v>0.34716799999999998</v>
      </c>
      <c r="K25">
        <v>0.34654499999999999</v>
      </c>
      <c r="L25">
        <v>0.34371699999999999</v>
      </c>
      <c r="M25">
        <v>0.34114699999999998</v>
      </c>
      <c r="N25">
        <v>0.33881600000000001</v>
      </c>
      <c r="O25">
        <v>0.33663500000000002</v>
      </c>
      <c r="P25">
        <v>0.33458100000000002</v>
      </c>
      <c r="Q25">
        <v>0.33278200000000002</v>
      </c>
      <c r="R25">
        <v>0.33139600000000002</v>
      </c>
      <c r="S25">
        <v>0.33041399999999999</v>
      </c>
      <c r="T25">
        <v>0.32984999999999998</v>
      </c>
      <c r="U25">
        <v>0.32970100000000002</v>
      </c>
      <c r="V25">
        <v>0.32997199999999999</v>
      </c>
      <c r="W25">
        <v>0.33063999999999999</v>
      </c>
      <c r="X25">
        <v>0.331706</v>
      </c>
      <c r="Y25">
        <v>0.33316699999999999</v>
      </c>
      <c r="Z25">
        <v>0.335038</v>
      </c>
      <c r="AA25">
        <v>0.33738899999999999</v>
      </c>
      <c r="AB25">
        <v>0.34022799999999997</v>
      </c>
      <c r="AC25">
        <v>0.34354400000000002</v>
      </c>
      <c r="AD25">
        <v>0.34684700000000002</v>
      </c>
      <c r="AE25">
        <v>0.35012599999999999</v>
      </c>
      <c r="AF25">
        <v>0.35335800000000001</v>
      </c>
      <c r="AG25" s="42">
        <v>0</v>
      </c>
    </row>
    <row r="26" spans="1:33" x14ac:dyDescent="0.25">
      <c r="A26" t="s">
        <v>404</v>
      </c>
      <c r="B26" t="s">
        <v>20</v>
      </c>
      <c r="C26" t="s">
        <v>405</v>
      </c>
      <c r="D26" t="s">
        <v>397</v>
      </c>
      <c r="F26">
        <v>6.7363999999999993E-2</v>
      </c>
      <c r="G26">
        <v>6.7850999999999995E-2</v>
      </c>
      <c r="H26">
        <v>6.8570999999999993E-2</v>
      </c>
      <c r="I26">
        <v>6.9303000000000003E-2</v>
      </c>
      <c r="J26">
        <v>7.0040000000000005E-2</v>
      </c>
      <c r="K26">
        <v>7.0796999999999999E-2</v>
      </c>
      <c r="L26">
        <v>7.1554000000000006E-2</v>
      </c>
      <c r="M26">
        <v>7.2311E-2</v>
      </c>
      <c r="N26">
        <v>7.306E-2</v>
      </c>
      <c r="O26">
        <v>7.3777999999999996E-2</v>
      </c>
      <c r="P26">
        <v>7.4458999999999997E-2</v>
      </c>
      <c r="Q26">
        <v>7.5122999999999995E-2</v>
      </c>
      <c r="R26">
        <v>7.5763999999999998E-2</v>
      </c>
      <c r="S26">
        <v>7.6366000000000003E-2</v>
      </c>
      <c r="T26">
        <v>7.6925999999999994E-2</v>
      </c>
      <c r="U26">
        <v>7.7442999999999998E-2</v>
      </c>
      <c r="V26">
        <v>7.7924999999999994E-2</v>
      </c>
      <c r="W26">
        <v>7.8368999999999994E-2</v>
      </c>
      <c r="X26">
        <v>7.8784999999999994E-2</v>
      </c>
      <c r="Y26">
        <v>7.9175999999999996E-2</v>
      </c>
      <c r="Z26">
        <v>7.9552999999999999E-2</v>
      </c>
      <c r="AA26">
        <v>7.9922999999999994E-2</v>
      </c>
      <c r="AB26">
        <v>8.0283999999999994E-2</v>
      </c>
      <c r="AC26">
        <v>8.0637E-2</v>
      </c>
      <c r="AD26">
        <v>8.0981999999999998E-2</v>
      </c>
      <c r="AE26">
        <v>8.1315999999999999E-2</v>
      </c>
      <c r="AF26">
        <v>8.1638000000000002E-2</v>
      </c>
      <c r="AG26" s="42">
        <v>7.0000000000000001E-3</v>
      </c>
    </row>
    <row r="27" spans="1:33" x14ac:dyDescent="0.25">
      <c r="A27" t="s">
        <v>406</v>
      </c>
      <c r="B27" t="s">
        <v>22</v>
      </c>
      <c r="C27" t="s">
        <v>407</v>
      </c>
      <c r="D27" t="s">
        <v>397</v>
      </c>
      <c r="F27">
        <v>0.19181200000000001</v>
      </c>
      <c r="G27">
        <v>0.193075</v>
      </c>
      <c r="H27">
        <v>0.196545</v>
      </c>
      <c r="I27">
        <v>0.20085500000000001</v>
      </c>
      <c r="J27">
        <v>0.20406099999999999</v>
      </c>
      <c r="K27">
        <v>0.20566999999999999</v>
      </c>
      <c r="L27">
        <v>0.206345</v>
      </c>
      <c r="M27">
        <v>0.20625499999999999</v>
      </c>
      <c r="N27">
        <v>0.20580799999999999</v>
      </c>
      <c r="O27">
        <v>0.20528399999999999</v>
      </c>
      <c r="P27">
        <v>0.20527599999999999</v>
      </c>
      <c r="Q27">
        <v>0.206284</v>
      </c>
      <c r="R27">
        <v>0.20827799999999999</v>
      </c>
      <c r="S27">
        <v>0.210919</v>
      </c>
      <c r="T27">
        <v>0.213722</v>
      </c>
      <c r="U27">
        <v>0.21692400000000001</v>
      </c>
      <c r="V27">
        <v>0.220611</v>
      </c>
      <c r="W27">
        <v>0.22467400000000001</v>
      </c>
      <c r="X27">
        <v>0.228576</v>
      </c>
      <c r="Y27">
        <v>0.23238600000000001</v>
      </c>
      <c r="Z27">
        <v>0.23596700000000001</v>
      </c>
      <c r="AA27">
        <v>0.23933199999999999</v>
      </c>
      <c r="AB27">
        <v>0.242476</v>
      </c>
      <c r="AC27">
        <v>0.24541399999999999</v>
      </c>
      <c r="AD27">
        <v>0.24823500000000001</v>
      </c>
      <c r="AE27">
        <v>0.25097700000000001</v>
      </c>
      <c r="AF27">
        <v>0.25355899999999998</v>
      </c>
      <c r="AG27" s="42">
        <v>1.0999999999999999E-2</v>
      </c>
    </row>
    <row r="28" spans="1:33" x14ac:dyDescent="0.25">
      <c r="A28" t="s">
        <v>408</v>
      </c>
      <c r="B28" t="s">
        <v>24</v>
      </c>
      <c r="C28" t="s">
        <v>409</v>
      </c>
      <c r="D28" t="s">
        <v>397</v>
      </c>
      <c r="F28">
        <v>7.9547999999999994E-2</v>
      </c>
      <c r="G28">
        <v>7.9316999999999999E-2</v>
      </c>
      <c r="H28">
        <v>7.9323000000000005E-2</v>
      </c>
      <c r="I28">
        <v>7.9324000000000006E-2</v>
      </c>
      <c r="J28">
        <v>7.9286999999999996E-2</v>
      </c>
      <c r="K28">
        <v>7.9225000000000004E-2</v>
      </c>
      <c r="L28">
        <v>7.8759999999999997E-2</v>
      </c>
      <c r="M28">
        <v>7.8244999999999995E-2</v>
      </c>
      <c r="N28">
        <v>7.7689999999999995E-2</v>
      </c>
      <c r="O28">
        <v>7.7148999999999995E-2</v>
      </c>
      <c r="P28">
        <v>7.6617000000000005E-2</v>
      </c>
      <c r="Q28">
        <v>7.6115000000000002E-2</v>
      </c>
      <c r="R28">
        <v>7.5637999999999997E-2</v>
      </c>
      <c r="S28">
        <v>7.5175000000000006E-2</v>
      </c>
      <c r="T28">
        <v>7.4735999999999997E-2</v>
      </c>
      <c r="U28">
        <v>7.4319999999999997E-2</v>
      </c>
      <c r="V28">
        <v>7.3931999999999998E-2</v>
      </c>
      <c r="W28">
        <v>7.3580999999999994E-2</v>
      </c>
      <c r="X28">
        <v>7.3268E-2</v>
      </c>
      <c r="Y28">
        <v>7.2993000000000002E-2</v>
      </c>
      <c r="Z28">
        <v>7.2761000000000006E-2</v>
      </c>
      <c r="AA28">
        <v>7.2581999999999994E-2</v>
      </c>
      <c r="AB28">
        <v>7.2468000000000005E-2</v>
      </c>
      <c r="AC28">
        <v>7.2414999999999993E-2</v>
      </c>
      <c r="AD28">
        <v>7.2434999999999999E-2</v>
      </c>
      <c r="AE28">
        <v>7.2536000000000003E-2</v>
      </c>
      <c r="AF28">
        <v>7.2717000000000004E-2</v>
      </c>
      <c r="AG28" s="42">
        <v>-3.0000000000000001E-3</v>
      </c>
    </row>
    <row r="29" spans="1:33" x14ac:dyDescent="0.25">
      <c r="A29" t="s">
        <v>410</v>
      </c>
      <c r="B29" t="s">
        <v>26</v>
      </c>
      <c r="C29" t="s">
        <v>411</v>
      </c>
      <c r="D29" t="s">
        <v>397</v>
      </c>
      <c r="F29">
        <v>0.18737100000000001</v>
      </c>
      <c r="G29">
        <v>0.18539</v>
      </c>
      <c r="H29">
        <v>0.18696399999999999</v>
      </c>
      <c r="I29">
        <v>0.190632</v>
      </c>
      <c r="J29">
        <v>0.19372700000000001</v>
      </c>
      <c r="K29">
        <v>0.195604</v>
      </c>
      <c r="L29">
        <v>0.19516600000000001</v>
      </c>
      <c r="M29">
        <v>0.19453100000000001</v>
      </c>
      <c r="N29">
        <v>0.19431999999999999</v>
      </c>
      <c r="O29">
        <v>0.19414899999999999</v>
      </c>
      <c r="P29">
        <v>0.19440399999999999</v>
      </c>
      <c r="Q29">
        <v>0.19527800000000001</v>
      </c>
      <c r="R29">
        <v>0.196599</v>
      </c>
      <c r="S29">
        <v>0.19806699999999999</v>
      </c>
      <c r="T29">
        <v>0.199294</v>
      </c>
      <c r="U29">
        <v>0.200681</v>
      </c>
      <c r="V29">
        <v>0.198798</v>
      </c>
      <c r="W29">
        <v>0.19717199999999999</v>
      </c>
      <c r="X29">
        <v>0.195941</v>
      </c>
      <c r="Y29">
        <v>0.19514000000000001</v>
      </c>
      <c r="Z29">
        <v>0.19470599999999999</v>
      </c>
      <c r="AA29">
        <v>0.194468</v>
      </c>
      <c r="AB29">
        <v>0.19427800000000001</v>
      </c>
      <c r="AC29">
        <v>0.194106</v>
      </c>
      <c r="AD29">
        <v>0.194081</v>
      </c>
      <c r="AE29">
        <v>0.19420699999999999</v>
      </c>
      <c r="AF29">
        <v>0.19436300000000001</v>
      </c>
      <c r="AG29" s="42">
        <v>1E-3</v>
      </c>
    </row>
    <row r="30" spans="1:33" x14ac:dyDescent="0.25">
      <c r="A30" t="s">
        <v>412</v>
      </c>
      <c r="B30" t="s">
        <v>29</v>
      </c>
      <c r="C30" t="s">
        <v>413</v>
      </c>
      <c r="D30" t="s">
        <v>397</v>
      </c>
      <c r="F30">
        <v>4.1806999999999997E-2</v>
      </c>
      <c r="G30">
        <v>4.0731000000000003E-2</v>
      </c>
      <c r="H30">
        <v>3.9766000000000003E-2</v>
      </c>
      <c r="I30">
        <v>3.8787000000000002E-2</v>
      </c>
      <c r="J30">
        <v>3.7633E-2</v>
      </c>
      <c r="K30">
        <v>3.6454E-2</v>
      </c>
      <c r="L30">
        <v>3.5085999999999999E-2</v>
      </c>
      <c r="M30">
        <v>3.3659000000000001E-2</v>
      </c>
      <c r="N30">
        <v>3.2142999999999998E-2</v>
      </c>
      <c r="O30">
        <v>3.0825999999999999E-2</v>
      </c>
      <c r="P30">
        <v>2.971E-2</v>
      </c>
      <c r="Q30">
        <v>2.8801E-2</v>
      </c>
      <c r="R30">
        <v>2.8112000000000002E-2</v>
      </c>
      <c r="S30">
        <v>2.7654999999999999E-2</v>
      </c>
      <c r="T30">
        <v>2.7453000000000002E-2</v>
      </c>
      <c r="U30">
        <v>2.7522000000000001E-2</v>
      </c>
      <c r="V30">
        <v>2.759E-2</v>
      </c>
      <c r="W30">
        <v>2.7657999999999999E-2</v>
      </c>
      <c r="X30">
        <v>2.7733000000000001E-2</v>
      </c>
      <c r="Y30">
        <v>2.7814999999999999E-2</v>
      </c>
      <c r="Z30">
        <v>2.7907999999999999E-2</v>
      </c>
      <c r="AA30">
        <v>2.8015999999999999E-2</v>
      </c>
      <c r="AB30">
        <v>2.8138E-2</v>
      </c>
      <c r="AC30">
        <v>2.8273E-2</v>
      </c>
      <c r="AD30">
        <v>2.8420000000000001E-2</v>
      </c>
      <c r="AE30">
        <v>2.8576000000000001E-2</v>
      </c>
      <c r="AF30">
        <v>2.8739000000000001E-2</v>
      </c>
      <c r="AG30" s="42">
        <v>-1.4E-2</v>
      </c>
    </row>
    <row r="31" spans="1:33" x14ac:dyDescent="0.25">
      <c r="A31" t="s">
        <v>414</v>
      </c>
      <c r="B31" t="s">
        <v>31</v>
      </c>
      <c r="C31" t="s">
        <v>415</v>
      </c>
      <c r="D31" t="s">
        <v>397</v>
      </c>
      <c r="F31">
        <v>3.6366999999999997E-2</v>
      </c>
      <c r="G31">
        <v>3.7219000000000002E-2</v>
      </c>
      <c r="H31">
        <v>3.8216E-2</v>
      </c>
      <c r="I31">
        <v>3.8545999999999997E-2</v>
      </c>
      <c r="J31">
        <v>3.8751000000000001E-2</v>
      </c>
      <c r="K31">
        <v>3.8914999999999998E-2</v>
      </c>
      <c r="L31">
        <v>3.9031999999999997E-2</v>
      </c>
      <c r="M31">
        <v>3.9100999999999997E-2</v>
      </c>
      <c r="N31">
        <v>3.9118E-2</v>
      </c>
      <c r="O31">
        <v>3.9202000000000001E-2</v>
      </c>
      <c r="P31">
        <v>3.9358999999999998E-2</v>
      </c>
      <c r="Q31">
        <v>3.9600999999999997E-2</v>
      </c>
      <c r="R31">
        <v>3.9935999999999999E-2</v>
      </c>
      <c r="S31">
        <v>4.0363999999999997E-2</v>
      </c>
      <c r="T31">
        <v>4.0896000000000002E-2</v>
      </c>
      <c r="U31">
        <v>4.1537999999999999E-2</v>
      </c>
      <c r="V31">
        <v>4.2178E-2</v>
      </c>
      <c r="W31">
        <v>4.2812000000000003E-2</v>
      </c>
      <c r="X31">
        <v>4.3444000000000003E-2</v>
      </c>
      <c r="Y31">
        <v>4.4074000000000002E-2</v>
      </c>
      <c r="Z31">
        <v>4.4707999999999998E-2</v>
      </c>
      <c r="AA31">
        <v>4.5349E-2</v>
      </c>
      <c r="AB31">
        <v>4.5997999999999997E-2</v>
      </c>
      <c r="AC31">
        <v>4.6655000000000002E-2</v>
      </c>
      <c r="AD31">
        <v>4.7317999999999999E-2</v>
      </c>
      <c r="AE31">
        <v>4.7988000000000003E-2</v>
      </c>
      <c r="AF31">
        <v>4.8662999999999998E-2</v>
      </c>
      <c r="AG31" s="42">
        <v>1.0999999999999999E-2</v>
      </c>
    </row>
    <row r="32" spans="1:33" x14ac:dyDescent="0.25">
      <c r="A32" t="s">
        <v>416</v>
      </c>
      <c r="B32" t="s">
        <v>33</v>
      </c>
      <c r="C32" t="s">
        <v>417</v>
      </c>
      <c r="D32" t="s">
        <v>397</v>
      </c>
      <c r="F32">
        <v>0.12937399999999999</v>
      </c>
      <c r="G32">
        <v>0.12654399999999999</v>
      </c>
      <c r="H32">
        <v>0.12521499999999999</v>
      </c>
      <c r="I32">
        <v>0.124316</v>
      </c>
      <c r="J32">
        <v>0.122902</v>
      </c>
      <c r="K32">
        <v>0.120777</v>
      </c>
      <c r="L32">
        <v>0.11837499999999999</v>
      </c>
      <c r="M32">
        <v>0.115926</v>
      </c>
      <c r="N32">
        <v>0.113659</v>
      </c>
      <c r="O32">
        <v>0.11144</v>
      </c>
      <c r="P32">
        <v>0.1095</v>
      </c>
      <c r="Q32">
        <v>0.10799</v>
      </c>
      <c r="R32">
        <v>0.106861</v>
      </c>
      <c r="S32">
        <v>0.10595400000000001</v>
      </c>
      <c r="T32">
        <v>0.10506600000000001</v>
      </c>
      <c r="U32">
        <v>0.104306</v>
      </c>
      <c r="V32">
        <v>0.10369100000000001</v>
      </c>
      <c r="W32">
        <v>0.103142</v>
      </c>
      <c r="X32">
        <v>0.102677</v>
      </c>
      <c r="Y32">
        <v>0.10234500000000001</v>
      </c>
      <c r="Z32">
        <v>0.102119</v>
      </c>
      <c r="AA32">
        <v>0.102036</v>
      </c>
      <c r="AB32">
        <v>0.10208200000000001</v>
      </c>
      <c r="AC32">
        <v>0.102176</v>
      </c>
      <c r="AD32">
        <v>0.10236000000000001</v>
      </c>
      <c r="AE32">
        <v>0.102613</v>
      </c>
      <c r="AF32">
        <v>0.102926</v>
      </c>
      <c r="AG32" s="42">
        <v>-8.9999999999999993E-3</v>
      </c>
    </row>
    <row r="33" spans="1:33" x14ac:dyDescent="0.25">
      <c r="A33" t="s">
        <v>418</v>
      </c>
      <c r="B33" t="s">
        <v>36</v>
      </c>
      <c r="C33" t="s">
        <v>419</v>
      </c>
      <c r="D33" t="s">
        <v>397</v>
      </c>
      <c r="F33">
        <v>0.100147</v>
      </c>
      <c r="G33">
        <v>9.8311999999999997E-2</v>
      </c>
      <c r="H33">
        <v>9.7711999999999993E-2</v>
      </c>
      <c r="I33">
        <v>9.7344E-2</v>
      </c>
      <c r="J33">
        <v>9.6392000000000005E-2</v>
      </c>
      <c r="K33">
        <v>9.4705999999999999E-2</v>
      </c>
      <c r="L33">
        <v>9.2652999999999999E-2</v>
      </c>
      <c r="M33">
        <v>9.0438000000000004E-2</v>
      </c>
      <c r="N33">
        <v>8.8259000000000004E-2</v>
      </c>
      <c r="O33">
        <v>8.6025000000000004E-2</v>
      </c>
      <c r="P33">
        <v>8.3927000000000002E-2</v>
      </c>
      <c r="Q33">
        <v>8.2076999999999997E-2</v>
      </c>
      <c r="R33">
        <v>8.0450999999999995E-2</v>
      </c>
      <c r="S33">
        <v>7.8944E-2</v>
      </c>
      <c r="T33">
        <v>7.7403E-2</v>
      </c>
      <c r="U33">
        <v>7.5929999999999997E-2</v>
      </c>
      <c r="V33">
        <v>7.4545E-2</v>
      </c>
      <c r="W33">
        <v>7.3195999999999997E-2</v>
      </c>
      <c r="X33">
        <v>7.1926000000000004E-2</v>
      </c>
      <c r="Y33">
        <v>7.0762000000000005E-2</v>
      </c>
      <c r="Z33">
        <v>6.9711999999999996E-2</v>
      </c>
      <c r="AA33">
        <v>6.8805000000000005E-2</v>
      </c>
      <c r="AB33">
        <v>6.8054000000000003E-2</v>
      </c>
      <c r="AC33">
        <v>6.7420999999999995E-2</v>
      </c>
      <c r="AD33">
        <v>6.6941000000000001E-2</v>
      </c>
      <c r="AE33">
        <v>6.6635E-2</v>
      </c>
      <c r="AF33">
        <v>6.6464999999999996E-2</v>
      </c>
      <c r="AG33" s="42">
        <v>-1.6E-2</v>
      </c>
    </row>
    <row r="34" spans="1:33" x14ac:dyDescent="0.25">
      <c r="A34" t="s">
        <v>420</v>
      </c>
      <c r="B34" t="s">
        <v>38</v>
      </c>
      <c r="C34" t="s">
        <v>421</v>
      </c>
      <c r="D34" t="s">
        <v>397</v>
      </c>
      <c r="F34">
        <v>0.137569</v>
      </c>
      <c r="G34">
        <v>0.158502</v>
      </c>
      <c r="H34">
        <v>0.16062100000000001</v>
      </c>
      <c r="I34">
        <v>0.16225000000000001</v>
      </c>
      <c r="J34">
        <v>0.16347</v>
      </c>
      <c r="K34">
        <v>0.164468</v>
      </c>
      <c r="L34">
        <v>0.165238</v>
      </c>
      <c r="M34">
        <v>0.16567499999999999</v>
      </c>
      <c r="N34">
        <v>0.16580900000000001</v>
      </c>
      <c r="O34">
        <v>0.165878</v>
      </c>
      <c r="P34">
        <v>0.165686</v>
      </c>
      <c r="Q34">
        <v>0.16552700000000001</v>
      </c>
      <c r="R34">
        <v>0.16533999999999999</v>
      </c>
      <c r="S34">
        <v>0.164941</v>
      </c>
      <c r="T34">
        <v>0.16417499999999999</v>
      </c>
      <c r="U34">
        <v>0.16303300000000001</v>
      </c>
      <c r="V34">
        <v>0.16142300000000001</v>
      </c>
      <c r="W34">
        <v>0.159333</v>
      </c>
      <c r="X34">
        <v>0.156941</v>
      </c>
      <c r="Y34">
        <v>0.15426799999999999</v>
      </c>
      <c r="Z34">
        <v>0.15151400000000001</v>
      </c>
      <c r="AA34">
        <v>0.14884</v>
      </c>
      <c r="AB34">
        <v>0.146261</v>
      </c>
      <c r="AC34">
        <v>0.143757</v>
      </c>
      <c r="AD34">
        <v>0.14143700000000001</v>
      </c>
      <c r="AE34">
        <v>0.13933499999999999</v>
      </c>
      <c r="AF34">
        <v>0.137382</v>
      </c>
      <c r="AG34" s="42">
        <v>0</v>
      </c>
    </row>
    <row r="35" spans="1:33" x14ac:dyDescent="0.25">
      <c r="A35" t="s">
        <v>422</v>
      </c>
      <c r="B35" t="s">
        <v>40</v>
      </c>
      <c r="C35" t="s">
        <v>423</v>
      </c>
      <c r="D35" t="s">
        <v>397</v>
      </c>
      <c r="F35">
        <v>1.9528239999999999</v>
      </c>
      <c r="G35">
        <v>1.884647</v>
      </c>
      <c r="H35">
        <v>1.932471</v>
      </c>
      <c r="I35">
        <v>1.982553</v>
      </c>
      <c r="J35">
        <v>2.0260020000000001</v>
      </c>
      <c r="K35">
        <v>2.060349</v>
      </c>
      <c r="L35">
        <v>2.0898330000000001</v>
      </c>
      <c r="M35">
        <v>2.1161310000000002</v>
      </c>
      <c r="N35">
        <v>2.143497</v>
      </c>
      <c r="O35">
        <v>2.169753</v>
      </c>
      <c r="P35">
        <v>2.1987999999999999</v>
      </c>
      <c r="Q35">
        <v>2.2309679999999998</v>
      </c>
      <c r="R35">
        <v>2.2675719999999999</v>
      </c>
      <c r="S35">
        <v>2.3066080000000002</v>
      </c>
      <c r="T35">
        <v>2.3441360000000002</v>
      </c>
      <c r="U35">
        <v>2.3830230000000001</v>
      </c>
      <c r="V35">
        <v>2.4229310000000002</v>
      </c>
      <c r="W35">
        <v>2.4609220000000001</v>
      </c>
      <c r="X35">
        <v>2.4994070000000002</v>
      </c>
      <c r="Y35">
        <v>2.538354</v>
      </c>
      <c r="Z35">
        <v>2.577242</v>
      </c>
      <c r="AA35">
        <v>2.6159680000000001</v>
      </c>
      <c r="AB35">
        <v>2.6549830000000001</v>
      </c>
      <c r="AC35">
        <v>2.693921</v>
      </c>
      <c r="AD35">
        <v>2.7329750000000002</v>
      </c>
      <c r="AE35">
        <v>2.7728069999999998</v>
      </c>
      <c r="AF35">
        <v>2.812916</v>
      </c>
      <c r="AG35" s="42">
        <v>1.4E-2</v>
      </c>
    </row>
    <row r="36" spans="1:33" x14ac:dyDescent="0.25">
      <c r="A36" t="s">
        <v>424</v>
      </c>
      <c r="B36" t="s">
        <v>42</v>
      </c>
      <c r="C36" t="s">
        <v>425</v>
      </c>
      <c r="D36" t="s">
        <v>397</v>
      </c>
      <c r="F36">
        <v>5.273498</v>
      </c>
      <c r="G36">
        <v>5.2156180000000001</v>
      </c>
      <c r="H36">
        <v>5.2809720000000002</v>
      </c>
      <c r="I36">
        <v>5.3513669999999998</v>
      </c>
      <c r="J36">
        <v>5.3998900000000001</v>
      </c>
      <c r="K36">
        <v>5.4151009999999999</v>
      </c>
      <c r="L36">
        <v>5.4107599999999998</v>
      </c>
      <c r="M36">
        <v>5.3981300000000001</v>
      </c>
      <c r="N36">
        <v>5.3898359999999998</v>
      </c>
      <c r="O36">
        <v>5.3886209999999997</v>
      </c>
      <c r="P36">
        <v>5.3959859999999997</v>
      </c>
      <c r="Q36">
        <v>5.4179789999999999</v>
      </c>
      <c r="R36">
        <v>5.4551920000000003</v>
      </c>
      <c r="S36">
        <v>5.5010260000000004</v>
      </c>
      <c r="T36">
        <v>5.5452810000000001</v>
      </c>
      <c r="U36">
        <v>5.5945390000000002</v>
      </c>
      <c r="V36">
        <v>5.6440149999999996</v>
      </c>
      <c r="W36">
        <v>5.6937410000000002</v>
      </c>
      <c r="X36">
        <v>5.7461279999999997</v>
      </c>
      <c r="Y36">
        <v>5.8017750000000001</v>
      </c>
      <c r="Z36">
        <v>5.8569699999999996</v>
      </c>
      <c r="AA36">
        <v>5.9119910000000004</v>
      </c>
      <c r="AB36">
        <v>5.9671469999999998</v>
      </c>
      <c r="AC36">
        <v>6.022335</v>
      </c>
      <c r="AD36">
        <v>6.0780580000000004</v>
      </c>
      <c r="AE36">
        <v>6.1358829999999998</v>
      </c>
      <c r="AF36">
        <v>6.1939830000000002</v>
      </c>
      <c r="AG36" s="42">
        <v>6.0000000000000001E-3</v>
      </c>
    </row>
    <row r="37" spans="1:33" x14ac:dyDescent="0.25">
      <c r="A37" t="s">
        <v>426</v>
      </c>
      <c r="B37" t="s">
        <v>45</v>
      </c>
      <c r="C37" t="s">
        <v>427</v>
      </c>
      <c r="D37" t="s">
        <v>397</v>
      </c>
      <c r="F37">
        <v>4.4337000000000001E-2</v>
      </c>
      <c r="G37">
        <v>6.6201999999999997E-2</v>
      </c>
      <c r="H37">
        <v>9.8492999999999997E-2</v>
      </c>
      <c r="I37">
        <v>0.14113400000000001</v>
      </c>
      <c r="J37">
        <v>0.19359399999999999</v>
      </c>
      <c r="K37">
        <v>0.25625700000000001</v>
      </c>
      <c r="L37">
        <v>0.33226899999999998</v>
      </c>
      <c r="M37">
        <v>0.40964400000000001</v>
      </c>
      <c r="N37">
        <v>0.49610599999999999</v>
      </c>
      <c r="O37">
        <v>0.58273399999999997</v>
      </c>
      <c r="P37">
        <v>0.67127199999999998</v>
      </c>
      <c r="Q37">
        <v>0.75774600000000003</v>
      </c>
      <c r="R37">
        <v>0.84255199999999997</v>
      </c>
      <c r="S37">
        <v>0.92561800000000005</v>
      </c>
      <c r="T37">
        <v>1.0052989999999999</v>
      </c>
      <c r="U37">
        <v>1.0807180000000001</v>
      </c>
      <c r="V37">
        <v>1.151586</v>
      </c>
      <c r="W37">
        <v>1.2174419999999999</v>
      </c>
      <c r="X37">
        <v>1.277585</v>
      </c>
      <c r="Y37">
        <v>1.331949</v>
      </c>
      <c r="Z37">
        <v>1.380314</v>
      </c>
      <c r="AA37">
        <v>1.4238759999999999</v>
      </c>
      <c r="AB37">
        <v>1.4637</v>
      </c>
      <c r="AC37">
        <v>1.499768</v>
      </c>
      <c r="AD37">
        <v>1.5314890000000001</v>
      </c>
      <c r="AE37">
        <v>1.559817</v>
      </c>
      <c r="AF37">
        <v>1.58514</v>
      </c>
      <c r="AG37" s="42">
        <v>0.14699999999999999</v>
      </c>
    </row>
    <row r="38" spans="1:33" x14ac:dyDescent="0.25">
      <c r="A38" t="s">
        <v>428</v>
      </c>
      <c r="B38" t="s">
        <v>48</v>
      </c>
      <c r="C38" t="s">
        <v>429</v>
      </c>
      <c r="D38" t="s">
        <v>397</v>
      </c>
      <c r="F38">
        <v>0.175875</v>
      </c>
      <c r="G38">
        <v>0.199964</v>
      </c>
      <c r="H38">
        <v>0.22440399999999999</v>
      </c>
      <c r="I38">
        <v>0.24728700000000001</v>
      </c>
      <c r="J38">
        <v>0.27066400000000002</v>
      </c>
      <c r="K38">
        <v>0.29440899999999998</v>
      </c>
      <c r="L38">
        <v>0.31969599999999998</v>
      </c>
      <c r="M38">
        <v>0.34664099999999998</v>
      </c>
      <c r="N38">
        <v>0.37347900000000001</v>
      </c>
      <c r="O38">
        <v>0.400223</v>
      </c>
      <c r="P38">
        <v>0.42644399999999999</v>
      </c>
      <c r="Q38">
        <v>0.44691599999999998</v>
      </c>
      <c r="R38">
        <v>0.467945</v>
      </c>
      <c r="S38">
        <v>0.48925999999999997</v>
      </c>
      <c r="T38">
        <v>0.51142299999999996</v>
      </c>
      <c r="U38">
        <v>0.53387399999999996</v>
      </c>
      <c r="V38">
        <v>0.556782</v>
      </c>
      <c r="W38">
        <v>0.58001000000000003</v>
      </c>
      <c r="X38">
        <v>0.60384800000000005</v>
      </c>
      <c r="Y38">
        <v>0.62805299999999997</v>
      </c>
      <c r="Z38">
        <v>0.65273000000000003</v>
      </c>
      <c r="AA38">
        <v>0.67815700000000001</v>
      </c>
      <c r="AB38">
        <v>0.70421100000000003</v>
      </c>
      <c r="AC38">
        <v>0.73085999999999995</v>
      </c>
      <c r="AD38">
        <v>0.75824999999999998</v>
      </c>
      <c r="AE38">
        <v>0.78616600000000003</v>
      </c>
      <c r="AF38">
        <v>0.81450900000000004</v>
      </c>
      <c r="AG38" s="42">
        <v>6.0999999999999999E-2</v>
      </c>
    </row>
    <row r="39" spans="1:33" x14ac:dyDescent="0.25">
      <c r="A39" t="s">
        <v>430</v>
      </c>
      <c r="B39" t="s">
        <v>50</v>
      </c>
      <c r="C39" t="s">
        <v>431</v>
      </c>
      <c r="D39" t="s">
        <v>397</v>
      </c>
      <c r="F39">
        <v>5.1419589999999999</v>
      </c>
      <c r="G39">
        <v>5.0818560000000002</v>
      </c>
      <c r="H39">
        <v>5.1550609999999999</v>
      </c>
      <c r="I39">
        <v>5.2452139999999998</v>
      </c>
      <c r="J39">
        <v>5.322819</v>
      </c>
      <c r="K39">
        <v>5.3769489999999998</v>
      </c>
      <c r="L39">
        <v>5.4233330000000004</v>
      </c>
      <c r="M39">
        <v>5.4611330000000002</v>
      </c>
      <c r="N39">
        <v>5.5124630000000003</v>
      </c>
      <c r="O39">
        <v>5.5711320000000004</v>
      </c>
      <c r="P39">
        <v>5.6408139999999998</v>
      </c>
      <c r="Q39">
        <v>5.7288100000000002</v>
      </c>
      <c r="R39">
        <v>5.8297990000000004</v>
      </c>
      <c r="S39">
        <v>5.9373849999999999</v>
      </c>
      <c r="T39">
        <v>6.0391579999999996</v>
      </c>
      <c r="U39">
        <v>6.1413840000000004</v>
      </c>
      <c r="V39">
        <v>6.2388180000000002</v>
      </c>
      <c r="W39">
        <v>6.3311729999999997</v>
      </c>
      <c r="X39">
        <v>6.4198649999999997</v>
      </c>
      <c r="Y39">
        <v>6.5056719999999997</v>
      </c>
      <c r="Z39">
        <v>6.5845539999999998</v>
      </c>
      <c r="AA39">
        <v>6.6577099999999998</v>
      </c>
      <c r="AB39">
        <v>6.7266360000000001</v>
      </c>
      <c r="AC39">
        <v>6.7912429999999997</v>
      </c>
      <c r="AD39">
        <v>6.8512969999999997</v>
      </c>
      <c r="AE39">
        <v>6.9095329999999997</v>
      </c>
      <c r="AF39">
        <v>6.9646140000000001</v>
      </c>
      <c r="AG39" s="42">
        <v>1.2E-2</v>
      </c>
    </row>
    <row r="40" spans="1:33" x14ac:dyDescent="0.25">
      <c r="A40" t="s">
        <v>432</v>
      </c>
    </row>
    <row r="41" spans="1:33" x14ac:dyDescent="0.25">
      <c r="A41" t="s">
        <v>395</v>
      </c>
      <c r="B41" t="s">
        <v>52</v>
      </c>
      <c r="C41" t="s">
        <v>433</v>
      </c>
      <c r="D41" t="s">
        <v>397</v>
      </c>
      <c r="F41">
        <v>2.7779120000000002</v>
      </c>
      <c r="G41">
        <v>3.1266400000000001</v>
      </c>
      <c r="H41">
        <v>3.1416040000000001</v>
      </c>
      <c r="I41">
        <v>3.1467909999999999</v>
      </c>
      <c r="J41">
        <v>3.143392</v>
      </c>
      <c r="K41">
        <v>3.126671</v>
      </c>
      <c r="L41">
        <v>3.103113</v>
      </c>
      <c r="M41">
        <v>3.0698919999999998</v>
      </c>
      <c r="N41">
        <v>3.0261269999999998</v>
      </c>
      <c r="O41">
        <v>2.9876309999999999</v>
      </c>
      <c r="P41">
        <v>2.9467919999999999</v>
      </c>
      <c r="Q41">
        <v>2.9121990000000002</v>
      </c>
      <c r="R41">
        <v>2.8835510000000002</v>
      </c>
      <c r="S41">
        <v>2.858295</v>
      </c>
      <c r="T41">
        <v>2.8342960000000001</v>
      </c>
      <c r="U41">
        <v>2.8115399999999999</v>
      </c>
      <c r="V41">
        <v>2.787776</v>
      </c>
      <c r="W41">
        <v>2.761015</v>
      </c>
      <c r="X41">
        <v>2.733698</v>
      </c>
      <c r="Y41">
        <v>2.7065130000000002</v>
      </c>
      <c r="Z41">
        <v>2.6808649999999998</v>
      </c>
      <c r="AA41">
        <v>2.6572309999999999</v>
      </c>
      <c r="AB41">
        <v>2.634207</v>
      </c>
      <c r="AC41">
        <v>2.6119029999999999</v>
      </c>
      <c r="AD41">
        <v>2.5905279999999999</v>
      </c>
      <c r="AE41">
        <v>2.5696650000000001</v>
      </c>
      <c r="AF41">
        <v>2.548368</v>
      </c>
      <c r="AG41" s="42">
        <v>-3.0000000000000001E-3</v>
      </c>
    </row>
    <row r="42" spans="1:33" x14ac:dyDescent="0.25">
      <c r="A42" t="s">
        <v>398</v>
      </c>
      <c r="B42" t="s">
        <v>55</v>
      </c>
      <c r="C42" t="s">
        <v>434</v>
      </c>
      <c r="D42" t="s">
        <v>397</v>
      </c>
      <c r="F42">
        <v>6.3499E-2</v>
      </c>
      <c r="G42">
        <v>6.1038000000000002E-2</v>
      </c>
      <c r="H42">
        <v>6.1463999999999998E-2</v>
      </c>
      <c r="I42">
        <v>6.1531000000000002E-2</v>
      </c>
      <c r="J42">
        <v>6.1383E-2</v>
      </c>
      <c r="K42">
        <v>6.1147E-2</v>
      </c>
      <c r="L42">
        <v>6.0918E-2</v>
      </c>
      <c r="M42">
        <v>6.0664999999999997E-2</v>
      </c>
      <c r="N42">
        <v>6.0394999999999997E-2</v>
      </c>
      <c r="O42">
        <v>6.0146999999999999E-2</v>
      </c>
      <c r="P42">
        <v>5.9927000000000001E-2</v>
      </c>
      <c r="Q42">
        <v>5.9806999999999999E-2</v>
      </c>
      <c r="R42">
        <v>5.9798999999999998E-2</v>
      </c>
      <c r="S42">
        <v>5.9867999999999998E-2</v>
      </c>
      <c r="T42">
        <v>5.9964999999999997E-2</v>
      </c>
      <c r="U42">
        <v>6.0137000000000003E-2</v>
      </c>
      <c r="V42">
        <v>6.0331000000000003E-2</v>
      </c>
      <c r="W42">
        <v>6.0539000000000003E-2</v>
      </c>
      <c r="X42">
        <v>6.0750999999999999E-2</v>
      </c>
      <c r="Y42">
        <v>6.0975000000000001E-2</v>
      </c>
      <c r="Z42">
        <v>6.1196E-2</v>
      </c>
      <c r="AA42">
        <v>6.1400999999999997E-2</v>
      </c>
      <c r="AB42">
        <v>6.1601999999999997E-2</v>
      </c>
      <c r="AC42">
        <v>6.1793000000000001E-2</v>
      </c>
      <c r="AD42">
        <v>6.1996999999999997E-2</v>
      </c>
      <c r="AE42">
        <v>6.2198999999999997E-2</v>
      </c>
      <c r="AF42">
        <v>6.2392000000000003E-2</v>
      </c>
      <c r="AG42" s="42">
        <v>-1E-3</v>
      </c>
    </row>
    <row r="43" spans="1:33" x14ac:dyDescent="0.25">
      <c r="A43" t="s">
        <v>400</v>
      </c>
      <c r="B43" t="s">
        <v>57</v>
      </c>
      <c r="C43" t="s">
        <v>435</v>
      </c>
      <c r="D43" t="s">
        <v>397</v>
      </c>
      <c r="F43">
        <v>1.035874</v>
      </c>
      <c r="G43">
        <v>1.0464979999999999</v>
      </c>
      <c r="H43">
        <v>1.058767</v>
      </c>
      <c r="I43">
        <v>1.0693509999999999</v>
      </c>
      <c r="J43">
        <v>1.0798179999999999</v>
      </c>
      <c r="K43">
        <v>1.080751</v>
      </c>
      <c r="L43">
        <v>1.081037</v>
      </c>
      <c r="M43">
        <v>1.0804959999999999</v>
      </c>
      <c r="N43">
        <v>1.0781130000000001</v>
      </c>
      <c r="O43">
        <v>1.077774</v>
      </c>
      <c r="P43">
        <v>1.0797000000000001</v>
      </c>
      <c r="Q43">
        <v>1.084282</v>
      </c>
      <c r="R43">
        <v>1.0888530000000001</v>
      </c>
      <c r="S43">
        <v>1.0934919999999999</v>
      </c>
      <c r="T43">
        <v>1.09762</v>
      </c>
      <c r="U43">
        <v>1.1012189999999999</v>
      </c>
      <c r="V43">
        <v>1.10365</v>
      </c>
      <c r="W43">
        <v>1.1040369999999999</v>
      </c>
      <c r="X43">
        <v>1.102943</v>
      </c>
      <c r="Y43">
        <v>1.1006469999999999</v>
      </c>
      <c r="Z43">
        <v>1.097807</v>
      </c>
      <c r="AA43">
        <v>1.0944370000000001</v>
      </c>
      <c r="AB43">
        <v>1.09026</v>
      </c>
      <c r="AC43">
        <v>1.0859510000000001</v>
      </c>
      <c r="AD43">
        <v>1.081866</v>
      </c>
      <c r="AE43">
        <v>1.077826</v>
      </c>
      <c r="AF43">
        <v>1.0741050000000001</v>
      </c>
      <c r="AG43" s="42">
        <v>1E-3</v>
      </c>
    </row>
    <row r="44" spans="1:33" x14ac:dyDescent="0.25">
      <c r="A44" t="s">
        <v>404</v>
      </c>
      <c r="B44" t="s">
        <v>59</v>
      </c>
      <c r="C44" t="s">
        <v>436</v>
      </c>
      <c r="D44" t="s">
        <v>397</v>
      </c>
      <c r="F44">
        <v>7.7838000000000004E-2</v>
      </c>
      <c r="G44">
        <v>7.7798999999999993E-2</v>
      </c>
      <c r="H44">
        <v>7.7991000000000005E-2</v>
      </c>
      <c r="I44">
        <v>7.8186000000000005E-2</v>
      </c>
      <c r="J44">
        <v>7.8378000000000003E-2</v>
      </c>
      <c r="K44">
        <v>7.8578999999999996E-2</v>
      </c>
      <c r="L44">
        <v>7.8781000000000004E-2</v>
      </c>
      <c r="M44">
        <v>7.8972000000000001E-2</v>
      </c>
      <c r="N44">
        <v>7.9144999999999993E-2</v>
      </c>
      <c r="O44">
        <v>7.9309000000000004E-2</v>
      </c>
      <c r="P44">
        <v>7.9495999999999997E-2</v>
      </c>
      <c r="Q44">
        <v>7.9723000000000002E-2</v>
      </c>
      <c r="R44">
        <v>7.9999000000000001E-2</v>
      </c>
      <c r="S44">
        <v>8.0325999999999995E-2</v>
      </c>
      <c r="T44">
        <v>8.0726000000000006E-2</v>
      </c>
      <c r="U44">
        <v>8.1166000000000002E-2</v>
      </c>
      <c r="V44">
        <v>8.1647999999999998E-2</v>
      </c>
      <c r="W44">
        <v>8.2161999999999999E-2</v>
      </c>
      <c r="X44">
        <v>8.2699999999999996E-2</v>
      </c>
      <c r="Y44">
        <v>8.3236000000000004E-2</v>
      </c>
      <c r="Z44">
        <v>8.3776000000000003E-2</v>
      </c>
      <c r="AA44">
        <v>8.4326999999999999E-2</v>
      </c>
      <c r="AB44">
        <v>8.4889999999999993E-2</v>
      </c>
      <c r="AC44">
        <v>8.5467000000000001E-2</v>
      </c>
      <c r="AD44">
        <v>8.6058999999999997E-2</v>
      </c>
      <c r="AE44">
        <v>8.6669999999999997E-2</v>
      </c>
      <c r="AF44">
        <v>8.7302000000000005E-2</v>
      </c>
      <c r="AG44" s="42">
        <v>4.0000000000000001E-3</v>
      </c>
    </row>
    <row r="45" spans="1:33" x14ac:dyDescent="0.25">
      <c r="A45" t="s">
        <v>406</v>
      </c>
      <c r="B45" t="s">
        <v>61</v>
      </c>
      <c r="C45" t="s">
        <v>437</v>
      </c>
      <c r="D45" t="s">
        <v>397</v>
      </c>
      <c r="F45">
        <v>3.9583E-2</v>
      </c>
      <c r="G45">
        <v>4.0486000000000001E-2</v>
      </c>
      <c r="H45">
        <v>4.1404999999999997E-2</v>
      </c>
      <c r="I45">
        <v>4.2257000000000003E-2</v>
      </c>
      <c r="J45">
        <v>4.3110000000000002E-2</v>
      </c>
      <c r="K45">
        <v>4.3956000000000002E-2</v>
      </c>
      <c r="L45">
        <v>4.4796999999999997E-2</v>
      </c>
      <c r="M45">
        <v>4.5565000000000001E-2</v>
      </c>
      <c r="N45">
        <v>4.6228999999999999E-2</v>
      </c>
      <c r="O45">
        <v>4.6833E-2</v>
      </c>
      <c r="P45">
        <v>4.7463999999999999E-2</v>
      </c>
      <c r="Q45">
        <v>4.8156999999999998E-2</v>
      </c>
      <c r="R45">
        <v>4.8919999999999998E-2</v>
      </c>
      <c r="S45">
        <v>4.9718999999999999E-2</v>
      </c>
      <c r="T45">
        <v>5.0528000000000003E-2</v>
      </c>
      <c r="U45">
        <v>5.1341999999999999E-2</v>
      </c>
      <c r="V45">
        <v>5.2121000000000001E-2</v>
      </c>
      <c r="W45">
        <v>5.2833999999999999E-2</v>
      </c>
      <c r="X45">
        <v>5.3545000000000002E-2</v>
      </c>
      <c r="Y45">
        <v>5.4265000000000001E-2</v>
      </c>
      <c r="Z45">
        <v>5.5017000000000003E-2</v>
      </c>
      <c r="AA45">
        <v>5.5794000000000003E-2</v>
      </c>
      <c r="AB45">
        <v>5.6573999999999999E-2</v>
      </c>
      <c r="AC45">
        <v>5.7376999999999997E-2</v>
      </c>
      <c r="AD45">
        <v>5.8208000000000003E-2</v>
      </c>
      <c r="AE45">
        <v>5.9040000000000002E-2</v>
      </c>
      <c r="AF45">
        <v>5.9868999999999999E-2</v>
      </c>
      <c r="AG45" s="42">
        <v>1.6E-2</v>
      </c>
    </row>
    <row r="46" spans="1:33" x14ac:dyDescent="0.25">
      <c r="A46" t="s">
        <v>422</v>
      </c>
      <c r="B46" t="s">
        <v>63</v>
      </c>
      <c r="C46" t="s">
        <v>438</v>
      </c>
      <c r="D46" t="s">
        <v>397</v>
      </c>
      <c r="F46">
        <v>0.608734</v>
      </c>
      <c r="G46">
        <v>0.61374700000000004</v>
      </c>
      <c r="H46">
        <v>0.61829100000000004</v>
      </c>
      <c r="I46">
        <v>0.62139999999999995</v>
      </c>
      <c r="J46">
        <v>0.62352600000000002</v>
      </c>
      <c r="K46">
        <v>0.625004</v>
      </c>
      <c r="L46">
        <v>0.62587300000000001</v>
      </c>
      <c r="M46">
        <v>0.62536099999999994</v>
      </c>
      <c r="N46">
        <v>0.62306399999999995</v>
      </c>
      <c r="O46">
        <v>0.62010399999999999</v>
      </c>
      <c r="P46">
        <v>0.61758599999999997</v>
      </c>
      <c r="Q46">
        <v>0.61591799999999997</v>
      </c>
      <c r="R46">
        <v>0.61514500000000005</v>
      </c>
      <c r="S46">
        <v>0.61492000000000002</v>
      </c>
      <c r="T46">
        <v>0.61489300000000002</v>
      </c>
      <c r="U46">
        <v>0.61509499999999995</v>
      </c>
      <c r="V46">
        <v>0.61511800000000005</v>
      </c>
      <c r="W46">
        <v>0.61462099999999997</v>
      </c>
      <c r="X46">
        <v>0.61387800000000003</v>
      </c>
      <c r="Y46">
        <v>0.61306300000000002</v>
      </c>
      <c r="Z46">
        <v>0.61244100000000001</v>
      </c>
      <c r="AA46">
        <v>0.61188200000000004</v>
      </c>
      <c r="AB46">
        <v>0.61119699999999999</v>
      </c>
      <c r="AC46">
        <v>0.61064799999999997</v>
      </c>
      <c r="AD46">
        <v>0.61027100000000001</v>
      </c>
      <c r="AE46">
        <v>0.60981300000000005</v>
      </c>
      <c r="AF46">
        <v>0.60926899999999995</v>
      </c>
      <c r="AG46" s="42">
        <v>0</v>
      </c>
    </row>
    <row r="47" spans="1:33" x14ac:dyDescent="0.25">
      <c r="A47" t="s">
        <v>439</v>
      </c>
      <c r="B47" t="s">
        <v>65</v>
      </c>
      <c r="C47" t="s">
        <v>440</v>
      </c>
      <c r="D47" t="s">
        <v>397</v>
      </c>
      <c r="F47">
        <v>4.60344</v>
      </c>
      <c r="G47">
        <v>4.966208</v>
      </c>
      <c r="H47">
        <v>4.9995219999999998</v>
      </c>
      <c r="I47">
        <v>5.0195169999999996</v>
      </c>
      <c r="J47">
        <v>5.0296079999999996</v>
      </c>
      <c r="K47">
        <v>5.016108</v>
      </c>
      <c r="L47">
        <v>4.9945209999999998</v>
      </c>
      <c r="M47">
        <v>4.9609519999999998</v>
      </c>
      <c r="N47">
        <v>4.9130729999999998</v>
      </c>
      <c r="O47">
        <v>4.8717969999999999</v>
      </c>
      <c r="P47">
        <v>4.830965</v>
      </c>
      <c r="Q47">
        <v>4.8000860000000003</v>
      </c>
      <c r="R47">
        <v>4.7762690000000001</v>
      </c>
      <c r="S47">
        <v>4.7566199999999998</v>
      </c>
      <c r="T47">
        <v>4.738029</v>
      </c>
      <c r="U47">
        <v>4.7204990000000002</v>
      </c>
      <c r="V47">
        <v>4.7006449999999997</v>
      </c>
      <c r="W47">
        <v>4.6752089999999997</v>
      </c>
      <c r="X47">
        <v>4.6475150000000003</v>
      </c>
      <c r="Y47">
        <v>4.6186999999999996</v>
      </c>
      <c r="Z47">
        <v>4.5911010000000001</v>
      </c>
      <c r="AA47">
        <v>4.5650729999999999</v>
      </c>
      <c r="AB47">
        <v>4.5387300000000002</v>
      </c>
      <c r="AC47">
        <v>4.5131389999999998</v>
      </c>
      <c r="AD47">
        <v>4.4889289999999997</v>
      </c>
      <c r="AE47">
        <v>4.4652130000000003</v>
      </c>
      <c r="AF47">
        <v>4.4413049999999998</v>
      </c>
      <c r="AG47" s="42">
        <v>-1E-3</v>
      </c>
    </row>
    <row r="48" spans="1:33" x14ac:dyDescent="0.25">
      <c r="A48" t="s">
        <v>441</v>
      </c>
    </row>
    <row r="49" spans="1:33" x14ac:dyDescent="0.25">
      <c r="A49" t="s">
        <v>395</v>
      </c>
      <c r="B49" t="s">
        <v>67</v>
      </c>
      <c r="C49" t="s">
        <v>442</v>
      </c>
      <c r="D49" t="s">
        <v>397</v>
      </c>
      <c r="F49">
        <v>0.37978200000000001</v>
      </c>
      <c r="G49">
        <v>0.41094700000000001</v>
      </c>
      <c r="H49">
        <v>0.40628999999999998</v>
      </c>
      <c r="I49">
        <v>0.39952599999999999</v>
      </c>
      <c r="J49">
        <v>0.39166800000000002</v>
      </c>
      <c r="K49">
        <v>0.38360499999999997</v>
      </c>
      <c r="L49">
        <v>0.37567499999999998</v>
      </c>
      <c r="M49">
        <v>0.36870599999999998</v>
      </c>
      <c r="N49">
        <v>0.36258000000000001</v>
      </c>
      <c r="O49">
        <v>0.35711599999999999</v>
      </c>
      <c r="P49">
        <v>0.35137699999999999</v>
      </c>
      <c r="Q49">
        <v>0.34575699999999998</v>
      </c>
      <c r="R49">
        <v>0.34038200000000002</v>
      </c>
      <c r="S49">
        <v>0.33507999999999999</v>
      </c>
      <c r="T49">
        <v>0.32994400000000002</v>
      </c>
      <c r="U49">
        <v>0.32495400000000002</v>
      </c>
      <c r="V49">
        <v>0.32000299999999998</v>
      </c>
      <c r="W49">
        <v>0.31509399999999999</v>
      </c>
      <c r="X49">
        <v>0.31032399999999999</v>
      </c>
      <c r="Y49">
        <v>0.30570700000000001</v>
      </c>
      <c r="Z49">
        <v>0.30099999999999999</v>
      </c>
      <c r="AA49">
        <v>0.29680299999999998</v>
      </c>
      <c r="AB49">
        <v>0.29274600000000001</v>
      </c>
      <c r="AC49">
        <v>0.28885499999999997</v>
      </c>
      <c r="AD49">
        <v>0.28507300000000002</v>
      </c>
      <c r="AE49">
        <v>0.281366</v>
      </c>
      <c r="AF49">
        <v>0.27757900000000002</v>
      </c>
      <c r="AG49" s="42">
        <v>-1.2E-2</v>
      </c>
    </row>
    <row r="50" spans="1:33" x14ac:dyDescent="0.25">
      <c r="A50" t="s">
        <v>400</v>
      </c>
      <c r="B50" t="s">
        <v>70</v>
      </c>
      <c r="C50" t="s">
        <v>443</v>
      </c>
      <c r="D50" t="s">
        <v>397</v>
      </c>
      <c r="F50">
        <v>4.0280000000000003E-2</v>
      </c>
      <c r="G50">
        <v>3.8163000000000002E-2</v>
      </c>
      <c r="H50">
        <v>3.5938999999999999E-2</v>
      </c>
      <c r="I50">
        <v>3.3678E-2</v>
      </c>
      <c r="J50">
        <v>3.1549000000000001E-2</v>
      </c>
      <c r="K50">
        <v>2.9547E-2</v>
      </c>
      <c r="L50">
        <v>2.7810999999999999E-2</v>
      </c>
      <c r="M50">
        <v>2.6394000000000001E-2</v>
      </c>
      <c r="N50">
        <v>2.5277000000000001E-2</v>
      </c>
      <c r="O50">
        <v>2.4400000000000002E-2</v>
      </c>
      <c r="P50">
        <v>2.3768000000000001E-2</v>
      </c>
      <c r="Q50">
        <v>2.3373999999999999E-2</v>
      </c>
      <c r="R50">
        <v>2.2939000000000001E-2</v>
      </c>
      <c r="S50">
        <v>2.2478999999999999E-2</v>
      </c>
      <c r="T50">
        <v>2.2013000000000001E-2</v>
      </c>
      <c r="U50">
        <v>2.154E-2</v>
      </c>
      <c r="V50">
        <v>2.1059000000000001E-2</v>
      </c>
      <c r="W50">
        <v>2.0565E-2</v>
      </c>
      <c r="X50">
        <v>2.0063000000000001E-2</v>
      </c>
      <c r="Y50">
        <v>1.9557000000000001E-2</v>
      </c>
      <c r="Z50">
        <v>1.9033999999999999E-2</v>
      </c>
      <c r="AA50">
        <v>1.8539E-2</v>
      </c>
      <c r="AB50">
        <v>1.8051000000000001E-2</v>
      </c>
      <c r="AC50">
        <v>1.7579000000000001E-2</v>
      </c>
      <c r="AD50">
        <v>1.7124E-2</v>
      </c>
      <c r="AE50">
        <v>1.6685999999999999E-2</v>
      </c>
      <c r="AF50">
        <v>1.6261000000000001E-2</v>
      </c>
      <c r="AG50" s="42">
        <v>-3.4000000000000002E-2</v>
      </c>
    </row>
    <row r="51" spans="1:33" x14ac:dyDescent="0.25">
      <c r="A51" t="s">
        <v>422</v>
      </c>
      <c r="B51" t="s">
        <v>72</v>
      </c>
      <c r="C51" t="s">
        <v>444</v>
      </c>
      <c r="D51" t="s">
        <v>397</v>
      </c>
      <c r="F51">
        <v>2.5815000000000001E-2</v>
      </c>
      <c r="G51">
        <v>2.6124999999999999E-2</v>
      </c>
      <c r="H51">
        <v>2.6246999999999999E-2</v>
      </c>
      <c r="I51">
        <v>2.6216E-2</v>
      </c>
      <c r="J51">
        <v>2.6099000000000001E-2</v>
      </c>
      <c r="K51">
        <v>2.5951999999999999E-2</v>
      </c>
      <c r="L51">
        <v>2.5805000000000002E-2</v>
      </c>
      <c r="M51">
        <v>2.5721999999999998E-2</v>
      </c>
      <c r="N51">
        <v>2.5690999999999999E-2</v>
      </c>
      <c r="O51">
        <v>2.5659000000000001E-2</v>
      </c>
      <c r="P51">
        <v>2.5625999999999999E-2</v>
      </c>
      <c r="Q51">
        <v>2.5586000000000001E-2</v>
      </c>
      <c r="R51">
        <v>2.5554E-2</v>
      </c>
      <c r="S51">
        <v>2.5513999999999998E-2</v>
      </c>
      <c r="T51">
        <v>2.5482000000000001E-2</v>
      </c>
      <c r="U51">
        <v>2.5454000000000001E-2</v>
      </c>
      <c r="V51">
        <v>2.5422E-2</v>
      </c>
      <c r="W51">
        <v>2.5382999999999999E-2</v>
      </c>
      <c r="X51">
        <v>2.5340999999999999E-2</v>
      </c>
      <c r="Y51">
        <v>2.5298000000000001E-2</v>
      </c>
      <c r="Z51">
        <v>2.5232999999999998E-2</v>
      </c>
      <c r="AA51">
        <v>2.5201999999999999E-2</v>
      </c>
      <c r="AB51">
        <v>2.5176E-2</v>
      </c>
      <c r="AC51">
        <v>2.5159000000000001E-2</v>
      </c>
      <c r="AD51">
        <v>2.5149000000000001E-2</v>
      </c>
      <c r="AE51">
        <v>2.5135000000000001E-2</v>
      </c>
      <c r="AF51">
        <v>2.5107000000000001E-2</v>
      </c>
      <c r="AG51" s="42">
        <v>-1E-3</v>
      </c>
    </row>
    <row r="52" spans="1:33" x14ac:dyDescent="0.25">
      <c r="A52" t="s">
        <v>439</v>
      </c>
      <c r="B52" t="s">
        <v>74</v>
      </c>
      <c r="C52" t="s">
        <v>445</v>
      </c>
      <c r="D52" t="s">
        <v>397</v>
      </c>
      <c r="F52">
        <v>0.44587700000000002</v>
      </c>
      <c r="G52">
        <v>0.47523500000000002</v>
      </c>
      <c r="H52">
        <v>0.468476</v>
      </c>
      <c r="I52">
        <v>0.45941900000000002</v>
      </c>
      <c r="J52">
        <v>0.44931599999999999</v>
      </c>
      <c r="K52">
        <v>0.43910399999999999</v>
      </c>
      <c r="L52">
        <v>0.42929099999999998</v>
      </c>
      <c r="M52">
        <v>0.42082199999999997</v>
      </c>
      <c r="N52">
        <v>0.413547</v>
      </c>
      <c r="O52">
        <v>0.40717500000000001</v>
      </c>
      <c r="P52">
        <v>0.40077099999999999</v>
      </c>
      <c r="Q52">
        <v>0.39471600000000001</v>
      </c>
      <c r="R52">
        <v>0.388874</v>
      </c>
      <c r="S52">
        <v>0.38307400000000003</v>
      </c>
      <c r="T52">
        <v>0.37743900000000002</v>
      </c>
      <c r="U52">
        <v>0.37194899999999997</v>
      </c>
      <c r="V52">
        <v>0.366483</v>
      </c>
      <c r="W52">
        <v>0.36104199999999997</v>
      </c>
      <c r="X52">
        <v>0.35572900000000002</v>
      </c>
      <c r="Y52">
        <v>0.35056199999999998</v>
      </c>
      <c r="Z52">
        <v>0.34526699999999999</v>
      </c>
      <c r="AA52">
        <v>0.34054400000000001</v>
      </c>
      <c r="AB52">
        <v>0.33597300000000002</v>
      </c>
      <c r="AC52">
        <v>0.331592</v>
      </c>
      <c r="AD52">
        <v>0.32734600000000003</v>
      </c>
      <c r="AE52">
        <v>0.32318799999999998</v>
      </c>
      <c r="AF52">
        <v>0.31897500000000001</v>
      </c>
      <c r="AG52" s="42">
        <v>-1.2999999999999999E-2</v>
      </c>
    </row>
    <row r="53" spans="1:33" x14ac:dyDescent="0.25">
      <c r="A53" t="s">
        <v>343</v>
      </c>
    </row>
    <row r="54" spans="1:33" x14ac:dyDescent="0.25">
      <c r="A54" t="s">
        <v>395</v>
      </c>
      <c r="B54" t="s">
        <v>76</v>
      </c>
      <c r="C54" t="s">
        <v>446</v>
      </c>
      <c r="D54" t="s">
        <v>397</v>
      </c>
      <c r="F54">
        <v>0.30324699999999999</v>
      </c>
      <c r="G54">
        <v>0.33763799999999999</v>
      </c>
      <c r="H54">
        <v>0.33391599999999999</v>
      </c>
      <c r="I54">
        <v>0.32942300000000002</v>
      </c>
      <c r="J54">
        <v>0.324515</v>
      </c>
      <c r="K54">
        <v>0.318994</v>
      </c>
      <c r="L54">
        <v>0.31281999999999999</v>
      </c>
      <c r="M54">
        <v>0.30642200000000003</v>
      </c>
      <c r="N54">
        <v>0.29993300000000001</v>
      </c>
      <c r="O54">
        <v>0.29379100000000002</v>
      </c>
      <c r="P54">
        <v>0.28748099999999999</v>
      </c>
      <c r="Q54">
        <v>0.281694</v>
      </c>
      <c r="R54">
        <v>0.27654000000000001</v>
      </c>
      <c r="S54">
        <v>0.27193099999999998</v>
      </c>
      <c r="T54">
        <v>0.26767600000000003</v>
      </c>
      <c r="U54">
        <v>0.26374500000000001</v>
      </c>
      <c r="V54">
        <v>0.26008100000000001</v>
      </c>
      <c r="W54">
        <v>0.25654700000000003</v>
      </c>
      <c r="X54">
        <v>0.25313799999999997</v>
      </c>
      <c r="Y54">
        <v>0.24981600000000001</v>
      </c>
      <c r="Z54">
        <v>0.24665500000000001</v>
      </c>
      <c r="AA54">
        <v>0.24367</v>
      </c>
      <c r="AB54">
        <v>0.240954</v>
      </c>
      <c r="AC54">
        <v>0.23830699999999999</v>
      </c>
      <c r="AD54">
        <v>0.23568900000000001</v>
      </c>
      <c r="AE54">
        <v>0.23302400000000001</v>
      </c>
      <c r="AF54">
        <v>0.23016200000000001</v>
      </c>
      <c r="AG54" s="42">
        <v>-1.0999999999999999E-2</v>
      </c>
    </row>
    <row r="55" spans="1:33" x14ac:dyDescent="0.25">
      <c r="A55" t="s">
        <v>400</v>
      </c>
      <c r="B55" t="s">
        <v>79</v>
      </c>
      <c r="C55" t="s">
        <v>447</v>
      </c>
      <c r="D55" t="s">
        <v>397</v>
      </c>
      <c r="F55">
        <v>5.6641999999999998E-2</v>
      </c>
      <c r="G55">
        <v>5.4625E-2</v>
      </c>
      <c r="H55">
        <v>5.2684000000000002E-2</v>
      </c>
      <c r="I55">
        <v>5.0775000000000001E-2</v>
      </c>
      <c r="J55">
        <v>4.9030999999999998E-2</v>
      </c>
      <c r="K55">
        <v>4.7142999999999997E-2</v>
      </c>
      <c r="L55">
        <v>4.5398000000000001E-2</v>
      </c>
      <c r="M55">
        <v>4.3867999999999997E-2</v>
      </c>
      <c r="N55">
        <v>4.2520000000000002E-2</v>
      </c>
      <c r="O55">
        <v>4.1422E-2</v>
      </c>
      <c r="P55">
        <v>4.0549000000000002E-2</v>
      </c>
      <c r="Q55">
        <v>3.9944E-2</v>
      </c>
      <c r="R55">
        <v>3.9315000000000003E-2</v>
      </c>
      <c r="S55">
        <v>3.8685999999999998E-2</v>
      </c>
      <c r="T55">
        <v>3.8047999999999998E-2</v>
      </c>
      <c r="U55">
        <v>3.7400999999999997E-2</v>
      </c>
      <c r="V55">
        <v>3.6749999999999998E-2</v>
      </c>
      <c r="W55">
        <v>3.6075000000000003E-2</v>
      </c>
      <c r="X55">
        <v>3.5376999999999999E-2</v>
      </c>
      <c r="Y55">
        <v>3.4657E-2</v>
      </c>
      <c r="Z55">
        <v>3.3936000000000001E-2</v>
      </c>
      <c r="AA55">
        <v>3.3212999999999999E-2</v>
      </c>
      <c r="AB55">
        <v>3.2506E-2</v>
      </c>
      <c r="AC55">
        <v>3.1829000000000003E-2</v>
      </c>
      <c r="AD55">
        <v>3.1182999999999999E-2</v>
      </c>
      <c r="AE55">
        <v>3.0557000000000001E-2</v>
      </c>
      <c r="AF55">
        <v>2.9940999999999999E-2</v>
      </c>
      <c r="AG55" s="42">
        <v>-2.4E-2</v>
      </c>
    </row>
    <row r="56" spans="1:33" x14ac:dyDescent="0.25">
      <c r="A56" t="s">
        <v>404</v>
      </c>
      <c r="B56" t="s">
        <v>81</v>
      </c>
      <c r="C56" t="s">
        <v>448</v>
      </c>
      <c r="D56" t="s">
        <v>397</v>
      </c>
      <c r="F56">
        <v>1.0414E-2</v>
      </c>
      <c r="G56">
        <v>1.0315E-2</v>
      </c>
      <c r="H56">
        <v>1.0248999999999999E-2</v>
      </c>
      <c r="I56">
        <v>1.0179000000000001E-2</v>
      </c>
      <c r="J56">
        <v>1.0102999999999999E-2</v>
      </c>
      <c r="K56">
        <v>1.0024999999999999E-2</v>
      </c>
      <c r="L56">
        <v>9.9439999999999997E-3</v>
      </c>
      <c r="M56">
        <v>9.8589999999999997E-3</v>
      </c>
      <c r="N56">
        <v>9.7669999999999996E-3</v>
      </c>
      <c r="O56">
        <v>9.6710000000000008E-3</v>
      </c>
      <c r="P56">
        <v>9.5709999999999996E-3</v>
      </c>
      <c r="Q56">
        <v>9.4649999999999995E-3</v>
      </c>
      <c r="R56">
        <v>9.3539999999999995E-3</v>
      </c>
      <c r="S56">
        <v>9.2370000000000004E-3</v>
      </c>
      <c r="T56">
        <v>9.1389999999999996E-3</v>
      </c>
      <c r="U56">
        <v>9.0609999999999996E-3</v>
      </c>
      <c r="V56">
        <v>9.0060000000000001E-3</v>
      </c>
      <c r="W56">
        <v>8.9739999999999993E-3</v>
      </c>
      <c r="X56">
        <v>8.966E-3</v>
      </c>
      <c r="Y56">
        <v>8.9560000000000004E-3</v>
      </c>
      <c r="Z56">
        <v>8.9429999999999996E-3</v>
      </c>
      <c r="AA56">
        <v>8.9289999999999994E-3</v>
      </c>
      <c r="AB56">
        <v>8.9119999999999998E-3</v>
      </c>
      <c r="AC56">
        <v>8.8940000000000009E-3</v>
      </c>
      <c r="AD56">
        <v>8.8719999999999997E-3</v>
      </c>
      <c r="AE56">
        <v>8.848E-3</v>
      </c>
      <c r="AF56">
        <v>8.8229999999999992E-3</v>
      </c>
      <c r="AG56" s="42">
        <v>-6.0000000000000001E-3</v>
      </c>
    </row>
    <row r="57" spans="1:33" x14ac:dyDescent="0.25">
      <c r="A57" t="s">
        <v>422</v>
      </c>
      <c r="B57" t="s">
        <v>83</v>
      </c>
      <c r="C57" t="s">
        <v>449</v>
      </c>
      <c r="D57" t="s">
        <v>397</v>
      </c>
      <c r="F57">
        <v>7.5281000000000001E-2</v>
      </c>
      <c r="G57">
        <v>7.8131999999999993E-2</v>
      </c>
      <c r="H57">
        <v>8.0817E-2</v>
      </c>
      <c r="I57">
        <v>8.3364999999999995E-2</v>
      </c>
      <c r="J57">
        <v>8.5863999999999996E-2</v>
      </c>
      <c r="K57">
        <v>8.8322999999999999E-2</v>
      </c>
      <c r="L57">
        <v>9.0687000000000004E-2</v>
      </c>
      <c r="M57">
        <v>9.3015E-2</v>
      </c>
      <c r="N57">
        <v>9.5245999999999997E-2</v>
      </c>
      <c r="O57">
        <v>9.7373000000000001E-2</v>
      </c>
      <c r="P57">
        <v>9.9442000000000003E-2</v>
      </c>
      <c r="Q57">
        <v>0.10158300000000001</v>
      </c>
      <c r="R57">
        <v>0.103856</v>
      </c>
      <c r="S57">
        <v>0.10623</v>
      </c>
      <c r="T57">
        <v>0.108665</v>
      </c>
      <c r="U57">
        <v>0.111141</v>
      </c>
      <c r="V57">
        <v>0.113638</v>
      </c>
      <c r="W57">
        <v>0.116105</v>
      </c>
      <c r="X57">
        <v>0.118547</v>
      </c>
      <c r="Y57">
        <v>0.120947</v>
      </c>
      <c r="Z57">
        <v>0.123361</v>
      </c>
      <c r="AA57">
        <v>0.125781</v>
      </c>
      <c r="AB57">
        <v>0.128248</v>
      </c>
      <c r="AC57">
        <v>0.13078500000000001</v>
      </c>
      <c r="AD57">
        <v>0.13336899999999999</v>
      </c>
      <c r="AE57">
        <v>0.13592000000000001</v>
      </c>
      <c r="AF57">
        <v>0.13836200000000001</v>
      </c>
      <c r="AG57" s="42">
        <v>2.4E-2</v>
      </c>
    </row>
    <row r="58" spans="1:33" x14ac:dyDescent="0.25">
      <c r="A58" t="s">
        <v>439</v>
      </c>
      <c r="B58" t="s">
        <v>85</v>
      </c>
      <c r="C58" t="s">
        <v>450</v>
      </c>
      <c r="D58" t="s">
        <v>397</v>
      </c>
      <c r="F58">
        <v>0.44558500000000001</v>
      </c>
      <c r="G58">
        <v>0.480711</v>
      </c>
      <c r="H58">
        <v>0.47766599999999998</v>
      </c>
      <c r="I58">
        <v>0.47374300000000003</v>
      </c>
      <c r="J58">
        <v>0.46951399999999999</v>
      </c>
      <c r="K58">
        <v>0.46448600000000001</v>
      </c>
      <c r="L58">
        <v>0.45884900000000001</v>
      </c>
      <c r="M58">
        <v>0.45316299999999998</v>
      </c>
      <c r="N58">
        <v>0.44746599999999997</v>
      </c>
      <c r="O58">
        <v>0.44225799999999998</v>
      </c>
      <c r="P58">
        <v>0.43704300000000001</v>
      </c>
      <c r="Q58">
        <v>0.43268699999999999</v>
      </c>
      <c r="R58">
        <v>0.42906499999999997</v>
      </c>
      <c r="S58">
        <v>0.42608400000000002</v>
      </c>
      <c r="T58">
        <v>0.42352899999999999</v>
      </c>
      <c r="U58">
        <v>0.42134700000000003</v>
      </c>
      <c r="V58">
        <v>0.41947600000000002</v>
      </c>
      <c r="W58">
        <v>0.41770099999999999</v>
      </c>
      <c r="X58">
        <v>0.41602899999999998</v>
      </c>
      <c r="Y58">
        <v>0.41437600000000002</v>
      </c>
      <c r="Z58">
        <v>0.41289599999999999</v>
      </c>
      <c r="AA58">
        <v>0.41159299999999999</v>
      </c>
      <c r="AB58">
        <v>0.41061999999999999</v>
      </c>
      <c r="AC58">
        <v>0.40981499999999998</v>
      </c>
      <c r="AD58">
        <v>0.40911399999999998</v>
      </c>
      <c r="AE58">
        <v>0.40834900000000002</v>
      </c>
      <c r="AF58">
        <v>0.40728799999999998</v>
      </c>
      <c r="AG58" s="42">
        <v>-3.0000000000000001E-3</v>
      </c>
    </row>
    <row r="59" spans="1:33" x14ac:dyDescent="0.25">
      <c r="A59" t="s">
        <v>451</v>
      </c>
      <c r="B59" t="s">
        <v>87</v>
      </c>
      <c r="C59" t="s">
        <v>452</v>
      </c>
      <c r="D59" t="s">
        <v>397</v>
      </c>
      <c r="F59">
        <v>0.35758299999999998</v>
      </c>
      <c r="G59">
        <v>0.36509399999999997</v>
      </c>
      <c r="H59">
        <v>0.35265400000000002</v>
      </c>
      <c r="I59">
        <v>0.34729500000000002</v>
      </c>
      <c r="J59">
        <v>0.34571800000000003</v>
      </c>
      <c r="K59">
        <v>0.345503</v>
      </c>
      <c r="L59">
        <v>0.34528999999999999</v>
      </c>
      <c r="M59">
        <v>0.342499</v>
      </c>
      <c r="N59">
        <v>0.33729500000000001</v>
      </c>
      <c r="O59">
        <v>0.33283800000000002</v>
      </c>
      <c r="P59">
        <v>0.32823400000000003</v>
      </c>
      <c r="Q59">
        <v>0.323965</v>
      </c>
      <c r="R59">
        <v>0.31938100000000003</v>
      </c>
      <c r="S59">
        <v>0.31522099999999997</v>
      </c>
      <c r="T59">
        <v>0.31101800000000002</v>
      </c>
      <c r="U59">
        <v>0.306564</v>
      </c>
      <c r="V59">
        <v>0.30218200000000001</v>
      </c>
      <c r="W59">
        <v>0.29809999999999998</v>
      </c>
      <c r="X59">
        <v>0.294377</v>
      </c>
      <c r="Y59">
        <v>0.29094999999999999</v>
      </c>
      <c r="Z59">
        <v>0.28853600000000001</v>
      </c>
      <c r="AA59">
        <v>0.28493499999999999</v>
      </c>
      <c r="AB59">
        <v>0.28137699999999999</v>
      </c>
      <c r="AC59">
        <v>0.27769199999999999</v>
      </c>
      <c r="AD59">
        <v>0.273872</v>
      </c>
      <c r="AE59">
        <v>0.27057199999999998</v>
      </c>
      <c r="AF59">
        <v>0.26805000000000001</v>
      </c>
      <c r="AG59" s="42">
        <v>-1.0999999999999999E-2</v>
      </c>
    </row>
    <row r="60" spans="1:33" x14ac:dyDescent="0.25">
      <c r="A60" t="s">
        <v>453</v>
      </c>
    </row>
    <row r="61" spans="1:33" x14ac:dyDescent="0.25">
      <c r="A61" t="s">
        <v>395</v>
      </c>
      <c r="B61" t="s">
        <v>454</v>
      </c>
      <c r="C61" t="s">
        <v>455</v>
      </c>
      <c r="D61" t="s">
        <v>397</v>
      </c>
      <c r="F61">
        <v>4.3465860000000003</v>
      </c>
      <c r="G61">
        <v>4.8228799999999996</v>
      </c>
      <c r="H61">
        <v>4.8200079999999996</v>
      </c>
      <c r="I61">
        <v>4.8122230000000004</v>
      </c>
      <c r="J61">
        <v>4.7951969999999999</v>
      </c>
      <c r="K61">
        <v>4.7611840000000001</v>
      </c>
      <c r="L61">
        <v>4.7174490000000002</v>
      </c>
      <c r="M61">
        <v>4.6611149999999997</v>
      </c>
      <c r="N61">
        <v>4.5926739999999997</v>
      </c>
      <c r="O61">
        <v>4.5321020000000001</v>
      </c>
      <c r="P61">
        <v>4.4684559999999998</v>
      </c>
      <c r="Q61">
        <v>4.4139229999999996</v>
      </c>
      <c r="R61">
        <v>4.3675110000000004</v>
      </c>
      <c r="S61">
        <v>4.3258219999999996</v>
      </c>
      <c r="T61">
        <v>4.2849760000000003</v>
      </c>
      <c r="U61">
        <v>4.2453950000000003</v>
      </c>
      <c r="V61">
        <v>4.2049940000000001</v>
      </c>
      <c r="W61">
        <v>4.1615849999999996</v>
      </c>
      <c r="X61">
        <v>4.118366</v>
      </c>
      <c r="Y61">
        <v>4.0758530000000004</v>
      </c>
      <c r="Z61">
        <v>4.0353839999999996</v>
      </c>
      <c r="AA61">
        <v>3.9961630000000001</v>
      </c>
      <c r="AB61">
        <v>3.9576319999999998</v>
      </c>
      <c r="AC61">
        <v>3.9196849999999999</v>
      </c>
      <c r="AD61">
        <v>3.8825660000000002</v>
      </c>
      <c r="AE61">
        <v>3.846835</v>
      </c>
      <c r="AF61">
        <v>3.810959</v>
      </c>
      <c r="AG61" s="42">
        <v>-5.0000000000000001E-3</v>
      </c>
    </row>
    <row r="62" spans="1:33" x14ac:dyDescent="0.25">
      <c r="A62" t="s">
        <v>398</v>
      </c>
      <c r="B62" t="s">
        <v>456</v>
      </c>
      <c r="C62" t="s">
        <v>457</v>
      </c>
      <c r="D62" t="s">
        <v>397</v>
      </c>
      <c r="F62">
        <v>1.0605800000000001</v>
      </c>
      <c r="G62">
        <v>1.013512</v>
      </c>
      <c r="H62">
        <v>1.032818</v>
      </c>
      <c r="I62">
        <v>1.051242</v>
      </c>
      <c r="J62">
        <v>1.0633919999999999</v>
      </c>
      <c r="K62">
        <v>1.0681769999999999</v>
      </c>
      <c r="L62">
        <v>1.070424</v>
      </c>
      <c r="M62">
        <v>1.0710580000000001</v>
      </c>
      <c r="N62">
        <v>1.072892</v>
      </c>
      <c r="O62">
        <v>1.0796399999999999</v>
      </c>
      <c r="P62">
        <v>1.0884609999999999</v>
      </c>
      <c r="Q62">
        <v>1.101504</v>
      </c>
      <c r="R62">
        <v>1.1185849999999999</v>
      </c>
      <c r="S62">
        <v>1.1379809999999999</v>
      </c>
      <c r="T62">
        <v>1.1565019999999999</v>
      </c>
      <c r="U62">
        <v>1.1760699999999999</v>
      </c>
      <c r="V62">
        <v>1.1959070000000001</v>
      </c>
      <c r="W62">
        <v>1.216205</v>
      </c>
      <c r="X62">
        <v>1.236335</v>
      </c>
      <c r="Y62">
        <v>1.2568429999999999</v>
      </c>
      <c r="Z62">
        <v>1.2770840000000001</v>
      </c>
      <c r="AA62">
        <v>1.296835</v>
      </c>
      <c r="AB62">
        <v>1.316179</v>
      </c>
      <c r="AC62">
        <v>1.3353330000000001</v>
      </c>
      <c r="AD62">
        <v>1.3544449999999999</v>
      </c>
      <c r="AE62">
        <v>1.37382</v>
      </c>
      <c r="AF62">
        <v>1.3930279999999999</v>
      </c>
      <c r="AG62" s="42">
        <v>1.0999999999999999E-2</v>
      </c>
    </row>
    <row r="63" spans="1:33" x14ac:dyDescent="0.25">
      <c r="A63" t="s">
        <v>400</v>
      </c>
      <c r="B63" t="s">
        <v>458</v>
      </c>
      <c r="C63" t="s">
        <v>459</v>
      </c>
      <c r="D63" t="s">
        <v>397</v>
      </c>
      <c r="F63">
        <v>1.6054889999999999</v>
      </c>
      <c r="G63">
        <v>1.598546</v>
      </c>
      <c r="H63">
        <v>1.597089</v>
      </c>
      <c r="I63">
        <v>1.5942449999999999</v>
      </c>
      <c r="J63">
        <v>1.5889420000000001</v>
      </c>
      <c r="K63">
        <v>1.56559</v>
      </c>
      <c r="L63">
        <v>1.5391919999999999</v>
      </c>
      <c r="M63">
        <v>1.511479</v>
      </c>
      <c r="N63">
        <v>1.484329</v>
      </c>
      <c r="O63">
        <v>1.4618789999999999</v>
      </c>
      <c r="P63">
        <v>1.4445779999999999</v>
      </c>
      <c r="Q63">
        <v>1.4330259999999999</v>
      </c>
      <c r="R63">
        <v>1.423908</v>
      </c>
      <c r="S63">
        <v>1.416868</v>
      </c>
      <c r="T63">
        <v>1.4107289999999999</v>
      </c>
      <c r="U63">
        <v>1.4057539999999999</v>
      </c>
      <c r="V63">
        <v>1.401351</v>
      </c>
      <c r="W63">
        <v>1.3964270000000001</v>
      </c>
      <c r="X63">
        <v>1.3916949999999999</v>
      </c>
      <c r="Y63">
        <v>1.3874219999999999</v>
      </c>
      <c r="Z63">
        <v>1.3823030000000001</v>
      </c>
      <c r="AA63">
        <v>1.376514</v>
      </c>
      <c r="AB63">
        <v>1.3697900000000001</v>
      </c>
      <c r="AC63">
        <v>1.362908</v>
      </c>
      <c r="AD63">
        <v>1.3563510000000001</v>
      </c>
      <c r="AE63">
        <v>1.3500080000000001</v>
      </c>
      <c r="AF63">
        <v>1.3441289999999999</v>
      </c>
      <c r="AG63" s="42">
        <v>-7.0000000000000001E-3</v>
      </c>
    </row>
    <row r="64" spans="1:33" x14ac:dyDescent="0.25">
      <c r="A64" t="s">
        <v>402</v>
      </c>
      <c r="B64" t="s">
        <v>460</v>
      </c>
      <c r="C64" t="s">
        <v>461</v>
      </c>
      <c r="D64" t="s">
        <v>397</v>
      </c>
      <c r="F64">
        <v>0.35147899999999999</v>
      </c>
      <c r="G64">
        <v>0.34973700000000002</v>
      </c>
      <c r="H64">
        <v>0.34897</v>
      </c>
      <c r="I64">
        <v>0.34811799999999998</v>
      </c>
      <c r="J64">
        <v>0.34716799999999998</v>
      </c>
      <c r="K64">
        <v>0.34654499999999999</v>
      </c>
      <c r="L64">
        <v>0.34371699999999999</v>
      </c>
      <c r="M64">
        <v>0.34114699999999998</v>
      </c>
      <c r="N64">
        <v>0.33881600000000001</v>
      </c>
      <c r="O64">
        <v>0.33663500000000002</v>
      </c>
      <c r="P64">
        <v>0.33458100000000002</v>
      </c>
      <c r="Q64">
        <v>0.33278200000000002</v>
      </c>
      <c r="R64">
        <v>0.33139600000000002</v>
      </c>
      <c r="S64">
        <v>0.33041399999999999</v>
      </c>
      <c r="T64">
        <v>0.32984999999999998</v>
      </c>
      <c r="U64">
        <v>0.32970100000000002</v>
      </c>
      <c r="V64">
        <v>0.32997199999999999</v>
      </c>
      <c r="W64">
        <v>0.33063999999999999</v>
      </c>
      <c r="X64">
        <v>0.331706</v>
      </c>
      <c r="Y64">
        <v>0.33316699999999999</v>
      </c>
      <c r="Z64">
        <v>0.335038</v>
      </c>
      <c r="AA64">
        <v>0.33738899999999999</v>
      </c>
      <c r="AB64">
        <v>0.34022799999999997</v>
      </c>
      <c r="AC64">
        <v>0.34354400000000002</v>
      </c>
      <c r="AD64">
        <v>0.34684700000000002</v>
      </c>
      <c r="AE64">
        <v>0.35012599999999999</v>
      </c>
      <c r="AF64">
        <v>0.35335800000000001</v>
      </c>
      <c r="AG64" s="42">
        <v>0</v>
      </c>
    </row>
    <row r="65" spans="1:33" x14ac:dyDescent="0.25">
      <c r="A65" t="s">
        <v>404</v>
      </c>
      <c r="B65" t="s">
        <v>462</v>
      </c>
      <c r="C65" t="s">
        <v>463</v>
      </c>
      <c r="D65" t="s">
        <v>397</v>
      </c>
      <c r="F65">
        <v>0.155616</v>
      </c>
      <c r="G65">
        <v>0.15596599999999999</v>
      </c>
      <c r="H65">
        <v>0.15681</v>
      </c>
      <c r="I65">
        <v>0.157668</v>
      </c>
      <c r="J65">
        <v>0.158521</v>
      </c>
      <c r="K65">
        <v>0.15940099999999999</v>
      </c>
      <c r="L65">
        <v>0.160279</v>
      </c>
      <c r="M65">
        <v>0.16114200000000001</v>
      </c>
      <c r="N65">
        <v>0.161972</v>
      </c>
      <c r="O65">
        <v>0.16275899999999999</v>
      </c>
      <c r="P65">
        <v>0.163526</v>
      </c>
      <c r="Q65">
        <v>0.16431100000000001</v>
      </c>
      <c r="R65">
        <v>0.16511700000000001</v>
      </c>
      <c r="S65">
        <v>0.16592899999999999</v>
      </c>
      <c r="T65">
        <v>0.166792</v>
      </c>
      <c r="U65">
        <v>0.16767000000000001</v>
      </c>
      <c r="V65">
        <v>0.16857900000000001</v>
      </c>
      <c r="W65">
        <v>0.16950399999999999</v>
      </c>
      <c r="X65">
        <v>0.17045199999999999</v>
      </c>
      <c r="Y65">
        <v>0.17136799999999999</v>
      </c>
      <c r="Z65">
        <v>0.17227200000000001</v>
      </c>
      <c r="AA65">
        <v>0.173179</v>
      </c>
      <c r="AB65">
        <v>0.17408699999999999</v>
      </c>
      <c r="AC65">
        <v>0.17499799999999999</v>
      </c>
      <c r="AD65">
        <v>0.17591300000000001</v>
      </c>
      <c r="AE65">
        <v>0.17683499999999999</v>
      </c>
      <c r="AF65">
        <v>0.177762</v>
      </c>
      <c r="AG65" s="42">
        <v>5.0000000000000001E-3</v>
      </c>
    </row>
    <row r="66" spans="1:33" x14ac:dyDescent="0.25">
      <c r="A66" t="s">
        <v>406</v>
      </c>
      <c r="B66" t="s">
        <v>464</v>
      </c>
      <c r="C66" t="s">
        <v>465</v>
      </c>
      <c r="D66" t="s">
        <v>397</v>
      </c>
      <c r="F66">
        <v>0.23139499999999999</v>
      </c>
      <c r="G66">
        <v>0.23356099999999999</v>
      </c>
      <c r="H66">
        <v>0.23794899999999999</v>
      </c>
      <c r="I66">
        <v>0.24311199999999999</v>
      </c>
      <c r="J66">
        <v>0.247172</v>
      </c>
      <c r="K66">
        <v>0.24962599999999999</v>
      </c>
      <c r="L66">
        <v>0.25114199999999998</v>
      </c>
      <c r="M66">
        <v>0.25182100000000002</v>
      </c>
      <c r="N66">
        <v>0.25203799999999998</v>
      </c>
      <c r="O66">
        <v>0.25211699999999998</v>
      </c>
      <c r="P66">
        <v>0.25274000000000002</v>
      </c>
      <c r="Q66">
        <v>0.25444099999999997</v>
      </c>
      <c r="R66">
        <v>0.25719799999999998</v>
      </c>
      <c r="S66">
        <v>0.26063799999999998</v>
      </c>
      <c r="T66">
        <v>0.26424999999999998</v>
      </c>
      <c r="U66">
        <v>0.268266</v>
      </c>
      <c r="V66">
        <v>0.272733</v>
      </c>
      <c r="W66">
        <v>0.27750799999999998</v>
      </c>
      <c r="X66">
        <v>0.28212100000000001</v>
      </c>
      <c r="Y66">
        <v>0.28665000000000002</v>
      </c>
      <c r="Z66">
        <v>0.29098400000000002</v>
      </c>
      <c r="AA66">
        <v>0.295126</v>
      </c>
      <c r="AB66">
        <v>0.29904999999999998</v>
      </c>
      <c r="AC66">
        <v>0.30279099999999998</v>
      </c>
      <c r="AD66">
        <v>0.30644300000000002</v>
      </c>
      <c r="AE66">
        <v>0.31001699999999999</v>
      </c>
      <c r="AF66">
        <v>0.31342700000000001</v>
      </c>
      <c r="AG66" s="42">
        <v>1.2E-2</v>
      </c>
    </row>
    <row r="67" spans="1:33" x14ac:dyDescent="0.25">
      <c r="A67" t="s">
        <v>408</v>
      </c>
      <c r="B67" t="s">
        <v>466</v>
      </c>
      <c r="C67" t="s">
        <v>467</v>
      </c>
      <c r="D67" t="s">
        <v>397</v>
      </c>
      <c r="F67">
        <v>7.9547999999999994E-2</v>
      </c>
      <c r="G67">
        <v>7.9316999999999999E-2</v>
      </c>
      <c r="H67">
        <v>7.9323000000000005E-2</v>
      </c>
      <c r="I67">
        <v>7.9324000000000006E-2</v>
      </c>
      <c r="J67">
        <v>7.9286999999999996E-2</v>
      </c>
      <c r="K67">
        <v>7.9225000000000004E-2</v>
      </c>
      <c r="L67">
        <v>7.8759999999999997E-2</v>
      </c>
      <c r="M67">
        <v>7.8244999999999995E-2</v>
      </c>
      <c r="N67">
        <v>7.7689999999999995E-2</v>
      </c>
      <c r="O67">
        <v>7.7148999999999995E-2</v>
      </c>
      <c r="P67">
        <v>7.6617000000000005E-2</v>
      </c>
      <c r="Q67">
        <v>7.6115000000000002E-2</v>
      </c>
      <c r="R67">
        <v>7.5637999999999997E-2</v>
      </c>
      <c r="S67">
        <v>7.5175000000000006E-2</v>
      </c>
      <c r="T67">
        <v>7.4735999999999997E-2</v>
      </c>
      <c r="U67">
        <v>7.4319999999999997E-2</v>
      </c>
      <c r="V67">
        <v>7.3931999999999998E-2</v>
      </c>
      <c r="W67">
        <v>7.3580999999999994E-2</v>
      </c>
      <c r="X67">
        <v>7.3268E-2</v>
      </c>
      <c r="Y67">
        <v>7.2993000000000002E-2</v>
      </c>
      <c r="Z67">
        <v>7.2761000000000006E-2</v>
      </c>
      <c r="AA67">
        <v>7.2581999999999994E-2</v>
      </c>
      <c r="AB67">
        <v>7.2468000000000005E-2</v>
      </c>
      <c r="AC67">
        <v>7.2414999999999993E-2</v>
      </c>
      <c r="AD67">
        <v>7.2434999999999999E-2</v>
      </c>
      <c r="AE67">
        <v>7.2536000000000003E-2</v>
      </c>
      <c r="AF67">
        <v>7.2717000000000004E-2</v>
      </c>
      <c r="AG67" s="42">
        <v>-3.0000000000000001E-3</v>
      </c>
    </row>
    <row r="68" spans="1:33" x14ac:dyDescent="0.25">
      <c r="A68" t="s">
        <v>410</v>
      </c>
      <c r="B68" t="s">
        <v>468</v>
      </c>
      <c r="C68" t="s">
        <v>469</v>
      </c>
      <c r="D68" t="s">
        <v>397</v>
      </c>
      <c r="F68">
        <v>0.18737100000000001</v>
      </c>
      <c r="G68">
        <v>0.18539</v>
      </c>
      <c r="H68">
        <v>0.18696399999999999</v>
      </c>
      <c r="I68">
        <v>0.190632</v>
      </c>
      <c r="J68">
        <v>0.19372700000000001</v>
      </c>
      <c r="K68">
        <v>0.195604</v>
      </c>
      <c r="L68">
        <v>0.19516600000000001</v>
      </c>
      <c r="M68">
        <v>0.19453100000000001</v>
      </c>
      <c r="N68">
        <v>0.19431999999999999</v>
      </c>
      <c r="O68">
        <v>0.19414899999999999</v>
      </c>
      <c r="P68">
        <v>0.19440399999999999</v>
      </c>
      <c r="Q68">
        <v>0.19527800000000001</v>
      </c>
      <c r="R68">
        <v>0.196599</v>
      </c>
      <c r="S68">
        <v>0.19806699999999999</v>
      </c>
      <c r="T68">
        <v>0.199294</v>
      </c>
      <c r="U68">
        <v>0.200681</v>
      </c>
      <c r="V68">
        <v>0.198798</v>
      </c>
      <c r="W68">
        <v>0.19717199999999999</v>
      </c>
      <c r="X68">
        <v>0.195941</v>
      </c>
      <c r="Y68">
        <v>0.19514000000000001</v>
      </c>
      <c r="Z68">
        <v>0.19470599999999999</v>
      </c>
      <c r="AA68">
        <v>0.194468</v>
      </c>
      <c r="AB68">
        <v>0.19427800000000001</v>
      </c>
      <c r="AC68">
        <v>0.194106</v>
      </c>
      <c r="AD68">
        <v>0.194081</v>
      </c>
      <c r="AE68">
        <v>0.19420699999999999</v>
      </c>
      <c r="AF68">
        <v>0.19436300000000001</v>
      </c>
      <c r="AG68" s="42">
        <v>1E-3</v>
      </c>
    </row>
    <row r="69" spans="1:33" x14ac:dyDescent="0.25">
      <c r="A69" t="s">
        <v>412</v>
      </c>
      <c r="B69" t="s">
        <v>470</v>
      </c>
      <c r="C69" t="s">
        <v>471</v>
      </c>
      <c r="D69" t="s">
        <v>397</v>
      </c>
      <c r="F69">
        <v>4.1806999999999997E-2</v>
      </c>
      <c r="G69">
        <v>4.0731000000000003E-2</v>
      </c>
      <c r="H69">
        <v>3.9766000000000003E-2</v>
      </c>
      <c r="I69">
        <v>3.8787000000000002E-2</v>
      </c>
      <c r="J69">
        <v>3.7633E-2</v>
      </c>
      <c r="K69">
        <v>3.6454E-2</v>
      </c>
      <c r="L69">
        <v>3.5085999999999999E-2</v>
      </c>
      <c r="M69">
        <v>3.3659000000000001E-2</v>
      </c>
      <c r="N69">
        <v>3.2142999999999998E-2</v>
      </c>
      <c r="O69">
        <v>3.0825999999999999E-2</v>
      </c>
      <c r="P69">
        <v>2.971E-2</v>
      </c>
      <c r="Q69">
        <v>2.8801E-2</v>
      </c>
      <c r="R69">
        <v>2.8112000000000002E-2</v>
      </c>
      <c r="S69">
        <v>2.7654999999999999E-2</v>
      </c>
      <c r="T69">
        <v>2.7453000000000002E-2</v>
      </c>
      <c r="U69">
        <v>2.7522000000000001E-2</v>
      </c>
      <c r="V69">
        <v>2.759E-2</v>
      </c>
      <c r="W69">
        <v>2.7657999999999999E-2</v>
      </c>
      <c r="X69">
        <v>2.7733000000000001E-2</v>
      </c>
      <c r="Y69">
        <v>2.7814999999999999E-2</v>
      </c>
      <c r="Z69">
        <v>2.7907999999999999E-2</v>
      </c>
      <c r="AA69">
        <v>2.8015999999999999E-2</v>
      </c>
      <c r="AB69">
        <v>2.8138E-2</v>
      </c>
      <c r="AC69">
        <v>2.8273E-2</v>
      </c>
      <c r="AD69">
        <v>2.8420000000000001E-2</v>
      </c>
      <c r="AE69">
        <v>2.8576000000000001E-2</v>
      </c>
      <c r="AF69">
        <v>2.8739000000000001E-2</v>
      </c>
      <c r="AG69" s="42">
        <v>-1.4E-2</v>
      </c>
    </row>
    <row r="70" spans="1:33" x14ac:dyDescent="0.25">
      <c r="A70" t="s">
        <v>414</v>
      </c>
      <c r="B70" t="s">
        <v>472</v>
      </c>
      <c r="C70" t="s">
        <v>473</v>
      </c>
      <c r="D70" t="s">
        <v>397</v>
      </c>
      <c r="F70">
        <v>3.6366999999999997E-2</v>
      </c>
      <c r="G70">
        <v>3.7219000000000002E-2</v>
      </c>
      <c r="H70">
        <v>3.8216E-2</v>
      </c>
      <c r="I70">
        <v>3.8545999999999997E-2</v>
      </c>
      <c r="J70">
        <v>3.8751000000000001E-2</v>
      </c>
      <c r="K70">
        <v>3.8914999999999998E-2</v>
      </c>
      <c r="L70">
        <v>3.9031999999999997E-2</v>
      </c>
      <c r="M70">
        <v>3.9100999999999997E-2</v>
      </c>
      <c r="N70">
        <v>3.9118E-2</v>
      </c>
      <c r="O70">
        <v>3.9202000000000001E-2</v>
      </c>
      <c r="P70">
        <v>3.9358999999999998E-2</v>
      </c>
      <c r="Q70">
        <v>3.9600999999999997E-2</v>
      </c>
      <c r="R70">
        <v>3.9935999999999999E-2</v>
      </c>
      <c r="S70">
        <v>4.0363999999999997E-2</v>
      </c>
      <c r="T70">
        <v>4.0896000000000002E-2</v>
      </c>
      <c r="U70">
        <v>4.1537999999999999E-2</v>
      </c>
      <c r="V70">
        <v>4.2178E-2</v>
      </c>
      <c r="W70">
        <v>4.2812000000000003E-2</v>
      </c>
      <c r="X70">
        <v>4.3444000000000003E-2</v>
      </c>
      <c r="Y70">
        <v>4.4074000000000002E-2</v>
      </c>
      <c r="Z70">
        <v>4.4707999999999998E-2</v>
      </c>
      <c r="AA70">
        <v>4.5349E-2</v>
      </c>
      <c r="AB70">
        <v>4.5997999999999997E-2</v>
      </c>
      <c r="AC70">
        <v>4.6655000000000002E-2</v>
      </c>
      <c r="AD70">
        <v>4.7317999999999999E-2</v>
      </c>
      <c r="AE70">
        <v>4.7988000000000003E-2</v>
      </c>
      <c r="AF70">
        <v>4.8662999999999998E-2</v>
      </c>
      <c r="AG70" s="42">
        <v>1.0999999999999999E-2</v>
      </c>
    </row>
    <row r="71" spans="1:33" x14ac:dyDescent="0.25">
      <c r="A71" t="s">
        <v>416</v>
      </c>
      <c r="B71" t="s">
        <v>474</v>
      </c>
      <c r="C71" t="s">
        <v>475</v>
      </c>
      <c r="D71" t="s">
        <v>397</v>
      </c>
      <c r="F71">
        <v>0.12937399999999999</v>
      </c>
      <c r="G71">
        <v>0.12654399999999999</v>
      </c>
      <c r="H71">
        <v>0.12521499999999999</v>
      </c>
      <c r="I71">
        <v>0.124316</v>
      </c>
      <c r="J71">
        <v>0.122902</v>
      </c>
      <c r="K71">
        <v>0.120777</v>
      </c>
      <c r="L71">
        <v>0.11837499999999999</v>
      </c>
      <c r="M71">
        <v>0.115926</v>
      </c>
      <c r="N71">
        <v>0.113659</v>
      </c>
      <c r="O71">
        <v>0.11144</v>
      </c>
      <c r="P71">
        <v>0.1095</v>
      </c>
      <c r="Q71">
        <v>0.10799</v>
      </c>
      <c r="R71">
        <v>0.106861</v>
      </c>
      <c r="S71">
        <v>0.10595400000000001</v>
      </c>
      <c r="T71">
        <v>0.10506600000000001</v>
      </c>
      <c r="U71">
        <v>0.104306</v>
      </c>
      <c r="V71">
        <v>0.10369100000000001</v>
      </c>
      <c r="W71">
        <v>0.103142</v>
      </c>
      <c r="X71">
        <v>0.102677</v>
      </c>
      <c r="Y71">
        <v>0.10234500000000001</v>
      </c>
      <c r="Z71">
        <v>0.102119</v>
      </c>
      <c r="AA71">
        <v>0.102036</v>
      </c>
      <c r="AB71">
        <v>0.10208200000000001</v>
      </c>
      <c r="AC71">
        <v>0.102176</v>
      </c>
      <c r="AD71">
        <v>0.10236000000000001</v>
      </c>
      <c r="AE71">
        <v>0.102613</v>
      </c>
      <c r="AF71">
        <v>0.102926</v>
      </c>
      <c r="AG71" s="42">
        <v>-8.9999999999999993E-3</v>
      </c>
    </row>
    <row r="72" spans="1:33" x14ac:dyDescent="0.25">
      <c r="A72" t="s">
        <v>418</v>
      </c>
      <c r="B72" t="s">
        <v>476</v>
      </c>
      <c r="C72" t="s">
        <v>477</v>
      </c>
      <c r="D72" t="s">
        <v>397</v>
      </c>
      <c r="F72">
        <v>0.100147</v>
      </c>
      <c r="G72">
        <v>9.8311999999999997E-2</v>
      </c>
      <c r="H72">
        <v>9.7711999999999993E-2</v>
      </c>
      <c r="I72">
        <v>9.7344E-2</v>
      </c>
      <c r="J72">
        <v>9.6392000000000005E-2</v>
      </c>
      <c r="K72">
        <v>9.4705999999999999E-2</v>
      </c>
      <c r="L72">
        <v>9.2652999999999999E-2</v>
      </c>
      <c r="M72">
        <v>9.0438000000000004E-2</v>
      </c>
      <c r="N72">
        <v>8.8259000000000004E-2</v>
      </c>
      <c r="O72">
        <v>8.6025000000000004E-2</v>
      </c>
      <c r="P72">
        <v>8.3927000000000002E-2</v>
      </c>
      <c r="Q72">
        <v>8.2076999999999997E-2</v>
      </c>
      <c r="R72">
        <v>8.0450999999999995E-2</v>
      </c>
      <c r="S72">
        <v>7.8944E-2</v>
      </c>
      <c r="T72">
        <v>7.7403E-2</v>
      </c>
      <c r="U72">
        <v>7.5929999999999997E-2</v>
      </c>
      <c r="V72">
        <v>7.4545E-2</v>
      </c>
      <c r="W72">
        <v>7.3195999999999997E-2</v>
      </c>
      <c r="X72">
        <v>7.1926000000000004E-2</v>
      </c>
      <c r="Y72">
        <v>7.0762000000000005E-2</v>
      </c>
      <c r="Z72">
        <v>6.9711999999999996E-2</v>
      </c>
      <c r="AA72">
        <v>6.8805000000000005E-2</v>
      </c>
      <c r="AB72">
        <v>6.8054000000000003E-2</v>
      </c>
      <c r="AC72">
        <v>6.7420999999999995E-2</v>
      </c>
      <c r="AD72">
        <v>6.6941000000000001E-2</v>
      </c>
      <c r="AE72">
        <v>6.6635E-2</v>
      </c>
      <c r="AF72">
        <v>6.6464999999999996E-2</v>
      </c>
      <c r="AG72" s="42">
        <v>-1.6E-2</v>
      </c>
    </row>
    <row r="73" spans="1:33" x14ac:dyDescent="0.25">
      <c r="A73" t="s">
        <v>420</v>
      </c>
      <c r="B73" t="s">
        <v>478</v>
      </c>
      <c r="C73" t="s">
        <v>479</v>
      </c>
      <c r="D73" t="s">
        <v>397</v>
      </c>
      <c r="F73">
        <v>0.137569</v>
      </c>
      <c r="G73">
        <v>0.158502</v>
      </c>
      <c r="H73">
        <v>0.16062100000000001</v>
      </c>
      <c r="I73">
        <v>0.16225000000000001</v>
      </c>
      <c r="J73">
        <v>0.16347</v>
      </c>
      <c r="K73">
        <v>0.164468</v>
      </c>
      <c r="L73">
        <v>0.165238</v>
      </c>
      <c r="M73">
        <v>0.16567499999999999</v>
      </c>
      <c r="N73">
        <v>0.16580900000000001</v>
      </c>
      <c r="O73">
        <v>0.165878</v>
      </c>
      <c r="P73">
        <v>0.165686</v>
      </c>
      <c r="Q73">
        <v>0.16552700000000001</v>
      </c>
      <c r="R73">
        <v>0.16533999999999999</v>
      </c>
      <c r="S73">
        <v>0.164941</v>
      </c>
      <c r="T73">
        <v>0.16417499999999999</v>
      </c>
      <c r="U73">
        <v>0.16303300000000001</v>
      </c>
      <c r="V73">
        <v>0.16142300000000001</v>
      </c>
      <c r="W73">
        <v>0.159333</v>
      </c>
      <c r="X73">
        <v>0.156941</v>
      </c>
      <c r="Y73">
        <v>0.15426799999999999</v>
      </c>
      <c r="Z73">
        <v>0.15151400000000001</v>
      </c>
      <c r="AA73">
        <v>0.14884</v>
      </c>
      <c r="AB73">
        <v>0.146261</v>
      </c>
      <c r="AC73">
        <v>0.143757</v>
      </c>
      <c r="AD73">
        <v>0.14143700000000001</v>
      </c>
      <c r="AE73">
        <v>0.13933499999999999</v>
      </c>
      <c r="AF73">
        <v>0.137382</v>
      </c>
      <c r="AG73" s="42">
        <v>0</v>
      </c>
    </row>
    <row r="74" spans="1:33" x14ac:dyDescent="0.25">
      <c r="A74" t="s">
        <v>422</v>
      </c>
      <c r="B74" t="s">
        <v>480</v>
      </c>
      <c r="C74" t="s">
        <v>481</v>
      </c>
      <c r="D74" t="s">
        <v>397</v>
      </c>
      <c r="F74">
        <v>2.6626530000000002</v>
      </c>
      <c r="G74">
        <v>2.6026509999999998</v>
      </c>
      <c r="H74">
        <v>2.657826</v>
      </c>
      <c r="I74">
        <v>2.7135349999999998</v>
      </c>
      <c r="J74">
        <v>2.7614920000000001</v>
      </c>
      <c r="K74">
        <v>2.7996289999999999</v>
      </c>
      <c r="L74">
        <v>2.832198</v>
      </c>
      <c r="M74">
        <v>2.8602289999999999</v>
      </c>
      <c r="N74">
        <v>2.8874970000000002</v>
      </c>
      <c r="O74">
        <v>2.91289</v>
      </c>
      <c r="P74">
        <v>2.9414530000000001</v>
      </c>
      <c r="Q74">
        <v>2.9740549999999999</v>
      </c>
      <c r="R74">
        <v>3.012127</v>
      </c>
      <c r="S74">
        <v>3.0532720000000002</v>
      </c>
      <c r="T74">
        <v>3.0931760000000001</v>
      </c>
      <c r="U74">
        <v>3.1347119999999999</v>
      </c>
      <c r="V74">
        <v>3.1771099999999999</v>
      </c>
      <c r="W74">
        <v>3.2170320000000001</v>
      </c>
      <c r="X74">
        <v>3.2571729999999999</v>
      </c>
      <c r="Y74">
        <v>3.2976610000000002</v>
      </c>
      <c r="Z74">
        <v>3.3382770000000002</v>
      </c>
      <c r="AA74">
        <v>3.3788330000000002</v>
      </c>
      <c r="AB74">
        <v>3.4196040000000001</v>
      </c>
      <c r="AC74">
        <v>3.4605130000000002</v>
      </c>
      <c r="AD74">
        <v>3.5017649999999998</v>
      </c>
      <c r="AE74">
        <v>3.5436749999999999</v>
      </c>
      <c r="AF74">
        <v>3.5856539999999999</v>
      </c>
      <c r="AG74" s="42">
        <v>1.2E-2</v>
      </c>
    </row>
    <row r="75" spans="1:33" x14ac:dyDescent="0.25">
      <c r="A75" t="s">
        <v>424</v>
      </c>
      <c r="B75" t="s">
        <v>482</v>
      </c>
      <c r="C75" t="s">
        <v>483</v>
      </c>
      <c r="D75" t="s">
        <v>397</v>
      </c>
      <c r="F75">
        <v>11.125982</v>
      </c>
      <c r="G75">
        <v>11.502867</v>
      </c>
      <c r="H75">
        <v>11.579288999999999</v>
      </c>
      <c r="I75">
        <v>11.651342</v>
      </c>
      <c r="J75">
        <v>11.694044999999999</v>
      </c>
      <c r="K75">
        <v>11.680301999999999</v>
      </c>
      <c r="L75">
        <v>11.63871</v>
      </c>
      <c r="M75">
        <v>11.575566999999999</v>
      </c>
      <c r="N75">
        <v>11.501217</v>
      </c>
      <c r="O75">
        <v>11.442689</v>
      </c>
      <c r="P75">
        <v>11.392999</v>
      </c>
      <c r="Q75">
        <v>11.369433000000001</v>
      </c>
      <c r="R75">
        <v>11.368779999999999</v>
      </c>
      <c r="S75">
        <v>11.382025000000001</v>
      </c>
      <c r="T75">
        <v>11.395296999999999</v>
      </c>
      <c r="U75">
        <v>11.414899</v>
      </c>
      <c r="V75">
        <v>11.4328</v>
      </c>
      <c r="W75">
        <v>11.445793</v>
      </c>
      <c r="X75">
        <v>11.459778</v>
      </c>
      <c r="Y75">
        <v>11.476362</v>
      </c>
      <c r="Z75">
        <v>11.494769</v>
      </c>
      <c r="AA75">
        <v>11.514135</v>
      </c>
      <c r="AB75">
        <v>11.533847</v>
      </c>
      <c r="AC75">
        <v>11.554574000000001</v>
      </c>
      <c r="AD75">
        <v>11.57732</v>
      </c>
      <c r="AE75">
        <v>11.603204</v>
      </c>
      <c r="AF75">
        <v>11.629573000000001</v>
      </c>
      <c r="AG75" s="42">
        <v>2E-3</v>
      </c>
    </row>
    <row r="76" spans="1:33" x14ac:dyDescent="0.25">
      <c r="A76" t="s">
        <v>426</v>
      </c>
      <c r="B76" t="s">
        <v>484</v>
      </c>
      <c r="C76" t="s">
        <v>485</v>
      </c>
      <c r="D76" t="s">
        <v>397</v>
      </c>
      <c r="F76">
        <v>4.4337000000000001E-2</v>
      </c>
      <c r="G76">
        <v>6.6201999999999997E-2</v>
      </c>
      <c r="H76">
        <v>9.8492999999999997E-2</v>
      </c>
      <c r="I76">
        <v>0.14113400000000001</v>
      </c>
      <c r="J76">
        <v>0.19359399999999999</v>
      </c>
      <c r="K76">
        <v>0.25625700000000001</v>
      </c>
      <c r="L76">
        <v>0.33226899999999998</v>
      </c>
      <c r="M76">
        <v>0.40964400000000001</v>
      </c>
      <c r="N76">
        <v>0.49610599999999999</v>
      </c>
      <c r="O76">
        <v>0.58273399999999997</v>
      </c>
      <c r="P76">
        <v>0.67127199999999998</v>
      </c>
      <c r="Q76">
        <v>0.75774600000000003</v>
      </c>
      <c r="R76">
        <v>0.84255199999999997</v>
      </c>
      <c r="S76">
        <v>0.92561800000000005</v>
      </c>
      <c r="T76">
        <v>1.0052989999999999</v>
      </c>
      <c r="U76">
        <v>1.0807180000000001</v>
      </c>
      <c r="V76">
        <v>1.151586</v>
      </c>
      <c r="W76">
        <v>1.2174419999999999</v>
      </c>
      <c r="X76">
        <v>1.277585</v>
      </c>
      <c r="Y76">
        <v>1.331949</v>
      </c>
      <c r="Z76">
        <v>1.380314</v>
      </c>
      <c r="AA76">
        <v>1.4238759999999999</v>
      </c>
      <c r="AB76">
        <v>1.4637</v>
      </c>
      <c r="AC76">
        <v>1.499768</v>
      </c>
      <c r="AD76">
        <v>1.5314890000000001</v>
      </c>
      <c r="AE76">
        <v>1.559817</v>
      </c>
      <c r="AF76">
        <v>1.58514</v>
      </c>
      <c r="AG76" s="42">
        <v>0.14699999999999999</v>
      </c>
    </row>
    <row r="77" spans="1:33" x14ac:dyDescent="0.25">
      <c r="A77" t="s">
        <v>428</v>
      </c>
      <c r="B77" t="s">
        <v>486</v>
      </c>
      <c r="C77" t="s">
        <v>487</v>
      </c>
      <c r="D77" t="s">
        <v>397</v>
      </c>
      <c r="F77">
        <v>0.175875</v>
      </c>
      <c r="G77">
        <v>0.199964</v>
      </c>
      <c r="H77">
        <v>0.22440399999999999</v>
      </c>
      <c r="I77">
        <v>0.24728700000000001</v>
      </c>
      <c r="J77">
        <v>0.27066400000000002</v>
      </c>
      <c r="K77">
        <v>0.29440899999999998</v>
      </c>
      <c r="L77">
        <v>0.31969599999999998</v>
      </c>
      <c r="M77">
        <v>0.34664099999999998</v>
      </c>
      <c r="N77">
        <v>0.37347900000000001</v>
      </c>
      <c r="O77">
        <v>0.400223</v>
      </c>
      <c r="P77">
        <v>0.42644399999999999</v>
      </c>
      <c r="Q77">
        <v>0.44691599999999998</v>
      </c>
      <c r="R77">
        <v>0.467945</v>
      </c>
      <c r="S77">
        <v>0.48925999999999997</v>
      </c>
      <c r="T77">
        <v>0.51142299999999996</v>
      </c>
      <c r="U77">
        <v>0.53387399999999996</v>
      </c>
      <c r="V77">
        <v>0.556782</v>
      </c>
      <c r="W77">
        <v>0.58001000000000003</v>
      </c>
      <c r="X77">
        <v>0.60384800000000005</v>
      </c>
      <c r="Y77">
        <v>0.62805299999999997</v>
      </c>
      <c r="Z77">
        <v>0.65273000000000003</v>
      </c>
      <c r="AA77">
        <v>0.67815700000000001</v>
      </c>
      <c r="AB77">
        <v>0.70421100000000003</v>
      </c>
      <c r="AC77">
        <v>0.73085999999999995</v>
      </c>
      <c r="AD77">
        <v>0.75824999999999998</v>
      </c>
      <c r="AE77">
        <v>0.78616600000000003</v>
      </c>
      <c r="AF77">
        <v>0.81450900000000004</v>
      </c>
      <c r="AG77" s="42">
        <v>6.0999999999999999E-2</v>
      </c>
    </row>
    <row r="78" spans="1:33" x14ac:dyDescent="0.25">
      <c r="A78" t="s">
        <v>439</v>
      </c>
      <c r="B78" t="s">
        <v>488</v>
      </c>
      <c r="C78" t="s">
        <v>489</v>
      </c>
      <c r="D78" t="s">
        <v>397</v>
      </c>
      <c r="F78">
        <v>10.994444</v>
      </c>
      <c r="G78">
        <v>11.369104999999999</v>
      </c>
      <c r="H78">
        <v>11.453377</v>
      </c>
      <c r="I78">
        <v>11.545189000000001</v>
      </c>
      <c r="J78">
        <v>11.616975</v>
      </c>
      <c r="K78">
        <v>11.642150000000001</v>
      </c>
      <c r="L78">
        <v>11.651282999999999</v>
      </c>
      <c r="M78">
        <v>11.63857</v>
      </c>
      <c r="N78">
        <v>11.623844</v>
      </c>
      <c r="O78">
        <v>11.625201000000001</v>
      </c>
      <c r="P78">
        <v>11.637828000000001</v>
      </c>
      <c r="Q78">
        <v>11.680263999999999</v>
      </c>
      <c r="R78">
        <v>11.743387</v>
      </c>
      <c r="S78">
        <v>11.818383000000001</v>
      </c>
      <c r="T78">
        <v>11.889173</v>
      </c>
      <c r="U78">
        <v>11.961743</v>
      </c>
      <c r="V78">
        <v>12.027604</v>
      </c>
      <c r="W78">
        <v>12.083225000000001</v>
      </c>
      <c r="X78">
        <v>12.133514999999999</v>
      </c>
      <c r="Y78">
        <v>12.180259</v>
      </c>
      <c r="Z78">
        <v>12.222353999999999</v>
      </c>
      <c r="AA78">
        <v>12.259854000000001</v>
      </c>
      <c r="AB78">
        <v>12.293336</v>
      </c>
      <c r="AC78">
        <v>12.323482</v>
      </c>
      <c r="AD78">
        <v>12.350557999999999</v>
      </c>
      <c r="AE78">
        <v>12.376855000000001</v>
      </c>
      <c r="AF78">
        <v>12.400204</v>
      </c>
      <c r="AG78" s="42">
        <v>5.0000000000000001E-3</v>
      </c>
    </row>
    <row r="79" spans="1:33" x14ac:dyDescent="0.25">
      <c r="A79" t="s">
        <v>490</v>
      </c>
      <c r="B79" t="s">
        <v>491</v>
      </c>
      <c r="C79" t="s">
        <v>492</v>
      </c>
      <c r="D79" t="s">
        <v>397</v>
      </c>
      <c r="F79">
        <v>7.3081649999999998</v>
      </c>
      <c r="G79">
        <v>7.0034419999999997</v>
      </c>
      <c r="H79">
        <v>6.6813919999999998</v>
      </c>
      <c r="I79">
        <v>6.5385549999999997</v>
      </c>
      <c r="J79">
        <v>6.4880519999999997</v>
      </c>
      <c r="K79">
        <v>6.4388649999999998</v>
      </c>
      <c r="L79">
        <v>6.2334740000000002</v>
      </c>
      <c r="M79">
        <v>6.0761130000000003</v>
      </c>
      <c r="N79">
        <v>5.7363569999999999</v>
      </c>
      <c r="O79">
        <v>5.6088019999999998</v>
      </c>
      <c r="P79">
        <v>5.4735290000000001</v>
      </c>
      <c r="Q79">
        <v>5.3148520000000001</v>
      </c>
      <c r="R79">
        <v>5.1783020000000004</v>
      </c>
      <c r="S79">
        <v>4.9983519999999997</v>
      </c>
      <c r="T79">
        <v>4.9232310000000004</v>
      </c>
      <c r="U79">
        <v>4.7068469999999998</v>
      </c>
      <c r="V79">
        <v>4.695487</v>
      </c>
      <c r="W79">
        <v>4.7543259999999998</v>
      </c>
      <c r="X79">
        <v>4.8107499999999996</v>
      </c>
      <c r="Y79">
        <v>4.8410310000000001</v>
      </c>
      <c r="Z79">
        <v>4.8741640000000004</v>
      </c>
      <c r="AA79">
        <v>4.8735869999999997</v>
      </c>
      <c r="AB79">
        <v>4.8684510000000003</v>
      </c>
      <c r="AC79">
        <v>4.8768079999999996</v>
      </c>
      <c r="AD79">
        <v>4.8952460000000002</v>
      </c>
      <c r="AE79">
        <v>4.921697</v>
      </c>
      <c r="AF79">
        <v>4.907921</v>
      </c>
      <c r="AG79" s="42">
        <v>-1.4999999999999999E-2</v>
      </c>
    </row>
    <row r="80" spans="1:33" x14ac:dyDescent="0.25">
      <c r="A80" t="s">
        <v>493</v>
      </c>
    </row>
    <row r="81" spans="1:33" x14ac:dyDescent="0.25">
      <c r="A81" t="s">
        <v>395</v>
      </c>
      <c r="B81" t="s">
        <v>494</v>
      </c>
      <c r="C81" t="s">
        <v>495</v>
      </c>
      <c r="D81" t="s">
        <v>397</v>
      </c>
      <c r="F81">
        <v>5.0720770000000002</v>
      </c>
      <c r="G81">
        <v>5.5949439999999999</v>
      </c>
      <c r="H81">
        <v>5.5466759999999997</v>
      </c>
      <c r="I81">
        <v>5.5127509999999997</v>
      </c>
      <c r="J81">
        <v>5.4781969999999998</v>
      </c>
      <c r="K81">
        <v>5.42523</v>
      </c>
      <c r="L81">
        <v>5.3452970000000004</v>
      </c>
      <c r="M81">
        <v>5.2583219999999997</v>
      </c>
      <c r="N81">
        <v>5.1415649999999999</v>
      </c>
      <c r="O81">
        <v>5.054691</v>
      </c>
      <c r="P81">
        <v>4.9640529999999998</v>
      </c>
      <c r="Q81">
        <v>4.8823540000000003</v>
      </c>
      <c r="R81">
        <v>4.8122379999999998</v>
      </c>
      <c r="S81">
        <v>4.7440480000000003</v>
      </c>
      <c r="T81">
        <v>4.6861040000000003</v>
      </c>
      <c r="U81">
        <v>4.6187880000000003</v>
      </c>
      <c r="V81">
        <v>4.5678939999999999</v>
      </c>
      <c r="W81">
        <v>4.5195980000000002</v>
      </c>
      <c r="X81">
        <v>4.4716589999999998</v>
      </c>
      <c r="Y81">
        <v>4.4228120000000004</v>
      </c>
      <c r="Z81">
        <v>4.3763120000000004</v>
      </c>
      <c r="AA81">
        <v>4.3289540000000004</v>
      </c>
      <c r="AB81">
        <v>4.2821319999999998</v>
      </c>
      <c r="AC81">
        <v>4.2370099999999997</v>
      </c>
      <c r="AD81">
        <v>4.1936239999999998</v>
      </c>
      <c r="AE81">
        <v>4.1525160000000003</v>
      </c>
      <c r="AF81">
        <v>4.1088940000000003</v>
      </c>
      <c r="AG81" s="42">
        <v>-8.0000000000000002E-3</v>
      </c>
    </row>
    <row r="82" spans="1:33" x14ac:dyDescent="0.25">
      <c r="A82" t="s">
        <v>398</v>
      </c>
      <c r="B82" t="s">
        <v>496</v>
      </c>
      <c r="C82" t="s">
        <v>497</v>
      </c>
      <c r="D82" t="s">
        <v>397</v>
      </c>
      <c r="F82">
        <v>2.4304489999999999</v>
      </c>
      <c r="G82">
        <v>2.2758150000000001</v>
      </c>
      <c r="H82">
        <v>2.2382770000000001</v>
      </c>
      <c r="I82">
        <v>2.2279779999999998</v>
      </c>
      <c r="J82">
        <v>2.2235339999999999</v>
      </c>
      <c r="K82">
        <v>2.208526</v>
      </c>
      <c r="L82">
        <v>2.1621739999999998</v>
      </c>
      <c r="M82">
        <v>2.123043</v>
      </c>
      <c r="N82">
        <v>2.0535040000000002</v>
      </c>
      <c r="O82">
        <v>2.0297960000000002</v>
      </c>
      <c r="P82">
        <v>2.0076179999999999</v>
      </c>
      <c r="Q82">
        <v>1.988211</v>
      </c>
      <c r="R82">
        <v>1.9783759999999999</v>
      </c>
      <c r="S82">
        <v>1.9648620000000001</v>
      </c>
      <c r="T82">
        <v>1.9679770000000001</v>
      </c>
      <c r="U82">
        <v>1.949721</v>
      </c>
      <c r="V82">
        <v>1.966256</v>
      </c>
      <c r="W82">
        <v>1.9956339999999999</v>
      </c>
      <c r="X82">
        <v>2.024689</v>
      </c>
      <c r="Y82">
        <v>2.0503870000000002</v>
      </c>
      <c r="Z82">
        <v>2.0768300000000002</v>
      </c>
      <c r="AA82">
        <v>2.0974599999999999</v>
      </c>
      <c r="AB82">
        <v>2.117029</v>
      </c>
      <c r="AC82">
        <v>2.1388780000000001</v>
      </c>
      <c r="AD82">
        <v>2.1626949999999998</v>
      </c>
      <c r="AE82">
        <v>2.1883900000000001</v>
      </c>
      <c r="AF82">
        <v>2.2074120000000002</v>
      </c>
      <c r="AG82" s="42">
        <v>-4.0000000000000001E-3</v>
      </c>
    </row>
    <row r="83" spans="1:33" x14ac:dyDescent="0.25">
      <c r="A83" t="s">
        <v>400</v>
      </c>
      <c r="B83" t="s">
        <v>498</v>
      </c>
      <c r="C83" t="s">
        <v>499</v>
      </c>
      <c r="D83" t="s">
        <v>397</v>
      </c>
      <c r="F83">
        <v>2.254912</v>
      </c>
      <c r="G83">
        <v>2.207198</v>
      </c>
      <c r="H83">
        <v>2.15517</v>
      </c>
      <c r="I83">
        <v>2.117918</v>
      </c>
      <c r="J83">
        <v>2.085118</v>
      </c>
      <c r="K83">
        <v>2.0277720000000001</v>
      </c>
      <c r="L83">
        <v>1.9554990000000001</v>
      </c>
      <c r="M83">
        <v>1.8870499999999999</v>
      </c>
      <c r="N83">
        <v>1.812092</v>
      </c>
      <c r="O83">
        <v>1.758513</v>
      </c>
      <c r="P83">
        <v>1.7131769999999999</v>
      </c>
      <c r="Q83">
        <v>1.6759839999999999</v>
      </c>
      <c r="R83">
        <v>1.645438</v>
      </c>
      <c r="S83">
        <v>1.6179760000000001</v>
      </c>
      <c r="T83">
        <v>1.5979920000000001</v>
      </c>
      <c r="U83">
        <v>1.5760190000000001</v>
      </c>
      <c r="V83">
        <v>1.5640879999999999</v>
      </c>
      <c r="W83">
        <v>1.555426</v>
      </c>
      <c r="X83">
        <v>1.5481560000000001</v>
      </c>
      <c r="Y83">
        <v>1.5417419999999999</v>
      </c>
      <c r="Z83">
        <v>1.534589</v>
      </c>
      <c r="AA83">
        <v>1.5257769999999999</v>
      </c>
      <c r="AB83">
        <v>1.5159530000000001</v>
      </c>
      <c r="AC83">
        <v>1.506481</v>
      </c>
      <c r="AD83">
        <v>1.4977940000000001</v>
      </c>
      <c r="AE83">
        <v>1.4897039999999999</v>
      </c>
      <c r="AF83">
        <v>1.4811129999999999</v>
      </c>
      <c r="AG83" s="42">
        <v>-1.6E-2</v>
      </c>
    </row>
    <row r="84" spans="1:33" x14ac:dyDescent="0.25">
      <c r="A84" t="s">
        <v>402</v>
      </c>
      <c r="B84" t="s">
        <v>500</v>
      </c>
      <c r="C84" t="s">
        <v>501</v>
      </c>
      <c r="D84" t="s">
        <v>397</v>
      </c>
      <c r="F84">
        <v>0.83436900000000003</v>
      </c>
      <c r="G84">
        <v>0.81323999999999996</v>
      </c>
      <c r="H84">
        <v>0.78204499999999999</v>
      </c>
      <c r="I84">
        <v>0.76202000000000003</v>
      </c>
      <c r="J84">
        <v>0.74912400000000001</v>
      </c>
      <c r="K84">
        <v>0.73896799999999996</v>
      </c>
      <c r="L84">
        <v>0.71543599999999996</v>
      </c>
      <c r="M84">
        <v>0.69633699999999998</v>
      </c>
      <c r="N84">
        <v>0.66696200000000005</v>
      </c>
      <c r="O84">
        <v>0.65037400000000001</v>
      </c>
      <c r="P84">
        <v>0.63358099999999995</v>
      </c>
      <c r="Q84">
        <v>0.61604999999999999</v>
      </c>
      <c r="R84">
        <v>0.60050700000000001</v>
      </c>
      <c r="S84">
        <v>0.58383200000000002</v>
      </c>
      <c r="T84">
        <v>0.57394999999999996</v>
      </c>
      <c r="U84">
        <v>0.55827599999999999</v>
      </c>
      <c r="V84">
        <v>0.55381800000000003</v>
      </c>
      <c r="W84">
        <v>0.55363700000000005</v>
      </c>
      <c r="X84">
        <v>0.55415000000000003</v>
      </c>
      <c r="Y84">
        <v>0.55424799999999996</v>
      </c>
      <c r="Z84">
        <v>0.55540800000000001</v>
      </c>
      <c r="AA84">
        <v>0.55603400000000003</v>
      </c>
      <c r="AB84">
        <v>0.55740999999999996</v>
      </c>
      <c r="AC84">
        <v>0.56030400000000002</v>
      </c>
      <c r="AD84">
        <v>0.56375200000000003</v>
      </c>
      <c r="AE84">
        <v>0.56756799999999996</v>
      </c>
      <c r="AF84">
        <v>0.56962299999999999</v>
      </c>
      <c r="AG84" s="42">
        <v>-1.4999999999999999E-2</v>
      </c>
    </row>
    <row r="85" spans="1:33" x14ac:dyDescent="0.25">
      <c r="A85" t="s">
        <v>404</v>
      </c>
      <c r="B85" t="s">
        <v>502</v>
      </c>
      <c r="C85" t="s">
        <v>503</v>
      </c>
      <c r="D85" t="s">
        <v>397</v>
      </c>
      <c r="F85">
        <v>0.248167</v>
      </c>
      <c r="G85">
        <v>0.245888</v>
      </c>
      <c r="H85">
        <v>0.24190700000000001</v>
      </c>
      <c r="I85">
        <v>0.240067</v>
      </c>
      <c r="J85">
        <v>0.23961399999999999</v>
      </c>
      <c r="K85">
        <v>0.23957000000000001</v>
      </c>
      <c r="L85">
        <v>0.23766200000000001</v>
      </c>
      <c r="M85">
        <v>0.23643</v>
      </c>
      <c r="N85">
        <v>0.23273099999999999</v>
      </c>
      <c r="O85">
        <v>0.231519</v>
      </c>
      <c r="P85">
        <v>0.23006799999999999</v>
      </c>
      <c r="Q85">
        <v>0.22825699999999999</v>
      </c>
      <c r="R85">
        <v>0.22664200000000001</v>
      </c>
      <c r="S85">
        <v>0.224499</v>
      </c>
      <c r="T85">
        <v>0.22372</v>
      </c>
      <c r="U85">
        <v>0.22136</v>
      </c>
      <c r="V85">
        <v>0.221442</v>
      </c>
      <c r="W85">
        <v>0.22236</v>
      </c>
      <c r="X85">
        <v>0.22328500000000001</v>
      </c>
      <c r="Y85">
        <v>0.223908</v>
      </c>
      <c r="Z85">
        <v>0.22459699999999999</v>
      </c>
      <c r="AA85">
        <v>0.22497300000000001</v>
      </c>
      <c r="AB85">
        <v>0.22533500000000001</v>
      </c>
      <c r="AC85">
        <v>0.22587599999999999</v>
      </c>
      <c r="AD85">
        <v>0.22655600000000001</v>
      </c>
      <c r="AE85">
        <v>0.22733500000000001</v>
      </c>
      <c r="AF85">
        <v>0.22772600000000001</v>
      </c>
      <c r="AG85" s="42">
        <v>-3.0000000000000001E-3</v>
      </c>
    </row>
    <row r="86" spans="1:33" x14ac:dyDescent="0.25">
      <c r="A86" t="s">
        <v>406</v>
      </c>
      <c r="B86" t="s">
        <v>504</v>
      </c>
      <c r="C86" t="s">
        <v>505</v>
      </c>
      <c r="D86" t="s">
        <v>397</v>
      </c>
      <c r="F86">
        <v>0.49492199999999997</v>
      </c>
      <c r="G86">
        <v>0.48944100000000001</v>
      </c>
      <c r="H86">
        <v>0.48186299999999999</v>
      </c>
      <c r="I86">
        <v>0.48192200000000002</v>
      </c>
      <c r="J86">
        <v>0.48343700000000001</v>
      </c>
      <c r="K86">
        <v>0.48252400000000001</v>
      </c>
      <c r="L86">
        <v>0.47429700000000002</v>
      </c>
      <c r="M86">
        <v>0.46656700000000001</v>
      </c>
      <c r="N86">
        <v>0.45136500000000002</v>
      </c>
      <c r="O86">
        <v>0.44343900000000003</v>
      </c>
      <c r="P86">
        <v>0.43618699999999999</v>
      </c>
      <c r="Q86">
        <v>0.430033</v>
      </c>
      <c r="R86">
        <v>0.42633100000000002</v>
      </c>
      <c r="S86">
        <v>0.42240699999999998</v>
      </c>
      <c r="T86">
        <v>0.42241099999999998</v>
      </c>
      <c r="U86">
        <v>0.41865400000000003</v>
      </c>
      <c r="V86">
        <v>0.42238999999999999</v>
      </c>
      <c r="W86">
        <v>0.42903799999999997</v>
      </c>
      <c r="X86">
        <v>0.43540499999999999</v>
      </c>
      <c r="Y86">
        <v>0.440855</v>
      </c>
      <c r="Z86">
        <v>0.44618999999999998</v>
      </c>
      <c r="AA86">
        <v>0.45022600000000002</v>
      </c>
      <c r="AB86">
        <v>0.45383200000000001</v>
      </c>
      <c r="AC86">
        <v>0.45763500000000001</v>
      </c>
      <c r="AD86">
        <v>0.46167999999999998</v>
      </c>
      <c r="AE86">
        <v>0.46588400000000002</v>
      </c>
      <c r="AF86">
        <v>0.46861199999999997</v>
      </c>
      <c r="AG86" s="42">
        <v>-2E-3</v>
      </c>
    </row>
    <row r="87" spans="1:33" x14ac:dyDescent="0.25">
      <c r="A87" t="s">
        <v>408</v>
      </c>
      <c r="B87" t="s">
        <v>506</v>
      </c>
      <c r="C87" t="s">
        <v>507</v>
      </c>
      <c r="D87" t="s">
        <v>397</v>
      </c>
      <c r="F87">
        <v>0.188837</v>
      </c>
      <c r="G87">
        <v>0.18443399999999999</v>
      </c>
      <c r="H87">
        <v>0.17776500000000001</v>
      </c>
      <c r="I87">
        <v>0.17363799999999999</v>
      </c>
      <c r="J87">
        <v>0.17108699999999999</v>
      </c>
      <c r="K87">
        <v>0.16893900000000001</v>
      </c>
      <c r="L87">
        <v>0.163936</v>
      </c>
      <c r="M87">
        <v>0.15971099999999999</v>
      </c>
      <c r="N87">
        <v>0.15293300000000001</v>
      </c>
      <c r="O87">
        <v>0.14905099999999999</v>
      </c>
      <c r="P87">
        <v>0.14508699999999999</v>
      </c>
      <c r="Q87">
        <v>0.140906</v>
      </c>
      <c r="R87">
        <v>0.13705899999999999</v>
      </c>
      <c r="S87">
        <v>0.13283300000000001</v>
      </c>
      <c r="T87">
        <v>0.13004299999999999</v>
      </c>
      <c r="U87">
        <v>0.12584500000000001</v>
      </c>
      <c r="V87">
        <v>0.124086</v>
      </c>
      <c r="W87">
        <v>0.123207</v>
      </c>
      <c r="X87">
        <v>0.122402</v>
      </c>
      <c r="Y87">
        <v>0.121429</v>
      </c>
      <c r="Z87">
        <v>0.120619</v>
      </c>
      <c r="AA87">
        <v>0.119619</v>
      </c>
      <c r="AB87">
        <v>0.118727</v>
      </c>
      <c r="AC87">
        <v>0.118106</v>
      </c>
      <c r="AD87">
        <v>0.11773400000000001</v>
      </c>
      <c r="AE87">
        <v>0.11758299999999999</v>
      </c>
      <c r="AF87">
        <v>0.11722100000000001</v>
      </c>
      <c r="AG87" s="42">
        <v>-1.7999999999999999E-2</v>
      </c>
    </row>
    <row r="88" spans="1:33" x14ac:dyDescent="0.25">
      <c r="A88" t="s">
        <v>410</v>
      </c>
      <c r="B88" t="s">
        <v>508</v>
      </c>
      <c r="C88" t="s">
        <v>509</v>
      </c>
      <c r="D88" t="s">
        <v>397</v>
      </c>
      <c r="F88">
        <v>0.444797</v>
      </c>
      <c r="G88">
        <v>0.431085</v>
      </c>
      <c r="H88">
        <v>0.418989</v>
      </c>
      <c r="I88">
        <v>0.41728799999999999</v>
      </c>
      <c r="J88">
        <v>0.41802699999999998</v>
      </c>
      <c r="K88">
        <v>0.417105</v>
      </c>
      <c r="L88">
        <v>0.40623199999999998</v>
      </c>
      <c r="M88">
        <v>0.39706999999999998</v>
      </c>
      <c r="N88">
        <v>0.382521</v>
      </c>
      <c r="O88">
        <v>0.37509300000000001</v>
      </c>
      <c r="P88">
        <v>0.36813499999999999</v>
      </c>
      <c r="Q88">
        <v>0.36150100000000002</v>
      </c>
      <c r="R88">
        <v>0.35624800000000001</v>
      </c>
      <c r="S88">
        <v>0.34997800000000001</v>
      </c>
      <c r="T88">
        <v>0.346777</v>
      </c>
      <c r="U88">
        <v>0.339808</v>
      </c>
      <c r="V88">
        <v>0.33365800000000001</v>
      </c>
      <c r="W88">
        <v>0.33015299999999997</v>
      </c>
      <c r="X88">
        <v>0.32734099999999999</v>
      </c>
      <c r="Y88">
        <v>0.32462999999999997</v>
      </c>
      <c r="Z88">
        <v>0.322772</v>
      </c>
      <c r="AA88">
        <v>0.320494</v>
      </c>
      <c r="AB88">
        <v>0.31829299999999999</v>
      </c>
      <c r="AC88">
        <v>0.31657800000000003</v>
      </c>
      <c r="AD88">
        <v>0.31545200000000001</v>
      </c>
      <c r="AE88">
        <v>0.31481700000000001</v>
      </c>
      <c r="AF88">
        <v>0.31331799999999999</v>
      </c>
      <c r="AG88" s="42">
        <v>-1.2999999999999999E-2</v>
      </c>
    </row>
    <row r="89" spans="1:33" x14ac:dyDescent="0.25">
      <c r="A89" t="s">
        <v>412</v>
      </c>
      <c r="B89" t="s">
        <v>510</v>
      </c>
      <c r="C89" t="s">
        <v>511</v>
      </c>
      <c r="D89" t="s">
        <v>397</v>
      </c>
      <c r="F89">
        <v>9.9243999999999999E-2</v>
      </c>
      <c r="G89">
        <v>9.4710000000000003E-2</v>
      </c>
      <c r="H89">
        <v>8.9117000000000002E-2</v>
      </c>
      <c r="I89">
        <v>8.4903999999999993E-2</v>
      </c>
      <c r="J89">
        <v>8.1204999999999999E-2</v>
      </c>
      <c r="K89">
        <v>7.7734999999999999E-2</v>
      </c>
      <c r="L89">
        <v>7.3029999999999998E-2</v>
      </c>
      <c r="M89">
        <v>6.8704000000000001E-2</v>
      </c>
      <c r="N89">
        <v>6.3273999999999997E-2</v>
      </c>
      <c r="O89">
        <v>5.9555999999999998E-2</v>
      </c>
      <c r="P89">
        <v>5.6260999999999999E-2</v>
      </c>
      <c r="Q89">
        <v>5.3317000000000003E-2</v>
      </c>
      <c r="R89">
        <v>5.0941E-2</v>
      </c>
      <c r="S89">
        <v>4.8864999999999999E-2</v>
      </c>
      <c r="T89">
        <v>4.7768999999999999E-2</v>
      </c>
      <c r="U89">
        <v>4.6601999999999998E-2</v>
      </c>
      <c r="V89">
        <v>4.6306E-2</v>
      </c>
      <c r="W89">
        <v>4.6311999999999999E-2</v>
      </c>
      <c r="X89">
        <v>4.6330999999999997E-2</v>
      </c>
      <c r="Y89">
        <v>4.6272000000000001E-2</v>
      </c>
      <c r="Z89">
        <v>4.6264E-2</v>
      </c>
      <c r="AA89">
        <v>4.6171999999999998E-2</v>
      </c>
      <c r="AB89">
        <v>4.6100000000000002E-2</v>
      </c>
      <c r="AC89">
        <v>4.6112E-2</v>
      </c>
      <c r="AD89">
        <v>4.6191999999999997E-2</v>
      </c>
      <c r="AE89">
        <v>4.6323000000000003E-2</v>
      </c>
      <c r="AF89">
        <v>4.6328000000000001E-2</v>
      </c>
      <c r="AG89" s="42">
        <v>-2.9000000000000001E-2</v>
      </c>
    </row>
    <row r="90" spans="1:33" x14ac:dyDescent="0.25">
      <c r="A90" t="s">
        <v>414</v>
      </c>
      <c r="B90" t="s">
        <v>512</v>
      </c>
      <c r="C90" t="s">
        <v>513</v>
      </c>
      <c r="D90" t="s">
        <v>397</v>
      </c>
      <c r="F90">
        <v>8.6331000000000005E-2</v>
      </c>
      <c r="G90">
        <v>8.6544999999999997E-2</v>
      </c>
      <c r="H90">
        <v>8.5641999999999996E-2</v>
      </c>
      <c r="I90">
        <v>8.4376000000000007E-2</v>
      </c>
      <c r="J90">
        <v>8.3617999999999998E-2</v>
      </c>
      <c r="K90">
        <v>8.2980999999999999E-2</v>
      </c>
      <c r="L90">
        <v>8.1242999999999996E-2</v>
      </c>
      <c r="M90">
        <v>7.9811000000000007E-2</v>
      </c>
      <c r="N90">
        <v>7.7004000000000003E-2</v>
      </c>
      <c r="O90">
        <v>7.5736999999999999E-2</v>
      </c>
      <c r="P90">
        <v>7.4533000000000002E-2</v>
      </c>
      <c r="Q90">
        <v>7.3311000000000001E-2</v>
      </c>
      <c r="R90">
        <v>7.2366E-2</v>
      </c>
      <c r="S90">
        <v>7.1322999999999998E-2</v>
      </c>
      <c r="T90">
        <v>7.1161000000000002E-2</v>
      </c>
      <c r="U90">
        <v>7.0335999999999996E-2</v>
      </c>
      <c r="V90">
        <v>7.0790000000000006E-2</v>
      </c>
      <c r="W90">
        <v>7.1684999999999999E-2</v>
      </c>
      <c r="X90">
        <v>7.2578000000000004E-2</v>
      </c>
      <c r="Y90">
        <v>7.3320999999999997E-2</v>
      </c>
      <c r="Z90">
        <v>7.4113999999999999E-2</v>
      </c>
      <c r="AA90">
        <v>7.4737999999999999E-2</v>
      </c>
      <c r="AB90">
        <v>7.5360999999999997E-2</v>
      </c>
      <c r="AC90">
        <v>7.6092000000000007E-2</v>
      </c>
      <c r="AD90">
        <v>7.6909000000000005E-2</v>
      </c>
      <c r="AE90">
        <v>7.7789999999999998E-2</v>
      </c>
      <c r="AF90">
        <v>7.8446000000000002E-2</v>
      </c>
      <c r="AG90" s="42">
        <v>-4.0000000000000001E-3</v>
      </c>
    </row>
    <row r="91" spans="1:33" x14ac:dyDescent="0.25">
      <c r="A91" t="s">
        <v>416</v>
      </c>
      <c r="B91" t="s">
        <v>514</v>
      </c>
      <c r="C91" t="s">
        <v>515</v>
      </c>
      <c r="D91" t="s">
        <v>397</v>
      </c>
      <c r="F91">
        <v>0.30711899999999998</v>
      </c>
      <c r="G91">
        <v>0.29425099999999998</v>
      </c>
      <c r="H91">
        <v>0.280609</v>
      </c>
      <c r="I91">
        <v>0.272123</v>
      </c>
      <c r="J91">
        <v>0.26519900000000002</v>
      </c>
      <c r="K91">
        <v>0.257544</v>
      </c>
      <c r="L91">
        <v>0.246393</v>
      </c>
      <c r="M91">
        <v>0.236623</v>
      </c>
      <c r="N91">
        <v>0.22373899999999999</v>
      </c>
      <c r="O91">
        <v>0.21529999999999999</v>
      </c>
      <c r="P91">
        <v>0.20735500000000001</v>
      </c>
      <c r="Q91">
        <v>0.19991300000000001</v>
      </c>
      <c r="R91">
        <v>0.193637</v>
      </c>
      <c r="S91">
        <v>0.18721699999999999</v>
      </c>
      <c r="T91">
        <v>0.18281800000000001</v>
      </c>
      <c r="U91">
        <v>0.17662</v>
      </c>
      <c r="V91">
        <v>0.17403299999999999</v>
      </c>
      <c r="W91">
        <v>0.172705</v>
      </c>
      <c r="X91">
        <v>0.17153199999999999</v>
      </c>
      <c r="Y91">
        <v>0.17025799999999999</v>
      </c>
      <c r="Z91">
        <v>0.16928799999999999</v>
      </c>
      <c r="AA91">
        <v>0.168161</v>
      </c>
      <c r="AB91">
        <v>0.167245</v>
      </c>
      <c r="AC91">
        <v>0.16664399999999999</v>
      </c>
      <c r="AD91">
        <v>0.16637199999999999</v>
      </c>
      <c r="AE91">
        <v>0.16633999999999999</v>
      </c>
      <c r="AF91">
        <v>0.16592000000000001</v>
      </c>
      <c r="AG91" s="42">
        <v>-2.3E-2</v>
      </c>
    </row>
    <row r="92" spans="1:33" x14ac:dyDescent="0.25">
      <c r="A92" t="s">
        <v>418</v>
      </c>
      <c r="B92" t="s">
        <v>516</v>
      </c>
      <c r="C92" t="s">
        <v>517</v>
      </c>
      <c r="D92" t="s">
        <v>397</v>
      </c>
      <c r="F92">
        <v>0.237738</v>
      </c>
      <c r="G92">
        <v>0.228604</v>
      </c>
      <c r="H92">
        <v>0.218973</v>
      </c>
      <c r="I92">
        <v>0.21308299999999999</v>
      </c>
      <c r="J92">
        <v>0.20799599999999999</v>
      </c>
      <c r="K92">
        <v>0.20194999999999999</v>
      </c>
      <c r="L92">
        <v>0.192855</v>
      </c>
      <c r="M92">
        <v>0.18459800000000001</v>
      </c>
      <c r="N92">
        <v>0.173739</v>
      </c>
      <c r="O92">
        <v>0.16619900000000001</v>
      </c>
      <c r="P92">
        <v>0.15892999999999999</v>
      </c>
      <c r="Q92">
        <v>0.15194299999999999</v>
      </c>
      <c r="R92">
        <v>0.14578099999999999</v>
      </c>
      <c r="S92">
        <v>0.139492</v>
      </c>
      <c r="T92">
        <v>0.134683</v>
      </c>
      <c r="U92">
        <v>0.12856999999999999</v>
      </c>
      <c r="V92">
        <v>0.125114</v>
      </c>
      <c r="W92">
        <v>0.122562</v>
      </c>
      <c r="X92">
        <v>0.12016</v>
      </c>
      <c r="Y92">
        <v>0.117718</v>
      </c>
      <c r="Z92">
        <v>0.115565</v>
      </c>
      <c r="AA92">
        <v>0.11339399999999999</v>
      </c>
      <c r="AB92">
        <v>0.111496</v>
      </c>
      <c r="AC92">
        <v>0.109961</v>
      </c>
      <c r="AD92">
        <v>0.108803</v>
      </c>
      <c r="AE92">
        <v>0.108018</v>
      </c>
      <c r="AF92">
        <v>0.107144</v>
      </c>
      <c r="AG92" s="42">
        <v>-0.03</v>
      </c>
    </row>
    <row r="93" spans="1:33" x14ac:dyDescent="0.25">
      <c r="A93" t="s">
        <v>420</v>
      </c>
      <c r="B93" t="s">
        <v>518</v>
      </c>
      <c r="C93" t="s">
        <v>519</v>
      </c>
      <c r="D93" t="s">
        <v>397</v>
      </c>
      <c r="F93">
        <v>0.326573</v>
      </c>
      <c r="G93">
        <v>0.368564</v>
      </c>
      <c r="H93">
        <v>0.35995300000000002</v>
      </c>
      <c r="I93">
        <v>0.35516199999999998</v>
      </c>
      <c r="J93">
        <v>0.35273900000000002</v>
      </c>
      <c r="K93">
        <v>0.35071099999999999</v>
      </c>
      <c r="L93">
        <v>0.34393699999999999</v>
      </c>
      <c r="M93">
        <v>0.33817000000000003</v>
      </c>
      <c r="N93">
        <v>0.32639600000000002</v>
      </c>
      <c r="O93">
        <v>0.32047500000000001</v>
      </c>
      <c r="P93">
        <v>0.31375199999999998</v>
      </c>
      <c r="Q93">
        <v>0.30642599999999998</v>
      </c>
      <c r="R93">
        <v>0.29960599999999998</v>
      </c>
      <c r="S93">
        <v>0.29144599999999998</v>
      </c>
      <c r="T93">
        <v>0.28566900000000001</v>
      </c>
      <c r="U93">
        <v>0.276061</v>
      </c>
      <c r="V93">
        <v>0.270928</v>
      </c>
      <c r="W93">
        <v>0.266793</v>
      </c>
      <c r="X93">
        <v>0.26218599999999997</v>
      </c>
      <c r="Y93">
        <v>0.25663599999999998</v>
      </c>
      <c r="Z93">
        <v>0.25117200000000001</v>
      </c>
      <c r="AA93">
        <v>0.24529599999999999</v>
      </c>
      <c r="AB93">
        <v>0.239625</v>
      </c>
      <c r="AC93">
        <v>0.234462</v>
      </c>
      <c r="AD93">
        <v>0.22988700000000001</v>
      </c>
      <c r="AE93">
        <v>0.22586700000000001</v>
      </c>
      <c r="AF93">
        <v>0.22146399999999999</v>
      </c>
      <c r="AG93" s="42">
        <v>-1.4999999999999999E-2</v>
      </c>
    </row>
    <row r="94" spans="1:33" x14ac:dyDescent="0.25">
      <c r="A94" t="s">
        <v>422</v>
      </c>
      <c r="B94" t="s">
        <v>520</v>
      </c>
      <c r="C94" t="s">
        <v>521</v>
      </c>
      <c r="D94" t="s">
        <v>397</v>
      </c>
      <c r="F94">
        <v>5.3455979999999998</v>
      </c>
      <c r="G94">
        <v>5.1003540000000003</v>
      </c>
      <c r="H94">
        <v>5.0560419999999997</v>
      </c>
      <c r="I94">
        <v>5.0707329999999997</v>
      </c>
      <c r="J94">
        <v>5.1072300000000004</v>
      </c>
      <c r="K94">
        <v>5.1327439999999998</v>
      </c>
      <c r="L94">
        <v>5.0922879999999999</v>
      </c>
      <c r="M94">
        <v>5.0634690000000004</v>
      </c>
      <c r="N94">
        <v>4.9634910000000003</v>
      </c>
      <c r="O94">
        <v>4.935073</v>
      </c>
      <c r="P94">
        <v>4.906428</v>
      </c>
      <c r="Q94">
        <v>4.8730859999999998</v>
      </c>
      <c r="R94">
        <v>4.8535170000000001</v>
      </c>
      <c r="S94">
        <v>4.8223719999999997</v>
      </c>
      <c r="T94">
        <v>4.827915</v>
      </c>
      <c r="U94">
        <v>4.7868079999999997</v>
      </c>
      <c r="V94">
        <v>4.820773</v>
      </c>
      <c r="W94">
        <v>4.8767820000000004</v>
      </c>
      <c r="X94">
        <v>4.9332890000000003</v>
      </c>
      <c r="Y94">
        <v>4.9820409999999997</v>
      </c>
      <c r="Z94">
        <v>5.0334469999999998</v>
      </c>
      <c r="AA94">
        <v>5.0741160000000001</v>
      </c>
      <c r="AB94">
        <v>5.1143939999999999</v>
      </c>
      <c r="AC94">
        <v>5.1602550000000003</v>
      </c>
      <c r="AD94">
        <v>5.2108689999999998</v>
      </c>
      <c r="AE94">
        <v>5.2656999999999998</v>
      </c>
      <c r="AF94">
        <v>5.3072340000000002</v>
      </c>
      <c r="AG94" s="42">
        <v>0</v>
      </c>
    </row>
    <row r="95" spans="1:33" x14ac:dyDescent="0.25">
      <c r="A95" t="s">
        <v>522</v>
      </c>
      <c r="B95" t="s">
        <v>523</v>
      </c>
      <c r="C95" t="s">
        <v>524</v>
      </c>
      <c r="D95" t="s">
        <v>397</v>
      </c>
      <c r="F95">
        <v>18.371131999999999</v>
      </c>
      <c r="G95">
        <v>18.415074000000001</v>
      </c>
      <c r="H95">
        <v>18.133026000000001</v>
      </c>
      <c r="I95">
        <v>18.013961999999999</v>
      </c>
      <c r="J95">
        <v>17.946123</v>
      </c>
      <c r="K95">
        <v>17.8123</v>
      </c>
      <c r="L95">
        <v>17.490281</v>
      </c>
      <c r="M95">
        <v>17.195905</v>
      </c>
      <c r="N95">
        <v>16.721316999999999</v>
      </c>
      <c r="O95">
        <v>16.464817</v>
      </c>
      <c r="P95">
        <v>16.215164000000001</v>
      </c>
      <c r="Q95">
        <v>15.981293000000001</v>
      </c>
      <c r="R95">
        <v>15.798686999999999</v>
      </c>
      <c r="S95">
        <v>15.601150000000001</v>
      </c>
      <c r="T95">
        <v>15.498989999999999</v>
      </c>
      <c r="U95">
        <v>15.293468000000001</v>
      </c>
      <c r="V95">
        <v>15.261576</v>
      </c>
      <c r="W95">
        <v>15.285894000000001</v>
      </c>
      <c r="X95">
        <v>15.313164</v>
      </c>
      <c r="Y95">
        <v>15.326256000000001</v>
      </c>
      <c r="Z95">
        <v>15.347167000000001</v>
      </c>
      <c r="AA95">
        <v>15.345414</v>
      </c>
      <c r="AB95">
        <v>15.342934</v>
      </c>
      <c r="AC95">
        <v>15.354395</v>
      </c>
      <c r="AD95">
        <v>15.378318</v>
      </c>
      <c r="AE95">
        <v>15.413835000000001</v>
      </c>
      <c r="AF95">
        <v>15.420456</v>
      </c>
      <c r="AG95" s="42">
        <v>-7.0000000000000001E-3</v>
      </c>
    </row>
    <row r="96" spans="1:33" x14ac:dyDescent="0.25">
      <c r="A96" t="s">
        <v>426</v>
      </c>
      <c r="B96" t="s">
        <v>525</v>
      </c>
      <c r="C96" t="s">
        <v>526</v>
      </c>
      <c r="D96" t="s">
        <v>397</v>
      </c>
      <c r="F96">
        <v>0.107354</v>
      </c>
      <c r="G96">
        <v>0.157442</v>
      </c>
      <c r="H96">
        <v>0.22615399999999999</v>
      </c>
      <c r="I96">
        <v>0.317077</v>
      </c>
      <c r="J96">
        <v>0.42958099999999999</v>
      </c>
      <c r="K96">
        <v>0.563141</v>
      </c>
      <c r="L96">
        <v>0.71419200000000005</v>
      </c>
      <c r="M96">
        <v>0.86545000000000005</v>
      </c>
      <c r="N96">
        <v>1.0124040000000001</v>
      </c>
      <c r="O96">
        <v>1.1694500000000001</v>
      </c>
      <c r="P96">
        <v>1.322692</v>
      </c>
      <c r="Q96">
        <v>1.4608049999999999</v>
      </c>
      <c r="R96">
        <v>1.591019</v>
      </c>
      <c r="S96">
        <v>1.7049209999999999</v>
      </c>
      <c r="T96">
        <v>1.824918</v>
      </c>
      <c r="U96">
        <v>1.9090819999999999</v>
      </c>
      <c r="V96">
        <v>2.0183990000000001</v>
      </c>
      <c r="W96">
        <v>2.1317659999999998</v>
      </c>
      <c r="X96">
        <v>2.2350590000000001</v>
      </c>
      <c r="Y96">
        <v>2.3232309999999998</v>
      </c>
      <c r="Z96">
        <v>2.4022049999999999</v>
      </c>
      <c r="AA96">
        <v>2.4662980000000001</v>
      </c>
      <c r="AB96">
        <v>2.523196</v>
      </c>
      <c r="AC96">
        <v>2.5768949999999999</v>
      </c>
      <c r="AD96">
        <v>2.6258699999999999</v>
      </c>
      <c r="AE96">
        <v>2.6710289999999999</v>
      </c>
      <c r="AF96">
        <v>2.7023269999999999</v>
      </c>
      <c r="AG96" s="42">
        <v>0.13200000000000001</v>
      </c>
    </row>
    <row r="97" spans="1:33" x14ac:dyDescent="0.25">
      <c r="A97" t="s">
        <v>428</v>
      </c>
      <c r="B97" t="s">
        <v>527</v>
      </c>
      <c r="C97" t="s">
        <v>528</v>
      </c>
      <c r="D97" t="s">
        <v>397</v>
      </c>
      <c r="F97">
        <v>0.175875</v>
      </c>
      <c r="G97">
        <v>0.199964</v>
      </c>
      <c r="H97">
        <v>0.22440399999999999</v>
      </c>
      <c r="I97">
        <v>0.24728700000000001</v>
      </c>
      <c r="J97">
        <v>0.27066400000000002</v>
      </c>
      <c r="K97">
        <v>0.29440899999999998</v>
      </c>
      <c r="L97">
        <v>0.31969599999999998</v>
      </c>
      <c r="M97">
        <v>0.34664099999999998</v>
      </c>
      <c r="N97">
        <v>0.37347900000000001</v>
      </c>
      <c r="O97">
        <v>0.400223</v>
      </c>
      <c r="P97">
        <v>0.42644399999999999</v>
      </c>
      <c r="Q97">
        <v>0.44691599999999998</v>
      </c>
      <c r="R97">
        <v>0.467945</v>
      </c>
      <c r="S97">
        <v>0.48925999999999997</v>
      </c>
      <c r="T97">
        <v>0.51142299999999996</v>
      </c>
      <c r="U97">
        <v>0.53387399999999996</v>
      </c>
      <c r="V97">
        <v>0.556782</v>
      </c>
      <c r="W97">
        <v>0.58001000000000003</v>
      </c>
      <c r="X97">
        <v>0.60384800000000005</v>
      </c>
      <c r="Y97">
        <v>0.62805299999999997</v>
      </c>
      <c r="Z97">
        <v>0.65273000000000003</v>
      </c>
      <c r="AA97">
        <v>0.67815700000000001</v>
      </c>
      <c r="AB97">
        <v>0.70421100000000003</v>
      </c>
      <c r="AC97">
        <v>0.73085999999999995</v>
      </c>
      <c r="AD97">
        <v>0.75824999999999998</v>
      </c>
      <c r="AE97">
        <v>0.78616600000000003</v>
      </c>
      <c r="AF97">
        <v>0.81450900000000004</v>
      </c>
      <c r="AG97" s="42">
        <v>6.0999999999999999E-2</v>
      </c>
    </row>
    <row r="98" spans="1:33" x14ac:dyDescent="0.25">
      <c r="A98" t="s">
        <v>529</v>
      </c>
      <c r="B98" t="s">
        <v>530</v>
      </c>
      <c r="C98" t="s">
        <v>531</v>
      </c>
      <c r="D98" t="s">
        <v>397</v>
      </c>
      <c r="F98">
        <v>18.302610999999999</v>
      </c>
      <c r="G98">
        <v>18.372553</v>
      </c>
      <c r="H98">
        <v>18.134775999999999</v>
      </c>
      <c r="I98">
        <v>18.083752</v>
      </c>
      <c r="J98">
        <v>18.105039999999999</v>
      </c>
      <c r="K98">
        <v>18.081033000000001</v>
      </c>
      <c r="L98">
        <v>17.884775999999999</v>
      </c>
      <c r="M98">
        <v>17.714714000000001</v>
      </c>
      <c r="N98">
        <v>17.360242</v>
      </c>
      <c r="O98">
        <v>17.234044000000001</v>
      </c>
      <c r="P98">
        <v>17.111412000000001</v>
      </c>
      <c r="Q98">
        <v>16.995180999999999</v>
      </c>
      <c r="R98">
        <v>16.921761</v>
      </c>
      <c r="S98">
        <v>16.816811000000001</v>
      </c>
      <c r="T98">
        <v>16.812484999999999</v>
      </c>
      <c r="U98">
        <v>16.668676000000001</v>
      </c>
      <c r="V98">
        <v>16.723192999999998</v>
      </c>
      <c r="W98">
        <v>16.83765</v>
      </c>
      <c r="X98">
        <v>16.944375000000001</v>
      </c>
      <c r="Y98">
        <v>17.021435</v>
      </c>
      <c r="Z98">
        <v>17.096641000000002</v>
      </c>
      <c r="AA98">
        <v>17.133555999999999</v>
      </c>
      <c r="AB98">
        <v>17.161919999999999</v>
      </c>
      <c r="AC98">
        <v>17.200430000000001</v>
      </c>
      <c r="AD98">
        <v>17.245937000000001</v>
      </c>
      <c r="AE98">
        <v>17.298698000000002</v>
      </c>
      <c r="AF98">
        <v>17.308274000000001</v>
      </c>
      <c r="AG98" s="42">
        <v>-2E-3</v>
      </c>
    </row>
    <row r="99" spans="1:33" x14ac:dyDescent="0.25">
      <c r="A99" t="s">
        <v>532</v>
      </c>
    </row>
    <row r="100" spans="1:33" x14ac:dyDescent="0.25">
      <c r="A100" t="s">
        <v>533</v>
      </c>
      <c r="B100" t="s">
        <v>534</v>
      </c>
      <c r="C100" t="s">
        <v>535</v>
      </c>
      <c r="D100" t="s">
        <v>397</v>
      </c>
      <c r="F100">
        <v>3.5525000000000001E-2</v>
      </c>
      <c r="G100">
        <v>4.2154999999999998E-2</v>
      </c>
      <c r="H100">
        <v>4.9197999999999999E-2</v>
      </c>
      <c r="I100">
        <v>5.5101999999999998E-2</v>
      </c>
      <c r="J100">
        <v>6.1130999999999998E-2</v>
      </c>
      <c r="K100">
        <v>6.3326999999999994E-2</v>
      </c>
      <c r="L100">
        <v>6.6035999999999997E-2</v>
      </c>
      <c r="M100">
        <v>6.8473999999999993E-2</v>
      </c>
      <c r="N100">
        <v>7.1068999999999993E-2</v>
      </c>
      <c r="O100">
        <v>7.1028999999999995E-2</v>
      </c>
      <c r="P100">
        <v>7.1830000000000005E-2</v>
      </c>
      <c r="Q100">
        <v>7.1848999999999996E-2</v>
      </c>
      <c r="R100">
        <v>7.1915999999999994E-2</v>
      </c>
      <c r="S100">
        <v>7.1802000000000005E-2</v>
      </c>
      <c r="T100">
        <v>7.1684999999999999E-2</v>
      </c>
      <c r="U100">
        <v>7.1600999999999998E-2</v>
      </c>
      <c r="V100">
        <v>7.0626999999999995E-2</v>
      </c>
      <c r="W100">
        <v>7.0499000000000006E-2</v>
      </c>
      <c r="X100">
        <v>7.0574999999999999E-2</v>
      </c>
      <c r="Y100">
        <v>7.0643999999999998E-2</v>
      </c>
      <c r="Z100">
        <v>7.0710999999999996E-2</v>
      </c>
      <c r="AA100">
        <v>7.0803000000000005E-2</v>
      </c>
      <c r="AB100">
        <v>7.1024000000000004E-2</v>
      </c>
      <c r="AC100">
        <v>7.0883000000000002E-2</v>
      </c>
      <c r="AD100">
        <v>7.0941000000000004E-2</v>
      </c>
      <c r="AE100">
        <v>7.0837999999999998E-2</v>
      </c>
      <c r="AF100">
        <v>7.0930000000000007E-2</v>
      </c>
      <c r="AG100" s="42">
        <v>2.7E-2</v>
      </c>
    </row>
    <row r="101" spans="1:33" x14ac:dyDescent="0.25">
      <c r="A101" t="s">
        <v>536</v>
      </c>
      <c r="B101" t="s">
        <v>537</v>
      </c>
      <c r="C101" t="s">
        <v>538</v>
      </c>
      <c r="D101" t="s">
        <v>397</v>
      </c>
      <c r="F101">
        <v>0.213925</v>
      </c>
      <c r="G101">
        <v>0.243256</v>
      </c>
      <c r="H101">
        <v>0.27293600000000001</v>
      </c>
      <c r="I101">
        <v>0.30086299999999999</v>
      </c>
      <c r="J101">
        <v>0.32933800000000002</v>
      </c>
      <c r="K101">
        <v>0.35815399999999997</v>
      </c>
      <c r="L101">
        <v>0.38893499999999998</v>
      </c>
      <c r="M101">
        <v>0.42200100000000001</v>
      </c>
      <c r="N101">
        <v>0.45467999999999997</v>
      </c>
      <c r="O101">
        <v>0.48855199999999999</v>
      </c>
      <c r="P101">
        <v>0.52208299999999996</v>
      </c>
      <c r="Q101">
        <v>0.54821399999999998</v>
      </c>
      <c r="R101">
        <v>0.57513899999999996</v>
      </c>
      <c r="S101">
        <v>0.602267</v>
      </c>
      <c r="T101">
        <v>0.63071900000000003</v>
      </c>
      <c r="U101">
        <v>0.65929400000000005</v>
      </c>
      <c r="V101">
        <v>0.68840000000000001</v>
      </c>
      <c r="W101">
        <v>0.71765100000000004</v>
      </c>
      <c r="X101">
        <v>0.74772400000000006</v>
      </c>
      <c r="Y101">
        <v>0.77813500000000002</v>
      </c>
      <c r="Z101">
        <v>0.80897300000000005</v>
      </c>
      <c r="AA101">
        <v>0.84084300000000001</v>
      </c>
      <c r="AB101">
        <v>0.87334699999999998</v>
      </c>
      <c r="AC101">
        <v>0.90679200000000004</v>
      </c>
      <c r="AD101">
        <v>0.94099200000000005</v>
      </c>
      <c r="AE101">
        <v>0.97594499999999995</v>
      </c>
      <c r="AF101">
        <v>1.0112620000000001</v>
      </c>
      <c r="AG101" s="42">
        <v>6.2E-2</v>
      </c>
    </row>
    <row r="102" spans="1:33" x14ac:dyDescent="0.25">
      <c r="A102" t="s">
        <v>539</v>
      </c>
      <c r="B102" t="s">
        <v>540</v>
      </c>
      <c r="C102" t="s">
        <v>541</v>
      </c>
      <c r="D102" t="s">
        <v>397</v>
      </c>
      <c r="F102">
        <v>1.2600000000000001E-3</v>
      </c>
      <c r="G102">
        <v>2.14E-3</v>
      </c>
      <c r="H102">
        <v>3.0010000000000002E-3</v>
      </c>
      <c r="I102">
        <v>3.4009999999999999E-3</v>
      </c>
      <c r="J102">
        <v>3.849E-3</v>
      </c>
      <c r="K102">
        <v>4.333E-3</v>
      </c>
      <c r="L102">
        <v>5.2610000000000001E-3</v>
      </c>
      <c r="M102">
        <v>6.483E-3</v>
      </c>
      <c r="N102">
        <v>7.7250000000000001E-3</v>
      </c>
      <c r="O102">
        <v>8.1460000000000005E-3</v>
      </c>
      <c r="P102">
        <v>8.3420000000000005E-3</v>
      </c>
      <c r="Q102">
        <v>8.3470000000000003E-3</v>
      </c>
      <c r="R102">
        <v>8.3529999999999993E-3</v>
      </c>
      <c r="S102">
        <v>8.3590000000000001E-3</v>
      </c>
      <c r="T102">
        <v>8.3669999999999994E-3</v>
      </c>
      <c r="U102">
        <v>8.3750000000000005E-3</v>
      </c>
      <c r="V102">
        <v>8.3850000000000001E-3</v>
      </c>
      <c r="W102">
        <v>8.3949999999999997E-3</v>
      </c>
      <c r="X102">
        <v>8.4060000000000003E-3</v>
      </c>
      <c r="Y102">
        <v>8.4169999999999991E-3</v>
      </c>
      <c r="Z102">
        <v>8.4290000000000007E-3</v>
      </c>
      <c r="AA102">
        <v>8.4410000000000006E-3</v>
      </c>
      <c r="AB102">
        <v>8.4530000000000004E-3</v>
      </c>
      <c r="AC102">
        <v>8.4659999999999996E-3</v>
      </c>
      <c r="AD102">
        <v>8.4799999999999997E-3</v>
      </c>
      <c r="AE102">
        <v>8.4939999999999998E-3</v>
      </c>
      <c r="AF102">
        <v>8.5089999999999992E-3</v>
      </c>
      <c r="AG102" s="42">
        <v>7.5999999999999998E-2</v>
      </c>
    </row>
    <row r="103" spans="1:33" x14ac:dyDescent="0.25">
      <c r="A103" t="s">
        <v>372</v>
      </c>
      <c r="B103" t="s">
        <v>542</v>
      </c>
      <c r="C103" t="s">
        <v>543</v>
      </c>
      <c r="D103" t="s">
        <v>397</v>
      </c>
      <c r="F103">
        <v>0.25070999999999999</v>
      </c>
      <c r="G103">
        <v>0.287551</v>
      </c>
      <c r="H103">
        <v>0.32513500000000001</v>
      </c>
      <c r="I103">
        <v>0.35936699999999999</v>
      </c>
      <c r="J103">
        <v>0.394318</v>
      </c>
      <c r="K103">
        <v>0.42581400000000003</v>
      </c>
      <c r="L103">
        <v>0.46023199999999997</v>
      </c>
      <c r="M103">
        <v>0.49695800000000001</v>
      </c>
      <c r="N103">
        <v>0.53347299999999997</v>
      </c>
      <c r="O103">
        <v>0.56772699999999998</v>
      </c>
      <c r="P103">
        <v>0.60225600000000001</v>
      </c>
      <c r="Q103">
        <v>0.62841100000000005</v>
      </c>
      <c r="R103">
        <v>0.65540699999999996</v>
      </c>
      <c r="S103">
        <v>0.68242899999999995</v>
      </c>
      <c r="T103">
        <v>0.71077199999999996</v>
      </c>
      <c r="U103">
        <v>0.73926999999999998</v>
      </c>
      <c r="V103">
        <v>0.76741099999999995</v>
      </c>
      <c r="W103">
        <v>0.79654499999999995</v>
      </c>
      <c r="X103">
        <v>0.82670600000000005</v>
      </c>
      <c r="Y103">
        <v>0.85719599999999996</v>
      </c>
      <c r="Z103">
        <v>0.88811300000000004</v>
      </c>
      <c r="AA103">
        <v>0.92008699999999999</v>
      </c>
      <c r="AB103">
        <v>0.952824</v>
      </c>
      <c r="AC103">
        <v>0.98614100000000005</v>
      </c>
      <c r="AD103">
        <v>1.0204139999999999</v>
      </c>
      <c r="AE103">
        <v>1.055277</v>
      </c>
      <c r="AF103">
        <v>1.0907009999999999</v>
      </c>
      <c r="AG103" s="42">
        <v>5.8000000000000003E-2</v>
      </c>
    </row>
    <row r="104" spans="1:33" x14ac:dyDescent="0.25">
      <c r="A104" t="s">
        <v>544</v>
      </c>
    </row>
    <row r="105" spans="1:33" x14ac:dyDescent="0.25">
      <c r="A105" t="s">
        <v>207</v>
      </c>
      <c r="B105" t="s">
        <v>545</v>
      </c>
      <c r="C105" t="s">
        <v>546</v>
      </c>
      <c r="D105" t="s">
        <v>547</v>
      </c>
      <c r="F105">
        <v>5643</v>
      </c>
      <c r="G105">
        <v>5924</v>
      </c>
      <c r="H105">
        <v>5901</v>
      </c>
      <c r="I105">
        <v>5879</v>
      </c>
      <c r="J105">
        <v>5856</v>
      </c>
      <c r="K105">
        <v>5833</v>
      </c>
      <c r="L105">
        <v>5810</v>
      </c>
      <c r="M105">
        <v>5787</v>
      </c>
      <c r="N105">
        <v>5764</v>
      </c>
      <c r="O105">
        <v>5741</v>
      </c>
      <c r="P105">
        <v>5718</v>
      </c>
      <c r="Q105">
        <v>5695</v>
      </c>
      <c r="R105">
        <v>5672</v>
      </c>
      <c r="S105">
        <v>5649</v>
      </c>
      <c r="T105">
        <v>5626</v>
      </c>
      <c r="U105">
        <v>5603</v>
      </c>
      <c r="V105">
        <v>5579</v>
      </c>
      <c r="W105">
        <v>5556</v>
      </c>
      <c r="X105">
        <v>5533</v>
      </c>
      <c r="Y105">
        <v>5510</v>
      </c>
      <c r="Z105">
        <v>5487</v>
      </c>
      <c r="AA105">
        <v>5464</v>
      </c>
      <c r="AB105">
        <v>5440</v>
      </c>
      <c r="AC105">
        <v>5417</v>
      </c>
      <c r="AD105">
        <v>5394</v>
      </c>
      <c r="AE105">
        <v>5371</v>
      </c>
      <c r="AF105">
        <v>5348</v>
      </c>
      <c r="AG105" s="42">
        <v>-2E-3</v>
      </c>
    </row>
    <row r="106" spans="1:33" x14ac:dyDescent="0.25">
      <c r="A106" t="s">
        <v>208</v>
      </c>
      <c r="B106" t="s">
        <v>548</v>
      </c>
      <c r="C106" t="s">
        <v>549</v>
      </c>
      <c r="D106" t="s">
        <v>547</v>
      </c>
      <c r="F106">
        <v>4981</v>
      </c>
      <c r="G106">
        <v>5319</v>
      </c>
      <c r="H106">
        <v>5298</v>
      </c>
      <c r="I106">
        <v>5277</v>
      </c>
      <c r="J106">
        <v>5256</v>
      </c>
      <c r="K106">
        <v>5235</v>
      </c>
      <c r="L106">
        <v>5214</v>
      </c>
      <c r="M106">
        <v>5193</v>
      </c>
      <c r="N106">
        <v>5172</v>
      </c>
      <c r="O106">
        <v>5151</v>
      </c>
      <c r="P106">
        <v>5130</v>
      </c>
      <c r="Q106">
        <v>5109</v>
      </c>
      <c r="R106">
        <v>5088</v>
      </c>
      <c r="S106">
        <v>5068</v>
      </c>
      <c r="T106">
        <v>5047</v>
      </c>
      <c r="U106">
        <v>5026</v>
      </c>
      <c r="V106">
        <v>5005</v>
      </c>
      <c r="W106">
        <v>4984</v>
      </c>
      <c r="X106">
        <v>4963</v>
      </c>
      <c r="Y106">
        <v>4943</v>
      </c>
      <c r="Z106">
        <v>4922</v>
      </c>
      <c r="AA106">
        <v>4901</v>
      </c>
      <c r="AB106">
        <v>4880</v>
      </c>
      <c r="AC106">
        <v>4859</v>
      </c>
      <c r="AD106">
        <v>4838</v>
      </c>
      <c r="AE106">
        <v>4818</v>
      </c>
      <c r="AF106">
        <v>4797</v>
      </c>
      <c r="AG106" s="42">
        <v>-1E-3</v>
      </c>
    </row>
    <row r="107" spans="1:33" x14ac:dyDescent="0.25">
      <c r="A107" t="s">
        <v>210</v>
      </c>
      <c r="B107" t="s">
        <v>550</v>
      </c>
      <c r="C107" t="s">
        <v>551</v>
      </c>
      <c r="D107" t="s">
        <v>547</v>
      </c>
      <c r="F107">
        <v>5306</v>
      </c>
      <c r="G107">
        <v>5952</v>
      </c>
      <c r="H107">
        <v>5937</v>
      </c>
      <c r="I107">
        <v>5923</v>
      </c>
      <c r="J107">
        <v>5908</v>
      </c>
      <c r="K107">
        <v>5894</v>
      </c>
      <c r="L107">
        <v>5879</v>
      </c>
      <c r="M107">
        <v>5864</v>
      </c>
      <c r="N107">
        <v>5850</v>
      </c>
      <c r="O107">
        <v>5835</v>
      </c>
      <c r="P107">
        <v>5820</v>
      </c>
      <c r="Q107">
        <v>5806</v>
      </c>
      <c r="R107">
        <v>5791</v>
      </c>
      <c r="S107">
        <v>5776</v>
      </c>
      <c r="T107">
        <v>5762</v>
      </c>
      <c r="U107">
        <v>5747</v>
      </c>
      <c r="V107">
        <v>5732</v>
      </c>
      <c r="W107">
        <v>5717</v>
      </c>
      <c r="X107">
        <v>5703</v>
      </c>
      <c r="Y107">
        <v>5688</v>
      </c>
      <c r="Z107">
        <v>5673</v>
      </c>
      <c r="AA107">
        <v>5658</v>
      </c>
      <c r="AB107">
        <v>5644</v>
      </c>
      <c r="AC107">
        <v>5629</v>
      </c>
      <c r="AD107">
        <v>5614</v>
      </c>
      <c r="AE107">
        <v>5599</v>
      </c>
      <c r="AF107">
        <v>5585</v>
      </c>
      <c r="AG107" s="42">
        <v>2E-3</v>
      </c>
    </row>
    <row r="108" spans="1:33" x14ac:dyDescent="0.25">
      <c r="A108" t="s">
        <v>211</v>
      </c>
      <c r="B108" t="s">
        <v>552</v>
      </c>
      <c r="C108" t="s">
        <v>553</v>
      </c>
      <c r="D108" t="s">
        <v>547</v>
      </c>
      <c r="F108">
        <v>5716</v>
      </c>
      <c r="G108">
        <v>6383</v>
      </c>
      <c r="H108">
        <v>6376</v>
      </c>
      <c r="I108">
        <v>6369</v>
      </c>
      <c r="J108">
        <v>6362</v>
      </c>
      <c r="K108">
        <v>6355</v>
      </c>
      <c r="L108">
        <v>6348</v>
      </c>
      <c r="M108">
        <v>6341</v>
      </c>
      <c r="N108">
        <v>6334</v>
      </c>
      <c r="O108">
        <v>6327</v>
      </c>
      <c r="P108">
        <v>6319</v>
      </c>
      <c r="Q108">
        <v>6312</v>
      </c>
      <c r="R108">
        <v>6304</v>
      </c>
      <c r="S108">
        <v>6297</v>
      </c>
      <c r="T108">
        <v>6289</v>
      </c>
      <c r="U108">
        <v>6282</v>
      </c>
      <c r="V108">
        <v>6274</v>
      </c>
      <c r="W108">
        <v>6267</v>
      </c>
      <c r="X108">
        <v>6259</v>
      </c>
      <c r="Y108">
        <v>6252</v>
      </c>
      <c r="Z108">
        <v>6244</v>
      </c>
      <c r="AA108">
        <v>6236</v>
      </c>
      <c r="AB108">
        <v>6229</v>
      </c>
      <c r="AC108">
        <v>6221</v>
      </c>
      <c r="AD108">
        <v>6213</v>
      </c>
      <c r="AE108">
        <v>6206</v>
      </c>
      <c r="AF108">
        <v>6198</v>
      </c>
      <c r="AG108" s="42">
        <v>3.0000000000000001E-3</v>
      </c>
    </row>
    <row r="109" spans="1:33" x14ac:dyDescent="0.25">
      <c r="A109" t="s">
        <v>213</v>
      </c>
      <c r="B109" t="s">
        <v>554</v>
      </c>
      <c r="C109" t="s">
        <v>555</v>
      </c>
      <c r="D109" t="s">
        <v>547</v>
      </c>
      <c r="F109">
        <v>2271</v>
      </c>
      <c r="G109">
        <v>2344</v>
      </c>
      <c r="H109">
        <v>2329</v>
      </c>
      <c r="I109">
        <v>2313</v>
      </c>
      <c r="J109">
        <v>2298</v>
      </c>
      <c r="K109">
        <v>2283</v>
      </c>
      <c r="L109">
        <v>2267</v>
      </c>
      <c r="M109">
        <v>2251</v>
      </c>
      <c r="N109">
        <v>2235</v>
      </c>
      <c r="O109">
        <v>2220</v>
      </c>
      <c r="P109">
        <v>2204</v>
      </c>
      <c r="Q109">
        <v>2188</v>
      </c>
      <c r="R109">
        <v>2173</v>
      </c>
      <c r="S109">
        <v>2157</v>
      </c>
      <c r="T109">
        <v>2141</v>
      </c>
      <c r="U109">
        <v>2125</v>
      </c>
      <c r="V109">
        <v>2110</v>
      </c>
      <c r="W109">
        <v>2094</v>
      </c>
      <c r="X109">
        <v>2079</v>
      </c>
      <c r="Y109">
        <v>2063</v>
      </c>
      <c r="Z109">
        <v>2047</v>
      </c>
      <c r="AA109">
        <v>2032</v>
      </c>
      <c r="AB109">
        <v>2016</v>
      </c>
      <c r="AC109">
        <v>2001</v>
      </c>
      <c r="AD109">
        <v>1985</v>
      </c>
      <c r="AE109">
        <v>1970</v>
      </c>
      <c r="AF109">
        <v>1955</v>
      </c>
      <c r="AG109" s="42">
        <v>-6.0000000000000001E-3</v>
      </c>
    </row>
    <row r="110" spans="1:33" x14ac:dyDescent="0.25">
      <c r="A110" t="s">
        <v>214</v>
      </c>
      <c r="B110" t="s">
        <v>556</v>
      </c>
      <c r="C110" t="s">
        <v>557</v>
      </c>
      <c r="D110" t="s">
        <v>547</v>
      </c>
      <c r="F110">
        <v>3024</v>
      </c>
      <c r="G110">
        <v>3161</v>
      </c>
      <c r="H110">
        <v>3148</v>
      </c>
      <c r="I110">
        <v>3136</v>
      </c>
      <c r="J110">
        <v>3123</v>
      </c>
      <c r="K110">
        <v>3111</v>
      </c>
      <c r="L110">
        <v>3098</v>
      </c>
      <c r="M110">
        <v>3086</v>
      </c>
      <c r="N110">
        <v>3073</v>
      </c>
      <c r="O110">
        <v>3060</v>
      </c>
      <c r="P110">
        <v>3048</v>
      </c>
      <c r="Q110">
        <v>3035</v>
      </c>
      <c r="R110">
        <v>3022</v>
      </c>
      <c r="S110">
        <v>3009</v>
      </c>
      <c r="T110">
        <v>2996</v>
      </c>
      <c r="U110">
        <v>2984</v>
      </c>
      <c r="V110">
        <v>2971</v>
      </c>
      <c r="W110">
        <v>2958</v>
      </c>
      <c r="X110">
        <v>2945</v>
      </c>
      <c r="Y110">
        <v>2933</v>
      </c>
      <c r="Z110">
        <v>2920</v>
      </c>
      <c r="AA110">
        <v>2907</v>
      </c>
      <c r="AB110">
        <v>2894</v>
      </c>
      <c r="AC110">
        <v>2881</v>
      </c>
      <c r="AD110">
        <v>2869</v>
      </c>
      <c r="AE110">
        <v>2856</v>
      </c>
      <c r="AF110">
        <v>2843</v>
      </c>
      <c r="AG110" s="42">
        <v>-2E-3</v>
      </c>
    </row>
    <row r="111" spans="1:33" x14ac:dyDescent="0.25">
      <c r="A111" t="s">
        <v>215</v>
      </c>
      <c r="B111" t="s">
        <v>558</v>
      </c>
      <c r="C111" t="s">
        <v>559</v>
      </c>
      <c r="D111" t="s">
        <v>547</v>
      </c>
      <c r="F111">
        <v>1844</v>
      </c>
      <c r="G111">
        <v>1949</v>
      </c>
      <c r="H111">
        <v>1942</v>
      </c>
      <c r="I111">
        <v>1935</v>
      </c>
      <c r="J111">
        <v>1928</v>
      </c>
      <c r="K111">
        <v>1921</v>
      </c>
      <c r="L111">
        <v>1914</v>
      </c>
      <c r="M111">
        <v>1907</v>
      </c>
      <c r="N111">
        <v>1900</v>
      </c>
      <c r="O111">
        <v>1893</v>
      </c>
      <c r="P111">
        <v>1886</v>
      </c>
      <c r="Q111">
        <v>1879</v>
      </c>
      <c r="R111">
        <v>1872</v>
      </c>
      <c r="S111">
        <v>1865</v>
      </c>
      <c r="T111">
        <v>1858</v>
      </c>
      <c r="U111">
        <v>1852</v>
      </c>
      <c r="V111">
        <v>1845</v>
      </c>
      <c r="W111">
        <v>1838</v>
      </c>
      <c r="X111">
        <v>1831</v>
      </c>
      <c r="Y111">
        <v>1825</v>
      </c>
      <c r="Z111">
        <v>1818</v>
      </c>
      <c r="AA111">
        <v>1811</v>
      </c>
      <c r="AB111">
        <v>1805</v>
      </c>
      <c r="AC111">
        <v>1798</v>
      </c>
      <c r="AD111">
        <v>1791</v>
      </c>
      <c r="AE111">
        <v>1785</v>
      </c>
      <c r="AF111">
        <v>1778</v>
      </c>
      <c r="AG111" s="42">
        <v>-1E-3</v>
      </c>
    </row>
    <row r="112" spans="1:33" x14ac:dyDescent="0.25">
      <c r="A112" t="s">
        <v>217</v>
      </c>
      <c r="B112" t="s">
        <v>560</v>
      </c>
      <c r="C112" t="s">
        <v>561</v>
      </c>
      <c r="D112" t="s">
        <v>547</v>
      </c>
      <c r="F112">
        <v>4753</v>
      </c>
      <c r="G112">
        <v>4877</v>
      </c>
      <c r="H112">
        <v>4871</v>
      </c>
      <c r="I112">
        <v>4865</v>
      </c>
      <c r="J112">
        <v>4858</v>
      </c>
      <c r="K112">
        <v>4851</v>
      </c>
      <c r="L112">
        <v>4844</v>
      </c>
      <c r="M112">
        <v>4837</v>
      </c>
      <c r="N112">
        <v>4830</v>
      </c>
      <c r="O112">
        <v>4823</v>
      </c>
      <c r="P112">
        <v>4816</v>
      </c>
      <c r="Q112">
        <v>4809</v>
      </c>
      <c r="R112">
        <v>4802</v>
      </c>
      <c r="S112">
        <v>4796</v>
      </c>
      <c r="T112">
        <v>4789</v>
      </c>
      <c r="U112">
        <v>4782</v>
      </c>
      <c r="V112">
        <v>4776</v>
      </c>
      <c r="W112">
        <v>4769</v>
      </c>
      <c r="X112">
        <v>4763</v>
      </c>
      <c r="Y112">
        <v>4756</v>
      </c>
      <c r="Z112">
        <v>4750</v>
      </c>
      <c r="AA112">
        <v>4744</v>
      </c>
      <c r="AB112">
        <v>4737</v>
      </c>
      <c r="AC112">
        <v>4731</v>
      </c>
      <c r="AD112">
        <v>4725</v>
      </c>
      <c r="AE112">
        <v>4718</v>
      </c>
      <c r="AF112">
        <v>4712</v>
      </c>
      <c r="AG112" s="42">
        <v>0</v>
      </c>
    </row>
    <row r="113" spans="1:33" x14ac:dyDescent="0.25">
      <c r="A113" t="s">
        <v>220</v>
      </c>
      <c r="B113" t="s">
        <v>562</v>
      </c>
      <c r="C113" t="s">
        <v>563</v>
      </c>
      <c r="D113" t="s">
        <v>547</v>
      </c>
      <c r="F113">
        <v>3352</v>
      </c>
      <c r="G113">
        <v>3290</v>
      </c>
      <c r="H113">
        <v>3283</v>
      </c>
      <c r="I113">
        <v>3277</v>
      </c>
      <c r="J113">
        <v>3270</v>
      </c>
      <c r="K113">
        <v>3263</v>
      </c>
      <c r="L113">
        <v>3256</v>
      </c>
      <c r="M113">
        <v>3249</v>
      </c>
      <c r="N113">
        <v>3242</v>
      </c>
      <c r="O113">
        <v>3234</v>
      </c>
      <c r="P113">
        <v>3227</v>
      </c>
      <c r="Q113">
        <v>3219</v>
      </c>
      <c r="R113">
        <v>3212</v>
      </c>
      <c r="S113">
        <v>3204</v>
      </c>
      <c r="T113">
        <v>3197</v>
      </c>
      <c r="U113">
        <v>3189</v>
      </c>
      <c r="V113">
        <v>3181</v>
      </c>
      <c r="W113">
        <v>3174</v>
      </c>
      <c r="X113">
        <v>3166</v>
      </c>
      <c r="Y113">
        <v>3158</v>
      </c>
      <c r="Z113">
        <v>3150</v>
      </c>
      <c r="AA113">
        <v>3143</v>
      </c>
      <c r="AB113">
        <v>3135</v>
      </c>
      <c r="AC113">
        <v>3127</v>
      </c>
      <c r="AD113">
        <v>3119</v>
      </c>
      <c r="AE113">
        <v>3112</v>
      </c>
      <c r="AF113">
        <v>3104</v>
      </c>
      <c r="AG113" s="42">
        <v>-3.0000000000000001E-3</v>
      </c>
    </row>
    <row r="114" spans="1:33" x14ac:dyDescent="0.25">
      <c r="A114" t="s">
        <v>564</v>
      </c>
      <c r="B114" t="s">
        <v>565</v>
      </c>
      <c r="C114" t="s">
        <v>566</v>
      </c>
      <c r="D114" t="s">
        <v>547</v>
      </c>
      <c r="F114">
        <v>3753.9636230000001</v>
      </c>
      <c r="G114">
        <v>3970.7402339999999</v>
      </c>
      <c r="H114">
        <v>3953.6770019999999</v>
      </c>
      <c r="I114">
        <v>3936.8808589999999</v>
      </c>
      <c r="J114">
        <v>3919.869385</v>
      </c>
      <c r="K114">
        <v>3903.1020509999998</v>
      </c>
      <c r="L114">
        <v>3885.9797359999998</v>
      </c>
      <c r="M114">
        <v>3868.9492190000001</v>
      </c>
      <c r="N114">
        <v>3852.031982</v>
      </c>
      <c r="O114">
        <v>3835.0634770000001</v>
      </c>
      <c r="P114">
        <v>3818.0864259999998</v>
      </c>
      <c r="Q114">
        <v>3801.1135250000002</v>
      </c>
      <c r="R114">
        <v>3784.3435060000002</v>
      </c>
      <c r="S114">
        <v>3767.477539</v>
      </c>
      <c r="T114">
        <v>3750.6677249999998</v>
      </c>
      <c r="U114">
        <v>3733.826904</v>
      </c>
      <c r="V114">
        <v>3716.998779</v>
      </c>
      <c r="W114">
        <v>3700.1577149999998</v>
      </c>
      <c r="X114">
        <v>3683.5239259999998</v>
      </c>
      <c r="Y114">
        <v>3666.8364259999998</v>
      </c>
      <c r="Z114">
        <v>3649.8879390000002</v>
      </c>
      <c r="AA114">
        <v>3633.3447270000001</v>
      </c>
      <c r="AB114">
        <v>3616.6767580000001</v>
      </c>
      <c r="AC114">
        <v>3600.1342770000001</v>
      </c>
      <c r="AD114">
        <v>3583.570068</v>
      </c>
      <c r="AE114">
        <v>3567.7377929999998</v>
      </c>
      <c r="AF114">
        <v>3551.7458499999998</v>
      </c>
      <c r="AG114" s="42">
        <v>-2E-3</v>
      </c>
    </row>
    <row r="115" spans="1:33" x14ac:dyDescent="0.25">
      <c r="A115" t="s">
        <v>567</v>
      </c>
    </row>
    <row r="116" spans="1:33" x14ac:dyDescent="0.25">
      <c r="A116" t="s">
        <v>207</v>
      </c>
      <c r="B116" t="s">
        <v>568</v>
      </c>
      <c r="C116" t="s">
        <v>569</v>
      </c>
      <c r="D116" t="s">
        <v>570</v>
      </c>
      <c r="F116">
        <v>620</v>
      </c>
      <c r="G116">
        <v>609</v>
      </c>
      <c r="H116">
        <v>615</v>
      </c>
      <c r="I116">
        <v>621</v>
      </c>
      <c r="J116">
        <v>627</v>
      </c>
      <c r="K116">
        <v>633</v>
      </c>
      <c r="L116">
        <v>640</v>
      </c>
      <c r="M116">
        <v>646</v>
      </c>
      <c r="N116">
        <v>652</v>
      </c>
      <c r="O116">
        <v>659</v>
      </c>
      <c r="P116">
        <v>665</v>
      </c>
      <c r="Q116">
        <v>671</v>
      </c>
      <c r="R116">
        <v>678</v>
      </c>
      <c r="S116">
        <v>684</v>
      </c>
      <c r="T116">
        <v>690</v>
      </c>
      <c r="U116">
        <v>697</v>
      </c>
      <c r="V116">
        <v>703</v>
      </c>
      <c r="W116">
        <v>710</v>
      </c>
      <c r="X116">
        <v>716</v>
      </c>
      <c r="Y116">
        <v>722</v>
      </c>
      <c r="Z116">
        <v>729</v>
      </c>
      <c r="AA116">
        <v>735</v>
      </c>
      <c r="AB116">
        <v>741</v>
      </c>
      <c r="AC116">
        <v>748</v>
      </c>
      <c r="AD116">
        <v>754</v>
      </c>
      <c r="AE116">
        <v>760</v>
      </c>
      <c r="AF116">
        <v>767</v>
      </c>
      <c r="AG116" s="42">
        <v>8.0000000000000002E-3</v>
      </c>
    </row>
    <row r="117" spans="1:33" x14ac:dyDescent="0.25">
      <c r="A117" t="s">
        <v>208</v>
      </c>
      <c r="B117" t="s">
        <v>571</v>
      </c>
      <c r="C117" t="s">
        <v>572</v>
      </c>
      <c r="D117" t="s">
        <v>570</v>
      </c>
      <c r="F117">
        <v>867</v>
      </c>
      <c r="G117">
        <v>845</v>
      </c>
      <c r="H117">
        <v>853</v>
      </c>
      <c r="I117">
        <v>860</v>
      </c>
      <c r="J117">
        <v>868</v>
      </c>
      <c r="K117">
        <v>876</v>
      </c>
      <c r="L117">
        <v>884</v>
      </c>
      <c r="M117">
        <v>892</v>
      </c>
      <c r="N117">
        <v>900</v>
      </c>
      <c r="O117">
        <v>908</v>
      </c>
      <c r="P117">
        <v>915</v>
      </c>
      <c r="Q117">
        <v>923</v>
      </c>
      <c r="R117">
        <v>931</v>
      </c>
      <c r="S117">
        <v>939</v>
      </c>
      <c r="T117">
        <v>947</v>
      </c>
      <c r="U117">
        <v>955</v>
      </c>
      <c r="V117">
        <v>963</v>
      </c>
      <c r="W117">
        <v>971</v>
      </c>
      <c r="X117">
        <v>978</v>
      </c>
      <c r="Y117">
        <v>986</v>
      </c>
      <c r="Z117">
        <v>994</v>
      </c>
      <c r="AA117">
        <v>1002</v>
      </c>
      <c r="AB117">
        <v>1010</v>
      </c>
      <c r="AC117">
        <v>1018</v>
      </c>
      <c r="AD117">
        <v>1026</v>
      </c>
      <c r="AE117">
        <v>1033</v>
      </c>
      <c r="AF117">
        <v>1041</v>
      </c>
      <c r="AG117" s="42">
        <v>7.0000000000000001E-3</v>
      </c>
    </row>
    <row r="118" spans="1:33" x14ac:dyDescent="0.25">
      <c r="A118" t="s">
        <v>210</v>
      </c>
      <c r="B118" t="s">
        <v>573</v>
      </c>
      <c r="C118" t="s">
        <v>574</v>
      </c>
      <c r="D118" t="s">
        <v>570</v>
      </c>
      <c r="F118">
        <v>899</v>
      </c>
      <c r="G118">
        <v>851</v>
      </c>
      <c r="H118">
        <v>856</v>
      </c>
      <c r="I118">
        <v>861</v>
      </c>
      <c r="J118">
        <v>866</v>
      </c>
      <c r="K118">
        <v>871</v>
      </c>
      <c r="L118">
        <v>876</v>
      </c>
      <c r="M118">
        <v>881</v>
      </c>
      <c r="N118">
        <v>886</v>
      </c>
      <c r="O118">
        <v>890</v>
      </c>
      <c r="P118">
        <v>895</v>
      </c>
      <c r="Q118">
        <v>900</v>
      </c>
      <c r="R118">
        <v>905</v>
      </c>
      <c r="S118">
        <v>910</v>
      </c>
      <c r="T118">
        <v>915</v>
      </c>
      <c r="U118">
        <v>920</v>
      </c>
      <c r="V118">
        <v>925</v>
      </c>
      <c r="W118">
        <v>930</v>
      </c>
      <c r="X118">
        <v>935</v>
      </c>
      <c r="Y118">
        <v>940</v>
      </c>
      <c r="Z118">
        <v>945</v>
      </c>
      <c r="AA118">
        <v>950</v>
      </c>
      <c r="AB118">
        <v>955</v>
      </c>
      <c r="AC118">
        <v>960</v>
      </c>
      <c r="AD118">
        <v>965</v>
      </c>
      <c r="AE118">
        <v>970</v>
      </c>
      <c r="AF118">
        <v>975</v>
      </c>
      <c r="AG118" s="42">
        <v>3.0000000000000001E-3</v>
      </c>
    </row>
    <row r="119" spans="1:33" x14ac:dyDescent="0.25">
      <c r="A119" t="s">
        <v>211</v>
      </c>
      <c r="B119" t="s">
        <v>575</v>
      </c>
      <c r="C119" t="s">
        <v>576</v>
      </c>
      <c r="D119" t="s">
        <v>570</v>
      </c>
      <c r="F119">
        <v>1046</v>
      </c>
      <c r="G119">
        <v>1046</v>
      </c>
      <c r="H119">
        <v>1051</v>
      </c>
      <c r="I119">
        <v>1056</v>
      </c>
      <c r="J119">
        <v>1061</v>
      </c>
      <c r="K119">
        <v>1066</v>
      </c>
      <c r="L119">
        <v>1071</v>
      </c>
      <c r="M119">
        <v>1076</v>
      </c>
      <c r="N119">
        <v>1081</v>
      </c>
      <c r="O119">
        <v>1086</v>
      </c>
      <c r="P119">
        <v>1092</v>
      </c>
      <c r="Q119">
        <v>1097</v>
      </c>
      <c r="R119">
        <v>1102</v>
      </c>
      <c r="S119">
        <v>1107</v>
      </c>
      <c r="T119">
        <v>1112</v>
      </c>
      <c r="U119">
        <v>1117</v>
      </c>
      <c r="V119">
        <v>1122</v>
      </c>
      <c r="W119">
        <v>1128</v>
      </c>
      <c r="X119">
        <v>1133</v>
      </c>
      <c r="Y119">
        <v>1138</v>
      </c>
      <c r="Z119">
        <v>1143</v>
      </c>
      <c r="AA119">
        <v>1148</v>
      </c>
      <c r="AB119">
        <v>1153</v>
      </c>
      <c r="AC119">
        <v>1159</v>
      </c>
      <c r="AD119">
        <v>1164</v>
      </c>
      <c r="AE119">
        <v>1169</v>
      </c>
      <c r="AF119">
        <v>1174</v>
      </c>
      <c r="AG119" s="42">
        <v>4.0000000000000001E-3</v>
      </c>
    </row>
    <row r="120" spans="1:33" x14ac:dyDescent="0.25">
      <c r="A120" t="s">
        <v>213</v>
      </c>
      <c r="B120" t="s">
        <v>577</v>
      </c>
      <c r="C120" t="s">
        <v>578</v>
      </c>
      <c r="D120" t="s">
        <v>570</v>
      </c>
      <c r="F120">
        <v>2399</v>
      </c>
      <c r="G120">
        <v>2400</v>
      </c>
      <c r="H120">
        <v>2415</v>
      </c>
      <c r="I120">
        <v>2430</v>
      </c>
      <c r="J120">
        <v>2445</v>
      </c>
      <c r="K120">
        <v>2460</v>
      </c>
      <c r="L120">
        <v>2476</v>
      </c>
      <c r="M120">
        <v>2491</v>
      </c>
      <c r="N120">
        <v>2507</v>
      </c>
      <c r="O120">
        <v>2522</v>
      </c>
      <c r="P120">
        <v>2538</v>
      </c>
      <c r="Q120">
        <v>2553</v>
      </c>
      <c r="R120">
        <v>2569</v>
      </c>
      <c r="S120">
        <v>2585</v>
      </c>
      <c r="T120">
        <v>2600</v>
      </c>
      <c r="U120">
        <v>2616</v>
      </c>
      <c r="V120">
        <v>2632</v>
      </c>
      <c r="W120">
        <v>2648</v>
      </c>
      <c r="X120">
        <v>2663</v>
      </c>
      <c r="Y120">
        <v>2679</v>
      </c>
      <c r="Z120">
        <v>2695</v>
      </c>
      <c r="AA120">
        <v>2711</v>
      </c>
      <c r="AB120">
        <v>2727</v>
      </c>
      <c r="AC120">
        <v>2742</v>
      </c>
      <c r="AD120">
        <v>2758</v>
      </c>
      <c r="AE120">
        <v>2774</v>
      </c>
      <c r="AF120">
        <v>2790</v>
      </c>
      <c r="AG120" s="42">
        <v>6.0000000000000001E-3</v>
      </c>
    </row>
    <row r="121" spans="1:33" x14ac:dyDescent="0.25">
      <c r="A121" t="s">
        <v>214</v>
      </c>
      <c r="B121" t="s">
        <v>579</v>
      </c>
      <c r="C121" t="s">
        <v>580</v>
      </c>
      <c r="D121" t="s">
        <v>570</v>
      </c>
      <c r="F121">
        <v>1859</v>
      </c>
      <c r="G121">
        <v>1773</v>
      </c>
      <c r="H121">
        <v>1781</v>
      </c>
      <c r="I121">
        <v>1788</v>
      </c>
      <c r="J121">
        <v>1796</v>
      </c>
      <c r="K121">
        <v>1803</v>
      </c>
      <c r="L121">
        <v>1811</v>
      </c>
      <c r="M121">
        <v>1818</v>
      </c>
      <c r="N121">
        <v>1826</v>
      </c>
      <c r="O121">
        <v>1834</v>
      </c>
      <c r="P121">
        <v>1841</v>
      </c>
      <c r="Q121">
        <v>1849</v>
      </c>
      <c r="R121">
        <v>1857</v>
      </c>
      <c r="S121">
        <v>1864</v>
      </c>
      <c r="T121">
        <v>1872</v>
      </c>
      <c r="U121">
        <v>1879</v>
      </c>
      <c r="V121">
        <v>1887</v>
      </c>
      <c r="W121">
        <v>1895</v>
      </c>
      <c r="X121">
        <v>1902</v>
      </c>
      <c r="Y121">
        <v>1910</v>
      </c>
      <c r="Z121">
        <v>1918</v>
      </c>
      <c r="AA121">
        <v>1925</v>
      </c>
      <c r="AB121">
        <v>1933</v>
      </c>
      <c r="AC121">
        <v>1940</v>
      </c>
      <c r="AD121">
        <v>1948</v>
      </c>
      <c r="AE121">
        <v>1956</v>
      </c>
      <c r="AF121">
        <v>1963</v>
      </c>
      <c r="AG121" s="42">
        <v>2E-3</v>
      </c>
    </row>
    <row r="122" spans="1:33" x14ac:dyDescent="0.25">
      <c r="A122" t="s">
        <v>215</v>
      </c>
      <c r="B122" t="s">
        <v>581</v>
      </c>
      <c r="C122" t="s">
        <v>582</v>
      </c>
      <c r="D122" t="s">
        <v>570</v>
      </c>
      <c r="F122">
        <v>3073</v>
      </c>
      <c r="G122">
        <v>2901</v>
      </c>
      <c r="H122">
        <v>2915</v>
      </c>
      <c r="I122">
        <v>2928</v>
      </c>
      <c r="J122">
        <v>2942</v>
      </c>
      <c r="K122">
        <v>2955</v>
      </c>
      <c r="L122">
        <v>2969</v>
      </c>
      <c r="M122">
        <v>2982</v>
      </c>
      <c r="N122">
        <v>2996</v>
      </c>
      <c r="O122">
        <v>3010</v>
      </c>
      <c r="P122">
        <v>3023</v>
      </c>
      <c r="Q122">
        <v>3037</v>
      </c>
      <c r="R122">
        <v>3050</v>
      </c>
      <c r="S122">
        <v>3064</v>
      </c>
      <c r="T122">
        <v>3077</v>
      </c>
      <c r="U122">
        <v>3091</v>
      </c>
      <c r="V122">
        <v>3104</v>
      </c>
      <c r="W122">
        <v>3118</v>
      </c>
      <c r="X122">
        <v>3131</v>
      </c>
      <c r="Y122">
        <v>3145</v>
      </c>
      <c r="Z122">
        <v>3158</v>
      </c>
      <c r="AA122">
        <v>3172</v>
      </c>
      <c r="AB122">
        <v>3185</v>
      </c>
      <c r="AC122">
        <v>3199</v>
      </c>
      <c r="AD122">
        <v>3212</v>
      </c>
      <c r="AE122">
        <v>3226</v>
      </c>
      <c r="AF122">
        <v>3239</v>
      </c>
      <c r="AG122" s="42">
        <v>2E-3</v>
      </c>
    </row>
    <row r="123" spans="1:33" x14ac:dyDescent="0.25">
      <c r="A123" t="s">
        <v>217</v>
      </c>
      <c r="B123" t="s">
        <v>583</v>
      </c>
      <c r="C123" t="s">
        <v>584</v>
      </c>
      <c r="D123" t="s">
        <v>570</v>
      </c>
      <c r="F123">
        <v>1710</v>
      </c>
      <c r="G123">
        <v>1568</v>
      </c>
      <c r="H123">
        <v>1575</v>
      </c>
      <c r="I123">
        <v>1583</v>
      </c>
      <c r="J123">
        <v>1591</v>
      </c>
      <c r="K123">
        <v>1598</v>
      </c>
      <c r="L123">
        <v>1606</v>
      </c>
      <c r="M123">
        <v>1613</v>
      </c>
      <c r="N123">
        <v>1621</v>
      </c>
      <c r="O123">
        <v>1629</v>
      </c>
      <c r="P123">
        <v>1636</v>
      </c>
      <c r="Q123">
        <v>1644</v>
      </c>
      <c r="R123">
        <v>1651</v>
      </c>
      <c r="S123">
        <v>1659</v>
      </c>
      <c r="T123">
        <v>1666</v>
      </c>
      <c r="U123">
        <v>1674</v>
      </c>
      <c r="V123">
        <v>1681</v>
      </c>
      <c r="W123">
        <v>1689</v>
      </c>
      <c r="X123">
        <v>1696</v>
      </c>
      <c r="Y123">
        <v>1703</v>
      </c>
      <c r="Z123">
        <v>1711</v>
      </c>
      <c r="AA123">
        <v>1718</v>
      </c>
      <c r="AB123">
        <v>1725</v>
      </c>
      <c r="AC123">
        <v>1733</v>
      </c>
      <c r="AD123">
        <v>1740</v>
      </c>
      <c r="AE123">
        <v>1747</v>
      </c>
      <c r="AF123">
        <v>1755</v>
      </c>
      <c r="AG123" s="42">
        <v>1E-3</v>
      </c>
    </row>
    <row r="124" spans="1:33" x14ac:dyDescent="0.25">
      <c r="A124" t="s">
        <v>220</v>
      </c>
      <c r="B124" t="s">
        <v>585</v>
      </c>
      <c r="C124" t="s">
        <v>586</v>
      </c>
      <c r="D124" t="s">
        <v>570</v>
      </c>
      <c r="F124">
        <v>1056</v>
      </c>
      <c r="G124">
        <v>1023</v>
      </c>
      <c r="H124">
        <v>1032</v>
      </c>
      <c r="I124">
        <v>1040</v>
      </c>
      <c r="J124">
        <v>1049</v>
      </c>
      <c r="K124">
        <v>1057</v>
      </c>
      <c r="L124">
        <v>1066</v>
      </c>
      <c r="M124">
        <v>1075</v>
      </c>
      <c r="N124">
        <v>1083</v>
      </c>
      <c r="O124">
        <v>1092</v>
      </c>
      <c r="P124">
        <v>1101</v>
      </c>
      <c r="Q124">
        <v>1109</v>
      </c>
      <c r="R124">
        <v>1118</v>
      </c>
      <c r="S124">
        <v>1127</v>
      </c>
      <c r="T124">
        <v>1135</v>
      </c>
      <c r="U124">
        <v>1144</v>
      </c>
      <c r="V124">
        <v>1153</v>
      </c>
      <c r="W124">
        <v>1161</v>
      </c>
      <c r="X124">
        <v>1170</v>
      </c>
      <c r="Y124">
        <v>1179</v>
      </c>
      <c r="Z124">
        <v>1188</v>
      </c>
      <c r="AA124">
        <v>1196</v>
      </c>
      <c r="AB124">
        <v>1205</v>
      </c>
      <c r="AC124">
        <v>1214</v>
      </c>
      <c r="AD124">
        <v>1222</v>
      </c>
      <c r="AE124">
        <v>1231</v>
      </c>
      <c r="AF124">
        <v>1240</v>
      </c>
      <c r="AG124" s="42">
        <v>6.0000000000000001E-3</v>
      </c>
    </row>
    <row r="125" spans="1:33" x14ac:dyDescent="0.25">
      <c r="A125" t="s">
        <v>564</v>
      </c>
      <c r="B125" t="s">
        <v>587</v>
      </c>
      <c r="C125" t="s">
        <v>588</v>
      </c>
      <c r="D125" t="s">
        <v>570</v>
      </c>
      <c r="F125">
        <v>1616.899048</v>
      </c>
      <c r="G125">
        <v>1566.3795170000001</v>
      </c>
      <c r="H125">
        <v>1578.3626710000001</v>
      </c>
      <c r="I125">
        <v>1589.9610600000001</v>
      </c>
      <c r="J125">
        <v>1602.0439449999999</v>
      </c>
      <c r="K125">
        <v>1613.705811</v>
      </c>
      <c r="L125">
        <v>1626.0660399999999</v>
      </c>
      <c r="M125">
        <v>1637.9311520000001</v>
      </c>
      <c r="N125">
        <v>1650.1273189999999</v>
      </c>
      <c r="O125">
        <v>1662.213379</v>
      </c>
      <c r="P125">
        <v>1674.2971190000001</v>
      </c>
      <c r="Q125">
        <v>1686.352173</v>
      </c>
      <c r="R125">
        <v>1698.6342770000001</v>
      </c>
      <c r="S125">
        <v>1711.057495</v>
      </c>
      <c r="T125">
        <v>1722.9598390000001</v>
      </c>
      <c r="U125">
        <v>1735.4678960000001</v>
      </c>
      <c r="V125">
        <v>1747.7921140000001</v>
      </c>
      <c r="W125">
        <v>1760.2924800000001</v>
      </c>
      <c r="X125">
        <v>1772.279053</v>
      </c>
      <c r="Y125">
        <v>1784.803711</v>
      </c>
      <c r="Z125">
        <v>1797.338501</v>
      </c>
      <c r="AA125">
        <v>1809.6791989999999</v>
      </c>
      <c r="AB125">
        <v>1822.108643</v>
      </c>
      <c r="AC125">
        <v>1834.5897219999999</v>
      </c>
      <c r="AD125">
        <v>1846.8101810000001</v>
      </c>
      <c r="AE125">
        <v>1859.140259</v>
      </c>
      <c r="AF125">
        <v>1871.4392089999999</v>
      </c>
      <c r="AG125" s="42">
        <v>6.0000000000000001E-3</v>
      </c>
    </row>
  </sheetData>
  <conditionalFormatting sqref="B1:B1048576">
    <cfRule type="duplicateValues" dxfId="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02"/>
  <sheetViews>
    <sheetView workbookViewId="0">
      <selection activeCell="G24" sqref="G24:J24"/>
    </sheetView>
  </sheetViews>
  <sheetFormatPr defaultRowHeight="15" x14ac:dyDescent="0.25"/>
  <cols>
    <col min="1" max="1" width="55" customWidth="1"/>
    <col min="2" max="2" width="108.7109375" bestFit="1" customWidth="1"/>
  </cols>
  <sheetData>
    <row r="1" spans="1:33" x14ac:dyDescent="0.25">
      <c r="A1" t="s">
        <v>589</v>
      </c>
    </row>
    <row r="2" spans="1:33" x14ac:dyDescent="0.25">
      <c r="A2" t="s">
        <v>590</v>
      </c>
    </row>
    <row r="3" spans="1:33" x14ac:dyDescent="0.25">
      <c r="A3" t="s">
        <v>591</v>
      </c>
    </row>
    <row r="4" spans="1:33" x14ac:dyDescent="0.25">
      <c r="A4" t="s">
        <v>355</v>
      </c>
    </row>
    <row r="5" spans="1:33" x14ac:dyDescent="0.25">
      <c r="B5" t="s">
        <v>356</v>
      </c>
      <c r="C5" t="s">
        <v>357</v>
      </c>
      <c r="D5" t="s">
        <v>358</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359</v>
      </c>
    </row>
    <row r="6" spans="1:33" x14ac:dyDescent="0.25">
      <c r="A6" t="s">
        <v>360</v>
      </c>
    </row>
    <row r="7" spans="1:33" x14ac:dyDescent="0.25">
      <c r="A7" t="s">
        <v>592</v>
      </c>
    </row>
    <row r="8" spans="1:33" x14ac:dyDescent="0.25">
      <c r="A8" t="s">
        <v>593</v>
      </c>
      <c r="B8" t="s">
        <v>594</v>
      </c>
      <c r="C8" t="s">
        <v>595</v>
      </c>
      <c r="D8" t="s">
        <v>596</v>
      </c>
      <c r="F8">
        <v>100.62979900000001</v>
      </c>
      <c r="G8">
        <v>101.845505</v>
      </c>
      <c r="H8">
        <v>102.983406</v>
      </c>
      <c r="I8">
        <v>104.38230900000001</v>
      </c>
      <c r="J8">
        <v>105.949738</v>
      </c>
      <c r="K8">
        <v>107.606689</v>
      </c>
      <c r="L8">
        <v>109.257599</v>
      </c>
      <c r="M8">
        <v>110.864998</v>
      </c>
      <c r="N8">
        <v>112.44348100000001</v>
      </c>
      <c r="O8">
        <v>114.027519</v>
      </c>
      <c r="P8">
        <v>115.627022</v>
      </c>
      <c r="Q8">
        <v>117.233688</v>
      </c>
      <c r="R8">
        <v>118.833</v>
      </c>
      <c r="S8">
        <v>120.408638</v>
      </c>
      <c r="T8">
        <v>121.95262099999999</v>
      </c>
      <c r="U8">
        <v>123.467499</v>
      </c>
      <c r="V8">
        <v>124.95824399999999</v>
      </c>
      <c r="W8">
        <v>126.430229</v>
      </c>
      <c r="X8">
        <v>127.88880899999999</v>
      </c>
      <c r="Y8">
        <v>129.337433</v>
      </c>
      <c r="Z8">
        <v>130.77920499999999</v>
      </c>
      <c r="AA8">
        <v>132.21798699999999</v>
      </c>
      <c r="AB8">
        <v>133.65730300000001</v>
      </c>
      <c r="AC8">
        <v>135.10043300000001</v>
      </c>
      <c r="AD8">
        <v>136.550049</v>
      </c>
      <c r="AE8">
        <v>138.00769</v>
      </c>
      <c r="AF8">
        <v>139.47395299999999</v>
      </c>
      <c r="AG8" s="42">
        <v>1.2999999999999999E-2</v>
      </c>
    </row>
    <row r="9" spans="1:33" x14ac:dyDescent="0.25">
      <c r="A9" t="s">
        <v>597</v>
      </c>
      <c r="B9" t="s">
        <v>598</v>
      </c>
      <c r="C9" t="s">
        <v>599</v>
      </c>
      <c r="D9" t="s">
        <v>596</v>
      </c>
      <c r="F9">
        <v>2.7420749999999998</v>
      </c>
      <c r="G9">
        <v>2.676447</v>
      </c>
      <c r="H9">
        <v>2.951616</v>
      </c>
      <c r="I9">
        <v>3.1368719999999999</v>
      </c>
      <c r="J9">
        <v>3.2451020000000002</v>
      </c>
      <c r="K9">
        <v>3.2589950000000001</v>
      </c>
      <c r="L9">
        <v>3.2359849999999999</v>
      </c>
      <c r="M9">
        <v>3.227938</v>
      </c>
      <c r="N9">
        <v>3.2548240000000002</v>
      </c>
      <c r="O9">
        <v>3.2921589999999998</v>
      </c>
      <c r="P9">
        <v>3.3216220000000001</v>
      </c>
      <c r="Q9">
        <v>3.3368820000000001</v>
      </c>
      <c r="R9">
        <v>3.3359239999999999</v>
      </c>
      <c r="S9">
        <v>3.3269090000000001</v>
      </c>
      <c r="T9">
        <v>3.3203109999999998</v>
      </c>
      <c r="U9">
        <v>3.3185319999999998</v>
      </c>
      <c r="V9">
        <v>3.3219720000000001</v>
      </c>
      <c r="W9">
        <v>3.3306</v>
      </c>
      <c r="X9">
        <v>3.3425159999999998</v>
      </c>
      <c r="Y9">
        <v>3.3574739999999998</v>
      </c>
      <c r="Z9">
        <v>3.3761589999999999</v>
      </c>
      <c r="AA9">
        <v>3.3983430000000001</v>
      </c>
      <c r="AB9">
        <v>3.4237730000000002</v>
      </c>
      <c r="AC9">
        <v>3.4518680000000002</v>
      </c>
      <c r="AD9">
        <v>3.4815589999999998</v>
      </c>
      <c r="AE9">
        <v>3.5119199999999999</v>
      </c>
      <c r="AF9">
        <v>3.542278</v>
      </c>
      <c r="AG9" s="42">
        <v>0.01</v>
      </c>
    </row>
    <row r="10" spans="1:33" x14ac:dyDescent="0.25">
      <c r="A10" t="s">
        <v>372</v>
      </c>
      <c r="B10" t="s">
        <v>600</v>
      </c>
      <c r="C10" t="s">
        <v>601</v>
      </c>
      <c r="D10" t="s">
        <v>596</v>
      </c>
      <c r="F10">
        <v>103.371872</v>
      </c>
      <c r="G10">
        <v>104.52195</v>
      </c>
      <c r="H10">
        <v>105.93501999999999</v>
      </c>
      <c r="I10">
        <v>107.51918000000001</v>
      </c>
      <c r="J10">
        <v>109.194839</v>
      </c>
      <c r="K10">
        <v>110.865685</v>
      </c>
      <c r="L10">
        <v>112.493584</v>
      </c>
      <c r="M10">
        <v>114.092934</v>
      </c>
      <c r="N10">
        <v>115.698303</v>
      </c>
      <c r="O10">
        <v>117.31967899999999</v>
      </c>
      <c r="P10">
        <v>118.94864699999999</v>
      </c>
      <c r="Q10">
        <v>120.570572</v>
      </c>
      <c r="R10">
        <v>122.16892199999999</v>
      </c>
      <c r="S10">
        <v>123.73555</v>
      </c>
      <c r="T10">
        <v>125.27293400000001</v>
      </c>
      <c r="U10">
        <v>126.786034</v>
      </c>
      <c r="V10">
        <v>128.28021200000001</v>
      </c>
      <c r="W10">
        <v>129.76083399999999</v>
      </c>
      <c r="X10">
        <v>131.231323</v>
      </c>
      <c r="Y10">
        <v>132.69490099999999</v>
      </c>
      <c r="Z10">
        <v>134.15536499999999</v>
      </c>
      <c r="AA10">
        <v>135.616333</v>
      </c>
      <c r="AB10">
        <v>137.08107000000001</v>
      </c>
      <c r="AC10">
        <v>138.55230700000001</v>
      </c>
      <c r="AD10">
        <v>140.03160099999999</v>
      </c>
      <c r="AE10">
        <v>141.51960800000001</v>
      </c>
      <c r="AF10">
        <v>143.01623499999999</v>
      </c>
      <c r="AG10" s="42">
        <v>1.2999999999999999E-2</v>
      </c>
    </row>
    <row r="11" spans="1:33" x14ac:dyDescent="0.25">
      <c r="A11" t="s">
        <v>602</v>
      </c>
    </row>
    <row r="12" spans="1:33" x14ac:dyDescent="0.25">
      <c r="A12" t="s">
        <v>388</v>
      </c>
    </row>
    <row r="13" spans="1:33" x14ac:dyDescent="0.25">
      <c r="A13" t="s">
        <v>381</v>
      </c>
      <c r="B13" t="s">
        <v>603</v>
      </c>
      <c r="C13" t="s">
        <v>604</v>
      </c>
      <c r="D13" t="s">
        <v>391</v>
      </c>
      <c r="F13">
        <v>91.297416999999996</v>
      </c>
      <c r="G13">
        <v>93.066040000000001</v>
      </c>
      <c r="H13">
        <v>92.122139000000004</v>
      </c>
      <c r="I13">
        <v>91.445876999999996</v>
      </c>
      <c r="J13">
        <v>90.480346999999995</v>
      </c>
      <c r="K13">
        <v>89.907691999999997</v>
      </c>
      <c r="L13">
        <v>89.112656000000001</v>
      </c>
      <c r="M13">
        <v>88.379570000000001</v>
      </c>
      <c r="N13">
        <v>87.622482000000005</v>
      </c>
      <c r="O13">
        <v>86.837356999999997</v>
      </c>
      <c r="P13">
        <v>86.167732000000001</v>
      </c>
      <c r="Q13">
        <v>85.690337999999997</v>
      </c>
      <c r="R13">
        <v>85.397948999999997</v>
      </c>
      <c r="S13">
        <v>85.214698999999996</v>
      </c>
      <c r="T13">
        <v>85.044394999999994</v>
      </c>
      <c r="U13">
        <v>84.943207000000001</v>
      </c>
      <c r="V13">
        <v>84.840546000000003</v>
      </c>
      <c r="W13">
        <v>84.733611999999994</v>
      </c>
      <c r="X13">
        <v>84.622826000000003</v>
      </c>
      <c r="Y13">
        <v>84.529892000000004</v>
      </c>
      <c r="Z13">
        <v>84.476494000000002</v>
      </c>
      <c r="AA13">
        <v>84.450005000000004</v>
      </c>
      <c r="AB13">
        <v>84.416839999999993</v>
      </c>
      <c r="AC13">
        <v>84.421028000000007</v>
      </c>
      <c r="AD13">
        <v>84.460350000000005</v>
      </c>
      <c r="AE13">
        <v>84.503151000000003</v>
      </c>
      <c r="AF13">
        <v>84.555496000000005</v>
      </c>
      <c r="AG13" s="42">
        <v>-3.0000000000000001E-3</v>
      </c>
    </row>
    <row r="14" spans="1:33" x14ac:dyDescent="0.25">
      <c r="A14" t="s">
        <v>385</v>
      </c>
      <c r="B14" t="s">
        <v>605</v>
      </c>
      <c r="C14" t="s">
        <v>606</v>
      </c>
      <c r="D14" t="s">
        <v>391</v>
      </c>
      <c r="F14">
        <v>89.926224000000005</v>
      </c>
      <c r="G14">
        <v>91.548018999999996</v>
      </c>
      <c r="H14">
        <v>90.468704000000002</v>
      </c>
      <c r="I14">
        <v>89.751579000000007</v>
      </c>
      <c r="J14">
        <v>88.749549999999999</v>
      </c>
      <c r="K14">
        <v>88.113715999999997</v>
      </c>
      <c r="L14">
        <v>87.240325999999996</v>
      </c>
      <c r="M14">
        <v>86.402923999999999</v>
      </c>
      <c r="N14">
        <v>85.555892999999998</v>
      </c>
      <c r="O14">
        <v>84.661986999999996</v>
      </c>
      <c r="P14">
        <v>83.932784999999996</v>
      </c>
      <c r="Q14">
        <v>83.432761999999997</v>
      </c>
      <c r="R14">
        <v>83.125373999999994</v>
      </c>
      <c r="S14">
        <v>82.923316999999997</v>
      </c>
      <c r="T14">
        <v>82.710251</v>
      </c>
      <c r="U14">
        <v>82.597198000000006</v>
      </c>
      <c r="V14">
        <v>82.477485999999999</v>
      </c>
      <c r="W14">
        <v>82.332970000000003</v>
      </c>
      <c r="X14">
        <v>82.186722000000003</v>
      </c>
      <c r="Y14">
        <v>82.053061999999997</v>
      </c>
      <c r="Z14">
        <v>81.959311999999997</v>
      </c>
      <c r="AA14">
        <v>81.891105999999994</v>
      </c>
      <c r="AB14">
        <v>81.823502000000005</v>
      </c>
      <c r="AC14">
        <v>81.784096000000005</v>
      </c>
      <c r="AD14">
        <v>81.778503000000001</v>
      </c>
      <c r="AE14">
        <v>81.779785000000004</v>
      </c>
      <c r="AF14">
        <v>81.785347000000002</v>
      </c>
      <c r="AG14" s="42">
        <v>-4.0000000000000001E-3</v>
      </c>
    </row>
    <row r="15" spans="1:33" x14ac:dyDescent="0.25">
      <c r="A15" t="s">
        <v>394</v>
      </c>
    </row>
    <row r="16" spans="1:33" x14ac:dyDescent="0.25">
      <c r="A16" t="s">
        <v>341</v>
      </c>
    </row>
    <row r="17" spans="1:33" x14ac:dyDescent="0.25">
      <c r="A17" t="s">
        <v>395</v>
      </c>
      <c r="B17" t="s">
        <v>91</v>
      </c>
      <c r="C17" t="s">
        <v>607</v>
      </c>
      <c r="D17" t="s">
        <v>397</v>
      </c>
      <c r="F17">
        <v>0.18654100000000001</v>
      </c>
      <c r="G17">
        <v>0.19798499999999999</v>
      </c>
      <c r="H17">
        <v>0.198076</v>
      </c>
      <c r="I17">
        <v>0.19905400000000001</v>
      </c>
      <c r="J17">
        <v>0.199048</v>
      </c>
      <c r="K17">
        <v>0.19789100000000001</v>
      </c>
      <c r="L17">
        <v>0.196351</v>
      </c>
      <c r="M17">
        <v>0.19459000000000001</v>
      </c>
      <c r="N17">
        <v>0.192773</v>
      </c>
      <c r="O17">
        <v>0.19006600000000001</v>
      </c>
      <c r="P17">
        <v>0.18767900000000001</v>
      </c>
      <c r="Q17">
        <v>0.18654599999999999</v>
      </c>
      <c r="R17">
        <v>0.18571199999999999</v>
      </c>
      <c r="S17">
        <v>0.18491099999999999</v>
      </c>
      <c r="T17">
        <v>0.18373300000000001</v>
      </c>
      <c r="U17">
        <v>0.18249699999999999</v>
      </c>
      <c r="V17">
        <v>0.18119099999999999</v>
      </c>
      <c r="W17">
        <v>0.179785</v>
      </c>
      <c r="X17">
        <v>0.17821200000000001</v>
      </c>
      <c r="Y17">
        <v>0.176566</v>
      </c>
      <c r="Z17">
        <v>0.17479700000000001</v>
      </c>
      <c r="AA17">
        <v>0.17294899999999999</v>
      </c>
      <c r="AB17">
        <v>0.171014</v>
      </c>
      <c r="AC17">
        <v>0.16902200000000001</v>
      </c>
      <c r="AD17">
        <v>0.166995</v>
      </c>
      <c r="AE17">
        <v>0.165017</v>
      </c>
      <c r="AF17">
        <v>0.163026</v>
      </c>
      <c r="AG17" s="42">
        <v>-5.0000000000000001E-3</v>
      </c>
    </row>
    <row r="18" spans="1:33" x14ac:dyDescent="0.25">
      <c r="A18" t="s">
        <v>608</v>
      </c>
      <c r="B18" t="s">
        <v>94</v>
      </c>
      <c r="C18" t="s">
        <v>609</v>
      </c>
      <c r="D18" t="s">
        <v>397</v>
      </c>
      <c r="F18">
        <v>0.57286300000000001</v>
      </c>
      <c r="G18">
        <v>0.555504</v>
      </c>
      <c r="H18">
        <v>0.56710099999999997</v>
      </c>
      <c r="I18">
        <v>0.58141699999999996</v>
      </c>
      <c r="J18">
        <v>0.59301899999999996</v>
      </c>
      <c r="K18">
        <v>0.600526</v>
      </c>
      <c r="L18">
        <v>0.60565599999999997</v>
      </c>
      <c r="M18">
        <v>0.61051100000000003</v>
      </c>
      <c r="N18">
        <v>0.61591600000000002</v>
      </c>
      <c r="O18">
        <v>0.62055099999999996</v>
      </c>
      <c r="P18">
        <v>0.62640499999999999</v>
      </c>
      <c r="Q18">
        <v>0.63423700000000005</v>
      </c>
      <c r="R18">
        <v>0.64381999999999995</v>
      </c>
      <c r="S18">
        <v>0.65397899999999998</v>
      </c>
      <c r="T18">
        <v>0.66307199999999999</v>
      </c>
      <c r="U18">
        <v>0.67238900000000001</v>
      </c>
      <c r="V18">
        <v>0.68169299999999999</v>
      </c>
      <c r="W18">
        <v>0.69142400000000004</v>
      </c>
      <c r="X18">
        <v>0.70088799999999996</v>
      </c>
      <c r="Y18">
        <v>0.71087299999999998</v>
      </c>
      <c r="Z18">
        <v>0.72087900000000005</v>
      </c>
      <c r="AA18">
        <v>0.73082199999999997</v>
      </c>
      <c r="AB18">
        <v>0.74072300000000002</v>
      </c>
      <c r="AC18">
        <v>0.75073699999999999</v>
      </c>
      <c r="AD18">
        <v>0.76097599999999999</v>
      </c>
      <c r="AE18">
        <v>0.77153000000000005</v>
      </c>
      <c r="AF18">
        <v>0.78222499999999995</v>
      </c>
      <c r="AG18" s="42">
        <v>1.2E-2</v>
      </c>
    </row>
    <row r="19" spans="1:33" x14ac:dyDescent="0.25">
      <c r="A19" t="s">
        <v>400</v>
      </c>
      <c r="B19" t="s">
        <v>96</v>
      </c>
      <c r="C19" t="s">
        <v>610</v>
      </c>
      <c r="D19" t="s">
        <v>397</v>
      </c>
      <c r="F19">
        <v>7.4497999999999995E-2</v>
      </c>
      <c r="G19">
        <v>7.4070999999999998E-2</v>
      </c>
      <c r="H19">
        <v>7.4181999999999998E-2</v>
      </c>
      <c r="I19">
        <v>7.4693999999999997E-2</v>
      </c>
      <c r="J19">
        <v>7.4824000000000002E-2</v>
      </c>
      <c r="K19">
        <v>7.4441999999999994E-2</v>
      </c>
      <c r="L19">
        <v>7.3762999999999995E-2</v>
      </c>
      <c r="M19">
        <v>7.2946999999999998E-2</v>
      </c>
      <c r="N19">
        <v>7.2144E-2</v>
      </c>
      <c r="O19">
        <v>7.1230000000000002E-2</v>
      </c>
      <c r="P19">
        <v>7.0422999999999999E-2</v>
      </c>
      <c r="Q19">
        <v>6.9794999999999996E-2</v>
      </c>
      <c r="R19">
        <v>6.9306000000000006E-2</v>
      </c>
      <c r="S19">
        <v>6.8849999999999995E-2</v>
      </c>
      <c r="T19">
        <v>6.8282999999999996E-2</v>
      </c>
      <c r="U19">
        <v>6.7698999999999995E-2</v>
      </c>
      <c r="V19">
        <v>6.7104999999999998E-2</v>
      </c>
      <c r="W19">
        <v>6.6491999999999996E-2</v>
      </c>
      <c r="X19">
        <v>6.5851999999999994E-2</v>
      </c>
      <c r="Y19">
        <v>6.5211000000000005E-2</v>
      </c>
      <c r="Z19">
        <v>6.4549999999999996E-2</v>
      </c>
      <c r="AA19">
        <v>6.3868999999999995E-2</v>
      </c>
      <c r="AB19">
        <v>6.3171000000000005E-2</v>
      </c>
      <c r="AC19">
        <v>6.2462999999999998E-2</v>
      </c>
      <c r="AD19">
        <v>6.1751E-2</v>
      </c>
      <c r="AE19">
        <v>6.1051000000000001E-2</v>
      </c>
      <c r="AF19">
        <v>6.0345000000000003E-2</v>
      </c>
      <c r="AG19" s="42">
        <v>-8.0000000000000002E-3</v>
      </c>
    </row>
    <row r="20" spans="1:33" x14ac:dyDescent="0.25">
      <c r="A20" t="s">
        <v>611</v>
      </c>
      <c r="B20" t="s">
        <v>98</v>
      </c>
      <c r="C20" t="s">
        <v>612</v>
      </c>
      <c r="D20" t="s">
        <v>397</v>
      </c>
      <c r="F20">
        <v>0.74466100000000002</v>
      </c>
      <c r="G20">
        <v>0.75660300000000003</v>
      </c>
      <c r="H20">
        <v>0.77322599999999997</v>
      </c>
      <c r="I20">
        <v>0.794686</v>
      </c>
      <c r="J20">
        <v>0.81265399999999999</v>
      </c>
      <c r="K20">
        <v>0.82538800000000001</v>
      </c>
      <c r="L20">
        <v>0.83255599999999996</v>
      </c>
      <c r="M20">
        <v>0.83918999999999999</v>
      </c>
      <c r="N20">
        <v>0.84623800000000005</v>
      </c>
      <c r="O20">
        <v>0.85270299999999999</v>
      </c>
      <c r="P20">
        <v>0.86054200000000003</v>
      </c>
      <c r="Q20">
        <v>0.87058199999999997</v>
      </c>
      <c r="R20">
        <v>0.88244599999999995</v>
      </c>
      <c r="S20">
        <v>0.89490700000000001</v>
      </c>
      <c r="T20">
        <v>0.90612800000000004</v>
      </c>
      <c r="U20">
        <v>0.91749000000000003</v>
      </c>
      <c r="V20">
        <v>0.92891400000000002</v>
      </c>
      <c r="W20">
        <v>0.94040800000000002</v>
      </c>
      <c r="X20">
        <v>0.95150500000000005</v>
      </c>
      <c r="Y20">
        <v>0.96264499999999997</v>
      </c>
      <c r="Z20">
        <v>0.97362300000000002</v>
      </c>
      <c r="AA20">
        <v>0.98445099999999996</v>
      </c>
      <c r="AB20">
        <v>0.99525200000000003</v>
      </c>
      <c r="AC20">
        <v>1.006035</v>
      </c>
      <c r="AD20">
        <v>1.016947</v>
      </c>
      <c r="AE20">
        <v>1.0281290000000001</v>
      </c>
      <c r="AF20">
        <v>1.0394589999999999</v>
      </c>
      <c r="AG20" s="42">
        <v>1.2999999999999999E-2</v>
      </c>
    </row>
    <row r="21" spans="1:33" x14ac:dyDescent="0.25">
      <c r="A21" t="s">
        <v>404</v>
      </c>
      <c r="B21" t="s">
        <v>100</v>
      </c>
      <c r="C21" t="s">
        <v>613</v>
      </c>
      <c r="D21" t="s">
        <v>397</v>
      </c>
      <c r="F21">
        <v>8.4362999999999994E-2</v>
      </c>
      <c r="G21">
        <v>8.4583000000000005E-2</v>
      </c>
      <c r="H21">
        <v>8.5052000000000003E-2</v>
      </c>
      <c r="I21">
        <v>8.5953000000000002E-2</v>
      </c>
      <c r="J21">
        <v>8.6428000000000005E-2</v>
      </c>
      <c r="K21">
        <v>8.6317000000000005E-2</v>
      </c>
      <c r="L21">
        <v>8.5872000000000004E-2</v>
      </c>
      <c r="M21">
        <v>8.5313E-2</v>
      </c>
      <c r="N21">
        <v>8.4775000000000003E-2</v>
      </c>
      <c r="O21">
        <v>8.4150000000000003E-2</v>
      </c>
      <c r="P21">
        <v>8.3640999999999993E-2</v>
      </c>
      <c r="Q21">
        <v>8.3323999999999995E-2</v>
      </c>
      <c r="R21">
        <v>8.3155000000000007E-2</v>
      </c>
      <c r="S21">
        <v>8.3003999999999994E-2</v>
      </c>
      <c r="T21">
        <v>8.2700999999999997E-2</v>
      </c>
      <c r="U21">
        <v>8.2369999999999999E-2</v>
      </c>
      <c r="V21">
        <v>8.201E-2</v>
      </c>
      <c r="W21">
        <v>8.1651000000000001E-2</v>
      </c>
      <c r="X21">
        <v>8.1244999999999998E-2</v>
      </c>
      <c r="Y21">
        <v>8.0828999999999998E-2</v>
      </c>
      <c r="Z21">
        <v>8.0369999999999997E-2</v>
      </c>
      <c r="AA21">
        <v>7.9868999999999996E-2</v>
      </c>
      <c r="AB21">
        <v>7.9338000000000006E-2</v>
      </c>
      <c r="AC21">
        <v>7.8785999999999995E-2</v>
      </c>
      <c r="AD21">
        <v>7.8226000000000004E-2</v>
      </c>
      <c r="AE21">
        <v>7.7667E-2</v>
      </c>
      <c r="AF21">
        <v>7.7102000000000004E-2</v>
      </c>
      <c r="AG21" s="42">
        <v>-3.0000000000000001E-3</v>
      </c>
    </row>
    <row r="22" spans="1:33" x14ac:dyDescent="0.25">
      <c r="A22" t="s">
        <v>410</v>
      </c>
      <c r="B22" t="s">
        <v>102</v>
      </c>
      <c r="C22" t="s">
        <v>614</v>
      </c>
      <c r="D22" t="s">
        <v>397</v>
      </c>
      <c r="F22">
        <v>0.57562899999999995</v>
      </c>
      <c r="G22">
        <v>0.56407300000000005</v>
      </c>
      <c r="H22">
        <v>0.561419</v>
      </c>
      <c r="I22">
        <v>0.564836</v>
      </c>
      <c r="J22">
        <v>0.56773899999999999</v>
      </c>
      <c r="K22">
        <v>0.56803800000000004</v>
      </c>
      <c r="L22">
        <v>0.55779599999999996</v>
      </c>
      <c r="M22">
        <v>0.54866800000000004</v>
      </c>
      <c r="N22">
        <v>0.54072299999999995</v>
      </c>
      <c r="O22">
        <v>0.53283599999999998</v>
      </c>
      <c r="P22">
        <v>0.525787</v>
      </c>
      <c r="Q22">
        <v>0.52025200000000005</v>
      </c>
      <c r="R22">
        <v>0.51639699999999999</v>
      </c>
      <c r="S22">
        <v>0.513764</v>
      </c>
      <c r="T22">
        <v>0.51109800000000005</v>
      </c>
      <c r="U22">
        <v>0.50913900000000001</v>
      </c>
      <c r="V22">
        <v>0.50622100000000003</v>
      </c>
      <c r="W22">
        <v>0.50424800000000003</v>
      </c>
      <c r="X22">
        <v>0.50266299999999997</v>
      </c>
      <c r="Y22">
        <v>0.501633</v>
      </c>
      <c r="Z22">
        <v>0.50087099999999996</v>
      </c>
      <c r="AA22">
        <v>0.50036999999999998</v>
      </c>
      <c r="AB22">
        <v>0.50009899999999996</v>
      </c>
      <c r="AC22">
        <v>0.49930799999999997</v>
      </c>
      <c r="AD22">
        <v>0.49875599999999998</v>
      </c>
      <c r="AE22">
        <v>0.49849900000000003</v>
      </c>
      <c r="AF22">
        <v>0.498199</v>
      </c>
      <c r="AG22" s="42">
        <v>-6.0000000000000001E-3</v>
      </c>
    </row>
    <row r="23" spans="1:33" x14ac:dyDescent="0.25">
      <c r="A23" t="s">
        <v>402</v>
      </c>
      <c r="B23" t="s">
        <v>104</v>
      </c>
      <c r="C23" t="s">
        <v>615</v>
      </c>
      <c r="D23" t="s">
        <v>397</v>
      </c>
      <c r="F23">
        <v>0.367309</v>
      </c>
      <c r="G23">
        <v>0.36862400000000001</v>
      </c>
      <c r="H23">
        <v>0.37076599999999998</v>
      </c>
      <c r="I23">
        <v>0.374365</v>
      </c>
      <c r="J23">
        <v>0.37762099999999998</v>
      </c>
      <c r="K23">
        <v>0.38000099999999998</v>
      </c>
      <c r="L23">
        <v>0.380716</v>
      </c>
      <c r="M23">
        <v>0.38166699999999998</v>
      </c>
      <c r="N23">
        <v>0.38290400000000002</v>
      </c>
      <c r="O23">
        <v>0.38422499999999998</v>
      </c>
      <c r="P23">
        <v>0.38594099999999998</v>
      </c>
      <c r="Q23">
        <v>0.38813999999999999</v>
      </c>
      <c r="R23">
        <v>0.39068999999999998</v>
      </c>
      <c r="S23">
        <v>0.39332699999999998</v>
      </c>
      <c r="T23">
        <v>0.39572299999999999</v>
      </c>
      <c r="U23">
        <v>0.39809899999999998</v>
      </c>
      <c r="V23">
        <v>0.40043800000000002</v>
      </c>
      <c r="W23">
        <v>0.40304499999999999</v>
      </c>
      <c r="X23">
        <v>0.40557700000000002</v>
      </c>
      <c r="Y23">
        <v>0.40810299999999999</v>
      </c>
      <c r="Z23">
        <v>0.41056599999999999</v>
      </c>
      <c r="AA23">
        <v>0.41296699999999997</v>
      </c>
      <c r="AB23">
        <v>0.41533300000000001</v>
      </c>
      <c r="AC23">
        <v>0.417661</v>
      </c>
      <c r="AD23">
        <v>0.41996899999999998</v>
      </c>
      <c r="AE23">
        <v>0.42227500000000001</v>
      </c>
      <c r="AF23">
        <v>0.42455399999999999</v>
      </c>
      <c r="AG23" s="42">
        <v>6.0000000000000001E-3</v>
      </c>
    </row>
    <row r="24" spans="1:33" x14ac:dyDescent="0.25">
      <c r="A24" t="s">
        <v>616</v>
      </c>
      <c r="B24" t="s">
        <v>106</v>
      </c>
      <c r="C24" t="s">
        <v>617</v>
      </c>
      <c r="D24" t="s">
        <v>397</v>
      </c>
      <c r="F24">
        <v>0.341028</v>
      </c>
      <c r="G24">
        <v>0.35735299999999998</v>
      </c>
      <c r="H24">
        <v>0.37537300000000001</v>
      </c>
      <c r="I24">
        <v>0.394874</v>
      </c>
      <c r="J24">
        <v>0.41530699999999998</v>
      </c>
      <c r="K24">
        <v>0.43539699999999998</v>
      </c>
      <c r="L24">
        <v>0.45558999999999999</v>
      </c>
      <c r="M24">
        <v>0.47651500000000002</v>
      </c>
      <c r="N24">
        <v>0.49855899999999997</v>
      </c>
      <c r="O24">
        <v>0.52174200000000004</v>
      </c>
      <c r="P24">
        <v>0.54635599999999995</v>
      </c>
      <c r="Q24">
        <v>0.57254700000000003</v>
      </c>
      <c r="R24">
        <v>0.60029699999999997</v>
      </c>
      <c r="S24">
        <v>0.63007800000000003</v>
      </c>
      <c r="T24">
        <v>0.66060300000000005</v>
      </c>
      <c r="U24">
        <v>0.69272100000000003</v>
      </c>
      <c r="V24">
        <v>0.72653599999999996</v>
      </c>
      <c r="W24">
        <v>0.76207000000000003</v>
      </c>
      <c r="X24">
        <v>0.79877200000000004</v>
      </c>
      <c r="Y24">
        <v>0.83676200000000001</v>
      </c>
      <c r="Z24">
        <v>0.87679600000000002</v>
      </c>
      <c r="AA24">
        <v>0.91822599999999999</v>
      </c>
      <c r="AB24">
        <v>0.96115600000000001</v>
      </c>
      <c r="AC24">
        <v>1.0064660000000001</v>
      </c>
      <c r="AD24">
        <v>1.0534829999999999</v>
      </c>
      <c r="AE24">
        <v>1.1014429999999999</v>
      </c>
      <c r="AF24">
        <v>1.1521049999999999</v>
      </c>
      <c r="AG24" s="42">
        <v>4.8000000000000001E-2</v>
      </c>
    </row>
    <row r="25" spans="1:33" x14ac:dyDescent="0.25">
      <c r="A25" t="s">
        <v>618</v>
      </c>
      <c r="B25" t="s">
        <v>107</v>
      </c>
      <c r="C25" t="s">
        <v>619</v>
      </c>
      <c r="D25" t="s">
        <v>397</v>
      </c>
      <c r="F25">
        <v>4.3232E-2</v>
      </c>
      <c r="G25">
        <v>4.3304000000000002E-2</v>
      </c>
      <c r="H25">
        <v>4.3521999999999998E-2</v>
      </c>
      <c r="I25">
        <v>4.3887000000000002E-2</v>
      </c>
      <c r="J25">
        <v>4.4332000000000003E-2</v>
      </c>
      <c r="K25">
        <v>4.4706999999999997E-2</v>
      </c>
      <c r="L25">
        <v>4.5025999999999997E-2</v>
      </c>
      <c r="M25">
        <v>4.5362E-2</v>
      </c>
      <c r="N25">
        <v>4.5696000000000001E-2</v>
      </c>
      <c r="O25">
        <v>4.6077E-2</v>
      </c>
      <c r="P25">
        <v>4.6523000000000002E-2</v>
      </c>
      <c r="Q25">
        <v>4.6986E-2</v>
      </c>
      <c r="R25">
        <v>4.7454999999999997E-2</v>
      </c>
      <c r="S25">
        <v>4.7914999999999999E-2</v>
      </c>
      <c r="T25">
        <v>4.8287999999999998E-2</v>
      </c>
      <c r="U25">
        <v>4.8647000000000003E-2</v>
      </c>
      <c r="V25">
        <v>4.8932999999999997E-2</v>
      </c>
      <c r="W25">
        <v>4.9079999999999999E-2</v>
      </c>
      <c r="X25">
        <v>4.9147000000000003E-2</v>
      </c>
      <c r="Y25">
        <v>4.9140000000000003E-2</v>
      </c>
      <c r="Z25">
        <v>4.8991E-2</v>
      </c>
      <c r="AA25">
        <v>4.8633999999999997E-2</v>
      </c>
      <c r="AB25">
        <v>4.8195000000000002E-2</v>
      </c>
      <c r="AC25">
        <v>4.7543000000000002E-2</v>
      </c>
      <c r="AD25">
        <v>4.6675000000000001E-2</v>
      </c>
      <c r="AE25">
        <v>4.5652999999999999E-2</v>
      </c>
      <c r="AF25">
        <v>4.4405E-2</v>
      </c>
      <c r="AG25" s="42">
        <v>1E-3</v>
      </c>
    </row>
    <row r="26" spans="1:33" x14ac:dyDescent="0.25">
      <c r="A26" t="s">
        <v>422</v>
      </c>
      <c r="B26" t="s">
        <v>109</v>
      </c>
      <c r="C26" t="s">
        <v>620</v>
      </c>
      <c r="D26" t="s">
        <v>397</v>
      </c>
      <c r="F26">
        <v>1.9009560000000001</v>
      </c>
      <c r="G26">
        <v>1.978316</v>
      </c>
      <c r="H26">
        <v>1.9087810000000001</v>
      </c>
      <c r="I26">
        <v>1.8950199999999999</v>
      </c>
      <c r="J26">
        <v>1.879119</v>
      </c>
      <c r="K26">
        <v>1.9135180000000001</v>
      </c>
      <c r="L26">
        <v>1.9444319999999999</v>
      </c>
      <c r="M26">
        <v>1.974445</v>
      </c>
      <c r="N26">
        <v>2.004845</v>
      </c>
      <c r="O26">
        <v>2.0358559999999999</v>
      </c>
      <c r="P26">
        <v>2.0683220000000002</v>
      </c>
      <c r="Q26">
        <v>2.1027650000000002</v>
      </c>
      <c r="R26">
        <v>2.1393689999999999</v>
      </c>
      <c r="S26">
        <v>2.1764999999999999</v>
      </c>
      <c r="T26">
        <v>2.2136990000000001</v>
      </c>
      <c r="U26">
        <v>2.2514560000000001</v>
      </c>
      <c r="V26">
        <v>2.2899370000000001</v>
      </c>
      <c r="W26">
        <v>2.3290630000000001</v>
      </c>
      <c r="X26">
        <v>2.3688410000000002</v>
      </c>
      <c r="Y26">
        <v>2.409592</v>
      </c>
      <c r="Z26">
        <v>2.4511859999999999</v>
      </c>
      <c r="AA26">
        <v>2.493665</v>
      </c>
      <c r="AB26">
        <v>2.536645</v>
      </c>
      <c r="AC26">
        <v>2.5805509999999998</v>
      </c>
      <c r="AD26">
        <v>2.6257799999999998</v>
      </c>
      <c r="AE26">
        <v>2.6718920000000002</v>
      </c>
      <c r="AF26">
        <v>2.7192539999999998</v>
      </c>
      <c r="AG26" s="42">
        <v>1.4E-2</v>
      </c>
    </row>
    <row r="27" spans="1:33" x14ac:dyDescent="0.25">
      <c r="A27" t="s">
        <v>424</v>
      </c>
      <c r="B27" t="s">
        <v>111</v>
      </c>
      <c r="C27" t="s">
        <v>621</v>
      </c>
      <c r="D27" t="s">
        <v>397</v>
      </c>
      <c r="F27">
        <v>4.8910809999999998</v>
      </c>
      <c r="G27">
        <v>4.980416</v>
      </c>
      <c r="H27">
        <v>4.9574980000000002</v>
      </c>
      <c r="I27">
        <v>5.0087859999999997</v>
      </c>
      <c r="J27">
        <v>5.0500920000000002</v>
      </c>
      <c r="K27">
        <v>5.1262249999999998</v>
      </c>
      <c r="L27">
        <v>5.177759</v>
      </c>
      <c r="M27">
        <v>5.2292079999999999</v>
      </c>
      <c r="N27">
        <v>5.2845719999999998</v>
      </c>
      <c r="O27">
        <v>5.3394349999999999</v>
      </c>
      <c r="P27">
        <v>5.4016200000000003</v>
      </c>
      <c r="Q27">
        <v>5.4751729999999998</v>
      </c>
      <c r="R27">
        <v>5.5586479999999998</v>
      </c>
      <c r="S27">
        <v>5.6472350000000002</v>
      </c>
      <c r="T27">
        <v>5.7333280000000002</v>
      </c>
      <c r="U27">
        <v>5.8225059999999997</v>
      </c>
      <c r="V27">
        <v>5.912979</v>
      </c>
      <c r="W27">
        <v>6.0072669999999997</v>
      </c>
      <c r="X27">
        <v>6.1027040000000001</v>
      </c>
      <c r="Y27">
        <v>6.2013530000000001</v>
      </c>
      <c r="Z27">
        <v>6.3026289999999996</v>
      </c>
      <c r="AA27">
        <v>6.4058210000000004</v>
      </c>
      <c r="AB27">
        <v>6.5109250000000003</v>
      </c>
      <c r="AC27">
        <v>6.6185720000000003</v>
      </c>
      <c r="AD27">
        <v>6.7295579999999999</v>
      </c>
      <c r="AE27">
        <v>6.8431559999999996</v>
      </c>
      <c r="AF27">
        <v>6.960674</v>
      </c>
      <c r="AG27" s="42">
        <v>1.4E-2</v>
      </c>
    </row>
    <row r="28" spans="1:33" x14ac:dyDescent="0.25">
      <c r="A28" t="s">
        <v>426</v>
      </c>
      <c r="B28" t="s">
        <v>113</v>
      </c>
      <c r="C28" t="s">
        <v>622</v>
      </c>
      <c r="D28" t="s">
        <v>397</v>
      </c>
      <c r="F28">
        <v>1.8762000000000001E-2</v>
      </c>
      <c r="G28">
        <v>2.8121E-2</v>
      </c>
      <c r="H28">
        <v>4.2235000000000002E-2</v>
      </c>
      <c r="I28">
        <v>6.1641000000000001E-2</v>
      </c>
      <c r="J28">
        <v>8.6249999999999993E-2</v>
      </c>
      <c r="K28">
        <v>0.117048</v>
      </c>
      <c r="L28">
        <v>0.15936900000000001</v>
      </c>
      <c r="M28">
        <v>0.21291599999999999</v>
      </c>
      <c r="N28">
        <v>0.28401900000000002</v>
      </c>
      <c r="O28">
        <v>0.35977700000000001</v>
      </c>
      <c r="P28">
        <v>0.43437399999999998</v>
      </c>
      <c r="Q28">
        <v>0.50603100000000001</v>
      </c>
      <c r="R28">
        <v>0.57409600000000005</v>
      </c>
      <c r="S28">
        <v>0.638567</v>
      </c>
      <c r="T28">
        <v>0.69851600000000003</v>
      </c>
      <c r="U28">
        <v>0.75433700000000004</v>
      </c>
      <c r="V28">
        <v>0.80611299999999997</v>
      </c>
      <c r="W28">
        <v>0.85333000000000003</v>
      </c>
      <c r="X28">
        <v>0.89590400000000003</v>
      </c>
      <c r="Y28">
        <v>0.93331299999999995</v>
      </c>
      <c r="Z28">
        <v>0.96634600000000004</v>
      </c>
      <c r="AA28">
        <v>0.99562600000000001</v>
      </c>
      <c r="AB28">
        <v>1.0219309999999999</v>
      </c>
      <c r="AC28">
        <v>1.045841</v>
      </c>
      <c r="AD28">
        <v>1.066279</v>
      </c>
      <c r="AE28">
        <v>1.084419</v>
      </c>
      <c r="AF28">
        <v>1.1006229999999999</v>
      </c>
      <c r="AG28" s="42">
        <v>0.17</v>
      </c>
    </row>
    <row r="29" spans="1:33" x14ac:dyDescent="0.25">
      <c r="A29" t="s">
        <v>428</v>
      </c>
      <c r="B29" t="s">
        <v>115</v>
      </c>
      <c r="C29" t="s">
        <v>623</v>
      </c>
      <c r="D29" t="s">
        <v>397</v>
      </c>
      <c r="F29">
        <v>0.14174300000000001</v>
      </c>
      <c r="G29">
        <v>0.158667</v>
      </c>
      <c r="H29">
        <v>0.17515800000000001</v>
      </c>
      <c r="I29">
        <v>0.182169</v>
      </c>
      <c r="J29">
        <v>0.188994</v>
      </c>
      <c r="K29">
        <v>0.19889100000000001</v>
      </c>
      <c r="L29">
        <v>0.21062400000000001</v>
      </c>
      <c r="M29">
        <v>0.225521</v>
      </c>
      <c r="N29">
        <v>0.23910000000000001</v>
      </c>
      <c r="O29">
        <v>0.25521300000000002</v>
      </c>
      <c r="P29">
        <v>0.26584400000000002</v>
      </c>
      <c r="Q29">
        <v>0.27219700000000002</v>
      </c>
      <c r="R29">
        <v>0.27763900000000002</v>
      </c>
      <c r="S29">
        <v>0.28352500000000003</v>
      </c>
      <c r="T29">
        <v>0.292406</v>
      </c>
      <c r="U29">
        <v>0.29744199999999998</v>
      </c>
      <c r="V29">
        <v>0.30313400000000001</v>
      </c>
      <c r="W29">
        <v>0.31151000000000001</v>
      </c>
      <c r="X29">
        <v>0.31969399999999998</v>
      </c>
      <c r="Y29">
        <v>0.32866200000000001</v>
      </c>
      <c r="Z29">
        <v>0.33769300000000002</v>
      </c>
      <c r="AA29">
        <v>0.347028</v>
      </c>
      <c r="AB29">
        <v>0.35549700000000001</v>
      </c>
      <c r="AC29">
        <v>0.36535400000000001</v>
      </c>
      <c r="AD29">
        <v>0.37554300000000002</v>
      </c>
      <c r="AE29">
        <v>0.385409</v>
      </c>
      <c r="AF29">
        <v>0.396175</v>
      </c>
      <c r="AG29" s="42">
        <v>0.04</v>
      </c>
    </row>
    <row r="30" spans="1:33" x14ac:dyDescent="0.25">
      <c r="A30" t="s">
        <v>624</v>
      </c>
      <c r="B30" t="s">
        <v>117</v>
      </c>
      <c r="C30" t="s">
        <v>625</v>
      </c>
      <c r="D30" t="s">
        <v>397</v>
      </c>
      <c r="F30">
        <v>4.7680999999999996</v>
      </c>
      <c r="G30">
        <v>4.8498710000000003</v>
      </c>
      <c r="H30">
        <v>4.8245750000000003</v>
      </c>
      <c r="I30">
        <v>4.8882589999999997</v>
      </c>
      <c r="J30">
        <v>4.947349</v>
      </c>
      <c r="K30">
        <v>5.0443829999999998</v>
      </c>
      <c r="L30">
        <v>5.1265029999999996</v>
      </c>
      <c r="M30">
        <v>5.216602</v>
      </c>
      <c r="N30">
        <v>5.3294920000000001</v>
      </c>
      <c r="O30">
        <v>5.444</v>
      </c>
      <c r="P30">
        <v>5.5701510000000001</v>
      </c>
      <c r="Q30">
        <v>5.7090069999999997</v>
      </c>
      <c r="R30">
        <v>5.855105</v>
      </c>
      <c r="S30">
        <v>6.0022760000000002</v>
      </c>
      <c r="T30">
        <v>6.1394380000000002</v>
      </c>
      <c r="U30">
        <v>6.2794030000000003</v>
      </c>
      <c r="V30">
        <v>6.4159579999999998</v>
      </c>
      <c r="W30">
        <v>6.5490870000000001</v>
      </c>
      <c r="X30">
        <v>6.6789139999999998</v>
      </c>
      <c r="Y30">
        <v>6.8060039999999997</v>
      </c>
      <c r="Z30">
        <v>6.9312820000000004</v>
      </c>
      <c r="AA30">
        <v>7.0544200000000004</v>
      </c>
      <c r="AB30">
        <v>7.177359</v>
      </c>
      <c r="AC30">
        <v>7.2990589999999997</v>
      </c>
      <c r="AD30">
        <v>7.4202950000000003</v>
      </c>
      <c r="AE30">
        <v>7.5421649999999998</v>
      </c>
      <c r="AF30">
        <v>7.6651220000000002</v>
      </c>
      <c r="AG30" s="42">
        <v>1.7999999999999999E-2</v>
      </c>
    </row>
    <row r="31" spans="1:33" x14ac:dyDescent="0.25">
      <c r="A31" t="s">
        <v>432</v>
      </c>
    </row>
    <row r="32" spans="1:33" x14ac:dyDescent="0.25">
      <c r="A32" t="s">
        <v>395</v>
      </c>
      <c r="B32" t="s">
        <v>119</v>
      </c>
      <c r="C32" t="s">
        <v>626</v>
      </c>
      <c r="D32" t="s">
        <v>397</v>
      </c>
      <c r="F32">
        <v>1.5374129999999999</v>
      </c>
      <c r="G32">
        <v>1.6974750000000001</v>
      </c>
      <c r="H32">
        <v>1.7168810000000001</v>
      </c>
      <c r="I32">
        <v>1.7210589999999999</v>
      </c>
      <c r="J32">
        <v>1.7170879999999999</v>
      </c>
      <c r="K32">
        <v>1.7084889999999999</v>
      </c>
      <c r="L32">
        <v>1.695878</v>
      </c>
      <c r="M32">
        <v>1.685565</v>
      </c>
      <c r="N32">
        <v>1.671333</v>
      </c>
      <c r="O32">
        <v>1.6556390000000001</v>
      </c>
      <c r="P32">
        <v>1.6419189999999999</v>
      </c>
      <c r="Q32">
        <v>1.6330579999999999</v>
      </c>
      <c r="R32">
        <v>1.628727</v>
      </c>
      <c r="S32">
        <v>1.6268260000000001</v>
      </c>
      <c r="T32">
        <v>1.625526</v>
      </c>
      <c r="U32">
        <v>1.6253299999999999</v>
      </c>
      <c r="V32">
        <v>1.6236969999999999</v>
      </c>
      <c r="W32">
        <v>1.619696</v>
      </c>
      <c r="X32">
        <v>1.6144160000000001</v>
      </c>
      <c r="Y32">
        <v>1.608446</v>
      </c>
      <c r="Z32">
        <v>1.603702</v>
      </c>
      <c r="AA32">
        <v>1.599288</v>
      </c>
      <c r="AB32">
        <v>1.5938159999999999</v>
      </c>
      <c r="AC32">
        <v>1.5893459999999999</v>
      </c>
      <c r="AD32">
        <v>1.585737</v>
      </c>
      <c r="AE32">
        <v>1.581855</v>
      </c>
      <c r="AF32">
        <v>1.577464</v>
      </c>
      <c r="AG32" s="42">
        <v>1E-3</v>
      </c>
    </row>
    <row r="33" spans="1:33" x14ac:dyDescent="0.25">
      <c r="A33" t="s">
        <v>398</v>
      </c>
      <c r="B33" t="s">
        <v>121</v>
      </c>
      <c r="C33" t="s">
        <v>627</v>
      </c>
      <c r="D33" t="s">
        <v>397</v>
      </c>
      <c r="F33">
        <v>1.8319999999999999E-2</v>
      </c>
      <c r="G33">
        <v>1.762E-2</v>
      </c>
      <c r="H33">
        <v>1.7856E-2</v>
      </c>
      <c r="I33">
        <v>1.7985000000000001E-2</v>
      </c>
      <c r="J33">
        <v>1.8026E-2</v>
      </c>
      <c r="K33">
        <v>1.8041999999999999E-2</v>
      </c>
      <c r="L33">
        <v>1.8031999999999999E-2</v>
      </c>
      <c r="M33">
        <v>1.8031999999999999E-2</v>
      </c>
      <c r="N33">
        <v>1.7987E-2</v>
      </c>
      <c r="O33">
        <v>1.7929E-2</v>
      </c>
      <c r="P33">
        <v>1.7895999999999999E-2</v>
      </c>
      <c r="Q33">
        <v>1.7929E-2</v>
      </c>
      <c r="R33">
        <v>1.8023999999999998E-2</v>
      </c>
      <c r="S33">
        <v>1.8159999999999999E-2</v>
      </c>
      <c r="T33">
        <v>1.831E-2</v>
      </c>
      <c r="U33">
        <v>1.8494E-2</v>
      </c>
      <c r="V33">
        <v>1.8662999999999999E-2</v>
      </c>
      <c r="W33">
        <v>1.8817E-2</v>
      </c>
      <c r="X33">
        <v>1.8945E-2</v>
      </c>
      <c r="Y33">
        <v>1.9081000000000001E-2</v>
      </c>
      <c r="Z33">
        <v>1.9247E-2</v>
      </c>
      <c r="AA33">
        <v>1.9418000000000001E-2</v>
      </c>
      <c r="AB33">
        <v>1.9581000000000001E-2</v>
      </c>
      <c r="AC33">
        <v>1.9762999999999999E-2</v>
      </c>
      <c r="AD33">
        <v>1.9966000000000001E-2</v>
      </c>
      <c r="AE33">
        <v>2.0156E-2</v>
      </c>
      <c r="AF33">
        <v>2.0358000000000001E-2</v>
      </c>
      <c r="AG33" s="42">
        <v>4.0000000000000001E-3</v>
      </c>
    </row>
    <row r="34" spans="1:33" x14ac:dyDescent="0.25">
      <c r="A34" t="s">
        <v>400</v>
      </c>
      <c r="B34" t="s">
        <v>123</v>
      </c>
      <c r="C34" t="s">
        <v>628</v>
      </c>
      <c r="D34" t="s">
        <v>397</v>
      </c>
      <c r="F34">
        <v>0.26994499999999999</v>
      </c>
      <c r="G34">
        <v>0.28262500000000002</v>
      </c>
      <c r="H34">
        <v>0.29040300000000002</v>
      </c>
      <c r="I34">
        <v>0.29480000000000001</v>
      </c>
      <c r="J34">
        <v>0.298126</v>
      </c>
      <c r="K34">
        <v>0.30099399999999998</v>
      </c>
      <c r="L34">
        <v>0.30336600000000002</v>
      </c>
      <c r="M34">
        <v>0.30588199999999999</v>
      </c>
      <c r="N34">
        <v>0.30764999999999998</v>
      </c>
      <c r="O34">
        <v>0.30927300000000002</v>
      </c>
      <c r="P34">
        <v>0.31131399999999998</v>
      </c>
      <c r="Q34">
        <v>0.31416300000000003</v>
      </c>
      <c r="R34">
        <v>0.31787399999999999</v>
      </c>
      <c r="S34">
        <v>0.32206499999999999</v>
      </c>
      <c r="T34">
        <v>0.32638899999999998</v>
      </c>
      <c r="U34">
        <v>0.33093800000000001</v>
      </c>
      <c r="V34">
        <v>0.33519700000000002</v>
      </c>
      <c r="W34">
        <v>0.339036</v>
      </c>
      <c r="X34">
        <v>0.34259200000000001</v>
      </c>
      <c r="Y34">
        <v>0.34600599999999998</v>
      </c>
      <c r="Z34">
        <v>0.349657</v>
      </c>
      <c r="AA34">
        <v>0.35336099999999998</v>
      </c>
      <c r="AB34">
        <v>0.35683900000000002</v>
      </c>
      <c r="AC34">
        <v>0.36054700000000001</v>
      </c>
      <c r="AD34">
        <v>0.36444399999999999</v>
      </c>
      <c r="AE34">
        <v>0.36819400000000002</v>
      </c>
      <c r="AF34">
        <v>0.37181199999999998</v>
      </c>
      <c r="AG34" s="42">
        <v>1.2E-2</v>
      </c>
    </row>
    <row r="35" spans="1:33" x14ac:dyDescent="0.25">
      <c r="A35" t="s">
        <v>404</v>
      </c>
      <c r="B35" t="s">
        <v>125</v>
      </c>
      <c r="C35" t="s">
        <v>629</v>
      </c>
      <c r="D35" t="s">
        <v>397</v>
      </c>
      <c r="F35">
        <v>0.40088299999999999</v>
      </c>
      <c r="G35">
        <v>0.41821599999999998</v>
      </c>
      <c r="H35">
        <v>0.42776700000000001</v>
      </c>
      <c r="I35">
        <v>0.434062</v>
      </c>
      <c r="J35">
        <v>0.43857400000000002</v>
      </c>
      <c r="K35">
        <v>0.44231199999999998</v>
      </c>
      <c r="L35">
        <v>0.445268</v>
      </c>
      <c r="M35">
        <v>0.44863399999999998</v>
      </c>
      <c r="N35">
        <v>0.45101799999999997</v>
      </c>
      <c r="O35">
        <v>0.45321099999999997</v>
      </c>
      <c r="P35">
        <v>0.45596700000000001</v>
      </c>
      <c r="Q35">
        <v>0.459839</v>
      </c>
      <c r="R35">
        <v>0.464891</v>
      </c>
      <c r="S35">
        <v>0.47057500000000002</v>
      </c>
      <c r="T35">
        <v>0.47639700000000001</v>
      </c>
      <c r="U35">
        <v>0.48247699999999999</v>
      </c>
      <c r="V35">
        <v>0.48808499999999999</v>
      </c>
      <c r="W35">
        <v>0.49318099999999998</v>
      </c>
      <c r="X35">
        <v>0.497859</v>
      </c>
      <c r="Y35">
        <v>0.50232699999999997</v>
      </c>
      <c r="Z35">
        <v>0.50709199999999999</v>
      </c>
      <c r="AA35">
        <v>0.51191200000000003</v>
      </c>
      <c r="AB35">
        <v>0.51639800000000002</v>
      </c>
      <c r="AC35">
        <v>0.52119199999999999</v>
      </c>
      <c r="AD35">
        <v>0.52622199999999997</v>
      </c>
      <c r="AE35">
        <v>0.53102199999999999</v>
      </c>
      <c r="AF35">
        <v>0.53561800000000004</v>
      </c>
      <c r="AG35" s="42">
        <v>1.0999999999999999E-2</v>
      </c>
    </row>
    <row r="36" spans="1:33" x14ac:dyDescent="0.25">
      <c r="A36" t="s">
        <v>422</v>
      </c>
      <c r="B36" t="s">
        <v>127</v>
      </c>
      <c r="C36" t="s">
        <v>630</v>
      </c>
      <c r="D36" t="s">
        <v>397</v>
      </c>
      <c r="F36">
        <v>1.200143</v>
      </c>
      <c r="G36">
        <v>1.195241</v>
      </c>
      <c r="H36">
        <v>1.1925410000000001</v>
      </c>
      <c r="I36">
        <v>1.1845300000000001</v>
      </c>
      <c r="J36">
        <v>1.1720729999999999</v>
      </c>
      <c r="K36">
        <v>1.174134</v>
      </c>
      <c r="L36">
        <v>1.1742140000000001</v>
      </c>
      <c r="M36">
        <v>1.173943</v>
      </c>
      <c r="N36">
        <v>1.170539</v>
      </c>
      <c r="O36">
        <v>1.1664000000000001</v>
      </c>
      <c r="P36">
        <v>1.1632499999999999</v>
      </c>
      <c r="Q36">
        <v>1.1626719999999999</v>
      </c>
      <c r="R36">
        <v>1.164979</v>
      </c>
      <c r="S36">
        <v>1.1689799999999999</v>
      </c>
      <c r="T36">
        <v>1.1736690000000001</v>
      </c>
      <c r="U36">
        <v>1.1790989999999999</v>
      </c>
      <c r="V36">
        <v>1.1838280000000001</v>
      </c>
      <c r="W36">
        <v>1.1866810000000001</v>
      </c>
      <c r="X36">
        <v>1.1886950000000001</v>
      </c>
      <c r="Y36">
        <v>1.1902509999999999</v>
      </c>
      <c r="Z36">
        <v>1.192779</v>
      </c>
      <c r="AA36">
        <v>1.1953800000000001</v>
      </c>
      <c r="AB36">
        <v>1.197174</v>
      </c>
      <c r="AC36">
        <v>1.199681</v>
      </c>
      <c r="AD36">
        <v>1.2028239999999999</v>
      </c>
      <c r="AE36">
        <v>1.2055419999999999</v>
      </c>
      <c r="AF36">
        <v>1.207929</v>
      </c>
      <c r="AG36" s="42">
        <v>0</v>
      </c>
    </row>
    <row r="37" spans="1:33" x14ac:dyDescent="0.25">
      <c r="A37" t="s">
        <v>439</v>
      </c>
      <c r="B37" t="s">
        <v>129</v>
      </c>
      <c r="C37" t="s">
        <v>631</v>
      </c>
      <c r="D37" t="s">
        <v>397</v>
      </c>
      <c r="F37">
        <v>3.426704</v>
      </c>
      <c r="G37">
        <v>3.6111780000000002</v>
      </c>
      <c r="H37">
        <v>3.645448</v>
      </c>
      <c r="I37">
        <v>3.6524359999999998</v>
      </c>
      <c r="J37">
        <v>3.6438869999999999</v>
      </c>
      <c r="K37">
        <v>3.6439720000000002</v>
      </c>
      <c r="L37">
        <v>3.6367579999999999</v>
      </c>
      <c r="M37">
        <v>3.632056</v>
      </c>
      <c r="N37">
        <v>3.6185269999999998</v>
      </c>
      <c r="O37">
        <v>3.6024530000000001</v>
      </c>
      <c r="P37">
        <v>3.5903450000000001</v>
      </c>
      <c r="Q37">
        <v>3.5876600000000001</v>
      </c>
      <c r="R37">
        <v>3.5944940000000001</v>
      </c>
      <c r="S37">
        <v>3.6066060000000002</v>
      </c>
      <c r="T37">
        <v>3.6202920000000001</v>
      </c>
      <c r="U37">
        <v>3.6363379999999998</v>
      </c>
      <c r="V37">
        <v>3.64947</v>
      </c>
      <c r="W37">
        <v>3.6574110000000002</v>
      </c>
      <c r="X37">
        <v>3.6625070000000002</v>
      </c>
      <c r="Y37">
        <v>3.6661109999999999</v>
      </c>
      <c r="Z37">
        <v>3.6724770000000002</v>
      </c>
      <c r="AA37">
        <v>3.67936</v>
      </c>
      <c r="AB37">
        <v>3.6838069999999998</v>
      </c>
      <c r="AC37">
        <v>3.6905290000000002</v>
      </c>
      <c r="AD37">
        <v>3.6991930000000002</v>
      </c>
      <c r="AE37">
        <v>3.706769</v>
      </c>
      <c r="AF37">
        <v>3.7131810000000001</v>
      </c>
      <c r="AG37" s="42">
        <v>3.0000000000000001E-3</v>
      </c>
    </row>
    <row r="38" spans="1:33" x14ac:dyDescent="0.25">
      <c r="A38" t="s">
        <v>441</v>
      </c>
    </row>
    <row r="39" spans="1:33" x14ac:dyDescent="0.25">
      <c r="A39" t="s">
        <v>395</v>
      </c>
      <c r="B39" t="s">
        <v>131</v>
      </c>
      <c r="C39" t="s">
        <v>632</v>
      </c>
      <c r="D39" t="s">
        <v>397</v>
      </c>
      <c r="F39">
        <v>6.9268999999999997E-2</v>
      </c>
      <c r="G39">
        <v>7.4070999999999998E-2</v>
      </c>
      <c r="H39">
        <v>7.3986999999999997E-2</v>
      </c>
      <c r="I39">
        <v>7.3582999999999996E-2</v>
      </c>
      <c r="J39">
        <v>7.2936000000000001E-2</v>
      </c>
      <c r="K39">
        <v>7.1974999999999997E-2</v>
      </c>
      <c r="L39">
        <v>7.0985999999999994E-2</v>
      </c>
      <c r="M39">
        <v>6.9948999999999997E-2</v>
      </c>
      <c r="N39">
        <v>6.8907999999999997E-2</v>
      </c>
      <c r="O39">
        <v>6.7778000000000005E-2</v>
      </c>
      <c r="P39">
        <v>6.6642000000000007E-2</v>
      </c>
      <c r="Q39">
        <v>6.5495999999999999E-2</v>
      </c>
      <c r="R39">
        <v>6.4415E-2</v>
      </c>
      <c r="S39">
        <v>6.3297999999999993E-2</v>
      </c>
      <c r="T39">
        <v>6.2219999999999998E-2</v>
      </c>
      <c r="U39">
        <v>6.1173999999999999E-2</v>
      </c>
      <c r="V39">
        <v>6.0118999999999999E-2</v>
      </c>
      <c r="W39">
        <v>5.9095000000000002E-2</v>
      </c>
      <c r="X39">
        <v>5.8066E-2</v>
      </c>
      <c r="Y39">
        <v>5.7049000000000002E-2</v>
      </c>
      <c r="Z39">
        <v>5.5952000000000002E-2</v>
      </c>
      <c r="AA39">
        <v>5.5022000000000001E-2</v>
      </c>
      <c r="AB39">
        <v>5.4114000000000002E-2</v>
      </c>
      <c r="AC39">
        <v>5.3303999999999997E-2</v>
      </c>
      <c r="AD39">
        <v>5.2547999999999997E-2</v>
      </c>
      <c r="AE39">
        <v>5.1773E-2</v>
      </c>
      <c r="AF39">
        <v>5.0965000000000003E-2</v>
      </c>
      <c r="AG39" s="42">
        <v>-1.2E-2</v>
      </c>
    </row>
    <row r="40" spans="1:33" x14ac:dyDescent="0.25">
      <c r="A40" t="s">
        <v>400</v>
      </c>
      <c r="B40" t="s">
        <v>133</v>
      </c>
      <c r="C40" t="s">
        <v>633</v>
      </c>
      <c r="D40" t="s">
        <v>397</v>
      </c>
      <c r="F40">
        <v>3.7460000000000002E-3</v>
      </c>
      <c r="G40">
        <v>3.8110000000000002E-3</v>
      </c>
      <c r="H40">
        <v>3.8279999999999998E-3</v>
      </c>
      <c r="I40">
        <v>3.833E-3</v>
      </c>
      <c r="J40">
        <v>3.8289999999999999E-3</v>
      </c>
      <c r="K40">
        <v>3.8189999999999999E-3</v>
      </c>
      <c r="L40">
        <v>3.81E-3</v>
      </c>
      <c r="M40">
        <v>3.7959999999999999E-3</v>
      </c>
      <c r="N40">
        <v>3.7820000000000002E-3</v>
      </c>
      <c r="O40">
        <v>3.7650000000000001E-3</v>
      </c>
      <c r="P40">
        <v>3.7469999999999999E-3</v>
      </c>
      <c r="Q40">
        <v>3.7290000000000001E-3</v>
      </c>
      <c r="R40">
        <v>3.7139999999999999E-3</v>
      </c>
      <c r="S40">
        <v>3.6970000000000002E-3</v>
      </c>
      <c r="T40">
        <v>3.6809999999999998E-3</v>
      </c>
      <c r="U40">
        <v>3.6670000000000001E-3</v>
      </c>
      <c r="V40">
        <v>3.6519999999999999E-3</v>
      </c>
      <c r="W40">
        <v>3.637E-3</v>
      </c>
      <c r="X40">
        <v>3.6210000000000001E-3</v>
      </c>
      <c r="Y40">
        <v>3.6059999999999998E-3</v>
      </c>
      <c r="Z40">
        <v>3.5839999999999999E-3</v>
      </c>
      <c r="AA40">
        <v>3.5720000000000001E-3</v>
      </c>
      <c r="AB40">
        <v>3.5609999999999999E-3</v>
      </c>
      <c r="AC40">
        <v>3.5560000000000001E-3</v>
      </c>
      <c r="AD40">
        <v>3.5530000000000002E-3</v>
      </c>
      <c r="AE40">
        <v>3.5479999999999999E-3</v>
      </c>
      <c r="AF40">
        <v>3.5400000000000002E-3</v>
      </c>
      <c r="AG40" s="42">
        <v>-2E-3</v>
      </c>
    </row>
    <row r="41" spans="1:33" x14ac:dyDescent="0.25">
      <c r="A41" t="s">
        <v>422</v>
      </c>
      <c r="B41" t="s">
        <v>135</v>
      </c>
      <c r="C41" t="s">
        <v>634</v>
      </c>
      <c r="D41" t="s">
        <v>397</v>
      </c>
      <c r="F41">
        <v>0.23526900000000001</v>
      </c>
      <c r="G41">
        <v>0.238648</v>
      </c>
      <c r="H41">
        <v>0.24227599999999999</v>
      </c>
      <c r="I41">
        <v>0.24460699999999999</v>
      </c>
      <c r="J41">
        <v>0.24604799999999999</v>
      </c>
      <c r="K41">
        <v>0.24707699999999999</v>
      </c>
      <c r="L41">
        <v>0.248054</v>
      </c>
      <c r="M41">
        <v>0.24853700000000001</v>
      </c>
      <c r="N41">
        <v>0.24897</v>
      </c>
      <c r="O41">
        <v>0.24893699999999999</v>
      </c>
      <c r="P41">
        <v>0.24878900000000001</v>
      </c>
      <c r="Q41">
        <v>0.24849099999999999</v>
      </c>
      <c r="R41">
        <v>0.24838299999999999</v>
      </c>
      <c r="S41">
        <v>0.24807999999999999</v>
      </c>
      <c r="T41">
        <v>0.24790499999999999</v>
      </c>
      <c r="U41">
        <v>0.247811</v>
      </c>
      <c r="V41">
        <v>0.24762500000000001</v>
      </c>
      <c r="W41">
        <v>0.247337</v>
      </c>
      <c r="X41">
        <v>0.246923</v>
      </c>
      <c r="Y41">
        <v>0.246471</v>
      </c>
      <c r="Z41">
        <v>0.24557499999999999</v>
      </c>
      <c r="AA41">
        <v>0.245337</v>
      </c>
      <c r="AB41">
        <v>0.24513699999999999</v>
      </c>
      <c r="AC41">
        <v>0.245284</v>
      </c>
      <c r="AD41">
        <v>0.245618</v>
      </c>
      <c r="AE41">
        <v>0.24573999999999999</v>
      </c>
      <c r="AF41">
        <v>0.24562500000000001</v>
      </c>
      <c r="AG41" s="42">
        <v>2E-3</v>
      </c>
    </row>
    <row r="42" spans="1:33" x14ac:dyDescent="0.25">
      <c r="A42" t="s">
        <v>439</v>
      </c>
      <c r="B42" t="s">
        <v>137</v>
      </c>
      <c r="C42" t="s">
        <v>635</v>
      </c>
      <c r="D42" t="s">
        <v>397</v>
      </c>
      <c r="F42">
        <v>0.308284</v>
      </c>
      <c r="G42">
        <v>0.31653100000000001</v>
      </c>
      <c r="H42">
        <v>0.32009100000000001</v>
      </c>
      <c r="I42">
        <v>0.322023</v>
      </c>
      <c r="J42">
        <v>0.32281300000000002</v>
      </c>
      <c r="K42">
        <v>0.32287100000000002</v>
      </c>
      <c r="L42">
        <v>0.32285000000000003</v>
      </c>
      <c r="M42">
        <v>0.32228200000000001</v>
      </c>
      <c r="N42">
        <v>0.32166</v>
      </c>
      <c r="O42">
        <v>0.32047900000000001</v>
      </c>
      <c r="P42">
        <v>0.31917800000000002</v>
      </c>
      <c r="Q42">
        <v>0.317716</v>
      </c>
      <c r="R42">
        <v>0.31651099999999999</v>
      </c>
      <c r="S42">
        <v>0.31507499999999999</v>
      </c>
      <c r="T42">
        <v>0.313805</v>
      </c>
      <c r="U42">
        <v>0.31265199999999999</v>
      </c>
      <c r="V42">
        <v>0.31139600000000001</v>
      </c>
      <c r="W42">
        <v>0.31006899999999998</v>
      </c>
      <c r="X42">
        <v>0.30861</v>
      </c>
      <c r="Y42">
        <v>0.30712600000000001</v>
      </c>
      <c r="Z42">
        <v>0.30511100000000002</v>
      </c>
      <c r="AA42">
        <v>0.30393100000000001</v>
      </c>
      <c r="AB42">
        <v>0.30281200000000003</v>
      </c>
      <c r="AC42">
        <v>0.30214400000000002</v>
      </c>
      <c r="AD42">
        <v>0.30171900000000001</v>
      </c>
      <c r="AE42">
        <v>0.30105999999999999</v>
      </c>
      <c r="AF42">
        <v>0.30013000000000001</v>
      </c>
      <c r="AG42" s="42">
        <v>-1E-3</v>
      </c>
    </row>
    <row r="43" spans="1:33" x14ac:dyDescent="0.25">
      <c r="A43" t="s">
        <v>636</v>
      </c>
      <c r="B43" t="s">
        <v>139</v>
      </c>
      <c r="C43" t="s">
        <v>637</v>
      </c>
      <c r="D43" t="s">
        <v>397</v>
      </c>
      <c r="F43">
        <v>0.15810399999999999</v>
      </c>
      <c r="G43">
        <v>0.15810399999999999</v>
      </c>
      <c r="H43">
        <v>0.15810399999999999</v>
      </c>
      <c r="I43">
        <v>0.15810399999999999</v>
      </c>
      <c r="J43">
        <v>0.15810399999999999</v>
      </c>
      <c r="K43">
        <v>0.15810399999999999</v>
      </c>
      <c r="L43">
        <v>0.15810399999999999</v>
      </c>
      <c r="M43">
        <v>0.15810399999999999</v>
      </c>
      <c r="N43">
        <v>0.15810399999999999</v>
      </c>
      <c r="O43">
        <v>0.15810399999999999</v>
      </c>
      <c r="P43">
        <v>0.15810399999999999</v>
      </c>
      <c r="Q43">
        <v>0.15810399999999999</v>
      </c>
      <c r="R43">
        <v>0.15810399999999999</v>
      </c>
      <c r="S43">
        <v>0.15810399999999999</v>
      </c>
      <c r="T43">
        <v>0.15810399999999999</v>
      </c>
      <c r="U43">
        <v>0.15810399999999999</v>
      </c>
      <c r="V43">
        <v>0.15810399999999999</v>
      </c>
      <c r="W43">
        <v>0.15810399999999999</v>
      </c>
      <c r="X43">
        <v>0.15810399999999999</v>
      </c>
      <c r="Y43">
        <v>0.15810399999999999</v>
      </c>
      <c r="Z43">
        <v>0.15810399999999999</v>
      </c>
      <c r="AA43">
        <v>0.15810399999999999</v>
      </c>
      <c r="AB43">
        <v>0.15810399999999999</v>
      </c>
      <c r="AC43">
        <v>0.15810399999999999</v>
      </c>
      <c r="AD43">
        <v>0.15810399999999999</v>
      </c>
      <c r="AE43">
        <v>0.15810399999999999</v>
      </c>
      <c r="AF43">
        <v>0.15810399999999999</v>
      </c>
      <c r="AG43" s="42">
        <v>0</v>
      </c>
    </row>
    <row r="44" spans="1:33" x14ac:dyDescent="0.25">
      <c r="A44" t="s">
        <v>638</v>
      </c>
      <c r="B44" t="s">
        <v>141</v>
      </c>
      <c r="C44" t="s">
        <v>639</v>
      </c>
      <c r="D44" t="s">
        <v>397</v>
      </c>
      <c r="F44">
        <v>0.65341099999999996</v>
      </c>
      <c r="G44">
        <v>0.66121399999999997</v>
      </c>
      <c r="H44">
        <v>0.67782100000000001</v>
      </c>
      <c r="I44">
        <v>0.69083600000000001</v>
      </c>
      <c r="J44">
        <v>0.70509100000000002</v>
      </c>
      <c r="K44">
        <v>0.71650599999999998</v>
      </c>
      <c r="L44">
        <v>0.72913099999999997</v>
      </c>
      <c r="M44">
        <v>0.74183500000000002</v>
      </c>
      <c r="N44">
        <v>0.75490900000000005</v>
      </c>
      <c r="O44">
        <v>0.76726000000000005</v>
      </c>
      <c r="P44">
        <v>0.78028799999999998</v>
      </c>
      <c r="Q44">
        <v>0.79308000000000001</v>
      </c>
      <c r="R44">
        <v>0.80521799999999999</v>
      </c>
      <c r="S44">
        <v>0.81706699999999999</v>
      </c>
      <c r="T44">
        <v>0.82823100000000005</v>
      </c>
      <c r="U44">
        <v>0.84001099999999995</v>
      </c>
      <c r="V44">
        <v>0.85141500000000003</v>
      </c>
      <c r="W44">
        <v>0.86225399999999996</v>
      </c>
      <c r="X44">
        <v>0.87324199999999996</v>
      </c>
      <c r="Y44">
        <v>0.88399099999999997</v>
      </c>
      <c r="Z44">
        <v>0.89465399999999995</v>
      </c>
      <c r="AA44">
        <v>0.90558499999999997</v>
      </c>
      <c r="AB44">
        <v>0.91630299999999998</v>
      </c>
      <c r="AC44">
        <v>0.92738200000000004</v>
      </c>
      <c r="AD44">
        <v>0.93854300000000002</v>
      </c>
      <c r="AE44">
        <v>0.94976400000000005</v>
      </c>
      <c r="AF44">
        <v>0.96071899999999999</v>
      </c>
      <c r="AG44" s="42">
        <v>1.4999999999999999E-2</v>
      </c>
    </row>
    <row r="45" spans="1:33" x14ac:dyDescent="0.25">
      <c r="A45" t="s">
        <v>453</v>
      </c>
    </row>
    <row r="46" spans="1:33" x14ac:dyDescent="0.25">
      <c r="A46" t="s">
        <v>395</v>
      </c>
      <c r="B46" t="s">
        <v>640</v>
      </c>
      <c r="C46" t="s">
        <v>641</v>
      </c>
      <c r="D46" t="s">
        <v>397</v>
      </c>
      <c r="F46">
        <v>1.793223</v>
      </c>
      <c r="G46">
        <v>1.9695320000000001</v>
      </c>
      <c r="H46">
        <v>1.988944</v>
      </c>
      <c r="I46">
        <v>1.9936970000000001</v>
      </c>
      <c r="J46">
        <v>1.9890730000000001</v>
      </c>
      <c r="K46">
        <v>1.9783539999999999</v>
      </c>
      <c r="L46">
        <v>1.9632149999999999</v>
      </c>
      <c r="M46">
        <v>1.9501040000000001</v>
      </c>
      <c r="N46">
        <v>1.933014</v>
      </c>
      <c r="O46">
        <v>1.913483</v>
      </c>
      <c r="P46">
        <v>1.8962399999999999</v>
      </c>
      <c r="Q46">
        <v>1.8851</v>
      </c>
      <c r="R46">
        <v>1.878854</v>
      </c>
      <c r="S46">
        <v>1.8750359999999999</v>
      </c>
      <c r="T46">
        <v>1.8714789999999999</v>
      </c>
      <c r="U46">
        <v>1.8690009999999999</v>
      </c>
      <c r="V46">
        <v>1.8650070000000001</v>
      </c>
      <c r="W46">
        <v>1.858576</v>
      </c>
      <c r="X46">
        <v>1.850695</v>
      </c>
      <c r="Y46">
        <v>1.8420609999999999</v>
      </c>
      <c r="Z46">
        <v>1.8344510000000001</v>
      </c>
      <c r="AA46">
        <v>1.827259</v>
      </c>
      <c r="AB46">
        <v>1.818943</v>
      </c>
      <c r="AC46">
        <v>1.811671</v>
      </c>
      <c r="AD46">
        <v>1.80528</v>
      </c>
      <c r="AE46">
        <v>1.798646</v>
      </c>
      <c r="AF46">
        <v>1.791455</v>
      </c>
      <c r="AG46" s="42">
        <v>0</v>
      </c>
    </row>
    <row r="47" spans="1:33" x14ac:dyDescent="0.25">
      <c r="A47" t="s">
        <v>398</v>
      </c>
      <c r="B47" t="s">
        <v>642</v>
      </c>
      <c r="C47" t="s">
        <v>643</v>
      </c>
      <c r="D47" t="s">
        <v>397</v>
      </c>
      <c r="F47">
        <v>0.59118300000000001</v>
      </c>
      <c r="G47">
        <v>0.57312399999999997</v>
      </c>
      <c r="H47">
        <v>0.58495699999999995</v>
      </c>
      <c r="I47">
        <v>0.59940199999999999</v>
      </c>
      <c r="J47">
        <v>0.61104499999999995</v>
      </c>
      <c r="K47">
        <v>0.61856800000000001</v>
      </c>
      <c r="L47">
        <v>0.62368800000000002</v>
      </c>
      <c r="M47">
        <v>0.62854299999999996</v>
      </c>
      <c r="N47">
        <v>0.63390299999999999</v>
      </c>
      <c r="O47">
        <v>0.63848000000000005</v>
      </c>
      <c r="P47">
        <v>0.64430100000000001</v>
      </c>
      <c r="Q47">
        <v>0.65216600000000002</v>
      </c>
      <c r="R47">
        <v>0.66184399999999999</v>
      </c>
      <c r="S47">
        <v>0.67213800000000001</v>
      </c>
      <c r="T47">
        <v>0.68138299999999996</v>
      </c>
      <c r="U47">
        <v>0.69088300000000002</v>
      </c>
      <c r="V47">
        <v>0.70035700000000001</v>
      </c>
      <c r="W47">
        <v>0.71024100000000001</v>
      </c>
      <c r="X47">
        <v>0.71983299999999995</v>
      </c>
      <c r="Y47">
        <v>0.72995399999999999</v>
      </c>
      <c r="Z47">
        <v>0.74012500000000003</v>
      </c>
      <c r="AA47">
        <v>0.75024000000000002</v>
      </c>
      <c r="AB47">
        <v>0.76030399999999998</v>
      </c>
      <c r="AC47">
        <v>0.77049999999999996</v>
      </c>
      <c r="AD47">
        <v>0.780941</v>
      </c>
      <c r="AE47">
        <v>0.791686</v>
      </c>
      <c r="AF47">
        <v>0.80258300000000005</v>
      </c>
      <c r="AG47" s="42">
        <v>1.2E-2</v>
      </c>
    </row>
    <row r="48" spans="1:33" x14ac:dyDescent="0.25">
      <c r="A48" t="s">
        <v>400</v>
      </c>
      <c r="B48" t="s">
        <v>644</v>
      </c>
      <c r="C48" t="s">
        <v>645</v>
      </c>
      <c r="D48" t="s">
        <v>397</v>
      </c>
      <c r="F48">
        <v>0.34818900000000003</v>
      </c>
      <c r="G48">
        <v>0.36050700000000002</v>
      </c>
      <c r="H48">
        <v>0.36841400000000002</v>
      </c>
      <c r="I48">
        <v>0.37332700000000002</v>
      </c>
      <c r="J48">
        <v>0.37677899999999998</v>
      </c>
      <c r="K48">
        <v>0.37925500000000001</v>
      </c>
      <c r="L48">
        <v>0.38093900000000003</v>
      </c>
      <c r="M48">
        <v>0.38262499999999999</v>
      </c>
      <c r="N48">
        <v>0.383577</v>
      </c>
      <c r="O48">
        <v>0.38426700000000003</v>
      </c>
      <c r="P48">
        <v>0.38548399999999999</v>
      </c>
      <c r="Q48">
        <v>0.387687</v>
      </c>
      <c r="R48">
        <v>0.39089400000000002</v>
      </c>
      <c r="S48">
        <v>0.39461200000000002</v>
      </c>
      <c r="T48">
        <v>0.39835199999999998</v>
      </c>
      <c r="U48">
        <v>0.40230300000000002</v>
      </c>
      <c r="V48">
        <v>0.40595300000000001</v>
      </c>
      <c r="W48">
        <v>0.409165</v>
      </c>
      <c r="X48">
        <v>0.41206500000000001</v>
      </c>
      <c r="Y48">
        <v>0.41482200000000002</v>
      </c>
      <c r="Z48">
        <v>0.41779100000000002</v>
      </c>
      <c r="AA48">
        <v>0.42080200000000001</v>
      </c>
      <c r="AB48">
        <v>0.42357</v>
      </c>
      <c r="AC48">
        <v>0.426566</v>
      </c>
      <c r="AD48">
        <v>0.42974800000000002</v>
      </c>
      <c r="AE48">
        <v>0.43279200000000001</v>
      </c>
      <c r="AF48">
        <v>0.43569799999999997</v>
      </c>
      <c r="AG48" s="42">
        <v>8.9999999999999993E-3</v>
      </c>
    </row>
    <row r="49" spans="1:33" x14ac:dyDescent="0.25">
      <c r="A49" t="s">
        <v>611</v>
      </c>
      <c r="B49" t="s">
        <v>646</v>
      </c>
      <c r="C49" t="s">
        <v>647</v>
      </c>
      <c r="D49" t="s">
        <v>397</v>
      </c>
      <c r="F49">
        <v>0.74466100000000002</v>
      </c>
      <c r="G49">
        <v>0.75660300000000003</v>
      </c>
      <c r="H49">
        <v>0.77322599999999997</v>
      </c>
      <c r="I49">
        <v>0.794686</v>
      </c>
      <c r="J49">
        <v>0.81265399999999999</v>
      </c>
      <c r="K49">
        <v>0.82538800000000001</v>
      </c>
      <c r="L49">
        <v>0.83255599999999996</v>
      </c>
      <c r="M49">
        <v>0.83918999999999999</v>
      </c>
      <c r="N49">
        <v>0.84623800000000005</v>
      </c>
      <c r="O49">
        <v>0.85270299999999999</v>
      </c>
      <c r="P49">
        <v>0.86054200000000003</v>
      </c>
      <c r="Q49">
        <v>0.87058199999999997</v>
      </c>
      <c r="R49">
        <v>0.88244599999999995</v>
      </c>
      <c r="S49">
        <v>0.89490700000000001</v>
      </c>
      <c r="T49">
        <v>0.90612800000000004</v>
      </c>
      <c r="U49">
        <v>0.91749000000000003</v>
      </c>
      <c r="V49">
        <v>0.92891400000000002</v>
      </c>
      <c r="W49">
        <v>0.94040800000000002</v>
      </c>
      <c r="X49">
        <v>0.95150500000000005</v>
      </c>
      <c r="Y49">
        <v>0.96264499999999997</v>
      </c>
      <c r="Z49">
        <v>0.97362300000000002</v>
      </c>
      <c r="AA49">
        <v>0.98445099999999996</v>
      </c>
      <c r="AB49">
        <v>0.99525200000000003</v>
      </c>
      <c r="AC49">
        <v>1.006035</v>
      </c>
      <c r="AD49">
        <v>1.016947</v>
      </c>
      <c r="AE49">
        <v>1.0281290000000001</v>
      </c>
      <c r="AF49">
        <v>1.0394589999999999</v>
      </c>
      <c r="AG49" s="42">
        <v>1.2999999999999999E-2</v>
      </c>
    </row>
    <row r="50" spans="1:33" x14ac:dyDescent="0.25">
      <c r="A50" t="s">
        <v>404</v>
      </c>
      <c r="B50" t="s">
        <v>648</v>
      </c>
      <c r="C50" t="s">
        <v>649</v>
      </c>
      <c r="D50" t="s">
        <v>397</v>
      </c>
      <c r="F50">
        <v>0.48524699999999998</v>
      </c>
      <c r="G50">
        <v>0.502799</v>
      </c>
      <c r="H50">
        <v>0.51281900000000002</v>
      </c>
      <c r="I50">
        <v>0.52001600000000003</v>
      </c>
      <c r="J50">
        <v>0.52500199999999997</v>
      </c>
      <c r="K50">
        <v>0.52862900000000002</v>
      </c>
      <c r="L50">
        <v>0.53113999999999995</v>
      </c>
      <c r="M50">
        <v>0.53394699999999995</v>
      </c>
      <c r="N50">
        <v>0.53579200000000005</v>
      </c>
      <c r="O50">
        <v>0.53736099999999998</v>
      </c>
      <c r="P50">
        <v>0.53960799999999998</v>
      </c>
      <c r="Q50">
        <v>0.54316299999999995</v>
      </c>
      <c r="R50">
        <v>0.54804600000000003</v>
      </c>
      <c r="S50">
        <v>0.55357900000000004</v>
      </c>
      <c r="T50">
        <v>0.55909799999999998</v>
      </c>
      <c r="U50">
        <v>0.56484699999999999</v>
      </c>
      <c r="V50">
        <v>0.57009500000000002</v>
      </c>
      <c r="W50">
        <v>0.57483200000000001</v>
      </c>
      <c r="X50">
        <v>0.57910399999999995</v>
      </c>
      <c r="Y50">
        <v>0.58315700000000004</v>
      </c>
      <c r="Z50">
        <v>0.58746200000000004</v>
      </c>
      <c r="AA50">
        <v>0.591781</v>
      </c>
      <c r="AB50">
        <v>0.59573600000000004</v>
      </c>
      <c r="AC50">
        <v>0.59997699999999998</v>
      </c>
      <c r="AD50">
        <v>0.60444699999999996</v>
      </c>
      <c r="AE50">
        <v>0.60868900000000004</v>
      </c>
      <c r="AF50">
        <v>0.61272000000000004</v>
      </c>
      <c r="AG50" s="42">
        <v>8.9999999999999993E-3</v>
      </c>
    </row>
    <row r="51" spans="1:33" x14ac:dyDescent="0.25">
      <c r="A51" t="s">
        <v>410</v>
      </c>
      <c r="B51" t="s">
        <v>650</v>
      </c>
      <c r="C51" t="s">
        <v>651</v>
      </c>
      <c r="D51" t="s">
        <v>397</v>
      </c>
      <c r="F51">
        <v>0.57562899999999995</v>
      </c>
      <c r="G51">
        <v>0.56407300000000005</v>
      </c>
      <c r="H51">
        <v>0.561419</v>
      </c>
      <c r="I51">
        <v>0.564836</v>
      </c>
      <c r="J51">
        <v>0.56773899999999999</v>
      </c>
      <c r="K51">
        <v>0.56803800000000004</v>
      </c>
      <c r="L51">
        <v>0.55779599999999996</v>
      </c>
      <c r="M51">
        <v>0.54866800000000004</v>
      </c>
      <c r="N51">
        <v>0.54072299999999995</v>
      </c>
      <c r="O51">
        <v>0.53283599999999998</v>
      </c>
      <c r="P51">
        <v>0.525787</v>
      </c>
      <c r="Q51">
        <v>0.52025200000000005</v>
      </c>
      <c r="R51">
        <v>0.51639699999999999</v>
      </c>
      <c r="S51">
        <v>0.513764</v>
      </c>
      <c r="T51">
        <v>0.51109800000000005</v>
      </c>
      <c r="U51">
        <v>0.50913900000000001</v>
      </c>
      <c r="V51">
        <v>0.50622100000000003</v>
      </c>
      <c r="W51">
        <v>0.50424800000000003</v>
      </c>
      <c r="X51">
        <v>0.50266299999999997</v>
      </c>
      <c r="Y51">
        <v>0.501633</v>
      </c>
      <c r="Z51">
        <v>0.50087099999999996</v>
      </c>
      <c r="AA51">
        <v>0.50036999999999998</v>
      </c>
      <c r="AB51">
        <v>0.50009899999999996</v>
      </c>
      <c r="AC51">
        <v>0.49930799999999997</v>
      </c>
      <c r="AD51">
        <v>0.49875599999999998</v>
      </c>
      <c r="AE51">
        <v>0.49849900000000003</v>
      </c>
      <c r="AF51">
        <v>0.498199</v>
      </c>
      <c r="AG51" s="42">
        <v>-6.0000000000000001E-3</v>
      </c>
    </row>
    <row r="52" spans="1:33" x14ac:dyDescent="0.25">
      <c r="A52" t="s">
        <v>402</v>
      </c>
      <c r="B52" t="s">
        <v>652</v>
      </c>
      <c r="C52" t="s">
        <v>653</v>
      </c>
      <c r="D52" t="s">
        <v>397</v>
      </c>
      <c r="F52">
        <v>0.367309</v>
      </c>
      <c r="G52">
        <v>0.36862400000000001</v>
      </c>
      <c r="H52">
        <v>0.37076599999999998</v>
      </c>
      <c r="I52">
        <v>0.374365</v>
      </c>
      <c r="J52">
        <v>0.37762099999999998</v>
      </c>
      <c r="K52">
        <v>0.38000099999999998</v>
      </c>
      <c r="L52">
        <v>0.380716</v>
      </c>
      <c r="M52">
        <v>0.38166699999999998</v>
      </c>
      <c r="N52">
        <v>0.38290400000000002</v>
      </c>
      <c r="O52">
        <v>0.38422499999999998</v>
      </c>
      <c r="P52">
        <v>0.38594099999999998</v>
      </c>
      <c r="Q52">
        <v>0.38813999999999999</v>
      </c>
      <c r="R52">
        <v>0.39068999999999998</v>
      </c>
      <c r="S52">
        <v>0.39332699999999998</v>
      </c>
      <c r="T52">
        <v>0.39572299999999999</v>
      </c>
      <c r="U52">
        <v>0.39809899999999998</v>
      </c>
      <c r="V52">
        <v>0.40043800000000002</v>
      </c>
      <c r="W52">
        <v>0.40304499999999999</v>
      </c>
      <c r="X52">
        <v>0.40557700000000002</v>
      </c>
      <c r="Y52">
        <v>0.40810299999999999</v>
      </c>
      <c r="Z52">
        <v>0.41056599999999999</v>
      </c>
      <c r="AA52">
        <v>0.41296699999999997</v>
      </c>
      <c r="AB52">
        <v>0.41533300000000001</v>
      </c>
      <c r="AC52">
        <v>0.417661</v>
      </c>
      <c r="AD52">
        <v>0.41996899999999998</v>
      </c>
      <c r="AE52">
        <v>0.42227500000000001</v>
      </c>
      <c r="AF52">
        <v>0.42455399999999999</v>
      </c>
      <c r="AG52" s="42">
        <v>6.0000000000000001E-3</v>
      </c>
    </row>
    <row r="53" spans="1:33" x14ac:dyDescent="0.25">
      <c r="A53" t="s">
        <v>616</v>
      </c>
      <c r="B53" t="s">
        <v>654</v>
      </c>
      <c r="C53" t="s">
        <v>655</v>
      </c>
      <c r="D53" t="s">
        <v>397</v>
      </c>
      <c r="F53">
        <v>0.341028</v>
      </c>
      <c r="G53">
        <v>0.35735299999999998</v>
      </c>
      <c r="H53">
        <v>0.37537300000000001</v>
      </c>
      <c r="I53">
        <v>0.394874</v>
      </c>
      <c r="J53">
        <v>0.41530699999999998</v>
      </c>
      <c r="K53">
        <v>0.43539699999999998</v>
      </c>
      <c r="L53">
        <v>0.45558999999999999</v>
      </c>
      <c r="M53">
        <v>0.47651500000000002</v>
      </c>
      <c r="N53">
        <v>0.49855899999999997</v>
      </c>
      <c r="O53">
        <v>0.52174200000000004</v>
      </c>
      <c r="P53">
        <v>0.54635599999999995</v>
      </c>
      <c r="Q53">
        <v>0.57254700000000003</v>
      </c>
      <c r="R53">
        <v>0.60029699999999997</v>
      </c>
      <c r="S53">
        <v>0.63007800000000003</v>
      </c>
      <c r="T53">
        <v>0.66060300000000005</v>
      </c>
      <c r="U53">
        <v>0.69272100000000003</v>
      </c>
      <c r="V53">
        <v>0.72653599999999996</v>
      </c>
      <c r="W53">
        <v>0.76207000000000003</v>
      </c>
      <c r="X53">
        <v>0.79877200000000004</v>
      </c>
      <c r="Y53">
        <v>0.83676200000000001</v>
      </c>
      <c r="Z53">
        <v>0.87679600000000002</v>
      </c>
      <c r="AA53">
        <v>0.91822599999999999</v>
      </c>
      <c r="AB53">
        <v>0.96115600000000001</v>
      </c>
      <c r="AC53">
        <v>1.0064660000000001</v>
      </c>
      <c r="AD53">
        <v>1.0534829999999999</v>
      </c>
      <c r="AE53">
        <v>1.1014429999999999</v>
      </c>
      <c r="AF53">
        <v>1.1521049999999999</v>
      </c>
      <c r="AG53" s="42">
        <v>4.8000000000000001E-2</v>
      </c>
    </row>
    <row r="54" spans="1:33" x14ac:dyDescent="0.25">
      <c r="A54" t="s">
        <v>618</v>
      </c>
      <c r="B54" t="s">
        <v>656</v>
      </c>
      <c r="C54" t="s">
        <v>657</v>
      </c>
      <c r="D54" t="s">
        <v>397</v>
      </c>
      <c r="F54">
        <v>4.3232E-2</v>
      </c>
      <c r="G54">
        <v>4.3304000000000002E-2</v>
      </c>
      <c r="H54">
        <v>4.3521999999999998E-2</v>
      </c>
      <c r="I54">
        <v>4.3887000000000002E-2</v>
      </c>
      <c r="J54">
        <v>4.4332000000000003E-2</v>
      </c>
      <c r="K54">
        <v>4.4706999999999997E-2</v>
      </c>
      <c r="L54">
        <v>4.5025999999999997E-2</v>
      </c>
      <c r="M54">
        <v>4.5362E-2</v>
      </c>
      <c r="N54">
        <v>4.5696000000000001E-2</v>
      </c>
      <c r="O54">
        <v>4.6077E-2</v>
      </c>
      <c r="P54">
        <v>4.6523000000000002E-2</v>
      </c>
      <c r="Q54">
        <v>4.6986E-2</v>
      </c>
      <c r="R54">
        <v>4.7454999999999997E-2</v>
      </c>
      <c r="S54">
        <v>4.7914999999999999E-2</v>
      </c>
      <c r="T54">
        <v>4.8287999999999998E-2</v>
      </c>
      <c r="U54">
        <v>4.8647000000000003E-2</v>
      </c>
      <c r="V54">
        <v>4.8932999999999997E-2</v>
      </c>
      <c r="W54">
        <v>4.9079999999999999E-2</v>
      </c>
      <c r="X54">
        <v>4.9147000000000003E-2</v>
      </c>
      <c r="Y54">
        <v>4.9140000000000003E-2</v>
      </c>
      <c r="Z54">
        <v>4.8991E-2</v>
      </c>
      <c r="AA54">
        <v>4.8633999999999997E-2</v>
      </c>
      <c r="AB54">
        <v>4.8195000000000002E-2</v>
      </c>
      <c r="AC54">
        <v>4.7543000000000002E-2</v>
      </c>
      <c r="AD54">
        <v>4.6675000000000001E-2</v>
      </c>
      <c r="AE54">
        <v>4.5652999999999999E-2</v>
      </c>
      <c r="AF54">
        <v>4.4405E-2</v>
      </c>
      <c r="AG54" s="42">
        <v>1E-3</v>
      </c>
    </row>
    <row r="55" spans="1:33" x14ac:dyDescent="0.25">
      <c r="A55" t="s">
        <v>422</v>
      </c>
      <c r="B55" t="s">
        <v>658</v>
      </c>
      <c r="C55" t="s">
        <v>659</v>
      </c>
      <c r="D55" t="s">
        <v>397</v>
      </c>
      <c r="F55">
        <v>4.1478830000000002</v>
      </c>
      <c r="G55">
        <v>4.2315250000000004</v>
      </c>
      <c r="H55">
        <v>4.1795229999999997</v>
      </c>
      <c r="I55">
        <v>4.1730970000000003</v>
      </c>
      <c r="J55">
        <v>4.1604359999999998</v>
      </c>
      <c r="K55">
        <v>4.2093400000000001</v>
      </c>
      <c r="L55">
        <v>4.2539350000000002</v>
      </c>
      <c r="M55">
        <v>4.2968640000000002</v>
      </c>
      <c r="N55">
        <v>4.3373670000000004</v>
      </c>
      <c r="O55">
        <v>4.3765580000000002</v>
      </c>
      <c r="P55">
        <v>4.4187539999999998</v>
      </c>
      <c r="Q55">
        <v>4.4651129999999997</v>
      </c>
      <c r="R55">
        <v>4.5160520000000002</v>
      </c>
      <c r="S55">
        <v>4.5687309999999997</v>
      </c>
      <c r="T55">
        <v>4.6216080000000002</v>
      </c>
      <c r="U55">
        <v>4.6764830000000002</v>
      </c>
      <c r="V55">
        <v>4.7309089999999996</v>
      </c>
      <c r="W55">
        <v>4.7834399999999997</v>
      </c>
      <c r="X55">
        <v>4.8358049999999997</v>
      </c>
      <c r="Y55">
        <v>4.8884109999999996</v>
      </c>
      <c r="Z55">
        <v>4.9422980000000001</v>
      </c>
      <c r="AA55">
        <v>4.9980719999999996</v>
      </c>
      <c r="AB55">
        <v>5.053363</v>
      </c>
      <c r="AC55">
        <v>5.111002</v>
      </c>
      <c r="AD55">
        <v>5.1708720000000001</v>
      </c>
      <c r="AE55">
        <v>5.2310410000000003</v>
      </c>
      <c r="AF55">
        <v>5.2916309999999998</v>
      </c>
      <c r="AG55" s="42">
        <v>8.9999999999999993E-3</v>
      </c>
    </row>
    <row r="56" spans="1:33" x14ac:dyDescent="0.25">
      <c r="A56" t="s">
        <v>381</v>
      </c>
      <c r="B56" t="s">
        <v>660</v>
      </c>
      <c r="C56" t="s">
        <v>661</v>
      </c>
      <c r="D56" t="s">
        <v>397</v>
      </c>
      <c r="F56">
        <v>9.4375850000000003</v>
      </c>
      <c r="G56">
        <v>9.7274449999999995</v>
      </c>
      <c r="H56">
        <v>9.7589620000000004</v>
      </c>
      <c r="I56">
        <v>9.8321860000000001</v>
      </c>
      <c r="J56">
        <v>9.8799880000000009</v>
      </c>
      <c r="K56">
        <v>9.9676779999999994</v>
      </c>
      <c r="L56">
        <v>10.024602</v>
      </c>
      <c r="M56">
        <v>10.083485</v>
      </c>
      <c r="N56">
        <v>10.137772999999999</v>
      </c>
      <c r="O56">
        <v>10.187730999999999</v>
      </c>
      <c r="P56">
        <v>10.249536000000001</v>
      </c>
      <c r="Q56">
        <v>10.331735</v>
      </c>
      <c r="R56">
        <v>10.432976999999999</v>
      </c>
      <c r="S56">
        <v>10.544086999999999</v>
      </c>
      <c r="T56">
        <v>10.653760999999999</v>
      </c>
      <c r="U56">
        <v>10.769613</v>
      </c>
      <c r="V56">
        <v>10.883364</v>
      </c>
      <c r="W56">
        <v>10.995106</v>
      </c>
      <c r="X56">
        <v>11.105165</v>
      </c>
      <c r="Y56">
        <v>11.216685999999999</v>
      </c>
      <c r="Z56">
        <v>11.332974999999999</v>
      </c>
      <c r="AA56">
        <v>11.452800999999999</v>
      </c>
      <c r="AB56">
        <v>11.571949999999999</v>
      </c>
      <c r="AC56">
        <v>11.696728999999999</v>
      </c>
      <c r="AD56">
        <v>11.827118</v>
      </c>
      <c r="AE56">
        <v>11.958854000000001</v>
      </c>
      <c r="AF56">
        <v>12.092809000000001</v>
      </c>
      <c r="AG56" s="42">
        <v>0.01</v>
      </c>
    </row>
    <row r="57" spans="1:33" x14ac:dyDescent="0.25">
      <c r="A57" t="s">
        <v>426</v>
      </c>
      <c r="B57" t="s">
        <v>662</v>
      </c>
      <c r="C57" t="s">
        <v>663</v>
      </c>
      <c r="D57" t="s">
        <v>397</v>
      </c>
      <c r="F57">
        <v>1.8762000000000001E-2</v>
      </c>
      <c r="G57">
        <v>2.8121E-2</v>
      </c>
      <c r="H57">
        <v>4.2235000000000002E-2</v>
      </c>
      <c r="I57">
        <v>6.1641000000000001E-2</v>
      </c>
      <c r="J57">
        <v>8.6249999999999993E-2</v>
      </c>
      <c r="K57">
        <v>0.117048</v>
      </c>
      <c r="L57">
        <v>0.15936900000000001</v>
      </c>
      <c r="M57">
        <v>0.21291599999999999</v>
      </c>
      <c r="N57">
        <v>0.28401900000000002</v>
      </c>
      <c r="O57">
        <v>0.35977700000000001</v>
      </c>
      <c r="P57">
        <v>0.43437399999999998</v>
      </c>
      <c r="Q57">
        <v>0.50603100000000001</v>
      </c>
      <c r="R57">
        <v>0.57409600000000005</v>
      </c>
      <c r="S57">
        <v>0.638567</v>
      </c>
      <c r="T57">
        <v>0.69851600000000003</v>
      </c>
      <c r="U57">
        <v>0.75433700000000004</v>
      </c>
      <c r="V57">
        <v>0.80611299999999997</v>
      </c>
      <c r="W57">
        <v>0.85333000000000003</v>
      </c>
      <c r="X57">
        <v>0.89590400000000003</v>
      </c>
      <c r="Y57">
        <v>0.93331299999999995</v>
      </c>
      <c r="Z57">
        <v>0.96634600000000004</v>
      </c>
      <c r="AA57">
        <v>0.99562600000000001</v>
      </c>
      <c r="AB57">
        <v>1.0219309999999999</v>
      </c>
      <c r="AC57">
        <v>1.045841</v>
      </c>
      <c r="AD57">
        <v>1.066279</v>
      </c>
      <c r="AE57">
        <v>1.084419</v>
      </c>
      <c r="AF57">
        <v>1.1006229999999999</v>
      </c>
      <c r="AG57" s="42">
        <v>0.17</v>
      </c>
    </row>
    <row r="58" spans="1:33" x14ac:dyDescent="0.25">
      <c r="A58" t="s">
        <v>428</v>
      </c>
      <c r="B58" t="s">
        <v>664</v>
      </c>
      <c r="C58" t="s">
        <v>665</v>
      </c>
      <c r="D58" t="s">
        <v>397</v>
      </c>
      <c r="F58">
        <v>0.14174300000000001</v>
      </c>
      <c r="G58">
        <v>0.158667</v>
      </c>
      <c r="H58">
        <v>0.17515800000000001</v>
      </c>
      <c r="I58">
        <v>0.182169</v>
      </c>
      <c r="J58">
        <v>0.188994</v>
      </c>
      <c r="K58">
        <v>0.19889100000000001</v>
      </c>
      <c r="L58">
        <v>0.21062400000000001</v>
      </c>
      <c r="M58">
        <v>0.225521</v>
      </c>
      <c r="N58">
        <v>0.23910000000000001</v>
      </c>
      <c r="O58">
        <v>0.25521300000000002</v>
      </c>
      <c r="P58">
        <v>0.26584400000000002</v>
      </c>
      <c r="Q58">
        <v>0.27219700000000002</v>
      </c>
      <c r="R58">
        <v>0.27763900000000002</v>
      </c>
      <c r="S58">
        <v>0.28352500000000003</v>
      </c>
      <c r="T58">
        <v>0.292406</v>
      </c>
      <c r="U58">
        <v>0.29744199999999998</v>
      </c>
      <c r="V58">
        <v>0.30313400000000001</v>
      </c>
      <c r="W58">
        <v>0.31151000000000001</v>
      </c>
      <c r="X58">
        <v>0.31969399999999998</v>
      </c>
      <c r="Y58">
        <v>0.32866200000000001</v>
      </c>
      <c r="Z58">
        <v>0.33769300000000002</v>
      </c>
      <c r="AA58">
        <v>0.347028</v>
      </c>
      <c r="AB58">
        <v>0.35549700000000001</v>
      </c>
      <c r="AC58">
        <v>0.36535400000000001</v>
      </c>
      <c r="AD58">
        <v>0.37554300000000002</v>
      </c>
      <c r="AE58">
        <v>0.385409</v>
      </c>
      <c r="AF58">
        <v>0.396175</v>
      </c>
      <c r="AG58" s="42">
        <v>0.04</v>
      </c>
    </row>
    <row r="59" spans="1:33" x14ac:dyDescent="0.25">
      <c r="A59" t="s">
        <v>439</v>
      </c>
      <c r="B59" t="s">
        <v>666</v>
      </c>
      <c r="C59" t="s">
        <v>661</v>
      </c>
      <c r="D59" t="s">
        <v>397</v>
      </c>
      <c r="F59">
        <v>9.3146039999999992</v>
      </c>
      <c r="G59">
        <v>9.5968990000000005</v>
      </c>
      <c r="H59">
        <v>9.6260390000000005</v>
      </c>
      <c r="I59">
        <v>9.7116579999999999</v>
      </c>
      <c r="J59">
        <v>9.7772439999999996</v>
      </c>
      <c r="K59">
        <v>9.8858359999999994</v>
      </c>
      <c r="L59">
        <v>9.9733470000000004</v>
      </c>
      <c r="M59">
        <v>10.070879</v>
      </c>
      <c r="N59">
        <v>10.182691999999999</v>
      </c>
      <c r="O59">
        <v>10.292294999999999</v>
      </c>
      <c r="P59">
        <v>10.418066</v>
      </c>
      <c r="Q59">
        <v>10.565568000000001</v>
      </c>
      <c r="R59">
        <v>10.729433</v>
      </c>
      <c r="S59">
        <v>10.89913</v>
      </c>
      <c r="T59">
        <v>11.059872</v>
      </c>
      <c r="U59">
        <v>11.226509</v>
      </c>
      <c r="V59">
        <v>11.386343</v>
      </c>
      <c r="W59">
        <v>11.536925999999999</v>
      </c>
      <c r="X59">
        <v>11.681376</v>
      </c>
      <c r="Y59">
        <v>11.821337</v>
      </c>
      <c r="Z59">
        <v>11.961627999999999</v>
      </c>
      <c r="AA59">
        <v>12.101398</v>
      </c>
      <c r="AB59">
        <v>12.238384</v>
      </c>
      <c r="AC59">
        <v>12.377216000000001</v>
      </c>
      <c r="AD59">
        <v>12.517853000000001</v>
      </c>
      <c r="AE59">
        <v>12.657863000000001</v>
      </c>
      <c r="AF59">
        <v>12.797256000000001</v>
      </c>
      <c r="AG59" s="42">
        <v>1.2E-2</v>
      </c>
    </row>
    <row r="60" spans="1:33" x14ac:dyDescent="0.25">
      <c r="A60" t="s">
        <v>490</v>
      </c>
      <c r="B60" t="s">
        <v>667</v>
      </c>
      <c r="C60" t="s">
        <v>668</v>
      </c>
      <c r="D60" t="s">
        <v>397</v>
      </c>
      <c r="F60">
        <v>6.7771059999999999</v>
      </c>
      <c r="G60">
        <v>6.6841359999999996</v>
      </c>
      <c r="H60">
        <v>6.2533690000000002</v>
      </c>
      <c r="I60">
        <v>6.093877</v>
      </c>
      <c r="J60">
        <v>6.0307320000000004</v>
      </c>
      <c r="K60">
        <v>6.0409759999999997</v>
      </c>
      <c r="L60">
        <v>5.8926069999999999</v>
      </c>
      <c r="M60">
        <v>5.8044320000000003</v>
      </c>
      <c r="N60">
        <v>5.5464029999999998</v>
      </c>
      <c r="O60">
        <v>5.4811990000000002</v>
      </c>
      <c r="P60">
        <v>5.4054169999999999</v>
      </c>
      <c r="Q60">
        <v>5.296977</v>
      </c>
      <c r="R60">
        <v>5.2012809999999998</v>
      </c>
      <c r="S60">
        <v>5.0534780000000001</v>
      </c>
      <c r="T60">
        <v>5.0054790000000002</v>
      </c>
      <c r="U60">
        <v>4.8131259999999996</v>
      </c>
      <c r="V60">
        <v>4.8293749999999998</v>
      </c>
      <c r="W60">
        <v>4.9184970000000003</v>
      </c>
      <c r="X60">
        <v>5.0054449999999999</v>
      </c>
      <c r="Y60">
        <v>5.0652609999999996</v>
      </c>
      <c r="Z60">
        <v>5.1314450000000003</v>
      </c>
      <c r="AA60">
        <v>5.1645560000000001</v>
      </c>
      <c r="AB60">
        <v>5.1953170000000002</v>
      </c>
      <c r="AC60">
        <v>5.2421540000000002</v>
      </c>
      <c r="AD60">
        <v>5.3024420000000001</v>
      </c>
      <c r="AE60">
        <v>5.3730289999999998</v>
      </c>
      <c r="AF60">
        <v>5.4022839999999999</v>
      </c>
      <c r="AG60" s="42">
        <v>-8.9999999999999993E-3</v>
      </c>
    </row>
    <row r="61" spans="1:33" x14ac:dyDescent="0.25">
      <c r="A61" t="s">
        <v>493</v>
      </c>
    </row>
    <row r="62" spans="1:33" x14ac:dyDescent="0.25">
      <c r="A62" t="s">
        <v>395</v>
      </c>
      <c r="B62" t="s">
        <v>669</v>
      </c>
      <c r="C62" t="s">
        <v>670</v>
      </c>
      <c r="D62" t="s">
        <v>397</v>
      </c>
      <c r="F62">
        <v>2.050678</v>
      </c>
      <c r="G62">
        <v>2.2337039999999999</v>
      </c>
      <c r="H62">
        <v>2.2366100000000002</v>
      </c>
      <c r="I62">
        <v>2.2328190000000001</v>
      </c>
      <c r="J62">
        <v>2.2226300000000001</v>
      </c>
      <c r="K62">
        <v>2.2061470000000001</v>
      </c>
      <c r="L62">
        <v>2.1797270000000002</v>
      </c>
      <c r="M62">
        <v>2.1572840000000002</v>
      </c>
      <c r="N62">
        <v>2.1245569999999998</v>
      </c>
      <c r="O62">
        <v>2.0956999999999999</v>
      </c>
      <c r="P62">
        <v>2.0694059999999999</v>
      </c>
      <c r="Q62">
        <v>2.0495779999999999</v>
      </c>
      <c r="R62">
        <v>2.0355889999999999</v>
      </c>
      <c r="S62">
        <v>2.0229010000000001</v>
      </c>
      <c r="T62">
        <v>2.0136370000000001</v>
      </c>
      <c r="U62">
        <v>2.001738</v>
      </c>
      <c r="V62">
        <v>1.9944</v>
      </c>
      <c r="W62">
        <v>1.986596</v>
      </c>
      <c r="X62">
        <v>1.977257</v>
      </c>
      <c r="Y62">
        <v>1.9665029999999999</v>
      </c>
      <c r="Z62">
        <v>1.956925</v>
      </c>
      <c r="AA62">
        <v>1.9470160000000001</v>
      </c>
      <c r="AB62">
        <v>1.935972</v>
      </c>
      <c r="AC62">
        <v>1.926361</v>
      </c>
      <c r="AD62">
        <v>1.917953</v>
      </c>
      <c r="AE62">
        <v>1.909583</v>
      </c>
      <c r="AF62">
        <v>1.8998139999999999</v>
      </c>
      <c r="AG62" s="42">
        <v>-3.0000000000000001E-3</v>
      </c>
    </row>
    <row r="63" spans="1:33" x14ac:dyDescent="0.25">
      <c r="A63" t="s">
        <v>398</v>
      </c>
      <c r="B63" t="s">
        <v>671</v>
      </c>
      <c r="C63" t="s">
        <v>672</v>
      </c>
      <c r="D63" t="s">
        <v>397</v>
      </c>
      <c r="F63">
        <v>1.381821</v>
      </c>
      <c r="G63">
        <v>1.314333</v>
      </c>
      <c r="H63">
        <v>1.294033</v>
      </c>
      <c r="I63">
        <v>1.297857</v>
      </c>
      <c r="J63">
        <v>1.306872</v>
      </c>
      <c r="K63">
        <v>1.3098339999999999</v>
      </c>
      <c r="L63">
        <v>1.2915350000000001</v>
      </c>
      <c r="M63">
        <v>1.2785530000000001</v>
      </c>
      <c r="N63">
        <v>1.2458849999999999</v>
      </c>
      <c r="O63">
        <v>1.2334080000000001</v>
      </c>
      <c r="P63">
        <v>1.222264</v>
      </c>
      <c r="Q63">
        <v>1.211373</v>
      </c>
      <c r="R63">
        <v>1.2052050000000001</v>
      </c>
      <c r="S63">
        <v>1.1950970000000001</v>
      </c>
      <c r="T63">
        <v>1.1944140000000001</v>
      </c>
      <c r="U63">
        <v>1.1799379999999999</v>
      </c>
      <c r="V63">
        <v>1.187171</v>
      </c>
      <c r="W63">
        <v>1.2025870000000001</v>
      </c>
      <c r="X63">
        <v>1.21759</v>
      </c>
      <c r="Y63">
        <v>1.230971</v>
      </c>
      <c r="Z63">
        <v>1.24522</v>
      </c>
      <c r="AA63">
        <v>1.256291</v>
      </c>
      <c r="AB63">
        <v>1.2672000000000001</v>
      </c>
      <c r="AC63">
        <v>1.2799130000000001</v>
      </c>
      <c r="AD63">
        <v>1.2943789999999999</v>
      </c>
      <c r="AE63">
        <v>1.3103670000000001</v>
      </c>
      <c r="AF63">
        <v>1.3225070000000001</v>
      </c>
      <c r="AG63" s="42">
        <v>-2E-3</v>
      </c>
    </row>
    <row r="64" spans="1:33" x14ac:dyDescent="0.25">
      <c r="A64" t="s">
        <v>400</v>
      </c>
      <c r="B64" t="s">
        <v>673</v>
      </c>
      <c r="C64" t="s">
        <v>674</v>
      </c>
      <c r="D64" t="s">
        <v>397</v>
      </c>
      <c r="F64">
        <v>0.45100800000000002</v>
      </c>
      <c r="G64">
        <v>0.459339</v>
      </c>
      <c r="H64">
        <v>0.46116800000000002</v>
      </c>
      <c r="I64">
        <v>0.463057</v>
      </c>
      <c r="J64">
        <v>0.46457599999999999</v>
      </c>
      <c r="K64">
        <v>0.464945</v>
      </c>
      <c r="L64">
        <v>0.46227600000000002</v>
      </c>
      <c r="M64">
        <v>0.46029100000000001</v>
      </c>
      <c r="N64">
        <v>0.45526</v>
      </c>
      <c r="O64">
        <v>0.45255499999999999</v>
      </c>
      <c r="P64">
        <v>0.450461</v>
      </c>
      <c r="Q64">
        <v>0.44922499999999999</v>
      </c>
      <c r="R64">
        <v>0.44938499999999998</v>
      </c>
      <c r="S64">
        <v>0.44966800000000001</v>
      </c>
      <c r="T64">
        <v>0.45118399999999997</v>
      </c>
      <c r="U64">
        <v>0.45154300000000003</v>
      </c>
      <c r="V64">
        <v>0.45387499999999997</v>
      </c>
      <c r="W64">
        <v>0.456513</v>
      </c>
      <c r="X64">
        <v>0.45883200000000002</v>
      </c>
      <c r="Y64">
        <v>0.46078200000000002</v>
      </c>
      <c r="Z64">
        <v>0.46301900000000001</v>
      </c>
      <c r="AA64">
        <v>0.46502700000000002</v>
      </c>
      <c r="AB64">
        <v>0.46679999999999999</v>
      </c>
      <c r="AC64">
        <v>0.46894999999999998</v>
      </c>
      <c r="AD64">
        <v>0.47141300000000003</v>
      </c>
      <c r="AE64">
        <v>0.47383500000000001</v>
      </c>
      <c r="AF64">
        <v>0.47580800000000001</v>
      </c>
      <c r="AG64" s="42">
        <v>2E-3</v>
      </c>
    </row>
    <row r="65" spans="1:33" x14ac:dyDescent="0.25">
      <c r="A65" t="s">
        <v>611</v>
      </c>
      <c r="B65" t="s">
        <v>675</v>
      </c>
      <c r="C65" t="s">
        <v>676</v>
      </c>
      <c r="D65" t="s">
        <v>397</v>
      </c>
      <c r="F65">
        <v>1.7724059999999999</v>
      </c>
      <c r="G65">
        <v>1.76614</v>
      </c>
      <c r="H65">
        <v>1.7400310000000001</v>
      </c>
      <c r="I65">
        <v>1.749339</v>
      </c>
      <c r="J65">
        <v>1.766192</v>
      </c>
      <c r="K65">
        <v>1.7754939999999999</v>
      </c>
      <c r="L65">
        <v>1.750602</v>
      </c>
      <c r="M65">
        <v>1.732674</v>
      </c>
      <c r="N65">
        <v>1.687071</v>
      </c>
      <c r="O65">
        <v>1.6701969999999999</v>
      </c>
      <c r="P65">
        <v>1.6545350000000001</v>
      </c>
      <c r="Q65">
        <v>1.6381749999999999</v>
      </c>
      <c r="R65">
        <v>1.6271979999999999</v>
      </c>
      <c r="S65">
        <v>1.6105259999999999</v>
      </c>
      <c r="T65">
        <v>1.607216</v>
      </c>
      <c r="U65">
        <v>1.5848150000000001</v>
      </c>
      <c r="V65">
        <v>1.592274</v>
      </c>
      <c r="W65">
        <v>1.61005</v>
      </c>
      <c r="X65">
        <v>1.6272450000000001</v>
      </c>
      <c r="Y65">
        <v>1.6411089999999999</v>
      </c>
      <c r="Z65">
        <v>1.6558060000000001</v>
      </c>
      <c r="AA65">
        <v>1.666126</v>
      </c>
      <c r="AB65">
        <v>1.676329</v>
      </c>
      <c r="AC65">
        <v>1.68868</v>
      </c>
      <c r="AD65">
        <v>1.7030909999999999</v>
      </c>
      <c r="AE65">
        <v>1.7193160000000001</v>
      </c>
      <c r="AF65">
        <v>1.730359</v>
      </c>
      <c r="AG65" s="42">
        <v>-1E-3</v>
      </c>
    </row>
    <row r="66" spans="1:33" x14ac:dyDescent="0.25">
      <c r="A66" t="s">
        <v>404</v>
      </c>
      <c r="B66" t="s">
        <v>677</v>
      </c>
      <c r="C66" t="s">
        <v>678</v>
      </c>
      <c r="D66" t="s">
        <v>397</v>
      </c>
      <c r="F66">
        <v>0.60168100000000002</v>
      </c>
      <c r="G66">
        <v>0.61565800000000004</v>
      </c>
      <c r="H66">
        <v>0.61916400000000005</v>
      </c>
      <c r="I66">
        <v>0.62327100000000002</v>
      </c>
      <c r="J66">
        <v>0.62641400000000003</v>
      </c>
      <c r="K66">
        <v>0.62798799999999999</v>
      </c>
      <c r="L66">
        <v>0.62583</v>
      </c>
      <c r="M66">
        <v>0.62478</v>
      </c>
      <c r="N66">
        <v>0.62002599999999997</v>
      </c>
      <c r="O66">
        <v>0.61803600000000003</v>
      </c>
      <c r="P66">
        <v>0.61678100000000002</v>
      </c>
      <c r="Q66">
        <v>0.61662899999999998</v>
      </c>
      <c r="R66">
        <v>0.61822600000000005</v>
      </c>
      <c r="S66">
        <v>0.61995299999999998</v>
      </c>
      <c r="T66">
        <v>0.623085</v>
      </c>
      <c r="U66">
        <v>0.62475800000000004</v>
      </c>
      <c r="V66">
        <v>0.62866100000000003</v>
      </c>
      <c r="W66">
        <v>0.63297400000000004</v>
      </c>
      <c r="X66">
        <v>0.63680199999999998</v>
      </c>
      <c r="Y66">
        <v>0.64012500000000006</v>
      </c>
      <c r="Z66">
        <v>0.64377499999999999</v>
      </c>
      <c r="AA66">
        <v>0.64708500000000002</v>
      </c>
      <c r="AB66">
        <v>0.65002899999999997</v>
      </c>
      <c r="AC66">
        <v>0.65343700000000005</v>
      </c>
      <c r="AD66">
        <v>0.65722700000000001</v>
      </c>
      <c r="AE66">
        <v>0.66090199999999999</v>
      </c>
      <c r="AF66">
        <v>0.66396699999999997</v>
      </c>
      <c r="AG66" s="42">
        <v>4.0000000000000001E-3</v>
      </c>
    </row>
    <row r="67" spans="1:33" x14ac:dyDescent="0.25">
      <c r="A67" t="s">
        <v>410</v>
      </c>
      <c r="B67" t="s">
        <v>679</v>
      </c>
      <c r="C67" t="s">
        <v>680</v>
      </c>
      <c r="D67" t="s">
        <v>397</v>
      </c>
      <c r="F67">
        <v>1.3700859999999999</v>
      </c>
      <c r="G67">
        <v>1.3167169999999999</v>
      </c>
      <c r="H67">
        <v>1.26339</v>
      </c>
      <c r="I67">
        <v>1.243371</v>
      </c>
      <c r="J67">
        <v>1.2339020000000001</v>
      </c>
      <c r="K67">
        <v>1.221908</v>
      </c>
      <c r="L67">
        <v>1.1728670000000001</v>
      </c>
      <c r="M67">
        <v>1.132833</v>
      </c>
      <c r="N67">
        <v>1.0779939999999999</v>
      </c>
      <c r="O67">
        <v>1.0436700000000001</v>
      </c>
      <c r="P67">
        <v>1.010913</v>
      </c>
      <c r="Q67">
        <v>0.97895799999999999</v>
      </c>
      <c r="R67">
        <v>0.95221599999999995</v>
      </c>
      <c r="S67">
        <v>0.92459999999999998</v>
      </c>
      <c r="T67">
        <v>0.90654299999999999</v>
      </c>
      <c r="U67">
        <v>0.87945499999999999</v>
      </c>
      <c r="V67">
        <v>0.86772499999999997</v>
      </c>
      <c r="W67">
        <v>0.86331100000000005</v>
      </c>
      <c r="X67">
        <v>0.85964399999999996</v>
      </c>
      <c r="Y67">
        <v>0.85517900000000002</v>
      </c>
      <c r="Z67">
        <v>0.85181399999999996</v>
      </c>
      <c r="AA67">
        <v>0.84684599999999999</v>
      </c>
      <c r="AB67">
        <v>0.84233000000000002</v>
      </c>
      <c r="AC67">
        <v>0.83811400000000003</v>
      </c>
      <c r="AD67">
        <v>0.83527099999999999</v>
      </c>
      <c r="AE67">
        <v>0.83362899999999995</v>
      </c>
      <c r="AF67">
        <v>0.82933999999999997</v>
      </c>
      <c r="AG67" s="42">
        <v>-1.9E-2</v>
      </c>
    </row>
    <row r="68" spans="1:33" x14ac:dyDescent="0.25">
      <c r="A68" t="s">
        <v>402</v>
      </c>
      <c r="B68" t="s">
        <v>681</v>
      </c>
      <c r="C68" t="s">
        <v>682</v>
      </c>
      <c r="D68" t="s">
        <v>397</v>
      </c>
      <c r="F68">
        <v>0.87425200000000003</v>
      </c>
      <c r="G68">
        <v>0.86048000000000002</v>
      </c>
      <c r="H68">
        <v>0.83435599999999999</v>
      </c>
      <c r="I68">
        <v>0.82408800000000004</v>
      </c>
      <c r="J68">
        <v>0.82070699999999996</v>
      </c>
      <c r="K68">
        <v>0.81742099999999995</v>
      </c>
      <c r="L68">
        <v>0.80052500000000004</v>
      </c>
      <c r="M68">
        <v>0.788026</v>
      </c>
      <c r="N68">
        <v>0.76336199999999999</v>
      </c>
      <c r="O68">
        <v>0.75258599999999998</v>
      </c>
      <c r="P68">
        <v>0.742035</v>
      </c>
      <c r="Q68">
        <v>0.73036400000000001</v>
      </c>
      <c r="R68">
        <v>0.720418</v>
      </c>
      <c r="S68">
        <v>0.70785399999999998</v>
      </c>
      <c r="T68">
        <v>0.701901</v>
      </c>
      <c r="U68">
        <v>0.68765200000000004</v>
      </c>
      <c r="V68">
        <v>0.68640100000000004</v>
      </c>
      <c r="W68">
        <v>0.69004399999999999</v>
      </c>
      <c r="X68">
        <v>0.69360999999999995</v>
      </c>
      <c r="Y68">
        <v>0.69572999999999996</v>
      </c>
      <c r="Z68">
        <v>0.69823500000000005</v>
      </c>
      <c r="AA68">
        <v>0.69892200000000004</v>
      </c>
      <c r="AB68">
        <v>0.69955599999999996</v>
      </c>
      <c r="AC68">
        <v>0.70106500000000005</v>
      </c>
      <c r="AD68">
        <v>0.70332499999999998</v>
      </c>
      <c r="AE68">
        <v>0.70616000000000001</v>
      </c>
      <c r="AF68">
        <v>0.70674300000000001</v>
      </c>
      <c r="AG68" s="42">
        <v>-8.0000000000000002E-3</v>
      </c>
    </row>
    <row r="69" spans="1:33" x14ac:dyDescent="0.25">
      <c r="A69" t="s">
        <v>616</v>
      </c>
      <c r="B69" t="s">
        <v>683</v>
      </c>
      <c r="C69" t="s">
        <v>684</v>
      </c>
      <c r="D69" t="s">
        <v>397</v>
      </c>
      <c r="F69">
        <v>0.81169800000000003</v>
      </c>
      <c r="G69">
        <v>0.834171</v>
      </c>
      <c r="H69">
        <v>0.84472199999999997</v>
      </c>
      <c r="I69">
        <v>0.86923399999999995</v>
      </c>
      <c r="J69">
        <v>0.902613</v>
      </c>
      <c r="K69">
        <v>0.93658399999999997</v>
      </c>
      <c r="L69">
        <v>0.95796199999999998</v>
      </c>
      <c r="M69">
        <v>0.98385900000000004</v>
      </c>
      <c r="N69">
        <v>0.99393299999999996</v>
      </c>
      <c r="O69">
        <v>1.0219400000000001</v>
      </c>
      <c r="P69">
        <v>1.0504599999999999</v>
      </c>
      <c r="Q69">
        <v>1.0773619999999999</v>
      </c>
      <c r="R69">
        <v>1.1069249999999999</v>
      </c>
      <c r="S69">
        <v>1.1339239999999999</v>
      </c>
      <c r="T69">
        <v>1.171724</v>
      </c>
      <c r="U69">
        <v>1.196563</v>
      </c>
      <c r="V69">
        <v>1.245374</v>
      </c>
      <c r="W69">
        <v>1.3047219999999999</v>
      </c>
      <c r="X69">
        <v>1.366045</v>
      </c>
      <c r="Y69">
        <v>1.426504</v>
      </c>
      <c r="Z69">
        <v>1.4911369999999999</v>
      </c>
      <c r="AA69">
        <v>1.554044</v>
      </c>
      <c r="AB69">
        <v>1.6189</v>
      </c>
      <c r="AC69">
        <v>1.6894039999999999</v>
      </c>
      <c r="AD69">
        <v>1.7642770000000001</v>
      </c>
      <c r="AE69">
        <v>1.841917</v>
      </c>
      <c r="AF69">
        <v>1.9178789999999999</v>
      </c>
      <c r="AG69" s="42">
        <v>3.4000000000000002E-2</v>
      </c>
    </row>
    <row r="70" spans="1:33" x14ac:dyDescent="0.25">
      <c r="A70" t="s">
        <v>618</v>
      </c>
      <c r="B70" t="s">
        <v>685</v>
      </c>
      <c r="C70" t="s">
        <v>686</v>
      </c>
      <c r="D70" t="s">
        <v>397</v>
      </c>
      <c r="F70">
        <v>0.10290000000000001</v>
      </c>
      <c r="G70">
        <v>0.10108499999999999</v>
      </c>
      <c r="H70">
        <v>9.7939999999999999E-2</v>
      </c>
      <c r="I70">
        <v>9.6607999999999999E-2</v>
      </c>
      <c r="J70">
        <v>9.6350000000000005E-2</v>
      </c>
      <c r="K70">
        <v>9.6170000000000005E-2</v>
      </c>
      <c r="L70">
        <v>9.4674999999999995E-2</v>
      </c>
      <c r="M70">
        <v>9.3659000000000006E-2</v>
      </c>
      <c r="N70">
        <v>9.1101000000000001E-2</v>
      </c>
      <c r="O70">
        <v>9.0250999999999998E-2</v>
      </c>
      <c r="P70">
        <v>8.9448E-2</v>
      </c>
      <c r="Q70">
        <v>8.8413000000000005E-2</v>
      </c>
      <c r="R70">
        <v>8.7506E-2</v>
      </c>
      <c r="S70">
        <v>8.6231000000000002E-2</v>
      </c>
      <c r="T70">
        <v>8.5649000000000003E-2</v>
      </c>
      <c r="U70">
        <v>8.4029999999999994E-2</v>
      </c>
      <c r="V70">
        <v>8.3877999999999994E-2</v>
      </c>
      <c r="W70">
        <v>8.4028000000000005E-2</v>
      </c>
      <c r="X70">
        <v>8.4051000000000001E-2</v>
      </c>
      <c r="Y70">
        <v>8.3773E-2</v>
      </c>
      <c r="Z70">
        <v>8.3317000000000002E-2</v>
      </c>
      <c r="AA70">
        <v>8.2309999999999994E-2</v>
      </c>
      <c r="AB70">
        <v>8.1174999999999997E-2</v>
      </c>
      <c r="AC70">
        <v>7.9802999999999999E-2</v>
      </c>
      <c r="AD70">
        <v>7.8167E-2</v>
      </c>
      <c r="AE70">
        <v>7.6343999999999995E-2</v>
      </c>
      <c r="AF70">
        <v>7.392E-2</v>
      </c>
      <c r="AG70" s="42">
        <v>-1.2999999999999999E-2</v>
      </c>
    </row>
    <row r="71" spans="1:33" x14ac:dyDescent="0.25">
      <c r="A71" t="s">
        <v>422</v>
      </c>
      <c r="B71" t="s">
        <v>687</v>
      </c>
      <c r="C71" t="s">
        <v>688</v>
      </c>
      <c r="D71" t="s">
        <v>397</v>
      </c>
      <c r="F71">
        <v>6.7714930000000004</v>
      </c>
      <c r="G71">
        <v>6.8711960000000003</v>
      </c>
      <c r="H71">
        <v>6.5661750000000003</v>
      </c>
      <c r="I71">
        <v>6.4495750000000003</v>
      </c>
      <c r="J71">
        <v>6.3653259999999996</v>
      </c>
      <c r="K71">
        <v>6.4119919999999997</v>
      </c>
      <c r="L71">
        <v>6.3980259999999998</v>
      </c>
      <c r="M71">
        <v>6.3990499999999999</v>
      </c>
      <c r="N71">
        <v>6.3294079999999999</v>
      </c>
      <c r="O71">
        <v>6.3283509999999996</v>
      </c>
      <c r="P71">
        <v>6.3271240000000004</v>
      </c>
      <c r="Q71">
        <v>6.3191240000000004</v>
      </c>
      <c r="R71">
        <v>6.3216000000000001</v>
      </c>
      <c r="S71">
        <v>6.3091860000000004</v>
      </c>
      <c r="T71">
        <v>6.3343879999999997</v>
      </c>
      <c r="U71">
        <v>6.3140530000000004</v>
      </c>
      <c r="V71">
        <v>6.3662089999999996</v>
      </c>
      <c r="W71">
        <v>6.44191</v>
      </c>
      <c r="X71">
        <v>6.5181100000000001</v>
      </c>
      <c r="Y71">
        <v>6.5866689999999997</v>
      </c>
      <c r="Z71">
        <v>6.6597580000000001</v>
      </c>
      <c r="AA71">
        <v>6.7247890000000003</v>
      </c>
      <c r="AB71">
        <v>6.7892549999999998</v>
      </c>
      <c r="AC71">
        <v>6.8620359999999998</v>
      </c>
      <c r="AD71">
        <v>6.9425090000000003</v>
      </c>
      <c r="AE71">
        <v>7.0272899999999998</v>
      </c>
      <c r="AF71">
        <v>7.0990479999999998</v>
      </c>
      <c r="AG71" s="42">
        <v>2E-3</v>
      </c>
    </row>
    <row r="72" spans="1:33" x14ac:dyDescent="0.25">
      <c r="A72" t="s">
        <v>522</v>
      </c>
      <c r="B72" t="s">
        <v>689</v>
      </c>
      <c r="C72" t="s">
        <v>690</v>
      </c>
      <c r="D72" t="s">
        <v>397</v>
      </c>
      <c r="F72">
        <v>16.188023000000001</v>
      </c>
      <c r="G72">
        <v>16.372821999999999</v>
      </c>
      <c r="H72">
        <v>15.957589</v>
      </c>
      <c r="I72">
        <v>15.849218</v>
      </c>
      <c r="J72">
        <v>15.805581999999999</v>
      </c>
      <c r="K72">
        <v>15.868482</v>
      </c>
      <c r="L72">
        <v>15.734024</v>
      </c>
      <c r="M72">
        <v>15.651011</v>
      </c>
      <c r="N72">
        <v>15.388597000000001</v>
      </c>
      <c r="O72">
        <v>15.306694</v>
      </c>
      <c r="P72">
        <v>15.233425</v>
      </c>
      <c r="Q72">
        <v>15.159203</v>
      </c>
      <c r="R72">
        <v>15.124268000000001</v>
      </c>
      <c r="S72">
        <v>15.059938000000001</v>
      </c>
      <c r="T72">
        <v>15.089740000000001</v>
      </c>
      <c r="U72">
        <v>15.004543</v>
      </c>
      <c r="V72">
        <v>15.105967</v>
      </c>
      <c r="W72">
        <v>15.272736</v>
      </c>
      <c r="X72">
        <v>15.439185999999999</v>
      </c>
      <c r="Y72">
        <v>15.587344999999999</v>
      </c>
      <c r="Z72">
        <v>15.749003999999999</v>
      </c>
      <c r="AA72">
        <v>15.888456</v>
      </c>
      <c r="AB72">
        <v>16.027546000000001</v>
      </c>
      <c r="AC72">
        <v>16.187763</v>
      </c>
      <c r="AD72">
        <v>16.367611</v>
      </c>
      <c r="AE72">
        <v>16.559345</v>
      </c>
      <c r="AF72">
        <v>16.719384999999999</v>
      </c>
      <c r="AG72" s="42">
        <v>1E-3</v>
      </c>
    </row>
    <row r="73" spans="1:33" x14ac:dyDescent="0.25">
      <c r="A73" t="s">
        <v>426</v>
      </c>
      <c r="B73" t="s">
        <v>691</v>
      </c>
      <c r="C73" t="s">
        <v>692</v>
      </c>
      <c r="D73" t="s">
        <v>397</v>
      </c>
      <c r="F73">
        <v>4.5428999999999997E-2</v>
      </c>
      <c r="G73">
        <v>6.6877000000000006E-2</v>
      </c>
      <c r="H73">
        <v>9.6976999999999994E-2</v>
      </c>
      <c r="I73">
        <v>0.138486</v>
      </c>
      <c r="J73">
        <v>0.191387</v>
      </c>
      <c r="K73">
        <v>0.25722099999999998</v>
      </c>
      <c r="L73">
        <v>0.342553</v>
      </c>
      <c r="M73">
        <v>0.449824</v>
      </c>
      <c r="N73">
        <v>0.57959799999999995</v>
      </c>
      <c r="O73">
        <v>0.72201300000000002</v>
      </c>
      <c r="P73">
        <v>0.85590200000000005</v>
      </c>
      <c r="Q73">
        <v>0.97553999999999996</v>
      </c>
      <c r="R73">
        <v>1.0840829999999999</v>
      </c>
      <c r="S73">
        <v>1.176193</v>
      </c>
      <c r="T73">
        <v>1.2680149999999999</v>
      </c>
      <c r="U73">
        <v>1.332532</v>
      </c>
      <c r="V73">
        <v>1.4128849999999999</v>
      </c>
      <c r="W73">
        <v>1.4941979999999999</v>
      </c>
      <c r="X73">
        <v>1.5673299999999999</v>
      </c>
      <c r="Y73">
        <v>1.6279159999999999</v>
      </c>
      <c r="Z73">
        <v>1.681762</v>
      </c>
      <c r="AA73">
        <v>1.724526</v>
      </c>
      <c r="AB73">
        <v>1.7616529999999999</v>
      </c>
      <c r="AC73">
        <v>1.7969599999999999</v>
      </c>
      <c r="AD73">
        <v>1.828227</v>
      </c>
      <c r="AE73">
        <v>1.856957</v>
      </c>
      <c r="AF73">
        <v>1.8763289999999999</v>
      </c>
      <c r="AG73" s="42">
        <v>0.154</v>
      </c>
    </row>
    <row r="74" spans="1:33" x14ac:dyDescent="0.25">
      <c r="A74" t="s">
        <v>428</v>
      </c>
      <c r="B74" t="s">
        <v>693</v>
      </c>
      <c r="C74" t="s">
        <v>692</v>
      </c>
      <c r="D74" t="s">
        <v>397</v>
      </c>
      <c r="F74">
        <v>0.14174300000000001</v>
      </c>
      <c r="G74">
        <v>0.158667</v>
      </c>
      <c r="H74">
        <v>0.17515800000000001</v>
      </c>
      <c r="I74">
        <v>0.182169</v>
      </c>
      <c r="J74">
        <v>0.188994</v>
      </c>
      <c r="K74">
        <v>0.19889100000000001</v>
      </c>
      <c r="L74">
        <v>0.21062400000000001</v>
      </c>
      <c r="M74">
        <v>0.225521</v>
      </c>
      <c r="N74">
        <v>0.23910000000000001</v>
      </c>
      <c r="O74">
        <v>0.25521300000000002</v>
      </c>
      <c r="P74">
        <v>0.26584400000000002</v>
      </c>
      <c r="Q74">
        <v>0.27219700000000002</v>
      </c>
      <c r="R74">
        <v>0.27763900000000002</v>
      </c>
      <c r="S74">
        <v>0.28352500000000003</v>
      </c>
      <c r="T74">
        <v>0.292406</v>
      </c>
      <c r="U74">
        <v>0.29744199999999998</v>
      </c>
      <c r="V74">
        <v>0.30313400000000001</v>
      </c>
      <c r="W74">
        <v>0.31151000000000001</v>
      </c>
      <c r="X74">
        <v>0.31969399999999998</v>
      </c>
      <c r="Y74">
        <v>0.32866200000000001</v>
      </c>
      <c r="Z74">
        <v>0.33769300000000002</v>
      </c>
      <c r="AA74">
        <v>0.347028</v>
      </c>
      <c r="AB74">
        <v>0.35549700000000001</v>
      </c>
      <c r="AC74">
        <v>0.36535400000000001</v>
      </c>
      <c r="AD74">
        <v>0.37554300000000002</v>
      </c>
      <c r="AE74">
        <v>0.385409</v>
      </c>
      <c r="AF74">
        <v>0.396175</v>
      </c>
      <c r="AG74" s="42">
        <v>0.04</v>
      </c>
    </row>
    <row r="75" spans="1:33" x14ac:dyDescent="0.25">
      <c r="A75" t="s">
        <v>529</v>
      </c>
      <c r="B75" t="s">
        <v>694</v>
      </c>
      <c r="C75" t="s">
        <v>695</v>
      </c>
      <c r="D75" t="s">
        <v>397</v>
      </c>
      <c r="F75">
        <v>16.091709000000002</v>
      </c>
      <c r="G75">
        <v>16.281033000000001</v>
      </c>
      <c r="H75">
        <v>15.879408</v>
      </c>
      <c r="I75">
        <v>15.805535000000001</v>
      </c>
      <c r="J75">
        <v>15.807975000000001</v>
      </c>
      <c r="K75">
        <v>15.926811000000001</v>
      </c>
      <c r="L75">
        <v>15.865954</v>
      </c>
      <c r="M75">
        <v>15.875313</v>
      </c>
      <c r="N75">
        <v>15.729094999999999</v>
      </c>
      <c r="O75">
        <v>15.773493</v>
      </c>
      <c r="P75">
        <v>15.823483</v>
      </c>
      <c r="Q75">
        <v>15.862545000000001</v>
      </c>
      <c r="R75">
        <v>15.930712</v>
      </c>
      <c r="S75">
        <v>15.952607</v>
      </c>
      <c r="T75">
        <v>16.065348</v>
      </c>
      <c r="U75">
        <v>16.039635000000001</v>
      </c>
      <c r="V75">
        <v>16.215719</v>
      </c>
      <c r="W75">
        <v>16.455423</v>
      </c>
      <c r="X75">
        <v>16.686820999999998</v>
      </c>
      <c r="Y75">
        <v>16.886599</v>
      </c>
      <c r="Z75">
        <v>17.093074999999999</v>
      </c>
      <c r="AA75">
        <v>17.265953</v>
      </c>
      <c r="AB75">
        <v>17.433702</v>
      </c>
      <c r="AC75">
        <v>17.61937</v>
      </c>
      <c r="AD75">
        <v>17.820292999999999</v>
      </c>
      <c r="AE75">
        <v>18.030891</v>
      </c>
      <c r="AF75">
        <v>18.199539000000001</v>
      </c>
      <c r="AG75" s="42">
        <v>5.0000000000000001E-3</v>
      </c>
    </row>
    <row r="76" spans="1:33" x14ac:dyDescent="0.25">
      <c r="A76" t="s">
        <v>696</v>
      </c>
    </row>
    <row r="77" spans="1:33" x14ac:dyDescent="0.25">
      <c r="A77" t="s">
        <v>697</v>
      </c>
      <c r="B77" t="s">
        <v>698</v>
      </c>
      <c r="C77" t="s">
        <v>699</v>
      </c>
      <c r="D77" t="s">
        <v>397</v>
      </c>
      <c r="F77">
        <v>6.5970000000000001E-2</v>
      </c>
      <c r="G77">
        <v>6.3522999999999996E-2</v>
      </c>
      <c r="H77">
        <v>6.3383999999999996E-2</v>
      </c>
      <c r="I77">
        <v>6.2599000000000002E-2</v>
      </c>
      <c r="J77">
        <v>6.1945E-2</v>
      </c>
      <c r="K77">
        <v>6.1422999999999998E-2</v>
      </c>
      <c r="L77">
        <v>6.1378000000000002E-2</v>
      </c>
      <c r="M77">
        <v>6.0734999999999997E-2</v>
      </c>
      <c r="N77">
        <v>6.0531000000000001E-2</v>
      </c>
      <c r="O77">
        <v>5.8259999999999999E-2</v>
      </c>
      <c r="P77">
        <v>5.8207000000000002E-2</v>
      </c>
      <c r="Q77">
        <v>5.8236999999999997E-2</v>
      </c>
      <c r="R77">
        <v>5.8220000000000001E-2</v>
      </c>
      <c r="S77">
        <v>5.8090999999999997E-2</v>
      </c>
      <c r="T77">
        <v>5.7847999999999997E-2</v>
      </c>
      <c r="U77">
        <v>5.7544999999999999E-2</v>
      </c>
      <c r="V77">
        <v>5.6179E-2</v>
      </c>
      <c r="W77">
        <v>5.5989999999999998E-2</v>
      </c>
      <c r="X77">
        <v>5.5925000000000002E-2</v>
      </c>
      <c r="Y77">
        <v>5.5865999999999999E-2</v>
      </c>
      <c r="Z77">
        <v>5.5857999999999998E-2</v>
      </c>
      <c r="AA77">
        <v>5.5774999999999998E-2</v>
      </c>
      <c r="AB77">
        <v>5.5778000000000001E-2</v>
      </c>
      <c r="AC77">
        <v>5.5605000000000002E-2</v>
      </c>
      <c r="AD77">
        <v>5.5572000000000003E-2</v>
      </c>
      <c r="AE77">
        <v>5.5527E-2</v>
      </c>
      <c r="AF77">
        <v>5.5449999999999999E-2</v>
      </c>
      <c r="AG77" s="42">
        <v>-7.0000000000000001E-3</v>
      </c>
    </row>
    <row r="78" spans="1:33" x14ac:dyDescent="0.25">
      <c r="A78" t="s">
        <v>536</v>
      </c>
      <c r="B78" t="s">
        <v>700</v>
      </c>
      <c r="C78" t="s">
        <v>701</v>
      </c>
      <c r="D78" t="s">
        <v>397</v>
      </c>
      <c r="F78">
        <v>0.13968800000000001</v>
      </c>
      <c r="G78">
        <v>0.15656900000000001</v>
      </c>
      <c r="H78">
        <v>0.173044</v>
      </c>
      <c r="I78">
        <v>0.180036</v>
      </c>
      <c r="J78">
        <v>0.18681900000000001</v>
      </c>
      <c r="K78">
        <v>0.19666700000000001</v>
      </c>
      <c r="L78">
        <v>0.208341</v>
      </c>
      <c r="M78">
        <v>0.223166</v>
      </c>
      <c r="N78">
        <v>0.23669999999999999</v>
      </c>
      <c r="O78">
        <v>0.25273600000000002</v>
      </c>
      <c r="P78">
        <v>0.26331300000000002</v>
      </c>
      <c r="Q78">
        <v>0.26963599999999999</v>
      </c>
      <c r="R78">
        <v>0.27504699999999999</v>
      </c>
      <c r="S78">
        <v>0.28090700000000002</v>
      </c>
      <c r="T78">
        <v>0.28973500000000002</v>
      </c>
      <c r="U78">
        <v>0.29475000000000001</v>
      </c>
      <c r="V78">
        <v>0.30042099999999999</v>
      </c>
      <c r="W78">
        <v>0.30876300000000001</v>
      </c>
      <c r="X78">
        <v>0.31690400000000002</v>
      </c>
      <c r="Y78">
        <v>0.32583099999999998</v>
      </c>
      <c r="Z78">
        <v>0.334814</v>
      </c>
      <c r="AA78">
        <v>0.34411000000000003</v>
      </c>
      <c r="AB78">
        <v>0.35254600000000003</v>
      </c>
      <c r="AC78">
        <v>0.36235699999999998</v>
      </c>
      <c r="AD78">
        <v>0.37249199999999999</v>
      </c>
      <c r="AE78">
        <v>0.38231100000000001</v>
      </c>
      <c r="AF78">
        <v>0.39302799999999999</v>
      </c>
      <c r="AG78" s="42">
        <v>4.1000000000000002E-2</v>
      </c>
    </row>
    <row r="79" spans="1:33" x14ac:dyDescent="0.25">
      <c r="A79" t="s">
        <v>539</v>
      </c>
      <c r="B79" t="s">
        <v>702</v>
      </c>
      <c r="C79" t="s">
        <v>703</v>
      </c>
      <c r="D79" t="s">
        <v>397</v>
      </c>
      <c r="F79">
        <v>2.529E-3</v>
      </c>
      <c r="G79">
        <v>2.5309999999999998E-3</v>
      </c>
      <c r="H79">
        <v>2.5300000000000001E-3</v>
      </c>
      <c r="I79">
        <v>2.5300000000000001E-3</v>
      </c>
      <c r="J79">
        <v>2.5300000000000001E-3</v>
      </c>
      <c r="K79">
        <v>2.5360000000000001E-3</v>
      </c>
      <c r="L79">
        <v>2.542E-3</v>
      </c>
      <c r="M79">
        <v>2.5490000000000001E-3</v>
      </c>
      <c r="N79">
        <v>2.5600000000000002E-3</v>
      </c>
      <c r="O79">
        <v>2.5760000000000002E-3</v>
      </c>
      <c r="P79">
        <v>2.5820000000000001E-3</v>
      </c>
      <c r="Q79">
        <v>2.5829999999999998E-3</v>
      </c>
      <c r="R79">
        <v>2.5839999999999999E-3</v>
      </c>
      <c r="S79">
        <v>2.5850000000000001E-3</v>
      </c>
      <c r="T79">
        <v>2.588E-3</v>
      </c>
      <c r="U79">
        <v>2.5899999999999999E-3</v>
      </c>
      <c r="V79">
        <v>2.5929999999999998E-3</v>
      </c>
      <c r="W79">
        <v>2.5969999999999999E-3</v>
      </c>
      <c r="X79">
        <v>2.5999999999999999E-3</v>
      </c>
      <c r="Y79">
        <v>2.6020000000000001E-3</v>
      </c>
      <c r="Z79">
        <v>2.6059999999999998E-3</v>
      </c>
      <c r="AA79">
        <v>2.611E-3</v>
      </c>
      <c r="AB79">
        <v>2.614E-3</v>
      </c>
      <c r="AC79">
        <v>2.6180000000000001E-3</v>
      </c>
      <c r="AD79">
        <v>2.6220000000000002E-3</v>
      </c>
      <c r="AE79">
        <v>2.6259999999999999E-3</v>
      </c>
      <c r="AF79">
        <v>2.6319999999999998E-3</v>
      </c>
      <c r="AG79" s="42">
        <v>2E-3</v>
      </c>
    </row>
    <row r="80" spans="1:33" x14ac:dyDescent="0.25">
      <c r="A80" t="s">
        <v>372</v>
      </c>
      <c r="B80" t="s">
        <v>704</v>
      </c>
      <c r="C80" t="s">
        <v>705</v>
      </c>
      <c r="D80" t="s">
        <v>397</v>
      </c>
      <c r="F80">
        <v>0.20818700000000001</v>
      </c>
      <c r="G80">
        <v>0.22262299999999999</v>
      </c>
      <c r="H80">
        <v>0.238958</v>
      </c>
      <c r="I80">
        <v>0.24516399999999999</v>
      </c>
      <c r="J80">
        <v>0.25129499999999999</v>
      </c>
      <c r="K80">
        <v>0.26062600000000002</v>
      </c>
      <c r="L80">
        <v>0.27226099999999998</v>
      </c>
      <c r="M80">
        <v>0.28645100000000001</v>
      </c>
      <c r="N80">
        <v>0.29979099999999997</v>
      </c>
      <c r="O80">
        <v>0.31357200000000002</v>
      </c>
      <c r="P80">
        <v>0.32410099999999997</v>
      </c>
      <c r="Q80">
        <v>0.33045600000000003</v>
      </c>
      <c r="R80">
        <v>0.33585100000000001</v>
      </c>
      <c r="S80">
        <v>0.341582</v>
      </c>
      <c r="T80">
        <v>0.35016999999999998</v>
      </c>
      <c r="U80">
        <v>0.35488599999999998</v>
      </c>
      <c r="V80">
        <v>0.35919299999999998</v>
      </c>
      <c r="W80">
        <v>0.36735000000000001</v>
      </c>
      <c r="X80">
        <v>0.37542900000000001</v>
      </c>
      <c r="Y80">
        <v>0.384299</v>
      </c>
      <c r="Z80">
        <v>0.39327800000000002</v>
      </c>
      <c r="AA80">
        <v>0.40249600000000002</v>
      </c>
      <c r="AB80">
        <v>0.41093800000000003</v>
      </c>
      <c r="AC80">
        <v>0.42058000000000001</v>
      </c>
      <c r="AD80">
        <v>0.43068699999999999</v>
      </c>
      <c r="AE80">
        <v>0.44046400000000002</v>
      </c>
      <c r="AF80">
        <v>0.45111099999999998</v>
      </c>
      <c r="AG80" s="42">
        <v>0.03</v>
      </c>
    </row>
    <row r="81" spans="1:33" x14ac:dyDescent="0.25">
      <c r="A81" t="s">
        <v>544</v>
      </c>
    </row>
    <row r="82" spans="1:33" x14ac:dyDescent="0.25">
      <c r="A82" t="s">
        <v>207</v>
      </c>
      <c r="B82" t="s">
        <v>706</v>
      </c>
      <c r="C82" t="s">
        <v>707</v>
      </c>
      <c r="D82" t="s">
        <v>547</v>
      </c>
      <c r="F82">
        <v>5643</v>
      </c>
      <c r="G82">
        <v>5924</v>
      </c>
      <c r="H82">
        <v>5901</v>
      </c>
      <c r="I82">
        <v>5879</v>
      </c>
      <c r="J82">
        <v>5856</v>
      </c>
      <c r="K82">
        <v>5833</v>
      </c>
      <c r="L82">
        <v>5810</v>
      </c>
      <c r="M82">
        <v>5787</v>
      </c>
      <c r="N82">
        <v>5764</v>
      </c>
      <c r="O82">
        <v>5741</v>
      </c>
      <c r="P82">
        <v>5718</v>
      </c>
      <c r="Q82">
        <v>5695</v>
      </c>
      <c r="R82">
        <v>5672</v>
      </c>
      <c r="S82">
        <v>5649</v>
      </c>
      <c r="T82">
        <v>5626</v>
      </c>
      <c r="U82">
        <v>5603</v>
      </c>
      <c r="V82">
        <v>5579</v>
      </c>
      <c r="W82">
        <v>5556</v>
      </c>
      <c r="X82">
        <v>5533</v>
      </c>
      <c r="Y82">
        <v>5510</v>
      </c>
      <c r="Z82">
        <v>5487</v>
      </c>
      <c r="AA82">
        <v>5464</v>
      </c>
      <c r="AB82">
        <v>5440</v>
      </c>
      <c r="AC82">
        <v>5417</v>
      </c>
      <c r="AD82">
        <v>5394</v>
      </c>
      <c r="AE82">
        <v>5371</v>
      </c>
      <c r="AF82">
        <v>5348</v>
      </c>
      <c r="AG82" s="42">
        <v>-2E-3</v>
      </c>
    </row>
    <row r="83" spans="1:33" x14ac:dyDescent="0.25">
      <c r="A83" t="s">
        <v>208</v>
      </c>
      <c r="B83" t="s">
        <v>708</v>
      </c>
      <c r="C83" t="s">
        <v>709</v>
      </c>
      <c r="D83" t="s">
        <v>547</v>
      </c>
      <c r="F83">
        <v>4981</v>
      </c>
      <c r="G83">
        <v>5319</v>
      </c>
      <c r="H83">
        <v>5298</v>
      </c>
      <c r="I83">
        <v>5277</v>
      </c>
      <c r="J83">
        <v>5256</v>
      </c>
      <c r="K83">
        <v>5235</v>
      </c>
      <c r="L83">
        <v>5214</v>
      </c>
      <c r="M83">
        <v>5193</v>
      </c>
      <c r="N83">
        <v>5172</v>
      </c>
      <c r="O83">
        <v>5151</v>
      </c>
      <c r="P83">
        <v>5130</v>
      </c>
      <c r="Q83">
        <v>5109</v>
      </c>
      <c r="R83">
        <v>5088</v>
      </c>
      <c r="S83">
        <v>5068</v>
      </c>
      <c r="T83">
        <v>5047</v>
      </c>
      <c r="U83">
        <v>5026</v>
      </c>
      <c r="V83">
        <v>5005</v>
      </c>
      <c r="W83">
        <v>4984</v>
      </c>
      <c r="X83">
        <v>4963</v>
      </c>
      <c r="Y83">
        <v>4943</v>
      </c>
      <c r="Z83">
        <v>4922</v>
      </c>
      <c r="AA83">
        <v>4901</v>
      </c>
      <c r="AB83">
        <v>4880</v>
      </c>
      <c r="AC83">
        <v>4859</v>
      </c>
      <c r="AD83">
        <v>4838</v>
      </c>
      <c r="AE83">
        <v>4818</v>
      </c>
      <c r="AF83">
        <v>4797</v>
      </c>
      <c r="AG83" s="42">
        <v>-1E-3</v>
      </c>
    </row>
    <row r="84" spans="1:33" x14ac:dyDescent="0.25">
      <c r="A84" t="s">
        <v>210</v>
      </c>
      <c r="B84" t="s">
        <v>710</v>
      </c>
      <c r="C84" t="s">
        <v>711</v>
      </c>
      <c r="D84" t="s">
        <v>547</v>
      </c>
      <c r="F84">
        <v>5306</v>
      </c>
      <c r="G84">
        <v>5952</v>
      </c>
      <c r="H84">
        <v>5937</v>
      </c>
      <c r="I84">
        <v>5923</v>
      </c>
      <c r="J84">
        <v>5908</v>
      </c>
      <c r="K84">
        <v>5894</v>
      </c>
      <c r="L84">
        <v>5879</v>
      </c>
      <c r="M84">
        <v>5864</v>
      </c>
      <c r="N84">
        <v>5850</v>
      </c>
      <c r="O84">
        <v>5835</v>
      </c>
      <c r="P84">
        <v>5820</v>
      </c>
      <c r="Q84">
        <v>5806</v>
      </c>
      <c r="R84">
        <v>5791</v>
      </c>
      <c r="S84">
        <v>5776</v>
      </c>
      <c r="T84">
        <v>5762</v>
      </c>
      <c r="U84">
        <v>5747</v>
      </c>
      <c r="V84">
        <v>5732</v>
      </c>
      <c r="W84">
        <v>5717</v>
      </c>
      <c r="X84">
        <v>5703</v>
      </c>
      <c r="Y84">
        <v>5688</v>
      </c>
      <c r="Z84">
        <v>5673</v>
      </c>
      <c r="AA84">
        <v>5658</v>
      </c>
      <c r="AB84">
        <v>5644</v>
      </c>
      <c r="AC84">
        <v>5629</v>
      </c>
      <c r="AD84">
        <v>5614</v>
      </c>
      <c r="AE84">
        <v>5599</v>
      </c>
      <c r="AF84">
        <v>5585</v>
      </c>
      <c r="AG84" s="42">
        <v>2E-3</v>
      </c>
    </row>
    <row r="85" spans="1:33" x14ac:dyDescent="0.25">
      <c r="A85" t="s">
        <v>211</v>
      </c>
      <c r="B85" t="s">
        <v>712</v>
      </c>
      <c r="C85" t="s">
        <v>713</v>
      </c>
      <c r="D85" t="s">
        <v>547</v>
      </c>
      <c r="F85">
        <v>5716</v>
      </c>
      <c r="G85">
        <v>6383</v>
      </c>
      <c r="H85">
        <v>6376</v>
      </c>
      <c r="I85">
        <v>6369</v>
      </c>
      <c r="J85">
        <v>6362</v>
      </c>
      <c r="K85">
        <v>6355</v>
      </c>
      <c r="L85">
        <v>6348</v>
      </c>
      <c r="M85">
        <v>6341</v>
      </c>
      <c r="N85">
        <v>6334</v>
      </c>
      <c r="O85">
        <v>6327</v>
      </c>
      <c r="P85">
        <v>6319</v>
      </c>
      <c r="Q85">
        <v>6312</v>
      </c>
      <c r="R85">
        <v>6304</v>
      </c>
      <c r="S85">
        <v>6297</v>
      </c>
      <c r="T85">
        <v>6289</v>
      </c>
      <c r="U85">
        <v>6282</v>
      </c>
      <c r="V85">
        <v>6274</v>
      </c>
      <c r="W85">
        <v>6267</v>
      </c>
      <c r="X85">
        <v>6259</v>
      </c>
      <c r="Y85">
        <v>6252</v>
      </c>
      <c r="Z85">
        <v>6244</v>
      </c>
      <c r="AA85">
        <v>6236</v>
      </c>
      <c r="AB85">
        <v>6229</v>
      </c>
      <c r="AC85">
        <v>6221</v>
      </c>
      <c r="AD85">
        <v>6213</v>
      </c>
      <c r="AE85">
        <v>6206</v>
      </c>
      <c r="AF85">
        <v>6198</v>
      </c>
      <c r="AG85" s="42">
        <v>3.0000000000000001E-3</v>
      </c>
    </row>
    <row r="86" spans="1:33" x14ac:dyDescent="0.25">
      <c r="A86" t="s">
        <v>213</v>
      </c>
      <c r="B86" t="s">
        <v>714</v>
      </c>
      <c r="C86" t="s">
        <v>715</v>
      </c>
      <c r="D86" t="s">
        <v>547</v>
      </c>
      <c r="F86">
        <v>2271</v>
      </c>
      <c r="G86">
        <v>2344</v>
      </c>
      <c r="H86">
        <v>2329</v>
      </c>
      <c r="I86">
        <v>2313</v>
      </c>
      <c r="J86">
        <v>2298</v>
      </c>
      <c r="K86">
        <v>2283</v>
      </c>
      <c r="L86">
        <v>2267</v>
      </c>
      <c r="M86">
        <v>2251</v>
      </c>
      <c r="N86">
        <v>2235</v>
      </c>
      <c r="O86">
        <v>2220</v>
      </c>
      <c r="P86">
        <v>2204</v>
      </c>
      <c r="Q86">
        <v>2188</v>
      </c>
      <c r="R86">
        <v>2173</v>
      </c>
      <c r="S86">
        <v>2157</v>
      </c>
      <c r="T86">
        <v>2141</v>
      </c>
      <c r="U86">
        <v>2125</v>
      </c>
      <c r="V86">
        <v>2110</v>
      </c>
      <c r="W86">
        <v>2094</v>
      </c>
      <c r="X86">
        <v>2079</v>
      </c>
      <c r="Y86">
        <v>2063</v>
      </c>
      <c r="Z86">
        <v>2047</v>
      </c>
      <c r="AA86">
        <v>2032</v>
      </c>
      <c r="AB86">
        <v>2016</v>
      </c>
      <c r="AC86">
        <v>2001</v>
      </c>
      <c r="AD86">
        <v>1985</v>
      </c>
      <c r="AE86">
        <v>1970</v>
      </c>
      <c r="AF86">
        <v>1955</v>
      </c>
      <c r="AG86" s="42">
        <v>-6.0000000000000001E-3</v>
      </c>
    </row>
    <row r="87" spans="1:33" x14ac:dyDescent="0.25">
      <c r="A87" t="s">
        <v>214</v>
      </c>
      <c r="B87" t="s">
        <v>716</v>
      </c>
      <c r="C87" t="s">
        <v>717</v>
      </c>
      <c r="D87" t="s">
        <v>547</v>
      </c>
      <c r="F87">
        <v>3024</v>
      </c>
      <c r="G87">
        <v>3161</v>
      </c>
      <c r="H87">
        <v>3148</v>
      </c>
      <c r="I87">
        <v>3136</v>
      </c>
      <c r="J87">
        <v>3123</v>
      </c>
      <c r="K87">
        <v>3111</v>
      </c>
      <c r="L87">
        <v>3098</v>
      </c>
      <c r="M87">
        <v>3086</v>
      </c>
      <c r="N87">
        <v>3073</v>
      </c>
      <c r="O87">
        <v>3060</v>
      </c>
      <c r="P87">
        <v>3048</v>
      </c>
      <c r="Q87">
        <v>3035</v>
      </c>
      <c r="R87">
        <v>3022</v>
      </c>
      <c r="S87">
        <v>3009</v>
      </c>
      <c r="T87">
        <v>2996</v>
      </c>
      <c r="U87">
        <v>2984</v>
      </c>
      <c r="V87">
        <v>2971</v>
      </c>
      <c r="W87">
        <v>2958</v>
      </c>
      <c r="X87">
        <v>2945</v>
      </c>
      <c r="Y87">
        <v>2933</v>
      </c>
      <c r="Z87">
        <v>2920</v>
      </c>
      <c r="AA87">
        <v>2907</v>
      </c>
      <c r="AB87">
        <v>2894</v>
      </c>
      <c r="AC87">
        <v>2881</v>
      </c>
      <c r="AD87">
        <v>2869</v>
      </c>
      <c r="AE87">
        <v>2856</v>
      </c>
      <c r="AF87">
        <v>2843</v>
      </c>
      <c r="AG87" s="42">
        <v>-2E-3</v>
      </c>
    </row>
    <row r="88" spans="1:33" x14ac:dyDescent="0.25">
      <c r="A88" t="s">
        <v>215</v>
      </c>
      <c r="B88" t="s">
        <v>718</v>
      </c>
      <c r="C88" t="s">
        <v>719</v>
      </c>
      <c r="D88" t="s">
        <v>547</v>
      </c>
      <c r="F88">
        <v>1844</v>
      </c>
      <c r="G88">
        <v>1949</v>
      </c>
      <c r="H88">
        <v>1942</v>
      </c>
      <c r="I88">
        <v>1935</v>
      </c>
      <c r="J88">
        <v>1928</v>
      </c>
      <c r="K88">
        <v>1921</v>
      </c>
      <c r="L88">
        <v>1914</v>
      </c>
      <c r="M88">
        <v>1907</v>
      </c>
      <c r="N88">
        <v>1900</v>
      </c>
      <c r="O88">
        <v>1893</v>
      </c>
      <c r="P88">
        <v>1886</v>
      </c>
      <c r="Q88">
        <v>1879</v>
      </c>
      <c r="R88">
        <v>1872</v>
      </c>
      <c r="S88">
        <v>1865</v>
      </c>
      <c r="T88">
        <v>1858</v>
      </c>
      <c r="U88">
        <v>1852</v>
      </c>
      <c r="V88">
        <v>1845</v>
      </c>
      <c r="W88">
        <v>1838</v>
      </c>
      <c r="X88">
        <v>1831</v>
      </c>
      <c r="Y88">
        <v>1825</v>
      </c>
      <c r="Z88">
        <v>1818</v>
      </c>
      <c r="AA88">
        <v>1811</v>
      </c>
      <c r="AB88">
        <v>1805</v>
      </c>
      <c r="AC88">
        <v>1798</v>
      </c>
      <c r="AD88">
        <v>1791</v>
      </c>
      <c r="AE88">
        <v>1785</v>
      </c>
      <c r="AF88">
        <v>1778</v>
      </c>
      <c r="AG88" s="42">
        <v>-1E-3</v>
      </c>
    </row>
    <row r="89" spans="1:33" x14ac:dyDescent="0.25">
      <c r="A89" t="s">
        <v>217</v>
      </c>
      <c r="B89" t="s">
        <v>720</v>
      </c>
      <c r="C89" t="s">
        <v>721</v>
      </c>
      <c r="D89" t="s">
        <v>547</v>
      </c>
      <c r="F89">
        <v>4753</v>
      </c>
      <c r="G89">
        <v>4877</v>
      </c>
      <c r="H89">
        <v>4871</v>
      </c>
      <c r="I89">
        <v>4865</v>
      </c>
      <c r="J89">
        <v>4858</v>
      </c>
      <c r="K89">
        <v>4851</v>
      </c>
      <c r="L89">
        <v>4844</v>
      </c>
      <c r="M89">
        <v>4837</v>
      </c>
      <c r="N89">
        <v>4830</v>
      </c>
      <c r="O89">
        <v>4823</v>
      </c>
      <c r="P89">
        <v>4816</v>
      </c>
      <c r="Q89">
        <v>4809</v>
      </c>
      <c r="R89">
        <v>4802</v>
      </c>
      <c r="S89">
        <v>4796</v>
      </c>
      <c r="T89">
        <v>4789</v>
      </c>
      <c r="U89">
        <v>4782</v>
      </c>
      <c r="V89">
        <v>4776</v>
      </c>
      <c r="W89">
        <v>4769</v>
      </c>
      <c r="X89">
        <v>4763</v>
      </c>
      <c r="Y89">
        <v>4756</v>
      </c>
      <c r="Z89">
        <v>4750</v>
      </c>
      <c r="AA89">
        <v>4744</v>
      </c>
      <c r="AB89">
        <v>4737</v>
      </c>
      <c r="AC89">
        <v>4731</v>
      </c>
      <c r="AD89">
        <v>4725</v>
      </c>
      <c r="AE89">
        <v>4718</v>
      </c>
      <c r="AF89">
        <v>4712</v>
      </c>
      <c r="AG89" s="42">
        <v>0</v>
      </c>
    </row>
    <row r="90" spans="1:33" x14ac:dyDescent="0.25">
      <c r="A90" t="s">
        <v>220</v>
      </c>
      <c r="B90" t="s">
        <v>722</v>
      </c>
      <c r="C90" t="s">
        <v>723</v>
      </c>
      <c r="D90" t="s">
        <v>547</v>
      </c>
      <c r="F90">
        <v>3352</v>
      </c>
      <c r="G90">
        <v>3290</v>
      </c>
      <c r="H90">
        <v>3283</v>
      </c>
      <c r="I90">
        <v>3277</v>
      </c>
      <c r="J90">
        <v>3270</v>
      </c>
      <c r="K90">
        <v>3263</v>
      </c>
      <c r="L90">
        <v>3256</v>
      </c>
      <c r="M90">
        <v>3249</v>
      </c>
      <c r="N90">
        <v>3242</v>
      </c>
      <c r="O90">
        <v>3234</v>
      </c>
      <c r="P90">
        <v>3227</v>
      </c>
      <c r="Q90">
        <v>3219</v>
      </c>
      <c r="R90">
        <v>3212</v>
      </c>
      <c r="S90">
        <v>3204</v>
      </c>
      <c r="T90">
        <v>3197</v>
      </c>
      <c r="U90">
        <v>3189</v>
      </c>
      <c r="V90">
        <v>3181</v>
      </c>
      <c r="W90">
        <v>3174</v>
      </c>
      <c r="X90">
        <v>3166</v>
      </c>
      <c r="Y90">
        <v>3158</v>
      </c>
      <c r="Z90">
        <v>3150</v>
      </c>
      <c r="AA90">
        <v>3143</v>
      </c>
      <c r="AB90">
        <v>3135</v>
      </c>
      <c r="AC90">
        <v>3127</v>
      </c>
      <c r="AD90">
        <v>3119</v>
      </c>
      <c r="AE90">
        <v>3112</v>
      </c>
      <c r="AF90">
        <v>3104</v>
      </c>
      <c r="AG90" s="42">
        <v>-3.0000000000000001E-3</v>
      </c>
    </row>
    <row r="91" spans="1:33" x14ac:dyDescent="0.25">
      <c r="A91" t="s">
        <v>564</v>
      </c>
      <c r="B91" t="s">
        <v>724</v>
      </c>
      <c r="C91" t="s">
        <v>725</v>
      </c>
      <c r="D91" t="s">
        <v>547</v>
      </c>
      <c r="F91">
        <v>3753.9636230000001</v>
      </c>
      <c r="G91">
        <v>3970.7402339999999</v>
      </c>
      <c r="H91">
        <v>3953.6770019999999</v>
      </c>
      <c r="I91">
        <v>3936.8808589999999</v>
      </c>
      <c r="J91">
        <v>3919.869385</v>
      </c>
      <c r="K91">
        <v>3903.1020509999998</v>
      </c>
      <c r="L91">
        <v>3885.9797359999998</v>
      </c>
      <c r="M91">
        <v>3868.9492190000001</v>
      </c>
      <c r="N91">
        <v>3852.031982</v>
      </c>
      <c r="O91">
        <v>3835.0634770000001</v>
      </c>
      <c r="P91">
        <v>3818.0864259999998</v>
      </c>
      <c r="Q91">
        <v>3801.1135250000002</v>
      </c>
      <c r="R91">
        <v>3784.3435060000002</v>
      </c>
      <c r="S91">
        <v>3767.477539</v>
      </c>
      <c r="T91">
        <v>3750.6677249999998</v>
      </c>
      <c r="U91">
        <v>3733.826904</v>
      </c>
      <c r="V91">
        <v>3716.998779</v>
      </c>
      <c r="W91">
        <v>3700.1577149999998</v>
      </c>
      <c r="X91">
        <v>3683.5239259999998</v>
      </c>
      <c r="Y91">
        <v>3666.8364259999998</v>
      </c>
      <c r="Z91">
        <v>3649.8879390000002</v>
      </c>
      <c r="AA91">
        <v>3633.3447270000001</v>
      </c>
      <c r="AB91">
        <v>3616.6767580000001</v>
      </c>
      <c r="AC91">
        <v>3600.1342770000001</v>
      </c>
      <c r="AD91">
        <v>3583.570068</v>
      </c>
      <c r="AE91">
        <v>3567.7377929999998</v>
      </c>
      <c r="AF91">
        <v>3551.7458499999998</v>
      </c>
      <c r="AG91" s="42">
        <v>-2E-3</v>
      </c>
    </row>
    <row r="92" spans="1:33" x14ac:dyDescent="0.25">
      <c r="A92" t="s">
        <v>567</v>
      </c>
    </row>
    <row r="93" spans="1:33" x14ac:dyDescent="0.25">
      <c r="A93" t="s">
        <v>207</v>
      </c>
      <c r="B93" t="s">
        <v>726</v>
      </c>
      <c r="C93" t="s">
        <v>727</v>
      </c>
      <c r="D93" t="s">
        <v>570</v>
      </c>
      <c r="F93">
        <v>620</v>
      </c>
      <c r="G93">
        <v>609</v>
      </c>
      <c r="H93">
        <v>615</v>
      </c>
      <c r="I93">
        <v>621</v>
      </c>
      <c r="J93">
        <v>627</v>
      </c>
      <c r="K93">
        <v>633</v>
      </c>
      <c r="L93">
        <v>640</v>
      </c>
      <c r="M93">
        <v>646</v>
      </c>
      <c r="N93">
        <v>652</v>
      </c>
      <c r="O93">
        <v>659</v>
      </c>
      <c r="P93">
        <v>665</v>
      </c>
      <c r="Q93">
        <v>671</v>
      </c>
      <c r="R93">
        <v>678</v>
      </c>
      <c r="S93">
        <v>684</v>
      </c>
      <c r="T93">
        <v>690</v>
      </c>
      <c r="U93">
        <v>697</v>
      </c>
      <c r="V93">
        <v>703</v>
      </c>
      <c r="W93">
        <v>710</v>
      </c>
      <c r="X93">
        <v>716</v>
      </c>
      <c r="Y93">
        <v>722</v>
      </c>
      <c r="Z93">
        <v>729</v>
      </c>
      <c r="AA93">
        <v>735</v>
      </c>
      <c r="AB93">
        <v>741</v>
      </c>
      <c r="AC93">
        <v>748</v>
      </c>
      <c r="AD93">
        <v>754</v>
      </c>
      <c r="AE93">
        <v>760</v>
      </c>
      <c r="AF93">
        <v>767</v>
      </c>
      <c r="AG93" s="42">
        <v>8.0000000000000002E-3</v>
      </c>
    </row>
    <row r="94" spans="1:33" x14ac:dyDescent="0.25">
      <c r="A94" t="s">
        <v>208</v>
      </c>
      <c r="B94" t="s">
        <v>728</v>
      </c>
      <c r="C94" t="s">
        <v>729</v>
      </c>
      <c r="D94" t="s">
        <v>570</v>
      </c>
      <c r="F94">
        <v>867</v>
      </c>
      <c r="G94">
        <v>845</v>
      </c>
      <c r="H94">
        <v>853</v>
      </c>
      <c r="I94">
        <v>860</v>
      </c>
      <c r="J94">
        <v>868</v>
      </c>
      <c r="K94">
        <v>876</v>
      </c>
      <c r="L94">
        <v>884</v>
      </c>
      <c r="M94">
        <v>892</v>
      </c>
      <c r="N94">
        <v>900</v>
      </c>
      <c r="O94">
        <v>908</v>
      </c>
      <c r="P94">
        <v>915</v>
      </c>
      <c r="Q94">
        <v>923</v>
      </c>
      <c r="R94">
        <v>931</v>
      </c>
      <c r="S94">
        <v>939</v>
      </c>
      <c r="T94">
        <v>947</v>
      </c>
      <c r="U94">
        <v>955</v>
      </c>
      <c r="V94">
        <v>963</v>
      </c>
      <c r="W94">
        <v>971</v>
      </c>
      <c r="X94">
        <v>978</v>
      </c>
      <c r="Y94">
        <v>986</v>
      </c>
      <c r="Z94">
        <v>994</v>
      </c>
      <c r="AA94">
        <v>1002</v>
      </c>
      <c r="AB94">
        <v>1010</v>
      </c>
      <c r="AC94">
        <v>1018</v>
      </c>
      <c r="AD94">
        <v>1026</v>
      </c>
      <c r="AE94">
        <v>1033</v>
      </c>
      <c r="AF94">
        <v>1041</v>
      </c>
      <c r="AG94" s="42">
        <v>7.0000000000000001E-3</v>
      </c>
    </row>
    <row r="95" spans="1:33" x14ac:dyDescent="0.25">
      <c r="A95" t="s">
        <v>210</v>
      </c>
      <c r="B95" t="s">
        <v>730</v>
      </c>
      <c r="C95" t="s">
        <v>731</v>
      </c>
      <c r="D95" t="s">
        <v>570</v>
      </c>
      <c r="F95">
        <v>899</v>
      </c>
      <c r="G95">
        <v>851</v>
      </c>
      <c r="H95">
        <v>856</v>
      </c>
      <c r="I95">
        <v>861</v>
      </c>
      <c r="J95">
        <v>866</v>
      </c>
      <c r="K95">
        <v>871</v>
      </c>
      <c r="L95">
        <v>876</v>
      </c>
      <c r="M95">
        <v>881</v>
      </c>
      <c r="N95">
        <v>886</v>
      </c>
      <c r="O95">
        <v>890</v>
      </c>
      <c r="P95">
        <v>895</v>
      </c>
      <c r="Q95">
        <v>900</v>
      </c>
      <c r="R95">
        <v>905</v>
      </c>
      <c r="S95">
        <v>910</v>
      </c>
      <c r="T95">
        <v>915</v>
      </c>
      <c r="U95">
        <v>920</v>
      </c>
      <c r="V95">
        <v>925</v>
      </c>
      <c r="W95">
        <v>930</v>
      </c>
      <c r="X95">
        <v>935</v>
      </c>
      <c r="Y95">
        <v>940</v>
      </c>
      <c r="Z95">
        <v>945</v>
      </c>
      <c r="AA95">
        <v>950</v>
      </c>
      <c r="AB95">
        <v>955</v>
      </c>
      <c r="AC95">
        <v>960</v>
      </c>
      <c r="AD95">
        <v>965</v>
      </c>
      <c r="AE95">
        <v>970</v>
      </c>
      <c r="AF95">
        <v>975</v>
      </c>
      <c r="AG95" s="42">
        <v>3.0000000000000001E-3</v>
      </c>
    </row>
    <row r="96" spans="1:33" x14ac:dyDescent="0.25">
      <c r="A96" t="s">
        <v>211</v>
      </c>
      <c r="B96" t="s">
        <v>732</v>
      </c>
      <c r="C96" t="s">
        <v>733</v>
      </c>
      <c r="D96" t="s">
        <v>570</v>
      </c>
      <c r="F96">
        <v>1046</v>
      </c>
      <c r="G96">
        <v>1046</v>
      </c>
      <c r="H96">
        <v>1051</v>
      </c>
      <c r="I96">
        <v>1056</v>
      </c>
      <c r="J96">
        <v>1061</v>
      </c>
      <c r="K96">
        <v>1066</v>
      </c>
      <c r="L96">
        <v>1071</v>
      </c>
      <c r="M96">
        <v>1076</v>
      </c>
      <c r="N96">
        <v>1081</v>
      </c>
      <c r="O96">
        <v>1086</v>
      </c>
      <c r="P96">
        <v>1092</v>
      </c>
      <c r="Q96">
        <v>1097</v>
      </c>
      <c r="R96">
        <v>1102</v>
      </c>
      <c r="S96">
        <v>1107</v>
      </c>
      <c r="T96">
        <v>1112</v>
      </c>
      <c r="U96">
        <v>1117</v>
      </c>
      <c r="V96">
        <v>1122</v>
      </c>
      <c r="W96">
        <v>1128</v>
      </c>
      <c r="X96">
        <v>1133</v>
      </c>
      <c r="Y96">
        <v>1138</v>
      </c>
      <c r="Z96">
        <v>1143</v>
      </c>
      <c r="AA96">
        <v>1148</v>
      </c>
      <c r="AB96">
        <v>1153</v>
      </c>
      <c r="AC96">
        <v>1159</v>
      </c>
      <c r="AD96">
        <v>1164</v>
      </c>
      <c r="AE96">
        <v>1169</v>
      </c>
      <c r="AF96">
        <v>1174</v>
      </c>
      <c r="AG96" s="42">
        <v>4.0000000000000001E-3</v>
      </c>
    </row>
    <row r="97" spans="1:33" x14ac:dyDescent="0.25">
      <c r="A97" t="s">
        <v>213</v>
      </c>
      <c r="B97" t="s">
        <v>734</v>
      </c>
      <c r="C97" t="s">
        <v>735</v>
      </c>
      <c r="D97" t="s">
        <v>570</v>
      </c>
      <c r="F97">
        <v>2399</v>
      </c>
      <c r="G97">
        <v>2400</v>
      </c>
      <c r="H97">
        <v>2415</v>
      </c>
      <c r="I97">
        <v>2430</v>
      </c>
      <c r="J97">
        <v>2445</v>
      </c>
      <c r="K97">
        <v>2460</v>
      </c>
      <c r="L97">
        <v>2476</v>
      </c>
      <c r="M97">
        <v>2491</v>
      </c>
      <c r="N97">
        <v>2507</v>
      </c>
      <c r="O97">
        <v>2522</v>
      </c>
      <c r="P97">
        <v>2538</v>
      </c>
      <c r="Q97">
        <v>2553</v>
      </c>
      <c r="R97">
        <v>2569</v>
      </c>
      <c r="S97">
        <v>2585</v>
      </c>
      <c r="T97">
        <v>2600</v>
      </c>
      <c r="U97">
        <v>2616</v>
      </c>
      <c r="V97">
        <v>2632</v>
      </c>
      <c r="W97">
        <v>2648</v>
      </c>
      <c r="X97">
        <v>2663</v>
      </c>
      <c r="Y97">
        <v>2679</v>
      </c>
      <c r="Z97">
        <v>2695</v>
      </c>
      <c r="AA97">
        <v>2711</v>
      </c>
      <c r="AB97">
        <v>2727</v>
      </c>
      <c r="AC97">
        <v>2742</v>
      </c>
      <c r="AD97">
        <v>2758</v>
      </c>
      <c r="AE97">
        <v>2774</v>
      </c>
      <c r="AF97">
        <v>2790</v>
      </c>
      <c r="AG97" s="42">
        <v>6.0000000000000001E-3</v>
      </c>
    </row>
    <row r="98" spans="1:33" x14ac:dyDescent="0.25">
      <c r="A98" t="s">
        <v>214</v>
      </c>
      <c r="B98" t="s">
        <v>736</v>
      </c>
      <c r="C98" t="s">
        <v>737</v>
      </c>
      <c r="D98" t="s">
        <v>570</v>
      </c>
      <c r="F98">
        <v>1859</v>
      </c>
      <c r="G98">
        <v>1773</v>
      </c>
      <c r="H98">
        <v>1781</v>
      </c>
      <c r="I98">
        <v>1788</v>
      </c>
      <c r="J98">
        <v>1796</v>
      </c>
      <c r="K98">
        <v>1803</v>
      </c>
      <c r="L98">
        <v>1811</v>
      </c>
      <c r="M98">
        <v>1818</v>
      </c>
      <c r="N98">
        <v>1826</v>
      </c>
      <c r="O98">
        <v>1834</v>
      </c>
      <c r="P98">
        <v>1841</v>
      </c>
      <c r="Q98">
        <v>1849</v>
      </c>
      <c r="R98">
        <v>1857</v>
      </c>
      <c r="S98">
        <v>1864</v>
      </c>
      <c r="T98">
        <v>1872</v>
      </c>
      <c r="U98">
        <v>1879</v>
      </c>
      <c r="V98">
        <v>1887</v>
      </c>
      <c r="W98">
        <v>1895</v>
      </c>
      <c r="X98">
        <v>1902</v>
      </c>
      <c r="Y98">
        <v>1910</v>
      </c>
      <c r="Z98">
        <v>1918</v>
      </c>
      <c r="AA98">
        <v>1925</v>
      </c>
      <c r="AB98">
        <v>1933</v>
      </c>
      <c r="AC98">
        <v>1940</v>
      </c>
      <c r="AD98">
        <v>1948</v>
      </c>
      <c r="AE98">
        <v>1956</v>
      </c>
      <c r="AF98">
        <v>1963</v>
      </c>
      <c r="AG98" s="42">
        <v>2E-3</v>
      </c>
    </row>
    <row r="99" spans="1:33" x14ac:dyDescent="0.25">
      <c r="A99" t="s">
        <v>215</v>
      </c>
      <c r="B99" t="s">
        <v>738</v>
      </c>
      <c r="C99" t="s">
        <v>739</v>
      </c>
      <c r="D99" t="s">
        <v>570</v>
      </c>
      <c r="F99">
        <v>3073</v>
      </c>
      <c r="G99">
        <v>2901</v>
      </c>
      <c r="H99">
        <v>2915</v>
      </c>
      <c r="I99">
        <v>2928</v>
      </c>
      <c r="J99">
        <v>2942</v>
      </c>
      <c r="K99">
        <v>2955</v>
      </c>
      <c r="L99">
        <v>2969</v>
      </c>
      <c r="M99">
        <v>2982</v>
      </c>
      <c r="N99">
        <v>2996</v>
      </c>
      <c r="O99">
        <v>3010</v>
      </c>
      <c r="P99">
        <v>3023</v>
      </c>
      <c r="Q99">
        <v>3037</v>
      </c>
      <c r="R99">
        <v>3050</v>
      </c>
      <c r="S99">
        <v>3064</v>
      </c>
      <c r="T99">
        <v>3077</v>
      </c>
      <c r="U99">
        <v>3091</v>
      </c>
      <c r="V99">
        <v>3104</v>
      </c>
      <c r="W99">
        <v>3118</v>
      </c>
      <c r="X99">
        <v>3131</v>
      </c>
      <c r="Y99">
        <v>3145</v>
      </c>
      <c r="Z99">
        <v>3158</v>
      </c>
      <c r="AA99">
        <v>3172</v>
      </c>
      <c r="AB99">
        <v>3185</v>
      </c>
      <c r="AC99">
        <v>3199</v>
      </c>
      <c r="AD99">
        <v>3212</v>
      </c>
      <c r="AE99">
        <v>3226</v>
      </c>
      <c r="AF99">
        <v>3239</v>
      </c>
      <c r="AG99" s="42">
        <v>2E-3</v>
      </c>
    </row>
    <row r="100" spans="1:33" x14ac:dyDescent="0.25">
      <c r="A100" t="s">
        <v>217</v>
      </c>
      <c r="B100" t="s">
        <v>740</v>
      </c>
      <c r="C100" t="s">
        <v>741</v>
      </c>
      <c r="D100" t="s">
        <v>570</v>
      </c>
      <c r="F100">
        <v>1710</v>
      </c>
      <c r="G100">
        <v>1568</v>
      </c>
      <c r="H100">
        <v>1575</v>
      </c>
      <c r="I100">
        <v>1583</v>
      </c>
      <c r="J100">
        <v>1591</v>
      </c>
      <c r="K100">
        <v>1598</v>
      </c>
      <c r="L100">
        <v>1606</v>
      </c>
      <c r="M100">
        <v>1613</v>
      </c>
      <c r="N100">
        <v>1621</v>
      </c>
      <c r="O100">
        <v>1629</v>
      </c>
      <c r="P100">
        <v>1636</v>
      </c>
      <c r="Q100">
        <v>1644</v>
      </c>
      <c r="R100">
        <v>1651</v>
      </c>
      <c r="S100">
        <v>1659</v>
      </c>
      <c r="T100">
        <v>1666</v>
      </c>
      <c r="U100">
        <v>1674</v>
      </c>
      <c r="V100">
        <v>1681</v>
      </c>
      <c r="W100">
        <v>1689</v>
      </c>
      <c r="X100">
        <v>1696</v>
      </c>
      <c r="Y100">
        <v>1703</v>
      </c>
      <c r="Z100">
        <v>1711</v>
      </c>
      <c r="AA100">
        <v>1718</v>
      </c>
      <c r="AB100">
        <v>1725</v>
      </c>
      <c r="AC100">
        <v>1733</v>
      </c>
      <c r="AD100">
        <v>1740</v>
      </c>
      <c r="AE100">
        <v>1747</v>
      </c>
      <c r="AF100">
        <v>1755</v>
      </c>
      <c r="AG100" s="42">
        <v>1E-3</v>
      </c>
    </row>
    <row r="101" spans="1:33" x14ac:dyDescent="0.25">
      <c r="A101" t="s">
        <v>220</v>
      </c>
      <c r="B101" t="s">
        <v>742</v>
      </c>
      <c r="C101" t="s">
        <v>743</v>
      </c>
      <c r="D101" t="s">
        <v>570</v>
      </c>
      <c r="F101">
        <v>1056</v>
      </c>
      <c r="G101">
        <v>1023</v>
      </c>
      <c r="H101">
        <v>1032</v>
      </c>
      <c r="I101">
        <v>1040</v>
      </c>
      <c r="J101">
        <v>1049</v>
      </c>
      <c r="K101">
        <v>1057</v>
      </c>
      <c r="L101">
        <v>1066</v>
      </c>
      <c r="M101">
        <v>1075</v>
      </c>
      <c r="N101">
        <v>1083</v>
      </c>
      <c r="O101">
        <v>1092</v>
      </c>
      <c r="P101">
        <v>1101</v>
      </c>
      <c r="Q101">
        <v>1109</v>
      </c>
      <c r="R101">
        <v>1118</v>
      </c>
      <c r="S101">
        <v>1127</v>
      </c>
      <c r="T101">
        <v>1135</v>
      </c>
      <c r="U101">
        <v>1144</v>
      </c>
      <c r="V101">
        <v>1153</v>
      </c>
      <c r="W101">
        <v>1161</v>
      </c>
      <c r="X101">
        <v>1170</v>
      </c>
      <c r="Y101">
        <v>1179</v>
      </c>
      <c r="Z101">
        <v>1188</v>
      </c>
      <c r="AA101">
        <v>1196</v>
      </c>
      <c r="AB101">
        <v>1205</v>
      </c>
      <c r="AC101">
        <v>1214</v>
      </c>
      <c r="AD101">
        <v>1222</v>
      </c>
      <c r="AE101">
        <v>1231</v>
      </c>
      <c r="AF101">
        <v>1240</v>
      </c>
      <c r="AG101" s="42">
        <v>6.0000000000000001E-3</v>
      </c>
    </row>
    <row r="102" spans="1:33" x14ac:dyDescent="0.25">
      <c r="A102" t="s">
        <v>564</v>
      </c>
      <c r="B102" t="s">
        <v>744</v>
      </c>
      <c r="C102" t="s">
        <v>745</v>
      </c>
      <c r="D102" t="s">
        <v>570</v>
      </c>
      <c r="F102">
        <v>1616.899048</v>
      </c>
      <c r="G102">
        <v>1566.3795170000001</v>
      </c>
      <c r="H102">
        <v>1578.3626710000001</v>
      </c>
      <c r="I102">
        <v>1589.9610600000001</v>
      </c>
      <c r="J102">
        <v>1602.0439449999999</v>
      </c>
      <c r="K102">
        <v>1613.705811</v>
      </c>
      <c r="L102">
        <v>1626.0660399999999</v>
      </c>
      <c r="M102">
        <v>1637.9311520000001</v>
      </c>
      <c r="N102">
        <v>1650.1273189999999</v>
      </c>
      <c r="O102">
        <v>1662.213379</v>
      </c>
      <c r="P102">
        <v>1674.2971190000001</v>
      </c>
      <c r="Q102">
        <v>1686.352173</v>
      </c>
      <c r="R102">
        <v>1698.6342770000001</v>
      </c>
      <c r="S102">
        <v>1711.057495</v>
      </c>
      <c r="T102">
        <v>1722.9598390000001</v>
      </c>
      <c r="U102">
        <v>1735.4678960000001</v>
      </c>
      <c r="V102">
        <v>1747.7921140000001</v>
      </c>
      <c r="W102">
        <v>1760.2924800000001</v>
      </c>
      <c r="X102">
        <v>1772.279053</v>
      </c>
      <c r="Y102">
        <v>1784.803711</v>
      </c>
      <c r="Z102">
        <v>1797.338501</v>
      </c>
      <c r="AA102">
        <v>1809.6791989999999</v>
      </c>
      <c r="AB102">
        <v>1822.108643</v>
      </c>
      <c r="AC102">
        <v>1834.5897219999999</v>
      </c>
      <c r="AD102">
        <v>1846.8101810000001</v>
      </c>
      <c r="AE102">
        <v>1859.140259</v>
      </c>
      <c r="AF102">
        <v>1871.4392089999999</v>
      </c>
      <c r="AG102" s="42">
        <v>6.0000000000000001E-3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99"/>
  <sheetViews>
    <sheetView workbookViewId="0">
      <selection activeCell="A16" sqref="A16:A30"/>
    </sheetView>
  </sheetViews>
  <sheetFormatPr defaultRowHeight="15" x14ac:dyDescent="0.25"/>
  <cols>
    <col min="1" max="1" width="22.85546875" customWidth="1"/>
  </cols>
  <sheetData>
    <row r="1" spans="1:35" x14ac:dyDescent="0.25">
      <c r="A1" t="s">
        <v>589</v>
      </c>
    </row>
    <row r="2" spans="1:35" x14ac:dyDescent="0.25">
      <c r="A2" t="s">
        <v>746</v>
      </c>
    </row>
    <row r="3" spans="1:35" x14ac:dyDescent="0.25">
      <c r="A3" t="s">
        <v>747</v>
      </c>
    </row>
    <row r="4" spans="1:35" x14ac:dyDescent="0.25">
      <c r="A4" t="s">
        <v>355</v>
      </c>
    </row>
    <row r="5" spans="1:35" x14ac:dyDescent="0.25">
      <c r="B5" t="s">
        <v>356</v>
      </c>
      <c r="C5" t="s">
        <v>357</v>
      </c>
      <c r="D5" t="s">
        <v>358</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748</v>
      </c>
    </row>
    <row r="6" spans="1:35" x14ac:dyDescent="0.25">
      <c r="A6" t="s">
        <v>360</v>
      </c>
    </row>
    <row r="7" spans="1:35" x14ac:dyDescent="0.25">
      <c r="A7" t="s">
        <v>592</v>
      </c>
    </row>
    <row r="8" spans="1:35" x14ac:dyDescent="0.25">
      <c r="A8" t="s">
        <v>593</v>
      </c>
      <c r="B8" t="s">
        <v>749</v>
      </c>
      <c r="C8" t="s">
        <v>750</v>
      </c>
      <c r="D8" t="s">
        <v>596</v>
      </c>
      <c r="F8">
        <v>93.44426</v>
      </c>
      <c r="G8">
        <v>94.366943000000006</v>
      </c>
      <c r="H8">
        <v>95.261948000000004</v>
      </c>
      <c r="I8">
        <v>96.233695999999995</v>
      </c>
      <c r="J8">
        <v>97.372681</v>
      </c>
      <c r="K8">
        <v>98.426238999999995</v>
      </c>
      <c r="L8">
        <v>99.435837000000006</v>
      </c>
      <c r="M8">
        <v>100.540588</v>
      </c>
      <c r="N8">
        <v>101.747238</v>
      </c>
      <c r="O8">
        <v>103.031937</v>
      </c>
      <c r="P8">
        <v>104.36438800000001</v>
      </c>
      <c r="Q8">
        <v>105.67115800000001</v>
      </c>
      <c r="R8">
        <v>106.90464</v>
      </c>
      <c r="S8">
        <v>108.064949</v>
      </c>
      <c r="T8">
        <v>109.148827</v>
      </c>
      <c r="U8">
        <v>110.16222399999999</v>
      </c>
      <c r="V8">
        <v>111.118996</v>
      </c>
      <c r="W8">
        <v>112.02248400000001</v>
      </c>
      <c r="X8">
        <v>112.878952</v>
      </c>
      <c r="Y8">
        <v>113.69973</v>
      </c>
      <c r="Z8">
        <v>114.495079</v>
      </c>
      <c r="AA8">
        <v>115.27697000000001</v>
      </c>
      <c r="AB8">
        <v>116.05735</v>
      </c>
      <c r="AC8">
        <v>116.844925</v>
      </c>
      <c r="AD8">
        <v>117.64614899999999</v>
      </c>
      <c r="AE8">
        <v>118.46553</v>
      </c>
      <c r="AF8">
        <v>119.305115</v>
      </c>
      <c r="AG8">
        <v>120.165375</v>
      </c>
      <c r="AH8">
        <v>121.045486</v>
      </c>
      <c r="AI8" s="42">
        <v>8.9999999999999993E-3</v>
      </c>
    </row>
    <row r="9" spans="1:35" x14ac:dyDescent="0.25">
      <c r="A9" t="s">
        <v>597</v>
      </c>
      <c r="B9" t="s">
        <v>751</v>
      </c>
      <c r="C9" t="s">
        <v>752</v>
      </c>
      <c r="D9" t="s">
        <v>596</v>
      </c>
      <c r="F9">
        <v>2.0272770000000002</v>
      </c>
      <c r="G9">
        <v>2.0085120000000001</v>
      </c>
      <c r="H9">
        <v>2.0945999999999998</v>
      </c>
      <c r="I9">
        <v>2.2721680000000002</v>
      </c>
      <c r="J9">
        <v>2.1971470000000002</v>
      </c>
      <c r="K9">
        <v>2.1634509999999998</v>
      </c>
      <c r="L9">
        <v>2.269371</v>
      </c>
      <c r="M9">
        <v>2.382768</v>
      </c>
      <c r="N9">
        <v>2.473055</v>
      </c>
      <c r="O9">
        <v>2.5336780000000001</v>
      </c>
      <c r="P9">
        <v>2.5211169999999998</v>
      </c>
      <c r="Q9">
        <v>2.4608279999999998</v>
      </c>
      <c r="R9">
        <v>2.4002910000000002</v>
      </c>
      <c r="S9">
        <v>2.3361079999999999</v>
      </c>
      <c r="T9">
        <v>2.2773340000000002</v>
      </c>
      <c r="U9">
        <v>2.2319089999999999</v>
      </c>
      <c r="V9">
        <v>2.1893440000000002</v>
      </c>
      <c r="W9">
        <v>2.1525660000000002</v>
      </c>
      <c r="X9">
        <v>2.1266379999999998</v>
      </c>
      <c r="Y9">
        <v>2.1106319999999998</v>
      </c>
      <c r="Z9">
        <v>2.106252</v>
      </c>
      <c r="AA9">
        <v>2.1136330000000001</v>
      </c>
      <c r="AB9">
        <v>2.129588</v>
      </c>
      <c r="AC9">
        <v>2.1519349999999999</v>
      </c>
      <c r="AD9">
        <v>2.1788129999999999</v>
      </c>
      <c r="AE9">
        <v>2.2077830000000001</v>
      </c>
      <c r="AF9">
        <v>2.2373090000000002</v>
      </c>
      <c r="AG9">
        <v>2.2661419999999999</v>
      </c>
      <c r="AH9">
        <v>2.2929360000000001</v>
      </c>
      <c r="AI9" s="42">
        <v>4.0000000000000001E-3</v>
      </c>
    </row>
    <row r="10" spans="1:35" x14ac:dyDescent="0.25">
      <c r="A10" t="s">
        <v>372</v>
      </c>
      <c r="B10" t="s">
        <v>753</v>
      </c>
      <c r="C10" t="s">
        <v>754</v>
      </c>
      <c r="D10" t="s">
        <v>596</v>
      </c>
      <c r="F10">
        <v>95.471535000000003</v>
      </c>
      <c r="G10">
        <v>96.375457999999995</v>
      </c>
      <c r="H10">
        <v>97.356544</v>
      </c>
      <c r="I10">
        <v>98.505866999999995</v>
      </c>
      <c r="J10">
        <v>99.569823999999997</v>
      </c>
      <c r="K10">
        <v>100.589691</v>
      </c>
      <c r="L10">
        <v>101.705208</v>
      </c>
      <c r="M10">
        <v>102.923355</v>
      </c>
      <c r="N10">
        <v>104.220291</v>
      </c>
      <c r="O10">
        <v>105.565613</v>
      </c>
      <c r="P10">
        <v>106.88550600000001</v>
      </c>
      <c r="Q10">
        <v>108.131989</v>
      </c>
      <c r="R10">
        <v>109.30493199999999</v>
      </c>
      <c r="S10">
        <v>110.401054</v>
      </c>
      <c r="T10">
        <v>111.426163</v>
      </c>
      <c r="U10">
        <v>112.39413500000001</v>
      </c>
      <c r="V10">
        <v>113.308342</v>
      </c>
      <c r="W10">
        <v>114.175049</v>
      </c>
      <c r="X10">
        <v>115.00559199999999</v>
      </c>
      <c r="Y10">
        <v>115.81036400000001</v>
      </c>
      <c r="Z10">
        <v>116.60133399999999</v>
      </c>
      <c r="AA10">
        <v>117.390602</v>
      </c>
      <c r="AB10">
        <v>118.18693500000001</v>
      </c>
      <c r="AC10">
        <v>118.99685700000001</v>
      </c>
      <c r="AD10">
        <v>119.82495900000001</v>
      </c>
      <c r="AE10">
        <v>120.673317</v>
      </c>
      <c r="AF10">
        <v>121.542419</v>
      </c>
      <c r="AG10">
        <v>122.43151899999999</v>
      </c>
      <c r="AH10">
        <v>123.338425</v>
      </c>
      <c r="AI10" s="42">
        <v>8.9999999999999993E-3</v>
      </c>
    </row>
    <row r="11" spans="1:35" x14ac:dyDescent="0.25">
      <c r="A11" t="s">
        <v>602</v>
      </c>
    </row>
    <row r="12" spans="1:35" x14ac:dyDescent="0.25">
      <c r="A12" t="s">
        <v>388</v>
      </c>
    </row>
    <row r="13" spans="1:35" x14ac:dyDescent="0.25">
      <c r="A13" t="s">
        <v>381</v>
      </c>
      <c r="B13" t="s">
        <v>755</v>
      </c>
      <c r="C13" t="s">
        <v>756</v>
      </c>
      <c r="D13" t="s">
        <v>391</v>
      </c>
      <c r="F13">
        <v>97.783371000000002</v>
      </c>
      <c r="G13">
        <v>96.373679999999993</v>
      </c>
      <c r="H13">
        <v>94.586517000000001</v>
      </c>
      <c r="I13">
        <v>93.941353000000007</v>
      </c>
      <c r="J13">
        <v>93.461242999999996</v>
      </c>
      <c r="K13">
        <v>92.806595000000002</v>
      </c>
      <c r="L13">
        <v>92.461997999999994</v>
      </c>
      <c r="M13">
        <v>91.902512000000002</v>
      </c>
      <c r="N13">
        <v>91.177718999999996</v>
      </c>
      <c r="O13">
        <v>90.426102</v>
      </c>
      <c r="P13">
        <v>89.704482999999996</v>
      </c>
      <c r="Q13">
        <v>88.942779999999999</v>
      </c>
      <c r="R13">
        <v>88.203415000000007</v>
      </c>
      <c r="S13">
        <v>87.533478000000002</v>
      </c>
      <c r="T13">
        <v>86.942824999999999</v>
      </c>
      <c r="U13">
        <v>86.362342999999996</v>
      </c>
      <c r="V13">
        <v>85.767792</v>
      </c>
      <c r="W13">
        <v>85.219443999999996</v>
      </c>
      <c r="X13">
        <v>84.720359999999999</v>
      </c>
      <c r="Y13">
        <v>84.269615000000002</v>
      </c>
      <c r="Z13">
        <v>83.864127999999994</v>
      </c>
      <c r="AA13">
        <v>83.519119000000003</v>
      </c>
      <c r="AB13">
        <v>83.214995999999999</v>
      </c>
      <c r="AC13">
        <v>82.896759000000003</v>
      </c>
      <c r="AD13">
        <v>82.531181000000004</v>
      </c>
      <c r="AE13">
        <v>82.224677999999997</v>
      </c>
      <c r="AF13">
        <v>81.96669</v>
      </c>
      <c r="AG13">
        <v>81.719336999999996</v>
      </c>
      <c r="AH13">
        <v>81.461876000000004</v>
      </c>
      <c r="AI13" s="42">
        <v>-7.0000000000000001E-3</v>
      </c>
    </row>
    <row r="14" spans="1:35" x14ac:dyDescent="0.25">
      <c r="A14" t="s">
        <v>385</v>
      </c>
      <c r="B14" t="s">
        <v>757</v>
      </c>
      <c r="C14" t="s">
        <v>758</v>
      </c>
      <c r="D14" t="s">
        <v>391</v>
      </c>
      <c r="F14">
        <v>96.520187000000007</v>
      </c>
      <c r="G14">
        <v>94.907600000000002</v>
      </c>
      <c r="H14">
        <v>92.965705999999997</v>
      </c>
      <c r="I14">
        <v>92.204841999999999</v>
      </c>
      <c r="J14">
        <v>91.668807999999999</v>
      </c>
      <c r="K14">
        <v>90.945740000000001</v>
      </c>
      <c r="L14">
        <v>90.547614999999993</v>
      </c>
      <c r="M14">
        <v>89.897819999999996</v>
      </c>
      <c r="N14">
        <v>89.117981</v>
      </c>
      <c r="O14">
        <v>88.313621999999995</v>
      </c>
      <c r="P14">
        <v>87.548271</v>
      </c>
      <c r="Q14">
        <v>86.710746999999998</v>
      </c>
      <c r="R14">
        <v>85.890129000000002</v>
      </c>
      <c r="S14">
        <v>85.181640999999999</v>
      </c>
      <c r="T14">
        <v>84.502601999999996</v>
      </c>
      <c r="U14">
        <v>83.877906999999993</v>
      </c>
      <c r="V14">
        <v>83.211494000000002</v>
      </c>
      <c r="W14">
        <v>82.597617999999997</v>
      </c>
      <c r="X14">
        <v>82.042580000000001</v>
      </c>
      <c r="Y14">
        <v>81.545753000000005</v>
      </c>
      <c r="Z14">
        <v>81.104857999999993</v>
      </c>
      <c r="AA14">
        <v>80.731537000000003</v>
      </c>
      <c r="AB14">
        <v>80.403251999999995</v>
      </c>
      <c r="AC14">
        <v>80.062279000000004</v>
      </c>
      <c r="AD14">
        <v>79.645531000000005</v>
      </c>
      <c r="AE14">
        <v>79.335136000000006</v>
      </c>
      <c r="AF14">
        <v>79.057586999999998</v>
      </c>
      <c r="AG14">
        <v>78.810997</v>
      </c>
      <c r="AH14">
        <v>78.560989000000006</v>
      </c>
      <c r="AI14" s="42">
        <v>-7.0000000000000001E-3</v>
      </c>
    </row>
    <row r="15" spans="1:35" x14ac:dyDescent="0.25">
      <c r="A15" t="s">
        <v>394</v>
      </c>
    </row>
    <row r="16" spans="1:35" x14ac:dyDescent="0.25">
      <c r="A16" t="s">
        <v>341</v>
      </c>
    </row>
    <row r="17" spans="1:35" x14ac:dyDescent="0.25">
      <c r="A17" t="s">
        <v>395</v>
      </c>
      <c r="B17" t="s">
        <v>759</v>
      </c>
      <c r="C17" t="s">
        <v>760</v>
      </c>
      <c r="D17" t="s">
        <v>397</v>
      </c>
      <c r="F17">
        <v>0.119273</v>
      </c>
      <c r="G17">
        <v>0.11836099999999999</v>
      </c>
      <c r="H17">
        <v>0.110862</v>
      </c>
      <c r="I17">
        <v>0.111099</v>
      </c>
      <c r="J17">
        <v>0.111147</v>
      </c>
      <c r="K17">
        <v>0.11085399999999999</v>
      </c>
      <c r="L17">
        <v>0.110384</v>
      </c>
      <c r="M17">
        <v>0.109759</v>
      </c>
      <c r="N17">
        <v>0.108987</v>
      </c>
      <c r="O17">
        <v>0.10828500000000001</v>
      </c>
      <c r="P17">
        <v>0.10747900000000001</v>
      </c>
      <c r="Q17">
        <v>0.106449</v>
      </c>
      <c r="R17">
        <v>0.10527499999999999</v>
      </c>
      <c r="S17">
        <v>0.104142</v>
      </c>
      <c r="T17">
        <v>0.10298300000000001</v>
      </c>
      <c r="U17">
        <v>0.10173699999999999</v>
      </c>
      <c r="V17">
        <v>0.10034700000000001</v>
      </c>
      <c r="W17">
        <v>9.8874000000000004E-2</v>
      </c>
      <c r="X17">
        <v>9.7414000000000001E-2</v>
      </c>
      <c r="Y17">
        <v>9.6060000000000006E-2</v>
      </c>
      <c r="Z17">
        <v>9.4757999999999995E-2</v>
      </c>
      <c r="AA17">
        <v>9.3488000000000002E-2</v>
      </c>
      <c r="AB17">
        <v>9.2216000000000006E-2</v>
      </c>
      <c r="AC17">
        <v>9.0939000000000006E-2</v>
      </c>
      <c r="AD17">
        <v>8.9707999999999996E-2</v>
      </c>
      <c r="AE17">
        <v>8.8523000000000004E-2</v>
      </c>
      <c r="AF17">
        <v>8.7315000000000004E-2</v>
      </c>
      <c r="AG17">
        <v>8.6134000000000002E-2</v>
      </c>
      <c r="AH17">
        <v>8.4989999999999996E-2</v>
      </c>
      <c r="AI17" s="42">
        <v>-1.2E-2</v>
      </c>
    </row>
    <row r="18" spans="1:35" x14ac:dyDescent="0.25">
      <c r="A18" t="s">
        <v>398</v>
      </c>
      <c r="B18" t="s">
        <v>761</v>
      </c>
      <c r="C18" t="s">
        <v>762</v>
      </c>
      <c r="D18" t="s">
        <v>397</v>
      </c>
      <c r="F18">
        <v>0.54288000000000003</v>
      </c>
      <c r="G18">
        <v>0.477379</v>
      </c>
      <c r="H18">
        <v>0.55079100000000003</v>
      </c>
      <c r="I18">
        <v>0.56004500000000002</v>
      </c>
      <c r="J18">
        <v>0.56774999999999998</v>
      </c>
      <c r="K18">
        <v>0.57508499999999996</v>
      </c>
      <c r="L18">
        <v>0.58246200000000004</v>
      </c>
      <c r="M18">
        <v>0.58957300000000001</v>
      </c>
      <c r="N18">
        <v>0.59539600000000004</v>
      </c>
      <c r="O18">
        <v>0.601495</v>
      </c>
      <c r="P18">
        <v>0.60778500000000002</v>
      </c>
      <c r="Q18">
        <v>0.61240499999999998</v>
      </c>
      <c r="R18">
        <v>0.61662799999999995</v>
      </c>
      <c r="S18">
        <v>0.62129199999999996</v>
      </c>
      <c r="T18">
        <v>0.62604599999999999</v>
      </c>
      <c r="U18">
        <v>0.63073500000000005</v>
      </c>
      <c r="V18">
        <v>0.63493599999999994</v>
      </c>
      <c r="W18">
        <v>0.63913600000000004</v>
      </c>
      <c r="X18">
        <v>0.64287499999999997</v>
      </c>
      <c r="Y18">
        <v>0.647011</v>
      </c>
      <c r="Z18">
        <v>0.65148700000000004</v>
      </c>
      <c r="AA18">
        <v>0.65618699999999996</v>
      </c>
      <c r="AB18">
        <v>0.66127499999999995</v>
      </c>
      <c r="AC18">
        <v>0.66691500000000004</v>
      </c>
      <c r="AD18">
        <v>0.67370399999999997</v>
      </c>
      <c r="AE18">
        <v>0.68126399999999998</v>
      </c>
      <c r="AF18">
        <v>0.68905400000000006</v>
      </c>
      <c r="AG18">
        <v>0.696994</v>
      </c>
      <c r="AH18">
        <v>0.70569899999999997</v>
      </c>
      <c r="AI18" s="42">
        <v>8.9999999999999993E-3</v>
      </c>
    </row>
    <row r="19" spans="1:35" x14ac:dyDescent="0.25">
      <c r="A19" t="s">
        <v>400</v>
      </c>
      <c r="B19" t="s">
        <v>763</v>
      </c>
      <c r="C19" t="s">
        <v>764</v>
      </c>
      <c r="D19" t="s">
        <v>397</v>
      </c>
      <c r="F19">
        <v>2.4215E-2</v>
      </c>
      <c r="G19">
        <v>2.3555E-2</v>
      </c>
      <c r="H19">
        <v>2.3130000000000001E-2</v>
      </c>
      <c r="I19">
        <v>2.2870000000000001E-2</v>
      </c>
      <c r="J19">
        <v>2.2631999999999999E-2</v>
      </c>
      <c r="K19">
        <v>2.2556E-2</v>
      </c>
      <c r="L19">
        <v>2.2463E-2</v>
      </c>
      <c r="M19">
        <v>2.2349999999999998E-2</v>
      </c>
      <c r="N19">
        <v>2.2206E-2</v>
      </c>
      <c r="O19">
        <v>2.2058999999999999E-2</v>
      </c>
      <c r="P19">
        <v>2.1898999999999998E-2</v>
      </c>
      <c r="Q19">
        <v>2.1687999999999999E-2</v>
      </c>
      <c r="R19">
        <v>2.1453E-2</v>
      </c>
      <c r="S19">
        <v>2.1236000000000001E-2</v>
      </c>
      <c r="T19">
        <v>2.1016E-2</v>
      </c>
      <c r="U19">
        <v>2.0782999999999999E-2</v>
      </c>
      <c r="V19">
        <v>2.0525999999999999E-2</v>
      </c>
      <c r="W19">
        <v>2.0267E-2</v>
      </c>
      <c r="X19">
        <v>2.001E-2</v>
      </c>
      <c r="Y19">
        <v>1.9778E-2</v>
      </c>
      <c r="Z19">
        <v>1.9556E-2</v>
      </c>
      <c r="AA19">
        <v>1.9342000000000002E-2</v>
      </c>
      <c r="AB19">
        <v>1.9133000000000001E-2</v>
      </c>
      <c r="AC19">
        <v>1.8929999999999999E-2</v>
      </c>
      <c r="AD19">
        <v>1.8741000000000001E-2</v>
      </c>
      <c r="AE19">
        <v>1.857E-2</v>
      </c>
      <c r="AF19">
        <v>1.84E-2</v>
      </c>
      <c r="AG19">
        <v>1.8238999999999998E-2</v>
      </c>
      <c r="AH19">
        <v>1.8093999999999999E-2</v>
      </c>
      <c r="AI19" s="42">
        <v>-0.01</v>
      </c>
    </row>
    <row r="20" spans="1:35" x14ac:dyDescent="0.25">
      <c r="A20" t="s">
        <v>611</v>
      </c>
      <c r="B20" t="s">
        <v>765</v>
      </c>
      <c r="C20" t="s">
        <v>766</v>
      </c>
      <c r="D20" t="s">
        <v>397</v>
      </c>
      <c r="F20">
        <v>0.41879300000000003</v>
      </c>
      <c r="G20">
        <v>0.407891</v>
      </c>
      <c r="H20">
        <v>0.40001900000000001</v>
      </c>
      <c r="I20">
        <v>0.394285</v>
      </c>
      <c r="J20">
        <v>0.38813999999999999</v>
      </c>
      <c r="K20">
        <v>0.38119500000000001</v>
      </c>
      <c r="L20">
        <v>0.37394899999999998</v>
      </c>
      <c r="M20">
        <v>0.36649399999999999</v>
      </c>
      <c r="N20">
        <v>0.35841099999999998</v>
      </c>
      <c r="O20">
        <v>0.35066599999999998</v>
      </c>
      <c r="P20">
        <v>0.34295799999999999</v>
      </c>
      <c r="Q20">
        <v>0.33487299999999998</v>
      </c>
      <c r="R20">
        <v>0.32677299999999998</v>
      </c>
      <c r="S20">
        <v>0.31914799999999999</v>
      </c>
      <c r="T20">
        <v>0.311811</v>
      </c>
      <c r="U20">
        <v>0.30456</v>
      </c>
      <c r="V20">
        <v>0.29719499999999999</v>
      </c>
      <c r="W20">
        <v>0.28995700000000002</v>
      </c>
      <c r="X20">
        <v>0.28303099999999998</v>
      </c>
      <c r="Y20">
        <v>0.276615</v>
      </c>
      <c r="Z20">
        <v>0.270569</v>
      </c>
      <c r="AA20">
        <v>0.26481399999999999</v>
      </c>
      <c r="AB20">
        <v>0.25929200000000002</v>
      </c>
      <c r="AC20">
        <v>0.25397799999999998</v>
      </c>
      <c r="AD20">
        <v>0.24892300000000001</v>
      </c>
      <c r="AE20">
        <v>0.24418300000000001</v>
      </c>
      <c r="AF20">
        <v>0.239593</v>
      </c>
      <c r="AG20">
        <v>0.23527899999999999</v>
      </c>
      <c r="AH20">
        <v>0.23125899999999999</v>
      </c>
      <c r="AI20" s="42">
        <v>-2.1000000000000001E-2</v>
      </c>
    </row>
    <row r="21" spans="1:35" x14ac:dyDescent="0.25">
      <c r="A21" t="s">
        <v>404</v>
      </c>
      <c r="B21" t="s">
        <v>767</v>
      </c>
      <c r="C21" t="s">
        <v>768</v>
      </c>
      <c r="D21" t="s">
        <v>397</v>
      </c>
      <c r="F21">
        <v>8.2377000000000006E-2</v>
      </c>
      <c r="G21">
        <v>8.1711000000000006E-2</v>
      </c>
      <c r="H21">
        <v>8.1786999999999999E-2</v>
      </c>
      <c r="I21">
        <v>8.2300999999999999E-2</v>
      </c>
      <c r="J21">
        <v>8.2629999999999995E-2</v>
      </c>
      <c r="K21">
        <v>8.2722000000000004E-2</v>
      </c>
      <c r="L21">
        <v>8.2723000000000005E-2</v>
      </c>
      <c r="M21">
        <v>8.2640000000000005E-2</v>
      </c>
      <c r="N21">
        <v>8.2437999999999997E-2</v>
      </c>
      <c r="O21">
        <v>8.2239999999999994E-2</v>
      </c>
      <c r="P21">
        <v>8.1999000000000002E-2</v>
      </c>
      <c r="Q21">
        <v>8.1576999999999997E-2</v>
      </c>
      <c r="R21">
        <v>8.1060999999999994E-2</v>
      </c>
      <c r="S21">
        <v>8.0576999999999996E-2</v>
      </c>
      <c r="T21">
        <v>8.0064999999999997E-2</v>
      </c>
      <c r="U21">
        <v>7.9491000000000006E-2</v>
      </c>
      <c r="V21">
        <v>7.8826999999999994E-2</v>
      </c>
      <c r="W21">
        <v>7.8130000000000005E-2</v>
      </c>
      <c r="X21">
        <v>7.7412999999999996E-2</v>
      </c>
      <c r="Y21">
        <v>7.6771000000000006E-2</v>
      </c>
      <c r="Z21">
        <v>7.6152999999999998E-2</v>
      </c>
      <c r="AA21">
        <v>7.5556999999999999E-2</v>
      </c>
      <c r="AB21">
        <v>7.4978000000000003E-2</v>
      </c>
      <c r="AC21">
        <v>7.4414999999999995E-2</v>
      </c>
      <c r="AD21">
        <v>7.3903999999999997E-2</v>
      </c>
      <c r="AE21">
        <v>7.3455999999999994E-2</v>
      </c>
      <c r="AF21">
        <v>7.2993000000000002E-2</v>
      </c>
      <c r="AG21">
        <v>7.2537000000000004E-2</v>
      </c>
      <c r="AH21">
        <v>7.2122000000000006E-2</v>
      </c>
      <c r="AI21" s="42">
        <v>-5.0000000000000001E-3</v>
      </c>
    </row>
    <row r="22" spans="1:35" x14ac:dyDescent="0.25">
      <c r="A22" t="s">
        <v>410</v>
      </c>
      <c r="B22" t="s">
        <v>769</v>
      </c>
      <c r="C22" t="s">
        <v>770</v>
      </c>
      <c r="D22" t="s">
        <v>397</v>
      </c>
      <c r="F22">
        <v>0.49728099999999997</v>
      </c>
      <c r="G22">
        <v>0.48855999999999999</v>
      </c>
      <c r="H22">
        <v>0.48579499999999998</v>
      </c>
      <c r="I22">
        <v>0.48757200000000001</v>
      </c>
      <c r="J22">
        <v>0.48936600000000002</v>
      </c>
      <c r="K22">
        <v>0.490566</v>
      </c>
      <c r="L22">
        <v>0.49202499999999999</v>
      </c>
      <c r="M22">
        <v>0.49368899999999999</v>
      </c>
      <c r="N22">
        <v>0.49101899999999998</v>
      </c>
      <c r="O22">
        <v>0.48896099999999998</v>
      </c>
      <c r="P22">
        <v>0.48697299999999999</v>
      </c>
      <c r="Q22">
        <v>0.48422700000000002</v>
      </c>
      <c r="R22">
        <v>0.48097899999999999</v>
      </c>
      <c r="S22">
        <v>0.47800999999999999</v>
      </c>
      <c r="T22">
        <v>0.474966</v>
      </c>
      <c r="U22">
        <v>0.47095500000000001</v>
      </c>
      <c r="V22">
        <v>0.46600999999999998</v>
      </c>
      <c r="W22">
        <v>0.45994200000000002</v>
      </c>
      <c r="X22">
        <v>0.45792899999999997</v>
      </c>
      <c r="Y22">
        <v>0.45681100000000002</v>
      </c>
      <c r="Z22">
        <v>0.45597100000000002</v>
      </c>
      <c r="AA22">
        <v>0.45552999999999999</v>
      </c>
      <c r="AB22">
        <v>0.455459</v>
      </c>
      <c r="AC22">
        <v>0.45567999999999997</v>
      </c>
      <c r="AD22">
        <v>0.45632899999999998</v>
      </c>
      <c r="AE22">
        <v>0.45772200000000002</v>
      </c>
      <c r="AF22">
        <v>0.45915800000000001</v>
      </c>
      <c r="AG22">
        <v>0.460843</v>
      </c>
      <c r="AH22">
        <v>0.46300400000000003</v>
      </c>
      <c r="AI22" s="42">
        <v>-3.0000000000000001E-3</v>
      </c>
    </row>
    <row r="23" spans="1:35" x14ac:dyDescent="0.25">
      <c r="A23" t="s">
        <v>402</v>
      </c>
      <c r="B23" t="s">
        <v>771</v>
      </c>
      <c r="C23" t="s">
        <v>772</v>
      </c>
      <c r="D23" t="s">
        <v>397</v>
      </c>
      <c r="F23">
        <v>0.603352</v>
      </c>
      <c r="G23">
        <v>0.60135499999999997</v>
      </c>
      <c r="H23">
        <v>0.60267999999999999</v>
      </c>
      <c r="I23">
        <v>0.60644600000000004</v>
      </c>
      <c r="J23">
        <v>0.60968599999999995</v>
      </c>
      <c r="K23">
        <v>0.61227900000000002</v>
      </c>
      <c r="L23">
        <v>0.61520399999999997</v>
      </c>
      <c r="M23">
        <v>0.61849299999999996</v>
      </c>
      <c r="N23">
        <v>0.62074799999999997</v>
      </c>
      <c r="O23">
        <v>0.62390000000000001</v>
      </c>
      <c r="P23">
        <v>0.62699000000000005</v>
      </c>
      <c r="Q23">
        <v>0.62938700000000003</v>
      </c>
      <c r="R23">
        <v>0.63132500000000003</v>
      </c>
      <c r="S23">
        <v>0.63321400000000005</v>
      </c>
      <c r="T23">
        <v>0.63485499999999995</v>
      </c>
      <c r="U23">
        <v>0.63615500000000003</v>
      </c>
      <c r="V23">
        <v>0.636938</v>
      </c>
      <c r="W23">
        <v>0.63747399999999999</v>
      </c>
      <c r="X23">
        <v>0.63791900000000001</v>
      </c>
      <c r="Y23">
        <v>0.63905800000000001</v>
      </c>
      <c r="Z23">
        <v>0.64029400000000003</v>
      </c>
      <c r="AA23">
        <v>0.64160899999999998</v>
      </c>
      <c r="AB23">
        <v>0.642984</v>
      </c>
      <c r="AC23">
        <v>0.64441700000000002</v>
      </c>
      <c r="AD23">
        <v>0.64599600000000001</v>
      </c>
      <c r="AE23">
        <v>0.64779299999999995</v>
      </c>
      <c r="AF23">
        <v>0.64965700000000004</v>
      </c>
      <c r="AG23">
        <v>0.65169699999999997</v>
      </c>
      <c r="AH23">
        <v>0.65393400000000002</v>
      </c>
      <c r="AI23" s="42">
        <v>3.0000000000000001E-3</v>
      </c>
    </row>
    <row r="24" spans="1:35" x14ac:dyDescent="0.25">
      <c r="A24" t="s">
        <v>616</v>
      </c>
      <c r="B24" t="s">
        <v>773</v>
      </c>
      <c r="C24" t="s">
        <v>774</v>
      </c>
      <c r="D24" t="s">
        <v>397</v>
      </c>
      <c r="F24">
        <v>0.43073600000000001</v>
      </c>
      <c r="G24">
        <v>0.434585</v>
      </c>
      <c r="H24">
        <v>0.43993500000000002</v>
      </c>
      <c r="I24">
        <v>0.447378</v>
      </c>
      <c r="J24">
        <v>0.45436900000000002</v>
      </c>
      <c r="K24">
        <v>0.46098600000000001</v>
      </c>
      <c r="L24">
        <v>0.46887200000000001</v>
      </c>
      <c r="M24">
        <v>0.477159</v>
      </c>
      <c r="N24">
        <v>0.48619699999999999</v>
      </c>
      <c r="O24">
        <v>0.49543300000000001</v>
      </c>
      <c r="P24">
        <v>0.50508200000000003</v>
      </c>
      <c r="Q24">
        <v>0.51431199999999999</v>
      </c>
      <c r="R24">
        <v>0.52371100000000004</v>
      </c>
      <c r="S24">
        <v>0.53291500000000003</v>
      </c>
      <c r="T24">
        <v>0.54290400000000005</v>
      </c>
      <c r="U24">
        <v>0.55216500000000002</v>
      </c>
      <c r="V24">
        <v>0.56217499999999998</v>
      </c>
      <c r="W24">
        <v>0.57200700000000004</v>
      </c>
      <c r="X24">
        <v>0.58174599999999999</v>
      </c>
      <c r="Y24">
        <v>0.59145400000000004</v>
      </c>
      <c r="Z24">
        <v>0.60173699999999997</v>
      </c>
      <c r="AA24">
        <v>0.61264799999999997</v>
      </c>
      <c r="AB24">
        <v>0.62317100000000003</v>
      </c>
      <c r="AC24">
        <v>0.63440600000000003</v>
      </c>
      <c r="AD24">
        <v>0.64643499999999998</v>
      </c>
      <c r="AE24">
        <v>0.65822099999999995</v>
      </c>
      <c r="AF24">
        <v>0.67073700000000003</v>
      </c>
      <c r="AG24">
        <v>0.68349800000000005</v>
      </c>
      <c r="AH24">
        <v>0.69654000000000005</v>
      </c>
      <c r="AI24" s="42">
        <v>1.7000000000000001E-2</v>
      </c>
    </row>
    <row r="25" spans="1:35" x14ac:dyDescent="0.25">
      <c r="A25" t="s">
        <v>618</v>
      </c>
      <c r="B25" t="s">
        <v>775</v>
      </c>
      <c r="C25" t="s">
        <v>776</v>
      </c>
      <c r="D25" t="s">
        <v>397</v>
      </c>
      <c r="F25">
        <v>0.174708</v>
      </c>
      <c r="G25">
        <v>0.173262</v>
      </c>
      <c r="H25">
        <v>0.17277699999999999</v>
      </c>
      <c r="I25">
        <v>0.17319300000000001</v>
      </c>
      <c r="J25">
        <v>0.17386399999999999</v>
      </c>
      <c r="K25">
        <v>0.174594</v>
      </c>
      <c r="L25">
        <v>0.17566599999999999</v>
      </c>
      <c r="M25">
        <v>0.17710699999999999</v>
      </c>
      <c r="N25">
        <v>0.17887400000000001</v>
      </c>
      <c r="O25">
        <v>0.180673</v>
      </c>
      <c r="P25">
        <v>0.18267900000000001</v>
      </c>
      <c r="Q25">
        <v>0.184498</v>
      </c>
      <c r="R25">
        <v>0.185888</v>
      </c>
      <c r="S25">
        <v>0.18745700000000001</v>
      </c>
      <c r="T25">
        <v>0.18862699999999999</v>
      </c>
      <c r="U25">
        <v>0.18968199999999999</v>
      </c>
      <c r="V25">
        <v>0.190608</v>
      </c>
      <c r="W25">
        <v>0.190859</v>
      </c>
      <c r="X25">
        <v>0.19103999999999999</v>
      </c>
      <c r="Y25">
        <v>0.19087699999999999</v>
      </c>
      <c r="Z25">
        <v>0.19009000000000001</v>
      </c>
      <c r="AA25">
        <v>0.18897900000000001</v>
      </c>
      <c r="AB25">
        <v>0.18754999999999999</v>
      </c>
      <c r="AC25">
        <v>0.1855</v>
      </c>
      <c r="AD25">
        <v>0.183143</v>
      </c>
      <c r="AE25">
        <v>0.180174</v>
      </c>
      <c r="AF25">
        <v>0.176542</v>
      </c>
      <c r="AG25">
        <v>0.17224400000000001</v>
      </c>
      <c r="AH25">
        <v>0.16695299999999999</v>
      </c>
      <c r="AI25" s="42">
        <v>-2E-3</v>
      </c>
    </row>
    <row r="26" spans="1:35" x14ac:dyDescent="0.25">
      <c r="A26" t="s">
        <v>422</v>
      </c>
      <c r="B26" t="s">
        <v>777</v>
      </c>
      <c r="C26" t="s">
        <v>778</v>
      </c>
      <c r="D26" t="s">
        <v>397</v>
      </c>
      <c r="F26">
        <v>1.8214999999999999</v>
      </c>
      <c r="G26">
        <v>1.853537</v>
      </c>
      <c r="H26">
        <v>1.8354539999999999</v>
      </c>
      <c r="I26">
        <v>1.821644</v>
      </c>
      <c r="J26">
        <v>1.820174</v>
      </c>
      <c r="K26">
        <v>1.8173820000000001</v>
      </c>
      <c r="L26">
        <v>1.8377559999999999</v>
      </c>
      <c r="M26">
        <v>1.8595930000000001</v>
      </c>
      <c r="N26">
        <v>1.882188</v>
      </c>
      <c r="O26">
        <v>1.9058200000000001</v>
      </c>
      <c r="P26">
        <v>1.9294819999999999</v>
      </c>
      <c r="Q26">
        <v>1.951943</v>
      </c>
      <c r="R26">
        <v>1.9733750000000001</v>
      </c>
      <c r="S26">
        <v>1.994686</v>
      </c>
      <c r="T26">
        <v>2.0159479999999999</v>
      </c>
      <c r="U26">
        <v>2.0364469999999999</v>
      </c>
      <c r="V26">
        <v>2.0566209999999998</v>
      </c>
      <c r="W26">
        <v>2.0767880000000001</v>
      </c>
      <c r="X26">
        <v>2.096851</v>
      </c>
      <c r="Y26">
        <v>2.1177489999999999</v>
      </c>
      <c r="Z26">
        <v>2.1392600000000002</v>
      </c>
      <c r="AA26">
        <v>2.1619060000000001</v>
      </c>
      <c r="AB26">
        <v>2.1855560000000001</v>
      </c>
      <c r="AC26">
        <v>2.21069</v>
      </c>
      <c r="AD26">
        <v>2.236834</v>
      </c>
      <c r="AE26">
        <v>2.2647439999999999</v>
      </c>
      <c r="AF26">
        <v>2.2939790000000002</v>
      </c>
      <c r="AG26">
        <v>2.3243649999999998</v>
      </c>
      <c r="AH26">
        <v>2.3563890000000001</v>
      </c>
      <c r="AI26" s="42">
        <v>8.9999999999999993E-3</v>
      </c>
    </row>
    <row r="27" spans="1:35" x14ac:dyDescent="0.25">
      <c r="A27" t="s">
        <v>779</v>
      </c>
      <c r="B27" t="s">
        <v>780</v>
      </c>
      <c r="C27" t="s">
        <v>781</v>
      </c>
      <c r="D27" t="s">
        <v>397</v>
      </c>
      <c r="F27">
        <v>4.7151149999999999</v>
      </c>
      <c r="G27">
        <v>4.660196</v>
      </c>
      <c r="H27">
        <v>4.7032290000000003</v>
      </c>
      <c r="I27">
        <v>4.7068329999999996</v>
      </c>
      <c r="J27">
        <v>4.7197579999999997</v>
      </c>
      <c r="K27">
        <v>4.7282190000000002</v>
      </c>
      <c r="L27">
        <v>4.7615030000000003</v>
      </c>
      <c r="M27">
        <v>4.796856</v>
      </c>
      <c r="N27">
        <v>4.8264649999999998</v>
      </c>
      <c r="O27">
        <v>4.8595329999999999</v>
      </c>
      <c r="P27">
        <v>4.8933260000000001</v>
      </c>
      <c r="Q27">
        <v>4.92136</v>
      </c>
      <c r="R27">
        <v>4.9464670000000002</v>
      </c>
      <c r="S27">
        <v>4.9726759999999999</v>
      </c>
      <c r="T27">
        <v>4.9992200000000002</v>
      </c>
      <c r="U27">
        <v>5.0227110000000001</v>
      </c>
      <c r="V27">
        <v>5.0441830000000003</v>
      </c>
      <c r="W27">
        <v>5.063434</v>
      </c>
      <c r="X27">
        <v>5.0862280000000002</v>
      </c>
      <c r="Y27">
        <v>5.1121850000000002</v>
      </c>
      <c r="Z27">
        <v>5.139875</v>
      </c>
      <c r="AA27">
        <v>5.1700590000000002</v>
      </c>
      <c r="AB27">
        <v>5.201613</v>
      </c>
      <c r="AC27">
        <v>5.2358710000000004</v>
      </c>
      <c r="AD27">
        <v>5.2737179999999997</v>
      </c>
      <c r="AE27">
        <v>5.3146490000000002</v>
      </c>
      <c r="AF27">
        <v>5.3574289999999998</v>
      </c>
      <c r="AG27">
        <v>5.4018309999999996</v>
      </c>
      <c r="AH27">
        <v>5.448982</v>
      </c>
      <c r="AI27" s="42">
        <v>5.0000000000000001E-3</v>
      </c>
    </row>
    <row r="28" spans="1:35" x14ac:dyDescent="0.25">
      <c r="A28" t="s">
        <v>428</v>
      </c>
      <c r="B28" t="s">
        <v>782</v>
      </c>
      <c r="C28" t="s">
        <v>783</v>
      </c>
      <c r="D28" t="s">
        <v>397</v>
      </c>
      <c r="F28">
        <v>0.120598</v>
      </c>
      <c r="G28">
        <v>0.141293</v>
      </c>
      <c r="H28">
        <v>0.15779599999999999</v>
      </c>
      <c r="I28">
        <v>0.17105699999999999</v>
      </c>
      <c r="J28">
        <v>0.17847299999999999</v>
      </c>
      <c r="K28">
        <v>0.18718199999999999</v>
      </c>
      <c r="L28">
        <v>0.19470299999999999</v>
      </c>
      <c r="M28">
        <v>0.20632900000000001</v>
      </c>
      <c r="N28">
        <v>0.214666</v>
      </c>
      <c r="O28">
        <v>0.22300600000000001</v>
      </c>
      <c r="P28">
        <v>0.23046800000000001</v>
      </c>
      <c r="Q28">
        <v>0.24135400000000001</v>
      </c>
      <c r="R28">
        <v>0.25285299999999999</v>
      </c>
      <c r="S28">
        <v>0.25964599999999999</v>
      </c>
      <c r="T28">
        <v>0.27190500000000001</v>
      </c>
      <c r="U28">
        <v>0.27923599999999998</v>
      </c>
      <c r="V28">
        <v>0.28964899999999999</v>
      </c>
      <c r="W28">
        <v>0.299346</v>
      </c>
      <c r="X28">
        <v>0.30795899999999998</v>
      </c>
      <c r="Y28">
        <v>0.31545000000000001</v>
      </c>
      <c r="Z28">
        <v>0.32173499999999999</v>
      </c>
      <c r="AA28">
        <v>0.32723600000000003</v>
      </c>
      <c r="AB28">
        <v>0.33231100000000002</v>
      </c>
      <c r="AC28">
        <v>0.33729500000000001</v>
      </c>
      <c r="AD28">
        <v>0.34577400000000003</v>
      </c>
      <c r="AE28">
        <v>0.34869</v>
      </c>
      <c r="AF28">
        <v>0.35358000000000001</v>
      </c>
      <c r="AG28">
        <v>0.35607299999999997</v>
      </c>
      <c r="AH28">
        <v>0.35779100000000003</v>
      </c>
      <c r="AI28" s="42">
        <v>0.04</v>
      </c>
    </row>
    <row r="29" spans="1:35" x14ac:dyDescent="0.25">
      <c r="A29" t="s">
        <v>784</v>
      </c>
      <c r="B29" t="s">
        <v>785</v>
      </c>
      <c r="C29" t="s">
        <v>786</v>
      </c>
      <c r="D29" t="s">
        <v>397</v>
      </c>
      <c r="F29">
        <v>4.5945159999999996</v>
      </c>
      <c r="G29">
        <v>4.5189029999999999</v>
      </c>
      <c r="H29">
        <v>4.5454340000000002</v>
      </c>
      <c r="I29">
        <v>4.5357770000000004</v>
      </c>
      <c r="J29">
        <v>4.5412850000000002</v>
      </c>
      <c r="K29">
        <v>4.5410360000000001</v>
      </c>
      <c r="L29">
        <v>4.5667999999999997</v>
      </c>
      <c r="M29">
        <v>4.5905269999999998</v>
      </c>
      <c r="N29">
        <v>4.6117980000000003</v>
      </c>
      <c r="O29">
        <v>4.6365270000000001</v>
      </c>
      <c r="P29">
        <v>4.6628579999999999</v>
      </c>
      <c r="Q29">
        <v>4.6800059999999997</v>
      </c>
      <c r="R29">
        <v>4.6936140000000002</v>
      </c>
      <c r="S29">
        <v>4.7130299999999998</v>
      </c>
      <c r="T29">
        <v>4.7273149999999999</v>
      </c>
      <c r="U29">
        <v>4.7434750000000001</v>
      </c>
      <c r="V29">
        <v>4.7545330000000003</v>
      </c>
      <c r="W29">
        <v>4.7640880000000001</v>
      </c>
      <c r="X29">
        <v>4.77827</v>
      </c>
      <c r="Y29">
        <v>4.796735</v>
      </c>
      <c r="Z29">
        <v>4.8181409999999998</v>
      </c>
      <c r="AA29">
        <v>4.8428240000000002</v>
      </c>
      <c r="AB29">
        <v>4.8693020000000002</v>
      </c>
      <c r="AC29">
        <v>4.8985760000000003</v>
      </c>
      <c r="AD29">
        <v>4.9279440000000001</v>
      </c>
      <c r="AE29">
        <v>4.9659589999999998</v>
      </c>
      <c r="AF29">
        <v>5.0038489999999998</v>
      </c>
      <c r="AG29">
        <v>5.045757</v>
      </c>
      <c r="AH29">
        <v>5.0911910000000002</v>
      </c>
      <c r="AI29" s="42">
        <v>4.0000000000000001E-3</v>
      </c>
    </row>
    <row r="30" spans="1:35" x14ac:dyDescent="0.25">
      <c r="A30" t="s">
        <v>432</v>
      </c>
    </row>
    <row r="31" spans="1:35" x14ac:dyDescent="0.25">
      <c r="A31" t="s">
        <v>395</v>
      </c>
      <c r="B31" t="s">
        <v>787</v>
      </c>
      <c r="C31" t="s">
        <v>788</v>
      </c>
      <c r="D31" t="s">
        <v>397</v>
      </c>
      <c r="F31">
        <v>1.8254539999999999</v>
      </c>
      <c r="G31">
        <v>1.7947</v>
      </c>
      <c r="H31">
        <v>1.7061729999999999</v>
      </c>
      <c r="I31">
        <v>1.7385660000000001</v>
      </c>
      <c r="J31">
        <v>1.7639400000000001</v>
      </c>
      <c r="K31">
        <v>1.779544</v>
      </c>
      <c r="L31">
        <v>1.788921</v>
      </c>
      <c r="M31">
        <v>1.79061</v>
      </c>
      <c r="N31">
        <v>1.7890999999999999</v>
      </c>
      <c r="O31">
        <v>1.787161</v>
      </c>
      <c r="P31">
        <v>1.7835300000000001</v>
      </c>
      <c r="Q31">
        <v>1.776289</v>
      </c>
      <c r="R31">
        <v>1.7674780000000001</v>
      </c>
      <c r="S31">
        <v>1.757646</v>
      </c>
      <c r="T31">
        <v>1.748321</v>
      </c>
      <c r="U31">
        <v>1.738137</v>
      </c>
      <c r="V31">
        <v>1.7250220000000001</v>
      </c>
      <c r="W31">
        <v>1.7127330000000001</v>
      </c>
      <c r="X31">
        <v>1.699783</v>
      </c>
      <c r="Y31">
        <v>1.686558</v>
      </c>
      <c r="Z31">
        <v>1.6739850000000001</v>
      </c>
      <c r="AA31">
        <v>1.6631689999999999</v>
      </c>
      <c r="AB31">
        <v>1.6539790000000001</v>
      </c>
      <c r="AC31">
        <v>1.642917</v>
      </c>
      <c r="AD31">
        <v>1.629286</v>
      </c>
      <c r="AE31">
        <v>1.6173420000000001</v>
      </c>
      <c r="AF31">
        <v>1.6073139999999999</v>
      </c>
      <c r="AG31">
        <v>1.5970869999999999</v>
      </c>
      <c r="AH31">
        <v>1.5851690000000001</v>
      </c>
      <c r="AI31" s="42">
        <v>-5.0000000000000001E-3</v>
      </c>
    </row>
    <row r="32" spans="1:35" x14ac:dyDescent="0.25">
      <c r="A32" t="s">
        <v>398</v>
      </c>
      <c r="B32" t="s">
        <v>789</v>
      </c>
      <c r="C32" t="s">
        <v>790</v>
      </c>
      <c r="D32" t="s">
        <v>397</v>
      </c>
      <c r="F32">
        <v>2.4829E-2</v>
      </c>
      <c r="G32">
        <v>1.9927E-2</v>
      </c>
      <c r="H32">
        <v>2.5627E-2</v>
      </c>
      <c r="I32">
        <v>2.5995000000000001E-2</v>
      </c>
      <c r="J32">
        <v>2.6231999999999998E-2</v>
      </c>
      <c r="K32">
        <v>2.6372E-2</v>
      </c>
      <c r="L32">
        <v>2.6435E-2</v>
      </c>
      <c r="M32">
        <v>2.6429000000000001E-2</v>
      </c>
      <c r="N32">
        <v>2.6391000000000001E-2</v>
      </c>
      <c r="O32">
        <v>2.6353000000000001E-2</v>
      </c>
      <c r="P32">
        <v>2.6314000000000001E-2</v>
      </c>
      <c r="Q32">
        <v>2.6221000000000001E-2</v>
      </c>
      <c r="R32">
        <v>2.6134999999999999E-2</v>
      </c>
      <c r="S32">
        <v>2.6053E-2</v>
      </c>
      <c r="T32">
        <v>2.5982000000000002E-2</v>
      </c>
      <c r="U32">
        <v>2.5909000000000001E-2</v>
      </c>
      <c r="V32">
        <v>2.5794000000000001E-2</v>
      </c>
      <c r="W32">
        <v>2.5696E-2</v>
      </c>
      <c r="X32">
        <v>2.5607000000000001E-2</v>
      </c>
      <c r="Y32">
        <v>2.5509E-2</v>
      </c>
      <c r="Z32">
        <v>2.5444000000000001E-2</v>
      </c>
      <c r="AA32">
        <v>2.5413000000000002E-2</v>
      </c>
      <c r="AB32">
        <v>2.5411E-2</v>
      </c>
      <c r="AC32">
        <v>2.5387E-2</v>
      </c>
      <c r="AD32">
        <v>2.5342E-2</v>
      </c>
      <c r="AE32">
        <v>2.5319000000000001E-2</v>
      </c>
      <c r="AF32">
        <v>2.5354999999999999E-2</v>
      </c>
      <c r="AG32">
        <v>2.5378999999999999E-2</v>
      </c>
      <c r="AH32">
        <v>2.5378000000000001E-2</v>
      </c>
      <c r="AI32" s="42">
        <v>1E-3</v>
      </c>
    </row>
    <row r="33" spans="1:35" x14ac:dyDescent="0.25">
      <c r="A33" t="s">
        <v>400</v>
      </c>
      <c r="B33" t="s">
        <v>791</v>
      </c>
      <c r="C33" t="s">
        <v>792</v>
      </c>
      <c r="D33" t="s">
        <v>397</v>
      </c>
      <c r="F33">
        <v>0.59203799999999995</v>
      </c>
      <c r="G33">
        <v>0.58703300000000003</v>
      </c>
      <c r="H33">
        <v>0.59738000000000002</v>
      </c>
      <c r="I33">
        <v>0.61275100000000005</v>
      </c>
      <c r="J33">
        <v>0.62566299999999997</v>
      </c>
      <c r="K33">
        <v>0.63552900000000001</v>
      </c>
      <c r="L33">
        <v>0.64377899999999999</v>
      </c>
      <c r="M33">
        <v>0.65003599999999995</v>
      </c>
      <c r="N33">
        <v>0.65564</v>
      </c>
      <c r="O33">
        <v>0.66110400000000002</v>
      </c>
      <c r="P33">
        <v>0.666126</v>
      </c>
      <c r="Q33">
        <v>0.66992099999999999</v>
      </c>
      <c r="R33">
        <v>0.67317300000000002</v>
      </c>
      <c r="S33">
        <v>0.67610800000000004</v>
      </c>
      <c r="T33">
        <v>0.67931799999999998</v>
      </c>
      <c r="U33">
        <v>0.68217899999999998</v>
      </c>
      <c r="V33">
        <v>0.68396299999999999</v>
      </c>
      <c r="W33">
        <v>0.68618299999999999</v>
      </c>
      <c r="X33">
        <v>0.68806199999999995</v>
      </c>
      <c r="Y33">
        <v>0.68995600000000001</v>
      </c>
      <c r="Z33">
        <v>0.69216299999999997</v>
      </c>
      <c r="AA33">
        <v>0.69516</v>
      </c>
      <c r="AB33">
        <v>0.69893400000000006</v>
      </c>
      <c r="AC33">
        <v>0.70184299999999999</v>
      </c>
      <c r="AD33">
        <v>0.70256200000000002</v>
      </c>
      <c r="AE33">
        <v>0.70452400000000004</v>
      </c>
      <c r="AF33">
        <v>0.70795699999999995</v>
      </c>
      <c r="AG33">
        <v>0.71178200000000003</v>
      </c>
      <c r="AH33">
        <v>0.71499199999999996</v>
      </c>
      <c r="AI33" s="42">
        <v>7.0000000000000001E-3</v>
      </c>
    </row>
    <row r="34" spans="1:35" x14ac:dyDescent="0.25">
      <c r="A34" t="s">
        <v>404</v>
      </c>
      <c r="B34" t="s">
        <v>793</v>
      </c>
      <c r="C34" t="s">
        <v>794</v>
      </c>
      <c r="D34" t="s">
        <v>397</v>
      </c>
      <c r="F34">
        <v>0.33065699999999998</v>
      </c>
      <c r="G34">
        <v>0.330951</v>
      </c>
      <c r="H34">
        <v>0.33943200000000001</v>
      </c>
      <c r="I34">
        <v>0.35031800000000002</v>
      </c>
      <c r="J34">
        <v>0.359456</v>
      </c>
      <c r="K34">
        <v>0.366753</v>
      </c>
      <c r="L34">
        <v>0.37310100000000002</v>
      </c>
      <c r="M34">
        <v>0.37848399999999999</v>
      </c>
      <c r="N34">
        <v>0.38350299999999998</v>
      </c>
      <c r="O34">
        <v>0.38850400000000002</v>
      </c>
      <c r="P34">
        <v>0.39315099999999997</v>
      </c>
      <c r="Q34">
        <v>0.39700400000000002</v>
      </c>
      <c r="R34">
        <v>0.40042499999999998</v>
      </c>
      <c r="S34">
        <v>0.403553</v>
      </c>
      <c r="T34">
        <v>0.406752</v>
      </c>
      <c r="U34">
        <v>0.40969699999999998</v>
      </c>
      <c r="V34">
        <v>0.41197600000000001</v>
      </c>
      <c r="W34">
        <v>0.41444500000000001</v>
      </c>
      <c r="X34">
        <v>0.41658800000000001</v>
      </c>
      <c r="Y34">
        <v>0.41879499999999997</v>
      </c>
      <c r="Z34">
        <v>0.42112500000000003</v>
      </c>
      <c r="AA34">
        <v>0.42386699999999999</v>
      </c>
      <c r="AB34">
        <v>0.426979</v>
      </c>
      <c r="AC34">
        <v>0.42966399999999999</v>
      </c>
      <c r="AD34">
        <v>0.43059999999999998</v>
      </c>
      <c r="AE34">
        <v>0.43231700000000001</v>
      </c>
      <c r="AF34">
        <v>0.43499399999999999</v>
      </c>
      <c r="AG34">
        <v>0.43802200000000002</v>
      </c>
      <c r="AH34">
        <v>0.44072099999999997</v>
      </c>
      <c r="AI34" s="42">
        <v>0.01</v>
      </c>
    </row>
    <row r="35" spans="1:35" x14ac:dyDescent="0.25">
      <c r="A35" t="s">
        <v>422</v>
      </c>
      <c r="B35" t="s">
        <v>795</v>
      </c>
      <c r="C35" t="s">
        <v>796</v>
      </c>
      <c r="D35" t="s">
        <v>397</v>
      </c>
      <c r="F35">
        <v>0.82970500000000003</v>
      </c>
      <c r="G35">
        <v>0.87751900000000005</v>
      </c>
      <c r="H35">
        <v>0.83412200000000003</v>
      </c>
      <c r="I35">
        <v>0.81346600000000002</v>
      </c>
      <c r="J35">
        <v>0.80361899999999997</v>
      </c>
      <c r="K35">
        <v>0.790551</v>
      </c>
      <c r="L35">
        <v>0.79605400000000004</v>
      </c>
      <c r="M35">
        <v>0.79901800000000001</v>
      </c>
      <c r="N35">
        <v>0.80105199999999999</v>
      </c>
      <c r="O35">
        <v>0.80231799999999998</v>
      </c>
      <c r="P35">
        <v>0.80347900000000005</v>
      </c>
      <c r="Q35">
        <v>0.80382399999999998</v>
      </c>
      <c r="R35">
        <v>0.80393400000000004</v>
      </c>
      <c r="S35">
        <v>0.80400700000000003</v>
      </c>
      <c r="T35">
        <v>0.80449499999999996</v>
      </c>
      <c r="U35">
        <v>0.80487200000000003</v>
      </c>
      <c r="V35">
        <v>0.80477799999999999</v>
      </c>
      <c r="W35">
        <v>0.80544700000000002</v>
      </c>
      <c r="X35">
        <v>0.80568399999999996</v>
      </c>
      <c r="Y35">
        <v>0.80564000000000002</v>
      </c>
      <c r="Z35">
        <v>0.80598599999999998</v>
      </c>
      <c r="AA35">
        <v>0.80713400000000002</v>
      </c>
      <c r="AB35">
        <v>0.80882299999999996</v>
      </c>
      <c r="AC35">
        <v>0.80998599999999998</v>
      </c>
      <c r="AD35">
        <v>0.81049899999999997</v>
      </c>
      <c r="AE35">
        <v>0.81148799999999999</v>
      </c>
      <c r="AF35">
        <v>0.81317700000000004</v>
      </c>
      <c r="AG35">
        <v>0.814774</v>
      </c>
      <c r="AH35">
        <v>0.81596199999999997</v>
      </c>
      <c r="AI35" s="42">
        <v>-1E-3</v>
      </c>
    </row>
    <row r="36" spans="1:35" x14ac:dyDescent="0.25">
      <c r="A36" t="s">
        <v>439</v>
      </c>
      <c r="B36" t="s">
        <v>797</v>
      </c>
      <c r="C36" t="s">
        <v>798</v>
      </c>
      <c r="D36" t="s">
        <v>397</v>
      </c>
      <c r="F36">
        <v>3.602684</v>
      </c>
      <c r="G36">
        <v>3.610131</v>
      </c>
      <c r="H36">
        <v>3.5027339999999998</v>
      </c>
      <c r="I36">
        <v>3.5410949999999999</v>
      </c>
      <c r="J36">
        <v>3.5789089999999999</v>
      </c>
      <c r="K36">
        <v>3.5987490000000002</v>
      </c>
      <c r="L36">
        <v>3.6282909999999999</v>
      </c>
      <c r="M36">
        <v>3.6445759999999998</v>
      </c>
      <c r="N36">
        <v>3.6556850000000001</v>
      </c>
      <c r="O36">
        <v>3.6654399999999998</v>
      </c>
      <c r="P36">
        <v>3.6726009999999998</v>
      </c>
      <c r="Q36">
        <v>3.6732589999999998</v>
      </c>
      <c r="R36">
        <v>3.6711459999999998</v>
      </c>
      <c r="S36">
        <v>3.667367</v>
      </c>
      <c r="T36">
        <v>3.6648679999999998</v>
      </c>
      <c r="U36">
        <v>3.6607940000000001</v>
      </c>
      <c r="V36">
        <v>3.6515330000000001</v>
      </c>
      <c r="W36">
        <v>3.644504</v>
      </c>
      <c r="X36">
        <v>3.6357249999999999</v>
      </c>
      <c r="Y36">
        <v>3.626458</v>
      </c>
      <c r="Z36">
        <v>3.6187040000000001</v>
      </c>
      <c r="AA36">
        <v>3.6147429999999998</v>
      </c>
      <c r="AB36">
        <v>3.6141260000000002</v>
      </c>
      <c r="AC36">
        <v>3.6097969999999999</v>
      </c>
      <c r="AD36">
        <v>3.5982889999999998</v>
      </c>
      <c r="AE36">
        <v>3.5909900000000001</v>
      </c>
      <c r="AF36">
        <v>3.588797</v>
      </c>
      <c r="AG36">
        <v>3.5870440000000001</v>
      </c>
      <c r="AH36">
        <v>3.5822229999999999</v>
      </c>
      <c r="AI36" s="42">
        <v>0</v>
      </c>
    </row>
    <row r="37" spans="1:35" x14ac:dyDescent="0.25">
      <c r="A37" t="s">
        <v>441</v>
      </c>
    </row>
    <row r="38" spans="1:35" x14ac:dyDescent="0.25">
      <c r="A38" t="s">
        <v>395</v>
      </c>
      <c r="B38" t="s">
        <v>799</v>
      </c>
      <c r="C38" t="s">
        <v>800</v>
      </c>
      <c r="D38" t="s">
        <v>397</v>
      </c>
      <c r="F38">
        <v>0.21207100000000001</v>
      </c>
      <c r="G38">
        <v>0.20616000000000001</v>
      </c>
      <c r="H38">
        <v>0.189944</v>
      </c>
      <c r="I38">
        <v>0.191777</v>
      </c>
      <c r="J38">
        <v>0.193137</v>
      </c>
      <c r="K38">
        <v>0.194076</v>
      </c>
      <c r="L38">
        <v>0.19486300000000001</v>
      </c>
      <c r="M38">
        <v>0.19411800000000001</v>
      </c>
      <c r="N38">
        <v>0.19242799999999999</v>
      </c>
      <c r="O38">
        <v>0.19037799999999999</v>
      </c>
      <c r="P38">
        <v>0.18828600000000001</v>
      </c>
      <c r="Q38">
        <v>0.18609100000000001</v>
      </c>
      <c r="R38">
        <v>0.18387200000000001</v>
      </c>
      <c r="S38">
        <v>0.18149599999999999</v>
      </c>
      <c r="T38">
        <v>0.17910799999999999</v>
      </c>
      <c r="U38">
        <v>0.176649</v>
      </c>
      <c r="V38">
        <v>0.17415</v>
      </c>
      <c r="W38">
        <v>0.17161699999999999</v>
      </c>
      <c r="X38">
        <v>0.16906099999999999</v>
      </c>
      <c r="Y38">
        <v>0.16651299999999999</v>
      </c>
      <c r="Z38">
        <v>0.16403699999999999</v>
      </c>
      <c r="AA38">
        <v>0.161519</v>
      </c>
      <c r="AB38">
        <v>0.159163</v>
      </c>
      <c r="AC38">
        <v>0.15679599999999999</v>
      </c>
      <c r="AD38">
        <v>0.154307</v>
      </c>
      <c r="AE38">
        <v>0.15187</v>
      </c>
      <c r="AF38">
        <v>0.149531</v>
      </c>
      <c r="AG38">
        <v>0.1472</v>
      </c>
      <c r="AH38">
        <v>0.14493500000000001</v>
      </c>
      <c r="AI38" s="42">
        <v>-1.4E-2</v>
      </c>
    </row>
    <row r="39" spans="1:35" x14ac:dyDescent="0.25">
      <c r="A39" t="s">
        <v>400</v>
      </c>
      <c r="B39" t="s">
        <v>801</v>
      </c>
      <c r="C39" t="s">
        <v>802</v>
      </c>
      <c r="D39" t="s">
        <v>397</v>
      </c>
      <c r="F39">
        <v>6.1390000000000004E-3</v>
      </c>
      <c r="G39">
        <v>5.8989999999999997E-3</v>
      </c>
      <c r="H39">
        <v>5.8729999999999997E-3</v>
      </c>
      <c r="I39">
        <v>5.9800000000000001E-3</v>
      </c>
      <c r="J39">
        <v>6.0720000000000001E-3</v>
      </c>
      <c r="K39">
        <v>6.1510000000000002E-3</v>
      </c>
      <c r="L39">
        <v>6.2319999999999997E-3</v>
      </c>
      <c r="M39">
        <v>6.2690000000000003E-3</v>
      </c>
      <c r="N39">
        <v>6.2769999999999996E-3</v>
      </c>
      <c r="O39">
        <v>6.2700000000000004E-3</v>
      </c>
      <c r="P39">
        <v>6.2620000000000002E-3</v>
      </c>
      <c r="Q39">
        <v>6.2490000000000002E-3</v>
      </c>
      <c r="R39">
        <v>6.2350000000000001E-3</v>
      </c>
      <c r="S39">
        <v>6.215E-3</v>
      </c>
      <c r="T39">
        <v>6.1929999999999997E-3</v>
      </c>
      <c r="U39">
        <v>6.1669999999999997E-3</v>
      </c>
      <c r="V39">
        <v>6.1390000000000004E-3</v>
      </c>
      <c r="W39">
        <v>6.1089999999999998E-3</v>
      </c>
      <c r="X39">
        <v>6.0800000000000003E-3</v>
      </c>
      <c r="Y39">
        <v>6.0480000000000004E-3</v>
      </c>
      <c r="Z39">
        <v>6.0179999999999999E-3</v>
      </c>
      <c r="AA39">
        <v>5.986E-3</v>
      </c>
      <c r="AB39">
        <v>5.96E-3</v>
      </c>
      <c r="AC39">
        <v>5.9329999999999999E-3</v>
      </c>
      <c r="AD39">
        <v>5.901E-3</v>
      </c>
      <c r="AE39">
        <v>5.8710000000000004E-3</v>
      </c>
      <c r="AF39">
        <v>5.8389999999999996E-3</v>
      </c>
      <c r="AG39">
        <v>5.8089999999999999E-3</v>
      </c>
      <c r="AH39">
        <v>5.7800000000000004E-3</v>
      </c>
      <c r="AI39" s="42">
        <v>-2E-3</v>
      </c>
    </row>
    <row r="40" spans="1:35" x14ac:dyDescent="0.25">
      <c r="A40" t="s">
        <v>422</v>
      </c>
      <c r="B40" t="s">
        <v>803</v>
      </c>
      <c r="C40" t="s">
        <v>804</v>
      </c>
      <c r="D40" t="s">
        <v>397</v>
      </c>
      <c r="F40">
        <v>7.9482999999999998E-2</v>
      </c>
      <c r="G40">
        <v>8.0017000000000005E-2</v>
      </c>
      <c r="H40">
        <v>8.1899E-2</v>
      </c>
      <c r="I40">
        <v>8.2917000000000005E-2</v>
      </c>
      <c r="J40">
        <v>8.3774000000000001E-2</v>
      </c>
      <c r="K40">
        <v>8.4482000000000002E-2</v>
      </c>
      <c r="L40">
        <v>8.6216000000000001E-2</v>
      </c>
      <c r="M40">
        <v>8.7276000000000006E-2</v>
      </c>
      <c r="N40">
        <v>8.7908E-2</v>
      </c>
      <c r="O40">
        <v>8.8286000000000003E-2</v>
      </c>
      <c r="P40">
        <v>8.8641999999999999E-2</v>
      </c>
      <c r="Q40">
        <v>8.8950000000000001E-2</v>
      </c>
      <c r="R40">
        <v>8.9274000000000006E-2</v>
      </c>
      <c r="S40">
        <v>8.9539999999999995E-2</v>
      </c>
      <c r="T40">
        <v>8.9810000000000001E-2</v>
      </c>
      <c r="U40">
        <v>9.0051999999999993E-2</v>
      </c>
      <c r="V40">
        <v>9.0277999999999997E-2</v>
      </c>
      <c r="W40">
        <v>9.0495999999999993E-2</v>
      </c>
      <c r="X40">
        <v>9.0717000000000006E-2</v>
      </c>
      <c r="Y40">
        <v>9.0885999999999995E-2</v>
      </c>
      <c r="Z40">
        <v>9.1095999999999996E-2</v>
      </c>
      <c r="AA40">
        <v>9.1273999999999994E-2</v>
      </c>
      <c r="AB40">
        <v>9.1533000000000003E-2</v>
      </c>
      <c r="AC40">
        <v>9.1760999999999995E-2</v>
      </c>
      <c r="AD40">
        <v>9.1551999999999994E-2</v>
      </c>
      <c r="AE40">
        <v>9.1488E-2</v>
      </c>
      <c r="AF40">
        <v>9.1622999999999996E-2</v>
      </c>
      <c r="AG40">
        <v>9.1867000000000004E-2</v>
      </c>
      <c r="AH40">
        <v>9.2141000000000001E-2</v>
      </c>
      <c r="AI40" s="42">
        <v>5.0000000000000001E-3</v>
      </c>
    </row>
    <row r="41" spans="1:35" x14ac:dyDescent="0.25">
      <c r="A41" t="s">
        <v>439</v>
      </c>
      <c r="B41" t="s">
        <v>805</v>
      </c>
      <c r="C41" t="s">
        <v>806</v>
      </c>
      <c r="D41" t="s">
        <v>397</v>
      </c>
      <c r="F41">
        <v>0.29769400000000001</v>
      </c>
      <c r="G41">
        <v>0.292076</v>
      </c>
      <c r="H41">
        <v>0.27771600000000002</v>
      </c>
      <c r="I41">
        <v>0.28067399999999998</v>
      </c>
      <c r="J41">
        <v>0.28298299999999998</v>
      </c>
      <c r="K41">
        <v>0.28470800000000002</v>
      </c>
      <c r="L41">
        <v>0.28731099999999998</v>
      </c>
      <c r="M41">
        <v>0.287663</v>
      </c>
      <c r="N41">
        <v>0.28661300000000001</v>
      </c>
      <c r="O41">
        <v>0.28493400000000002</v>
      </c>
      <c r="P41">
        <v>0.28319</v>
      </c>
      <c r="Q41">
        <v>0.28128999999999998</v>
      </c>
      <c r="R41">
        <v>0.27938000000000002</v>
      </c>
      <c r="S41">
        <v>0.27725100000000003</v>
      </c>
      <c r="T41">
        <v>0.27511099999999999</v>
      </c>
      <c r="U41">
        <v>0.272868</v>
      </c>
      <c r="V41">
        <v>0.27056799999999998</v>
      </c>
      <c r="W41">
        <v>0.26822299999999999</v>
      </c>
      <c r="X41">
        <v>0.26585700000000001</v>
      </c>
      <c r="Y41">
        <v>0.26344699999999999</v>
      </c>
      <c r="Z41">
        <v>0.26114999999999999</v>
      </c>
      <c r="AA41">
        <v>0.25877899999999998</v>
      </c>
      <c r="AB41">
        <v>0.25665500000000002</v>
      </c>
      <c r="AC41">
        <v>0.25448999999999999</v>
      </c>
      <c r="AD41">
        <v>0.25175900000000001</v>
      </c>
      <c r="AE41">
        <v>0.24922900000000001</v>
      </c>
      <c r="AF41">
        <v>0.24699299999999999</v>
      </c>
      <c r="AG41">
        <v>0.24487600000000001</v>
      </c>
      <c r="AH41">
        <v>0.24285599999999999</v>
      </c>
      <c r="AI41" s="42">
        <v>-7.0000000000000001E-3</v>
      </c>
    </row>
    <row r="42" spans="1:35" x14ac:dyDescent="0.25">
      <c r="A42" t="s">
        <v>636</v>
      </c>
      <c r="B42" t="s">
        <v>807</v>
      </c>
      <c r="C42" t="s">
        <v>808</v>
      </c>
      <c r="D42" t="s">
        <v>397</v>
      </c>
      <c r="F42">
        <v>0.120805</v>
      </c>
      <c r="G42">
        <v>0.120805</v>
      </c>
      <c r="H42">
        <v>0.120805</v>
      </c>
      <c r="I42">
        <v>0.120805</v>
      </c>
      <c r="J42">
        <v>0.120805</v>
      </c>
      <c r="K42">
        <v>0.120805</v>
      </c>
      <c r="L42">
        <v>0.120805</v>
      </c>
      <c r="M42">
        <v>0.120805</v>
      </c>
      <c r="N42">
        <v>0.120805</v>
      </c>
      <c r="O42">
        <v>0.120805</v>
      </c>
      <c r="P42">
        <v>0.120805</v>
      </c>
      <c r="Q42">
        <v>0.120805</v>
      </c>
      <c r="R42">
        <v>0.120805</v>
      </c>
      <c r="S42">
        <v>0.120805</v>
      </c>
      <c r="T42">
        <v>0.120805</v>
      </c>
      <c r="U42">
        <v>0.120805</v>
      </c>
      <c r="V42">
        <v>0.120805</v>
      </c>
      <c r="W42">
        <v>0.120805</v>
      </c>
      <c r="X42">
        <v>0.120805</v>
      </c>
      <c r="Y42">
        <v>0.120805</v>
      </c>
      <c r="Z42">
        <v>0.120805</v>
      </c>
      <c r="AA42">
        <v>0.120805</v>
      </c>
      <c r="AB42">
        <v>0.120805</v>
      </c>
      <c r="AC42">
        <v>0.120805</v>
      </c>
      <c r="AD42">
        <v>0.120805</v>
      </c>
      <c r="AE42">
        <v>0.120805</v>
      </c>
      <c r="AF42">
        <v>0.120805</v>
      </c>
      <c r="AG42">
        <v>0.120805</v>
      </c>
      <c r="AH42">
        <v>0.120805</v>
      </c>
      <c r="AI42" s="42">
        <v>0</v>
      </c>
    </row>
    <row r="43" spans="1:35" x14ac:dyDescent="0.25">
      <c r="A43" t="s">
        <v>638</v>
      </c>
      <c r="B43" t="s">
        <v>809</v>
      </c>
      <c r="C43" t="s">
        <v>810</v>
      </c>
      <c r="D43" t="s">
        <v>397</v>
      </c>
      <c r="F43">
        <v>0.59923199999999999</v>
      </c>
      <c r="G43">
        <v>0.60484899999999997</v>
      </c>
      <c r="H43">
        <v>0.60413099999999997</v>
      </c>
      <c r="I43">
        <v>0.60436699999999999</v>
      </c>
      <c r="J43">
        <v>0.60346599999999995</v>
      </c>
      <c r="K43">
        <v>0.60290500000000002</v>
      </c>
      <c r="L43">
        <v>0.60595600000000005</v>
      </c>
      <c r="M43">
        <v>0.60901499999999997</v>
      </c>
      <c r="N43">
        <v>0.61300100000000002</v>
      </c>
      <c r="O43">
        <v>0.61517599999999995</v>
      </c>
      <c r="P43">
        <v>0.61818700000000004</v>
      </c>
      <c r="Q43">
        <v>0.62084499999999998</v>
      </c>
      <c r="R43">
        <v>0.62326899999999996</v>
      </c>
      <c r="S43">
        <v>0.62568900000000005</v>
      </c>
      <c r="T43">
        <v>0.62770099999999995</v>
      </c>
      <c r="U43">
        <v>0.62944199999999995</v>
      </c>
      <c r="V43">
        <v>0.63111700000000004</v>
      </c>
      <c r="W43">
        <v>0.63296799999999998</v>
      </c>
      <c r="X43">
        <v>0.63469799999999998</v>
      </c>
      <c r="Y43">
        <v>0.63639999999999997</v>
      </c>
      <c r="Z43">
        <v>0.63813500000000001</v>
      </c>
      <c r="AA43">
        <v>0.63997199999999999</v>
      </c>
      <c r="AB43">
        <v>0.64172499999999999</v>
      </c>
      <c r="AC43">
        <v>0.64349199999999995</v>
      </c>
      <c r="AD43">
        <v>0.64472399999999996</v>
      </c>
      <c r="AE43">
        <v>0.64665099999999998</v>
      </c>
      <c r="AF43">
        <v>0.64840600000000004</v>
      </c>
      <c r="AG43">
        <v>0.65046800000000005</v>
      </c>
      <c r="AH43">
        <v>0.65251300000000001</v>
      </c>
      <c r="AI43" s="42">
        <v>3.0000000000000001E-3</v>
      </c>
    </row>
    <row r="44" spans="1:35" x14ac:dyDescent="0.25">
      <c r="A44" t="s">
        <v>453</v>
      </c>
    </row>
    <row r="45" spans="1:35" x14ac:dyDescent="0.25">
      <c r="A45" t="s">
        <v>395</v>
      </c>
      <c r="B45" t="s">
        <v>811</v>
      </c>
      <c r="C45" t="s">
        <v>812</v>
      </c>
      <c r="D45" t="s">
        <v>397</v>
      </c>
      <c r="F45">
        <v>2.1567989999999999</v>
      </c>
      <c r="G45">
        <v>2.119221</v>
      </c>
      <c r="H45">
        <v>2.0069789999999998</v>
      </c>
      <c r="I45">
        <v>2.0414409999999998</v>
      </c>
      <c r="J45">
        <v>2.0682239999999998</v>
      </c>
      <c r="K45">
        <v>2.0844740000000002</v>
      </c>
      <c r="L45">
        <v>2.0941689999999999</v>
      </c>
      <c r="M45">
        <v>2.0944859999999998</v>
      </c>
      <c r="N45">
        <v>2.0905140000000002</v>
      </c>
      <c r="O45">
        <v>2.0858240000000001</v>
      </c>
      <c r="P45">
        <v>2.0792950000000001</v>
      </c>
      <c r="Q45">
        <v>2.0688300000000002</v>
      </c>
      <c r="R45">
        <v>2.0566239999999998</v>
      </c>
      <c r="S45">
        <v>2.0432839999999999</v>
      </c>
      <c r="T45">
        <v>2.0304120000000001</v>
      </c>
      <c r="U45">
        <v>2.0165229999999998</v>
      </c>
      <c r="V45">
        <v>1.999519</v>
      </c>
      <c r="W45">
        <v>1.9832240000000001</v>
      </c>
      <c r="X45">
        <v>1.9662580000000001</v>
      </c>
      <c r="Y45">
        <v>1.9491309999999999</v>
      </c>
      <c r="Z45">
        <v>1.9327799999999999</v>
      </c>
      <c r="AA45">
        <v>1.9181760000000001</v>
      </c>
      <c r="AB45">
        <v>1.905357</v>
      </c>
      <c r="AC45">
        <v>1.8906529999999999</v>
      </c>
      <c r="AD45">
        <v>1.8733</v>
      </c>
      <c r="AE45">
        <v>1.8577349999999999</v>
      </c>
      <c r="AF45">
        <v>1.84416</v>
      </c>
      <c r="AG45">
        <v>1.8304210000000001</v>
      </c>
      <c r="AH45">
        <v>1.815094</v>
      </c>
      <c r="AI45" s="42">
        <v>-6.0000000000000001E-3</v>
      </c>
    </row>
    <row r="46" spans="1:35" x14ac:dyDescent="0.25">
      <c r="A46" t="s">
        <v>398</v>
      </c>
      <c r="B46" t="s">
        <v>813</v>
      </c>
      <c r="C46" t="s">
        <v>814</v>
      </c>
      <c r="D46" t="s">
        <v>397</v>
      </c>
      <c r="F46">
        <v>0.56770900000000002</v>
      </c>
      <c r="G46">
        <v>0.497307</v>
      </c>
      <c r="H46">
        <v>0.57641799999999999</v>
      </c>
      <c r="I46">
        <v>0.58604000000000001</v>
      </c>
      <c r="J46">
        <v>0.59398200000000001</v>
      </c>
      <c r="K46">
        <v>0.60145700000000002</v>
      </c>
      <c r="L46">
        <v>0.60889700000000002</v>
      </c>
      <c r="M46">
        <v>0.61600200000000005</v>
      </c>
      <c r="N46">
        <v>0.62178699999999998</v>
      </c>
      <c r="O46">
        <v>0.62784799999999996</v>
      </c>
      <c r="P46">
        <v>0.63409899999999997</v>
      </c>
      <c r="Q46">
        <v>0.63862600000000003</v>
      </c>
      <c r="R46">
        <v>0.64276299999999997</v>
      </c>
      <c r="S46">
        <v>0.64734499999999995</v>
      </c>
      <c r="T46">
        <v>0.65202800000000005</v>
      </c>
      <c r="U46">
        <v>0.65664400000000001</v>
      </c>
      <c r="V46">
        <v>0.66073000000000004</v>
      </c>
      <c r="W46">
        <v>0.66483199999999998</v>
      </c>
      <c r="X46">
        <v>0.66848200000000002</v>
      </c>
      <c r="Y46">
        <v>0.67252000000000001</v>
      </c>
      <c r="Z46">
        <v>0.67693099999999995</v>
      </c>
      <c r="AA46">
        <v>0.68160100000000001</v>
      </c>
      <c r="AB46">
        <v>0.68668499999999999</v>
      </c>
      <c r="AC46">
        <v>0.69230199999999997</v>
      </c>
      <c r="AD46">
        <v>0.69904699999999997</v>
      </c>
      <c r="AE46">
        <v>0.70658299999999996</v>
      </c>
      <c r="AF46">
        <v>0.71440800000000004</v>
      </c>
      <c r="AG46">
        <v>0.72237300000000004</v>
      </c>
      <c r="AH46">
        <v>0.73107699999999998</v>
      </c>
      <c r="AI46" s="42">
        <v>8.9999999999999993E-3</v>
      </c>
    </row>
    <row r="47" spans="1:35" x14ac:dyDescent="0.25">
      <c r="A47" t="s">
        <v>400</v>
      </c>
      <c r="B47" t="s">
        <v>815</v>
      </c>
      <c r="C47" t="s">
        <v>816</v>
      </c>
      <c r="D47" t="s">
        <v>397</v>
      </c>
      <c r="F47">
        <v>0.62239199999999995</v>
      </c>
      <c r="G47">
        <v>0.61648700000000001</v>
      </c>
      <c r="H47">
        <v>0.62638199999999999</v>
      </c>
      <c r="I47">
        <v>0.64160099999999998</v>
      </c>
      <c r="J47">
        <v>0.65436700000000003</v>
      </c>
      <c r="K47">
        <v>0.66423600000000005</v>
      </c>
      <c r="L47">
        <v>0.67247500000000004</v>
      </c>
      <c r="M47">
        <v>0.67865399999999998</v>
      </c>
      <c r="N47">
        <v>0.68412200000000001</v>
      </c>
      <c r="O47">
        <v>0.68943200000000004</v>
      </c>
      <c r="P47">
        <v>0.69428699999999999</v>
      </c>
      <c r="Q47">
        <v>0.69785900000000001</v>
      </c>
      <c r="R47">
        <v>0.70086000000000004</v>
      </c>
      <c r="S47">
        <v>0.70355900000000005</v>
      </c>
      <c r="T47">
        <v>0.70652700000000002</v>
      </c>
      <c r="U47">
        <v>0.70912900000000001</v>
      </c>
      <c r="V47">
        <v>0.71062800000000004</v>
      </c>
      <c r="W47">
        <v>0.71255900000000005</v>
      </c>
      <c r="X47">
        <v>0.71415200000000001</v>
      </c>
      <c r="Y47">
        <v>0.71578200000000003</v>
      </c>
      <c r="Z47">
        <v>0.71773699999999996</v>
      </c>
      <c r="AA47">
        <v>0.72048800000000002</v>
      </c>
      <c r="AB47">
        <v>0.72402699999999998</v>
      </c>
      <c r="AC47">
        <v>0.72670500000000005</v>
      </c>
      <c r="AD47">
        <v>0.72720399999999996</v>
      </c>
      <c r="AE47">
        <v>0.72896399999999995</v>
      </c>
      <c r="AF47">
        <v>0.73219699999999999</v>
      </c>
      <c r="AG47">
        <v>0.73582999999999998</v>
      </c>
      <c r="AH47">
        <v>0.73886499999999999</v>
      </c>
      <c r="AI47" s="42">
        <v>6.0000000000000001E-3</v>
      </c>
    </row>
    <row r="48" spans="1:35" x14ac:dyDescent="0.25">
      <c r="A48" t="s">
        <v>611</v>
      </c>
      <c r="B48" t="s">
        <v>817</v>
      </c>
      <c r="C48" t="s">
        <v>818</v>
      </c>
      <c r="D48" t="s">
        <v>397</v>
      </c>
      <c r="F48">
        <v>0.41879300000000003</v>
      </c>
      <c r="G48">
        <v>0.407891</v>
      </c>
      <c r="H48">
        <v>0.40001900000000001</v>
      </c>
      <c r="I48">
        <v>0.394285</v>
      </c>
      <c r="J48">
        <v>0.38813999999999999</v>
      </c>
      <c r="K48">
        <v>0.38119500000000001</v>
      </c>
      <c r="L48">
        <v>0.37394899999999998</v>
      </c>
      <c r="M48">
        <v>0.36649399999999999</v>
      </c>
      <c r="N48">
        <v>0.35841099999999998</v>
      </c>
      <c r="O48">
        <v>0.35066599999999998</v>
      </c>
      <c r="P48">
        <v>0.34295799999999999</v>
      </c>
      <c r="Q48">
        <v>0.33487299999999998</v>
      </c>
      <c r="R48">
        <v>0.32677299999999998</v>
      </c>
      <c r="S48">
        <v>0.31914799999999999</v>
      </c>
      <c r="T48">
        <v>0.311811</v>
      </c>
      <c r="U48">
        <v>0.30456</v>
      </c>
      <c r="V48">
        <v>0.29719499999999999</v>
      </c>
      <c r="W48">
        <v>0.28995700000000002</v>
      </c>
      <c r="X48">
        <v>0.28303099999999998</v>
      </c>
      <c r="Y48">
        <v>0.276615</v>
      </c>
      <c r="Z48">
        <v>0.270569</v>
      </c>
      <c r="AA48">
        <v>0.26481399999999999</v>
      </c>
      <c r="AB48">
        <v>0.25929200000000002</v>
      </c>
      <c r="AC48">
        <v>0.25397799999999998</v>
      </c>
      <c r="AD48">
        <v>0.24892300000000001</v>
      </c>
      <c r="AE48">
        <v>0.24418300000000001</v>
      </c>
      <c r="AF48">
        <v>0.239593</v>
      </c>
      <c r="AG48">
        <v>0.23527899999999999</v>
      </c>
      <c r="AH48">
        <v>0.23125899999999999</v>
      </c>
      <c r="AI48" s="42">
        <v>-2.1000000000000001E-2</v>
      </c>
    </row>
    <row r="49" spans="1:35" x14ac:dyDescent="0.25">
      <c r="A49" t="s">
        <v>404</v>
      </c>
      <c r="B49" t="s">
        <v>819</v>
      </c>
      <c r="C49" t="s">
        <v>820</v>
      </c>
      <c r="D49" t="s">
        <v>397</v>
      </c>
      <c r="F49">
        <v>0.41303499999999999</v>
      </c>
      <c r="G49">
        <v>0.41266199999999997</v>
      </c>
      <c r="H49">
        <v>0.42121900000000001</v>
      </c>
      <c r="I49">
        <v>0.43261899999999998</v>
      </c>
      <c r="J49">
        <v>0.44208500000000001</v>
      </c>
      <c r="K49">
        <v>0.44947500000000001</v>
      </c>
      <c r="L49">
        <v>0.45582400000000001</v>
      </c>
      <c r="M49">
        <v>0.46112399999999998</v>
      </c>
      <c r="N49">
        <v>0.46594099999999999</v>
      </c>
      <c r="O49">
        <v>0.470744</v>
      </c>
      <c r="P49">
        <v>0.47515000000000002</v>
      </c>
      <c r="Q49">
        <v>0.47858099999999998</v>
      </c>
      <c r="R49">
        <v>0.48148600000000003</v>
      </c>
      <c r="S49">
        <v>0.48413</v>
      </c>
      <c r="T49">
        <v>0.486817</v>
      </c>
      <c r="U49">
        <v>0.48918800000000001</v>
      </c>
      <c r="V49">
        <v>0.49080400000000002</v>
      </c>
      <c r="W49">
        <v>0.49257499999999999</v>
      </c>
      <c r="X49">
        <v>0.49400100000000002</v>
      </c>
      <c r="Y49">
        <v>0.49556600000000001</v>
      </c>
      <c r="Z49">
        <v>0.497278</v>
      </c>
      <c r="AA49">
        <v>0.49942399999999998</v>
      </c>
      <c r="AB49">
        <v>0.50195699999999999</v>
      </c>
      <c r="AC49">
        <v>0.50407800000000003</v>
      </c>
      <c r="AD49">
        <v>0.50450399999999995</v>
      </c>
      <c r="AE49">
        <v>0.50577300000000003</v>
      </c>
      <c r="AF49">
        <v>0.50798699999999997</v>
      </c>
      <c r="AG49">
        <v>0.51055899999999999</v>
      </c>
      <c r="AH49">
        <v>0.51284300000000005</v>
      </c>
      <c r="AI49" s="42">
        <v>8.0000000000000002E-3</v>
      </c>
    </row>
    <row r="50" spans="1:35" x14ac:dyDescent="0.25">
      <c r="A50" t="s">
        <v>410</v>
      </c>
      <c r="B50" t="s">
        <v>821</v>
      </c>
      <c r="C50" t="s">
        <v>822</v>
      </c>
      <c r="D50" t="s">
        <v>397</v>
      </c>
      <c r="F50">
        <v>0.49728099999999997</v>
      </c>
      <c r="G50">
        <v>0.48855999999999999</v>
      </c>
      <c r="H50">
        <v>0.48579499999999998</v>
      </c>
      <c r="I50">
        <v>0.48757200000000001</v>
      </c>
      <c r="J50">
        <v>0.48936600000000002</v>
      </c>
      <c r="K50">
        <v>0.490566</v>
      </c>
      <c r="L50">
        <v>0.49202499999999999</v>
      </c>
      <c r="M50">
        <v>0.49368899999999999</v>
      </c>
      <c r="N50">
        <v>0.49101899999999998</v>
      </c>
      <c r="O50">
        <v>0.48896099999999998</v>
      </c>
      <c r="P50">
        <v>0.48697299999999999</v>
      </c>
      <c r="Q50">
        <v>0.48422700000000002</v>
      </c>
      <c r="R50">
        <v>0.48097899999999999</v>
      </c>
      <c r="S50">
        <v>0.47800999999999999</v>
      </c>
      <c r="T50">
        <v>0.474966</v>
      </c>
      <c r="U50">
        <v>0.47095500000000001</v>
      </c>
      <c r="V50">
        <v>0.46600999999999998</v>
      </c>
      <c r="W50">
        <v>0.45994200000000002</v>
      </c>
      <c r="X50">
        <v>0.45792899999999997</v>
      </c>
      <c r="Y50">
        <v>0.45681100000000002</v>
      </c>
      <c r="Z50">
        <v>0.45597100000000002</v>
      </c>
      <c r="AA50">
        <v>0.45552999999999999</v>
      </c>
      <c r="AB50">
        <v>0.455459</v>
      </c>
      <c r="AC50">
        <v>0.45567999999999997</v>
      </c>
      <c r="AD50">
        <v>0.45632899999999998</v>
      </c>
      <c r="AE50">
        <v>0.45772200000000002</v>
      </c>
      <c r="AF50">
        <v>0.45915800000000001</v>
      </c>
      <c r="AG50">
        <v>0.460843</v>
      </c>
      <c r="AH50">
        <v>0.46300400000000003</v>
      </c>
      <c r="AI50" s="42">
        <v>-3.0000000000000001E-3</v>
      </c>
    </row>
    <row r="51" spans="1:35" x14ac:dyDescent="0.25">
      <c r="A51" t="s">
        <v>402</v>
      </c>
      <c r="B51" t="s">
        <v>823</v>
      </c>
      <c r="C51" t="s">
        <v>824</v>
      </c>
      <c r="D51" t="s">
        <v>397</v>
      </c>
      <c r="F51">
        <v>0.603352</v>
      </c>
      <c r="G51">
        <v>0.60135499999999997</v>
      </c>
      <c r="H51">
        <v>0.60267999999999999</v>
      </c>
      <c r="I51">
        <v>0.60644600000000004</v>
      </c>
      <c r="J51">
        <v>0.60968599999999995</v>
      </c>
      <c r="K51">
        <v>0.61227900000000002</v>
      </c>
      <c r="L51">
        <v>0.61520399999999997</v>
      </c>
      <c r="M51">
        <v>0.61849299999999996</v>
      </c>
      <c r="N51">
        <v>0.62074799999999997</v>
      </c>
      <c r="O51">
        <v>0.62390000000000001</v>
      </c>
      <c r="P51">
        <v>0.62699000000000005</v>
      </c>
      <c r="Q51">
        <v>0.62938700000000003</v>
      </c>
      <c r="R51">
        <v>0.63132500000000003</v>
      </c>
      <c r="S51">
        <v>0.63321400000000005</v>
      </c>
      <c r="T51">
        <v>0.63485499999999995</v>
      </c>
      <c r="U51">
        <v>0.63615500000000003</v>
      </c>
      <c r="V51">
        <v>0.636938</v>
      </c>
      <c r="W51">
        <v>0.63747399999999999</v>
      </c>
      <c r="X51">
        <v>0.63791900000000001</v>
      </c>
      <c r="Y51">
        <v>0.63905800000000001</v>
      </c>
      <c r="Z51">
        <v>0.64029400000000003</v>
      </c>
      <c r="AA51">
        <v>0.64160899999999998</v>
      </c>
      <c r="AB51">
        <v>0.642984</v>
      </c>
      <c r="AC51">
        <v>0.64441700000000002</v>
      </c>
      <c r="AD51">
        <v>0.64599600000000001</v>
      </c>
      <c r="AE51">
        <v>0.64779299999999995</v>
      </c>
      <c r="AF51">
        <v>0.64965700000000004</v>
      </c>
      <c r="AG51">
        <v>0.65169699999999997</v>
      </c>
      <c r="AH51">
        <v>0.65393400000000002</v>
      </c>
      <c r="AI51" s="42">
        <v>3.0000000000000001E-3</v>
      </c>
    </row>
    <row r="52" spans="1:35" x14ac:dyDescent="0.25">
      <c r="A52" t="s">
        <v>616</v>
      </c>
      <c r="B52" t="s">
        <v>825</v>
      </c>
      <c r="C52" t="s">
        <v>826</v>
      </c>
      <c r="D52" t="s">
        <v>397</v>
      </c>
      <c r="F52">
        <v>0.43073600000000001</v>
      </c>
      <c r="G52">
        <v>0.434585</v>
      </c>
      <c r="H52">
        <v>0.43993500000000002</v>
      </c>
      <c r="I52">
        <v>0.447378</v>
      </c>
      <c r="J52">
        <v>0.45436900000000002</v>
      </c>
      <c r="K52">
        <v>0.46098600000000001</v>
      </c>
      <c r="L52">
        <v>0.46887200000000001</v>
      </c>
      <c r="M52">
        <v>0.477159</v>
      </c>
      <c r="N52">
        <v>0.48619699999999999</v>
      </c>
      <c r="O52">
        <v>0.49543300000000001</v>
      </c>
      <c r="P52">
        <v>0.50508200000000003</v>
      </c>
      <c r="Q52">
        <v>0.51431199999999999</v>
      </c>
      <c r="R52">
        <v>0.52371100000000004</v>
      </c>
      <c r="S52">
        <v>0.53291500000000003</v>
      </c>
      <c r="T52">
        <v>0.54290400000000005</v>
      </c>
      <c r="U52">
        <v>0.55216500000000002</v>
      </c>
      <c r="V52">
        <v>0.56217499999999998</v>
      </c>
      <c r="W52">
        <v>0.57200700000000004</v>
      </c>
      <c r="X52">
        <v>0.58174599999999999</v>
      </c>
      <c r="Y52">
        <v>0.59145400000000004</v>
      </c>
      <c r="Z52">
        <v>0.60173699999999997</v>
      </c>
      <c r="AA52">
        <v>0.61264799999999997</v>
      </c>
      <c r="AB52">
        <v>0.62317100000000003</v>
      </c>
      <c r="AC52">
        <v>0.63440600000000003</v>
      </c>
      <c r="AD52">
        <v>0.64643499999999998</v>
      </c>
      <c r="AE52">
        <v>0.65822099999999995</v>
      </c>
      <c r="AF52">
        <v>0.67073700000000003</v>
      </c>
      <c r="AG52">
        <v>0.68349800000000005</v>
      </c>
      <c r="AH52">
        <v>0.69654000000000005</v>
      </c>
      <c r="AI52" s="42">
        <v>1.7000000000000001E-2</v>
      </c>
    </row>
    <row r="53" spans="1:35" x14ac:dyDescent="0.25">
      <c r="A53" t="s">
        <v>618</v>
      </c>
      <c r="B53" t="s">
        <v>827</v>
      </c>
      <c r="C53" t="s">
        <v>828</v>
      </c>
      <c r="D53" t="s">
        <v>397</v>
      </c>
      <c r="F53">
        <v>0.174708</v>
      </c>
      <c r="G53">
        <v>0.173262</v>
      </c>
      <c r="H53">
        <v>0.17277699999999999</v>
      </c>
      <c r="I53">
        <v>0.17319300000000001</v>
      </c>
      <c r="J53">
        <v>0.17386399999999999</v>
      </c>
      <c r="K53">
        <v>0.174594</v>
      </c>
      <c r="L53">
        <v>0.17566599999999999</v>
      </c>
      <c r="M53">
        <v>0.17710699999999999</v>
      </c>
      <c r="N53">
        <v>0.17887400000000001</v>
      </c>
      <c r="O53">
        <v>0.180673</v>
      </c>
      <c r="P53">
        <v>0.18267900000000001</v>
      </c>
      <c r="Q53">
        <v>0.184498</v>
      </c>
      <c r="R53">
        <v>0.185888</v>
      </c>
      <c r="S53">
        <v>0.18745700000000001</v>
      </c>
      <c r="T53">
        <v>0.18862699999999999</v>
      </c>
      <c r="U53">
        <v>0.18968199999999999</v>
      </c>
      <c r="V53">
        <v>0.190608</v>
      </c>
      <c r="W53">
        <v>0.190859</v>
      </c>
      <c r="X53">
        <v>0.19103999999999999</v>
      </c>
      <c r="Y53">
        <v>0.19087699999999999</v>
      </c>
      <c r="Z53">
        <v>0.19009000000000001</v>
      </c>
      <c r="AA53">
        <v>0.18897900000000001</v>
      </c>
      <c r="AB53">
        <v>0.18754999999999999</v>
      </c>
      <c r="AC53">
        <v>0.1855</v>
      </c>
      <c r="AD53">
        <v>0.183143</v>
      </c>
      <c r="AE53">
        <v>0.180174</v>
      </c>
      <c r="AF53">
        <v>0.176542</v>
      </c>
      <c r="AG53">
        <v>0.17224400000000001</v>
      </c>
      <c r="AH53">
        <v>0.16695299999999999</v>
      </c>
      <c r="AI53" s="42">
        <v>-2E-3</v>
      </c>
    </row>
    <row r="54" spans="1:35" x14ac:dyDescent="0.25">
      <c r="A54" t="s">
        <v>422</v>
      </c>
      <c r="B54" t="s">
        <v>829</v>
      </c>
      <c r="C54" t="s">
        <v>830</v>
      </c>
      <c r="D54" t="s">
        <v>397</v>
      </c>
      <c r="F54">
        <v>3.4507249999999998</v>
      </c>
      <c r="G54">
        <v>3.536727</v>
      </c>
      <c r="H54">
        <v>3.4764119999999998</v>
      </c>
      <c r="I54">
        <v>3.4431989999999999</v>
      </c>
      <c r="J54">
        <v>3.4318369999999998</v>
      </c>
      <c r="K54">
        <v>3.4161250000000001</v>
      </c>
      <c r="L54">
        <v>3.446787</v>
      </c>
      <c r="M54">
        <v>3.4757069999999999</v>
      </c>
      <c r="N54">
        <v>3.5049540000000001</v>
      </c>
      <c r="O54">
        <v>3.5324049999999998</v>
      </c>
      <c r="P54">
        <v>3.5605950000000002</v>
      </c>
      <c r="Q54">
        <v>3.5863670000000001</v>
      </c>
      <c r="R54">
        <v>3.6106569999999998</v>
      </c>
      <c r="S54">
        <v>3.6347269999999998</v>
      </c>
      <c r="T54">
        <v>3.658757</v>
      </c>
      <c r="U54">
        <v>3.6816170000000001</v>
      </c>
      <c r="V54">
        <v>3.7035990000000001</v>
      </c>
      <c r="W54">
        <v>3.7265060000000001</v>
      </c>
      <c r="X54">
        <v>3.7487550000000001</v>
      </c>
      <c r="Y54">
        <v>3.7714799999999999</v>
      </c>
      <c r="Z54">
        <v>3.7952819999999998</v>
      </c>
      <c r="AA54">
        <v>3.821091</v>
      </c>
      <c r="AB54">
        <v>3.8484419999999999</v>
      </c>
      <c r="AC54">
        <v>3.876735</v>
      </c>
      <c r="AD54">
        <v>3.9044140000000001</v>
      </c>
      <c r="AE54">
        <v>3.9351759999999998</v>
      </c>
      <c r="AF54">
        <v>3.967991</v>
      </c>
      <c r="AG54">
        <v>4.0022770000000003</v>
      </c>
      <c r="AH54">
        <v>4.0378090000000002</v>
      </c>
      <c r="AI54" s="42">
        <v>6.0000000000000001E-3</v>
      </c>
    </row>
    <row r="55" spans="1:35" x14ac:dyDescent="0.25">
      <c r="A55" t="s">
        <v>381</v>
      </c>
      <c r="B55" t="s">
        <v>831</v>
      </c>
      <c r="C55" t="s">
        <v>832</v>
      </c>
      <c r="D55" t="s">
        <v>397</v>
      </c>
      <c r="F55">
        <v>9.335528</v>
      </c>
      <c r="G55">
        <v>9.2880570000000002</v>
      </c>
      <c r="H55">
        <v>9.2086159999999992</v>
      </c>
      <c r="I55">
        <v>9.2537749999999992</v>
      </c>
      <c r="J55">
        <v>9.3059200000000004</v>
      </c>
      <c r="K55">
        <v>9.3353859999999997</v>
      </c>
      <c r="L55">
        <v>9.403867</v>
      </c>
      <c r="M55">
        <v>9.4589149999999993</v>
      </c>
      <c r="N55">
        <v>9.5025680000000001</v>
      </c>
      <c r="O55">
        <v>9.5458870000000005</v>
      </c>
      <c r="P55">
        <v>9.5881089999999993</v>
      </c>
      <c r="Q55">
        <v>9.617559</v>
      </c>
      <c r="R55">
        <v>9.6410680000000006</v>
      </c>
      <c r="S55">
        <v>9.6637880000000003</v>
      </c>
      <c r="T55">
        <v>9.6877049999999993</v>
      </c>
      <c r="U55">
        <v>9.7066199999999991</v>
      </c>
      <c r="V55">
        <v>9.7182060000000003</v>
      </c>
      <c r="W55">
        <v>9.7299340000000001</v>
      </c>
      <c r="X55">
        <v>9.7433150000000008</v>
      </c>
      <c r="Y55">
        <v>9.7592949999999998</v>
      </c>
      <c r="Z55">
        <v>9.7786690000000007</v>
      </c>
      <c r="AA55">
        <v>9.8043589999999998</v>
      </c>
      <c r="AB55">
        <v>9.8349259999999994</v>
      </c>
      <c r="AC55">
        <v>9.8644540000000003</v>
      </c>
      <c r="AD55">
        <v>9.8892959999999999</v>
      </c>
      <c r="AE55">
        <v>9.9223239999999997</v>
      </c>
      <c r="AF55">
        <v>9.9624299999999995</v>
      </c>
      <c r="AG55">
        <v>10.005023</v>
      </c>
      <c r="AH55">
        <v>10.047378999999999</v>
      </c>
      <c r="AI55" s="42">
        <v>3.0000000000000001E-3</v>
      </c>
    </row>
    <row r="56" spans="1:35" x14ac:dyDescent="0.25">
      <c r="A56" t="s">
        <v>428</v>
      </c>
      <c r="B56" t="s">
        <v>833</v>
      </c>
      <c r="C56" t="s">
        <v>834</v>
      </c>
      <c r="D56" t="s">
        <v>397</v>
      </c>
      <c r="F56">
        <v>0.120598</v>
      </c>
      <c r="G56">
        <v>0.141293</v>
      </c>
      <c r="H56">
        <v>0.15779599999999999</v>
      </c>
      <c r="I56">
        <v>0.17105699999999999</v>
      </c>
      <c r="J56">
        <v>0.17847299999999999</v>
      </c>
      <c r="K56">
        <v>0.18718199999999999</v>
      </c>
      <c r="L56">
        <v>0.19470299999999999</v>
      </c>
      <c r="M56">
        <v>0.20632900000000001</v>
      </c>
      <c r="N56">
        <v>0.214666</v>
      </c>
      <c r="O56">
        <v>0.22300600000000001</v>
      </c>
      <c r="P56">
        <v>0.23046800000000001</v>
      </c>
      <c r="Q56">
        <v>0.24135400000000001</v>
      </c>
      <c r="R56">
        <v>0.25285299999999999</v>
      </c>
      <c r="S56">
        <v>0.25964599999999999</v>
      </c>
      <c r="T56">
        <v>0.27190500000000001</v>
      </c>
      <c r="U56">
        <v>0.27923599999999998</v>
      </c>
      <c r="V56">
        <v>0.28964899999999999</v>
      </c>
      <c r="W56">
        <v>0.299346</v>
      </c>
      <c r="X56">
        <v>0.30795899999999998</v>
      </c>
      <c r="Y56">
        <v>0.31545000000000001</v>
      </c>
      <c r="Z56">
        <v>0.32173499999999999</v>
      </c>
      <c r="AA56">
        <v>0.32723600000000003</v>
      </c>
      <c r="AB56">
        <v>0.33231100000000002</v>
      </c>
      <c r="AC56">
        <v>0.33729500000000001</v>
      </c>
      <c r="AD56">
        <v>0.34577400000000003</v>
      </c>
      <c r="AE56">
        <v>0.34869</v>
      </c>
      <c r="AF56">
        <v>0.35358000000000001</v>
      </c>
      <c r="AG56">
        <v>0.35607299999999997</v>
      </c>
      <c r="AH56">
        <v>0.35779100000000003</v>
      </c>
      <c r="AI56" s="42">
        <v>0.04</v>
      </c>
    </row>
    <row r="57" spans="1:35" x14ac:dyDescent="0.25">
      <c r="A57" t="s">
        <v>439</v>
      </c>
      <c r="B57" t="s">
        <v>835</v>
      </c>
      <c r="C57" t="s">
        <v>832</v>
      </c>
      <c r="D57" t="s">
        <v>397</v>
      </c>
      <c r="F57">
        <v>9.214931</v>
      </c>
      <c r="G57">
        <v>9.1467639999999992</v>
      </c>
      <c r="H57">
        <v>9.0508199999999999</v>
      </c>
      <c r="I57">
        <v>9.0827179999999998</v>
      </c>
      <c r="J57">
        <v>9.1274470000000001</v>
      </c>
      <c r="K57">
        <v>9.1482039999999998</v>
      </c>
      <c r="L57">
        <v>9.2091639999999995</v>
      </c>
      <c r="M57">
        <v>9.2525849999999998</v>
      </c>
      <c r="N57">
        <v>9.2879020000000008</v>
      </c>
      <c r="O57">
        <v>9.3228819999999999</v>
      </c>
      <c r="P57">
        <v>9.3576409999999992</v>
      </c>
      <c r="Q57">
        <v>9.3762050000000006</v>
      </c>
      <c r="R57">
        <v>9.3882150000000006</v>
      </c>
      <c r="S57">
        <v>9.4041420000000002</v>
      </c>
      <c r="T57">
        <v>9.4158000000000008</v>
      </c>
      <c r="U57">
        <v>9.427384</v>
      </c>
      <c r="V57">
        <v>9.4285560000000004</v>
      </c>
      <c r="W57">
        <v>9.4305880000000002</v>
      </c>
      <c r="X57">
        <v>9.4353560000000005</v>
      </c>
      <c r="Y57">
        <v>9.4438440000000003</v>
      </c>
      <c r="Z57">
        <v>9.4569349999999996</v>
      </c>
      <c r="AA57">
        <v>9.4771230000000006</v>
      </c>
      <c r="AB57">
        <v>9.5026139999999995</v>
      </c>
      <c r="AC57">
        <v>9.5271600000000003</v>
      </c>
      <c r="AD57">
        <v>9.5435219999999994</v>
      </c>
      <c r="AE57">
        <v>9.5736340000000002</v>
      </c>
      <c r="AF57">
        <v>9.6088500000000003</v>
      </c>
      <c r="AG57">
        <v>9.6489499999999992</v>
      </c>
      <c r="AH57">
        <v>9.6895889999999998</v>
      </c>
      <c r="AI57" s="42">
        <v>2E-3</v>
      </c>
    </row>
    <row r="58" spans="1:35" x14ac:dyDescent="0.25">
      <c r="A58" t="s">
        <v>490</v>
      </c>
      <c r="B58" t="s">
        <v>836</v>
      </c>
      <c r="C58" t="s">
        <v>837</v>
      </c>
      <c r="D58" t="s">
        <v>397</v>
      </c>
      <c r="F58">
        <v>8.418628</v>
      </c>
      <c r="G58">
        <v>8.1140220000000003</v>
      </c>
      <c r="H58">
        <v>8.1917259999999992</v>
      </c>
      <c r="I58">
        <v>8.1594289999999994</v>
      </c>
      <c r="J58">
        <v>8.0919919999999994</v>
      </c>
      <c r="K58">
        <v>8.0060850000000006</v>
      </c>
      <c r="L58">
        <v>7.955819</v>
      </c>
      <c r="M58">
        <v>7.9158020000000002</v>
      </c>
      <c r="N58">
        <v>7.8963580000000002</v>
      </c>
      <c r="O58">
        <v>7.9300129999999998</v>
      </c>
      <c r="P58">
        <v>8.0035220000000002</v>
      </c>
      <c r="Q58">
        <v>8.0267309999999998</v>
      </c>
      <c r="R58">
        <v>8.0801970000000001</v>
      </c>
      <c r="S58">
        <v>8.1208340000000003</v>
      </c>
      <c r="T58">
        <v>8.1497419999999998</v>
      </c>
      <c r="U58">
        <v>8.1508179999999992</v>
      </c>
      <c r="V58">
        <v>8.1182960000000008</v>
      </c>
      <c r="W58">
        <v>8.0792339999999996</v>
      </c>
      <c r="X58">
        <v>8.0688680000000002</v>
      </c>
      <c r="Y58">
        <v>8.0798349999999992</v>
      </c>
      <c r="Z58">
        <v>8.1258210000000002</v>
      </c>
      <c r="AA58">
        <v>8.1633040000000001</v>
      </c>
      <c r="AB58">
        <v>8.2102930000000001</v>
      </c>
      <c r="AC58">
        <v>8.2706389999999992</v>
      </c>
      <c r="AD58">
        <v>8.2967460000000006</v>
      </c>
      <c r="AE58">
        <v>8.3478860000000008</v>
      </c>
      <c r="AF58">
        <v>8.401999</v>
      </c>
      <c r="AG58">
        <v>8.4501869999999997</v>
      </c>
      <c r="AH58">
        <v>8.5127570000000006</v>
      </c>
      <c r="AI58" s="42">
        <v>0</v>
      </c>
    </row>
    <row r="59" spans="1:35" x14ac:dyDescent="0.25">
      <c r="A59" t="s">
        <v>493</v>
      </c>
    </row>
    <row r="60" spans="1:35" x14ac:dyDescent="0.25">
      <c r="A60" t="s">
        <v>395</v>
      </c>
      <c r="B60" t="s">
        <v>838</v>
      </c>
      <c r="C60" t="s">
        <v>839</v>
      </c>
      <c r="D60" t="s">
        <v>397</v>
      </c>
      <c r="F60">
        <v>2.3697560000000002</v>
      </c>
      <c r="G60">
        <v>2.3253029999999999</v>
      </c>
      <c r="H60">
        <v>2.2000709999999999</v>
      </c>
      <c r="I60">
        <v>2.2340339999999999</v>
      </c>
      <c r="J60">
        <v>2.258785</v>
      </c>
      <c r="K60">
        <v>2.2721779999999998</v>
      </c>
      <c r="L60">
        <v>2.2786050000000002</v>
      </c>
      <c r="M60">
        <v>2.2756099999999999</v>
      </c>
      <c r="N60">
        <v>2.2688220000000001</v>
      </c>
      <c r="O60">
        <v>2.2625299999999999</v>
      </c>
      <c r="P60">
        <v>2.2550870000000001</v>
      </c>
      <c r="Q60">
        <v>2.242448</v>
      </c>
      <c r="R60">
        <v>2.2285940000000002</v>
      </c>
      <c r="S60">
        <v>2.2133579999999999</v>
      </c>
      <c r="T60">
        <v>2.1982949999999999</v>
      </c>
      <c r="U60">
        <v>2.181622</v>
      </c>
      <c r="V60">
        <v>2.1610209999999999</v>
      </c>
      <c r="W60">
        <v>2.140987</v>
      </c>
      <c r="X60">
        <v>2.120797</v>
      </c>
      <c r="Y60">
        <v>2.1009540000000002</v>
      </c>
      <c r="Z60">
        <v>2.0825870000000002</v>
      </c>
      <c r="AA60">
        <v>2.0657890000000001</v>
      </c>
      <c r="AB60">
        <v>2.0509119999999998</v>
      </c>
      <c r="AC60">
        <v>2.0343010000000001</v>
      </c>
      <c r="AD60">
        <v>2.0144310000000001</v>
      </c>
      <c r="AE60">
        <v>1.9967809999999999</v>
      </c>
      <c r="AF60">
        <v>1.981096</v>
      </c>
      <c r="AG60">
        <v>1.9651620000000001</v>
      </c>
      <c r="AH60">
        <v>1.94787</v>
      </c>
      <c r="AI60" s="42">
        <v>-7.0000000000000001E-3</v>
      </c>
    </row>
    <row r="61" spans="1:35" x14ac:dyDescent="0.25">
      <c r="A61" t="s">
        <v>398</v>
      </c>
      <c r="B61" t="s">
        <v>840</v>
      </c>
      <c r="C61" t="s">
        <v>841</v>
      </c>
      <c r="D61" t="s">
        <v>397</v>
      </c>
      <c r="F61">
        <v>1.5369969999999999</v>
      </c>
      <c r="G61">
        <v>1.328487</v>
      </c>
      <c r="H61">
        <v>1.535744</v>
      </c>
      <c r="I61">
        <v>1.556894</v>
      </c>
      <c r="J61">
        <v>1.567385</v>
      </c>
      <c r="K61">
        <v>1.575223</v>
      </c>
      <c r="L61">
        <v>1.582111</v>
      </c>
      <c r="M61">
        <v>1.588919</v>
      </c>
      <c r="N61">
        <v>1.5958870000000001</v>
      </c>
      <c r="O61">
        <v>1.609396</v>
      </c>
      <c r="P61">
        <v>1.6281920000000001</v>
      </c>
      <c r="Q61">
        <v>1.6374580000000001</v>
      </c>
      <c r="R61">
        <v>1.650042</v>
      </c>
      <c r="S61">
        <v>1.6619710000000001</v>
      </c>
      <c r="T61">
        <v>1.672609</v>
      </c>
      <c r="U61">
        <v>1.680196</v>
      </c>
      <c r="V61">
        <v>1.6826190000000001</v>
      </c>
      <c r="W61">
        <v>1.684639</v>
      </c>
      <c r="X61">
        <v>1.6883490000000001</v>
      </c>
      <c r="Y61">
        <v>1.695125</v>
      </c>
      <c r="Z61">
        <v>1.7068909999999999</v>
      </c>
      <c r="AA61">
        <v>1.717692</v>
      </c>
      <c r="AB61">
        <v>1.73045</v>
      </c>
      <c r="AC61">
        <v>1.7457689999999999</v>
      </c>
      <c r="AD61">
        <v>1.7589360000000001</v>
      </c>
      <c r="AE61">
        <v>1.7766649999999999</v>
      </c>
      <c r="AF61">
        <v>1.7950440000000001</v>
      </c>
      <c r="AG61">
        <v>1.812694</v>
      </c>
      <c r="AH61">
        <v>1.833566</v>
      </c>
      <c r="AI61" s="42">
        <v>6.0000000000000001E-3</v>
      </c>
    </row>
    <row r="62" spans="1:35" x14ac:dyDescent="0.25">
      <c r="A62" t="s">
        <v>400</v>
      </c>
      <c r="B62" t="s">
        <v>842</v>
      </c>
      <c r="C62" t="s">
        <v>843</v>
      </c>
      <c r="D62" t="s">
        <v>397</v>
      </c>
      <c r="F62">
        <v>0.66562699999999997</v>
      </c>
      <c r="G62">
        <v>0.65749899999999994</v>
      </c>
      <c r="H62">
        <v>0.66666899999999996</v>
      </c>
      <c r="I62">
        <v>0.68124700000000005</v>
      </c>
      <c r="J62">
        <v>0.69316900000000004</v>
      </c>
      <c r="K62">
        <v>0.70242899999999997</v>
      </c>
      <c r="L62">
        <v>0.71000700000000005</v>
      </c>
      <c r="M62">
        <v>0.71553599999999995</v>
      </c>
      <c r="N62">
        <v>0.72045199999999998</v>
      </c>
      <c r="O62">
        <v>0.72542899999999999</v>
      </c>
      <c r="P62">
        <v>0.730105</v>
      </c>
      <c r="Q62">
        <v>0.73323199999999999</v>
      </c>
      <c r="R62">
        <v>0.735904</v>
      </c>
      <c r="S62">
        <v>0.73823899999999998</v>
      </c>
      <c r="T62">
        <v>0.740788</v>
      </c>
      <c r="U62">
        <v>0.74285599999999996</v>
      </c>
      <c r="V62">
        <v>0.74366299999999996</v>
      </c>
      <c r="W62">
        <v>0.74489700000000003</v>
      </c>
      <c r="X62">
        <v>0.74589700000000003</v>
      </c>
      <c r="Y62">
        <v>0.74704199999999998</v>
      </c>
      <c r="Z62">
        <v>0.74865400000000004</v>
      </c>
      <c r="AA62">
        <v>0.75102800000000003</v>
      </c>
      <c r="AB62">
        <v>0.75422599999999995</v>
      </c>
      <c r="AC62">
        <v>0.756606</v>
      </c>
      <c r="AD62">
        <v>0.75668800000000003</v>
      </c>
      <c r="AE62">
        <v>0.75813200000000003</v>
      </c>
      <c r="AF62">
        <v>0.76105400000000001</v>
      </c>
      <c r="AG62">
        <v>0.76436300000000001</v>
      </c>
      <c r="AH62">
        <v>0.76713299999999995</v>
      </c>
      <c r="AI62" s="42">
        <v>5.0000000000000001E-3</v>
      </c>
    </row>
    <row r="63" spans="1:35" x14ac:dyDescent="0.25">
      <c r="A63" t="s">
        <v>611</v>
      </c>
      <c r="B63" t="s">
        <v>844</v>
      </c>
      <c r="C63" t="s">
        <v>845</v>
      </c>
      <c r="D63" t="s">
        <v>397</v>
      </c>
      <c r="F63">
        <v>1.1665289999999999</v>
      </c>
      <c r="G63">
        <v>1.1180840000000001</v>
      </c>
      <c r="H63">
        <v>1.0967420000000001</v>
      </c>
      <c r="I63">
        <v>1.0777890000000001</v>
      </c>
      <c r="J63">
        <v>1.053604</v>
      </c>
      <c r="K63">
        <v>1.026656</v>
      </c>
      <c r="L63">
        <v>0.99876600000000004</v>
      </c>
      <c r="M63">
        <v>0.97128400000000004</v>
      </c>
      <c r="N63">
        <v>0.94479100000000005</v>
      </c>
      <c r="O63">
        <v>0.92290000000000005</v>
      </c>
      <c r="P63">
        <v>0.90390099999999995</v>
      </c>
      <c r="Q63">
        <v>0.88105</v>
      </c>
      <c r="R63">
        <v>0.86056600000000005</v>
      </c>
      <c r="S63">
        <v>0.84034600000000004</v>
      </c>
      <c r="T63">
        <v>0.82012499999999999</v>
      </c>
      <c r="U63">
        <v>0.79879900000000004</v>
      </c>
      <c r="V63">
        <v>0.77551099999999995</v>
      </c>
      <c r="W63">
        <v>0.75261400000000001</v>
      </c>
      <c r="X63">
        <v>0.73203600000000002</v>
      </c>
      <c r="Y63">
        <v>0.71380699999999997</v>
      </c>
      <c r="Z63">
        <v>0.69832300000000003</v>
      </c>
      <c r="AA63">
        <v>0.68294299999999997</v>
      </c>
      <c r="AB63">
        <v>0.66856300000000002</v>
      </c>
      <c r="AC63">
        <v>0.65516399999999997</v>
      </c>
      <c r="AD63">
        <v>0.64053499999999997</v>
      </c>
      <c r="AE63">
        <v>0.62772799999999995</v>
      </c>
      <c r="AF63">
        <v>0.61534299999999997</v>
      </c>
      <c r="AG63">
        <v>0.60333199999999998</v>
      </c>
      <c r="AH63">
        <v>0.59254700000000005</v>
      </c>
      <c r="AI63" s="42">
        <v>-2.4E-2</v>
      </c>
    </row>
    <row r="64" spans="1:35" x14ac:dyDescent="0.25">
      <c r="A64" t="s">
        <v>404</v>
      </c>
      <c r="B64" t="s">
        <v>846</v>
      </c>
      <c r="C64" t="s">
        <v>847</v>
      </c>
      <c r="D64" t="s">
        <v>397</v>
      </c>
      <c r="F64">
        <v>0.56011500000000003</v>
      </c>
      <c r="G64">
        <v>0.55493300000000001</v>
      </c>
      <c r="H64">
        <v>0.56366799999999995</v>
      </c>
      <c r="I64">
        <v>0.57528999999999997</v>
      </c>
      <c r="J64">
        <v>0.583754</v>
      </c>
      <c r="K64">
        <v>0.58954399999999996</v>
      </c>
      <c r="L64">
        <v>0.59404199999999996</v>
      </c>
      <c r="M64">
        <v>0.59749699999999994</v>
      </c>
      <c r="N64">
        <v>0.60081499999999999</v>
      </c>
      <c r="O64">
        <v>0.60494700000000001</v>
      </c>
      <c r="P64">
        <v>0.60926800000000003</v>
      </c>
      <c r="Q64">
        <v>0.61163299999999998</v>
      </c>
      <c r="R64">
        <v>0.61390199999999995</v>
      </c>
      <c r="S64">
        <v>0.61572099999999996</v>
      </c>
      <c r="T64">
        <v>0.61733800000000005</v>
      </c>
      <c r="U64">
        <v>0.61818600000000001</v>
      </c>
      <c r="V64">
        <v>0.617672</v>
      </c>
      <c r="W64">
        <v>0.61723899999999998</v>
      </c>
      <c r="X64">
        <v>0.61680999999999997</v>
      </c>
      <c r="Y64">
        <v>0.61690299999999998</v>
      </c>
      <c r="Z64">
        <v>0.61767099999999997</v>
      </c>
      <c r="AA64">
        <v>0.618726</v>
      </c>
      <c r="AB64">
        <v>0.62030300000000005</v>
      </c>
      <c r="AC64">
        <v>0.62162399999999995</v>
      </c>
      <c r="AD64">
        <v>0.62077099999999996</v>
      </c>
      <c r="AE64">
        <v>0.62115200000000004</v>
      </c>
      <c r="AF64">
        <v>0.62246100000000004</v>
      </c>
      <c r="AG64">
        <v>0.62402999999999997</v>
      </c>
      <c r="AH64">
        <v>0.62551599999999996</v>
      </c>
      <c r="AI64" s="42">
        <v>4.0000000000000001E-3</v>
      </c>
    </row>
    <row r="65" spans="1:35" x14ac:dyDescent="0.25">
      <c r="A65" t="s">
        <v>410</v>
      </c>
      <c r="B65" t="s">
        <v>848</v>
      </c>
      <c r="C65" t="s">
        <v>849</v>
      </c>
      <c r="D65" t="s">
        <v>397</v>
      </c>
      <c r="F65">
        <v>1.3851530000000001</v>
      </c>
      <c r="G65">
        <v>1.339207</v>
      </c>
      <c r="H65">
        <v>1.331915</v>
      </c>
      <c r="I65">
        <v>1.332792</v>
      </c>
      <c r="J65">
        <v>1.3283799999999999</v>
      </c>
      <c r="K65">
        <v>1.3212189999999999</v>
      </c>
      <c r="L65">
        <v>1.3141320000000001</v>
      </c>
      <c r="M65">
        <v>1.308378</v>
      </c>
      <c r="N65">
        <v>1.2943530000000001</v>
      </c>
      <c r="O65">
        <v>1.2868710000000001</v>
      </c>
      <c r="P65">
        <v>1.2834669999999999</v>
      </c>
      <c r="Q65">
        <v>1.2740020000000001</v>
      </c>
      <c r="R65">
        <v>1.2666729999999999</v>
      </c>
      <c r="S65">
        <v>1.258643</v>
      </c>
      <c r="T65">
        <v>1.249258</v>
      </c>
      <c r="U65">
        <v>1.235217</v>
      </c>
      <c r="V65">
        <v>1.2160230000000001</v>
      </c>
      <c r="W65">
        <v>1.1938260000000001</v>
      </c>
      <c r="X65">
        <v>1.1843950000000001</v>
      </c>
      <c r="Y65">
        <v>1.178803</v>
      </c>
      <c r="Z65">
        <v>1.176833</v>
      </c>
      <c r="AA65">
        <v>1.1747920000000001</v>
      </c>
      <c r="AB65">
        <v>1.1743619999999999</v>
      </c>
      <c r="AC65">
        <v>1.175478</v>
      </c>
      <c r="AD65">
        <v>1.174237</v>
      </c>
      <c r="AE65">
        <v>1.1766799999999999</v>
      </c>
      <c r="AF65">
        <v>1.179251</v>
      </c>
      <c r="AG65">
        <v>1.181748</v>
      </c>
      <c r="AH65">
        <v>1.186339</v>
      </c>
      <c r="AI65" s="42">
        <v>-6.0000000000000001E-3</v>
      </c>
    </row>
    <row r="66" spans="1:35" x14ac:dyDescent="0.25">
      <c r="A66" t="s">
        <v>402</v>
      </c>
      <c r="B66" t="s">
        <v>850</v>
      </c>
      <c r="C66" t="s">
        <v>851</v>
      </c>
      <c r="D66" t="s">
        <v>397</v>
      </c>
      <c r="F66">
        <v>1.680609</v>
      </c>
      <c r="G66">
        <v>1.6483950000000001</v>
      </c>
      <c r="H66">
        <v>1.652382</v>
      </c>
      <c r="I66">
        <v>1.6577379999999999</v>
      </c>
      <c r="J66">
        <v>1.6549879999999999</v>
      </c>
      <c r="K66">
        <v>1.6490229999999999</v>
      </c>
      <c r="L66">
        <v>1.643127</v>
      </c>
      <c r="M66">
        <v>1.6391340000000001</v>
      </c>
      <c r="N66">
        <v>1.6363259999999999</v>
      </c>
      <c r="O66">
        <v>1.6420090000000001</v>
      </c>
      <c r="P66">
        <v>1.652495</v>
      </c>
      <c r="Q66">
        <v>1.6559159999999999</v>
      </c>
      <c r="R66">
        <v>1.6626129999999999</v>
      </c>
      <c r="S66">
        <v>1.6673100000000001</v>
      </c>
      <c r="T66">
        <v>1.6697979999999999</v>
      </c>
      <c r="U66">
        <v>1.6685019999999999</v>
      </c>
      <c r="V66">
        <v>1.66205</v>
      </c>
      <c r="W66">
        <v>1.654631</v>
      </c>
      <c r="X66">
        <v>1.6499239999999999</v>
      </c>
      <c r="Y66">
        <v>1.649092</v>
      </c>
      <c r="Z66">
        <v>1.65256</v>
      </c>
      <c r="AA66">
        <v>1.6546829999999999</v>
      </c>
      <c r="AB66">
        <v>1.657877</v>
      </c>
      <c r="AC66">
        <v>1.662347</v>
      </c>
      <c r="AD66">
        <v>1.6622939999999999</v>
      </c>
      <c r="AE66">
        <v>1.6653009999999999</v>
      </c>
      <c r="AF66">
        <v>1.668507</v>
      </c>
      <c r="AG66">
        <v>1.6711590000000001</v>
      </c>
      <c r="AH66">
        <v>1.6755519999999999</v>
      </c>
      <c r="AI66" s="42">
        <v>0</v>
      </c>
    </row>
    <row r="67" spans="1:35" x14ac:dyDescent="0.25">
      <c r="A67" t="s">
        <v>616</v>
      </c>
      <c r="B67" t="s">
        <v>852</v>
      </c>
      <c r="C67" t="s">
        <v>853</v>
      </c>
      <c r="D67" t="s">
        <v>397</v>
      </c>
      <c r="F67">
        <v>1.199797</v>
      </c>
      <c r="G67">
        <v>1.191255</v>
      </c>
      <c r="H67">
        <v>1.2061809999999999</v>
      </c>
      <c r="I67">
        <v>1.22292</v>
      </c>
      <c r="J67">
        <v>1.2333810000000001</v>
      </c>
      <c r="K67">
        <v>1.241554</v>
      </c>
      <c r="L67">
        <v>1.252292</v>
      </c>
      <c r="M67">
        <v>1.26457</v>
      </c>
      <c r="N67">
        <v>1.2816419999999999</v>
      </c>
      <c r="O67">
        <v>1.303904</v>
      </c>
      <c r="P67">
        <v>1.3311930000000001</v>
      </c>
      <c r="Q67">
        <v>1.353154</v>
      </c>
      <c r="R67">
        <v>1.3792089999999999</v>
      </c>
      <c r="S67">
        <v>1.403213</v>
      </c>
      <c r="T67">
        <v>1.427948</v>
      </c>
      <c r="U67">
        <v>1.4482139999999999</v>
      </c>
      <c r="V67">
        <v>1.466961</v>
      </c>
      <c r="W67">
        <v>1.4847030000000001</v>
      </c>
      <c r="X67">
        <v>1.5046360000000001</v>
      </c>
      <c r="Y67">
        <v>1.526249</v>
      </c>
      <c r="Z67">
        <v>1.553045</v>
      </c>
      <c r="AA67">
        <v>1.579993</v>
      </c>
      <c r="AB67">
        <v>1.606792</v>
      </c>
      <c r="AC67">
        <v>1.6365209999999999</v>
      </c>
      <c r="AD67">
        <v>1.663424</v>
      </c>
      <c r="AE67">
        <v>1.69211</v>
      </c>
      <c r="AF67">
        <v>1.722647</v>
      </c>
      <c r="AG67">
        <v>1.7527060000000001</v>
      </c>
      <c r="AH67">
        <v>1.784721</v>
      </c>
      <c r="AI67" s="42">
        <v>1.4E-2</v>
      </c>
    </row>
    <row r="68" spans="1:35" x14ac:dyDescent="0.25">
      <c r="A68" t="s">
        <v>618</v>
      </c>
      <c r="B68" t="s">
        <v>854</v>
      </c>
      <c r="C68" t="s">
        <v>855</v>
      </c>
      <c r="D68" t="s">
        <v>397</v>
      </c>
      <c r="F68">
        <v>0.48664099999999999</v>
      </c>
      <c r="G68">
        <v>0.47493299999999999</v>
      </c>
      <c r="H68">
        <v>0.47370600000000002</v>
      </c>
      <c r="I68">
        <v>0.47342800000000002</v>
      </c>
      <c r="J68">
        <v>0.47195300000000001</v>
      </c>
      <c r="K68">
        <v>0.47022799999999998</v>
      </c>
      <c r="L68">
        <v>0.46917999999999999</v>
      </c>
      <c r="M68">
        <v>0.46936899999999998</v>
      </c>
      <c r="N68">
        <v>0.47152100000000002</v>
      </c>
      <c r="O68">
        <v>0.47550500000000001</v>
      </c>
      <c r="P68">
        <v>0.48146899999999998</v>
      </c>
      <c r="Q68">
        <v>0.48541499999999999</v>
      </c>
      <c r="R68">
        <v>0.489541</v>
      </c>
      <c r="S68">
        <v>0.49359199999999998</v>
      </c>
      <c r="T68">
        <v>0.49612699999999998</v>
      </c>
      <c r="U68">
        <v>0.49749599999999999</v>
      </c>
      <c r="V68">
        <v>0.49737999999999999</v>
      </c>
      <c r="W68">
        <v>0.49539499999999997</v>
      </c>
      <c r="X68">
        <v>0.49410900000000002</v>
      </c>
      <c r="Y68">
        <v>0.49255900000000002</v>
      </c>
      <c r="Z68">
        <v>0.49060900000000002</v>
      </c>
      <c r="AA68">
        <v>0.48736800000000002</v>
      </c>
      <c r="AB68">
        <v>0.48358099999999998</v>
      </c>
      <c r="AC68">
        <v>0.47851700000000003</v>
      </c>
      <c r="AD68">
        <v>0.47126899999999999</v>
      </c>
      <c r="AE68">
        <v>0.46317900000000001</v>
      </c>
      <c r="AF68">
        <v>0.45341199999999998</v>
      </c>
      <c r="AG68">
        <v>0.44169000000000003</v>
      </c>
      <c r="AH68">
        <v>0.42777799999999999</v>
      </c>
      <c r="AI68" s="42">
        <v>-5.0000000000000001E-3</v>
      </c>
    </row>
    <row r="69" spans="1:35" x14ac:dyDescent="0.25">
      <c r="A69" t="s">
        <v>422</v>
      </c>
      <c r="B69" t="s">
        <v>856</v>
      </c>
      <c r="C69" t="s">
        <v>857</v>
      </c>
      <c r="D69" t="s">
        <v>397</v>
      </c>
      <c r="F69">
        <v>6.7029329999999998</v>
      </c>
      <c r="G69">
        <v>6.7639820000000004</v>
      </c>
      <c r="H69">
        <v>6.6732649999999998</v>
      </c>
      <c r="I69">
        <v>6.6010710000000001</v>
      </c>
      <c r="J69">
        <v>6.5525130000000003</v>
      </c>
      <c r="K69">
        <v>6.4934190000000003</v>
      </c>
      <c r="L69">
        <v>6.5174250000000002</v>
      </c>
      <c r="M69">
        <v>6.5444190000000004</v>
      </c>
      <c r="N69">
        <v>6.5843160000000003</v>
      </c>
      <c r="O69">
        <v>6.6424099999999999</v>
      </c>
      <c r="P69">
        <v>6.7164539999999997</v>
      </c>
      <c r="Q69">
        <v>6.7699829999999999</v>
      </c>
      <c r="R69">
        <v>6.8342210000000003</v>
      </c>
      <c r="S69">
        <v>6.8922309999999998</v>
      </c>
      <c r="T69">
        <v>6.9451619999999998</v>
      </c>
      <c r="U69">
        <v>6.9863479999999996</v>
      </c>
      <c r="V69">
        <v>7.0136019999999997</v>
      </c>
      <c r="W69">
        <v>7.0402370000000003</v>
      </c>
      <c r="X69">
        <v>7.0752300000000004</v>
      </c>
      <c r="Y69">
        <v>7.1185939999999999</v>
      </c>
      <c r="Z69">
        <v>7.1773170000000004</v>
      </c>
      <c r="AA69">
        <v>7.2346490000000001</v>
      </c>
      <c r="AB69">
        <v>7.2981509999999998</v>
      </c>
      <c r="AC69">
        <v>7.3687659999999999</v>
      </c>
      <c r="AD69">
        <v>7.423457</v>
      </c>
      <c r="AE69">
        <v>7.4924809999999997</v>
      </c>
      <c r="AF69">
        <v>7.5656140000000001</v>
      </c>
      <c r="AG69">
        <v>7.6383260000000002</v>
      </c>
      <c r="AH69">
        <v>7.7191140000000003</v>
      </c>
      <c r="AI69" s="42">
        <v>5.0000000000000001E-3</v>
      </c>
    </row>
    <row r="70" spans="1:35" x14ac:dyDescent="0.25">
      <c r="A70" t="s">
        <v>522</v>
      </c>
      <c r="B70" t="s">
        <v>858</v>
      </c>
      <c r="C70" t="s">
        <v>859</v>
      </c>
      <c r="D70" t="s">
        <v>397</v>
      </c>
      <c r="F70">
        <v>17.754155999999998</v>
      </c>
      <c r="G70">
        <v>17.402080999999999</v>
      </c>
      <c r="H70">
        <v>17.400341000000001</v>
      </c>
      <c r="I70">
        <v>17.413204</v>
      </c>
      <c r="J70">
        <v>17.397911000000001</v>
      </c>
      <c r="K70">
        <v>17.341473000000001</v>
      </c>
      <c r="L70">
        <v>17.359686</v>
      </c>
      <c r="M70">
        <v>17.374718000000001</v>
      </c>
      <c r="N70">
        <v>17.398925999999999</v>
      </c>
      <c r="O70">
        <v>17.475898999999998</v>
      </c>
      <c r="P70">
        <v>17.591631</v>
      </c>
      <c r="Q70">
        <v>17.644290999999999</v>
      </c>
      <c r="R70">
        <v>17.721266</v>
      </c>
      <c r="S70">
        <v>17.784621999999999</v>
      </c>
      <c r="T70">
        <v>17.837447999999998</v>
      </c>
      <c r="U70">
        <v>17.857437000000001</v>
      </c>
      <c r="V70">
        <v>17.836501999999999</v>
      </c>
      <c r="W70">
        <v>17.809168</v>
      </c>
      <c r="X70">
        <v>17.812183000000001</v>
      </c>
      <c r="Y70">
        <v>17.839130000000001</v>
      </c>
      <c r="Z70">
        <v>17.904491</v>
      </c>
      <c r="AA70">
        <v>17.967663000000002</v>
      </c>
      <c r="AB70">
        <v>18.045218999999999</v>
      </c>
      <c r="AC70">
        <v>18.135093999999999</v>
      </c>
      <c r="AD70">
        <v>18.186043000000002</v>
      </c>
      <c r="AE70">
        <v>18.270209999999999</v>
      </c>
      <c r="AF70">
        <v>18.364429000000001</v>
      </c>
      <c r="AG70">
        <v>18.455210000000001</v>
      </c>
      <c r="AH70">
        <v>18.560137000000001</v>
      </c>
      <c r="AI70" s="42">
        <v>2E-3</v>
      </c>
    </row>
    <row r="71" spans="1:35" x14ac:dyDescent="0.25">
      <c r="A71" t="s">
        <v>428</v>
      </c>
      <c r="B71" t="s">
        <v>860</v>
      </c>
      <c r="C71" t="s">
        <v>861</v>
      </c>
      <c r="D71" t="s">
        <v>397</v>
      </c>
      <c r="F71">
        <v>0.120598</v>
      </c>
      <c r="G71">
        <v>0.141293</v>
      </c>
      <c r="H71">
        <v>0.15779599999999999</v>
      </c>
      <c r="I71">
        <v>0.17105699999999999</v>
      </c>
      <c r="J71">
        <v>0.17847299999999999</v>
      </c>
      <c r="K71">
        <v>0.18718199999999999</v>
      </c>
      <c r="L71">
        <v>0.19470299999999999</v>
      </c>
      <c r="M71">
        <v>0.20632900000000001</v>
      </c>
      <c r="N71">
        <v>0.214666</v>
      </c>
      <c r="O71">
        <v>0.22300600000000001</v>
      </c>
      <c r="P71">
        <v>0.23046800000000001</v>
      </c>
      <c r="Q71">
        <v>0.24135400000000001</v>
      </c>
      <c r="R71">
        <v>0.25285299999999999</v>
      </c>
      <c r="S71">
        <v>0.25964599999999999</v>
      </c>
      <c r="T71">
        <v>0.27190500000000001</v>
      </c>
      <c r="U71">
        <v>0.27923599999999998</v>
      </c>
      <c r="V71">
        <v>0.28964899999999999</v>
      </c>
      <c r="W71">
        <v>0.299346</v>
      </c>
      <c r="X71">
        <v>0.30795899999999998</v>
      </c>
      <c r="Y71">
        <v>0.31545000000000001</v>
      </c>
      <c r="Z71">
        <v>0.32173499999999999</v>
      </c>
      <c r="AA71">
        <v>0.32723600000000003</v>
      </c>
      <c r="AB71">
        <v>0.33231100000000002</v>
      </c>
      <c r="AC71">
        <v>0.33729500000000001</v>
      </c>
      <c r="AD71">
        <v>0.34577400000000003</v>
      </c>
      <c r="AE71">
        <v>0.34869</v>
      </c>
      <c r="AF71">
        <v>0.35358000000000001</v>
      </c>
      <c r="AG71">
        <v>0.35607299999999997</v>
      </c>
      <c r="AH71">
        <v>0.35779100000000003</v>
      </c>
      <c r="AI71" s="42">
        <v>0.04</v>
      </c>
    </row>
    <row r="72" spans="1:35" x14ac:dyDescent="0.25">
      <c r="A72" t="s">
        <v>862</v>
      </c>
      <c r="B72" t="s">
        <v>863</v>
      </c>
      <c r="C72" t="s">
        <v>864</v>
      </c>
      <c r="D72" t="s">
        <v>397</v>
      </c>
      <c r="F72">
        <v>17.633558000000001</v>
      </c>
      <c r="G72">
        <v>17.260786</v>
      </c>
      <c r="H72">
        <v>17.242546000000001</v>
      </c>
      <c r="I72">
        <v>17.242146000000002</v>
      </c>
      <c r="J72">
        <v>17.219439999999999</v>
      </c>
      <c r="K72">
        <v>17.154288999999999</v>
      </c>
      <c r="L72">
        <v>17.164981999999998</v>
      </c>
      <c r="M72">
        <v>17.168388</v>
      </c>
      <c r="N72">
        <v>17.184260999999999</v>
      </c>
      <c r="O72">
        <v>17.252894999999999</v>
      </c>
      <c r="P72">
        <v>17.361163999999999</v>
      </c>
      <c r="Q72">
        <v>17.402934999999999</v>
      </c>
      <c r="R72">
        <v>17.468412000000001</v>
      </c>
      <c r="S72">
        <v>17.524977</v>
      </c>
      <c r="T72">
        <v>17.565542000000001</v>
      </c>
      <c r="U72">
        <v>17.578201</v>
      </c>
      <c r="V72">
        <v>17.546852000000001</v>
      </c>
      <c r="W72">
        <v>17.509823000000001</v>
      </c>
      <c r="X72">
        <v>17.504223</v>
      </c>
      <c r="Y72">
        <v>17.523678</v>
      </c>
      <c r="Z72">
        <v>17.582756</v>
      </c>
      <c r="AA72">
        <v>17.640426999999999</v>
      </c>
      <c r="AB72">
        <v>17.712906</v>
      </c>
      <c r="AC72">
        <v>17.797798</v>
      </c>
      <c r="AD72">
        <v>17.840267000000001</v>
      </c>
      <c r="AE72">
        <v>17.921520000000001</v>
      </c>
      <c r="AF72">
        <v>18.010849</v>
      </c>
      <c r="AG72">
        <v>18.099136000000001</v>
      </c>
      <c r="AH72">
        <v>18.202347</v>
      </c>
      <c r="AI72" s="42">
        <v>1E-3</v>
      </c>
    </row>
    <row r="73" spans="1:35" x14ac:dyDescent="0.25">
      <c r="A73" t="s">
        <v>696</v>
      </c>
    </row>
    <row r="74" spans="1:35" x14ac:dyDescent="0.25">
      <c r="A74" t="s">
        <v>697</v>
      </c>
      <c r="B74" t="s">
        <v>865</v>
      </c>
      <c r="C74" t="s">
        <v>866</v>
      </c>
      <c r="D74" t="s">
        <v>397</v>
      </c>
      <c r="F74">
        <v>7.3909000000000002E-2</v>
      </c>
      <c r="G74">
        <v>7.4150999999999995E-2</v>
      </c>
      <c r="H74">
        <v>7.5856999999999994E-2</v>
      </c>
      <c r="I74">
        <v>7.6402999999999999E-2</v>
      </c>
      <c r="J74">
        <v>7.6691999999999996E-2</v>
      </c>
      <c r="K74">
        <v>7.6408000000000004E-2</v>
      </c>
      <c r="L74">
        <v>7.5979000000000005E-2</v>
      </c>
      <c r="M74">
        <v>7.5915999999999997E-2</v>
      </c>
      <c r="N74">
        <v>7.5720999999999997E-2</v>
      </c>
      <c r="O74">
        <v>7.5837000000000002E-2</v>
      </c>
      <c r="P74">
        <v>7.5840000000000005E-2</v>
      </c>
      <c r="Q74">
        <v>7.5718999999999995E-2</v>
      </c>
      <c r="R74">
        <v>7.5756000000000004E-2</v>
      </c>
      <c r="S74">
        <v>7.5952000000000006E-2</v>
      </c>
      <c r="T74">
        <v>7.5837000000000002E-2</v>
      </c>
      <c r="U74">
        <v>7.5588000000000002E-2</v>
      </c>
      <c r="V74">
        <v>7.4880000000000002E-2</v>
      </c>
      <c r="W74">
        <v>7.4638999999999997E-2</v>
      </c>
      <c r="X74">
        <v>7.4340000000000003E-2</v>
      </c>
      <c r="Y74">
        <v>7.4428999999999995E-2</v>
      </c>
      <c r="Z74">
        <v>7.4297000000000002E-2</v>
      </c>
      <c r="AA74">
        <v>7.4152999999999997E-2</v>
      </c>
      <c r="AB74">
        <v>7.4107000000000006E-2</v>
      </c>
      <c r="AC74">
        <v>7.4011999999999994E-2</v>
      </c>
      <c r="AD74">
        <v>7.3801000000000005E-2</v>
      </c>
      <c r="AE74">
        <v>7.3764999999999997E-2</v>
      </c>
      <c r="AF74">
        <v>7.3537000000000005E-2</v>
      </c>
      <c r="AG74">
        <v>7.3493000000000003E-2</v>
      </c>
      <c r="AH74">
        <v>7.3126999999999998E-2</v>
      </c>
      <c r="AI74" s="42">
        <v>0</v>
      </c>
    </row>
    <row r="75" spans="1:35" x14ac:dyDescent="0.25">
      <c r="A75" t="s">
        <v>536</v>
      </c>
      <c r="B75" t="s">
        <v>867</v>
      </c>
      <c r="C75" t="s">
        <v>868</v>
      </c>
      <c r="D75" t="s">
        <v>397</v>
      </c>
      <c r="F75">
        <v>0.26181500000000002</v>
      </c>
      <c r="G75">
        <v>0.30804399999999998</v>
      </c>
      <c r="H75">
        <v>0.34912500000000002</v>
      </c>
      <c r="I75">
        <v>0.37846299999999999</v>
      </c>
      <c r="J75">
        <v>0.39390900000000001</v>
      </c>
      <c r="K75">
        <v>0.41461999999999999</v>
      </c>
      <c r="L75">
        <v>0.43187599999999998</v>
      </c>
      <c r="M75">
        <v>0.46030500000000002</v>
      </c>
      <c r="N75">
        <v>0.480624</v>
      </c>
      <c r="O75">
        <v>0.50182800000000005</v>
      </c>
      <c r="P75">
        <v>0.51975400000000005</v>
      </c>
      <c r="Q75">
        <v>0.54557999999999995</v>
      </c>
      <c r="R75">
        <v>0.57357999999999998</v>
      </c>
      <c r="S75">
        <v>0.59170900000000004</v>
      </c>
      <c r="T75">
        <v>0.62073800000000001</v>
      </c>
      <c r="U75">
        <v>0.63733600000000001</v>
      </c>
      <c r="V75">
        <v>0.65883999999999998</v>
      </c>
      <c r="W75">
        <v>0.68191400000000002</v>
      </c>
      <c r="X75">
        <v>0.70109399999999999</v>
      </c>
      <c r="Y75">
        <v>0.72085200000000005</v>
      </c>
      <c r="Z75">
        <v>0.73541500000000004</v>
      </c>
      <c r="AA75">
        <v>0.74840499999999999</v>
      </c>
      <c r="AB75">
        <v>0.76118200000000003</v>
      </c>
      <c r="AC75">
        <v>0.77283400000000002</v>
      </c>
      <c r="AD75">
        <v>0.79308599999999996</v>
      </c>
      <c r="AE75">
        <v>0.80096900000000004</v>
      </c>
      <c r="AF75">
        <v>0.81140100000000004</v>
      </c>
      <c r="AG75">
        <v>0.818581</v>
      </c>
      <c r="AH75">
        <v>0.81918100000000005</v>
      </c>
      <c r="AI75" s="42">
        <v>4.2000000000000003E-2</v>
      </c>
    </row>
    <row r="76" spans="1:35" x14ac:dyDescent="0.25">
      <c r="A76" t="s">
        <v>539</v>
      </c>
      <c r="B76" t="s">
        <v>869</v>
      </c>
      <c r="C76" t="s">
        <v>870</v>
      </c>
      <c r="D76" t="s">
        <v>397</v>
      </c>
      <c r="F76">
        <v>6.7920000000000003E-3</v>
      </c>
      <c r="G76">
        <v>6.7889999999999999E-3</v>
      </c>
      <c r="H76">
        <v>6.8490000000000001E-3</v>
      </c>
      <c r="I76">
        <v>6.7939999999999997E-3</v>
      </c>
      <c r="J76">
        <v>6.7299999999999999E-3</v>
      </c>
      <c r="K76">
        <v>6.7140000000000003E-3</v>
      </c>
      <c r="L76">
        <v>6.7320000000000001E-3</v>
      </c>
      <c r="M76">
        <v>6.796E-3</v>
      </c>
      <c r="N76">
        <v>6.7819999999999998E-3</v>
      </c>
      <c r="O76">
        <v>6.8199999999999997E-3</v>
      </c>
      <c r="P76">
        <v>6.8349999999999999E-3</v>
      </c>
      <c r="Q76">
        <v>6.8360000000000001E-3</v>
      </c>
      <c r="R76">
        <v>6.8570000000000002E-3</v>
      </c>
      <c r="S76">
        <v>6.9030000000000003E-3</v>
      </c>
      <c r="T76">
        <v>6.914E-3</v>
      </c>
      <c r="U76">
        <v>6.8830000000000002E-3</v>
      </c>
      <c r="V76">
        <v>6.7999999999999996E-3</v>
      </c>
      <c r="W76">
        <v>6.8079999999999998E-3</v>
      </c>
      <c r="X76">
        <v>6.7809999999999997E-3</v>
      </c>
      <c r="Y76">
        <v>6.8040000000000002E-3</v>
      </c>
      <c r="Z76">
        <v>6.803E-3</v>
      </c>
      <c r="AA76">
        <v>6.7920000000000003E-3</v>
      </c>
      <c r="AB76">
        <v>6.783E-3</v>
      </c>
      <c r="AC76">
        <v>6.7689999999999998E-3</v>
      </c>
      <c r="AD76">
        <v>6.7650000000000002E-3</v>
      </c>
      <c r="AE76">
        <v>6.7669999999999996E-3</v>
      </c>
      <c r="AF76">
        <v>6.7600000000000004E-3</v>
      </c>
      <c r="AG76">
        <v>6.7539999999999996E-3</v>
      </c>
      <c r="AH76">
        <v>6.7429999999999999E-3</v>
      </c>
      <c r="AI76" s="42">
        <v>0</v>
      </c>
    </row>
    <row r="77" spans="1:35" x14ac:dyDescent="0.25">
      <c r="A77" t="s">
        <v>372</v>
      </c>
      <c r="B77" t="s">
        <v>871</v>
      </c>
      <c r="C77" t="s">
        <v>872</v>
      </c>
      <c r="D77" t="s">
        <v>397</v>
      </c>
      <c r="F77">
        <v>0.34251599999999999</v>
      </c>
      <c r="G77">
        <v>0.388984</v>
      </c>
      <c r="H77">
        <v>0.43183100000000002</v>
      </c>
      <c r="I77">
        <v>0.46165899999999999</v>
      </c>
      <c r="J77">
        <v>0.47733100000000001</v>
      </c>
      <c r="K77">
        <v>0.49774299999999999</v>
      </c>
      <c r="L77">
        <v>0.51458599999999999</v>
      </c>
      <c r="M77">
        <v>0.54301699999999997</v>
      </c>
      <c r="N77">
        <v>0.56312700000000004</v>
      </c>
      <c r="O77">
        <v>0.584484</v>
      </c>
      <c r="P77">
        <v>0.60242899999999999</v>
      </c>
      <c r="Q77">
        <v>0.628135</v>
      </c>
      <c r="R77">
        <v>0.65619300000000003</v>
      </c>
      <c r="S77">
        <v>0.67456300000000002</v>
      </c>
      <c r="T77">
        <v>0.70348900000000003</v>
      </c>
      <c r="U77">
        <v>0.71980699999999997</v>
      </c>
      <c r="V77">
        <v>0.74051999999999996</v>
      </c>
      <c r="W77">
        <v>0.76336199999999999</v>
      </c>
      <c r="X77">
        <v>0.78221499999999999</v>
      </c>
      <c r="Y77">
        <v>0.80208500000000005</v>
      </c>
      <c r="Z77">
        <v>0.81651499999999999</v>
      </c>
      <c r="AA77">
        <v>0.829349</v>
      </c>
      <c r="AB77">
        <v>0.84207200000000004</v>
      </c>
      <c r="AC77">
        <v>0.85361600000000004</v>
      </c>
      <c r="AD77">
        <v>0.87365199999999998</v>
      </c>
      <c r="AE77">
        <v>0.88150099999999998</v>
      </c>
      <c r="AF77">
        <v>0.89169900000000002</v>
      </c>
      <c r="AG77">
        <v>0.89882799999999996</v>
      </c>
      <c r="AH77">
        <v>0.89905100000000004</v>
      </c>
      <c r="AI77" s="42">
        <v>3.5000000000000003E-2</v>
      </c>
    </row>
    <row r="78" spans="1:35" x14ac:dyDescent="0.25">
      <c r="A78" t="s">
        <v>544</v>
      </c>
    </row>
    <row r="79" spans="1:35" x14ac:dyDescent="0.25">
      <c r="A79" t="s">
        <v>207</v>
      </c>
      <c r="B79" t="s">
        <v>873</v>
      </c>
      <c r="C79" t="s">
        <v>874</v>
      </c>
      <c r="D79" t="s">
        <v>547</v>
      </c>
      <c r="F79">
        <v>6198</v>
      </c>
      <c r="G79">
        <v>6420</v>
      </c>
      <c r="H79">
        <v>5972</v>
      </c>
      <c r="I79">
        <v>5949</v>
      </c>
      <c r="J79">
        <v>5925</v>
      </c>
      <c r="K79">
        <v>5902</v>
      </c>
      <c r="L79">
        <v>5878</v>
      </c>
      <c r="M79">
        <v>5854</v>
      </c>
      <c r="N79">
        <v>5830</v>
      </c>
      <c r="O79">
        <v>5807</v>
      </c>
      <c r="P79">
        <v>5783</v>
      </c>
      <c r="Q79">
        <v>5759</v>
      </c>
      <c r="R79">
        <v>5735</v>
      </c>
      <c r="S79">
        <v>5711</v>
      </c>
      <c r="T79">
        <v>5687</v>
      </c>
      <c r="U79">
        <v>5663</v>
      </c>
      <c r="V79">
        <v>5639</v>
      </c>
      <c r="W79">
        <v>5615</v>
      </c>
      <c r="X79">
        <v>5591</v>
      </c>
      <c r="Y79">
        <v>5567</v>
      </c>
      <c r="Z79">
        <v>5543</v>
      </c>
      <c r="AA79">
        <v>5519</v>
      </c>
      <c r="AB79">
        <v>5495</v>
      </c>
      <c r="AC79">
        <v>5471</v>
      </c>
      <c r="AD79">
        <v>5447</v>
      </c>
      <c r="AE79">
        <v>5423</v>
      </c>
      <c r="AF79">
        <v>5399</v>
      </c>
      <c r="AG79">
        <v>5374</v>
      </c>
      <c r="AH79">
        <v>5350</v>
      </c>
      <c r="AI79" s="42">
        <v>-5.0000000000000001E-3</v>
      </c>
    </row>
    <row r="80" spans="1:35" x14ac:dyDescent="0.25">
      <c r="A80" t="s">
        <v>208</v>
      </c>
      <c r="B80" t="s">
        <v>875</v>
      </c>
      <c r="C80" t="s">
        <v>876</v>
      </c>
      <c r="D80" t="s">
        <v>547</v>
      </c>
      <c r="F80">
        <v>5742</v>
      </c>
      <c r="G80">
        <v>5779</v>
      </c>
      <c r="H80">
        <v>5348</v>
      </c>
      <c r="I80">
        <v>5325</v>
      </c>
      <c r="J80">
        <v>5303</v>
      </c>
      <c r="K80">
        <v>5281</v>
      </c>
      <c r="L80">
        <v>5259</v>
      </c>
      <c r="M80">
        <v>5236</v>
      </c>
      <c r="N80">
        <v>5214</v>
      </c>
      <c r="O80">
        <v>5192</v>
      </c>
      <c r="P80">
        <v>5169</v>
      </c>
      <c r="Q80">
        <v>5147</v>
      </c>
      <c r="R80">
        <v>5125</v>
      </c>
      <c r="S80">
        <v>5102</v>
      </c>
      <c r="T80">
        <v>5080</v>
      </c>
      <c r="U80">
        <v>5058</v>
      </c>
      <c r="V80">
        <v>5036</v>
      </c>
      <c r="W80">
        <v>5013</v>
      </c>
      <c r="X80">
        <v>4991</v>
      </c>
      <c r="Y80">
        <v>4969</v>
      </c>
      <c r="Z80">
        <v>4947</v>
      </c>
      <c r="AA80">
        <v>4924</v>
      </c>
      <c r="AB80">
        <v>4902</v>
      </c>
      <c r="AC80">
        <v>4880</v>
      </c>
      <c r="AD80">
        <v>4858</v>
      </c>
      <c r="AE80">
        <v>4835</v>
      </c>
      <c r="AF80">
        <v>4813</v>
      </c>
      <c r="AG80">
        <v>4791</v>
      </c>
      <c r="AH80">
        <v>4769</v>
      </c>
      <c r="AI80" s="42">
        <v>-7.0000000000000001E-3</v>
      </c>
    </row>
    <row r="81" spans="1:35" x14ac:dyDescent="0.25">
      <c r="A81" t="s">
        <v>210</v>
      </c>
      <c r="B81" t="s">
        <v>877</v>
      </c>
      <c r="C81" t="s">
        <v>878</v>
      </c>
      <c r="D81" t="s">
        <v>547</v>
      </c>
      <c r="F81">
        <v>6427</v>
      </c>
      <c r="G81">
        <v>6306</v>
      </c>
      <c r="H81">
        <v>5982</v>
      </c>
      <c r="I81">
        <v>5967</v>
      </c>
      <c r="J81">
        <v>5953</v>
      </c>
      <c r="K81">
        <v>5938</v>
      </c>
      <c r="L81">
        <v>5923</v>
      </c>
      <c r="M81">
        <v>5908</v>
      </c>
      <c r="N81">
        <v>5893</v>
      </c>
      <c r="O81">
        <v>5879</v>
      </c>
      <c r="P81">
        <v>5864</v>
      </c>
      <c r="Q81">
        <v>5849</v>
      </c>
      <c r="R81">
        <v>5834</v>
      </c>
      <c r="S81">
        <v>5819</v>
      </c>
      <c r="T81">
        <v>5804</v>
      </c>
      <c r="U81">
        <v>5790</v>
      </c>
      <c r="V81">
        <v>5775</v>
      </c>
      <c r="W81">
        <v>5760</v>
      </c>
      <c r="X81">
        <v>5745</v>
      </c>
      <c r="Y81">
        <v>5730</v>
      </c>
      <c r="Z81">
        <v>5715</v>
      </c>
      <c r="AA81">
        <v>5701</v>
      </c>
      <c r="AB81">
        <v>5686</v>
      </c>
      <c r="AC81">
        <v>5671</v>
      </c>
      <c r="AD81">
        <v>5656</v>
      </c>
      <c r="AE81">
        <v>5641</v>
      </c>
      <c r="AF81">
        <v>5626</v>
      </c>
      <c r="AG81">
        <v>5611</v>
      </c>
      <c r="AH81">
        <v>5597</v>
      </c>
      <c r="AI81" s="42">
        <v>-5.0000000000000001E-3</v>
      </c>
    </row>
    <row r="82" spans="1:35" x14ac:dyDescent="0.25">
      <c r="A82" t="s">
        <v>211</v>
      </c>
      <c r="B82" t="s">
        <v>879</v>
      </c>
      <c r="C82" t="s">
        <v>880</v>
      </c>
      <c r="D82" t="s">
        <v>547</v>
      </c>
      <c r="F82">
        <v>6845</v>
      </c>
      <c r="G82">
        <v>6601</v>
      </c>
      <c r="H82">
        <v>6349</v>
      </c>
      <c r="I82">
        <v>6340</v>
      </c>
      <c r="J82">
        <v>6330</v>
      </c>
      <c r="K82">
        <v>6321</v>
      </c>
      <c r="L82">
        <v>6311</v>
      </c>
      <c r="M82">
        <v>6301</v>
      </c>
      <c r="N82">
        <v>6291</v>
      </c>
      <c r="O82">
        <v>6281</v>
      </c>
      <c r="P82">
        <v>6271</v>
      </c>
      <c r="Q82">
        <v>6261</v>
      </c>
      <c r="R82">
        <v>6250</v>
      </c>
      <c r="S82">
        <v>6240</v>
      </c>
      <c r="T82">
        <v>6230</v>
      </c>
      <c r="U82">
        <v>6219</v>
      </c>
      <c r="V82">
        <v>6209</v>
      </c>
      <c r="W82">
        <v>6198</v>
      </c>
      <c r="X82">
        <v>6188</v>
      </c>
      <c r="Y82">
        <v>6177</v>
      </c>
      <c r="Z82">
        <v>6167</v>
      </c>
      <c r="AA82">
        <v>6156</v>
      </c>
      <c r="AB82">
        <v>6145</v>
      </c>
      <c r="AC82">
        <v>6135</v>
      </c>
      <c r="AD82">
        <v>6124</v>
      </c>
      <c r="AE82">
        <v>6113</v>
      </c>
      <c r="AF82">
        <v>6103</v>
      </c>
      <c r="AG82">
        <v>6092</v>
      </c>
      <c r="AH82">
        <v>6081</v>
      </c>
      <c r="AI82" s="42">
        <v>-4.0000000000000001E-3</v>
      </c>
    </row>
    <row r="83" spans="1:35" x14ac:dyDescent="0.25">
      <c r="A83" t="s">
        <v>213</v>
      </c>
      <c r="B83" t="s">
        <v>881</v>
      </c>
      <c r="C83" t="s">
        <v>882</v>
      </c>
      <c r="D83" t="s">
        <v>547</v>
      </c>
      <c r="F83">
        <v>2566</v>
      </c>
      <c r="G83">
        <v>2600</v>
      </c>
      <c r="H83">
        <v>2375</v>
      </c>
      <c r="I83">
        <v>2358</v>
      </c>
      <c r="J83">
        <v>2342</v>
      </c>
      <c r="K83">
        <v>2326</v>
      </c>
      <c r="L83">
        <v>2310</v>
      </c>
      <c r="M83">
        <v>2294</v>
      </c>
      <c r="N83">
        <v>2277</v>
      </c>
      <c r="O83">
        <v>2261</v>
      </c>
      <c r="P83">
        <v>2245</v>
      </c>
      <c r="Q83">
        <v>2229</v>
      </c>
      <c r="R83">
        <v>2213</v>
      </c>
      <c r="S83">
        <v>2197</v>
      </c>
      <c r="T83">
        <v>2180</v>
      </c>
      <c r="U83">
        <v>2164</v>
      </c>
      <c r="V83">
        <v>2148</v>
      </c>
      <c r="W83">
        <v>2132</v>
      </c>
      <c r="X83">
        <v>2116</v>
      </c>
      <c r="Y83">
        <v>2100</v>
      </c>
      <c r="Z83">
        <v>2084</v>
      </c>
      <c r="AA83">
        <v>2068</v>
      </c>
      <c r="AB83">
        <v>2052</v>
      </c>
      <c r="AC83">
        <v>2036</v>
      </c>
      <c r="AD83">
        <v>2020</v>
      </c>
      <c r="AE83">
        <v>2005</v>
      </c>
      <c r="AF83">
        <v>1989</v>
      </c>
      <c r="AG83">
        <v>1973</v>
      </c>
      <c r="AH83">
        <v>1957</v>
      </c>
      <c r="AI83" s="42">
        <v>-0.01</v>
      </c>
    </row>
    <row r="84" spans="1:35" x14ac:dyDescent="0.25">
      <c r="A84" t="s">
        <v>214</v>
      </c>
      <c r="B84" t="s">
        <v>883</v>
      </c>
      <c r="C84" t="s">
        <v>884</v>
      </c>
      <c r="D84" t="s">
        <v>547</v>
      </c>
      <c r="F84">
        <v>3487</v>
      </c>
      <c r="G84">
        <v>3442</v>
      </c>
      <c r="H84">
        <v>3180</v>
      </c>
      <c r="I84">
        <v>3168</v>
      </c>
      <c r="J84">
        <v>3156</v>
      </c>
      <c r="K84">
        <v>3144</v>
      </c>
      <c r="L84">
        <v>3131</v>
      </c>
      <c r="M84">
        <v>3119</v>
      </c>
      <c r="N84">
        <v>3106</v>
      </c>
      <c r="O84">
        <v>3094</v>
      </c>
      <c r="P84">
        <v>3081</v>
      </c>
      <c r="Q84">
        <v>3069</v>
      </c>
      <c r="R84">
        <v>3056</v>
      </c>
      <c r="S84">
        <v>3043</v>
      </c>
      <c r="T84">
        <v>3031</v>
      </c>
      <c r="U84">
        <v>3018</v>
      </c>
      <c r="V84">
        <v>3005</v>
      </c>
      <c r="W84">
        <v>2992</v>
      </c>
      <c r="X84">
        <v>2980</v>
      </c>
      <c r="Y84">
        <v>2967</v>
      </c>
      <c r="Z84">
        <v>2954</v>
      </c>
      <c r="AA84">
        <v>2941</v>
      </c>
      <c r="AB84">
        <v>2929</v>
      </c>
      <c r="AC84">
        <v>2916</v>
      </c>
      <c r="AD84">
        <v>2903</v>
      </c>
      <c r="AE84">
        <v>2890</v>
      </c>
      <c r="AF84">
        <v>2877</v>
      </c>
      <c r="AG84">
        <v>2865</v>
      </c>
      <c r="AH84">
        <v>2852</v>
      </c>
      <c r="AI84" s="42">
        <v>-7.0000000000000001E-3</v>
      </c>
    </row>
    <row r="85" spans="1:35" x14ac:dyDescent="0.25">
      <c r="A85" t="s">
        <v>215</v>
      </c>
      <c r="B85" t="s">
        <v>885</v>
      </c>
      <c r="C85" t="s">
        <v>886</v>
      </c>
      <c r="D85" t="s">
        <v>547</v>
      </c>
      <c r="F85">
        <v>2195</v>
      </c>
      <c r="G85">
        <v>2056</v>
      </c>
      <c r="H85">
        <v>1942</v>
      </c>
      <c r="I85">
        <v>1934</v>
      </c>
      <c r="J85">
        <v>1925</v>
      </c>
      <c r="K85">
        <v>1916</v>
      </c>
      <c r="L85">
        <v>1908</v>
      </c>
      <c r="M85">
        <v>1899</v>
      </c>
      <c r="N85">
        <v>1891</v>
      </c>
      <c r="O85">
        <v>1882</v>
      </c>
      <c r="P85">
        <v>1874</v>
      </c>
      <c r="Q85">
        <v>1865</v>
      </c>
      <c r="R85">
        <v>1857</v>
      </c>
      <c r="S85">
        <v>1849</v>
      </c>
      <c r="T85">
        <v>1840</v>
      </c>
      <c r="U85">
        <v>1832</v>
      </c>
      <c r="V85">
        <v>1824</v>
      </c>
      <c r="W85">
        <v>1815</v>
      </c>
      <c r="X85">
        <v>1807</v>
      </c>
      <c r="Y85">
        <v>1799</v>
      </c>
      <c r="Z85">
        <v>1791</v>
      </c>
      <c r="AA85">
        <v>1783</v>
      </c>
      <c r="AB85">
        <v>1774</v>
      </c>
      <c r="AC85">
        <v>1766</v>
      </c>
      <c r="AD85">
        <v>1758</v>
      </c>
      <c r="AE85">
        <v>1750</v>
      </c>
      <c r="AF85">
        <v>1742</v>
      </c>
      <c r="AG85">
        <v>1734</v>
      </c>
      <c r="AH85">
        <v>1726</v>
      </c>
      <c r="AI85" s="42">
        <v>-8.9999999999999993E-3</v>
      </c>
    </row>
    <row r="86" spans="1:35" x14ac:dyDescent="0.25">
      <c r="A86" t="s">
        <v>217</v>
      </c>
      <c r="B86" t="s">
        <v>887</v>
      </c>
      <c r="C86" t="s">
        <v>888</v>
      </c>
      <c r="D86" t="s">
        <v>547</v>
      </c>
      <c r="F86">
        <v>4970</v>
      </c>
      <c r="G86">
        <v>4978</v>
      </c>
      <c r="H86">
        <v>4789</v>
      </c>
      <c r="I86">
        <v>4776</v>
      </c>
      <c r="J86">
        <v>4763</v>
      </c>
      <c r="K86">
        <v>4751</v>
      </c>
      <c r="L86">
        <v>4738</v>
      </c>
      <c r="M86">
        <v>4725</v>
      </c>
      <c r="N86">
        <v>4712</v>
      </c>
      <c r="O86">
        <v>4698</v>
      </c>
      <c r="P86">
        <v>4685</v>
      </c>
      <c r="Q86">
        <v>4672</v>
      </c>
      <c r="R86">
        <v>4658</v>
      </c>
      <c r="S86">
        <v>4645</v>
      </c>
      <c r="T86">
        <v>4632</v>
      </c>
      <c r="U86">
        <v>4619</v>
      </c>
      <c r="V86">
        <v>4606</v>
      </c>
      <c r="W86">
        <v>4593</v>
      </c>
      <c r="X86">
        <v>4580</v>
      </c>
      <c r="Y86">
        <v>4568</v>
      </c>
      <c r="Z86">
        <v>4555</v>
      </c>
      <c r="AA86">
        <v>4542</v>
      </c>
      <c r="AB86">
        <v>4530</v>
      </c>
      <c r="AC86">
        <v>4517</v>
      </c>
      <c r="AD86">
        <v>4504</v>
      </c>
      <c r="AE86">
        <v>4492</v>
      </c>
      <c r="AF86">
        <v>4479</v>
      </c>
      <c r="AG86">
        <v>4467</v>
      </c>
      <c r="AH86">
        <v>4454</v>
      </c>
      <c r="AI86" s="42">
        <v>-4.0000000000000001E-3</v>
      </c>
    </row>
    <row r="87" spans="1:35" x14ac:dyDescent="0.25">
      <c r="A87" t="s">
        <v>220</v>
      </c>
      <c r="B87" t="s">
        <v>889</v>
      </c>
      <c r="C87" t="s">
        <v>890</v>
      </c>
      <c r="D87" t="s">
        <v>547</v>
      </c>
      <c r="F87">
        <v>3212</v>
      </c>
      <c r="G87">
        <v>3503</v>
      </c>
      <c r="H87">
        <v>3250</v>
      </c>
      <c r="I87">
        <v>3241</v>
      </c>
      <c r="J87">
        <v>3232</v>
      </c>
      <c r="K87">
        <v>3223</v>
      </c>
      <c r="L87">
        <v>3213</v>
      </c>
      <c r="M87">
        <v>3204</v>
      </c>
      <c r="N87">
        <v>3195</v>
      </c>
      <c r="O87">
        <v>3185</v>
      </c>
      <c r="P87">
        <v>3176</v>
      </c>
      <c r="Q87">
        <v>3166</v>
      </c>
      <c r="R87">
        <v>3157</v>
      </c>
      <c r="S87">
        <v>3147</v>
      </c>
      <c r="T87">
        <v>3137</v>
      </c>
      <c r="U87">
        <v>3128</v>
      </c>
      <c r="V87">
        <v>3118</v>
      </c>
      <c r="W87">
        <v>3108</v>
      </c>
      <c r="X87">
        <v>3098</v>
      </c>
      <c r="Y87">
        <v>3089</v>
      </c>
      <c r="Z87">
        <v>3079</v>
      </c>
      <c r="AA87">
        <v>3069</v>
      </c>
      <c r="AB87">
        <v>3059</v>
      </c>
      <c r="AC87">
        <v>3049</v>
      </c>
      <c r="AD87">
        <v>3040</v>
      </c>
      <c r="AE87">
        <v>3030</v>
      </c>
      <c r="AF87">
        <v>3020</v>
      </c>
      <c r="AG87">
        <v>3010</v>
      </c>
      <c r="AH87">
        <v>3000</v>
      </c>
      <c r="AI87" s="42">
        <v>-2E-3</v>
      </c>
    </row>
    <row r="88" spans="1:35" x14ac:dyDescent="0.25">
      <c r="A88" t="s">
        <v>564</v>
      </c>
      <c r="B88" t="s">
        <v>891</v>
      </c>
      <c r="C88" t="s">
        <v>892</v>
      </c>
      <c r="D88" t="s">
        <v>547</v>
      </c>
      <c r="F88">
        <v>4234.6137699999999</v>
      </c>
      <c r="G88">
        <v>4246.6186520000001</v>
      </c>
      <c r="H88">
        <v>3976.1059570000002</v>
      </c>
      <c r="I88">
        <v>3957.180664</v>
      </c>
      <c r="J88">
        <v>3938.5415039999998</v>
      </c>
      <c r="K88">
        <v>3920.0117190000001</v>
      </c>
      <c r="L88">
        <v>3901.2561040000001</v>
      </c>
      <c r="M88">
        <v>3882.5219729999999</v>
      </c>
      <c r="N88">
        <v>3863.8103030000002</v>
      </c>
      <c r="O88">
        <v>3845.1889649999998</v>
      </c>
      <c r="P88">
        <v>3826.626221</v>
      </c>
      <c r="Q88">
        <v>3807.9733890000002</v>
      </c>
      <c r="R88">
        <v>3789.4521479999999</v>
      </c>
      <c r="S88">
        <v>3770.821289</v>
      </c>
      <c r="T88">
        <v>3752.0329590000001</v>
      </c>
      <c r="U88">
        <v>3733.780029</v>
      </c>
      <c r="V88">
        <v>3715.305664</v>
      </c>
      <c r="W88">
        <v>3696.5273440000001</v>
      </c>
      <c r="X88">
        <v>3678.117432</v>
      </c>
      <c r="Y88">
        <v>3659.850586</v>
      </c>
      <c r="Z88">
        <v>3641.3955080000001</v>
      </c>
      <c r="AA88">
        <v>3622.8991700000001</v>
      </c>
      <c r="AB88">
        <v>3604.398682</v>
      </c>
      <c r="AC88">
        <v>3585.969482</v>
      </c>
      <c r="AD88">
        <v>3567.7004390000002</v>
      </c>
      <c r="AE88">
        <v>3549.5581050000001</v>
      </c>
      <c r="AF88">
        <v>3531.4091800000001</v>
      </c>
      <c r="AG88">
        <v>3513.482422</v>
      </c>
      <c r="AH88">
        <v>3495.6748050000001</v>
      </c>
      <c r="AI88" s="42">
        <v>-7.0000000000000001E-3</v>
      </c>
    </row>
    <row r="89" spans="1:35" x14ac:dyDescent="0.25">
      <c r="A89" t="s">
        <v>567</v>
      </c>
    </row>
    <row r="90" spans="1:35" x14ac:dyDescent="0.25">
      <c r="A90" t="s">
        <v>207</v>
      </c>
      <c r="B90" t="s">
        <v>893</v>
      </c>
      <c r="C90" t="s">
        <v>894</v>
      </c>
      <c r="D90" t="s">
        <v>570</v>
      </c>
      <c r="F90">
        <v>639</v>
      </c>
      <c r="G90">
        <v>500</v>
      </c>
      <c r="H90">
        <v>614</v>
      </c>
      <c r="I90">
        <v>621</v>
      </c>
      <c r="J90">
        <v>629</v>
      </c>
      <c r="K90">
        <v>636</v>
      </c>
      <c r="L90">
        <v>643</v>
      </c>
      <c r="M90">
        <v>651</v>
      </c>
      <c r="N90">
        <v>658</v>
      </c>
      <c r="O90">
        <v>665</v>
      </c>
      <c r="P90">
        <v>673</v>
      </c>
      <c r="Q90">
        <v>680</v>
      </c>
      <c r="R90">
        <v>687</v>
      </c>
      <c r="S90">
        <v>695</v>
      </c>
      <c r="T90">
        <v>702</v>
      </c>
      <c r="U90">
        <v>710</v>
      </c>
      <c r="V90">
        <v>717</v>
      </c>
      <c r="W90">
        <v>724</v>
      </c>
      <c r="X90">
        <v>732</v>
      </c>
      <c r="Y90">
        <v>739</v>
      </c>
      <c r="Z90">
        <v>747</v>
      </c>
      <c r="AA90">
        <v>754</v>
      </c>
      <c r="AB90">
        <v>761</v>
      </c>
      <c r="AC90">
        <v>769</v>
      </c>
      <c r="AD90">
        <v>776</v>
      </c>
      <c r="AE90">
        <v>784</v>
      </c>
      <c r="AF90">
        <v>791</v>
      </c>
      <c r="AG90">
        <v>799</v>
      </c>
      <c r="AH90">
        <v>806</v>
      </c>
      <c r="AI90" s="42">
        <v>8.0000000000000002E-3</v>
      </c>
    </row>
    <row r="91" spans="1:35" x14ac:dyDescent="0.25">
      <c r="A91" t="s">
        <v>208</v>
      </c>
      <c r="B91" t="s">
        <v>895</v>
      </c>
      <c r="C91" t="s">
        <v>896</v>
      </c>
      <c r="D91" t="s">
        <v>570</v>
      </c>
      <c r="F91">
        <v>835</v>
      </c>
      <c r="G91">
        <v>692</v>
      </c>
      <c r="H91">
        <v>864</v>
      </c>
      <c r="I91">
        <v>874</v>
      </c>
      <c r="J91">
        <v>883</v>
      </c>
      <c r="K91">
        <v>893</v>
      </c>
      <c r="L91">
        <v>902</v>
      </c>
      <c r="M91">
        <v>912</v>
      </c>
      <c r="N91">
        <v>922</v>
      </c>
      <c r="O91">
        <v>931</v>
      </c>
      <c r="P91">
        <v>941</v>
      </c>
      <c r="Q91">
        <v>950</v>
      </c>
      <c r="R91">
        <v>960</v>
      </c>
      <c r="S91">
        <v>970</v>
      </c>
      <c r="T91">
        <v>979</v>
      </c>
      <c r="U91">
        <v>989</v>
      </c>
      <c r="V91">
        <v>999</v>
      </c>
      <c r="W91">
        <v>1008</v>
      </c>
      <c r="X91">
        <v>1018</v>
      </c>
      <c r="Y91">
        <v>1027</v>
      </c>
      <c r="Z91">
        <v>1037</v>
      </c>
      <c r="AA91">
        <v>1047</v>
      </c>
      <c r="AB91">
        <v>1056</v>
      </c>
      <c r="AC91">
        <v>1066</v>
      </c>
      <c r="AD91">
        <v>1076</v>
      </c>
      <c r="AE91">
        <v>1085</v>
      </c>
      <c r="AF91">
        <v>1095</v>
      </c>
      <c r="AG91">
        <v>1104</v>
      </c>
      <c r="AH91">
        <v>1114</v>
      </c>
      <c r="AI91" s="42">
        <v>0.01</v>
      </c>
    </row>
    <row r="92" spans="1:35" x14ac:dyDescent="0.25">
      <c r="A92" t="s">
        <v>210</v>
      </c>
      <c r="B92" t="s">
        <v>897</v>
      </c>
      <c r="C92" t="s">
        <v>898</v>
      </c>
      <c r="D92" t="s">
        <v>570</v>
      </c>
      <c r="F92">
        <v>813</v>
      </c>
      <c r="G92">
        <v>752</v>
      </c>
      <c r="H92">
        <v>892</v>
      </c>
      <c r="I92">
        <v>900</v>
      </c>
      <c r="J92">
        <v>908</v>
      </c>
      <c r="K92">
        <v>916</v>
      </c>
      <c r="L92">
        <v>924</v>
      </c>
      <c r="M92">
        <v>932</v>
      </c>
      <c r="N92">
        <v>939</v>
      </c>
      <c r="O92">
        <v>947</v>
      </c>
      <c r="P92">
        <v>955</v>
      </c>
      <c r="Q92">
        <v>963</v>
      </c>
      <c r="R92">
        <v>971</v>
      </c>
      <c r="S92">
        <v>979</v>
      </c>
      <c r="T92">
        <v>987</v>
      </c>
      <c r="U92">
        <v>994</v>
      </c>
      <c r="V92">
        <v>1002</v>
      </c>
      <c r="W92">
        <v>1010</v>
      </c>
      <c r="X92">
        <v>1018</v>
      </c>
      <c r="Y92">
        <v>1026</v>
      </c>
      <c r="Z92">
        <v>1034</v>
      </c>
      <c r="AA92">
        <v>1042</v>
      </c>
      <c r="AB92">
        <v>1050</v>
      </c>
      <c r="AC92">
        <v>1058</v>
      </c>
      <c r="AD92">
        <v>1066</v>
      </c>
      <c r="AE92">
        <v>1073</v>
      </c>
      <c r="AF92">
        <v>1081</v>
      </c>
      <c r="AG92">
        <v>1089</v>
      </c>
      <c r="AH92">
        <v>1097</v>
      </c>
      <c r="AI92" s="42">
        <v>1.0999999999999999E-2</v>
      </c>
    </row>
    <row r="93" spans="1:35" x14ac:dyDescent="0.25">
      <c r="A93" t="s">
        <v>211</v>
      </c>
      <c r="B93" t="s">
        <v>899</v>
      </c>
      <c r="C93" t="s">
        <v>900</v>
      </c>
      <c r="D93" t="s">
        <v>570</v>
      </c>
      <c r="F93">
        <v>1050</v>
      </c>
      <c r="G93">
        <v>944</v>
      </c>
      <c r="H93">
        <v>1069</v>
      </c>
      <c r="I93">
        <v>1077</v>
      </c>
      <c r="J93">
        <v>1084</v>
      </c>
      <c r="K93">
        <v>1091</v>
      </c>
      <c r="L93">
        <v>1099</v>
      </c>
      <c r="M93">
        <v>1106</v>
      </c>
      <c r="N93">
        <v>1114</v>
      </c>
      <c r="O93">
        <v>1121</v>
      </c>
      <c r="P93">
        <v>1129</v>
      </c>
      <c r="Q93">
        <v>1136</v>
      </c>
      <c r="R93">
        <v>1144</v>
      </c>
      <c r="S93">
        <v>1151</v>
      </c>
      <c r="T93">
        <v>1159</v>
      </c>
      <c r="U93">
        <v>1166</v>
      </c>
      <c r="V93">
        <v>1174</v>
      </c>
      <c r="W93">
        <v>1182</v>
      </c>
      <c r="X93">
        <v>1189</v>
      </c>
      <c r="Y93">
        <v>1197</v>
      </c>
      <c r="Z93">
        <v>1204</v>
      </c>
      <c r="AA93">
        <v>1212</v>
      </c>
      <c r="AB93">
        <v>1220</v>
      </c>
      <c r="AC93">
        <v>1227</v>
      </c>
      <c r="AD93">
        <v>1235</v>
      </c>
      <c r="AE93">
        <v>1243</v>
      </c>
      <c r="AF93">
        <v>1250</v>
      </c>
      <c r="AG93">
        <v>1258</v>
      </c>
      <c r="AH93">
        <v>1266</v>
      </c>
      <c r="AI93" s="42">
        <v>7.0000000000000001E-3</v>
      </c>
    </row>
    <row r="94" spans="1:35" x14ac:dyDescent="0.25">
      <c r="A94" t="s">
        <v>213</v>
      </c>
      <c r="B94" t="s">
        <v>901</v>
      </c>
      <c r="C94" t="s">
        <v>902</v>
      </c>
      <c r="D94" t="s">
        <v>570</v>
      </c>
      <c r="F94">
        <v>2264</v>
      </c>
      <c r="G94">
        <v>2150</v>
      </c>
      <c r="H94">
        <v>2408</v>
      </c>
      <c r="I94">
        <v>2426</v>
      </c>
      <c r="J94">
        <v>2442</v>
      </c>
      <c r="K94">
        <v>2459</v>
      </c>
      <c r="L94">
        <v>2476</v>
      </c>
      <c r="M94">
        <v>2494</v>
      </c>
      <c r="N94">
        <v>2511</v>
      </c>
      <c r="O94">
        <v>2528</v>
      </c>
      <c r="P94">
        <v>2545</v>
      </c>
      <c r="Q94">
        <v>2562</v>
      </c>
      <c r="R94">
        <v>2579</v>
      </c>
      <c r="S94">
        <v>2597</v>
      </c>
      <c r="T94">
        <v>2614</v>
      </c>
      <c r="U94">
        <v>2632</v>
      </c>
      <c r="V94">
        <v>2649</v>
      </c>
      <c r="W94">
        <v>2666</v>
      </c>
      <c r="X94">
        <v>2684</v>
      </c>
      <c r="Y94">
        <v>2701</v>
      </c>
      <c r="Z94">
        <v>2719</v>
      </c>
      <c r="AA94">
        <v>2736</v>
      </c>
      <c r="AB94">
        <v>2754</v>
      </c>
      <c r="AC94">
        <v>2771</v>
      </c>
      <c r="AD94">
        <v>2789</v>
      </c>
      <c r="AE94">
        <v>2806</v>
      </c>
      <c r="AF94">
        <v>2824</v>
      </c>
      <c r="AG94">
        <v>2842</v>
      </c>
      <c r="AH94">
        <v>2859</v>
      </c>
      <c r="AI94" s="42">
        <v>8.0000000000000002E-3</v>
      </c>
    </row>
    <row r="95" spans="1:35" x14ac:dyDescent="0.25">
      <c r="A95" t="s">
        <v>214</v>
      </c>
      <c r="B95" t="s">
        <v>903</v>
      </c>
      <c r="C95" t="s">
        <v>904</v>
      </c>
      <c r="D95" t="s">
        <v>570</v>
      </c>
      <c r="F95">
        <v>1730</v>
      </c>
      <c r="G95">
        <v>1637</v>
      </c>
      <c r="H95">
        <v>1805</v>
      </c>
      <c r="I95">
        <v>1814</v>
      </c>
      <c r="J95">
        <v>1824</v>
      </c>
      <c r="K95">
        <v>1834</v>
      </c>
      <c r="L95">
        <v>1844</v>
      </c>
      <c r="M95">
        <v>1854</v>
      </c>
      <c r="N95">
        <v>1864</v>
      </c>
      <c r="O95">
        <v>1874</v>
      </c>
      <c r="P95">
        <v>1884</v>
      </c>
      <c r="Q95">
        <v>1894</v>
      </c>
      <c r="R95">
        <v>1904</v>
      </c>
      <c r="S95">
        <v>1914</v>
      </c>
      <c r="T95">
        <v>1924</v>
      </c>
      <c r="U95">
        <v>1934</v>
      </c>
      <c r="V95">
        <v>1944</v>
      </c>
      <c r="W95">
        <v>1954</v>
      </c>
      <c r="X95">
        <v>1964</v>
      </c>
      <c r="Y95">
        <v>1974</v>
      </c>
      <c r="Z95">
        <v>1984</v>
      </c>
      <c r="AA95">
        <v>1994</v>
      </c>
      <c r="AB95">
        <v>2004</v>
      </c>
      <c r="AC95">
        <v>2014</v>
      </c>
      <c r="AD95">
        <v>2024</v>
      </c>
      <c r="AE95">
        <v>2034</v>
      </c>
      <c r="AF95">
        <v>2044</v>
      </c>
      <c r="AG95">
        <v>2054</v>
      </c>
      <c r="AH95">
        <v>2064</v>
      </c>
      <c r="AI95" s="42">
        <v>6.0000000000000001E-3</v>
      </c>
    </row>
    <row r="96" spans="1:35" x14ac:dyDescent="0.25">
      <c r="A96" t="s">
        <v>215</v>
      </c>
      <c r="B96" t="s">
        <v>905</v>
      </c>
      <c r="C96" t="s">
        <v>906</v>
      </c>
      <c r="D96" t="s">
        <v>570</v>
      </c>
      <c r="F96">
        <v>3000</v>
      </c>
      <c r="G96">
        <v>2658</v>
      </c>
      <c r="H96">
        <v>2860</v>
      </c>
      <c r="I96">
        <v>2874</v>
      </c>
      <c r="J96">
        <v>2887</v>
      </c>
      <c r="K96">
        <v>2901</v>
      </c>
      <c r="L96">
        <v>2915</v>
      </c>
      <c r="M96">
        <v>2928</v>
      </c>
      <c r="N96">
        <v>2942</v>
      </c>
      <c r="O96">
        <v>2955</v>
      </c>
      <c r="P96">
        <v>2969</v>
      </c>
      <c r="Q96">
        <v>2982</v>
      </c>
      <c r="R96">
        <v>2996</v>
      </c>
      <c r="S96">
        <v>3009</v>
      </c>
      <c r="T96">
        <v>3023</v>
      </c>
      <c r="U96">
        <v>3036</v>
      </c>
      <c r="V96">
        <v>3050</v>
      </c>
      <c r="W96">
        <v>3063</v>
      </c>
      <c r="X96">
        <v>3076</v>
      </c>
      <c r="Y96">
        <v>3090</v>
      </c>
      <c r="Z96">
        <v>3103</v>
      </c>
      <c r="AA96">
        <v>3117</v>
      </c>
      <c r="AB96">
        <v>3130</v>
      </c>
      <c r="AC96">
        <v>3144</v>
      </c>
      <c r="AD96">
        <v>3157</v>
      </c>
      <c r="AE96">
        <v>3170</v>
      </c>
      <c r="AF96">
        <v>3184</v>
      </c>
      <c r="AG96">
        <v>3197</v>
      </c>
      <c r="AH96">
        <v>3210</v>
      </c>
      <c r="AI96" s="42">
        <v>2E-3</v>
      </c>
    </row>
    <row r="97" spans="1:35" x14ac:dyDescent="0.25">
      <c r="A97" t="s">
        <v>217</v>
      </c>
      <c r="B97" t="s">
        <v>907</v>
      </c>
      <c r="C97" t="s">
        <v>908</v>
      </c>
      <c r="D97" t="s">
        <v>570</v>
      </c>
      <c r="F97">
        <v>1578</v>
      </c>
      <c r="G97">
        <v>1415</v>
      </c>
      <c r="H97">
        <v>1580</v>
      </c>
      <c r="I97">
        <v>1589</v>
      </c>
      <c r="J97">
        <v>1599</v>
      </c>
      <c r="K97">
        <v>1608</v>
      </c>
      <c r="L97">
        <v>1618</v>
      </c>
      <c r="M97">
        <v>1628</v>
      </c>
      <c r="N97">
        <v>1638</v>
      </c>
      <c r="O97">
        <v>1647</v>
      </c>
      <c r="P97">
        <v>1657</v>
      </c>
      <c r="Q97">
        <v>1667</v>
      </c>
      <c r="R97">
        <v>1677</v>
      </c>
      <c r="S97">
        <v>1687</v>
      </c>
      <c r="T97">
        <v>1697</v>
      </c>
      <c r="U97">
        <v>1706</v>
      </c>
      <c r="V97">
        <v>1716</v>
      </c>
      <c r="W97">
        <v>1726</v>
      </c>
      <c r="X97">
        <v>1735</v>
      </c>
      <c r="Y97">
        <v>1745</v>
      </c>
      <c r="Z97">
        <v>1755</v>
      </c>
      <c r="AA97">
        <v>1764</v>
      </c>
      <c r="AB97">
        <v>1774</v>
      </c>
      <c r="AC97">
        <v>1783</v>
      </c>
      <c r="AD97">
        <v>1793</v>
      </c>
      <c r="AE97">
        <v>1802</v>
      </c>
      <c r="AF97">
        <v>1812</v>
      </c>
      <c r="AG97">
        <v>1822</v>
      </c>
      <c r="AH97">
        <v>1831</v>
      </c>
      <c r="AI97" s="42">
        <v>5.0000000000000001E-3</v>
      </c>
    </row>
    <row r="98" spans="1:35" x14ac:dyDescent="0.25">
      <c r="A98" t="s">
        <v>220</v>
      </c>
      <c r="B98" t="s">
        <v>909</v>
      </c>
      <c r="C98" t="s">
        <v>910</v>
      </c>
      <c r="D98" t="s">
        <v>570</v>
      </c>
      <c r="F98">
        <v>1098</v>
      </c>
      <c r="G98">
        <v>825</v>
      </c>
      <c r="H98">
        <v>1006</v>
      </c>
      <c r="I98">
        <v>1013</v>
      </c>
      <c r="J98">
        <v>1020</v>
      </c>
      <c r="K98">
        <v>1028</v>
      </c>
      <c r="L98">
        <v>1035</v>
      </c>
      <c r="M98">
        <v>1043</v>
      </c>
      <c r="N98">
        <v>1050</v>
      </c>
      <c r="O98">
        <v>1058</v>
      </c>
      <c r="P98">
        <v>1066</v>
      </c>
      <c r="Q98">
        <v>1073</v>
      </c>
      <c r="R98">
        <v>1081</v>
      </c>
      <c r="S98">
        <v>1088</v>
      </c>
      <c r="T98">
        <v>1096</v>
      </c>
      <c r="U98">
        <v>1104</v>
      </c>
      <c r="V98">
        <v>1111</v>
      </c>
      <c r="W98">
        <v>1119</v>
      </c>
      <c r="X98">
        <v>1127</v>
      </c>
      <c r="Y98">
        <v>1134</v>
      </c>
      <c r="Z98">
        <v>1142</v>
      </c>
      <c r="AA98">
        <v>1150</v>
      </c>
      <c r="AB98">
        <v>1157</v>
      </c>
      <c r="AC98">
        <v>1165</v>
      </c>
      <c r="AD98">
        <v>1173</v>
      </c>
      <c r="AE98">
        <v>1181</v>
      </c>
      <c r="AF98">
        <v>1188</v>
      </c>
      <c r="AG98">
        <v>1196</v>
      </c>
      <c r="AH98">
        <v>1204</v>
      </c>
      <c r="AI98" s="42">
        <v>3.0000000000000001E-3</v>
      </c>
    </row>
    <row r="99" spans="1:35" x14ac:dyDescent="0.25">
      <c r="A99" t="s">
        <v>564</v>
      </c>
      <c r="B99" t="s">
        <v>911</v>
      </c>
      <c r="C99" t="s">
        <v>912</v>
      </c>
      <c r="D99" t="s">
        <v>570</v>
      </c>
      <c r="F99">
        <v>1549.955811</v>
      </c>
      <c r="G99">
        <v>1383.8479</v>
      </c>
      <c r="H99">
        <v>1570.0424800000001</v>
      </c>
      <c r="I99">
        <v>1583.3448490000001</v>
      </c>
      <c r="J99">
        <v>1596.1142580000001</v>
      </c>
      <c r="K99">
        <v>1609.38501</v>
      </c>
      <c r="L99">
        <v>1622.5207519999999</v>
      </c>
      <c r="M99">
        <v>1636.0070800000001</v>
      </c>
      <c r="N99">
        <v>1649.149048</v>
      </c>
      <c r="O99">
        <v>1662.2188719999999</v>
      </c>
      <c r="P99">
        <v>1675.7426760000001</v>
      </c>
      <c r="Q99">
        <v>1688.762207</v>
      </c>
      <c r="R99">
        <v>1702.278198</v>
      </c>
      <c r="S99">
        <v>1715.7017820000001</v>
      </c>
      <c r="T99">
        <v>1729.1450199999999</v>
      </c>
      <c r="U99">
        <v>1742.5604249999999</v>
      </c>
      <c r="V99">
        <v>1755.9835210000001</v>
      </c>
      <c r="W99">
        <v>1769.3446039999999</v>
      </c>
      <c r="X99">
        <v>1782.940063</v>
      </c>
      <c r="Y99">
        <v>1796.302124</v>
      </c>
      <c r="Z99">
        <v>1810.015259</v>
      </c>
      <c r="AA99">
        <v>1823.60437</v>
      </c>
      <c r="AB99">
        <v>1837.094971</v>
      </c>
      <c r="AC99">
        <v>1850.6906739999999</v>
      </c>
      <c r="AD99">
        <v>1864.471436</v>
      </c>
      <c r="AE99">
        <v>1877.7441409999999</v>
      </c>
      <c r="AF99">
        <v>1891.3885499999999</v>
      </c>
      <c r="AG99">
        <v>1904.9642329999999</v>
      </c>
      <c r="AH99">
        <v>1918.225586</v>
      </c>
      <c r="AI99" s="42">
        <v>8.0000000000000002E-3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6"/>
  <sheetViews>
    <sheetView topLeftCell="A4" workbookViewId="0">
      <selection sqref="A1:F26"/>
    </sheetView>
  </sheetViews>
  <sheetFormatPr defaultRowHeight="15" x14ac:dyDescent="0.25"/>
  <sheetData>
    <row r="1" spans="1:6" x14ac:dyDescent="0.25">
      <c r="A1" s="58" t="s">
        <v>913</v>
      </c>
      <c r="B1" s="58" t="s">
        <v>914</v>
      </c>
      <c r="C1" s="58" t="s">
        <v>915</v>
      </c>
      <c r="D1" s="58" t="s">
        <v>916</v>
      </c>
      <c r="E1" s="58" t="s">
        <v>917</v>
      </c>
      <c r="F1" s="58" t="s">
        <v>918</v>
      </c>
    </row>
    <row r="2" spans="1:6" x14ac:dyDescent="0.25">
      <c r="A2" s="59" t="s">
        <v>919</v>
      </c>
      <c r="B2" s="59" t="s">
        <v>920</v>
      </c>
      <c r="C2" s="59">
        <v>2021</v>
      </c>
      <c r="D2" s="59">
        <v>10.5</v>
      </c>
      <c r="E2" s="59">
        <v>10.3</v>
      </c>
      <c r="F2" s="59">
        <v>91.4</v>
      </c>
    </row>
    <row r="3" spans="1:6" x14ac:dyDescent="0.25">
      <c r="A3" s="59" t="s">
        <v>919</v>
      </c>
      <c r="B3" s="59" t="s">
        <v>920</v>
      </c>
      <c r="C3" s="59">
        <v>2022</v>
      </c>
      <c r="D3" s="59">
        <v>16</v>
      </c>
      <c r="E3" s="59">
        <v>13.9</v>
      </c>
      <c r="F3" s="59">
        <v>116</v>
      </c>
    </row>
    <row r="4" spans="1:6" x14ac:dyDescent="0.25">
      <c r="A4" s="59" t="s">
        <v>919</v>
      </c>
      <c r="B4" s="59" t="s">
        <v>920</v>
      </c>
      <c r="C4" s="59">
        <v>2023</v>
      </c>
      <c r="D4" s="59">
        <v>25.5</v>
      </c>
      <c r="E4" s="59">
        <v>16.7</v>
      </c>
      <c r="F4" s="59">
        <v>141</v>
      </c>
    </row>
    <row r="5" spans="1:6" x14ac:dyDescent="0.25">
      <c r="A5" s="59" t="s">
        <v>919</v>
      </c>
      <c r="B5" s="59" t="s">
        <v>920</v>
      </c>
      <c r="C5" s="59">
        <v>2024</v>
      </c>
      <c r="D5" s="59">
        <v>39.799999999999997</v>
      </c>
      <c r="E5" s="59">
        <v>21.5</v>
      </c>
      <c r="F5" s="59">
        <v>184</v>
      </c>
    </row>
    <row r="6" spans="1:6" x14ac:dyDescent="0.25">
      <c r="A6" s="59" t="s">
        <v>921</v>
      </c>
      <c r="B6" s="59" t="s">
        <v>920</v>
      </c>
      <c r="C6" s="59">
        <v>2024</v>
      </c>
      <c r="D6" s="59">
        <v>35.1</v>
      </c>
      <c r="E6" s="59">
        <v>20.7</v>
      </c>
      <c r="F6" s="59">
        <v>177</v>
      </c>
    </row>
    <row r="7" spans="1:6" x14ac:dyDescent="0.25">
      <c r="A7" s="59" t="s">
        <v>921</v>
      </c>
      <c r="B7" s="59" t="s">
        <v>920</v>
      </c>
      <c r="C7" s="59">
        <v>2025</v>
      </c>
      <c r="D7" s="59">
        <v>38.700000000000003</v>
      </c>
      <c r="E7" s="59">
        <v>24.8</v>
      </c>
      <c r="F7" s="59">
        <v>212</v>
      </c>
    </row>
    <row r="8" spans="1:6" x14ac:dyDescent="0.25">
      <c r="A8" s="59" t="s">
        <v>921</v>
      </c>
      <c r="B8" s="59" t="s">
        <v>920</v>
      </c>
      <c r="C8" s="59">
        <v>2026</v>
      </c>
      <c r="D8" s="59">
        <v>42.2</v>
      </c>
      <c r="E8" s="59">
        <v>29.7</v>
      </c>
      <c r="F8" s="59">
        <v>251</v>
      </c>
    </row>
    <row r="9" spans="1:6" x14ac:dyDescent="0.25">
      <c r="A9" s="59" t="s">
        <v>921</v>
      </c>
      <c r="B9" s="59" t="s">
        <v>920</v>
      </c>
      <c r="C9" s="59">
        <v>2027</v>
      </c>
      <c r="D9" s="59">
        <v>45.6</v>
      </c>
      <c r="E9" s="59">
        <v>35.1</v>
      </c>
      <c r="F9" s="59">
        <v>296</v>
      </c>
    </row>
    <row r="10" spans="1:6" x14ac:dyDescent="0.25">
      <c r="A10" s="59" t="s">
        <v>921</v>
      </c>
      <c r="B10" s="59" t="s">
        <v>920</v>
      </c>
      <c r="C10" s="59">
        <v>2028</v>
      </c>
      <c r="D10" s="59">
        <v>49.1</v>
      </c>
      <c r="E10" s="59">
        <v>39.4</v>
      </c>
      <c r="F10" s="59">
        <v>333</v>
      </c>
    </row>
    <row r="11" spans="1:6" x14ac:dyDescent="0.25">
      <c r="A11" s="59" t="s">
        <v>921</v>
      </c>
      <c r="B11" s="59" t="s">
        <v>920</v>
      </c>
      <c r="C11" s="59">
        <v>2029</v>
      </c>
      <c r="D11" s="59">
        <v>52.6</v>
      </c>
      <c r="E11" s="59">
        <v>42.5</v>
      </c>
      <c r="F11" s="59">
        <v>359</v>
      </c>
    </row>
    <row r="12" spans="1:6" x14ac:dyDescent="0.25">
      <c r="A12" s="59" t="s">
        <v>921</v>
      </c>
      <c r="B12" s="59" t="s">
        <v>920</v>
      </c>
      <c r="C12" s="59">
        <v>2030</v>
      </c>
      <c r="D12" s="59">
        <v>56.1</v>
      </c>
      <c r="E12" s="59">
        <v>45.4</v>
      </c>
      <c r="F12" s="59">
        <v>384</v>
      </c>
    </row>
    <row r="13" spans="1:6" x14ac:dyDescent="0.25">
      <c r="A13" s="59" t="s">
        <v>922</v>
      </c>
      <c r="B13" s="59" t="s">
        <v>920</v>
      </c>
      <c r="C13" s="59">
        <v>2024</v>
      </c>
      <c r="D13" s="59">
        <v>39.799999999999997</v>
      </c>
      <c r="E13" s="59">
        <v>21.5</v>
      </c>
      <c r="F13" s="59">
        <v>184</v>
      </c>
    </row>
    <row r="14" spans="1:6" x14ac:dyDescent="0.25">
      <c r="A14" s="59" t="s">
        <v>922</v>
      </c>
      <c r="B14" s="59" t="s">
        <v>920</v>
      </c>
      <c r="C14" s="59">
        <v>2025</v>
      </c>
      <c r="D14" s="59">
        <v>49.1</v>
      </c>
      <c r="E14" s="59">
        <v>27.7</v>
      </c>
      <c r="F14" s="59">
        <v>235</v>
      </c>
    </row>
    <row r="15" spans="1:6" x14ac:dyDescent="0.25">
      <c r="A15" s="59" t="s">
        <v>922</v>
      </c>
      <c r="B15" s="59" t="s">
        <v>920</v>
      </c>
      <c r="C15" s="59">
        <v>2026</v>
      </c>
      <c r="D15" s="59">
        <v>58.5</v>
      </c>
      <c r="E15" s="59">
        <v>35.5</v>
      </c>
      <c r="F15" s="59">
        <v>301</v>
      </c>
    </row>
    <row r="16" spans="1:6" x14ac:dyDescent="0.25">
      <c r="A16" s="59" t="s">
        <v>922</v>
      </c>
      <c r="B16" s="59" t="s">
        <v>920</v>
      </c>
      <c r="C16" s="59">
        <v>2027</v>
      </c>
      <c r="D16" s="59">
        <v>67.8</v>
      </c>
      <c r="E16" s="59">
        <v>45</v>
      </c>
      <c r="F16" s="59">
        <v>380</v>
      </c>
    </row>
    <row r="17" spans="1:6" x14ac:dyDescent="0.25">
      <c r="A17" s="59" t="s">
        <v>922</v>
      </c>
      <c r="B17" s="59" t="s">
        <v>920</v>
      </c>
      <c r="C17" s="59">
        <v>2028</v>
      </c>
      <c r="D17" s="59">
        <v>77.2</v>
      </c>
      <c r="E17" s="59">
        <v>54.4</v>
      </c>
      <c r="F17" s="59">
        <v>459</v>
      </c>
    </row>
    <row r="18" spans="1:6" x14ac:dyDescent="0.25">
      <c r="A18" s="59" t="s">
        <v>922</v>
      </c>
      <c r="B18" s="59" t="s">
        <v>920</v>
      </c>
      <c r="C18" s="59">
        <v>2029</v>
      </c>
      <c r="D18" s="59">
        <v>86.5</v>
      </c>
      <c r="E18" s="59">
        <v>62.6</v>
      </c>
      <c r="F18" s="59">
        <v>529</v>
      </c>
    </row>
    <row r="19" spans="1:6" x14ac:dyDescent="0.25">
      <c r="A19" s="59" t="s">
        <v>922</v>
      </c>
      <c r="B19" s="59" t="s">
        <v>920</v>
      </c>
      <c r="C19" s="59">
        <v>2030</v>
      </c>
      <c r="D19" s="59">
        <v>95.9</v>
      </c>
      <c r="E19" s="59">
        <v>70.7</v>
      </c>
      <c r="F19" s="59">
        <v>596</v>
      </c>
    </row>
    <row r="20" spans="1:6" x14ac:dyDescent="0.25">
      <c r="A20" s="59" t="s">
        <v>923</v>
      </c>
      <c r="B20" s="59" t="s">
        <v>920</v>
      </c>
      <c r="C20" s="59">
        <v>2024</v>
      </c>
      <c r="D20" s="59">
        <v>44.5</v>
      </c>
      <c r="E20" s="59">
        <v>22.4</v>
      </c>
      <c r="F20" s="59">
        <v>192</v>
      </c>
    </row>
    <row r="21" spans="1:6" x14ac:dyDescent="0.25">
      <c r="A21" s="59" t="s">
        <v>923</v>
      </c>
      <c r="B21" s="59" t="s">
        <v>920</v>
      </c>
      <c r="C21" s="59">
        <v>2025</v>
      </c>
      <c r="D21" s="59">
        <v>59.1</v>
      </c>
      <c r="E21" s="59">
        <v>30.4</v>
      </c>
      <c r="F21" s="59">
        <v>258</v>
      </c>
    </row>
    <row r="22" spans="1:6" x14ac:dyDescent="0.25">
      <c r="A22" s="59" t="s">
        <v>923</v>
      </c>
      <c r="B22" s="59" t="s">
        <v>920</v>
      </c>
      <c r="C22" s="59">
        <v>2026</v>
      </c>
      <c r="D22" s="59">
        <v>73.8</v>
      </c>
      <c r="E22" s="59">
        <v>41.1</v>
      </c>
      <c r="F22" s="59">
        <v>348</v>
      </c>
    </row>
    <row r="23" spans="1:6" x14ac:dyDescent="0.25">
      <c r="A23" s="59" t="s">
        <v>923</v>
      </c>
      <c r="B23" s="59" t="s">
        <v>920</v>
      </c>
      <c r="C23" s="59">
        <v>2027</v>
      </c>
      <c r="D23" s="59">
        <v>88.5</v>
      </c>
      <c r="E23" s="59">
        <v>54.4</v>
      </c>
      <c r="F23" s="59">
        <v>459</v>
      </c>
    </row>
    <row r="24" spans="1:6" x14ac:dyDescent="0.25">
      <c r="A24" s="59" t="s">
        <v>923</v>
      </c>
      <c r="B24" s="59" t="s">
        <v>920</v>
      </c>
      <c r="C24" s="59">
        <v>2028</v>
      </c>
      <c r="D24" s="59">
        <v>103</v>
      </c>
      <c r="E24" s="59">
        <v>68.5</v>
      </c>
      <c r="F24" s="59">
        <v>578</v>
      </c>
    </row>
    <row r="25" spans="1:6" x14ac:dyDescent="0.25">
      <c r="A25" s="59" t="s">
        <v>923</v>
      </c>
      <c r="B25" s="59" t="s">
        <v>920</v>
      </c>
      <c r="C25" s="59">
        <v>2029</v>
      </c>
      <c r="D25" s="59">
        <v>118</v>
      </c>
      <c r="E25" s="59">
        <v>81.5</v>
      </c>
      <c r="F25" s="59">
        <v>687</v>
      </c>
    </row>
    <row r="26" spans="1:6" x14ac:dyDescent="0.25">
      <c r="A26" s="59" t="s">
        <v>923</v>
      </c>
      <c r="B26" s="59" t="s">
        <v>920</v>
      </c>
      <c r="C26" s="59">
        <v>2030</v>
      </c>
      <c r="D26" s="59">
        <v>132</v>
      </c>
      <c r="E26" s="59">
        <v>94</v>
      </c>
      <c r="F26" s="59">
        <v>794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J12"/>
  <sheetViews>
    <sheetView workbookViewId="0">
      <selection activeCell="M9" sqref="M9"/>
    </sheetView>
  </sheetViews>
  <sheetFormatPr defaultColWidth="9.140625" defaultRowHeight="15" x14ac:dyDescent="0.25"/>
  <cols>
    <col min="1" max="1" width="41" customWidth="1"/>
    <col min="2" max="2" width="16.7109375" customWidth="1"/>
    <col min="3" max="3" width="10.5703125" customWidth="1"/>
    <col min="4" max="33" width="9.140625" customWidth="1"/>
  </cols>
  <sheetData>
    <row r="1" spans="1:36" x14ac:dyDescent="0.25">
      <c r="A1" s="19" t="s">
        <v>924</v>
      </c>
      <c r="B1" t="s">
        <v>925</v>
      </c>
      <c r="C1" s="6">
        <v>3412000000000</v>
      </c>
    </row>
    <row r="2" spans="1:36" x14ac:dyDescent="0.25">
      <c r="A2" s="1" t="s">
        <v>926</v>
      </c>
      <c r="B2" s="1">
        <v>2012</v>
      </c>
      <c r="C2" s="1">
        <v>2015</v>
      </c>
      <c r="D2" s="1">
        <v>2018</v>
      </c>
      <c r="E2" s="1">
        <v>2020</v>
      </c>
      <c r="F2" s="1">
        <v>2030</v>
      </c>
      <c r="G2" s="1">
        <v>2040</v>
      </c>
      <c r="H2" s="1">
        <v>2050</v>
      </c>
      <c r="I2" s="1"/>
      <c r="J2" s="1"/>
      <c r="K2" s="1"/>
      <c r="L2" s="1"/>
      <c r="M2" s="1"/>
      <c r="N2" s="1"/>
      <c r="O2" s="1"/>
      <c r="P2" s="1"/>
      <c r="Q2" s="1"/>
      <c r="R2" s="1"/>
      <c r="S2" s="1"/>
      <c r="T2" s="1"/>
      <c r="U2" s="1"/>
      <c r="V2" s="1"/>
      <c r="W2" s="1"/>
      <c r="X2" s="1"/>
      <c r="Y2" s="1"/>
      <c r="Z2" s="1"/>
      <c r="AA2" s="1"/>
      <c r="AB2" s="1"/>
      <c r="AC2" s="1"/>
      <c r="AD2" s="1"/>
      <c r="AE2" s="1"/>
      <c r="AF2" s="1"/>
      <c r="AG2" s="1"/>
    </row>
    <row r="3" spans="1:36" x14ac:dyDescent="0.25">
      <c r="A3" s="15" t="s">
        <v>927</v>
      </c>
      <c r="B3">
        <v>31</v>
      </c>
      <c r="C3" s="18">
        <v>31</v>
      </c>
      <c r="D3" s="18">
        <v>31</v>
      </c>
      <c r="E3" s="18">
        <v>32</v>
      </c>
      <c r="F3" s="18">
        <v>33</v>
      </c>
      <c r="G3" s="18">
        <v>34</v>
      </c>
      <c r="H3" s="18">
        <v>35</v>
      </c>
      <c r="I3" s="16"/>
      <c r="J3" s="16"/>
      <c r="K3" s="16"/>
      <c r="L3" s="16"/>
      <c r="M3" s="16"/>
      <c r="N3" s="16"/>
      <c r="O3" s="16"/>
      <c r="P3" s="16"/>
      <c r="Q3" s="16"/>
      <c r="R3" s="16"/>
      <c r="S3" s="16"/>
      <c r="T3" s="16"/>
      <c r="U3" s="16"/>
      <c r="V3" s="16"/>
      <c r="W3" s="16"/>
      <c r="X3" s="16"/>
      <c r="Y3" s="16"/>
      <c r="Z3" s="16"/>
      <c r="AA3" s="16"/>
      <c r="AB3" s="16"/>
      <c r="AC3" s="16"/>
      <c r="AD3" s="16"/>
      <c r="AE3" s="16"/>
      <c r="AF3" s="16"/>
      <c r="AG3" s="16"/>
    </row>
    <row r="4" spans="1:36" x14ac:dyDescent="0.25">
      <c r="A4" s="15" t="s">
        <v>928</v>
      </c>
      <c r="B4">
        <v>29</v>
      </c>
      <c r="C4" s="18">
        <v>29</v>
      </c>
      <c r="D4" s="18">
        <v>28</v>
      </c>
      <c r="E4" s="18">
        <v>28</v>
      </c>
      <c r="F4" s="18">
        <v>29</v>
      </c>
      <c r="G4" s="18">
        <v>30</v>
      </c>
      <c r="H4" s="18">
        <v>31</v>
      </c>
      <c r="I4" s="17"/>
      <c r="J4" s="17"/>
      <c r="K4" s="17"/>
      <c r="L4" s="17"/>
      <c r="M4" s="17"/>
      <c r="N4" s="17"/>
      <c r="O4" s="17"/>
      <c r="P4" s="17"/>
      <c r="Q4" s="17"/>
      <c r="R4" s="17"/>
      <c r="S4" s="17"/>
      <c r="T4" s="17"/>
      <c r="U4" s="17"/>
      <c r="V4" s="17"/>
      <c r="W4" s="17"/>
      <c r="X4" s="17"/>
      <c r="Y4" s="17"/>
      <c r="Z4" s="17"/>
      <c r="AA4" s="17"/>
      <c r="AB4" s="17"/>
      <c r="AC4" s="17"/>
      <c r="AD4" s="17"/>
      <c r="AE4" s="17"/>
      <c r="AF4" s="17"/>
      <c r="AG4" s="17"/>
    </row>
    <row r="5" spans="1:36" x14ac:dyDescent="0.25">
      <c r="A5" s="15"/>
      <c r="I5" s="18"/>
      <c r="J5" s="18"/>
      <c r="K5" s="18"/>
      <c r="L5" s="18"/>
      <c r="M5" s="18"/>
      <c r="N5" s="18"/>
      <c r="O5" s="18"/>
      <c r="P5" s="18"/>
      <c r="Q5" s="18"/>
      <c r="R5" s="18"/>
      <c r="S5" s="18"/>
      <c r="T5" s="18"/>
      <c r="U5" s="18"/>
      <c r="V5" s="18"/>
      <c r="W5" s="18"/>
      <c r="X5" s="18"/>
      <c r="Y5" s="18"/>
      <c r="Z5" s="18"/>
      <c r="AA5" s="17"/>
      <c r="AB5" s="17"/>
      <c r="AC5" s="17"/>
      <c r="AD5" s="17"/>
      <c r="AE5" s="17"/>
      <c r="AF5" s="17"/>
      <c r="AG5" s="17"/>
    </row>
    <row r="6" spans="1:36" x14ac:dyDescent="0.25">
      <c r="A6" s="15" t="s">
        <v>929</v>
      </c>
      <c r="B6" s="6">
        <f t="shared" ref="B6:H6" si="0">SUM(B3:B4)*$C$1</f>
        <v>204720000000000</v>
      </c>
      <c r="C6" s="6">
        <f t="shared" si="0"/>
        <v>204720000000000</v>
      </c>
      <c r="D6" s="6">
        <f t="shared" si="0"/>
        <v>201308000000000</v>
      </c>
      <c r="E6" s="6">
        <f t="shared" si="0"/>
        <v>204720000000000</v>
      </c>
      <c r="F6" s="6">
        <f t="shared" si="0"/>
        <v>211544000000000</v>
      </c>
      <c r="G6" s="6">
        <f t="shared" si="0"/>
        <v>218368000000000</v>
      </c>
      <c r="H6" s="6">
        <f t="shared" si="0"/>
        <v>225192000000000</v>
      </c>
      <c r="I6" s="18"/>
      <c r="J6" s="18"/>
      <c r="K6" s="18"/>
      <c r="L6" s="18"/>
      <c r="M6" s="18"/>
      <c r="N6" s="18"/>
      <c r="O6" s="18"/>
      <c r="P6" s="18"/>
      <c r="Q6" s="18"/>
      <c r="R6" s="18"/>
      <c r="S6" s="18"/>
      <c r="T6" s="18"/>
      <c r="U6" s="18"/>
      <c r="V6" s="18"/>
      <c r="W6" s="18"/>
      <c r="X6" s="18"/>
      <c r="Y6" s="18"/>
      <c r="Z6" s="18"/>
      <c r="AA6" s="17"/>
      <c r="AB6" s="17"/>
      <c r="AC6" s="17"/>
      <c r="AD6" s="17"/>
      <c r="AE6" s="17"/>
      <c r="AF6" s="17"/>
      <c r="AG6" s="17"/>
    </row>
    <row r="7" spans="1:36" x14ac:dyDescent="0.25">
      <c r="A7" s="15"/>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row>
    <row r="8" spans="1:36" x14ac:dyDescent="0.25">
      <c r="D8" s="21">
        <v>2018</v>
      </c>
      <c r="E8" s="21">
        <v>2019</v>
      </c>
      <c r="F8" s="21">
        <v>2020</v>
      </c>
      <c r="G8" s="21">
        <v>2021</v>
      </c>
      <c r="H8" s="21">
        <v>2022</v>
      </c>
      <c r="I8" s="21">
        <v>2023</v>
      </c>
      <c r="J8" s="21">
        <v>2024</v>
      </c>
      <c r="K8" s="21">
        <v>2025</v>
      </c>
      <c r="L8" s="21">
        <v>2026</v>
      </c>
      <c r="M8" s="21">
        <v>2027</v>
      </c>
      <c r="N8" s="21">
        <v>2028</v>
      </c>
      <c r="O8" s="21">
        <v>2029</v>
      </c>
      <c r="P8" s="21">
        <v>2030</v>
      </c>
      <c r="Q8" s="21">
        <v>2031</v>
      </c>
      <c r="R8" s="21">
        <v>2032</v>
      </c>
      <c r="S8" s="21">
        <v>2033</v>
      </c>
      <c r="T8" s="21">
        <v>2034</v>
      </c>
      <c r="U8" s="21">
        <v>2035</v>
      </c>
      <c r="V8" s="21">
        <v>2036</v>
      </c>
      <c r="W8" s="21">
        <v>2037</v>
      </c>
      <c r="X8" s="21">
        <v>2038</v>
      </c>
      <c r="Y8" s="21">
        <v>2039</v>
      </c>
      <c r="Z8" s="21">
        <v>2040</v>
      </c>
      <c r="AA8" s="21">
        <v>2041</v>
      </c>
      <c r="AB8" s="21">
        <v>2042</v>
      </c>
      <c r="AC8" s="21">
        <v>2043</v>
      </c>
      <c r="AD8" s="21">
        <v>2044</v>
      </c>
      <c r="AE8" s="21">
        <v>2045</v>
      </c>
      <c r="AF8" s="21">
        <v>2046</v>
      </c>
      <c r="AG8" s="21">
        <v>2047</v>
      </c>
      <c r="AH8" s="21">
        <v>2048</v>
      </c>
      <c r="AI8" s="21">
        <v>2049</v>
      </c>
      <c r="AJ8" s="21">
        <v>2050</v>
      </c>
    </row>
    <row r="9" spans="1:36" x14ac:dyDescent="0.25">
      <c r="C9" t="s">
        <v>929</v>
      </c>
      <c r="D9">
        <f>_xlfn.FORECAST.LINEAR(D8,$D$6:$E$6,$D$2:$E$2)</f>
        <v>201308000000000</v>
      </c>
      <c r="E9">
        <f>_xlfn.FORECAST.LINEAR(E8,$D$6:$E$6,$D$2:$E$2)</f>
        <v>203014000000000</v>
      </c>
      <c r="F9">
        <f>_xlfn.FORECAST.LINEAR(F8,$D$6:$E$6,$D$2:$E$2)</f>
        <v>204720000000000</v>
      </c>
      <c r="G9">
        <f t="shared" ref="G9:P9" si="1">_xlfn.FORECAST.LINEAR(G8,$E$6:$F$6,$E$2:$F$2)</f>
        <v>205402400000000</v>
      </c>
      <c r="H9">
        <f t="shared" si="1"/>
        <v>206084800000000</v>
      </c>
      <c r="I9">
        <f t="shared" si="1"/>
        <v>206767200000000</v>
      </c>
      <c r="J9">
        <f t="shared" si="1"/>
        <v>207449600000000</v>
      </c>
      <c r="K9">
        <f t="shared" si="1"/>
        <v>208132000000000</v>
      </c>
      <c r="L9">
        <f t="shared" si="1"/>
        <v>208814400000000</v>
      </c>
      <c r="M9">
        <f t="shared" si="1"/>
        <v>209496800000000</v>
      </c>
      <c r="N9">
        <f t="shared" si="1"/>
        <v>210179200000000</v>
      </c>
      <c r="O9">
        <f t="shared" si="1"/>
        <v>210861600000000</v>
      </c>
      <c r="P9">
        <f t="shared" si="1"/>
        <v>211544000000000</v>
      </c>
      <c r="Q9">
        <f t="shared" ref="Q9:Z9" si="2">_xlfn.FORECAST.LINEAR(Q8,$F$6:$G$6,$F$2:$G$2)</f>
        <v>212226400000000</v>
      </c>
      <c r="R9">
        <f t="shared" si="2"/>
        <v>212908800000000</v>
      </c>
      <c r="S9">
        <f t="shared" si="2"/>
        <v>213591200000000</v>
      </c>
      <c r="T9">
        <f t="shared" si="2"/>
        <v>214273600000000</v>
      </c>
      <c r="U9">
        <f t="shared" si="2"/>
        <v>214956000000000</v>
      </c>
      <c r="V9">
        <f t="shared" si="2"/>
        <v>215638400000000</v>
      </c>
      <c r="W9">
        <f t="shared" si="2"/>
        <v>216320800000000</v>
      </c>
      <c r="X9">
        <f t="shared" si="2"/>
        <v>217003200000000</v>
      </c>
      <c r="Y9">
        <f t="shared" si="2"/>
        <v>217685600000000</v>
      </c>
      <c r="Z9">
        <f t="shared" si="2"/>
        <v>218368000000000</v>
      </c>
      <c r="AA9">
        <f t="shared" ref="AA9:AJ9" si="3">_xlfn.FORECAST.LINEAR(AA8,$G$6:$H$6,$G$2:$H$2)</f>
        <v>219050400000000</v>
      </c>
      <c r="AB9">
        <f t="shared" si="3"/>
        <v>219732800000000</v>
      </c>
      <c r="AC9">
        <f t="shared" si="3"/>
        <v>220415200000000</v>
      </c>
      <c r="AD9">
        <f t="shared" si="3"/>
        <v>221097600000000</v>
      </c>
      <c r="AE9">
        <f t="shared" si="3"/>
        <v>221780000000000</v>
      </c>
      <c r="AF9">
        <f t="shared" si="3"/>
        <v>222462400000000</v>
      </c>
      <c r="AG9">
        <f t="shared" si="3"/>
        <v>223144800000000</v>
      </c>
      <c r="AH9">
        <f t="shared" si="3"/>
        <v>223827200000000</v>
      </c>
      <c r="AI9">
        <f t="shared" si="3"/>
        <v>224509600000000</v>
      </c>
      <c r="AJ9">
        <f t="shared" si="3"/>
        <v>225192000000000</v>
      </c>
    </row>
    <row r="10" spans="1:36" x14ac:dyDescent="0.25">
      <c r="B10" s="22"/>
    </row>
    <row r="11" spans="1:36" x14ac:dyDescent="0.25">
      <c r="B11" s="22"/>
    </row>
    <row r="12" spans="1:36" x14ac:dyDescent="0.25">
      <c r="B12" s="23"/>
    </row>
  </sheetData>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DD74F-0EF2-4F4E-85BC-CB3EA43116C2}">
  <sheetPr>
    <tabColor theme="0" tint="-0.34998626667073579"/>
  </sheetPr>
  <dimension ref="A1:AB86"/>
  <sheetViews>
    <sheetView tabSelected="1" topLeftCell="A49" zoomScale="85" zoomScaleNormal="85" workbookViewId="0">
      <selection activeCell="B56" sqref="B56"/>
    </sheetView>
  </sheetViews>
  <sheetFormatPr defaultRowHeight="15" x14ac:dyDescent="0.25"/>
  <cols>
    <col min="1" max="1" width="31" customWidth="1"/>
    <col min="2" max="2" width="13.28515625" customWidth="1"/>
  </cols>
  <sheetData>
    <row r="1" spans="1:28" s="60" customFormat="1" x14ac:dyDescent="0.25">
      <c r="B1" s="60" t="s">
        <v>1339</v>
      </c>
    </row>
    <row r="2" spans="1:28" x14ac:dyDescent="0.25">
      <c r="A2" s="1" t="s">
        <v>913</v>
      </c>
      <c r="B2" s="1">
        <v>2024</v>
      </c>
      <c r="C2" s="1">
        <v>2025</v>
      </c>
      <c r="D2" s="1">
        <v>2026</v>
      </c>
      <c r="E2" s="1">
        <v>2027</v>
      </c>
      <c r="F2" s="1">
        <v>2028</v>
      </c>
      <c r="G2" s="1">
        <v>2029</v>
      </c>
      <c r="H2" s="1">
        <v>2030</v>
      </c>
      <c r="I2" s="1">
        <v>2031</v>
      </c>
      <c r="J2" s="1">
        <v>2032</v>
      </c>
      <c r="K2" s="1">
        <v>2033</v>
      </c>
      <c r="L2" s="1">
        <v>2034</v>
      </c>
      <c r="M2" s="1">
        <v>2035</v>
      </c>
      <c r="N2" s="1">
        <v>2036</v>
      </c>
      <c r="O2" s="1">
        <v>2037</v>
      </c>
      <c r="P2" s="1">
        <v>2038</v>
      </c>
      <c r="Q2" s="1">
        <v>2039</v>
      </c>
      <c r="R2" s="1">
        <v>2040</v>
      </c>
      <c r="S2" s="1">
        <v>2041</v>
      </c>
      <c r="T2" s="1">
        <v>2042</v>
      </c>
      <c r="U2" s="1">
        <v>2043</v>
      </c>
      <c r="V2" s="1">
        <v>2044</v>
      </c>
      <c r="W2" s="1">
        <v>2045</v>
      </c>
      <c r="X2" s="1">
        <v>2046</v>
      </c>
      <c r="Y2" s="1">
        <v>2047</v>
      </c>
      <c r="Z2" s="1">
        <v>2048</v>
      </c>
      <c r="AA2" s="1">
        <v>2049</v>
      </c>
      <c r="AB2" s="1">
        <v>2050</v>
      </c>
    </row>
    <row r="3" spans="1:28" x14ac:dyDescent="0.25">
      <c r="A3" s="61" t="s">
        <v>1340</v>
      </c>
      <c r="B3" s="62">
        <v>184</v>
      </c>
      <c r="C3" s="63">
        <v>224</v>
      </c>
      <c r="D3" s="64">
        <v>263</v>
      </c>
      <c r="E3" s="65">
        <v>308</v>
      </c>
      <c r="F3" s="65">
        <v>345</v>
      </c>
      <c r="G3" s="65">
        <v>371</v>
      </c>
      <c r="H3" s="65">
        <v>396</v>
      </c>
      <c r="I3" s="66">
        <v>411.49090999999999</v>
      </c>
      <c r="J3" s="66">
        <v>427.27921499999997</v>
      </c>
      <c r="K3" s="66">
        <v>443.35700399999996</v>
      </c>
      <c r="L3" s="66">
        <v>459.66919299999995</v>
      </c>
      <c r="M3" s="66">
        <v>476.16831599999995</v>
      </c>
      <c r="N3" s="66">
        <v>492.77203999999995</v>
      </c>
      <c r="O3" s="66">
        <v>509.40359899999993</v>
      </c>
      <c r="P3" s="66">
        <v>525.85730699999988</v>
      </c>
      <c r="Q3" s="66">
        <v>541.98812899999996</v>
      </c>
      <c r="R3" s="66">
        <v>557.64663499999995</v>
      </c>
      <c r="S3" s="66">
        <v>572.77334599999995</v>
      </c>
      <c r="T3" s="66">
        <v>587.12858799999992</v>
      </c>
      <c r="U3" s="66">
        <v>600.72613199999989</v>
      </c>
      <c r="V3" s="66">
        <v>613.33128499999987</v>
      </c>
      <c r="W3" s="66">
        <v>624.94814899999994</v>
      </c>
      <c r="X3" s="66">
        <v>635.29808099999991</v>
      </c>
      <c r="Y3" s="66">
        <v>644.2914229999999</v>
      </c>
      <c r="Z3" s="66">
        <v>651.82972699999993</v>
      </c>
      <c r="AA3" s="66">
        <v>657.85703000000001</v>
      </c>
      <c r="AB3" s="66">
        <v>663.20984699999997</v>
      </c>
    </row>
    <row r="4" spans="1:28" x14ac:dyDescent="0.25">
      <c r="A4" s="61" t="s">
        <v>1341</v>
      </c>
      <c r="B4" s="62">
        <v>184</v>
      </c>
      <c r="C4" s="63">
        <v>224</v>
      </c>
      <c r="D4" s="67">
        <v>290</v>
      </c>
      <c r="E4" s="67">
        <v>369</v>
      </c>
      <c r="F4" s="67">
        <v>448</v>
      </c>
      <c r="G4" s="67">
        <v>518</v>
      </c>
      <c r="H4" s="67">
        <v>585</v>
      </c>
      <c r="I4" s="68">
        <v>615.39999999999418</v>
      </c>
      <c r="J4" s="68">
        <v>645.79999999999563</v>
      </c>
      <c r="K4" s="68">
        <v>676.19999999999709</v>
      </c>
      <c r="L4" s="68">
        <v>706.59999999999854</v>
      </c>
      <c r="M4" s="68">
        <v>737</v>
      </c>
      <c r="N4" s="68">
        <v>753.60000000000582</v>
      </c>
      <c r="O4" s="68">
        <v>770.20000000000437</v>
      </c>
      <c r="P4" s="68">
        <v>786.80000000000291</v>
      </c>
      <c r="Q4" s="68">
        <v>803.40000000000146</v>
      </c>
      <c r="R4" s="68">
        <v>820</v>
      </c>
      <c r="S4" s="68">
        <v>829.40000000000146</v>
      </c>
      <c r="T4" s="68">
        <v>838.79999999999927</v>
      </c>
      <c r="U4" s="68">
        <v>848.20000000000073</v>
      </c>
      <c r="V4" s="68">
        <v>857.60000000000218</v>
      </c>
      <c r="W4" s="68">
        <v>867</v>
      </c>
      <c r="X4" s="68">
        <v>876.40000000000146</v>
      </c>
      <c r="Y4" s="68">
        <v>885.79999999999927</v>
      </c>
      <c r="Z4" s="68">
        <v>895.20000000000073</v>
      </c>
      <c r="AA4" s="68">
        <v>904.60000000000218</v>
      </c>
      <c r="AB4" s="68">
        <v>914</v>
      </c>
    </row>
    <row r="5" spans="1:28" x14ac:dyDescent="0.25">
      <c r="A5" s="61" t="s">
        <v>1342</v>
      </c>
      <c r="B5" s="62">
        <v>184</v>
      </c>
      <c r="C5" s="63">
        <v>224</v>
      </c>
      <c r="D5" s="69">
        <v>314</v>
      </c>
      <c r="E5" s="69">
        <v>425</v>
      </c>
      <c r="F5" s="69">
        <v>544</v>
      </c>
      <c r="G5" s="69">
        <v>653</v>
      </c>
      <c r="H5" s="69">
        <v>760</v>
      </c>
      <c r="I5" s="70">
        <v>825</v>
      </c>
      <c r="J5" s="70">
        <v>890</v>
      </c>
      <c r="K5" s="70">
        <v>955</v>
      </c>
      <c r="L5" s="70">
        <v>1020</v>
      </c>
      <c r="M5" s="70">
        <v>1085</v>
      </c>
      <c r="N5" s="70">
        <v>1120.7999999999884</v>
      </c>
      <c r="O5" s="70">
        <v>1156.5999999999913</v>
      </c>
      <c r="P5" s="70">
        <v>1192.3999999999942</v>
      </c>
      <c r="Q5" s="70">
        <v>1228.1999999999971</v>
      </c>
      <c r="R5" s="70">
        <v>1264</v>
      </c>
      <c r="S5" s="70">
        <v>1309.7000000000116</v>
      </c>
      <c r="T5" s="70">
        <v>1355.4000000000087</v>
      </c>
      <c r="U5" s="70">
        <v>1401.1000000000058</v>
      </c>
      <c r="V5" s="70">
        <v>1446.8000000000029</v>
      </c>
      <c r="W5" s="70">
        <v>1492.5</v>
      </c>
      <c r="X5" s="70">
        <v>1538.2000000000116</v>
      </c>
      <c r="Y5" s="70">
        <v>1583.9000000000087</v>
      </c>
      <c r="Z5" s="70">
        <v>1629.6000000000058</v>
      </c>
      <c r="AA5" s="70">
        <v>1675.3000000000029</v>
      </c>
      <c r="AB5" s="70">
        <v>1721</v>
      </c>
    </row>
    <row r="6" spans="1:28" x14ac:dyDescent="0.25">
      <c r="A6" t="s">
        <v>1343</v>
      </c>
      <c r="C6" s="71">
        <v>0.15212902991557539</v>
      </c>
      <c r="D6" s="71">
        <v>0.18839537329183526</v>
      </c>
      <c r="E6" s="71">
        <v>0.23731044824730663</v>
      </c>
      <c r="F6" s="71">
        <v>0.28444521813543777</v>
      </c>
      <c r="G6" s="71">
        <v>0.32478630968472066</v>
      </c>
      <c r="H6" s="71">
        <v>0.36370222906443861</v>
      </c>
      <c r="I6" s="71">
        <v>0.37910935995770323</v>
      </c>
      <c r="J6" s="71">
        <v>0.393889889520806</v>
      </c>
      <c r="K6" s="71">
        <v>0.40795230489516748</v>
      </c>
      <c r="L6" s="71">
        <v>0.42153246534950545</v>
      </c>
      <c r="M6" s="71">
        <v>0.43447014056945377</v>
      </c>
      <c r="N6" s="71">
        <v>0.43853129145878789</v>
      </c>
      <c r="O6" s="71">
        <v>0.44252598201787247</v>
      </c>
      <c r="P6" s="71">
        <v>0.44631937052831533</v>
      </c>
      <c r="Q6" s="71">
        <v>0.45011744216215338</v>
      </c>
      <c r="R6" s="71">
        <v>0.45392465948153865</v>
      </c>
      <c r="S6" s="71">
        <v>0.45342323526859618</v>
      </c>
      <c r="T6" s="71">
        <v>0.45303152656763168</v>
      </c>
      <c r="U6" s="71">
        <v>0.45246959280043314</v>
      </c>
      <c r="V6" s="71">
        <v>0.45199543911725426</v>
      </c>
      <c r="W6" s="71">
        <v>0.4515255687360209</v>
      </c>
      <c r="X6" s="71">
        <v>0.45149219036973348</v>
      </c>
      <c r="Y6" s="71">
        <v>0.45198315310712572</v>
      </c>
      <c r="Z6" s="71">
        <v>0.45279622953463944</v>
      </c>
      <c r="AA6" s="71">
        <v>0.45373450568766144</v>
      </c>
      <c r="AB6" s="71">
        <v>0.45488002187811655</v>
      </c>
    </row>
    <row r="7" spans="1:28" x14ac:dyDescent="0.25">
      <c r="C7" s="71"/>
      <c r="D7" s="71"/>
      <c r="E7" s="71"/>
      <c r="F7" s="71"/>
      <c r="G7" s="71"/>
      <c r="H7" s="71"/>
      <c r="I7" s="71"/>
      <c r="J7" s="71"/>
      <c r="K7" s="71"/>
      <c r="L7" s="71"/>
      <c r="M7" s="71"/>
      <c r="N7" s="71"/>
      <c r="O7" s="71"/>
      <c r="P7" s="71"/>
      <c r="Q7" s="71"/>
      <c r="R7" s="71"/>
      <c r="S7" s="71"/>
      <c r="T7" s="71"/>
      <c r="U7" s="71"/>
      <c r="V7" s="71"/>
      <c r="W7" s="71"/>
      <c r="X7" s="71"/>
      <c r="Y7" s="71"/>
      <c r="Z7" s="71"/>
      <c r="AA7" s="71"/>
      <c r="AB7" s="71"/>
    </row>
    <row r="8" spans="1:28" x14ac:dyDescent="0.25">
      <c r="A8" t="s">
        <v>1344</v>
      </c>
    </row>
    <row r="9" spans="1:28" x14ac:dyDescent="0.25">
      <c r="A9" s="72"/>
      <c r="B9" t="s">
        <v>1345</v>
      </c>
    </row>
    <row r="10" spans="1:28" x14ac:dyDescent="0.25">
      <c r="A10" s="73"/>
      <c r="B10" t="s">
        <v>1346</v>
      </c>
    </row>
    <row r="11" spans="1:28" x14ac:dyDescent="0.25">
      <c r="A11" s="74"/>
      <c r="B11" t="s">
        <v>1347</v>
      </c>
    </row>
    <row r="12" spans="1:28" x14ac:dyDescent="0.25">
      <c r="A12" s="75"/>
      <c r="B12" t="s">
        <v>1348</v>
      </c>
    </row>
    <row r="13" spans="1:28" x14ac:dyDescent="0.25">
      <c r="A13" s="76"/>
      <c r="B13" t="s">
        <v>1349</v>
      </c>
    </row>
    <row r="14" spans="1:28" x14ac:dyDescent="0.25">
      <c r="A14" s="77"/>
      <c r="B14" t="s">
        <v>1350</v>
      </c>
    </row>
    <row r="15" spans="1:28" x14ac:dyDescent="0.25">
      <c r="A15" s="78"/>
      <c r="B15" t="s">
        <v>1351</v>
      </c>
    </row>
    <row r="16" spans="1:28" x14ac:dyDescent="0.25">
      <c r="A16" s="49"/>
      <c r="B16" t="s">
        <v>1352</v>
      </c>
    </row>
    <row r="18" spans="1:28" x14ac:dyDescent="0.25">
      <c r="B18" s="1" t="s">
        <v>1353</v>
      </c>
    </row>
    <row r="19" spans="1:28" x14ac:dyDescent="0.25">
      <c r="B19" s="79" t="s">
        <v>1354</v>
      </c>
      <c r="C19" s="79"/>
      <c r="D19" s="79"/>
      <c r="E19" s="79"/>
      <c r="F19" s="79"/>
      <c r="G19" s="79"/>
    </row>
    <row r="20" spans="1:28" x14ac:dyDescent="0.25">
      <c r="B20" s="80" t="s">
        <v>1355</v>
      </c>
    </row>
    <row r="21" spans="1:28" x14ac:dyDescent="0.25">
      <c r="C21">
        <v>2025</v>
      </c>
      <c r="D21">
        <v>2030</v>
      </c>
      <c r="E21">
        <v>2035</v>
      </c>
      <c r="F21">
        <v>2040</v>
      </c>
      <c r="G21">
        <v>2050</v>
      </c>
    </row>
    <row r="22" spans="1:28" ht="30" x14ac:dyDescent="0.25">
      <c r="B22" s="56" t="s">
        <v>1356</v>
      </c>
      <c r="C22">
        <v>279</v>
      </c>
      <c r="D22">
        <v>541</v>
      </c>
      <c r="E22">
        <v>693</v>
      </c>
      <c r="F22">
        <v>776</v>
      </c>
      <c r="G22">
        <v>870</v>
      </c>
    </row>
    <row r="23" spans="1:28" ht="30" x14ac:dyDescent="0.25">
      <c r="B23" s="56" t="s">
        <v>1357</v>
      </c>
      <c r="C23">
        <v>279</v>
      </c>
      <c r="D23">
        <v>718</v>
      </c>
      <c r="E23">
        <v>1043</v>
      </c>
      <c r="F23">
        <v>1222</v>
      </c>
      <c r="G23">
        <v>1679</v>
      </c>
    </row>
    <row r="24" spans="1:28" x14ac:dyDescent="0.25">
      <c r="D24" s="81"/>
      <c r="E24" s="82"/>
      <c r="F24" s="82"/>
      <c r="G24" s="83"/>
    </row>
    <row r="26" spans="1:28" x14ac:dyDescent="0.25">
      <c r="C26">
        <v>2025</v>
      </c>
      <c r="D26">
        <v>2026</v>
      </c>
      <c r="E26">
        <v>2027</v>
      </c>
      <c r="F26">
        <v>2028</v>
      </c>
      <c r="G26">
        <v>2029</v>
      </c>
      <c r="H26">
        <v>2030</v>
      </c>
      <c r="I26">
        <v>2031</v>
      </c>
      <c r="J26">
        <v>2032</v>
      </c>
      <c r="K26">
        <v>2033</v>
      </c>
      <c r="L26">
        <v>2034</v>
      </c>
      <c r="M26">
        <v>2035</v>
      </c>
      <c r="N26">
        <v>2036</v>
      </c>
      <c r="O26">
        <v>2037</v>
      </c>
      <c r="P26">
        <v>2038</v>
      </c>
      <c r="Q26">
        <v>2039</v>
      </c>
      <c r="R26">
        <v>2040</v>
      </c>
      <c r="S26">
        <v>2041</v>
      </c>
      <c r="T26">
        <v>2042</v>
      </c>
      <c r="U26">
        <v>2043</v>
      </c>
      <c r="V26">
        <v>2044</v>
      </c>
      <c r="W26">
        <v>2045</v>
      </c>
      <c r="X26">
        <v>2046</v>
      </c>
      <c r="Y26">
        <v>2047</v>
      </c>
      <c r="Z26">
        <v>2048</v>
      </c>
      <c r="AA26">
        <v>2049</v>
      </c>
      <c r="AB26">
        <v>2050</v>
      </c>
    </row>
    <row r="27" spans="1:28" ht="30" x14ac:dyDescent="0.25">
      <c r="B27" s="56" t="s">
        <v>1356</v>
      </c>
      <c r="C27" s="84">
        <v>279</v>
      </c>
      <c r="D27" s="85">
        <v>331.39999999999418</v>
      </c>
      <c r="E27" s="85">
        <v>383.80000000000291</v>
      </c>
      <c r="F27" s="85">
        <v>436.19999999999709</v>
      </c>
      <c r="G27" s="85">
        <v>488.59999999999127</v>
      </c>
      <c r="H27" s="84">
        <v>541</v>
      </c>
      <c r="I27" s="85">
        <v>571.39999999999418</v>
      </c>
      <c r="J27" s="85">
        <v>601.79999999999563</v>
      </c>
      <c r="K27" s="85">
        <v>632.19999999999709</v>
      </c>
      <c r="L27" s="85">
        <v>662.59999999999854</v>
      </c>
      <c r="M27" s="84">
        <v>693</v>
      </c>
      <c r="N27" s="85">
        <v>709.60000000000582</v>
      </c>
      <c r="O27" s="85">
        <v>726.20000000000437</v>
      </c>
      <c r="P27" s="85">
        <v>742.80000000000291</v>
      </c>
      <c r="Q27" s="85">
        <v>759.40000000000146</v>
      </c>
      <c r="R27" s="84">
        <v>776</v>
      </c>
      <c r="S27" s="85">
        <v>785.40000000000146</v>
      </c>
      <c r="T27" s="85">
        <v>794.79999999999927</v>
      </c>
      <c r="U27" s="85">
        <v>804.20000000000073</v>
      </c>
      <c r="V27" s="85">
        <v>813.60000000000218</v>
      </c>
      <c r="W27" s="85">
        <v>823</v>
      </c>
      <c r="X27" s="85">
        <v>832.40000000000146</v>
      </c>
      <c r="Y27" s="85">
        <v>841.79999999999927</v>
      </c>
      <c r="Z27" s="85">
        <v>851.20000000000073</v>
      </c>
      <c r="AA27" s="85">
        <v>860.60000000000218</v>
      </c>
      <c r="AB27" s="84">
        <v>870</v>
      </c>
    </row>
    <row r="28" spans="1:28" x14ac:dyDescent="0.25">
      <c r="A28" t="s">
        <v>1358</v>
      </c>
      <c r="B28" t="s">
        <v>1359</v>
      </c>
      <c r="D28" s="86">
        <v>5.6192236598880285E-2</v>
      </c>
      <c r="E28" s="86">
        <v>5.6192236598880285E-2</v>
      </c>
      <c r="F28" s="86">
        <v>5.6192236598880285E-2</v>
      </c>
      <c r="G28" s="86">
        <v>5.6192236598880285E-2</v>
      </c>
      <c r="H28" s="86">
        <v>5.6192236598880285E-2</v>
      </c>
      <c r="I28" s="82">
        <v>5.6192236598880285E-2</v>
      </c>
      <c r="J28" s="82">
        <v>5.3202660133009783E-2</v>
      </c>
      <c r="K28" s="82">
        <v>5.0515121302761257E-2</v>
      </c>
      <c r="L28" s="82">
        <v>4.8086048718762431E-2</v>
      </c>
      <c r="M28" s="82">
        <v>4.5879867189860368E-2</v>
      </c>
      <c r="N28" s="82">
        <v>2.3953823953832387E-2</v>
      </c>
      <c r="O28" s="82">
        <v>2.3393461104845636E-2</v>
      </c>
      <c r="P28" s="82">
        <v>2.2858716606993124E-2</v>
      </c>
      <c r="Q28" s="82">
        <v>2.2347872913298872E-2</v>
      </c>
      <c r="R28" s="82">
        <v>2.1859362654725434E-2</v>
      </c>
      <c r="S28" s="82">
        <v>1.2113402061857625E-2</v>
      </c>
      <c r="T28" s="82">
        <v>1.1968423733126787E-2</v>
      </c>
      <c r="U28" s="82">
        <v>1.1826874685457289E-2</v>
      </c>
      <c r="V28" s="82">
        <v>1.1688634667994746E-2</v>
      </c>
      <c r="W28" s="82">
        <v>1.1553588987214702E-2</v>
      </c>
      <c r="X28" s="82">
        <v>1.142162818955228E-2</v>
      </c>
      <c r="Y28" s="82">
        <v>1.1292647765494657E-2</v>
      </c>
      <c r="Z28" s="82">
        <v>1.1166547873605825E-2</v>
      </c>
      <c r="AA28" s="82">
        <v>1.1043233082708381E-2</v>
      </c>
      <c r="AB28" s="82">
        <v>1.0922612131068821E-2</v>
      </c>
    </row>
    <row r="30" spans="1:28" x14ac:dyDescent="0.25">
      <c r="C30">
        <v>2025</v>
      </c>
      <c r="D30">
        <v>2026</v>
      </c>
      <c r="E30">
        <v>2027</v>
      </c>
      <c r="F30">
        <v>2028</v>
      </c>
      <c r="G30">
        <v>2029</v>
      </c>
      <c r="H30">
        <v>2030</v>
      </c>
      <c r="I30">
        <v>2031</v>
      </c>
      <c r="J30">
        <v>2032</v>
      </c>
      <c r="K30">
        <v>2033</v>
      </c>
      <c r="L30">
        <v>2034</v>
      </c>
      <c r="M30">
        <v>2035</v>
      </c>
      <c r="N30">
        <v>2036</v>
      </c>
      <c r="O30">
        <v>2037</v>
      </c>
      <c r="P30">
        <v>2038</v>
      </c>
      <c r="Q30">
        <v>2039</v>
      </c>
      <c r="R30">
        <v>2040</v>
      </c>
      <c r="S30">
        <v>2041</v>
      </c>
      <c r="T30">
        <v>2042</v>
      </c>
      <c r="U30">
        <v>2043</v>
      </c>
      <c r="V30">
        <v>2044</v>
      </c>
      <c r="W30">
        <v>2045</v>
      </c>
      <c r="X30">
        <v>2046</v>
      </c>
      <c r="Y30">
        <v>2047</v>
      </c>
      <c r="Z30">
        <v>2048</v>
      </c>
      <c r="AA30">
        <v>2049</v>
      </c>
      <c r="AB30">
        <v>2050</v>
      </c>
    </row>
    <row r="31" spans="1:28" ht="30" x14ac:dyDescent="0.25">
      <c r="B31" s="56" t="s">
        <v>1357</v>
      </c>
      <c r="C31" s="84">
        <v>279</v>
      </c>
      <c r="D31" s="85">
        <v>366.79999999998836</v>
      </c>
      <c r="E31" s="85">
        <v>454.60000000000582</v>
      </c>
      <c r="F31" s="85">
        <v>542.39999999999418</v>
      </c>
      <c r="G31" s="85">
        <v>630.19999999998254</v>
      </c>
      <c r="H31" s="84">
        <v>718</v>
      </c>
      <c r="I31" s="85">
        <v>783</v>
      </c>
      <c r="J31" s="85">
        <v>848</v>
      </c>
      <c r="K31" s="85">
        <v>913</v>
      </c>
      <c r="L31" s="85">
        <v>978</v>
      </c>
      <c r="M31" s="84">
        <v>1043</v>
      </c>
      <c r="N31" s="85">
        <v>1078.7999999999884</v>
      </c>
      <c r="O31" s="85">
        <v>1114.5999999999913</v>
      </c>
      <c r="P31" s="85">
        <v>1150.3999999999942</v>
      </c>
      <c r="Q31" s="85">
        <v>1186.1999999999971</v>
      </c>
      <c r="R31" s="84">
        <v>1222</v>
      </c>
      <c r="S31" s="85">
        <v>1267.7000000000116</v>
      </c>
      <c r="T31" s="85">
        <v>1313.4000000000087</v>
      </c>
      <c r="U31" s="85">
        <v>1359.1000000000058</v>
      </c>
      <c r="V31" s="85">
        <v>1404.8000000000029</v>
      </c>
      <c r="W31" s="85">
        <v>1450.5</v>
      </c>
      <c r="X31" s="85">
        <v>1496.2000000000116</v>
      </c>
      <c r="Y31" s="85">
        <v>1541.9000000000087</v>
      </c>
      <c r="Z31" s="85">
        <v>1587.6000000000058</v>
      </c>
      <c r="AA31" s="85">
        <v>1633.3000000000029</v>
      </c>
      <c r="AB31" s="84">
        <v>1679</v>
      </c>
    </row>
    <row r="32" spans="1:28" x14ac:dyDescent="0.25">
      <c r="A32" t="s">
        <v>1360</v>
      </c>
      <c r="B32" t="s">
        <v>1359</v>
      </c>
      <c r="C32" s="87">
        <v>9.0529247910863475E-2</v>
      </c>
      <c r="D32" s="86">
        <v>9.0529247910863475E-2</v>
      </c>
      <c r="E32" s="86">
        <v>9.0529247910863475E-2</v>
      </c>
      <c r="F32" s="86">
        <v>9.0529247910863475E-2</v>
      </c>
      <c r="G32" s="86">
        <v>9.0529247910863475E-2</v>
      </c>
      <c r="H32" s="86">
        <v>9.0529247910863475E-2</v>
      </c>
      <c r="I32" s="82">
        <v>9.0529247910863475E-2</v>
      </c>
      <c r="J32" s="82">
        <v>8.3014048531290019E-2</v>
      </c>
      <c r="K32" s="82">
        <v>7.6650943396226356E-2</v>
      </c>
      <c r="L32" s="82">
        <v>7.1193866374589243E-2</v>
      </c>
      <c r="M32" s="82">
        <v>6.6462167689161467E-2</v>
      </c>
      <c r="N32" s="82">
        <v>3.4324065196537301E-2</v>
      </c>
      <c r="O32" s="82">
        <v>3.3185020393032394E-2</v>
      </c>
      <c r="P32" s="82">
        <v>3.2119145881933653E-2</v>
      </c>
      <c r="Q32" s="82">
        <v>3.1119610570239153E-2</v>
      </c>
      <c r="R32" s="82">
        <v>3.018040802563049E-2</v>
      </c>
      <c r="S32" s="82">
        <v>3.7397708674314023E-2</v>
      </c>
      <c r="T32" s="82">
        <v>3.6049538534350889E-2</v>
      </c>
      <c r="U32" s="82">
        <v>3.4795188061517379E-2</v>
      </c>
      <c r="V32" s="82">
        <v>3.3625193142518439E-2</v>
      </c>
      <c r="W32" s="82">
        <v>3.2531321184508188E-2</v>
      </c>
      <c r="X32" s="82">
        <v>3.1506377111348849E-2</v>
      </c>
      <c r="Y32" s="82">
        <v>3.0544044913779489E-2</v>
      </c>
      <c r="Z32" s="82">
        <v>2.963875737725985E-2</v>
      </c>
      <c r="AA32" s="82">
        <v>2.8785588309395926E-2</v>
      </c>
      <c r="AB32" s="82">
        <v>2.7980162860464786E-2</v>
      </c>
    </row>
    <row r="34" spans="1:28" x14ac:dyDescent="0.25">
      <c r="A34" s="89" t="s">
        <v>1361</v>
      </c>
    </row>
    <row r="35" spans="1:28" x14ac:dyDescent="0.25">
      <c r="B35" s="88" t="str">
        <f>'AEO 2026 Table 5'!A24</f>
        <v>Data Center Servers</v>
      </c>
      <c r="C35">
        <f>'AEO 2026 Table 5'!E24*About!$B$78</f>
        <v>104.83315135300001</v>
      </c>
      <c r="D35">
        <f>'AEO 2026 Table 5'!F24*About!$B$78</f>
        <v>118.31702093400001</v>
      </c>
      <c r="E35">
        <f>'AEO 2026 Table 5'!G24*About!$B$78</f>
        <v>132.75722034400002</v>
      </c>
      <c r="F35">
        <f>'AEO 2026 Table 5'!H24*About!$B$78</f>
        <v>147.67397271199999</v>
      </c>
      <c r="G35">
        <f>'AEO 2026 Table 5'!I24*About!$B$78</f>
        <v>162.89582448300001</v>
      </c>
      <c r="H35">
        <f>'AEO 2026 Table 5'!J24*About!$B$78</f>
        <v>178.22553079800002</v>
      </c>
      <c r="I35">
        <f>'AEO 2026 Table 5'!K24*About!$B$78</f>
        <v>193.72082900800001</v>
      </c>
      <c r="J35">
        <f>'AEO 2026 Table 5'!L24*About!$B$78</f>
        <v>209.513606463</v>
      </c>
      <c r="K35">
        <f>'AEO 2026 Table 5'!M24*About!$B$78</f>
        <v>225.59594992200002</v>
      </c>
      <c r="L35">
        <f>'AEO 2026 Table 5'!N24*About!$B$78</f>
        <v>241.91275978100003</v>
      </c>
      <c r="M35">
        <f>'AEO 2026 Table 5'!O24*About!$B$78</f>
        <v>258.41655659400004</v>
      </c>
      <c r="N35">
        <f>'AEO 2026 Table 5'!P24*About!$B$78</f>
        <v>275.02498403800001</v>
      </c>
      <c r="O35">
        <f>'AEO 2026 Table 5'!Q24*About!$B$78</f>
        <v>291.66125436700003</v>
      </c>
      <c r="P35">
        <f>'AEO 2026 Table 5'!R24*About!$B$78</f>
        <v>308.11962331500001</v>
      </c>
      <c r="Q35">
        <f>'AEO 2026 Table 5'!S24*About!$B$78</f>
        <v>324.25501479700006</v>
      </c>
      <c r="R35">
        <f>'AEO 2026 Table 5'!T24*About!$B$78</f>
        <v>339.91795648300007</v>
      </c>
      <c r="S35">
        <f>'AEO 2026 Table 5'!U24*About!$B$78</f>
        <v>355.04895252400001</v>
      </c>
      <c r="T35">
        <f>'AEO 2026 Table 5'!V24*About!$B$78</f>
        <v>369.40826102599999</v>
      </c>
      <c r="U35">
        <f>'AEO 2026 Table 5'!W24*About!$B$78</f>
        <v>383.00965689000003</v>
      </c>
      <c r="V35">
        <f>'AEO 2026 Table 5'!X24*About!$B$78</f>
        <v>395.61838063300002</v>
      </c>
      <c r="W35">
        <f>'AEO 2026 Table 5'!Y24*About!$B$78</f>
        <v>407.23853541700004</v>
      </c>
      <c r="X35">
        <f>'AEO 2026 Table 5'!Z24*About!$B$78</f>
        <v>417.591399309</v>
      </c>
      <c r="Y35">
        <f>'AEO 2026 Table 5'!AA24*About!$B$78</f>
        <v>426.58728891100003</v>
      </c>
      <c r="Z35">
        <f>'AEO 2026 Table 5'!AB24*About!$B$78</f>
        <v>434.12772833500003</v>
      </c>
      <c r="AA35">
        <f>'AEO 2026 Table 5'!AC24*About!$B$78</f>
        <v>440.15673872800005</v>
      </c>
      <c r="AB35">
        <f>'AEO 2026 Table 5'!AD24*About!$B$78</f>
        <v>445.511072055</v>
      </c>
    </row>
    <row r="36" spans="1:28" x14ac:dyDescent="0.25">
      <c r="B36" s="88"/>
    </row>
    <row r="37" spans="1:28" x14ac:dyDescent="0.25">
      <c r="B37" s="88" t="str">
        <f>'AEO 2026 Table 5'!A18</f>
        <v>Space Cooling</v>
      </c>
      <c r="C37" s="88">
        <f>'AEO 2026 Table 5'!E18*About!$B$78</f>
        <v>166.13087463700001</v>
      </c>
      <c r="D37" s="88">
        <f>'AEO 2026 Table 5'!F18*About!$B$78</f>
        <v>174.22963717600001</v>
      </c>
      <c r="E37" s="88">
        <f>'AEO 2026 Table 5'!G18*About!$B$78</f>
        <v>176.102144463</v>
      </c>
      <c r="F37" s="88">
        <f>'AEO 2026 Table 5'!H18*About!$B$78</f>
        <v>178.49692565600003</v>
      </c>
      <c r="G37" s="88">
        <f>'AEO 2026 Table 5'!I18*About!$B$78</f>
        <v>180.48344223000001</v>
      </c>
      <c r="H37" s="88">
        <f>'AEO 2026 Table 5'!J18*About!$B$78</f>
        <v>181.73080347800001</v>
      </c>
      <c r="I37" s="88">
        <f>'AEO 2026 Table 5'!K18*About!$B$78</f>
        <v>183.163979348</v>
      </c>
      <c r="J37" s="88">
        <f>'AEO 2026 Table 5'!L18*About!$B$78</f>
        <v>184.77300501799999</v>
      </c>
      <c r="K37" s="88">
        <f>'AEO 2026 Table 5'!M18*About!$B$78</f>
        <v>186.52036586400001</v>
      </c>
      <c r="L37" s="88">
        <f>'AEO 2026 Table 5'!N18*About!$B$78</f>
        <v>188.43624943500001</v>
      </c>
      <c r="M37" s="88">
        <f>'AEO 2026 Table 5'!O18*About!$B$78</f>
        <v>190.44504031700004</v>
      </c>
      <c r="N37" s="88">
        <f>'AEO 2026 Table 5'!P18*About!$B$78</f>
        <v>192.687125267</v>
      </c>
      <c r="O37" s="88">
        <f>'AEO 2026 Table 5'!Q18*About!$B$78</f>
        <v>194.97815507800001</v>
      </c>
      <c r="P37" s="88">
        <f>'AEO 2026 Table 5'!R18*About!$B$78</f>
        <v>197.31109575800002</v>
      </c>
      <c r="Q37" s="88">
        <f>'AEO 2026 Table 5'!S18*About!$B$78</f>
        <v>199.61912438300001</v>
      </c>
      <c r="R37" s="88">
        <f>'AEO 2026 Table 5'!T18*About!$B$78</f>
        <v>202.02562889600003</v>
      </c>
      <c r="S37" s="88">
        <f>'AEO 2026 Table 5'!U18*About!$B$78</f>
        <v>204.56636542300001</v>
      </c>
      <c r="T37" s="88">
        <f>'AEO 2026 Table 5'!V18*About!$B$78</f>
        <v>207.23957546600002</v>
      </c>
      <c r="U37" s="88">
        <f>'AEO 2026 Table 5'!W18*About!$B$78</f>
        <v>210.12058135600003</v>
      </c>
      <c r="V37" s="88">
        <f>'AEO 2026 Table 5'!X18*About!$B$78</f>
        <v>213.07309949800003</v>
      </c>
      <c r="W37" s="88">
        <f>'AEO 2026 Table 5'!Y18*About!$B$78</f>
        <v>216.16278048400002</v>
      </c>
      <c r="X37" s="88">
        <f>'AEO 2026 Table 5'!Z18*About!$B$78</f>
        <v>219.12878044400003</v>
      </c>
      <c r="Y37" s="88">
        <f>'AEO 2026 Table 5'!AA18*About!$B$78</f>
        <v>221.96289305400001</v>
      </c>
      <c r="Z37" s="88">
        <f>'AEO 2026 Table 5'!AB18*About!$B$78</f>
        <v>224.77824835200002</v>
      </c>
      <c r="AA37" s="88">
        <f>'AEO 2026 Table 5'!AC18*About!$B$78</f>
        <v>227.75157538700003</v>
      </c>
      <c r="AB37" s="88">
        <f>'AEO 2026 Table 5'!AD18*About!$B$78</f>
        <v>230.72578167100002</v>
      </c>
    </row>
    <row r="38" spans="1:28" x14ac:dyDescent="0.25">
      <c r="B38" s="88" t="str">
        <f>'AEO 2026 Table 5'!A20</f>
        <v>Ventilation</v>
      </c>
      <c r="C38" s="88">
        <f>'AEO 2026 Table 5'!E20*About!$B$78</f>
        <v>226.42977105700004</v>
      </c>
      <c r="D38" s="88">
        <f>'AEO 2026 Table 5'!F20*About!$B$78</f>
        <v>228.04231372300003</v>
      </c>
      <c r="E38" s="88">
        <f>'AEO 2026 Table 5'!G20*About!$B$78</f>
        <v>230.71962692800003</v>
      </c>
      <c r="F38" s="88">
        <f>'AEO 2026 Table 5'!H20*About!$B$78</f>
        <v>234.15807668400001</v>
      </c>
      <c r="G38" s="88">
        <f>'AEO 2026 Table 5'!I20*About!$B$78</f>
        <v>236.99189621100004</v>
      </c>
      <c r="H38" s="88">
        <f>'AEO 2026 Table 5'!J20*About!$B$78</f>
        <v>238.23193038400004</v>
      </c>
      <c r="I38" s="88">
        <f>'AEO 2026 Table 5'!K20*About!$B$78</f>
        <v>239.56692344900003</v>
      </c>
      <c r="J38" s="88">
        <f>'AEO 2026 Table 5'!L20*About!$B$78</f>
        <v>241.05754358700003</v>
      </c>
      <c r="K38" s="88">
        <f>'AEO 2026 Table 5'!M20*About!$B$78</f>
        <v>242.79640502600003</v>
      </c>
      <c r="L38" s="88">
        <f>'AEO 2026 Table 5'!N20*About!$B$78</f>
        <v>244.64634492200003</v>
      </c>
      <c r="M38" s="88">
        <f>'AEO 2026 Table 5'!O20*About!$B$78</f>
        <v>246.60238086400003</v>
      </c>
      <c r="N38" s="88">
        <f>'AEO 2026 Table 5'!P20*About!$B$78</f>
        <v>248.80988202000003</v>
      </c>
      <c r="O38" s="88">
        <f>'AEO 2026 Table 5'!Q20*About!$B$78</f>
        <v>251.02441716800004</v>
      </c>
      <c r="P38" s="88">
        <f>'AEO 2026 Table 5'!R20*About!$B$78</f>
        <v>253.28408709800004</v>
      </c>
      <c r="Q38" s="88">
        <f>'AEO 2026 Table 5'!S20*About!$B$78</f>
        <v>255.52529279900003</v>
      </c>
      <c r="R38" s="88">
        <f>'AEO 2026 Table 5'!T20*About!$B$78</f>
        <v>257.79903071300004</v>
      </c>
      <c r="S38" s="88">
        <f>'AEO 2026 Table 5'!U20*About!$B$78</f>
        <v>260.22077554200001</v>
      </c>
      <c r="T38" s="88">
        <f>'AEO 2026 Table 5'!V20*About!$B$78</f>
        <v>262.67769033100001</v>
      </c>
      <c r="U38" s="88">
        <f>'AEO 2026 Table 5'!W20*About!$B$78</f>
        <v>265.26502705500002</v>
      </c>
      <c r="V38" s="88">
        <f>'AEO 2026 Table 5'!X20*About!$B$78</f>
        <v>267.92592761200001</v>
      </c>
      <c r="W38" s="88">
        <f>'AEO 2026 Table 5'!Y20*About!$B$78</f>
        <v>270.62492895900004</v>
      </c>
      <c r="X38" s="88">
        <f>'AEO 2026 Table 5'!Z20*About!$B$78</f>
        <v>273.20288702700003</v>
      </c>
      <c r="Y38" s="88">
        <f>'AEO 2026 Table 5'!AA20*About!$B$78</f>
        <v>275.574514663</v>
      </c>
      <c r="Z38" s="88">
        <f>'AEO 2026 Table 5'!AB20*About!$B$78</f>
        <v>277.88752569900004</v>
      </c>
      <c r="AA38" s="88">
        <f>'AEO 2026 Table 5'!AC20*About!$B$78</f>
        <v>280.31190827500001</v>
      </c>
      <c r="AB38" s="88">
        <f>'AEO 2026 Table 5'!AD20*About!$B$78</f>
        <v>282.68382899400001</v>
      </c>
    </row>
    <row r="39" spans="1:28" x14ac:dyDescent="0.25">
      <c r="B39" s="88" t="str">
        <f>'AEO 2026 Table 5'!A25</f>
        <v>Computers and office equipment</v>
      </c>
      <c r="C39" s="88">
        <f>'AEO 2026 Table 5'!E25*About!$B$78</f>
        <v>63.585236099000007</v>
      </c>
      <c r="D39" s="88">
        <f>'AEO 2026 Table 5'!F25*About!$B$78</f>
        <v>62.058859835</v>
      </c>
      <c r="E39" s="88">
        <f>'AEO 2026 Table 5'!G25*About!$B$78</f>
        <v>60.703937126000007</v>
      </c>
      <c r="F39" s="88">
        <f>'AEO 2026 Table 5'!H25*About!$B$78</f>
        <v>59.403234772000005</v>
      </c>
      <c r="G39" s="88">
        <f>'AEO 2026 Table 5'!I25*About!$B$78</f>
        <v>58.107221746</v>
      </c>
      <c r="H39" s="88">
        <f>'AEO 2026 Table 5'!J25*About!$B$78</f>
        <v>56.832603779000003</v>
      </c>
      <c r="I39" s="88">
        <f>'AEO 2026 Table 5'!K25*About!$B$78</f>
        <v>55.635652807000007</v>
      </c>
      <c r="J39" s="88">
        <f>'AEO 2026 Table 5'!L25*About!$B$78</f>
        <v>54.431374760000004</v>
      </c>
      <c r="K39" s="88">
        <f>'AEO 2026 Table 5'!M25*About!$B$78</f>
        <v>53.477389594999998</v>
      </c>
      <c r="L39" s="88">
        <f>'AEO 2026 Table 5'!N25*About!$B$78</f>
        <v>52.669652847000009</v>
      </c>
      <c r="M39" s="88">
        <f>'AEO 2026 Table 5'!O25*About!$B$78</f>
        <v>51.895327561000002</v>
      </c>
      <c r="N39" s="88">
        <f>'AEO 2026 Table 5'!P25*About!$B$78</f>
        <v>51.301541403000009</v>
      </c>
      <c r="O39" s="88">
        <f>'AEO 2026 Table 5'!Q25*About!$B$78</f>
        <v>50.755234691000005</v>
      </c>
      <c r="P39" s="88">
        <f>'AEO 2026 Table 5'!R25*About!$B$78</f>
        <v>50.248201100999999</v>
      </c>
      <c r="Q39" s="88">
        <f>'AEO 2026 Table 5'!S25*About!$B$78</f>
        <v>49.935774623000007</v>
      </c>
      <c r="R39" s="88">
        <f>'AEO 2026 Table 5'!T25*About!$B$78</f>
        <v>49.540991822000002</v>
      </c>
      <c r="S39" s="88">
        <f>'AEO 2026 Table 5'!U25*About!$B$78</f>
        <v>49.052422460999999</v>
      </c>
      <c r="T39" s="88">
        <f>'AEO 2026 Table 5'!V25*About!$B$78</f>
        <v>48.792457840000004</v>
      </c>
      <c r="U39" s="88">
        <f>'AEO 2026 Table 5'!W25*About!$B$78</f>
        <v>48.302716147000005</v>
      </c>
      <c r="V39" s="88">
        <f>'AEO 2026 Table 5'!X25*About!$B$78</f>
        <v>47.905002516000003</v>
      </c>
      <c r="W39" s="88">
        <f>'AEO 2026 Table 5'!Y25*About!$B$78</f>
        <v>47.439586712000008</v>
      </c>
      <c r="X39" s="88">
        <f>'AEO 2026 Table 5'!Z25*About!$B$78</f>
        <v>47.077922290000004</v>
      </c>
      <c r="Y39" s="88">
        <f>'AEO 2026 Table 5'!AA25*About!$B$78</f>
        <v>46.466844235000003</v>
      </c>
      <c r="Z39" s="88">
        <f>'AEO 2026 Table 5'!AB25*About!$B$78</f>
        <v>45.782495429999997</v>
      </c>
      <c r="AA39" s="88">
        <f>'AEO 2026 Table 5'!AC25*About!$B$78</f>
        <v>45.028685954000004</v>
      </c>
      <c r="AB39" s="88">
        <f>'AEO 2026 Table 5'!AD25*About!$B$78</f>
        <v>44.198967981000003</v>
      </c>
    </row>
    <row r="40" spans="1:28" x14ac:dyDescent="0.25">
      <c r="B40" s="88" t="str">
        <f>'AEO 2026 Table 5'!A26</f>
        <v>Other Uses</v>
      </c>
      <c r="C40" s="88">
        <f>'AEO 2026 Table 5'!E26*About!$B$78</f>
        <v>571.26653952900006</v>
      </c>
      <c r="D40" s="88">
        <f>'AEO 2026 Table 5'!F26*About!$B$78</f>
        <v>625.35911034100002</v>
      </c>
      <c r="E40" s="88">
        <f>'AEO 2026 Table 5'!G26*About!$B$78</f>
        <v>627.10617810400004</v>
      </c>
      <c r="F40" s="88">
        <f>'AEO 2026 Table 5'!H26*About!$B$78</f>
        <v>626.94849944999999</v>
      </c>
      <c r="G40" s="88">
        <f>'AEO 2026 Table 5'!I26*About!$B$78</f>
        <v>626.67094984900007</v>
      </c>
      <c r="H40" s="88">
        <f>'AEO 2026 Table 5'!J26*About!$B$78</f>
        <v>626.03408049000006</v>
      </c>
      <c r="I40" s="88">
        <f>'AEO 2026 Table 5'!K26*About!$B$78</f>
        <v>625.51884057600012</v>
      </c>
      <c r="J40" s="88">
        <f>'AEO 2026 Table 5'!L26*About!$B$78</f>
        <v>625.291115085</v>
      </c>
      <c r="K40" s="88">
        <f>'AEO 2026 Table 5'!M26*About!$B$78</f>
        <v>625.5100480860001</v>
      </c>
      <c r="L40" s="88">
        <f>'AEO 2026 Table 5'!N26*About!$B$78</f>
        <v>626.10500657600005</v>
      </c>
      <c r="M40" s="88">
        <f>'AEO 2026 Table 5'!O26*About!$B$78</f>
        <v>627.08507612800008</v>
      </c>
      <c r="N40" s="88">
        <f>'AEO 2026 Table 5'!P26*About!$B$78</f>
        <v>628.64926009900012</v>
      </c>
      <c r="O40" s="88">
        <f>'AEO 2026 Table 5'!Q26*About!$B$78</f>
        <v>630.46842628000002</v>
      </c>
      <c r="P40" s="88">
        <f>'AEO 2026 Table 5'!R26*About!$B$78</f>
        <v>632.4373578740001</v>
      </c>
      <c r="Q40" s="88">
        <f>'AEO 2026 Table 5'!S26*About!$B$78</f>
        <v>634.48600804399996</v>
      </c>
      <c r="R40" s="88">
        <f>'AEO 2026 Table 5'!T26*About!$B$78</f>
        <v>636.631668687</v>
      </c>
      <c r="S40" s="88">
        <f>'AEO 2026 Table 5'!U26*About!$B$78</f>
        <v>638.74186628700011</v>
      </c>
      <c r="T40" s="88">
        <f>'AEO 2026 Table 5'!V26*About!$B$78</f>
        <v>640.92474847100004</v>
      </c>
      <c r="U40" s="88">
        <f>'AEO 2026 Table 5'!W26*About!$B$78</f>
        <v>643.27410179900016</v>
      </c>
      <c r="V40" s="88">
        <f>'AEO 2026 Table 5'!X26*About!$B$78</f>
        <v>645.672986154</v>
      </c>
      <c r="W40" s="88">
        <f>'AEO 2026 Table 5'!Y26*About!$B$78</f>
        <v>648.33330054500004</v>
      </c>
      <c r="X40" s="88">
        <f>'AEO 2026 Table 5'!Z26*About!$B$78</f>
        <v>650.95522106300007</v>
      </c>
      <c r="Y40" s="88">
        <f>'AEO 2026 Table 5'!AA26*About!$B$78</f>
        <v>653.61377695600004</v>
      </c>
      <c r="Z40" s="88">
        <f>'AEO 2026 Table 5'!AB26*About!$B$78</f>
        <v>656.40685794600006</v>
      </c>
      <c r="AA40" s="88">
        <f>'AEO 2026 Table 5'!AC26*About!$B$78</f>
        <v>659.34911818300009</v>
      </c>
      <c r="AB40" s="88">
        <f>'AEO 2026 Table 5'!AD26*About!$B$78</f>
        <v>662.47983078900006</v>
      </c>
    </row>
    <row r="41" spans="1:28" x14ac:dyDescent="0.25">
      <c r="B41" s="88" t="s">
        <v>1363</v>
      </c>
      <c r="C41">
        <f>SUM(C37:C40)</f>
        <v>1027.4124213220002</v>
      </c>
      <c r="D41">
        <f t="shared" ref="D41:AB41" si="0">SUM(D37:D40)</f>
        <v>1089.689921075</v>
      </c>
      <c r="E41">
        <f t="shared" si="0"/>
        <v>1094.6318866210001</v>
      </c>
      <c r="F41">
        <f t="shared" si="0"/>
        <v>1099.006736562</v>
      </c>
      <c r="G41">
        <f t="shared" si="0"/>
        <v>1102.2535100360001</v>
      </c>
      <c r="H41">
        <f t="shared" si="0"/>
        <v>1102.8294181310002</v>
      </c>
      <c r="I41">
        <f t="shared" si="0"/>
        <v>1103.88539618</v>
      </c>
      <c r="J41">
        <f t="shared" si="0"/>
        <v>1105.55303845</v>
      </c>
      <c r="K41">
        <f t="shared" si="0"/>
        <v>1108.3042085710001</v>
      </c>
      <c r="L41">
        <f t="shared" si="0"/>
        <v>1111.8572537800001</v>
      </c>
      <c r="M41">
        <f t="shared" si="0"/>
        <v>1116.0278248700001</v>
      </c>
      <c r="N41">
        <f t="shared" si="0"/>
        <v>1121.4478087890002</v>
      </c>
      <c r="O41">
        <f t="shared" si="0"/>
        <v>1127.2262332170001</v>
      </c>
      <c r="P41">
        <f t="shared" si="0"/>
        <v>1133.2807418310001</v>
      </c>
      <c r="Q41">
        <f t="shared" si="0"/>
        <v>1139.566199849</v>
      </c>
      <c r="R41">
        <f t="shared" si="0"/>
        <v>1145.9973201180001</v>
      </c>
      <c r="S41">
        <f t="shared" si="0"/>
        <v>1152.581429713</v>
      </c>
      <c r="T41">
        <f t="shared" si="0"/>
        <v>1159.634472108</v>
      </c>
      <c r="U41">
        <f t="shared" si="0"/>
        <v>1166.9624263570001</v>
      </c>
      <c r="V41">
        <f t="shared" si="0"/>
        <v>1174.57701578</v>
      </c>
      <c r="W41">
        <f t="shared" si="0"/>
        <v>1182.5605967000001</v>
      </c>
      <c r="X41">
        <f t="shared" si="0"/>
        <v>1190.364810824</v>
      </c>
      <c r="Y41">
        <f t="shared" si="0"/>
        <v>1197.618028908</v>
      </c>
      <c r="Z41">
        <f t="shared" si="0"/>
        <v>1204.8551274270003</v>
      </c>
      <c r="AA41">
        <f t="shared" si="0"/>
        <v>1212.4412877990003</v>
      </c>
      <c r="AB41">
        <f t="shared" si="0"/>
        <v>1220.0884094350001</v>
      </c>
    </row>
    <row r="42" spans="1:28" x14ac:dyDescent="0.25">
      <c r="B42" s="88"/>
    </row>
    <row r="43" spans="1:28" x14ac:dyDescent="0.25">
      <c r="B43" s="88"/>
    </row>
    <row r="44" spans="1:28" x14ac:dyDescent="0.25">
      <c r="B44" s="88" t="s">
        <v>1364</v>
      </c>
      <c r="C44">
        <f>SUM('AEO 2026 Table 5'!E17,'AEO 2026 Table 5'!E19,'AEO 2026 Table 5'!E21,'AEO 2026 Table 5'!E22,'AEO 2026 Table 5'!E23)*About!$B$78</f>
        <v>378.08615557300004</v>
      </c>
      <c r="D44">
        <f>SUM('AEO 2026 Table 5'!F17,'AEO 2026 Table 5'!F19,'AEO 2026 Table 5'!F21,'AEO 2026 Table 5'!F22,'AEO 2026 Table 5'!F23)*About!$B$78</f>
        <v>371.99354616900001</v>
      </c>
      <c r="E44">
        <f>SUM('AEO 2026 Table 5'!G17,'AEO 2026 Table 5'!G19,'AEO 2026 Table 5'!G21,'AEO 2026 Table 5'!G22,'AEO 2026 Table 5'!G23)*About!$B$78</f>
        <v>369.50937466100004</v>
      </c>
      <c r="F44">
        <f>SUM('AEO 2026 Table 5'!H17,'AEO 2026 Table 5'!H19,'AEO 2026 Table 5'!H21,'AEO 2026 Table 5'!H22,'AEO 2026 Table 5'!H23)*About!$B$78</f>
        <v>368.71511973100002</v>
      </c>
      <c r="G44">
        <f>SUM('AEO 2026 Table 5'!I17,'AEO 2026 Table 5'!I19,'AEO 2026 Table 5'!I21,'AEO 2026 Table 5'!I22,'AEO 2026 Table 5'!I23)*About!$B$78</f>
        <v>367.61635156400001</v>
      </c>
      <c r="H44">
        <f>SUM('AEO 2026 Table 5'!J17,'AEO 2026 Table 5'!J19,'AEO 2026 Table 5'!J21,'AEO 2026 Table 5'!J22,'AEO 2026 Table 5'!J23)*About!$B$78</f>
        <v>363.059203997</v>
      </c>
      <c r="I44">
        <f>SUM('AEO 2026 Table 5'!K17,'AEO 2026 Table 5'!K19,'AEO 2026 Table 5'!K21,'AEO 2026 Table 5'!K22,'AEO 2026 Table 5'!K23)*About!$B$78</f>
        <v>359.06741353700005</v>
      </c>
      <c r="J44">
        <f>SUM('AEO 2026 Table 5'!L17,'AEO 2026 Table 5'!L19,'AEO 2026 Table 5'!L21,'AEO 2026 Table 5'!L22,'AEO 2026 Table 5'!L23)*About!$B$78</f>
        <v>355.54807287300002</v>
      </c>
      <c r="K44">
        <f>SUM('AEO 2026 Table 5'!M17,'AEO 2026 Table 5'!M19,'AEO 2026 Table 5'!M21,'AEO 2026 Table 5'!M22,'AEO 2026 Table 5'!M23)*About!$B$78</f>
        <v>352.48183852700004</v>
      </c>
      <c r="L44">
        <f>SUM('AEO 2026 Table 5'!N17,'AEO 2026 Table 5'!N19,'AEO 2026 Table 5'!N21,'AEO 2026 Table 5'!N22,'AEO 2026 Table 5'!N23)*About!$B$78</f>
        <v>349.59878105600006</v>
      </c>
      <c r="M44">
        <f>SUM('AEO 2026 Table 5'!O17,'AEO 2026 Table 5'!O19,'AEO 2026 Table 5'!O21,'AEO 2026 Table 5'!O22,'AEO 2026 Table 5'!O23)*About!$B$78</f>
        <v>346.82650895900002</v>
      </c>
      <c r="N44">
        <f>SUM('AEO 2026 Table 5'!P17,'AEO 2026 Table 5'!P19,'AEO 2026 Table 5'!P21,'AEO 2026 Table 5'!P22,'AEO 2026 Table 5'!P23)*About!$B$78</f>
        <v>344.53254831800001</v>
      </c>
      <c r="O44">
        <f>SUM('AEO 2026 Table 5'!Q17,'AEO 2026 Table 5'!Q19,'AEO 2026 Table 5'!Q21,'AEO 2026 Table 5'!Q22,'AEO 2026 Table 5'!Q23)*About!$B$78</f>
        <v>342.46748550000001</v>
      </c>
      <c r="P44">
        <f>SUM('AEO 2026 Table 5'!R17,'AEO 2026 Table 5'!R19,'AEO 2026 Table 5'!R21,'AEO 2026 Table 5'!R22,'AEO 2026 Table 5'!R23)*About!$B$78</f>
        <v>340.62809659200002</v>
      </c>
      <c r="Q44">
        <f>SUM('AEO 2026 Table 5'!S17,'AEO 2026 Table 5'!S19,'AEO 2026 Table 5'!S21,'AEO 2026 Table 5'!S22,'AEO 2026 Table 5'!S23)*About!$B$78</f>
        <v>338.91502645700007</v>
      </c>
      <c r="R44">
        <f>SUM('AEO 2026 Table 5'!T17,'AEO 2026 Table 5'!T19,'AEO 2026 Table 5'!T21,'AEO 2026 Table 5'!T22,'AEO 2026 Table 5'!T23)*About!$B$78</f>
        <v>336.70195672400001</v>
      </c>
      <c r="S44">
        <f>SUM('AEO 2026 Table 5'!U17,'AEO 2026 Table 5'!U19,'AEO 2026 Table 5'!U21,'AEO 2026 Table 5'!U22,'AEO 2026 Table 5'!U23)*About!$B$78</f>
        <v>334.96925002800003</v>
      </c>
      <c r="T44">
        <f>SUM('AEO 2026 Table 5'!V17,'AEO 2026 Table 5'!V19,'AEO 2026 Table 5'!V21,'AEO 2026 Table 5'!V22,'AEO 2026 Table 5'!V23)*About!$B$78</f>
        <v>333.44199451500003</v>
      </c>
      <c r="U44">
        <f>SUM('AEO 2026 Table 5'!W17,'AEO 2026 Table 5'!W19,'AEO 2026 Table 5'!W21,'AEO 2026 Table 5'!W22,'AEO 2026 Table 5'!W23)*About!$B$78</f>
        <v>332.14949848500004</v>
      </c>
      <c r="V44">
        <f>SUM('AEO 2026 Table 5'!X17,'AEO 2026 Table 5'!X19,'AEO 2026 Table 5'!X21,'AEO 2026 Table 5'!X22,'AEO 2026 Table 5'!X23)*About!$B$78</f>
        <v>330.99738921200003</v>
      </c>
      <c r="W44">
        <f>SUM('AEO 2026 Table 5'!Y17,'AEO 2026 Table 5'!Y19,'AEO 2026 Table 5'!Y21,'AEO 2026 Table 5'!Y22,'AEO 2026 Table 5'!Y23)*About!$B$78</f>
        <v>329.95958230900004</v>
      </c>
      <c r="X44">
        <f>SUM('AEO 2026 Table 5'!Z17,'AEO 2026 Table 5'!Z19,'AEO 2026 Table 5'!Z21,'AEO 2026 Table 5'!Z22,'AEO 2026 Table 5'!Z23)*About!$B$78</f>
        <v>328.85260781799997</v>
      </c>
      <c r="Y44">
        <f>SUM('AEO 2026 Table 5'!AA17,'AEO 2026 Table 5'!AA19,'AEO 2026 Table 5'!AA21,'AEO 2026 Table 5'!AA22,'AEO 2026 Table 5'!AA23)*About!$B$78</f>
        <v>327.57447285500007</v>
      </c>
      <c r="Z44">
        <f>SUM('AEO 2026 Table 5'!AB17,'AEO 2026 Table 5'!AB19,'AEO 2026 Table 5'!AB21,'AEO 2026 Table 5'!AB22,'AEO 2026 Table 5'!AB23)*About!$B$78</f>
        <v>326.23947979000002</v>
      </c>
      <c r="AA44">
        <f>SUM('AEO 2026 Table 5'!AC17,'AEO 2026 Table 5'!AC19,'AEO 2026 Table 5'!AC21,'AEO 2026 Table 5'!AC22,'AEO 2026 Table 5'!AC23)*About!$B$78</f>
        <v>325.00266953000005</v>
      </c>
      <c r="AB44">
        <f>SUM('AEO 2026 Table 5'!AD17,'AEO 2026 Table 5'!AD19,'AEO 2026 Table 5'!AD21,'AEO 2026 Table 5'!AD22,'AEO 2026 Table 5'!AD23)*About!$B$78</f>
        <v>323.71398357900006</v>
      </c>
    </row>
    <row r="45" spans="1:28" x14ac:dyDescent="0.25">
      <c r="B45" t="s">
        <v>1365</v>
      </c>
    </row>
    <row r="46" spans="1:28" x14ac:dyDescent="0.25">
      <c r="B46" t="s">
        <v>1366</v>
      </c>
    </row>
    <row r="49" spans="1:28" x14ac:dyDescent="0.25">
      <c r="C49" s="85">
        <f>C3-C35</f>
        <v>119.16684864699999</v>
      </c>
      <c r="D49" s="85">
        <f>C49+D41-C41</f>
        <v>181.44434839999985</v>
      </c>
      <c r="E49" s="85">
        <f t="shared" ref="E49:AB49" si="1">D49+E41-D41</f>
        <v>186.38631394599997</v>
      </c>
      <c r="F49" s="85">
        <f t="shared" si="1"/>
        <v>190.76116388699984</v>
      </c>
      <c r="G49" s="85">
        <f t="shared" si="1"/>
        <v>194.0079373609999</v>
      </c>
      <c r="H49" s="85">
        <f t="shared" si="1"/>
        <v>194.58384545600006</v>
      </c>
      <c r="I49" s="85">
        <f t="shared" si="1"/>
        <v>195.63982350499987</v>
      </c>
      <c r="J49" s="85">
        <f t="shared" si="1"/>
        <v>197.30746577499986</v>
      </c>
      <c r="K49" s="85">
        <f t="shared" si="1"/>
        <v>200.05863589599994</v>
      </c>
      <c r="L49" s="85">
        <f t="shared" si="1"/>
        <v>203.61168110499989</v>
      </c>
      <c r="M49" s="85">
        <f t="shared" si="1"/>
        <v>207.78225219499996</v>
      </c>
      <c r="N49" s="85">
        <f t="shared" si="1"/>
        <v>213.20223611400002</v>
      </c>
      <c r="O49" s="85">
        <f t="shared" si="1"/>
        <v>218.9806605419999</v>
      </c>
      <c r="P49" s="85">
        <f t="shared" si="1"/>
        <v>225.03516915599994</v>
      </c>
      <c r="Q49" s="85">
        <f t="shared" si="1"/>
        <v>231.32062717399981</v>
      </c>
      <c r="R49" s="85">
        <f t="shared" si="1"/>
        <v>237.75174744299989</v>
      </c>
      <c r="S49" s="85">
        <f t="shared" si="1"/>
        <v>244.33585703799986</v>
      </c>
      <c r="T49" s="85">
        <f t="shared" si="1"/>
        <v>251.38889943299978</v>
      </c>
      <c r="U49" s="85">
        <f t="shared" si="1"/>
        <v>258.71685368199996</v>
      </c>
      <c r="V49" s="85">
        <f t="shared" si="1"/>
        <v>266.33144310499983</v>
      </c>
      <c r="W49" s="85">
        <f t="shared" si="1"/>
        <v>274.31502402499996</v>
      </c>
      <c r="X49" s="85">
        <f t="shared" si="1"/>
        <v>282.11923814899978</v>
      </c>
      <c r="Y49" s="85">
        <f t="shared" si="1"/>
        <v>289.37245623299987</v>
      </c>
      <c r="Z49" s="85">
        <f t="shared" si="1"/>
        <v>296.60955475200012</v>
      </c>
      <c r="AA49" s="85">
        <f t="shared" si="1"/>
        <v>304.19571512400012</v>
      </c>
      <c r="AB49" s="85">
        <f t="shared" si="1"/>
        <v>311.84283675999995</v>
      </c>
    </row>
    <row r="50" spans="1:28" x14ac:dyDescent="0.25">
      <c r="C50">
        <f>C49/C41</f>
        <v>0.11598735441962507</v>
      </c>
      <c r="D50">
        <f t="shared" ref="D50:AB50" si="2">D49/D41</f>
        <v>0.16651007308666443</v>
      </c>
      <c r="E50">
        <f t="shared" si="2"/>
        <v>0.17027305363938611</v>
      </c>
      <c r="F50">
        <f t="shared" si="2"/>
        <v>0.17357597323175109</v>
      </c>
      <c r="G50">
        <f t="shared" si="2"/>
        <v>0.17601026950203455</v>
      </c>
      <c r="H50">
        <f t="shared" si="2"/>
        <v>0.17644056483890994</v>
      </c>
      <c r="I50">
        <f t="shared" si="2"/>
        <v>0.1772283827488001</v>
      </c>
      <c r="J50">
        <f t="shared" si="2"/>
        <v>0.17846947085562492</v>
      </c>
      <c r="K50">
        <f t="shared" si="2"/>
        <v>0.18050877579355848</v>
      </c>
      <c r="L50">
        <f t="shared" si="2"/>
        <v>0.18312753765177839</v>
      </c>
      <c r="M50">
        <f t="shared" si="2"/>
        <v>0.18618017182430319</v>
      </c>
      <c r="N50">
        <f t="shared" si="2"/>
        <v>0.19011338240004882</v>
      </c>
      <c r="O50">
        <f t="shared" si="2"/>
        <v>0.19426504998650468</v>
      </c>
      <c r="P50">
        <f t="shared" si="2"/>
        <v>0.19856965785231545</v>
      </c>
      <c r="Q50">
        <f t="shared" si="2"/>
        <v>0.20299007394625368</v>
      </c>
      <c r="R50">
        <f t="shared" si="2"/>
        <v>0.20746274294822895</v>
      </c>
      <c r="S50">
        <f t="shared" si="2"/>
        <v>0.21199010389993964</v>
      </c>
      <c r="T50">
        <f t="shared" si="2"/>
        <v>0.21678287898429019</v>
      </c>
      <c r="U50">
        <f t="shared" si="2"/>
        <v>0.22170110008567889</v>
      </c>
      <c r="V50">
        <f t="shared" si="2"/>
        <v>0.22674668372268245</v>
      </c>
      <c r="W50">
        <f t="shared" si="2"/>
        <v>0.23196699162012585</v>
      </c>
      <c r="X50">
        <f t="shared" si="2"/>
        <v>0.23700233372465865</v>
      </c>
      <c r="Y50">
        <f t="shared" si="2"/>
        <v>0.24162333001687736</v>
      </c>
      <c r="Z50">
        <f t="shared" si="2"/>
        <v>0.24617860521158058</v>
      </c>
      <c r="AA50">
        <f t="shared" si="2"/>
        <v>0.25089521297663858</v>
      </c>
      <c r="AB50">
        <f t="shared" si="2"/>
        <v>0.25559036078738628</v>
      </c>
    </row>
    <row r="52" spans="1:28" x14ac:dyDescent="0.25">
      <c r="C52" s="85">
        <f t="shared" ref="C52:AB52" si="3">C41-C49</f>
        <v>908.24557267500018</v>
      </c>
      <c r="D52" s="85">
        <f t="shared" si="3"/>
        <v>908.24557267500018</v>
      </c>
      <c r="E52" s="85">
        <f t="shared" si="3"/>
        <v>908.24557267500018</v>
      </c>
      <c r="F52" s="85">
        <f t="shared" si="3"/>
        <v>908.24557267500018</v>
      </c>
      <c r="G52" s="85">
        <f t="shared" si="3"/>
        <v>908.24557267500018</v>
      </c>
      <c r="H52" s="85">
        <f t="shared" si="3"/>
        <v>908.24557267500018</v>
      </c>
      <c r="I52" s="85">
        <f t="shared" si="3"/>
        <v>908.24557267500018</v>
      </c>
      <c r="J52" s="85">
        <f t="shared" si="3"/>
        <v>908.24557267500018</v>
      </c>
      <c r="K52" s="85">
        <f t="shared" si="3"/>
        <v>908.24557267500018</v>
      </c>
      <c r="L52" s="85">
        <f t="shared" si="3"/>
        <v>908.24557267500018</v>
      </c>
      <c r="M52" s="85">
        <f t="shared" si="3"/>
        <v>908.24557267500018</v>
      </c>
      <c r="N52" s="85">
        <f t="shared" si="3"/>
        <v>908.24557267500018</v>
      </c>
      <c r="O52" s="85">
        <f t="shared" si="3"/>
        <v>908.24557267500018</v>
      </c>
      <c r="P52" s="85">
        <f t="shared" si="3"/>
        <v>908.24557267500018</v>
      </c>
      <c r="Q52" s="85">
        <f t="shared" si="3"/>
        <v>908.24557267500018</v>
      </c>
      <c r="R52" s="85">
        <f t="shared" si="3"/>
        <v>908.24557267500018</v>
      </c>
      <c r="S52" s="85">
        <f t="shared" si="3"/>
        <v>908.24557267500018</v>
      </c>
      <c r="T52" s="85">
        <f t="shared" si="3"/>
        <v>908.24557267500018</v>
      </c>
      <c r="U52" s="85">
        <f t="shared" si="3"/>
        <v>908.24557267500018</v>
      </c>
      <c r="V52" s="85">
        <f t="shared" si="3"/>
        <v>908.24557267500018</v>
      </c>
      <c r="W52" s="85">
        <f t="shared" si="3"/>
        <v>908.24557267500018</v>
      </c>
      <c r="X52" s="85">
        <f t="shared" si="3"/>
        <v>908.24557267500018</v>
      </c>
      <c r="Y52" s="85">
        <f t="shared" si="3"/>
        <v>908.24557267500018</v>
      </c>
      <c r="Z52" s="85">
        <f t="shared" si="3"/>
        <v>908.24557267500018</v>
      </c>
      <c r="AA52" s="85">
        <f t="shared" si="3"/>
        <v>908.24557267500018</v>
      </c>
      <c r="AB52" s="85">
        <f t="shared" si="3"/>
        <v>908.24557267500018</v>
      </c>
    </row>
    <row r="53" spans="1:28" x14ac:dyDescent="0.25">
      <c r="B53" s="91" t="s">
        <v>1367</v>
      </c>
      <c r="C53">
        <f t="shared" ref="C53:AB53" si="4">C52/C41</f>
        <v>0.88401264558037485</v>
      </c>
      <c r="D53">
        <f t="shared" si="4"/>
        <v>0.83348992691333557</v>
      </c>
      <c r="E53">
        <f t="shared" si="4"/>
        <v>0.82972694636061384</v>
      </c>
      <c r="F53">
        <f t="shared" si="4"/>
        <v>0.82642402676824889</v>
      </c>
      <c r="G53">
        <f t="shared" si="4"/>
        <v>0.82398973049796542</v>
      </c>
      <c r="H53">
        <f t="shared" si="4"/>
        <v>0.82355943516109009</v>
      </c>
      <c r="I53">
        <f t="shared" si="4"/>
        <v>0.82277161725119996</v>
      </c>
      <c r="J53">
        <f t="shared" si="4"/>
        <v>0.82153052914437508</v>
      </c>
      <c r="K53">
        <f t="shared" si="4"/>
        <v>0.81949122420644149</v>
      </c>
      <c r="L53">
        <f t="shared" si="4"/>
        <v>0.81687246234822164</v>
      </c>
      <c r="M53">
        <f t="shared" si="4"/>
        <v>0.81381982817569687</v>
      </c>
      <c r="N53">
        <f t="shared" si="4"/>
        <v>0.80988661759995118</v>
      </c>
      <c r="O53">
        <f t="shared" si="4"/>
        <v>0.80573495001349538</v>
      </c>
      <c r="P53">
        <f t="shared" si="4"/>
        <v>0.80143034214768449</v>
      </c>
      <c r="Q53">
        <f t="shared" si="4"/>
        <v>0.79700992605374632</v>
      </c>
      <c r="R53">
        <f t="shared" si="4"/>
        <v>0.79253725705177103</v>
      </c>
      <c r="S53">
        <f t="shared" si="4"/>
        <v>0.78800989610006034</v>
      </c>
      <c r="T53">
        <f t="shared" si="4"/>
        <v>0.78321712101570984</v>
      </c>
      <c r="U53">
        <f t="shared" si="4"/>
        <v>0.77829889991432111</v>
      </c>
      <c r="V53">
        <f t="shared" si="4"/>
        <v>0.77325331627731753</v>
      </c>
      <c r="W53">
        <f t="shared" si="4"/>
        <v>0.76803300837987409</v>
      </c>
      <c r="X53">
        <f t="shared" si="4"/>
        <v>0.76299766627534138</v>
      </c>
      <c r="Y53">
        <f t="shared" si="4"/>
        <v>0.75837666998312259</v>
      </c>
      <c r="Z53">
        <f t="shared" si="4"/>
        <v>0.75382139478841936</v>
      </c>
      <c r="AA53">
        <f t="shared" si="4"/>
        <v>0.74910478702336147</v>
      </c>
      <c r="AB53">
        <f t="shared" si="4"/>
        <v>0.74440963921261372</v>
      </c>
    </row>
    <row r="54" spans="1:28" x14ac:dyDescent="0.25">
      <c r="B54" t="s">
        <v>1374</v>
      </c>
    </row>
    <row r="57" spans="1:28" x14ac:dyDescent="0.25">
      <c r="A57" t="s">
        <v>1368</v>
      </c>
    </row>
    <row r="58" spans="1:28" x14ac:dyDescent="0.25">
      <c r="C58">
        <f>C26</f>
        <v>2025</v>
      </c>
      <c r="D58">
        <f t="shared" ref="D58:AB58" si="5">D26</f>
        <v>2026</v>
      </c>
      <c r="E58">
        <f t="shared" si="5"/>
        <v>2027</v>
      </c>
      <c r="F58">
        <f t="shared" si="5"/>
        <v>2028</v>
      </c>
      <c r="G58">
        <f t="shared" si="5"/>
        <v>2029</v>
      </c>
      <c r="H58">
        <f t="shared" si="5"/>
        <v>2030</v>
      </c>
      <c r="I58">
        <f t="shared" si="5"/>
        <v>2031</v>
      </c>
      <c r="J58">
        <f t="shared" si="5"/>
        <v>2032</v>
      </c>
      <c r="K58">
        <f t="shared" si="5"/>
        <v>2033</v>
      </c>
      <c r="L58">
        <f t="shared" si="5"/>
        <v>2034</v>
      </c>
      <c r="M58">
        <f t="shared" si="5"/>
        <v>2035</v>
      </c>
      <c r="N58">
        <f t="shared" si="5"/>
        <v>2036</v>
      </c>
      <c r="O58">
        <f t="shared" si="5"/>
        <v>2037</v>
      </c>
      <c r="P58">
        <f t="shared" si="5"/>
        <v>2038</v>
      </c>
      <c r="Q58">
        <f t="shared" si="5"/>
        <v>2039</v>
      </c>
      <c r="R58">
        <f t="shared" si="5"/>
        <v>2040</v>
      </c>
      <c r="S58">
        <f t="shared" si="5"/>
        <v>2041</v>
      </c>
      <c r="T58">
        <f t="shared" si="5"/>
        <v>2042</v>
      </c>
      <c r="U58">
        <f t="shared" si="5"/>
        <v>2043</v>
      </c>
      <c r="V58">
        <f t="shared" si="5"/>
        <v>2044</v>
      </c>
      <c r="W58">
        <f t="shared" si="5"/>
        <v>2045</v>
      </c>
      <c r="X58">
        <f t="shared" si="5"/>
        <v>2046</v>
      </c>
      <c r="Y58">
        <f t="shared" si="5"/>
        <v>2047</v>
      </c>
      <c r="Z58">
        <f t="shared" si="5"/>
        <v>2048</v>
      </c>
      <c r="AA58">
        <f t="shared" si="5"/>
        <v>2049</v>
      </c>
      <c r="AB58">
        <f t="shared" si="5"/>
        <v>2050</v>
      </c>
    </row>
    <row r="59" spans="1:28" x14ac:dyDescent="0.25">
      <c r="B59" t="s">
        <v>1372</v>
      </c>
      <c r="C59" s="85">
        <f t="shared" ref="C59:AB59" si="6">C35+C49</f>
        <v>224</v>
      </c>
      <c r="D59" s="85">
        <f>D35+D49</f>
        <v>299.76136933399988</v>
      </c>
      <c r="E59" s="85">
        <f t="shared" si="6"/>
        <v>319.14353428999999</v>
      </c>
      <c r="F59" s="85">
        <f t="shared" si="6"/>
        <v>338.43513659899986</v>
      </c>
      <c r="G59" s="85">
        <f t="shared" si="6"/>
        <v>356.90376184399992</v>
      </c>
      <c r="H59" s="85">
        <f t="shared" si="6"/>
        <v>372.80937625400009</v>
      </c>
      <c r="I59" s="85">
        <f t="shared" si="6"/>
        <v>389.36065251299988</v>
      </c>
      <c r="J59" s="85">
        <f t="shared" si="6"/>
        <v>406.82107223799983</v>
      </c>
      <c r="K59" s="85">
        <f t="shared" si="6"/>
        <v>425.65458581799999</v>
      </c>
      <c r="L59" s="85">
        <f t="shared" si="6"/>
        <v>445.52444088599992</v>
      </c>
      <c r="M59" s="85">
        <f t="shared" si="6"/>
        <v>466.198808789</v>
      </c>
      <c r="N59" s="85">
        <f t="shared" si="6"/>
        <v>488.22722015200003</v>
      </c>
      <c r="O59" s="85">
        <f t="shared" si="6"/>
        <v>510.64191490899992</v>
      </c>
      <c r="P59" s="85">
        <f t="shared" si="6"/>
        <v>533.15479247099995</v>
      </c>
      <c r="Q59" s="85">
        <f t="shared" si="6"/>
        <v>555.57564197099987</v>
      </c>
      <c r="R59" s="85">
        <f t="shared" si="6"/>
        <v>577.66970392600001</v>
      </c>
      <c r="S59" s="85">
        <f t="shared" si="6"/>
        <v>599.38480956199987</v>
      </c>
      <c r="T59" s="85">
        <f t="shared" si="6"/>
        <v>620.79716045899977</v>
      </c>
      <c r="U59" s="85">
        <f t="shared" si="6"/>
        <v>641.72651057200005</v>
      </c>
      <c r="V59" s="85">
        <f t="shared" si="6"/>
        <v>661.94982373799985</v>
      </c>
      <c r="W59" s="85">
        <f t="shared" si="6"/>
        <v>681.55355944200005</v>
      </c>
      <c r="X59" s="85">
        <f t="shared" si="6"/>
        <v>699.71063745799984</v>
      </c>
      <c r="Y59" s="85">
        <f t="shared" si="6"/>
        <v>715.95974514399995</v>
      </c>
      <c r="Z59" s="85">
        <f t="shared" si="6"/>
        <v>730.73728308700015</v>
      </c>
      <c r="AA59" s="85">
        <f t="shared" si="6"/>
        <v>744.35245385200017</v>
      </c>
      <c r="AB59" s="85">
        <f t="shared" si="6"/>
        <v>757.35390881499995</v>
      </c>
    </row>
    <row r="60" spans="1:28" x14ac:dyDescent="0.25">
      <c r="C60" s="85"/>
      <c r="D60" s="85"/>
      <c r="E60" s="85"/>
      <c r="F60" s="85"/>
      <c r="G60" s="85"/>
      <c r="H60" s="85"/>
      <c r="I60" s="85"/>
      <c r="J60" s="85"/>
      <c r="K60" s="85"/>
      <c r="L60" s="85"/>
      <c r="M60" s="85"/>
      <c r="N60" s="85"/>
      <c r="O60" s="85"/>
      <c r="P60" s="85"/>
      <c r="Q60" s="85"/>
      <c r="R60" s="85"/>
      <c r="S60" s="85"/>
      <c r="T60" s="85"/>
      <c r="U60" s="85"/>
      <c r="V60" s="85"/>
      <c r="W60" s="85"/>
      <c r="X60" s="85"/>
      <c r="Y60" s="85"/>
      <c r="Z60" s="85"/>
      <c r="AA60" s="85"/>
      <c r="AB60" s="85"/>
    </row>
    <row r="61" spans="1:28" x14ac:dyDescent="0.25">
      <c r="A61" t="s">
        <v>1371</v>
      </c>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row>
    <row r="62" spans="1:28" x14ac:dyDescent="0.25">
      <c r="C62" s="85">
        <f>C52</f>
        <v>908.24557267500018</v>
      </c>
      <c r="D62" s="85">
        <f t="shared" ref="D62:AB62" si="7">D52</f>
        <v>908.24557267500018</v>
      </c>
      <c r="E62" s="85">
        <f t="shared" si="7"/>
        <v>908.24557267500018</v>
      </c>
      <c r="F62" s="85">
        <f t="shared" si="7"/>
        <v>908.24557267500018</v>
      </c>
      <c r="G62" s="85">
        <f t="shared" si="7"/>
        <v>908.24557267500018</v>
      </c>
      <c r="H62" s="85">
        <f t="shared" si="7"/>
        <v>908.24557267500018</v>
      </c>
      <c r="I62" s="85">
        <f t="shared" si="7"/>
        <v>908.24557267500018</v>
      </c>
      <c r="J62" s="85">
        <f t="shared" si="7"/>
        <v>908.24557267500018</v>
      </c>
      <c r="K62" s="85">
        <f t="shared" si="7"/>
        <v>908.24557267500018</v>
      </c>
      <c r="L62" s="85">
        <f t="shared" si="7"/>
        <v>908.24557267500018</v>
      </c>
      <c r="M62" s="85">
        <f t="shared" si="7"/>
        <v>908.24557267500018</v>
      </c>
      <c r="N62" s="85">
        <f t="shared" si="7"/>
        <v>908.24557267500018</v>
      </c>
      <c r="O62" s="85">
        <f t="shared" si="7"/>
        <v>908.24557267500018</v>
      </c>
      <c r="P62" s="85">
        <f t="shared" si="7"/>
        <v>908.24557267500018</v>
      </c>
      <c r="Q62" s="85">
        <f t="shared" si="7"/>
        <v>908.24557267500018</v>
      </c>
      <c r="R62" s="85">
        <f t="shared" si="7"/>
        <v>908.24557267500018</v>
      </c>
      <c r="S62" s="85">
        <f t="shared" si="7"/>
        <v>908.24557267500018</v>
      </c>
      <c r="T62" s="85">
        <f t="shared" si="7"/>
        <v>908.24557267500018</v>
      </c>
      <c r="U62" s="85">
        <f t="shared" si="7"/>
        <v>908.24557267500018</v>
      </c>
      <c r="V62" s="85">
        <f t="shared" si="7"/>
        <v>908.24557267500018</v>
      </c>
      <c r="W62" s="85">
        <f t="shared" si="7"/>
        <v>908.24557267500018</v>
      </c>
      <c r="X62" s="85">
        <f t="shared" si="7"/>
        <v>908.24557267500018</v>
      </c>
      <c r="Y62" s="85">
        <f t="shared" si="7"/>
        <v>908.24557267500018</v>
      </c>
      <c r="Z62" s="85">
        <f t="shared" si="7"/>
        <v>908.24557267500018</v>
      </c>
      <c r="AA62" s="85">
        <f t="shared" si="7"/>
        <v>908.24557267500018</v>
      </c>
      <c r="AB62" s="85">
        <f t="shared" si="7"/>
        <v>908.24557267500018</v>
      </c>
    </row>
    <row r="63" spans="1:28" x14ac:dyDescent="0.25">
      <c r="C63" s="85"/>
      <c r="D63" s="85"/>
      <c r="E63" s="85"/>
      <c r="F63" s="85"/>
      <c r="G63" s="85"/>
      <c r="H63" s="85"/>
      <c r="I63" s="85"/>
      <c r="J63" s="85"/>
      <c r="K63" s="85"/>
      <c r="L63" s="85"/>
      <c r="M63" s="85"/>
      <c r="N63" s="85"/>
      <c r="O63" s="85"/>
      <c r="P63" s="85"/>
      <c r="Q63" s="85"/>
      <c r="R63" s="85"/>
      <c r="S63" s="85"/>
      <c r="T63" s="85"/>
      <c r="U63" s="85"/>
      <c r="V63" s="85"/>
      <c r="W63" s="85"/>
      <c r="X63" s="85"/>
      <c r="Y63" s="85"/>
      <c r="Z63" s="85"/>
      <c r="AA63" s="85"/>
      <c r="AB63" s="85"/>
    </row>
    <row r="64" spans="1:28" x14ac:dyDescent="0.25">
      <c r="A64" t="s">
        <v>1369</v>
      </c>
    </row>
    <row r="82" spans="2:28" x14ac:dyDescent="0.25">
      <c r="C82" cm="1">
        <f t="array" ref="C82:AB82">C58:AB58</f>
        <v>2025</v>
      </c>
      <c r="D82">
        <v>2026</v>
      </c>
      <c r="E82">
        <v>2027</v>
      </c>
      <c r="F82">
        <v>2028</v>
      </c>
      <c r="G82">
        <v>2029</v>
      </c>
      <c r="H82">
        <v>2030</v>
      </c>
      <c r="I82">
        <v>2031</v>
      </c>
      <c r="J82">
        <v>2032</v>
      </c>
      <c r="K82">
        <v>2033</v>
      </c>
      <c r="L82">
        <v>2034</v>
      </c>
      <c r="M82">
        <v>2035</v>
      </c>
      <c r="N82">
        <v>2036</v>
      </c>
      <c r="O82">
        <v>2037</v>
      </c>
      <c r="P82">
        <v>2038</v>
      </c>
      <c r="Q82">
        <v>2039</v>
      </c>
      <c r="R82">
        <v>2040</v>
      </c>
      <c r="S82">
        <v>2041</v>
      </c>
      <c r="T82">
        <v>2042</v>
      </c>
      <c r="U82">
        <v>2043</v>
      </c>
      <c r="V82">
        <v>2044</v>
      </c>
      <c r="W82">
        <v>2045</v>
      </c>
      <c r="X82">
        <v>2046</v>
      </c>
      <c r="Y82">
        <v>2047</v>
      </c>
      <c r="Z82">
        <v>2048</v>
      </c>
      <c r="AA82">
        <v>2049</v>
      </c>
      <c r="AB82">
        <v>2050</v>
      </c>
    </row>
    <row r="83" spans="2:28" x14ac:dyDescent="0.25">
      <c r="B83" t="str">
        <f>"non-DC "&amp;B37</f>
        <v>non-DC Space Cooling</v>
      </c>
      <c r="C83">
        <f>C37*C$53</f>
        <v>146.86179400043596</v>
      </c>
      <c r="D83">
        <f>D37*D$53</f>
        <v>145.21864755596121</v>
      </c>
      <c r="E83">
        <f t="shared" ref="E83:AB83" si="8">E37*E$53</f>
        <v>146.11669457284069</v>
      </c>
      <c r="F83">
        <f t="shared" si="8"/>
        <v>147.51414806638431</v>
      </c>
      <c r="G83">
        <f t="shared" si="8"/>
        <v>148.71650292244283</v>
      </c>
      <c r="H83">
        <f t="shared" si="8"/>
        <v>149.66611786371277</v>
      </c>
      <c r="I83">
        <f t="shared" si="8"/>
        <v>150.70212351031935</v>
      </c>
      <c r="J83">
        <f t="shared" si="8"/>
        <v>151.79666458403381</v>
      </c>
      <c r="K83">
        <f t="shared" si="8"/>
        <v>152.85180296132273</v>
      </c>
      <c r="L83">
        <f t="shared" si="8"/>
        <v>153.92838307163214</v>
      </c>
      <c r="M83">
        <f t="shared" si="8"/>
        <v>154.98794998769463</v>
      </c>
      <c r="N83">
        <f t="shared" si="8"/>
        <v>156.05472413754873</v>
      </c>
      <c r="O83">
        <f t="shared" si="8"/>
        <v>157.10071403549588</v>
      </c>
      <c r="P83">
        <f t="shared" si="8"/>
        <v>158.13109898286851</v>
      </c>
      <c r="Q83">
        <f t="shared" si="8"/>
        <v>159.09842356340843</v>
      </c>
      <c r="R83">
        <f t="shared" si="8"/>
        <v>160.11283777939488</v>
      </c>
      <c r="S83">
        <f t="shared" si="8"/>
        <v>161.2003203625452</v>
      </c>
      <c r="T83">
        <f t="shared" si="8"/>
        <v>162.31358365699847</v>
      </c>
      <c r="U83">
        <f t="shared" si="8"/>
        <v>163.53661731873243</v>
      </c>
      <c r="V83">
        <f t="shared" si="8"/>
        <v>164.75948079631536</v>
      </c>
      <c r="W83">
        <f t="shared" si="8"/>
        <v>166.02015059488488</v>
      </c>
      <c r="X83">
        <f t="shared" si="8"/>
        <v>167.1947480925337</v>
      </c>
      <c r="Y83">
        <f t="shared" si="8"/>
        <v>168.33147969411249</v>
      </c>
      <c r="Z83">
        <f t="shared" si="8"/>
        <v>169.44265269080239</v>
      </c>
      <c r="AA83">
        <f t="shared" si="8"/>
        <v>170.60979537451371</v>
      </c>
      <c r="AB83">
        <f t="shared" si="8"/>
        <v>171.7544958907574</v>
      </c>
    </row>
    <row r="84" spans="2:28" x14ac:dyDescent="0.25">
      <c r="B84" t="str">
        <f t="shared" ref="B84" si="9">"non-DC "&amp;B38</f>
        <v>non-DC Ventilation</v>
      </c>
      <c r="C84">
        <f t="shared" ref="C84:AB84" si="10">C38*C$53</f>
        <v>200.16678095025719</v>
      </c>
      <c r="D84">
        <f t="shared" si="10"/>
        <v>190.07097139813123</v>
      </c>
      <c r="E84">
        <f t="shared" si="10"/>
        <v>191.43429151642951</v>
      </c>
      <c r="F84">
        <f t="shared" si="10"/>
        <v>193.51386063349969</v>
      </c>
      <c r="G84">
        <f t="shared" si="10"/>
        <v>195.27888868910372</v>
      </c>
      <c r="H84">
        <f t="shared" si="10"/>
        <v>196.1981540243832</v>
      </c>
      <c r="I84">
        <f t="shared" si="10"/>
        <v>197.10886504602817</v>
      </c>
      <c r="J84">
        <f t="shared" si="10"/>
        <v>198.0361313372714</v>
      </c>
      <c r="K84">
        <f t="shared" si="10"/>
        <v>198.96952318767978</v>
      </c>
      <c r="L84">
        <f t="shared" si="10"/>
        <v>199.8448621809265</v>
      </c>
      <c r="M84">
        <f t="shared" si="10"/>
        <v>200.68990722245826</v>
      </c>
      <c r="N84">
        <f t="shared" si="10"/>
        <v>201.50779377462072</v>
      </c>
      <c r="O84">
        <f t="shared" si="10"/>
        <v>202.25914621902533</v>
      </c>
      <c r="P84">
        <f t="shared" si="10"/>
        <v>202.9895525835141</v>
      </c>
      <c r="Q84">
        <f t="shared" si="10"/>
        <v>203.6561947185929</v>
      </c>
      <c r="R84">
        <f t="shared" si="10"/>
        <v>204.31533667188631</v>
      </c>
      <c r="S84">
        <f t="shared" si="10"/>
        <v>205.05654629792855</v>
      </c>
      <c r="T84">
        <f t="shared" si="10"/>
        <v>205.73366437610198</v>
      </c>
      <c r="U84">
        <f t="shared" si="10"/>
        <v>206.45547874264915</v>
      </c>
      <c r="V84">
        <f t="shared" si="10"/>
        <v>207.17461204265553</v>
      </c>
      <c r="W84">
        <f t="shared" si="10"/>
        <v>207.84887833097051</v>
      </c>
      <c r="X84">
        <f t="shared" si="10"/>
        <v>208.45316522128675</v>
      </c>
      <c r="Y84">
        <f t="shared" si="10"/>
        <v>208.98928276234113</v>
      </c>
      <c r="Z84">
        <f t="shared" si="10"/>
        <v>209.47756221672293</v>
      </c>
      <c r="AA84">
        <f t="shared" si="10"/>
        <v>209.98299234845592</v>
      </c>
      <c r="AB84">
        <f t="shared" si="10"/>
        <v>210.43256715266375</v>
      </c>
    </row>
    <row r="85" spans="2:28" x14ac:dyDescent="0.25">
      <c r="B85" t="str">
        <f>"DC "&amp;B37</f>
        <v>DC Space Cooling</v>
      </c>
      <c r="C85" s="85">
        <f t="shared" ref="C85:AB85" si="11">C37*C50</f>
        <v>19.26908063656402</v>
      </c>
      <c r="D85" s="85">
        <f t="shared" si="11"/>
        <v>29.010989620038789</v>
      </c>
      <c r="E85" s="85">
        <f t="shared" si="11"/>
        <v>29.98544989015932</v>
      </c>
      <c r="F85" s="85">
        <f t="shared" si="11"/>
        <v>30.982777589615726</v>
      </c>
      <c r="G85" s="85">
        <f t="shared" si="11"/>
        <v>31.766939307557184</v>
      </c>
      <c r="H85" s="85">
        <f t="shared" si="11"/>
        <v>32.064685614287264</v>
      </c>
      <c r="I85" s="85">
        <f t="shared" si="11"/>
        <v>32.461855837680659</v>
      </c>
      <c r="J85" s="85">
        <f t="shared" si="11"/>
        <v>32.976340433966186</v>
      </c>
      <c r="K85" s="85">
        <f t="shared" si="11"/>
        <v>33.66856290267728</v>
      </c>
      <c r="L85" s="85">
        <f t="shared" si="11"/>
        <v>34.507866363367867</v>
      </c>
      <c r="M85" s="85">
        <f t="shared" si="11"/>
        <v>35.457090329305416</v>
      </c>
      <c r="N85" s="85">
        <f t="shared" si="11"/>
        <v>36.632401129451281</v>
      </c>
      <c r="O85" s="85">
        <f t="shared" si="11"/>
        <v>37.877441042504131</v>
      </c>
      <c r="P85" s="85">
        <f t="shared" si="11"/>
        <v>39.179996775131514</v>
      </c>
      <c r="Q85" s="85">
        <f t="shared" si="11"/>
        <v>40.520700819591582</v>
      </c>
      <c r="R85" s="85">
        <f t="shared" si="11"/>
        <v>41.912791116605149</v>
      </c>
      <c r="S85" s="85">
        <f t="shared" si="11"/>
        <v>43.366045060454788</v>
      </c>
      <c r="T85" s="85">
        <f t="shared" si="11"/>
        <v>44.925991809001559</v>
      </c>
      <c r="U85" s="85">
        <f t="shared" si="11"/>
        <v>46.583964037267599</v>
      </c>
      <c r="V85" s="85">
        <f t="shared" si="11"/>
        <v>48.313618701684661</v>
      </c>
      <c r="W85" s="85">
        <f t="shared" si="11"/>
        <v>50.142629889115135</v>
      </c>
      <c r="X85" s="85">
        <f t="shared" si="11"/>
        <v>51.93403235146635</v>
      </c>
      <c r="Y85" s="85">
        <f t="shared" si="11"/>
        <v>53.631413359887496</v>
      </c>
      <c r="Z85" s="85">
        <f t="shared" si="11"/>
        <v>55.33559566119763</v>
      </c>
      <c r="AA85" s="85">
        <f t="shared" si="11"/>
        <v>57.141780012486329</v>
      </c>
      <c r="AB85" s="85">
        <f t="shared" si="11"/>
        <v>58.97128578024261</v>
      </c>
    </row>
    <row r="86" spans="2:28" x14ac:dyDescent="0.25">
      <c r="B86" t="str">
        <f>"DC "&amp;B38</f>
        <v>DC Ventilation</v>
      </c>
      <c r="C86" s="85">
        <f t="shared" ref="C86:AB86" si="12">C38*C50</f>
        <v>26.262990106742826</v>
      </c>
      <c r="D86" s="85">
        <f t="shared" si="12"/>
        <v>37.971342324868793</v>
      </c>
      <c r="E86" s="85">
        <f t="shared" si="12"/>
        <v>39.2853354115705</v>
      </c>
      <c r="F86" s="85">
        <f t="shared" si="12"/>
        <v>40.644216050500305</v>
      </c>
      <c r="G86" s="85">
        <f t="shared" si="12"/>
        <v>41.713007521896316</v>
      </c>
      <c r="H86" s="85">
        <f t="shared" si="12"/>
        <v>42.033776359616837</v>
      </c>
      <c r="I86" s="85">
        <f t="shared" si="12"/>
        <v>42.458058402971872</v>
      </c>
      <c r="J86" s="85">
        <f t="shared" si="12"/>
        <v>43.021412249728634</v>
      </c>
      <c r="K86" s="85">
        <f t="shared" si="12"/>
        <v>43.826881838320254</v>
      </c>
      <c r="L86" s="85">
        <f t="shared" si="12"/>
        <v>44.801482741073521</v>
      </c>
      <c r="M86" s="85">
        <f t="shared" si="12"/>
        <v>45.91247364154178</v>
      </c>
      <c r="N86" s="85">
        <f t="shared" si="12"/>
        <v>47.302088245379302</v>
      </c>
      <c r="O86" s="85">
        <f t="shared" si="12"/>
        <v>48.765270948974731</v>
      </c>
      <c r="P86" s="85">
        <f t="shared" si="12"/>
        <v>50.294534514485932</v>
      </c>
      <c r="Q86" s="85">
        <f t="shared" si="12"/>
        <v>51.869098080407142</v>
      </c>
      <c r="R86" s="85">
        <f t="shared" si="12"/>
        <v>53.483694041113708</v>
      </c>
      <c r="S86" s="85">
        <f t="shared" si="12"/>
        <v>55.164229244071457</v>
      </c>
      <c r="T86" s="85">
        <f t="shared" si="12"/>
        <v>56.944025954898031</v>
      </c>
      <c r="U86" s="85">
        <f t="shared" si="12"/>
        <v>58.809548312350877</v>
      </c>
      <c r="V86" s="85">
        <f t="shared" si="12"/>
        <v>60.751315569344477</v>
      </c>
      <c r="W86" s="85">
        <f t="shared" si="12"/>
        <v>62.776050628029516</v>
      </c>
      <c r="X86" s="85">
        <f t="shared" si="12"/>
        <v>64.749721805713278</v>
      </c>
      <c r="Y86" s="85">
        <f t="shared" si="12"/>
        <v>66.585231900658854</v>
      </c>
      <c r="Z86" s="85">
        <f t="shared" si="12"/>
        <v>68.409963482277078</v>
      </c>
      <c r="AA86" s="85">
        <f t="shared" si="12"/>
        <v>70.328915926544113</v>
      </c>
      <c r="AB86" s="85">
        <f t="shared" si="12"/>
        <v>72.251261841336273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sheetPr>
  <dimension ref="A1"/>
  <sheetViews>
    <sheetView workbookViewId="0"/>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H67"/>
  <sheetViews>
    <sheetView zoomScale="55" zoomScaleNormal="55" workbookViewId="0">
      <selection activeCell="A47" sqref="A47"/>
    </sheetView>
  </sheetViews>
  <sheetFormatPr defaultRowHeight="15" x14ac:dyDescent="0.25"/>
  <cols>
    <col min="1" max="1" width="42.7109375" customWidth="1"/>
    <col min="2" max="2" width="50.85546875" customWidth="1"/>
    <col min="3" max="3" width="75.7109375" customWidth="1"/>
    <col min="4" max="4" width="48.140625" bestFit="1" customWidth="1"/>
    <col min="5" max="5" width="11.5703125" hidden="1" customWidth="1"/>
    <col min="6" max="6" width="19.140625" hidden="1" customWidth="1"/>
    <col min="7" max="7" width="27.28515625" hidden="1" customWidth="1"/>
    <col min="8" max="8" width="10.85546875" style="44" customWidth="1"/>
    <col min="9" max="34" width="10.85546875" customWidth="1"/>
  </cols>
  <sheetData>
    <row r="1" spans="1:34" x14ac:dyDescent="0.25">
      <c r="A1" s="1" t="s">
        <v>1370</v>
      </c>
      <c r="B1" s="54" t="s">
        <v>0</v>
      </c>
      <c r="C1" s="54" t="s">
        <v>1</v>
      </c>
      <c r="D1" s="54" t="s">
        <v>2</v>
      </c>
      <c r="E1" s="54" t="s">
        <v>1</v>
      </c>
      <c r="F1" s="54" t="s">
        <v>3</v>
      </c>
      <c r="G1" s="54" t="s">
        <v>4</v>
      </c>
      <c r="H1" s="55">
        <v>2024</v>
      </c>
      <c r="I1" s="54">
        <v>2025</v>
      </c>
      <c r="J1" s="54">
        <v>2026</v>
      </c>
      <c r="K1" s="54">
        <v>2027</v>
      </c>
      <c r="L1" s="54">
        <v>2028</v>
      </c>
      <c r="M1" s="54">
        <v>2029</v>
      </c>
      <c r="N1" s="54">
        <v>2030</v>
      </c>
      <c r="O1" s="54">
        <v>2031</v>
      </c>
      <c r="P1" s="54">
        <v>2032</v>
      </c>
      <c r="Q1" s="54">
        <v>2033</v>
      </c>
      <c r="R1" s="54">
        <v>2034</v>
      </c>
      <c r="S1" s="54">
        <v>2035</v>
      </c>
      <c r="T1" s="54">
        <v>2036</v>
      </c>
      <c r="U1" s="54">
        <v>2037</v>
      </c>
      <c r="V1" s="54">
        <v>2038</v>
      </c>
      <c r="W1" s="54">
        <v>2039</v>
      </c>
      <c r="X1" s="54">
        <v>2040</v>
      </c>
      <c r="Y1" s="54">
        <v>2041</v>
      </c>
      <c r="Z1" s="54">
        <v>2042</v>
      </c>
      <c r="AA1" s="54">
        <v>2043</v>
      </c>
      <c r="AB1" s="54">
        <v>2044</v>
      </c>
      <c r="AC1" s="54">
        <v>2045</v>
      </c>
      <c r="AD1" s="54">
        <v>2046</v>
      </c>
      <c r="AE1" s="54">
        <v>2047</v>
      </c>
      <c r="AF1" s="54">
        <v>2048</v>
      </c>
      <c r="AG1" s="54">
        <v>2049</v>
      </c>
      <c r="AH1" s="54">
        <v>2050</v>
      </c>
    </row>
    <row r="2" spans="1:34" x14ac:dyDescent="0.25">
      <c r="B2" s="45"/>
      <c r="C2" s="45" t="s">
        <v>5</v>
      </c>
      <c r="D2" s="45"/>
      <c r="E2" s="45"/>
      <c r="F2" s="45"/>
      <c r="G2" s="45"/>
      <c r="H2" s="46"/>
      <c r="I2" s="45"/>
      <c r="J2" s="45"/>
      <c r="K2" s="45"/>
      <c r="L2" s="45"/>
      <c r="M2" s="45"/>
      <c r="N2" s="45"/>
      <c r="O2" s="45"/>
      <c r="P2" s="45"/>
      <c r="Q2" s="45"/>
      <c r="R2" s="45"/>
      <c r="S2" s="45"/>
      <c r="T2" s="45"/>
      <c r="U2" s="45"/>
      <c r="V2" s="45"/>
      <c r="W2" s="45"/>
      <c r="X2" s="45"/>
      <c r="Y2" s="45"/>
      <c r="Z2" s="45"/>
      <c r="AA2" s="45"/>
      <c r="AB2" s="45"/>
      <c r="AC2" s="45"/>
      <c r="AD2" s="45"/>
      <c r="AE2" s="45"/>
      <c r="AF2" s="45"/>
      <c r="AG2" s="45"/>
      <c r="AH2" s="45"/>
    </row>
    <row r="3" spans="1:34" x14ac:dyDescent="0.25">
      <c r="B3" t="s">
        <v>6</v>
      </c>
      <c r="C3" t="s">
        <v>7</v>
      </c>
      <c r="D3" t="str">
        <f t="shared" ref="D3:D37" si="0">E3&amp;"-"&amp;F3&amp;"-"&amp;G3</f>
        <v>residential-heating-electricity (BTU)</v>
      </c>
      <c r="E3" t="s">
        <v>8</v>
      </c>
      <c r="F3" t="s">
        <v>9</v>
      </c>
      <c r="G3" s="1" t="s">
        <v>10</v>
      </c>
      <c r="H3" s="44">
        <f>INDEX(Table_4._Residential_Sector_Key!$F$8:$AG$125,MATCH($C3,Table_4._Residential_Sector_Key!$B$8:$B$125,0),MATCH(H$1,Table_4._Residential_Sector_Key!$F$5:$AG$5,0))</f>
        <v>0.528061</v>
      </c>
      <c r="I3">
        <f>INDEX('AEO 2026 Table 4'!$E$6:$AD$125,MATCH($B3,'AEO 2026 Table 4'!$B$6:$B$125,0),MATCH(I$1,'AEO 2026 Table 4'!$E$5:$AD$5,0))</f>
        <v>0.59498700000000004</v>
      </c>
      <c r="J3">
        <f>INDEX('AEO 2026 Table 4'!$E$6:$AD$125,MATCH($B3,'AEO 2026 Table 4'!$B$6:$B$125,0),MATCH(J$1,'AEO 2026 Table 4'!$E$5:$AD$5,0))</f>
        <v>0.56559099999999995</v>
      </c>
      <c r="K3">
        <f>INDEX('AEO 2026 Table 4'!$E$6:$AD$125,MATCH($B3,'AEO 2026 Table 4'!$B$6:$B$125,0),MATCH(K$1,'AEO 2026 Table 4'!$E$5:$AD$5,0))</f>
        <v>0.56616999999999995</v>
      </c>
      <c r="L3">
        <f>INDEX('AEO 2026 Table 4'!$E$6:$AD$125,MATCH($B3,'AEO 2026 Table 4'!$B$6:$B$125,0),MATCH(L$1,'AEO 2026 Table 4'!$E$5:$AD$5,0))</f>
        <v>0.56694999999999995</v>
      </c>
      <c r="M3">
        <f>INDEX('AEO 2026 Table 4'!$E$6:$AD$125,MATCH($B3,'AEO 2026 Table 4'!$B$6:$B$125,0),MATCH(M$1,'AEO 2026 Table 4'!$E$5:$AD$5,0))</f>
        <v>0.56581700000000001</v>
      </c>
      <c r="N3">
        <f>INDEX('AEO 2026 Table 4'!$E$6:$AD$125,MATCH($B3,'AEO 2026 Table 4'!$B$6:$B$125,0),MATCH(N$1,'AEO 2026 Table 4'!$E$5:$AD$5,0))</f>
        <v>0.56227499999999997</v>
      </c>
      <c r="O3">
        <f>INDEX('AEO 2026 Table 4'!$E$6:$AD$125,MATCH($B3,'AEO 2026 Table 4'!$B$6:$B$125,0),MATCH(O$1,'AEO 2026 Table 4'!$E$5:$AD$5,0))</f>
        <v>0.55764100000000005</v>
      </c>
      <c r="P3">
        <f>INDEX('AEO 2026 Table 4'!$E$6:$AD$125,MATCH($B3,'AEO 2026 Table 4'!$B$6:$B$125,0),MATCH(P$1,'AEO 2026 Table 4'!$E$5:$AD$5,0))</f>
        <v>0.55301900000000004</v>
      </c>
      <c r="Q3">
        <f>INDEX('AEO 2026 Table 4'!$E$6:$AD$125,MATCH($B3,'AEO 2026 Table 4'!$B$6:$B$125,0),MATCH(Q$1,'AEO 2026 Table 4'!$E$5:$AD$5,0))</f>
        <v>0.54866499999999996</v>
      </c>
      <c r="R3">
        <f>INDEX('AEO 2026 Table 4'!$E$6:$AD$125,MATCH($B3,'AEO 2026 Table 4'!$B$6:$B$125,0),MATCH(R$1,'AEO 2026 Table 4'!$E$5:$AD$5,0))</f>
        <v>0.54410099999999995</v>
      </c>
      <c r="S3">
        <f>INDEX('AEO 2026 Table 4'!$E$6:$AD$125,MATCH($B3,'AEO 2026 Table 4'!$B$6:$B$125,0),MATCH(S$1,'AEO 2026 Table 4'!$E$5:$AD$5,0))</f>
        <v>0.53962699999999997</v>
      </c>
      <c r="T3">
        <f>INDEX('AEO 2026 Table 4'!$E$6:$AD$125,MATCH($B3,'AEO 2026 Table 4'!$B$6:$B$125,0),MATCH(T$1,'AEO 2026 Table 4'!$E$5:$AD$5,0))</f>
        <v>0.53538300000000005</v>
      </c>
      <c r="U3">
        <f>INDEX('AEO 2026 Table 4'!$E$6:$AD$125,MATCH($B3,'AEO 2026 Table 4'!$B$6:$B$125,0),MATCH(U$1,'AEO 2026 Table 4'!$E$5:$AD$5,0))</f>
        <v>0.53084900000000002</v>
      </c>
      <c r="V3">
        <f>INDEX('AEO 2026 Table 4'!$E$6:$AD$125,MATCH($B3,'AEO 2026 Table 4'!$B$6:$B$125,0),MATCH(V$1,'AEO 2026 Table 4'!$E$5:$AD$5,0))</f>
        <v>0.52652699999999997</v>
      </c>
      <c r="W3">
        <f>INDEX('AEO 2026 Table 4'!$E$6:$AD$125,MATCH($B3,'AEO 2026 Table 4'!$B$6:$B$125,0),MATCH(W$1,'AEO 2026 Table 4'!$E$5:$AD$5,0))</f>
        <v>0.52204499999999998</v>
      </c>
      <c r="X3">
        <f>INDEX('AEO 2026 Table 4'!$E$6:$AD$125,MATCH($B3,'AEO 2026 Table 4'!$B$6:$B$125,0),MATCH(X$1,'AEO 2026 Table 4'!$E$5:$AD$5,0))</f>
        <v>0.517517</v>
      </c>
      <c r="Y3">
        <f>INDEX('AEO 2026 Table 4'!$E$6:$AD$125,MATCH($B3,'AEO 2026 Table 4'!$B$6:$B$125,0),MATCH(Y$1,'AEO 2026 Table 4'!$E$5:$AD$5,0))</f>
        <v>0.51278199999999996</v>
      </c>
      <c r="Z3">
        <f>INDEX('AEO 2026 Table 4'!$E$6:$AD$125,MATCH($B3,'AEO 2026 Table 4'!$B$6:$B$125,0),MATCH(Z$1,'AEO 2026 Table 4'!$E$5:$AD$5,0))</f>
        <v>0.50850700000000004</v>
      </c>
      <c r="AA3">
        <f>INDEX('AEO 2026 Table 4'!$E$6:$AD$125,MATCH($B3,'AEO 2026 Table 4'!$B$6:$B$125,0),MATCH(AA$1,'AEO 2026 Table 4'!$E$5:$AD$5,0))</f>
        <v>0.50438799999999995</v>
      </c>
      <c r="AB3">
        <f>INDEX('AEO 2026 Table 4'!$E$6:$AD$125,MATCH($B3,'AEO 2026 Table 4'!$B$6:$B$125,0),MATCH(AB$1,'AEO 2026 Table 4'!$E$5:$AD$5,0))</f>
        <v>0.50002599999999997</v>
      </c>
      <c r="AC3">
        <f>INDEX('AEO 2026 Table 4'!$E$6:$AD$125,MATCH($B3,'AEO 2026 Table 4'!$B$6:$B$125,0),MATCH(AC$1,'AEO 2026 Table 4'!$E$5:$AD$5,0))</f>
        <v>0.49595899999999998</v>
      </c>
      <c r="AD3">
        <f>INDEX('AEO 2026 Table 4'!$E$6:$AD$125,MATCH($B3,'AEO 2026 Table 4'!$B$6:$B$125,0),MATCH(AD$1,'AEO 2026 Table 4'!$E$5:$AD$5,0))</f>
        <v>0.491539</v>
      </c>
      <c r="AE3">
        <f>INDEX('AEO 2026 Table 4'!$E$6:$AD$125,MATCH($B3,'AEO 2026 Table 4'!$B$6:$B$125,0),MATCH(AE$1,'AEO 2026 Table 4'!$E$5:$AD$5,0))</f>
        <v>0.48665999999999998</v>
      </c>
      <c r="AF3">
        <f>INDEX('AEO 2026 Table 4'!$E$6:$AD$125,MATCH($B3,'AEO 2026 Table 4'!$B$6:$B$125,0),MATCH(AF$1,'AEO 2026 Table 4'!$E$5:$AD$5,0))</f>
        <v>0.48183100000000001</v>
      </c>
      <c r="AG3">
        <f>INDEX('AEO 2026 Table 4'!$E$6:$AD$125,MATCH($B3,'AEO 2026 Table 4'!$B$6:$B$125,0),MATCH(AG$1,'AEO 2026 Table 4'!$E$5:$AD$5,0))</f>
        <v>0.47719299999999998</v>
      </c>
      <c r="AH3">
        <f>INDEX('AEO 2026 Table 4'!$E$6:$AD$125,MATCH($B3,'AEO 2026 Table 4'!$B$6:$B$125,0),MATCH(AH$1,'AEO 2026 Table 4'!$E$5:$AD$5,0))</f>
        <v>0.47245900000000002</v>
      </c>
    </row>
    <row r="4" spans="1:34" x14ac:dyDescent="0.25">
      <c r="B4" t="s">
        <v>11</v>
      </c>
      <c r="C4" t="s">
        <v>12</v>
      </c>
      <c r="D4" t="str">
        <f t="shared" si="0"/>
        <v>residential-cooling-electricity (BTU)</v>
      </c>
      <c r="E4" t="s">
        <v>8</v>
      </c>
      <c r="F4" t="s">
        <v>13</v>
      </c>
      <c r="G4" s="1" t="s">
        <v>10</v>
      </c>
      <c r="H4" s="44">
        <f>INDEX(Table_4._Residential_Sector_Key!$F$8:$AG$125,MATCH($C4,Table_4._Residential_Sector_Key!$B$8:$B$125,0),MATCH(H$1,Table_4._Residential_Sector_Key!$F$5:$AG$5,0))</f>
        <v>0.997081</v>
      </c>
      <c r="I4">
        <f>INDEX('AEO 2026 Table 4'!$E$6:$AD$125,MATCH($B4,'AEO 2026 Table 4'!$B$6:$B$125,0),MATCH(I$1,'AEO 2026 Table 4'!$E$5:$AD$5,0))</f>
        <v>0.92457400000000001</v>
      </c>
      <c r="J4">
        <f>INDEX('AEO 2026 Table 4'!$E$6:$AD$125,MATCH($B4,'AEO 2026 Table 4'!$B$6:$B$125,0),MATCH(J$1,'AEO 2026 Table 4'!$E$5:$AD$5,0))</f>
        <v>0.98388600000000004</v>
      </c>
      <c r="K4">
        <f>INDEX('AEO 2026 Table 4'!$E$6:$AD$125,MATCH($B4,'AEO 2026 Table 4'!$B$6:$B$125,0),MATCH(K$1,'AEO 2026 Table 4'!$E$5:$AD$5,0))</f>
        <v>0.99778199999999995</v>
      </c>
      <c r="L4">
        <f>INDEX('AEO 2026 Table 4'!$E$6:$AD$125,MATCH($B4,'AEO 2026 Table 4'!$B$6:$B$125,0),MATCH(L$1,'AEO 2026 Table 4'!$E$5:$AD$5,0))</f>
        <v>1.011565</v>
      </c>
      <c r="M4">
        <f>INDEX('AEO 2026 Table 4'!$E$6:$AD$125,MATCH($B4,'AEO 2026 Table 4'!$B$6:$B$125,0),MATCH(M$1,'AEO 2026 Table 4'!$E$5:$AD$5,0))</f>
        <v>1.022745</v>
      </c>
      <c r="N4">
        <f>INDEX('AEO 2026 Table 4'!$E$6:$AD$125,MATCH($B4,'AEO 2026 Table 4'!$B$6:$B$125,0),MATCH(N$1,'AEO 2026 Table 4'!$E$5:$AD$5,0))</f>
        <v>1.0299940000000001</v>
      </c>
      <c r="O4">
        <f>INDEX('AEO 2026 Table 4'!$E$6:$AD$125,MATCH($B4,'AEO 2026 Table 4'!$B$6:$B$125,0),MATCH(O$1,'AEO 2026 Table 4'!$E$5:$AD$5,0))</f>
        <v>1.0365949999999999</v>
      </c>
      <c r="P4">
        <f>INDEX('AEO 2026 Table 4'!$E$6:$AD$125,MATCH($B4,'AEO 2026 Table 4'!$B$6:$B$125,0),MATCH(P$1,'AEO 2026 Table 4'!$E$5:$AD$5,0))</f>
        <v>1.0441309999999999</v>
      </c>
      <c r="Q4">
        <f>INDEX('AEO 2026 Table 4'!$E$6:$AD$125,MATCH($B4,'AEO 2026 Table 4'!$B$6:$B$125,0),MATCH(Q$1,'AEO 2026 Table 4'!$E$5:$AD$5,0))</f>
        <v>1.052389</v>
      </c>
      <c r="R4">
        <f>INDEX('AEO 2026 Table 4'!$E$6:$AD$125,MATCH($B4,'AEO 2026 Table 4'!$B$6:$B$125,0),MATCH(R$1,'AEO 2026 Table 4'!$E$5:$AD$5,0))</f>
        <v>1.0619890000000001</v>
      </c>
      <c r="S4">
        <f>INDEX('AEO 2026 Table 4'!$E$6:$AD$125,MATCH($B4,'AEO 2026 Table 4'!$B$6:$B$125,0),MATCH(S$1,'AEO 2026 Table 4'!$E$5:$AD$5,0))</f>
        <v>1.0725720000000001</v>
      </c>
      <c r="T4">
        <f>INDEX('AEO 2026 Table 4'!$E$6:$AD$125,MATCH($B4,'AEO 2026 Table 4'!$B$6:$B$125,0),MATCH(T$1,'AEO 2026 Table 4'!$E$5:$AD$5,0))</f>
        <v>1.0844020000000001</v>
      </c>
      <c r="U4">
        <f>INDEX('AEO 2026 Table 4'!$E$6:$AD$125,MATCH($B4,'AEO 2026 Table 4'!$B$6:$B$125,0),MATCH(U$1,'AEO 2026 Table 4'!$E$5:$AD$5,0))</f>
        <v>1.097</v>
      </c>
      <c r="V4">
        <f>INDEX('AEO 2026 Table 4'!$E$6:$AD$125,MATCH($B4,'AEO 2026 Table 4'!$B$6:$B$125,0),MATCH(V$1,'AEO 2026 Table 4'!$E$5:$AD$5,0))</f>
        <v>1.11012</v>
      </c>
      <c r="W4">
        <f>INDEX('AEO 2026 Table 4'!$E$6:$AD$125,MATCH($B4,'AEO 2026 Table 4'!$B$6:$B$125,0),MATCH(W$1,'AEO 2026 Table 4'!$E$5:$AD$5,0))</f>
        <v>1.1235949999999999</v>
      </c>
      <c r="X4">
        <f>INDEX('AEO 2026 Table 4'!$E$6:$AD$125,MATCH($B4,'AEO 2026 Table 4'!$B$6:$B$125,0),MATCH(X$1,'AEO 2026 Table 4'!$E$5:$AD$5,0))</f>
        <v>1.137956</v>
      </c>
      <c r="Y4">
        <f>INDEX('AEO 2026 Table 4'!$E$6:$AD$125,MATCH($B4,'AEO 2026 Table 4'!$B$6:$B$125,0),MATCH(Y$1,'AEO 2026 Table 4'!$E$5:$AD$5,0))</f>
        <v>1.1531389999999999</v>
      </c>
      <c r="Z4">
        <f>INDEX('AEO 2026 Table 4'!$E$6:$AD$125,MATCH($B4,'AEO 2026 Table 4'!$B$6:$B$125,0),MATCH(Z$1,'AEO 2026 Table 4'!$E$5:$AD$5,0))</f>
        <v>1.170164</v>
      </c>
      <c r="AA4">
        <f>INDEX('AEO 2026 Table 4'!$E$6:$AD$125,MATCH($B4,'AEO 2026 Table 4'!$B$6:$B$125,0),MATCH(AA$1,'AEO 2026 Table 4'!$E$5:$AD$5,0))</f>
        <v>1.1882740000000001</v>
      </c>
      <c r="AB4">
        <f>INDEX('AEO 2026 Table 4'!$E$6:$AD$125,MATCH($B4,'AEO 2026 Table 4'!$B$6:$B$125,0),MATCH(AB$1,'AEO 2026 Table 4'!$E$5:$AD$5,0))</f>
        <v>1.2064520000000001</v>
      </c>
      <c r="AC4">
        <f>INDEX('AEO 2026 Table 4'!$E$6:$AD$125,MATCH($B4,'AEO 2026 Table 4'!$B$6:$B$125,0),MATCH(AC$1,'AEO 2026 Table 4'!$E$5:$AD$5,0))</f>
        <v>1.2252769999999999</v>
      </c>
      <c r="AD4">
        <f>INDEX('AEO 2026 Table 4'!$E$6:$AD$125,MATCH($B4,'AEO 2026 Table 4'!$B$6:$B$125,0),MATCH(AD$1,'AEO 2026 Table 4'!$E$5:$AD$5,0))</f>
        <v>1.2431110000000001</v>
      </c>
      <c r="AE4">
        <f>INDEX('AEO 2026 Table 4'!$E$6:$AD$125,MATCH($B4,'AEO 2026 Table 4'!$B$6:$B$125,0),MATCH(AE$1,'AEO 2026 Table 4'!$E$5:$AD$5,0))</f>
        <v>1.260267</v>
      </c>
      <c r="AF4">
        <f>INDEX('AEO 2026 Table 4'!$E$6:$AD$125,MATCH($B4,'AEO 2026 Table 4'!$B$6:$B$125,0),MATCH(AF$1,'AEO 2026 Table 4'!$E$5:$AD$5,0))</f>
        <v>1.276902</v>
      </c>
      <c r="AG4">
        <f>INDEX('AEO 2026 Table 4'!$E$6:$AD$125,MATCH($B4,'AEO 2026 Table 4'!$B$6:$B$125,0),MATCH(AG$1,'AEO 2026 Table 4'!$E$5:$AD$5,0))</f>
        <v>1.2942579999999999</v>
      </c>
      <c r="AH4">
        <f>INDEX('AEO 2026 Table 4'!$E$6:$AD$125,MATCH($B4,'AEO 2026 Table 4'!$B$6:$B$125,0),MATCH(AH$1,'AEO 2026 Table 4'!$E$5:$AD$5,0))</f>
        <v>1.31138</v>
      </c>
    </row>
    <row r="5" spans="1:34" x14ac:dyDescent="0.25">
      <c r="B5" t="s">
        <v>14</v>
      </c>
      <c r="C5" t="s">
        <v>15</v>
      </c>
      <c r="D5" t="str">
        <f t="shared" si="0"/>
        <v>residential-appliances-electricity (BTU)</v>
      </c>
      <c r="E5" t="s">
        <v>8</v>
      </c>
      <c r="F5" t="s">
        <v>16</v>
      </c>
      <c r="G5" s="1" t="s">
        <v>10</v>
      </c>
      <c r="H5" s="44">
        <f>INDEX(Table_4._Residential_Sector_Key!$F$8:$AG$125,MATCH($C5,Table_4._Residential_Sector_Key!$B$8:$B$125,0),MATCH(H$1,Table_4._Residential_Sector_Key!$F$5:$AG$5,0))</f>
        <v>0.47269299999999997</v>
      </c>
      <c r="I5">
        <f>INDEX('AEO 2026 Table 4'!$E$6:$AD$125,MATCH($B5,'AEO 2026 Table 4'!$B$6:$B$125,0),MATCH(I$1,'AEO 2026 Table 4'!$E$5:$AD$5,0))</f>
        <v>0.45252900000000001</v>
      </c>
      <c r="J5">
        <f>INDEX('AEO 2026 Table 4'!$E$6:$AD$125,MATCH($B5,'AEO 2026 Table 4'!$B$6:$B$125,0),MATCH(J$1,'AEO 2026 Table 4'!$E$5:$AD$5,0))</f>
        <v>0.44482899999999997</v>
      </c>
      <c r="K5">
        <f>INDEX('AEO 2026 Table 4'!$E$6:$AD$125,MATCH($B5,'AEO 2026 Table 4'!$B$6:$B$125,0),MATCH(K$1,'AEO 2026 Table 4'!$E$5:$AD$5,0))</f>
        <v>0.43924099999999999</v>
      </c>
      <c r="L5">
        <f>INDEX('AEO 2026 Table 4'!$E$6:$AD$125,MATCH($B5,'AEO 2026 Table 4'!$B$6:$B$125,0),MATCH(L$1,'AEO 2026 Table 4'!$E$5:$AD$5,0))</f>
        <v>0.43466900000000003</v>
      </c>
      <c r="M5">
        <f>INDEX('AEO 2026 Table 4'!$E$6:$AD$125,MATCH($B5,'AEO 2026 Table 4'!$B$6:$B$125,0),MATCH(M$1,'AEO 2026 Table 4'!$E$5:$AD$5,0))</f>
        <v>0.417931</v>
      </c>
      <c r="N5">
        <f>INDEX('AEO 2026 Table 4'!$E$6:$AD$125,MATCH($B5,'AEO 2026 Table 4'!$B$6:$B$125,0),MATCH(N$1,'AEO 2026 Table 4'!$E$5:$AD$5,0))</f>
        <v>0.39681300000000003</v>
      </c>
      <c r="O5">
        <f>INDEX('AEO 2026 Table 4'!$E$6:$AD$125,MATCH($B5,'AEO 2026 Table 4'!$B$6:$B$125,0),MATCH(O$1,'AEO 2026 Table 4'!$E$5:$AD$5,0))</f>
        <v>0.37454999999999999</v>
      </c>
      <c r="P5">
        <f>INDEX('AEO 2026 Table 4'!$E$6:$AD$125,MATCH($B5,'AEO 2026 Table 4'!$B$6:$B$125,0),MATCH(P$1,'AEO 2026 Table 4'!$E$5:$AD$5,0))</f>
        <v>0.35388900000000001</v>
      </c>
      <c r="Q5">
        <f>INDEX('AEO 2026 Table 4'!$E$6:$AD$125,MATCH($B5,'AEO 2026 Table 4'!$B$6:$B$125,0),MATCH(Q$1,'AEO 2026 Table 4'!$E$5:$AD$5,0))</f>
        <v>0.33485900000000002</v>
      </c>
      <c r="R5">
        <f>INDEX('AEO 2026 Table 4'!$E$6:$AD$125,MATCH($B5,'AEO 2026 Table 4'!$B$6:$B$125,0),MATCH(R$1,'AEO 2026 Table 4'!$E$5:$AD$5,0))</f>
        <v>0.31755</v>
      </c>
      <c r="S5">
        <f>INDEX('AEO 2026 Table 4'!$E$6:$AD$125,MATCH($B5,'AEO 2026 Table 4'!$B$6:$B$125,0),MATCH(S$1,'AEO 2026 Table 4'!$E$5:$AD$5,0))</f>
        <v>0.30188599999999999</v>
      </c>
      <c r="T5">
        <f>INDEX('AEO 2026 Table 4'!$E$6:$AD$125,MATCH($B5,'AEO 2026 Table 4'!$B$6:$B$125,0),MATCH(T$1,'AEO 2026 Table 4'!$E$5:$AD$5,0))</f>
        <v>0.28806700000000002</v>
      </c>
      <c r="U5">
        <f>INDEX('AEO 2026 Table 4'!$E$6:$AD$125,MATCH($B5,'AEO 2026 Table 4'!$B$6:$B$125,0),MATCH(U$1,'AEO 2026 Table 4'!$E$5:$AD$5,0))</f>
        <v>0.27600799999999998</v>
      </c>
      <c r="V5">
        <f>INDEX('AEO 2026 Table 4'!$E$6:$AD$125,MATCH($B5,'AEO 2026 Table 4'!$B$6:$B$125,0),MATCH(V$1,'AEO 2026 Table 4'!$E$5:$AD$5,0))</f>
        <v>0.26572600000000002</v>
      </c>
      <c r="W5">
        <f>INDEX('AEO 2026 Table 4'!$E$6:$AD$125,MATCH($B5,'AEO 2026 Table 4'!$B$6:$B$125,0),MATCH(W$1,'AEO 2026 Table 4'!$E$5:$AD$5,0))</f>
        <v>0.25716800000000001</v>
      </c>
      <c r="X5">
        <f>INDEX('AEO 2026 Table 4'!$E$6:$AD$125,MATCH($B5,'AEO 2026 Table 4'!$B$6:$B$125,0),MATCH(X$1,'AEO 2026 Table 4'!$E$5:$AD$5,0))</f>
        <v>0.25033499999999997</v>
      </c>
      <c r="Y5">
        <f>INDEX('AEO 2026 Table 4'!$E$6:$AD$125,MATCH($B5,'AEO 2026 Table 4'!$B$6:$B$125,0),MATCH(Y$1,'AEO 2026 Table 4'!$E$5:$AD$5,0))</f>
        <v>0.24518000000000001</v>
      </c>
      <c r="Z5">
        <f>INDEX('AEO 2026 Table 4'!$E$6:$AD$125,MATCH($B5,'AEO 2026 Table 4'!$B$6:$B$125,0),MATCH(Z$1,'AEO 2026 Table 4'!$E$5:$AD$5,0))</f>
        <v>0.24182999999999999</v>
      </c>
      <c r="AA5">
        <f>INDEX('AEO 2026 Table 4'!$E$6:$AD$125,MATCH($B5,'AEO 2026 Table 4'!$B$6:$B$125,0),MATCH(AA$1,'AEO 2026 Table 4'!$E$5:$AD$5,0))</f>
        <v>0.240263</v>
      </c>
      <c r="AB5">
        <f>INDEX('AEO 2026 Table 4'!$E$6:$AD$125,MATCH($B5,'AEO 2026 Table 4'!$B$6:$B$125,0),MATCH(AB$1,'AEO 2026 Table 4'!$E$5:$AD$5,0))</f>
        <v>0.238624</v>
      </c>
      <c r="AC5">
        <f>INDEX('AEO 2026 Table 4'!$E$6:$AD$125,MATCH($B5,'AEO 2026 Table 4'!$B$6:$B$125,0),MATCH(AC$1,'AEO 2026 Table 4'!$E$5:$AD$5,0))</f>
        <v>0.236984</v>
      </c>
      <c r="AD5">
        <f>INDEX('AEO 2026 Table 4'!$E$6:$AD$125,MATCH($B5,'AEO 2026 Table 4'!$B$6:$B$125,0),MATCH(AD$1,'AEO 2026 Table 4'!$E$5:$AD$5,0))</f>
        <v>0.23524200000000001</v>
      </c>
      <c r="AE5">
        <f>INDEX('AEO 2026 Table 4'!$E$6:$AD$125,MATCH($B5,'AEO 2026 Table 4'!$B$6:$B$125,0),MATCH(AE$1,'AEO 2026 Table 4'!$E$5:$AD$5,0))</f>
        <v>0.233407</v>
      </c>
      <c r="AF5">
        <f>INDEX('AEO 2026 Table 4'!$E$6:$AD$125,MATCH($B5,'AEO 2026 Table 4'!$B$6:$B$125,0),MATCH(AF$1,'AEO 2026 Table 4'!$E$5:$AD$5,0))</f>
        <v>0.23158000000000001</v>
      </c>
      <c r="AG5">
        <f>INDEX('AEO 2026 Table 4'!$E$6:$AD$125,MATCH($B5,'AEO 2026 Table 4'!$B$6:$B$125,0),MATCH(AG$1,'AEO 2026 Table 4'!$E$5:$AD$5,0))</f>
        <v>0.22998099999999999</v>
      </c>
      <c r="AH5">
        <f>INDEX('AEO 2026 Table 4'!$E$6:$AD$125,MATCH($B5,'AEO 2026 Table 4'!$B$6:$B$125,0),MATCH(AH$1,'AEO 2026 Table 4'!$E$5:$AD$5,0))</f>
        <v>0.22855800000000001</v>
      </c>
    </row>
    <row r="6" spans="1:34" x14ac:dyDescent="0.25">
      <c r="B6" t="s">
        <v>17</v>
      </c>
      <c r="C6" t="s">
        <v>18</v>
      </c>
      <c r="D6" t="str">
        <f t="shared" si="0"/>
        <v>residential-appliances-electricity (BTU)</v>
      </c>
      <c r="E6" t="s">
        <v>8</v>
      </c>
      <c r="F6" t="s">
        <v>16</v>
      </c>
      <c r="G6" s="1" t="s">
        <v>10</v>
      </c>
      <c r="H6" s="44">
        <f>INDEX(Table_4._Residential_Sector_Key!$F$8:$AG$125,MATCH($C6,Table_4._Residential_Sector_Key!$B$8:$B$125,0),MATCH(H$1,Table_4._Residential_Sector_Key!$F$5:$AG$5,0))</f>
        <v>0.35147899999999999</v>
      </c>
      <c r="I6">
        <f>INDEX('AEO 2026 Table 4'!$E$6:$AD$125,MATCH($B6,'AEO 2026 Table 4'!$B$6:$B$125,0),MATCH(I$1,'AEO 2026 Table 4'!$E$5:$AD$5,0))</f>
        <v>0.34956300000000001</v>
      </c>
      <c r="J6">
        <f>INDEX('AEO 2026 Table 4'!$E$6:$AD$125,MATCH($B6,'AEO 2026 Table 4'!$B$6:$B$125,0),MATCH(J$1,'AEO 2026 Table 4'!$E$5:$AD$5,0))</f>
        <v>0.34852699999999998</v>
      </c>
      <c r="K6">
        <f>INDEX('AEO 2026 Table 4'!$E$6:$AD$125,MATCH($B6,'AEO 2026 Table 4'!$B$6:$B$125,0),MATCH(K$1,'AEO 2026 Table 4'!$E$5:$AD$5,0))</f>
        <v>0.34743299999999999</v>
      </c>
      <c r="L6">
        <f>INDEX('AEO 2026 Table 4'!$E$6:$AD$125,MATCH($B6,'AEO 2026 Table 4'!$B$6:$B$125,0),MATCH(L$1,'AEO 2026 Table 4'!$E$5:$AD$5,0))</f>
        <v>0.34620899999999999</v>
      </c>
      <c r="M6">
        <f>INDEX('AEO 2026 Table 4'!$E$6:$AD$125,MATCH($B6,'AEO 2026 Table 4'!$B$6:$B$125,0),MATCH(M$1,'AEO 2026 Table 4'!$E$5:$AD$5,0))</f>
        <v>0.34525899999999998</v>
      </c>
      <c r="N6">
        <f>INDEX('AEO 2026 Table 4'!$E$6:$AD$125,MATCH($B6,'AEO 2026 Table 4'!$B$6:$B$125,0),MATCH(N$1,'AEO 2026 Table 4'!$E$5:$AD$5,0))</f>
        <v>0.34202399999999999</v>
      </c>
      <c r="O6">
        <f>INDEX('AEO 2026 Table 4'!$E$6:$AD$125,MATCH($B6,'AEO 2026 Table 4'!$B$6:$B$125,0),MATCH(O$1,'AEO 2026 Table 4'!$E$5:$AD$5,0))</f>
        <v>0.33903</v>
      </c>
      <c r="P6">
        <f>INDEX('AEO 2026 Table 4'!$E$6:$AD$125,MATCH($B6,'AEO 2026 Table 4'!$B$6:$B$125,0),MATCH(P$1,'AEO 2026 Table 4'!$E$5:$AD$5,0))</f>
        <v>0.33630399999999999</v>
      </c>
      <c r="Q6">
        <f>INDEX('AEO 2026 Table 4'!$E$6:$AD$125,MATCH($B6,'AEO 2026 Table 4'!$B$6:$B$125,0),MATCH(Q$1,'AEO 2026 Table 4'!$E$5:$AD$5,0))</f>
        <v>0.33379900000000001</v>
      </c>
      <c r="R6">
        <f>INDEX('AEO 2026 Table 4'!$E$6:$AD$125,MATCH($B6,'AEO 2026 Table 4'!$B$6:$B$125,0),MATCH(R$1,'AEO 2026 Table 4'!$E$5:$AD$5,0))</f>
        <v>0.33146799999999998</v>
      </c>
      <c r="S6">
        <f>INDEX('AEO 2026 Table 4'!$E$6:$AD$125,MATCH($B6,'AEO 2026 Table 4'!$B$6:$B$125,0),MATCH(S$1,'AEO 2026 Table 4'!$E$5:$AD$5,0))</f>
        <v>0.32936599999999999</v>
      </c>
      <c r="T6">
        <f>INDEX('AEO 2026 Table 4'!$E$6:$AD$125,MATCH($B6,'AEO 2026 Table 4'!$B$6:$B$125,0),MATCH(T$1,'AEO 2026 Table 4'!$E$5:$AD$5,0))</f>
        <v>0.32765300000000003</v>
      </c>
      <c r="U6">
        <f>INDEX('AEO 2026 Table 4'!$E$6:$AD$125,MATCH($B6,'AEO 2026 Table 4'!$B$6:$B$125,0),MATCH(U$1,'AEO 2026 Table 4'!$E$5:$AD$5,0))</f>
        <v>0.32634299999999999</v>
      </c>
      <c r="V6">
        <f>INDEX('AEO 2026 Table 4'!$E$6:$AD$125,MATCH($B6,'AEO 2026 Table 4'!$B$6:$B$125,0),MATCH(V$1,'AEO 2026 Table 4'!$E$5:$AD$5,0))</f>
        <v>0.325461</v>
      </c>
      <c r="W6">
        <f>INDEX('AEO 2026 Table 4'!$E$6:$AD$125,MATCH($B6,'AEO 2026 Table 4'!$B$6:$B$125,0),MATCH(W$1,'AEO 2026 Table 4'!$E$5:$AD$5,0))</f>
        <v>0.32499</v>
      </c>
      <c r="X6">
        <f>INDEX('AEO 2026 Table 4'!$E$6:$AD$125,MATCH($B6,'AEO 2026 Table 4'!$B$6:$B$125,0),MATCH(X$1,'AEO 2026 Table 4'!$E$5:$AD$5,0))</f>
        <v>0.324938</v>
      </c>
      <c r="Y6">
        <f>INDEX('AEO 2026 Table 4'!$E$6:$AD$125,MATCH($B6,'AEO 2026 Table 4'!$B$6:$B$125,0),MATCH(Y$1,'AEO 2026 Table 4'!$E$5:$AD$5,0))</f>
        <v>0.32529400000000003</v>
      </c>
      <c r="Z6">
        <f>INDEX('AEO 2026 Table 4'!$E$6:$AD$125,MATCH($B6,'AEO 2026 Table 4'!$B$6:$B$125,0),MATCH(Z$1,'AEO 2026 Table 4'!$E$5:$AD$5,0))</f>
        <v>0.32607199999999997</v>
      </c>
      <c r="AA6">
        <f>INDEX('AEO 2026 Table 4'!$E$6:$AD$125,MATCH($B6,'AEO 2026 Table 4'!$B$6:$B$125,0),MATCH(AA$1,'AEO 2026 Table 4'!$E$5:$AD$5,0))</f>
        <v>0.32728099999999999</v>
      </c>
      <c r="AB6">
        <f>INDEX('AEO 2026 Table 4'!$E$6:$AD$125,MATCH($B6,'AEO 2026 Table 4'!$B$6:$B$125,0),MATCH(AB$1,'AEO 2026 Table 4'!$E$5:$AD$5,0))</f>
        <v>0.32891300000000001</v>
      </c>
      <c r="AC6">
        <f>INDEX('AEO 2026 Table 4'!$E$6:$AD$125,MATCH($B6,'AEO 2026 Table 4'!$B$6:$B$125,0),MATCH(AC$1,'AEO 2026 Table 4'!$E$5:$AD$5,0))</f>
        <v>0.33105000000000001</v>
      </c>
      <c r="AD6">
        <f>INDEX('AEO 2026 Table 4'!$E$6:$AD$125,MATCH($B6,'AEO 2026 Table 4'!$B$6:$B$125,0),MATCH(AD$1,'AEO 2026 Table 4'!$E$5:$AD$5,0))</f>
        <v>0.33371400000000001</v>
      </c>
      <c r="AE6">
        <f>INDEX('AEO 2026 Table 4'!$E$6:$AD$125,MATCH($B6,'AEO 2026 Table 4'!$B$6:$B$125,0),MATCH(AE$1,'AEO 2026 Table 4'!$E$5:$AD$5,0))</f>
        <v>0.33686500000000003</v>
      </c>
      <c r="AF6">
        <f>INDEX('AEO 2026 Table 4'!$E$6:$AD$125,MATCH($B6,'AEO 2026 Table 4'!$B$6:$B$125,0),MATCH(AF$1,'AEO 2026 Table 4'!$E$5:$AD$5,0))</f>
        <v>0.34000599999999997</v>
      </c>
      <c r="AG6">
        <f>INDEX('AEO 2026 Table 4'!$E$6:$AD$125,MATCH($B6,'AEO 2026 Table 4'!$B$6:$B$125,0),MATCH(AG$1,'AEO 2026 Table 4'!$E$5:$AD$5,0))</f>
        <v>0.34312900000000002</v>
      </c>
      <c r="AH6">
        <f>INDEX('AEO 2026 Table 4'!$E$6:$AD$125,MATCH($B6,'AEO 2026 Table 4'!$B$6:$B$125,0),MATCH(AH$1,'AEO 2026 Table 4'!$E$5:$AD$5,0))</f>
        <v>0.34622900000000001</v>
      </c>
    </row>
    <row r="7" spans="1:34" x14ac:dyDescent="0.25">
      <c r="B7" t="s">
        <v>19</v>
      </c>
      <c r="C7" t="s">
        <v>20</v>
      </c>
      <c r="D7" t="str">
        <f t="shared" si="0"/>
        <v>residential-appliances-electricity (BTU)</v>
      </c>
      <c r="E7" t="s">
        <v>8</v>
      </c>
      <c r="F7" t="s">
        <v>16</v>
      </c>
      <c r="G7" s="1" t="s">
        <v>10</v>
      </c>
      <c r="H7" s="44">
        <f>INDEX(Table_4._Residential_Sector_Key!$F$8:$AG$125,MATCH($C7,Table_4._Residential_Sector_Key!$B$8:$B$125,0),MATCH(H$1,Table_4._Residential_Sector_Key!$F$5:$AG$5,0))</f>
        <v>6.7363999999999993E-2</v>
      </c>
      <c r="I7">
        <f>INDEX('AEO 2026 Table 4'!$E$6:$AD$125,MATCH($B7,'AEO 2026 Table 4'!$B$6:$B$125,0),MATCH(I$1,'AEO 2026 Table 4'!$E$5:$AD$5,0))</f>
        <v>6.8362000000000006E-2</v>
      </c>
      <c r="J7">
        <f>INDEX('AEO 2026 Table 4'!$E$6:$AD$125,MATCH($B7,'AEO 2026 Table 4'!$B$6:$B$125,0),MATCH(J$1,'AEO 2026 Table 4'!$E$5:$AD$5,0))</f>
        <v>6.9241999999999998E-2</v>
      </c>
      <c r="K7">
        <f>INDEX('AEO 2026 Table 4'!$E$6:$AD$125,MATCH($B7,'AEO 2026 Table 4'!$B$6:$B$125,0),MATCH(K$1,'AEO 2026 Table 4'!$E$5:$AD$5,0))</f>
        <v>7.0150000000000004E-2</v>
      </c>
      <c r="L7">
        <f>INDEX('AEO 2026 Table 4'!$E$6:$AD$125,MATCH($B7,'AEO 2026 Table 4'!$B$6:$B$125,0),MATCH(L$1,'AEO 2026 Table 4'!$E$5:$AD$5,0))</f>
        <v>7.1053000000000005E-2</v>
      </c>
      <c r="M7">
        <f>INDEX('AEO 2026 Table 4'!$E$6:$AD$125,MATCH($B7,'AEO 2026 Table 4'!$B$6:$B$125,0),MATCH(M$1,'AEO 2026 Table 4'!$E$5:$AD$5,0))</f>
        <v>7.1959999999999996E-2</v>
      </c>
      <c r="N7">
        <f>INDEX('AEO 2026 Table 4'!$E$6:$AD$125,MATCH($B7,'AEO 2026 Table 4'!$B$6:$B$125,0),MATCH(N$1,'AEO 2026 Table 4'!$E$5:$AD$5,0))</f>
        <v>7.2859999999999994E-2</v>
      </c>
      <c r="O7">
        <f>INDEX('AEO 2026 Table 4'!$E$6:$AD$125,MATCH($B7,'AEO 2026 Table 4'!$B$6:$B$125,0),MATCH(O$1,'AEO 2026 Table 4'!$E$5:$AD$5,0))</f>
        <v>7.3770000000000002E-2</v>
      </c>
      <c r="P7">
        <f>INDEX('AEO 2026 Table 4'!$E$6:$AD$125,MATCH($B7,'AEO 2026 Table 4'!$B$6:$B$125,0),MATCH(P$1,'AEO 2026 Table 4'!$E$5:$AD$5,0))</f>
        <v>7.4686000000000002E-2</v>
      </c>
      <c r="Q7">
        <f>INDEX('AEO 2026 Table 4'!$E$6:$AD$125,MATCH($B7,'AEO 2026 Table 4'!$B$6:$B$125,0),MATCH(Q$1,'AEO 2026 Table 4'!$E$5:$AD$5,0))</f>
        <v>7.5594999999999996E-2</v>
      </c>
      <c r="R7">
        <f>INDEX('AEO 2026 Table 4'!$E$6:$AD$125,MATCH($B7,'AEO 2026 Table 4'!$B$6:$B$125,0),MATCH(R$1,'AEO 2026 Table 4'!$E$5:$AD$5,0))</f>
        <v>7.6502000000000001E-2</v>
      </c>
      <c r="S7">
        <f>INDEX('AEO 2026 Table 4'!$E$6:$AD$125,MATCH($B7,'AEO 2026 Table 4'!$B$6:$B$125,0),MATCH(S$1,'AEO 2026 Table 4'!$E$5:$AD$5,0))</f>
        <v>7.7414999999999998E-2</v>
      </c>
      <c r="T7">
        <f>INDEX('AEO 2026 Table 4'!$E$6:$AD$125,MATCH($B7,'AEO 2026 Table 4'!$B$6:$B$125,0),MATCH(T$1,'AEO 2026 Table 4'!$E$5:$AD$5,0))</f>
        <v>7.8331999999999999E-2</v>
      </c>
      <c r="U7">
        <f>INDEX('AEO 2026 Table 4'!$E$6:$AD$125,MATCH($B7,'AEO 2026 Table 4'!$B$6:$B$125,0),MATCH(U$1,'AEO 2026 Table 4'!$E$5:$AD$5,0))</f>
        <v>7.9236000000000001E-2</v>
      </c>
      <c r="V7">
        <f>INDEX('AEO 2026 Table 4'!$E$6:$AD$125,MATCH($B7,'AEO 2026 Table 4'!$B$6:$B$125,0),MATCH(V$1,'AEO 2026 Table 4'!$E$5:$AD$5,0))</f>
        <v>8.0074000000000006E-2</v>
      </c>
      <c r="W7">
        <f>INDEX('AEO 2026 Table 4'!$E$6:$AD$125,MATCH($B7,'AEO 2026 Table 4'!$B$6:$B$125,0),MATCH(W$1,'AEO 2026 Table 4'!$E$5:$AD$5,0))</f>
        <v>8.0823000000000006E-2</v>
      </c>
      <c r="X7">
        <f>INDEX('AEO 2026 Table 4'!$E$6:$AD$125,MATCH($B7,'AEO 2026 Table 4'!$B$6:$B$125,0),MATCH(X$1,'AEO 2026 Table 4'!$E$5:$AD$5,0))</f>
        <v>8.1486000000000003E-2</v>
      </c>
      <c r="Y7">
        <f>INDEX('AEO 2026 Table 4'!$E$6:$AD$125,MATCH($B7,'AEO 2026 Table 4'!$B$6:$B$125,0),MATCH(Y$1,'AEO 2026 Table 4'!$E$5:$AD$5,0))</f>
        <v>8.2052E-2</v>
      </c>
      <c r="Z7">
        <f>INDEX('AEO 2026 Table 4'!$E$6:$AD$125,MATCH($B7,'AEO 2026 Table 4'!$B$6:$B$125,0),MATCH(Z$1,'AEO 2026 Table 4'!$E$5:$AD$5,0))</f>
        <v>8.2525000000000001E-2</v>
      </c>
      <c r="AA7">
        <f>INDEX('AEO 2026 Table 4'!$E$6:$AD$125,MATCH($B7,'AEO 2026 Table 4'!$B$6:$B$125,0),MATCH(AA$1,'AEO 2026 Table 4'!$E$5:$AD$5,0))</f>
        <v>8.2964999999999997E-2</v>
      </c>
      <c r="AB7">
        <f>INDEX('AEO 2026 Table 4'!$E$6:$AD$125,MATCH($B7,'AEO 2026 Table 4'!$B$6:$B$125,0),MATCH(AB$1,'AEO 2026 Table 4'!$E$5:$AD$5,0))</f>
        <v>8.3380999999999997E-2</v>
      </c>
      <c r="AC7">
        <f>INDEX('AEO 2026 Table 4'!$E$6:$AD$125,MATCH($B7,'AEO 2026 Table 4'!$B$6:$B$125,0),MATCH(AC$1,'AEO 2026 Table 4'!$E$5:$AD$5,0))</f>
        <v>8.3789000000000002E-2</v>
      </c>
      <c r="AD7">
        <f>INDEX('AEO 2026 Table 4'!$E$6:$AD$125,MATCH($B7,'AEO 2026 Table 4'!$B$6:$B$125,0),MATCH(AD$1,'AEO 2026 Table 4'!$E$5:$AD$5,0))</f>
        <v>8.4191000000000002E-2</v>
      </c>
      <c r="AE7">
        <f>INDEX('AEO 2026 Table 4'!$E$6:$AD$125,MATCH($B7,'AEO 2026 Table 4'!$B$6:$B$125,0),MATCH(AE$1,'AEO 2026 Table 4'!$E$5:$AD$5,0))</f>
        <v>8.4584000000000006E-2</v>
      </c>
      <c r="AF7">
        <f>INDEX('AEO 2026 Table 4'!$E$6:$AD$125,MATCH($B7,'AEO 2026 Table 4'!$B$6:$B$125,0),MATCH(AF$1,'AEO 2026 Table 4'!$E$5:$AD$5,0))</f>
        <v>8.4967000000000001E-2</v>
      </c>
      <c r="AG7">
        <f>INDEX('AEO 2026 Table 4'!$E$6:$AD$125,MATCH($B7,'AEO 2026 Table 4'!$B$6:$B$125,0),MATCH(AG$1,'AEO 2026 Table 4'!$E$5:$AD$5,0))</f>
        <v>8.5342000000000001E-2</v>
      </c>
      <c r="AH7">
        <f>INDEX('AEO 2026 Table 4'!$E$6:$AD$125,MATCH($B7,'AEO 2026 Table 4'!$B$6:$B$125,0),MATCH(AH$1,'AEO 2026 Table 4'!$E$5:$AD$5,0))</f>
        <v>8.5708999999999994E-2</v>
      </c>
    </row>
    <row r="8" spans="1:34" x14ac:dyDescent="0.25">
      <c r="B8" t="s">
        <v>21</v>
      </c>
      <c r="C8" t="s">
        <v>22</v>
      </c>
      <c r="D8" t="str">
        <f t="shared" si="0"/>
        <v>residential-appliances-electricity (BTU)</v>
      </c>
      <c r="E8" t="s">
        <v>8</v>
      </c>
      <c r="F8" t="s">
        <v>16</v>
      </c>
      <c r="G8" s="1" t="s">
        <v>10</v>
      </c>
      <c r="H8" s="44">
        <f>INDEX(Table_4._Residential_Sector_Key!$F$8:$AG$125,MATCH($C8,Table_4._Residential_Sector_Key!$B$8:$B$125,0),MATCH(H$1,Table_4._Residential_Sector_Key!$F$5:$AG$5,0))</f>
        <v>0.19181200000000001</v>
      </c>
      <c r="I8">
        <f>INDEX('AEO 2026 Table 4'!$E$6:$AD$125,MATCH($B8,'AEO 2026 Table 4'!$B$6:$B$125,0),MATCH(I$1,'AEO 2026 Table 4'!$E$5:$AD$5,0))</f>
        <v>0.190333</v>
      </c>
      <c r="J8">
        <f>INDEX('AEO 2026 Table 4'!$E$6:$AD$125,MATCH($B8,'AEO 2026 Table 4'!$B$6:$B$125,0),MATCH(J$1,'AEO 2026 Table 4'!$E$5:$AD$5,0))</f>
        <v>0.19084100000000001</v>
      </c>
      <c r="K8">
        <f>INDEX('AEO 2026 Table 4'!$E$6:$AD$125,MATCH($B8,'AEO 2026 Table 4'!$B$6:$B$125,0),MATCH(K$1,'AEO 2026 Table 4'!$E$5:$AD$5,0))</f>
        <v>0.191803</v>
      </c>
      <c r="L8">
        <f>INDEX('AEO 2026 Table 4'!$E$6:$AD$125,MATCH($B8,'AEO 2026 Table 4'!$B$6:$B$125,0),MATCH(L$1,'AEO 2026 Table 4'!$E$5:$AD$5,0))</f>
        <v>0.193076</v>
      </c>
      <c r="M8">
        <f>INDEX('AEO 2026 Table 4'!$E$6:$AD$125,MATCH($B8,'AEO 2026 Table 4'!$B$6:$B$125,0),MATCH(M$1,'AEO 2026 Table 4'!$E$5:$AD$5,0))</f>
        <v>0.193741</v>
      </c>
      <c r="N8">
        <f>INDEX('AEO 2026 Table 4'!$E$6:$AD$125,MATCH($B8,'AEO 2026 Table 4'!$B$6:$B$125,0),MATCH(N$1,'AEO 2026 Table 4'!$E$5:$AD$5,0))</f>
        <v>0.19336100000000001</v>
      </c>
      <c r="O8">
        <f>INDEX('AEO 2026 Table 4'!$E$6:$AD$125,MATCH($B8,'AEO 2026 Table 4'!$B$6:$B$125,0),MATCH(O$1,'AEO 2026 Table 4'!$E$5:$AD$5,0))</f>
        <v>0.192361</v>
      </c>
      <c r="P8">
        <f>INDEX('AEO 2026 Table 4'!$E$6:$AD$125,MATCH($B8,'AEO 2026 Table 4'!$B$6:$B$125,0),MATCH(P$1,'AEO 2026 Table 4'!$E$5:$AD$5,0))</f>
        <v>0.191029</v>
      </c>
      <c r="Q8">
        <f>INDEX('AEO 2026 Table 4'!$E$6:$AD$125,MATCH($B8,'AEO 2026 Table 4'!$B$6:$B$125,0),MATCH(Q$1,'AEO 2026 Table 4'!$E$5:$AD$5,0))</f>
        <v>0.19012000000000001</v>
      </c>
      <c r="R8">
        <f>INDEX('AEO 2026 Table 4'!$E$6:$AD$125,MATCH($B8,'AEO 2026 Table 4'!$B$6:$B$125,0),MATCH(R$1,'AEO 2026 Table 4'!$E$5:$AD$5,0))</f>
        <v>0.18959999999999999</v>
      </c>
      <c r="S8">
        <f>INDEX('AEO 2026 Table 4'!$E$6:$AD$125,MATCH($B8,'AEO 2026 Table 4'!$B$6:$B$125,0),MATCH(S$1,'AEO 2026 Table 4'!$E$5:$AD$5,0))</f>
        <v>0.18948300000000001</v>
      </c>
      <c r="T8">
        <f>INDEX('AEO 2026 Table 4'!$E$6:$AD$125,MATCH($B8,'AEO 2026 Table 4'!$B$6:$B$125,0),MATCH(T$1,'AEO 2026 Table 4'!$E$5:$AD$5,0))</f>
        <v>0.18981700000000001</v>
      </c>
      <c r="U8">
        <f>INDEX('AEO 2026 Table 4'!$E$6:$AD$125,MATCH($B8,'AEO 2026 Table 4'!$B$6:$B$125,0),MATCH(U$1,'AEO 2026 Table 4'!$E$5:$AD$5,0))</f>
        <v>0.19051799999999999</v>
      </c>
      <c r="V8">
        <f>INDEX('AEO 2026 Table 4'!$E$6:$AD$125,MATCH($B8,'AEO 2026 Table 4'!$B$6:$B$125,0),MATCH(V$1,'AEO 2026 Table 4'!$E$5:$AD$5,0))</f>
        <v>0.19170799999999999</v>
      </c>
      <c r="W8">
        <f>INDEX('AEO 2026 Table 4'!$E$6:$AD$125,MATCH($B8,'AEO 2026 Table 4'!$B$6:$B$125,0),MATCH(W$1,'AEO 2026 Table 4'!$E$5:$AD$5,0))</f>
        <v>0.19336</v>
      </c>
      <c r="X8">
        <f>INDEX('AEO 2026 Table 4'!$E$6:$AD$125,MATCH($B8,'AEO 2026 Table 4'!$B$6:$B$125,0),MATCH(X$1,'AEO 2026 Table 4'!$E$5:$AD$5,0))</f>
        <v>0.19552900000000001</v>
      </c>
      <c r="Y8">
        <f>INDEX('AEO 2026 Table 4'!$E$6:$AD$125,MATCH($B8,'AEO 2026 Table 4'!$B$6:$B$125,0),MATCH(Y$1,'AEO 2026 Table 4'!$E$5:$AD$5,0))</f>
        <v>0.19830200000000001</v>
      </c>
      <c r="Z8">
        <f>INDEX('AEO 2026 Table 4'!$E$6:$AD$125,MATCH($B8,'AEO 2026 Table 4'!$B$6:$B$125,0),MATCH(Z$1,'AEO 2026 Table 4'!$E$5:$AD$5,0))</f>
        <v>0.20107</v>
      </c>
      <c r="AA8">
        <f>INDEX('AEO 2026 Table 4'!$E$6:$AD$125,MATCH($B8,'AEO 2026 Table 4'!$B$6:$B$125,0),MATCH(AA$1,'AEO 2026 Table 4'!$E$5:$AD$5,0))</f>
        <v>0.20391000000000001</v>
      </c>
      <c r="AB8">
        <f>INDEX('AEO 2026 Table 4'!$E$6:$AD$125,MATCH($B8,'AEO 2026 Table 4'!$B$6:$B$125,0),MATCH(AB$1,'AEO 2026 Table 4'!$E$5:$AD$5,0))</f>
        <v>0.206758</v>
      </c>
      <c r="AC8">
        <f>INDEX('AEO 2026 Table 4'!$E$6:$AD$125,MATCH($B8,'AEO 2026 Table 4'!$B$6:$B$125,0),MATCH(AC$1,'AEO 2026 Table 4'!$E$5:$AD$5,0))</f>
        <v>0.20961099999999999</v>
      </c>
      <c r="AD8">
        <f>INDEX('AEO 2026 Table 4'!$E$6:$AD$125,MATCH($B8,'AEO 2026 Table 4'!$B$6:$B$125,0),MATCH(AD$1,'AEO 2026 Table 4'!$E$5:$AD$5,0))</f>
        <v>0.21232799999999999</v>
      </c>
      <c r="AE8">
        <f>INDEX('AEO 2026 Table 4'!$E$6:$AD$125,MATCH($B8,'AEO 2026 Table 4'!$B$6:$B$125,0),MATCH(AE$1,'AEO 2026 Table 4'!$E$5:$AD$5,0))</f>
        <v>0.21485899999999999</v>
      </c>
      <c r="AF8">
        <f>INDEX('AEO 2026 Table 4'!$E$6:$AD$125,MATCH($B8,'AEO 2026 Table 4'!$B$6:$B$125,0),MATCH(AF$1,'AEO 2026 Table 4'!$E$5:$AD$5,0))</f>
        <v>0.21726100000000001</v>
      </c>
      <c r="AG8">
        <f>INDEX('AEO 2026 Table 4'!$E$6:$AD$125,MATCH($B8,'AEO 2026 Table 4'!$B$6:$B$125,0),MATCH(AG$1,'AEO 2026 Table 4'!$E$5:$AD$5,0))</f>
        <v>0.21970999999999999</v>
      </c>
      <c r="AH8">
        <f>INDEX('AEO 2026 Table 4'!$E$6:$AD$125,MATCH($B8,'AEO 2026 Table 4'!$B$6:$B$125,0),MATCH(AH$1,'AEO 2026 Table 4'!$E$5:$AD$5,0))</f>
        <v>0.22207299999999999</v>
      </c>
    </row>
    <row r="9" spans="1:34" x14ac:dyDescent="0.25">
      <c r="B9" t="s">
        <v>23</v>
      </c>
      <c r="C9" t="s">
        <v>24</v>
      </c>
      <c r="D9" t="str">
        <f t="shared" si="0"/>
        <v>residential-appliances-electricity (BTU)</v>
      </c>
      <c r="E9" t="s">
        <v>8</v>
      </c>
      <c r="F9" t="s">
        <v>16</v>
      </c>
      <c r="G9" s="1" t="s">
        <v>10</v>
      </c>
      <c r="H9" s="44">
        <f>INDEX(Table_4._Residential_Sector_Key!$F$8:$AG$125,MATCH($C9,Table_4._Residential_Sector_Key!$B$8:$B$125,0),MATCH(H$1,Table_4._Residential_Sector_Key!$F$5:$AG$5,0))</f>
        <v>7.9547999999999994E-2</v>
      </c>
      <c r="I9">
        <f>INDEX('AEO 2026 Table 4'!$E$6:$AD$125,MATCH($B9,'AEO 2026 Table 4'!$B$6:$B$125,0),MATCH(I$1,'AEO 2026 Table 4'!$E$5:$AD$5,0))</f>
        <v>7.9278000000000001E-2</v>
      </c>
      <c r="J9">
        <f>INDEX('AEO 2026 Table 4'!$E$6:$AD$125,MATCH($B9,'AEO 2026 Table 4'!$B$6:$B$125,0),MATCH(J$1,'AEO 2026 Table 4'!$E$5:$AD$5,0))</f>
        <v>7.9241000000000006E-2</v>
      </c>
      <c r="K9">
        <f>INDEX('AEO 2026 Table 4'!$E$6:$AD$125,MATCH($B9,'AEO 2026 Table 4'!$B$6:$B$125,0),MATCH(K$1,'AEO 2026 Table 4'!$E$5:$AD$5,0))</f>
        <v>7.9216999999999996E-2</v>
      </c>
      <c r="L9">
        <f>INDEX('AEO 2026 Table 4'!$E$6:$AD$125,MATCH($B9,'AEO 2026 Table 4'!$B$6:$B$125,0),MATCH(L$1,'AEO 2026 Table 4'!$E$5:$AD$5,0))</f>
        <v>7.9159999999999994E-2</v>
      </c>
      <c r="M9">
        <f>INDEX('AEO 2026 Table 4'!$E$6:$AD$125,MATCH($B9,'AEO 2026 Table 4'!$B$6:$B$125,0),MATCH(M$1,'AEO 2026 Table 4'!$E$5:$AD$5,0))</f>
        <v>7.9073000000000004E-2</v>
      </c>
      <c r="N9">
        <f>INDEX('AEO 2026 Table 4'!$E$6:$AD$125,MATCH($B9,'AEO 2026 Table 4'!$B$6:$B$125,0),MATCH(N$1,'AEO 2026 Table 4'!$E$5:$AD$5,0))</f>
        <v>7.8570000000000001E-2</v>
      </c>
      <c r="O9">
        <f>INDEX('AEO 2026 Table 4'!$E$6:$AD$125,MATCH($B9,'AEO 2026 Table 4'!$B$6:$B$125,0),MATCH(O$1,'AEO 2026 Table 4'!$E$5:$AD$5,0))</f>
        <v>7.8007000000000007E-2</v>
      </c>
      <c r="P9">
        <f>INDEX('AEO 2026 Table 4'!$E$6:$AD$125,MATCH($B9,'AEO 2026 Table 4'!$B$6:$B$125,0),MATCH(P$1,'AEO 2026 Table 4'!$E$5:$AD$5,0))</f>
        <v>7.7404000000000001E-2</v>
      </c>
      <c r="Q9">
        <f>INDEX('AEO 2026 Table 4'!$E$6:$AD$125,MATCH($B9,'AEO 2026 Table 4'!$B$6:$B$125,0),MATCH(Q$1,'AEO 2026 Table 4'!$E$5:$AD$5,0))</f>
        <v>7.6823000000000002E-2</v>
      </c>
      <c r="R9">
        <f>INDEX('AEO 2026 Table 4'!$E$6:$AD$125,MATCH($B9,'AEO 2026 Table 4'!$B$6:$B$125,0),MATCH(R$1,'AEO 2026 Table 4'!$E$5:$AD$5,0))</f>
        <v>7.6257000000000005E-2</v>
      </c>
      <c r="S9">
        <f>INDEX('AEO 2026 Table 4'!$E$6:$AD$125,MATCH($B9,'AEO 2026 Table 4'!$B$6:$B$125,0),MATCH(S$1,'AEO 2026 Table 4'!$E$5:$AD$5,0))</f>
        <v>7.5716000000000006E-2</v>
      </c>
      <c r="T9">
        <f>INDEX('AEO 2026 Table 4'!$E$6:$AD$125,MATCH($B9,'AEO 2026 Table 4'!$B$6:$B$125,0),MATCH(T$1,'AEO 2026 Table 4'!$E$5:$AD$5,0))</f>
        <v>7.5194999999999998E-2</v>
      </c>
      <c r="U9">
        <f>INDEX('AEO 2026 Table 4'!$E$6:$AD$125,MATCH($B9,'AEO 2026 Table 4'!$B$6:$B$125,0),MATCH(U$1,'AEO 2026 Table 4'!$E$5:$AD$5,0))</f>
        <v>7.4692999999999996E-2</v>
      </c>
      <c r="V9">
        <f>INDEX('AEO 2026 Table 4'!$E$6:$AD$125,MATCH($B9,'AEO 2026 Table 4'!$B$6:$B$125,0),MATCH(V$1,'AEO 2026 Table 4'!$E$5:$AD$5,0))</f>
        <v>7.4214000000000002E-2</v>
      </c>
      <c r="W9">
        <f>INDEX('AEO 2026 Table 4'!$E$6:$AD$125,MATCH($B9,'AEO 2026 Table 4'!$B$6:$B$125,0),MATCH(W$1,'AEO 2026 Table 4'!$E$5:$AD$5,0))</f>
        <v>7.3757000000000003E-2</v>
      </c>
      <c r="X9">
        <f>INDEX('AEO 2026 Table 4'!$E$6:$AD$125,MATCH($B9,'AEO 2026 Table 4'!$B$6:$B$125,0),MATCH(X$1,'AEO 2026 Table 4'!$E$5:$AD$5,0))</f>
        <v>7.3328000000000004E-2</v>
      </c>
      <c r="Y9">
        <f>INDEX('AEO 2026 Table 4'!$E$6:$AD$125,MATCH($B9,'AEO 2026 Table 4'!$B$6:$B$125,0),MATCH(Y$1,'AEO 2026 Table 4'!$E$5:$AD$5,0))</f>
        <v>7.2937000000000002E-2</v>
      </c>
      <c r="Z9">
        <f>INDEX('AEO 2026 Table 4'!$E$6:$AD$125,MATCH($B9,'AEO 2026 Table 4'!$B$6:$B$125,0),MATCH(Z$1,'AEO 2026 Table 4'!$E$5:$AD$5,0))</f>
        <v>7.2585999999999998E-2</v>
      </c>
      <c r="AA9">
        <f>INDEX('AEO 2026 Table 4'!$E$6:$AD$125,MATCH($B9,'AEO 2026 Table 4'!$B$6:$B$125,0),MATCH(AA$1,'AEO 2026 Table 4'!$E$5:$AD$5,0))</f>
        <v>7.2277999999999995E-2</v>
      </c>
      <c r="AB9">
        <f>INDEX('AEO 2026 Table 4'!$E$6:$AD$125,MATCH($B9,'AEO 2026 Table 4'!$B$6:$B$125,0),MATCH(AB$1,'AEO 2026 Table 4'!$E$5:$AD$5,0))</f>
        <v>7.2012000000000007E-2</v>
      </c>
      <c r="AC9">
        <f>INDEX('AEO 2026 Table 4'!$E$6:$AD$125,MATCH($B9,'AEO 2026 Table 4'!$B$6:$B$125,0),MATCH(AC$1,'AEO 2026 Table 4'!$E$5:$AD$5,0))</f>
        <v>7.1802000000000005E-2</v>
      </c>
      <c r="AD9">
        <f>INDEX('AEO 2026 Table 4'!$E$6:$AD$125,MATCH($B9,'AEO 2026 Table 4'!$B$6:$B$125,0),MATCH(AD$1,'AEO 2026 Table 4'!$E$5:$AD$5,0))</f>
        <v>7.1660000000000001E-2</v>
      </c>
      <c r="AE9">
        <f>INDEX('AEO 2026 Table 4'!$E$6:$AD$125,MATCH($B9,'AEO 2026 Table 4'!$B$6:$B$125,0),MATCH(AE$1,'AEO 2026 Table 4'!$E$5:$AD$5,0))</f>
        <v>7.1579000000000004E-2</v>
      </c>
      <c r="AF9">
        <f>INDEX('AEO 2026 Table 4'!$E$6:$AD$125,MATCH($B9,'AEO 2026 Table 4'!$B$6:$B$125,0),MATCH(AF$1,'AEO 2026 Table 4'!$E$5:$AD$5,0))</f>
        <v>7.1570999999999996E-2</v>
      </c>
      <c r="AG9">
        <f>INDEX('AEO 2026 Table 4'!$E$6:$AD$125,MATCH($B9,'AEO 2026 Table 4'!$B$6:$B$125,0),MATCH(AG$1,'AEO 2026 Table 4'!$E$5:$AD$5,0))</f>
        <v>7.1642999999999998E-2</v>
      </c>
      <c r="AH9">
        <f>INDEX('AEO 2026 Table 4'!$E$6:$AD$125,MATCH($B9,'AEO 2026 Table 4'!$B$6:$B$125,0),MATCH(AH$1,'AEO 2026 Table 4'!$E$5:$AD$5,0))</f>
        <v>7.1800000000000003E-2</v>
      </c>
    </row>
    <row r="10" spans="1:34" x14ac:dyDescent="0.25">
      <c r="B10" t="s">
        <v>25</v>
      </c>
      <c r="C10" t="s">
        <v>26</v>
      </c>
      <c r="D10" t="str">
        <f t="shared" si="0"/>
        <v>residential-lighting-electricity (BTU)</v>
      </c>
      <c r="E10" t="s">
        <v>8</v>
      </c>
      <c r="F10" t="s">
        <v>27</v>
      </c>
      <c r="G10" s="1" t="s">
        <v>10</v>
      </c>
      <c r="H10" s="44">
        <f>INDEX(Table_4._Residential_Sector_Key!$F$8:$AG$125,MATCH($C10,Table_4._Residential_Sector_Key!$B$8:$B$125,0),MATCH(H$1,Table_4._Residential_Sector_Key!$F$5:$AG$5,0))</f>
        <v>0.18737100000000001</v>
      </c>
      <c r="I10">
        <f>INDEX('AEO 2026 Table 4'!$E$6:$AD$125,MATCH($B10,'AEO 2026 Table 4'!$B$6:$B$125,0),MATCH(I$1,'AEO 2026 Table 4'!$E$5:$AD$5,0))</f>
        <v>0.18284700000000001</v>
      </c>
      <c r="J10">
        <f>INDEX('AEO 2026 Table 4'!$E$6:$AD$125,MATCH($B10,'AEO 2026 Table 4'!$B$6:$B$125,0),MATCH(J$1,'AEO 2026 Table 4'!$E$5:$AD$5,0))</f>
        <v>0.18221599999999999</v>
      </c>
      <c r="K10">
        <f>INDEX('AEO 2026 Table 4'!$E$6:$AD$125,MATCH($B10,'AEO 2026 Table 4'!$B$6:$B$125,0),MATCH(K$1,'AEO 2026 Table 4'!$E$5:$AD$5,0))</f>
        <v>0.18356900000000001</v>
      </c>
      <c r="L10">
        <f>INDEX('AEO 2026 Table 4'!$E$6:$AD$125,MATCH($B10,'AEO 2026 Table 4'!$B$6:$B$125,0),MATCH(L$1,'AEO 2026 Table 4'!$E$5:$AD$5,0))</f>
        <v>0.18564</v>
      </c>
      <c r="M10">
        <f>INDEX('AEO 2026 Table 4'!$E$6:$AD$125,MATCH($B10,'AEO 2026 Table 4'!$B$6:$B$125,0),MATCH(M$1,'AEO 2026 Table 4'!$E$5:$AD$5,0))</f>
        <v>0.18743899999999999</v>
      </c>
      <c r="N10">
        <f>INDEX('AEO 2026 Table 4'!$E$6:$AD$125,MATCH($B10,'AEO 2026 Table 4'!$B$6:$B$125,0),MATCH(N$1,'AEO 2026 Table 4'!$E$5:$AD$5,0))</f>
        <v>0.18699399999999999</v>
      </c>
      <c r="O10">
        <f>INDEX('AEO 2026 Table 4'!$E$6:$AD$125,MATCH($B10,'AEO 2026 Table 4'!$B$6:$B$125,0),MATCH(O$1,'AEO 2026 Table 4'!$E$5:$AD$5,0))</f>
        <v>0.18642400000000001</v>
      </c>
      <c r="P10">
        <f>INDEX('AEO 2026 Table 4'!$E$6:$AD$125,MATCH($B10,'AEO 2026 Table 4'!$B$6:$B$125,0),MATCH(P$1,'AEO 2026 Table 4'!$E$5:$AD$5,0))</f>
        <v>0.18626100000000001</v>
      </c>
      <c r="Q10">
        <f>INDEX('AEO 2026 Table 4'!$E$6:$AD$125,MATCH($B10,'AEO 2026 Table 4'!$B$6:$B$125,0),MATCH(Q$1,'AEO 2026 Table 4'!$E$5:$AD$5,0))</f>
        <v>0.18640399999999999</v>
      </c>
      <c r="R10">
        <f>INDEX('AEO 2026 Table 4'!$E$6:$AD$125,MATCH($B10,'AEO 2026 Table 4'!$B$6:$B$125,0),MATCH(R$1,'AEO 2026 Table 4'!$E$5:$AD$5,0))</f>
        <v>0.18674199999999999</v>
      </c>
      <c r="S10">
        <f>INDEX('AEO 2026 Table 4'!$E$6:$AD$125,MATCH($B10,'AEO 2026 Table 4'!$B$6:$B$125,0),MATCH(S$1,'AEO 2026 Table 4'!$E$5:$AD$5,0))</f>
        <v>0.18721499999999999</v>
      </c>
      <c r="T10">
        <f>INDEX('AEO 2026 Table 4'!$E$6:$AD$125,MATCH($B10,'AEO 2026 Table 4'!$B$6:$B$125,0),MATCH(T$1,'AEO 2026 Table 4'!$E$5:$AD$5,0))</f>
        <v>0.187754</v>
      </c>
      <c r="U10">
        <f>INDEX('AEO 2026 Table 4'!$E$6:$AD$125,MATCH($B10,'AEO 2026 Table 4'!$B$6:$B$125,0),MATCH(U$1,'AEO 2026 Table 4'!$E$5:$AD$5,0))</f>
        <v>0.188226</v>
      </c>
      <c r="V10">
        <f>INDEX('AEO 2026 Table 4'!$E$6:$AD$125,MATCH($B10,'AEO 2026 Table 4'!$B$6:$B$125,0),MATCH(V$1,'AEO 2026 Table 4'!$E$5:$AD$5,0))</f>
        <v>0.188723</v>
      </c>
      <c r="W10">
        <f>INDEX('AEO 2026 Table 4'!$E$6:$AD$125,MATCH($B10,'AEO 2026 Table 4'!$B$6:$B$125,0),MATCH(W$1,'AEO 2026 Table 4'!$E$5:$AD$5,0))</f>
        <v>0.18940000000000001</v>
      </c>
      <c r="X10">
        <f>INDEX('AEO 2026 Table 4'!$E$6:$AD$125,MATCH($B10,'AEO 2026 Table 4'!$B$6:$B$125,0),MATCH(X$1,'AEO 2026 Table 4'!$E$5:$AD$5,0))</f>
        <v>0.18703500000000001</v>
      </c>
      <c r="Y10">
        <f>INDEX('AEO 2026 Table 4'!$E$6:$AD$125,MATCH($B10,'AEO 2026 Table 4'!$B$6:$B$125,0),MATCH(Y$1,'AEO 2026 Table 4'!$E$5:$AD$5,0))</f>
        <v>0.185089</v>
      </c>
      <c r="Z10">
        <f>INDEX('AEO 2026 Table 4'!$E$6:$AD$125,MATCH($B10,'AEO 2026 Table 4'!$B$6:$B$125,0),MATCH(Z$1,'AEO 2026 Table 4'!$E$5:$AD$5,0))</f>
        <v>0.18369099999999999</v>
      </c>
      <c r="AA10">
        <f>INDEX('AEO 2026 Table 4'!$E$6:$AD$125,MATCH($B10,'AEO 2026 Table 4'!$B$6:$B$125,0),MATCH(AA$1,'AEO 2026 Table 4'!$E$5:$AD$5,0))</f>
        <v>0.18284600000000001</v>
      </c>
      <c r="AB10">
        <f>INDEX('AEO 2026 Table 4'!$E$6:$AD$125,MATCH($B10,'AEO 2026 Table 4'!$B$6:$B$125,0),MATCH(AB$1,'AEO 2026 Table 4'!$E$5:$AD$5,0))</f>
        <v>0.182477</v>
      </c>
      <c r="AC10">
        <f>INDEX('AEO 2026 Table 4'!$E$6:$AD$125,MATCH($B10,'AEO 2026 Table 4'!$B$6:$B$125,0),MATCH(AC$1,'AEO 2026 Table 4'!$E$5:$AD$5,0))</f>
        <v>0.18238399999999999</v>
      </c>
      <c r="AD10">
        <f>INDEX('AEO 2026 Table 4'!$E$6:$AD$125,MATCH($B10,'AEO 2026 Table 4'!$B$6:$B$125,0),MATCH(AD$1,'AEO 2026 Table 4'!$E$5:$AD$5,0))</f>
        <v>0.18231</v>
      </c>
      <c r="AE10">
        <f>INDEX('AEO 2026 Table 4'!$E$6:$AD$125,MATCH($B10,'AEO 2026 Table 4'!$B$6:$B$125,0),MATCH(AE$1,'AEO 2026 Table 4'!$E$5:$AD$5,0))</f>
        <v>0.182202</v>
      </c>
      <c r="AF10">
        <f>INDEX('AEO 2026 Table 4'!$E$6:$AD$125,MATCH($B10,'AEO 2026 Table 4'!$B$6:$B$125,0),MATCH(AF$1,'AEO 2026 Table 4'!$E$5:$AD$5,0))</f>
        <v>0.18219199999999999</v>
      </c>
      <c r="AG10">
        <f>INDEX('AEO 2026 Table 4'!$E$6:$AD$125,MATCH($B10,'AEO 2026 Table 4'!$B$6:$B$125,0),MATCH(AG$1,'AEO 2026 Table 4'!$E$5:$AD$5,0))</f>
        <v>0.18237500000000001</v>
      </c>
      <c r="AH10">
        <f>INDEX('AEO 2026 Table 4'!$E$6:$AD$125,MATCH($B10,'AEO 2026 Table 4'!$B$6:$B$125,0),MATCH(AH$1,'AEO 2026 Table 4'!$E$5:$AD$5,0))</f>
        <v>0.182588</v>
      </c>
    </row>
    <row r="11" spans="1:34" x14ac:dyDescent="0.25">
      <c r="B11" t="s">
        <v>28</v>
      </c>
      <c r="C11" t="s">
        <v>29</v>
      </c>
      <c r="D11" t="str">
        <f t="shared" si="0"/>
        <v>residential-appliances-electricity (BTU)</v>
      </c>
      <c r="E11" t="s">
        <v>8</v>
      </c>
      <c r="F11" t="s">
        <v>16</v>
      </c>
      <c r="G11" s="1" t="s">
        <v>10</v>
      </c>
      <c r="H11" s="44">
        <f>INDEX(Table_4._Residential_Sector_Key!$F$8:$AG$125,MATCH($C11,Table_4._Residential_Sector_Key!$B$8:$B$125,0),MATCH(H$1,Table_4._Residential_Sector_Key!$F$5:$AG$5,0))</f>
        <v>4.1806999999999997E-2</v>
      </c>
      <c r="I11">
        <f>INDEX('AEO 2026 Table 4'!$E$6:$AD$125,MATCH($B11,'AEO 2026 Table 4'!$B$6:$B$125,0),MATCH(I$1,'AEO 2026 Table 4'!$E$5:$AD$5,0))</f>
        <v>4.0723000000000002E-2</v>
      </c>
      <c r="J11">
        <f>INDEX('AEO 2026 Table 4'!$E$6:$AD$125,MATCH($B11,'AEO 2026 Table 4'!$B$6:$B$125,0),MATCH(J$1,'AEO 2026 Table 4'!$E$5:$AD$5,0))</f>
        <v>3.9740999999999999E-2</v>
      </c>
      <c r="K11">
        <f>INDEX('AEO 2026 Table 4'!$E$6:$AD$125,MATCH($B11,'AEO 2026 Table 4'!$B$6:$B$125,0),MATCH(K$1,'AEO 2026 Table 4'!$E$5:$AD$5,0))</f>
        <v>3.875E-2</v>
      </c>
      <c r="L11">
        <f>INDEX('AEO 2026 Table 4'!$E$6:$AD$125,MATCH($B11,'AEO 2026 Table 4'!$B$6:$B$125,0),MATCH(L$1,'AEO 2026 Table 4'!$E$5:$AD$5,0))</f>
        <v>3.7582999999999998E-2</v>
      </c>
      <c r="M11">
        <f>INDEX('AEO 2026 Table 4'!$E$6:$AD$125,MATCH($B11,'AEO 2026 Table 4'!$B$6:$B$125,0),MATCH(M$1,'AEO 2026 Table 4'!$E$5:$AD$5,0))</f>
        <v>3.6385000000000001E-2</v>
      </c>
      <c r="N11">
        <f>INDEX('AEO 2026 Table 4'!$E$6:$AD$125,MATCH($B11,'AEO 2026 Table 4'!$B$6:$B$125,0),MATCH(N$1,'AEO 2026 Table 4'!$E$5:$AD$5,0))</f>
        <v>3.4992000000000002E-2</v>
      </c>
      <c r="O11">
        <f>INDEX('AEO 2026 Table 4'!$E$6:$AD$125,MATCH($B11,'AEO 2026 Table 4'!$B$6:$B$125,0),MATCH(O$1,'AEO 2026 Table 4'!$E$5:$AD$5,0))</f>
        <v>3.354E-2</v>
      </c>
      <c r="P11">
        <f>INDEX('AEO 2026 Table 4'!$E$6:$AD$125,MATCH($B11,'AEO 2026 Table 4'!$B$6:$B$125,0),MATCH(P$1,'AEO 2026 Table 4'!$E$5:$AD$5,0))</f>
        <v>3.2000000000000001E-2</v>
      </c>
      <c r="Q11">
        <f>INDEX('AEO 2026 Table 4'!$E$6:$AD$125,MATCH($B11,'AEO 2026 Table 4'!$B$6:$B$125,0),MATCH(Q$1,'AEO 2026 Table 4'!$E$5:$AD$5,0))</f>
        <v>3.0665000000000001E-2</v>
      </c>
      <c r="R11">
        <f>INDEX('AEO 2026 Table 4'!$E$6:$AD$125,MATCH($B11,'AEO 2026 Table 4'!$B$6:$B$125,0),MATCH(R$1,'AEO 2026 Table 4'!$E$5:$AD$5,0))</f>
        <v>2.9534000000000001E-2</v>
      </c>
      <c r="S11">
        <f>INDEX('AEO 2026 Table 4'!$E$6:$AD$125,MATCH($B11,'AEO 2026 Table 4'!$B$6:$B$125,0),MATCH(S$1,'AEO 2026 Table 4'!$E$5:$AD$5,0))</f>
        <v>2.8608999999999999E-2</v>
      </c>
      <c r="T11">
        <f>INDEX('AEO 2026 Table 4'!$E$6:$AD$125,MATCH($B11,'AEO 2026 Table 4'!$B$6:$B$125,0),MATCH(T$1,'AEO 2026 Table 4'!$E$5:$AD$5,0))</f>
        <v>2.7904000000000002E-2</v>
      </c>
      <c r="U11">
        <f>INDEX('AEO 2026 Table 4'!$E$6:$AD$125,MATCH($B11,'AEO 2026 Table 4'!$B$6:$B$125,0),MATCH(U$1,'AEO 2026 Table 4'!$E$5:$AD$5,0))</f>
        <v>2.7428999999999999E-2</v>
      </c>
      <c r="V11">
        <f>INDEX('AEO 2026 Table 4'!$E$6:$AD$125,MATCH($B11,'AEO 2026 Table 4'!$B$6:$B$125,0),MATCH(V$1,'AEO 2026 Table 4'!$E$5:$AD$5,0))</f>
        <v>2.7210000000000002E-2</v>
      </c>
      <c r="W11">
        <f>INDEX('AEO 2026 Table 4'!$E$6:$AD$125,MATCH($B11,'AEO 2026 Table 4'!$B$6:$B$125,0),MATCH(W$1,'AEO 2026 Table 4'!$E$5:$AD$5,0))</f>
        <v>2.7261000000000001E-2</v>
      </c>
      <c r="X11">
        <f>INDEX('AEO 2026 Table 4'!$E$6:$AD$125,MATCH($B11,'AEO 2026 Table 4'!$B$6:$B$125,0),MATCH(X$1,'AEO 2026 Table 4'!$E$5:$AD$5,0))</f>
        <v>2.7310999999999998E-2</v>
      </c>
      <c r="Y11">
        <f>INDEX('AEO 2026 Table 4'!$E$6:$AD$125,MATCH($B11,'AEO 2026 Table 4'!$B$6:$B$125,0),MATCH(Y$1,'AEO 2026 Table 4'!$E$5:$AD$5,0))</f>
        <v>2.7362000000000001E-2</v>
      </c>
      <c r="Z11">
        <f>INDEX('AEO 2026 Table 4'!$E$6:$AD$125,MATCH($B11,'AEO 2026 Table 4'!$B$6:$B$125,0),MATCH(Z$1,'AEO 2026 Table 4'!$E$5:$AD$5,0))</f>
        <v>2.742E-2</v>
      </c>
      <c r="AA11">
        <f>INDEX('AEO 2026 Table 4'!$E$6:$AD$125,MATCH($B11,'AEO 2026 Table 4'!$B$6:$B$125,0),MATCH(AA$1,'AEO 2026 Table 4'!$E$5:$AD$5,0))</f>
        <v>2.7486E-2</v>
      </c>
      <c r="AB11">
        <f>INDEX('AEO 2026 Table 4'!$E$6:$AD$125,MATCH($B11,'AEO 2026 Table 4'!$B$6:$B$125,0),MATCH(AB$1,'AEO 2026 Table 4'!$E$5:$AD$5,0))</f>
        <v>2.7564000000000002E-2</v>
      </c>
      <c r="AC11">
        <f>INDEX('AEO 2026 Table 4'!$E$6:$AD$125,MATCH($B11,'AEO 2026 Table 4'!$B$6:$B$125,0),MATCH(AC$1,'AEO 2026 Table 4'!$E$5:$AD$5,0))</f>
        <v>2.7657999999999999E-2</v>
      </c>
      <c r="AD11">
        <f>INDEX('AEO 2026 Table 4'!$E$6:$AD$125,MATCH($B11,'AEO 2026 Table 4'!$B$6:$B$125,0),MATCH(AD$1,'AEO 2026 Table 4'!$E$5:$AD$5,0))</f>
        <v>2.7768000000000001E-2</v>
      </c>
      <c r="AE11">
        <f>INDEX('AEO 2026 Table 4'!$E$6:$AD$125,MATCH($B11,'AEO 2026 Table 4'!$B$6:$B$125,0),MATCH(AE$1,'AEO 2026 Table 4'!$E$5:$AD$5,0))</f>
        <v>2.7890000000000002E-2</v>
      </c>
      <c r="AF11">
        <f>INDEX('AEO 2026 Table 4'!$E$6:$AD$125,MATCH($B11,'AEO 2026 Table 4'!$B$6:$B$125,0),MATCH(AF$1,'AEO 2026 Table 4'!$E$5:$AD$5,0))</f>
        <v>2.8024E-2</v>
      </c>
      <c r="AG11">
        <f>INDEX('AEO 2026 Table 4'!$E$6:$AD$125,MATCH($B11,'AEO 2026 Table 4'!$B$6:$B$125,0),MATCH(AG$1,'AEO 2026 Table 4'!$E$5:$AD$5,0))</f>
        <v>2.8167000000000001E-2</v>
      </c>
      <c r="AH11">
        <f>INDEX('AEO 2026 Table 4'!$E$6:$AD$125,MATCH($B11,'AEO 2026 Table 4'!$B$6:$B$125,0),MATCH(AH$1,'AEO 2026 Table 4'!$E$5:$AD$5,0))</f>
        <v>2.8319E-2</v>
      </c>
    </row>
    <row r="12" spans="1:34" x14ac:dyDescent="0.25">
      <c r="B12" t="s">
        <v>30</v>
      </c>
      <c r="C12" t="s">
        <v>31</v>
      </c>
      <c r="D12" t="str">
        <f t="shared" si="0"/>
        <v>residential-appliances-electricity (BTU)</v>
      </c>
      <c r="E12" t="s">
        <v>8</v>
      </c>
      <c r="F12" t="s">
        <v>16</v>
      </c>
      <c r="G12" s="1" t="s">
        <v>10</v>
      </c>
      <c r="H12" s="44">
        <f>INDEX(Table_4._Residential_Sector_Key!$F$8:$AG$125,MATCH($C12,Table_4._Residential_Sector_Key!$B$8:$B$125,0),MATCH(H$1,Table_4._Residential_Sector_Key!$F$5:$AG$5,0))</f>
        <v>3.6366999999999997E-2</v>
      </c>
      <c r="I12">
        <f>INDEX('AEO 2026 Table 4'!$E$6:$AD$125,MATCH($B12,'AEO 2026 Table 4'!$B$6:$B$125,0),MATCH(I$1,'AEO 2026 Table 4'!$E$5:$AD$5,0))</f>
        <v>3.7162000000000001E-2</v>
      </c>
      <c r="J12">
        <f>INDEX('AEO 2026 Table 4'!$E$6:$AD$125,MATCH($B12,'AEO 2026 Table 4'!$B$6:$B$125,0),MATCH(J$1,'AEO 2026 Table 4'!$E$5:$AD$5,0))</f>
        <v>3.8075999999999999E-2</v>
      </c>
      <c r="K12">
        <f>INDEX('AEO 2026 Table 4'!$E$6:$AD$125,MATCH($B12,'AEO 2026 Table 4'!$B$6:$B$125,0),MATCH(K$1,'AEO 2026 Table 4'!$E$5:$AD$5,0))</f>
        <v>3.8359999999999998E-2</v>
      </c>
      <c r="L12">
        <f>INDEX('AEO 2026 Table 4'!$E$6:$AD$125,MATCH($B12,'AEO 2026 Table 4'!$B$6:$B$125,0),MATCH(L$1,'AEO 2026 Table 4'!$E$5:$AD$5,0))</f>
        <v>3.8523000000000002E-2</v>
      </c>
      <c r="M12">
        <f>INDEX('AEO 2026 Table 4'!$E$6:$AD$125,MATCH($B12,'AEO 2026 Table 4'!$B$6:$B$125,0),MATCH(M$1,'AEO 2026 Table 4'!$E$5:$AD$5,0))</f>
        <v>3.8636999999999998E-2</v>
      </c>
      <c r="N12">
        <f>INDEX('AEO 2026 Table 4'!$E$6:$AD$125,MATCH($B12,'AEO 2026 Table 4'!$B$6:$B$125,0),MATCH(N$1,'AEO 2026 Table 4'!$E$5:$AD$5,0))</f>
        <v>3.8703000000000001E-2</v>
      </c>
      <c r="O12">
        <f>INDEX('AEO 2026 Table 4'!$E$6:$AD$125,MATCH($B12,'AEO 2026 Table 4'!$B$6:$B$125,0),MATCH(O$1,'AEO 2026 Table 4'!$E$5:$AD$5,0))</f>
        <v>3.8719999999999997E-2</v>
      </c>
      <c r="P12">
        <f>INDEX('AEO 2026 Table 4'!$E$6:$AD$125,MATCH($B12,'AEO 2026 Table 4'!$B$6:$B$125,0),MATCH(P$1,'AEO 2026 Table 4'!$E$5:$AD$5,0))</f>
        <v>3.8689000000000001E-2</v>
      </c>
      <c r="Q12">
        <f>INDEX('AEO 2026 Table 4'!$E$6:$AD$125,MATCH($B12,'AEO 2026 Table 4'!$B$6:$B$125,0),MATCH(Q$1,'AEO 2026 Table 4'!$E$5:$AD$5,0))</f>
        <v>3.8733999999999998E-2</v>
      </c>
      <c r="R12">
        <f>INDEX('AEO 2026 Table 4'!$E$6:$AD$125,MATCH($B12,'AEO 2026 Table 4'!$B$6:$B$125,0),MATCH(R$1,'AEO 2026 Table 4'!$E$5:$AD$5,0))</f>
        <v>3.8861E-2</v>
      </c>
      <c r="S12">
        <f>INDEX('AEO 2026 Table 4'!$E$6:$AD$125,MATCH($B12,'AEO 2026 Table 4'!$B$6:$B$125,0),MATCH(S$1,'AEO 2026 Table 4'!$E$5:$AD$5,0))</f>
        <v>3.9071000000000002E-2</v>
      </c>
      <c r="T12">
        <f>INDEX('AEO 2026 Table 4'!$E$6:$AD$125,MATCH($B12,'AEO 2026 Table 4'!$B$6:$B$125,0),MATCH(T$1,'AEO 2026 Table 4'!$E$5:$AD$5,0))</f>
        <v>3.9371000000000003E-2</v>
      </c>
      <c r="U12">
        <f>INDEX('AEO 2026 Table 4'!$E$6:$AD$125,MATCH($B12,'AEO 2026 Table 4'!$B$6:$B$125,0),MATCH(U$1,'AEO 2026 Table 4'!$E$5:$AD$5,0))</f>
        <v>3.9764000000000001E-2</v>
      </c>
      <c r="V12">
        <f>INDEX('AEO 2026 Table 4'!$E$6:$AD$125,MATCH($B12,'AEO 2026 Table 4'!$B$6:$B$125,0),MATCH(V$1,'AEO 2026 Table 4'!$E$5:$AD$5,0))</f>
        <v>4.0261999999999999E-2</v>
      </c>
      <c r="W12">
        <f>INDEX('AEO 2026 Table 4'!$E$6:$AD$125,MATCH($B12,'AEO 2026 Table 4'!$B$6:$B$125,0),MATCH(W$1,'AEO 2026 Table 4'!$E$5:$AD$5,0))</f>
        <v>4.0871999999999999E-2</v>
      </c>
      <c r="X12">
        <f>INDEX('AEO 2026 Table 4'!$E$6:$AD$125,MATCH($B12,'AEO 2026 Table 4'!$B$6:$B$125,0),MATCH(X$1,'AEO 2026 Table 4'!$E$5:$AD$5,0))</f>
        <v>4.1477E-2</v>
      </c>
      <c r="Y12">
        <f>INDEX('AEO 2026 Table 4'!$E$6:$AD$125,MATCH($B12,'AEO 2026 Table 4'!$B$6:$B$125,0),MATCH(Y$1,'AEO 2026 Table 4'!$E$5:$AD$5,0))</f>
        <v>4.2076000000000002E-2</v>
      </c>
      <c r="Z12">
        <f>INDEX('AEO 2026 Table 4'!$E$6:$AD$125,MATCH($B12,'AEO 2026 Table 4'!$B$6:$B$125,0),MATCH(Z$1,'AEO 2026 Table 4'!$E$5:$AD$5,0))</f>
        <v>4.2673999999999997E-2</v>
      </c>
      <c r="AA12">
        <f>INDEX('AEO 2026 Table 4'!$E$6:$AD$125,MATCH($B12,'AEO 2026 Table 4'!$B$6:$B$125,0),MATCH(AA$1,'AEO 2026 Table 4'!$E$5:$AD$5,0))</f>
        <v>4.3272999999999999E-2</v>
      </c>
      <c r="AB12">
        <f>INDEX('AEO 2026 Table 4'!$E$6:$AD$125,MATCH($B12,'AEO 2026 Table 4'!$B$6:$B$125,0),MATCH(AB$1,'AEO 2026 Table 4'!$E$5:$AD$5,0))</f>
        <v>4.3875999999999998E-2</v>
      </c>
      <c r="AC12">
        <f>INDEX('AEO 2026 Table 4'!$E$6:$AD$125,MATCH($B12,'AEO 2026 Table 4'!$B$6:$B$125,0),MATCH(AC$1,'AEO 2026 Table 4'!$E$5:$AD$5,0))</f>
        <v>4.4488E-2</v>
      </c>
      <c r="AD12">
        <f>INDEX('AEO 2026 Table 4'!$E$6:$AD$125,MATCH($B12,'AEO 2026 Table 4'!$B$6:$B$125,0),MATCH(AD$1,'AEO 2026 Table 4'!$E$5:$AD$5,0))</f>
        <v>4.5110999999999998E-2</v>
      </c>
      <c r="AE12">
        <f>INDEX('AEO 2026 Table 4'!$E$6:$AD$125,MATCH($B12,'AEO 2026 Table 4'!$B$6:$B$125,0),MATCH(AE$1,'AEO 2026 Table 4'!$E$5:$AD$5,0))</f>
        <v>4.5740999999999997E-2</v>
      </c>
      <c r="AF12">
        <f>INDEX('AEO 2026 Table 4'!$E$6:$AD$125,MATCH($B12,'AEO 2026 Table 4'!$B$6:$B$125,0),MATCH(AF$1,'AEO 2026 Table 4'!$E$5:$AD$5,0))</f>
        <v>4.6378999999999997E-2</v>
      </c>
      <c r="AG12">
        <f>INDEX('AEO 2026 Table 4'!$E$6:$AD$125,MATCH($B12,'AEO 2026 Table 4'!$B$6:$B$125,0),MATCH(AG$1,'AEO 2026 Table 4'!$E$5:$AD$5,0))</f>
        <v>4.7023000000000002E-2</v>
      </c>
      <c r="AH12">
        <f>INDEX('AEO 2026 Table 4'!$E$6:$AD$125,MATCH($B12,'AEO 2026 Table 4'!$B$6:$B$125,0),MATCH(AH$1,'AEO 2026 Table 4'!$E$5:$AD$5,0))</f>
        <v>4.7676000000000003E-2</v>
      </c>
    </row>
    <row r="13" spans="1:34" x14ac:dyDescent="0.25">
      <c r="B13" t="s">
        <v>32</v>
      </c>
      <c r="C13" t="s">
        <v>33</v>
      </c>
      <c r="D13" t="str">
        <f t="shared" si="0"/>
        <v>residential-other-electricity (BTU)</v>
      </c>
      <c r="E13" t="s">
        <v>8</v>
      </c>
      <c r="F13" t="s">
        <v>34</v>
      </c>
      <c r="G13" s="1" t="s">
        <v>10</v>
      </c>
      <c r="H13" s="44">
        <f>INDEX(Table_4._Residential_Sector_Key!$F$8:$AG$125,MATCH($C13,Table_4._Residential_Sector_Key!$B$8:$B$125,0),MATCH(H$1,Table_4._Residential_Sector_Key!$F$5:$AG$5,0))</f>
        <v>0.12937399999999999</v>
      </c>
      <c r="I13">
        <f>INDEX('AEO 2026 Table 4'!$E$6:$AD$125,MATCH($B13,'AEO 2026 Table 4'!$B$6:$B$125,0),MATCH(I$1,'AEO 2026 Table 4'!$E$5:$AD$5,0))</f>
        <v>0.12483900000000001</v>
      </c>
      <c r="J13">
        <f>INDEX('AEO 2026 Table 4'!$E$6:$AD$125,MATCH($B13,'AEO 2026 Table 4'!$B$6:$B$125,0),MATCH(J$1,'AEO 2026 Table 4'!$E$5:$AD$5,0))</f>
        <v>0.12217699999999999</v>
      </c>
      <c r="K13">
        <f>INDEX('AEO 2026 Table 4'!$E$6:$AD$125,MATCH($B13,'AEO 2026 Table 4'!$B$6:$B$125,0),MATCH(K$1,'AEO 2026 Table 4'!$E$5:$AD$5,0))</f>
        <v>0.119963</v>
      </c>
      <c r="L13">
        <f>INDEX('AEO 2026 Table 4'!$E$6:$AD$125,MATCH($B13,'AEO 2026 Table 4'!$B$6:$B$125,0),MATCH(L$1,'AEO 2026 Table 4'!$E$5:$AD$5,0))</f>
        <v>0.118088</v>
      </c>
      <c r="M13">
        <f>INDEX('AEO 2026 Table 4'!$E$6:$AD$125,MATCH($B13,'AEO 2026 Table 4'!$B$6:$B$125,0),MATCH(M$1,'AEO 2026 Table 4'!$E$5:$AD$5,0))</f>
        <v>0.11609700000000001</v>
      </c>
      <c r="N13">
        <f>INDEX('AEO 2026 Table 4'!$E$6:$AD$125,MATCH($B13,'AEO 2026 Table 4'!$B$6:$B$125,0),MATCH(N$1,'AEO 2026 Table 4'!$E$5:$AD$5,0))</f>
        <v>0.113806</v>
      </c>
      <c r="O13">
        <f>INDEX('AEO 2026 Table 4'!$E$6:$AD$125,MATCH($B13,'AEO 2026 Table 4'!$B$6:$B$125,0),MATCH(O$1,'AEO 2026 Table 4'!$E$5:$AD$5,0))</f>
        <v>0.111516</v>
      </c>
      <c r="P13">
        <f>INDEX('AEO 2026 Table 4'!$E$6:$AD$125,MATCH($B13,'AEO 2026 Table 4'!$B$6:$B$125,0),MATCH(P$1,'AEO 2026 Table 4'!$E$5:$AD$5,0))</f>
        <v>0.109399</v>
      </c>
      <c r="Q13">
        <f>INDEX('AEO 2026 Table 4'!$E$6:$AD$125,MATCH($B13,'AEO 2026 Table 4'!$B$6:$B$125,0),MATCH(Q$1,'AEO 2026 Table 4'!$E$5:$AD$5,0))</f>
        <v>0.107489</v>
      </c>
      <c r="R13">
        <f>INDEX('AEO 2026 Table 4'!$E$6:$AD$125,MATCH($B13,'AEO 2026 Table 4'!$B$6:$B$125,0),MATCH(R$1,'AEO 2026 Table 4'!$E$5:$AD$5,0))</f>
        <v>0.105735</v>
      </c>
      <c r="S13">
        <f>INDEX('AEO 2026 Table 4'!$E$6:$AD$125,MATCH($B13,'AEO 2026 Table 4'!$B$6:$B$125,0),MATCH(S$1,'AEO 2026 Table 4'!$E$5:$AD$5,0))</f>
        <v>0.104144</v>
      </c>
      <c r="T13">
        <f>INDEX('AEO 2026 Table 4'!$E$6:$AD$125,MATCH($B13,'AEO 2026 Table 4'!$B$6:$B$125,0),MATCH(T$1,'AEO 2026 Table 4'!$E$5:$AD$5,0))</f>
        <v>0.102719</v>
      </c>
      <c r="U13">
        <f>INDEX('AEO 2026 Table 4'!$E$6:$AD$125,MATCH($B13,'AEO 2026 Table 4'!$B$6:$B$125,0),MATCH(U$1,'AEO 2026 Table 4'!$E$5:$AD$5,0))</f>
        <v>0.101411</v>
      </c>
      <c r="V13">
        <f>INDEX('AEO 2026 Table 4'!$E$6:$AD$125,MATCH($B13,'AEO 2026 Table 4'!$B$6:$B$125,0),MATCH(V$1,'AEO 2026 Table 4'!$E$5:$AD$5,0))</f>
        <v>0.100273</v>
      </c>
      <c r="W13">
        <f>INDEX('AEO 2026 Table 4'!$E$6:$AD$125,MATCH($B13,'AEO 2026 Table 4'!$B$6:$B$125,0),MATCH(W$1,'AEO 2026 Table 4'!$E$5:$AD$5,0))</f>
        <v>9.9266999999999994E-2</v>
      </c>
      <c r="X13">
        <f>INDEX('AEO 2026 Table 4'!$E$6:$AD$125,MATCH($B13,'AEO 2026 Table 4'!$B$6:$B$125,0),MATCH(X$1,'AEO 2026 Table 4'!$E$5:$AD$5,0))</f>
        <v>9.8397999999999999E-2</v>
      </c>
      <c r="Y13">
        <f>INDEX('AEO 2026 Table 4'!$E$6:$AD$125,MATCH($B13,'AEO 2026 Table 4'!$B$6:$B$125,0),MATCH(Y$1,'AEO 2026 Table 4'!$E$5:$AD$5,0))</f>
        <v>9.7694000000000003E-2</v>
      </c>
      <c r="Z13">
        <f>INDEX('AEO 2026 Table 4'!$E$6:$AD$125,MATCH($B13,'AEO 2026 Table 4'!$B$6:$B$125,0),MATCH(Z$1,'AEO 2026 Table 4'!$E$5:$AD$5,0))</f>
        <v>9.7154000000000004E-2</v>
      </c>
      <c r="AA13">
        <f>INDEX('AEO 2026 Table 4'!$E$6:$AD$125,MATCH($B13,'AEO 2026 Table 4'!$B$6:$B$125,0),MATCH(AA$1,'AEO 2026 Table 4'!$E$5:$AD$5,0))</f>
        <v>9.6814999999999998E-2</v>
      </c>
      <c r="AB13">
        <f>INDEX('AEO 2026 Table 4'!$E$6:$AD$125,MATCH($B13,'AEO 2026 Table 4'!$B$6:$B$125,0),MATCH(AB$1,'AEO 2026 Table 4'!$E$5:$AD$5,0))</f>
        <v>9.6643000000000007E-2</v>
      </c>
      <c r="AC13">
        <f>INDEX('AEO 2026 Table 4'!$E$6:$AD$125,MATCH($B13,'AEO 2026 Table 4'!$B$6:$B$125,0),MATCH(AC$1,'AEO 2026 Table 4'!$E$5:$AD$5,0))</f>
        <v>9.6638000000000002E-2</v>
      </c>
      <c r="AD13">
        <f>INDEX('AEO 2026 Table 4'!$E$6:$AD$125,MATCH($B13,'AEO 2026 Table 4'!$B$6:$B$125,0),MATCH(AD$1,'AEO 2026 Table 4'!$E$5:$AD$5,0))</f>
        <v>9.6758999999999998E-2</v>
      </c>
      <c r="AE13">
        <f>INDEX('AEO 2026 Table 4'!$E$6:$AD$125,MATCH($B13,'AEO 2026 Table 4'!$B$6:$B$125,0),MATCH(AE$1,'AEO 2026 Table 4'!$E$5:$AD$5,0))</f>
        <v>9.6903000000000003E-2</v>
      </c>
      <c r="AF13">
        <f>INDEX('AEO 2026 Table 4'!$E$6:$AD$125,MATCH($B13,'AEO 2026 Table 4'!$B$6:$B$125,0),MATCH(AF$1,'AEO 2026 Table 4'!$E$5:$AD$5,0))</f>
        <v>9.7108E-2</v>
      </c>
      <c r="AG13">
        <f>INDEX('AEO 2026 Table 4'!$E$6:$AD$125,MATCH($B13,'AEO 2026 Table 4'!$B$6:$B$125,0),MATCH(AG$1,'AEO 2026 Table 4'!$E$5:$AD$5,0))</f>
        <v>9.7404000000000004E-2</v>
      </c>
      <c r="AH13">
        <f>INDEX('AEO 2026 Table 4'!$E$6:$AD$125,MATCH($B13,'AEO 2026 Table 4'!$B$6:$B$125,0),MATCH(AH$1,'AEO 2026 Table 4'!$E$5:$AD$5,0))</f>
        <v>9.7757999999999998E-2</v>
      </c>
    </row>
    <row r="14" spans="1:34" x14ac:dyDescent="0.25">
      <c r="B14" t="s">
        <v>35</v>
      </c>
      <c r="C14" t="s">
        <v>36</v>
      </c>
      <c r="D14" t="str">
        <f t="shared" si="0"/>
        <v>residential-other-electricity (BTU)</v>
      </c>
      <c r="E14" t="s">
        <v>8</v>
      </c>
      <c r="F14" t="s">
        <v>34</v>
      </c>
      <c r="G14" s="1" t="s">
        <v>10</v>
      </c>
      <c r="H14" s="44">
        <f>INDEX(Table_4._Residential_Sector_Key!$F$8:$AG$125,MATCH($C14,Table_4._Residential_Sector_Key!$B$8:$B$125,0),MATCH(H$1,Table_4._Residential_Sector_Key!$F$5:$AG$5,0))</f>
        <v>0.100147</v>
      </c>
      <c r="I14">
        <f>INDEX('AEO 2026 Table 4'!$E$6:$AD$125,MATCH($B14,'AEO 2026 Table 4'!$B$6:$B$125,0),MATCH(I$1,'AEO 2026 Table 4'!$E$5:$AD$5,0))</f>
        <v>9.7012000000000001E-2</v>
      </c>
      <c r="J14">
        <f>INDEX('AEO 2026 Table 4'!$E$6:$AD$125,MATCH($B14,'AEO 2026 Table 4'!$B$6:$B$125,0),MATCH(J$1,'AEO 2026 Table 4'!$E$5:$AD$5,0))</f>
        <v>9.5324000000000006E-2</v>
      </c>
      <c r="K14">
        <f>INDEX('AEO 2026 Table 4'!$E$6:$AD$125,MATCH($B14,'AEO 2026 Table 4'!$B$6:$B$125,0),MATCH(K$1,'AEO 2026 Table 4'!$E$5:$AD$5,0))</f>
        <v>9.3865000000000004E-2</v>
      </c>
      <c r="L14">
        <f>INDEX('AEO 2026 Table 4'!$E$6:$AD$125,MATCH($B14,'AEO 2026 Table 4'!$B$6:$B$125,0),MATCH(L$1,'AEO 2026 Table 4'!$E$5:$AD$5,0))</f>
        <v>9.2523999999999995E-2</v>
      </c>
      <c r="M14">
        <f>INDEX('AEO 2026 Table 4'!$E$6:$AD$125,MATCH($B14,'AEO 2026 Table 4'!$B$6:$B$125,0),MATCH(M$1,'AEO 2026 Table 4'!$E$5:$AD$5,0))</f>
        <v>9.0934000000000001E-2</v>
      </c>
      <c r="N14">
        <f>INDEX('AEO 2026 Table 4'!$E$6:$AD$125,MATCH($B14,'AEO 2026 Table 4'!$B$6:$B$125,0),MATCH(N$1,'AEO 2026 Table 4'!$E$5:$AD$5,0))</f>
        <v>8.8982000000000006E-2</v>
      </c>
      <c r="O14">
        <f>INDEX('AEO 2026 Table 4'!$E$6:$AD$125,MATCH($B14,'AEO 2026 Table 4'!$B$6:$B$125,0),MATCH(O$1,'AEO 2026 Table 4'!$E$5:$AD$5,0))</f>
        <v>8.6905999999999997E-2</v>
      </c>
      <c r="P14">
        <f>INDEX('AEO 2026 Table 4'!$E$6:$AD$125,MATCH($B14,'AEO 2026 Table 4'!$B$6:$B$125,0),MATCH(P$1,'AEO 2026 Table 4'!$E$5:$AD$5,0))</f>
        <v>8.4864999999999996E-2</v>
      </c>
      <c r="Q14">
        <f>INDEX('AEO 2026 Table 4'!$E$6:$AD$125,MATCH($B14,'AEO 2026 Table 4'!$B$6:$B$125,0),MATCH(Q$1,'AEO 2026 Table 4'!$E$5:$AD$5,0))</f>
        <v>8.2885E-2</v>
      </c>
      <c r="R14">
        <f>INDEX('AEO 2026 Table 4'!$E$6:$AD$125,MATCH($B14,'AEO 2026 Table 4'!$B$6:$B$125,0),MATCH(R$1,'AEO 2026 Table 4'!$E$5:$AD$5,0))</f>
        <v>8.0946000000000004E-2</v>
      </c>
      <c r="S14">
        <f>INDEX('AEO 2026 Table 4'!$E$6:$AD$125,MATCH($B14,'AEO 2026 Table 4'!$B$6:$B$125,0),MATCH(S$1,'AEO 2026 Table 4'!$E$5:$AD$5,0))</f>
        <v>7.9061999999999993E-2</v>
      </c>
      <c r="T14">
        <f>INDEX('AEO 2026 Table 4'!$E$6:$AD$125,MATCH($B14,'AEO 2026 Table 4'!$B$6:$B$125,0),MATCH(T$1,'AEO 2026 Table 4'!$E$5:$AD$5,0))</f>
        <v>7.7249999999999999E-2</v>
      </c>
      <c r="U14">
        <f>INDEX('AEO 2026 Table 4'!$E$6:$AD$125,MATCH($B14,'AEO 2026 Table 4'!$B$6:$B$125,0),MATCH(U$1,'AEO 2026 Table 4'!$E$5:$AD$5,0))</f>
        <v>7.5483999999999996E-2</v>
      </c>
      <c r="V14">
        <f>INDEX('AEO 2026 Table 4'!$E$6:$AD$125,MATCH($B14,'AEO 2026 Table 4'!$B$6:$B$125,0),MATCH(V$1,'AEO 2026 Table 4'!$E$5:$AD$5,0))</f>
        <v>7.3799000000000003E-2</v>
      </c>
      <c r="W14">
        <f>INDEX('AEO 2026 Table 4'!$E$6:$AD$125,MATCH($B14,'AEO 2026 Table 4'!$B$6:$B$125,0),MATCH(W$1,'AEO 2026 Table 4'!$E$5:$AD$5,0))</f>
        <v>7.2189000000000003E-2</v>
      </c>
      <c r="X14">
        <f>INDEX('AEO 2026 Table 4'!$E$6:$AD$125,MATCH($B14,'AEO 2026 Table 4'!$B$6:$B$125,0),MATCH(X$1,'AEO 2026 Table 4'!$E$5:$AD$5,0))</f>
        <v>7.0666999999999994E-2</v>
      </c>
      <c r="Y14">
        <f>INDEX('AEO 2026 Table 4'!$E$6:$AD$125,MATCH($B14,'AEO 2026 Table 4'!$B$6:$B$125,0),MATCH(Y$1,'AEO 2026 Table 4'!$E$5:$AD$5,0))</f>
        <v>6.9258E-2</v>
      </c>
      <c r="Z14">
        <f>INDEX('AEO 2026 Table 4'!$E$6:$AD$125,MATCH($B14,'AEO 2026 Table 4'!$B$6:$B$125,0),MATCH(Z$1,'AEO 2026 Table 4'!$E$5:$AD$5,0))</f>
        <v>6.7989999999999995E-2</v>
      </c>
      <c r="AA14">
        <f>INDEX('AEO 2026 Table 4'!$E$6:$AD$125,MATCH($B14,'AEO 2026 Table 4'!$B$6:$B$125,0),MATCH(AA$1,'AEO 2026 Table 4'!$E$5:$AD$5,0))</f>
        <v>6.6878999999999994E-2</v>
      </c>
      <c r="AB14">
        <f>INDEX('AEO 2026 Table 4'!$E$6:$AD$125,MATCH($B14,'AEO 2026 Table 4'!$B$6:$B$125,0),MATCH(AB$1,'AEO 2026 Table 4'!$E$5:$AD$5,0))</f>
        <v>6.5919000000000005E-2</v>
      </c>
      <c r="AC14">
        <f>INDEX('AEO 2026 Table 4'!$E$6:$AD$125,MATCH($B14,'AEO 2026 Table 4'!$B$6:$B$125,0),MATCH(AC$1,'AEO 2026 Table 4'!$E$5:$AD$5,0))</f>
        <v>6.5114000000000005E-2</v>
      </c>
      <c r="AD14">
        <f>INDEX('AEO 2026 Table 4'!$E$6:$AD$125,MATCH($B14,'AEO 2026 Table 4'!$B$6:$B$125,0),MATCH(AD$1,'AEO 2026 Table 4'!$E$5:$AD$5,0))</f>
        <v>6.4455999999999999E-2</v>
      </c>
      <c r="AE14">
        <f>INDEX('AEO 2026 Table 4'!$E$6:$AD$125,MATCH($B14,'AEO 2026 Table 4'!$B$6:$B$125,0),MATCH(AE$1,'AEO 2026 Table 4'!$E$5:$AD$5,0))</f>
        <v>6.3893000000000005E-2</v>
      </c>
      <c r="AF14">
        <f>INDEX('AEO 2026 Table 4'!$E$6:$AD$125,MATCH($B14,'AEO 2026 Table 4'!$B$6:$B$125,0),MATCH(AF$1,'AEO 2026 Table 4'!$E$5:$AD$5,0))</f>
        <v>6.3459000000000002E-2</v>
      </c>
      <c r="AG14">
        <f>INDEX('AEO 2026 Table 4'!$E$6:$AD$125,MATCH($B14,'AEO 2026 Table 4'!$B$6:$B$125,0),MATCH(AG$1,'AEO 2026 Table 4'!$E$5:$AD$5,0))</f>
        <v>6.3205999999999998E-2</v>
      </c>
      <c r="AH14">
        <f>INDEX('AEO 2026 Table 4'!$E$6:$AD$125,MATCH($B14,'AEO 2026 Table 4'!$B$6:$B$125,0),MATCH(AH$1,'AEO 2026 Table 4'!$E$5:$AD$5,0))</f>
        <v>6.3081999999999999E-2</v>
      </c>
    </row>
    <row r="15" spans="1:34" x14ac:dyDescent="0.25">
      <c r="B15" t="s">
        <v>37</v>
      </c>
      <c r="C15" t="s">
        <v>38</v>
      </c>
      <c r="D15" t="str">
        <f t="shared" si="0"/>
        <v>residential-cooling-electricity (BTU)</v>
      </c>
      <c r="E15" t="s">
        <v>8</v>
      </c>
      <c r="F15" t="s">
        <v>13</v>
      </c>
      <c r="G15" s="1" t="s">
        <v>10</v>
      </c>
      <c r="H15" s="44">
        <f>INDEX(Table_4._Residential_Sector_Key!$F$8:$AG$125,MATCH($C15,Table_4._Residential_Sector_Key!$B$8:$B$125,0),MATCH(H$1,Table_4._Residential_Sector_Key!$F$5:$AG$5,0))</f>
        <v>0.137569</v>
      </c>
      <c r="I15">
        <f>INDEX('AEO 2026 Table 4'!$E$6:$AD$125,MATCH($B15,'AEO 2026 Table 4'!$B$6:$B$125,0),MATCH(I$1,'AEO 2026 Table 4'!$E$5:$AD$5,0))</f>
        <v>0.15743599999999999</v>
      </c>
      <c r="J15">
        <f>INDEX('AEO 2026 Table 4'!$E$6:$AD$125,MATCH($B15,'AEO 2026 Table 4'!$B$6:$B$125,0),MATCH(J$1,'AEO 2026 Table 4'!$E$5:$AD$5,0))</f>
        <v>0.15289700000000001</v>
      </c>
      <c r="K15">
        <f>INDEX('AEO 2026 Table 4'!$E$6:$AD$125,MATCH($B15,'AEO 2026 Table 4'!$B$6:$B$125,0),MATCH(K$1,'AEO 2026 Table 4'!$E$5:$AD$5,0))</f>
        <v>0.153778</v>
      </c>
      <c r="L15">
        <f>INDEX('AEO 2026 Table 4'!$E$6:$AD$125,MATCH($B15,'AEO 2026 Table 4'!$B$6:$B$125,0),MATCH(L$1,'AEO 2026 Table 4'!$E$5:$AD$5,0))</f>
        <v>0.15411900000000001</v>
      </c>
      <c r="M15">
        <f>INDEX('AEO 2026 Table 4'!$E$6:$AD$125,MATCH($B15,'AEO 2026 Table 4'!$B$6:$B$125,0),MATCH(M$1,'AEO 2026 Table 4'!$E$5:$AD$5,0))</f>
        <v>0.15401400000000001</v>
      </c>
      <c r="N15">
        <f>INDEX('AEO 2026 Table 4'!$E$6:$AD$125,MATCH($B15,'AEO 2026 Table 4'!$B$6:$B$125,0),MATCH(N$1,'AEO 2026 Table 4'!$E$5:$AD$5,0))</f>
        <v>0.15365100000000001</v>
      </c>
      <c r="O15">
        <f>INDEX('AEO 2026 Table 4'!$E$6:$AD$125,MATCH($B15,'AEO 2026 Table 4'!$B$6:$B$125,0),MATCH(O$1,'AEO 2026 Table 4'!$E$5:$AD$5,0))</f>
        <v>0.15307000000000001</v>
      </c>
      <c r="P15">
        <f>INDEX('AEO 2026 Table 4'!$E$6:$AD$125,MATCH($B15,'AEO 2026 Table 4'!$B$6:$B$125,0),MATCH(P$1,'AEO 2026 Table 4'!$E$5:$AD$5,0))</f>
        <v>0.15265799999999999</v>
      </c>
      <c r="Q15">
        <f>INDEX('AEO 2026 Table 4'!$E$6:$AD$125,MATCH($B15,'AEO 2026 Table 4'!$B$6:$B$125,0),MATCH(Q$1,'AEO 2026 Table 4'!$E$5:$AD$5,0))</f>
        <v>0.152172</v>
      </c>
      <c r="R15">
        <f>INDEX('AEO 2026 Table 4'!$E$6:$AD$125,MATCH($B15,'AEO 2026 Table 4'!$B$6:$B$125,0),MATCH(R$1,'AEO 2026 Table 4'!$E$5:$AD$5,0))</f>
        <v>0.15165799999999999</v>
      </c>
      <c r="S15">
        <f>INDEX('AEO 2026 Table 4'!$E$6:$AD$125,MATCH($B15,'AEO 2026 Table 4'!$B$6:$B$125,0),MATCH(S$1,'AEO 2026 Table 4'!$E$5:$AD$5,0))</f>
        <v>0.15102299999999999</v>
      </c>
      <c r="T15">
        <f>INDEX('AEO 2026 Table 4'!$E$6:$AD$125,MATCH($B15,'AEO 2026 Table 4'!$B$6:$B$125,0),MATCH(T$1,'AEO 2026 Table 4'!$E$5:$AD$5,0))</f>
        <v>0.15023</v>
      </c>
      <c r="U15">
        <f>INDEX('AEO 2026 Table 4'!$E$6:$AD$125,MATCH($B15,'AEO 2026 Table 4'!$B$6:$B$125,0),MATCH(U$1,'AEO 2026 Table 4'!$E$5:$AD$5,0))</f>
        <v>0.14910799999999999</v>
      </c>
      <c r="V15">
        <f>INDEX('AEO 2026 Table 4'!$E$6:$AD$125,MATCH($B15,'AEO 2026 Table 4'!$B$6:$B$125,0),MATCH(V$1,'AEO 2026 Table 4'!$E$5:$AD$5,0))</f>
        <v>0.14768600000000001</v>
      </c>
      <c r="W15">
        <f>INDEX('AEO 2026 Table 4'!$E$6:$AD$125,MATCH($B15,'AEO 2026 Table 4'!$B$6:$B$125,0),MATCH(W$1,'AEO 2026 Table 4'!$E$5:$AD$5,0))</f>
        <v>0.14590700000000001</v>
      </c>
      <c r="X15">
        <f>INDEX('AEO 2026 Table 4'!$E$6:$AD$125,MATCH($B15,'AEO 2026 Table 4'!$B$6:$B$125,0),MATCH(X$1,'AEO 2026 Table 4'!$E$5:$AD$5,0))</f>
        <v>0.14382800000000001</v>
      </c>
      <c r="Y15">
        <f>INDEX('AEO 2026 Table 4'!$E$6:$AD$125,MATCH($B15,'AEO 2026 Table 4'!$B$6:$B$125,0),MATCH(Y$1,'AEO 2026 Table 4'!$E$5:$AD$5,0))</f>
        <v>0.14144399999999999</v>
      </c>
      <c r="Z15">
        <f>INDEX('AEO 2026 Table 4'!$E$6:$AD$125,MATCH($B15,'AEO 2026 Table 4'!$B$6:$B$125,0),MATCH(Z$1,'AEO 2026 Table 4'!$E$5:$AD$5,0))</f>
        <v>0.139018</v>
      </c>
      <c r="AA15">
        <f>INDEX('AEO 2026 Table 4'!$E$6:$AD$125,MATCH($B15,'AEO 2026 Table 4'!$B$6:$B$125,0),MATCH(AA$1,'AEO 2026 Table 4'!$E$5:$AD$5,0))</f>
        <v>0.13644400000000001</v>
      </c>
      <c r="AB15">
        <f>INDEX('AEO 2026 Table 4'!$E$6:$AD$125,MATCH($B15,'AEO 2026 Table 4'!$B$6:$B$125,0),MATCH(AB$1,'AEO 2026 Table 4'!$E$5:$AD$5,0))</f>
        <v>0.13381899999999999</v>
      </c>
      <c r="AC15">
        <f>INDEX('AEO 2026 Table 4'!$E$6:$AD$125,MATCH($B15,'AEO 2026 Table 4'!$B$6:$B$125,0),MATCH(AC$1,'AEO 2026 Table 4'!$E$5:$AD$5,0))</f>
        <v>0.13125700000000001</v>
      </c>
      <c r="AD15">
        <f>INDEX('AEO 2026 Table 4'!$E$6:$AD$125,MATCH($B15,'AEO 2026 Table 4'!$B$6:$B$125,0),MATCH(AD$1,'AEO 2026 Table 4'!$E$5:$AD$5,0))</f>
        <v>0.12870899999999999</v>
      </c>
      <c r="AE15">
        <f>INDEX('AEO 2026 Table 4'!$E$6:$AD$125,MATCH($B15,'AEO 2026 Table 4'!$B$6:$B$125,0),MATCH(AE$1,'AEO 2026 Table 4'!$E$5:$AD$5,0))</f>
        <v>0.12613199999999999</v>
      </c>
      <c r="AF15">
        <f>INDEX('AEO 2026 Table 4'!$E$6:$AD$125,MATCH($B15,'AEO 2026 Table 4'!$B$6:$B$125,0),MATCH(AF$1,'AEO 2026 Table 4'!$E$5:$AD$5,0))</f>
        <v>0.12373099999999999</v>
      </c>
      <c r="AG15">
        <f>INDEX('AEO 2026 Table 4'!$E$6:$AD$125,MATCH($B15,'AEO 2026 Table 4'!$B$6:$B$125,0),MATCH(AG$1,'AEO 2026 Table 4'!$E$5:$AD$5,0))</f>
        <v>0.121516</v>
      </c>
      <c r="AH15">
        <f>INDEX('AEO 2026 Table 4'!$E$6:$AD$125,MATCH($B15,'AEO 2026 Table 4'!$B$6:$B$125,0),MATCH(AH$1,'AEO 2026 Table 4'!$E$5:$AD$5,0))</f>
        <v>0.11952</v>
      </c>
    </row>
    <row r="16" spans="1:34" x14ac:dyDescent="0.25">
      <c r="B16" t="s">
        <v>39</v>
      </c>
      <c r="C16" t="s">
        <v>40</v>
      </c>
      <c r="D16" t="str">
        <f t="shared" si="0"/>
        <v>residential-other-electricity (BTU)</v>
      </c>
      <c r="E16" t="s">
        <v>8</v>
      </c>
      <c r="F16" t="s">
        <v>34</v>
      </c>
      <c r="G16" s="1" t="s">
        <v>10</v>
      </c>
      <c r="H16" s="44">
        <f>INDEX(Table_4._Residential_Sector_Key!$F$8:$AG$125,MATCH($C16,Table_4._Residential_Sector_Key!$B$8:$B$125,0),MATCH(H$1,Table_4._Residential_Sector_Key!$F$5:$AG$5,0))</f>
        <v>1.9528239999999999</v>
      </c>
      <c r="I16">
        <f>INDEX('AEO 2026 Table 4'!$E$6:$AD$125,MATCH($B16,'AEO 2026 Table 4'!$B$6:$B$125,0),MATCH(I$1,'AEO 2026 Table 4'!$E$5:$AD$5,0))</f>
        <v>2.0319759999999998</v>
      </c>
      <c r="J16">
        <f>INDEX('AEO 2026 Table 4'!$E$6:$AD$125,MATCH($B16,'AEO 2026 Table 4'!$B$6:$B$125,0),MATCH(J$1,'AEO 2026 Table 4'!$E$5:$AD$5,0))</f>
        <v>2.0497800000000002</v>
      </c>
      <c r="K16">
        <f>INDEX('AEO 2026 Table 4'!$E$6:$AD$125,MATCH($B16,'AEO 2026 Table 4'!$B$6:$B$125,0),MATCH(K$1,'AEO 2026 Table 4'!$E$5:$AD$5,0))</f>
        <v>1.9516560000000001</v>
      </c>
      <c r="L16">
        <f>INDEX('AEO 2026 Table 4'!$E$6:$AD$125,MATCH($B16,'AEO 2026 Table 4'!$B$6:$B$125,0),MATCH(L$1,'AEO 2026 Table 4'!$E$5:$AD$5,0))</f>
        <v>1.9885809999999999</v>
      </c>
      <c r="M16">
        <f>INDEX('AEO 2026 Table 4'!$E$6:$AD$125,MATCH($B16,'AEO 2026 Table 4'!$B$6:$B$125,0),MATCH(M$1,'AEO 2026 Table 4'!$E$5:$AD$5,0))</f>
        <v>2.0226929999999999</v>
      </c>
      <c r="N16">
        <f>INDEX('AEO 2026 Table 4'!$E$6:$AD$125,MATCH($B16,'AEO 2026 Table 4'!$B$6:$B$125,0),MATCH(N$1,'AEO 2026 Table 4'!$E$5:$AD$5,0))</f>
        <v>2.0521240000000001</v>
      </c>
      <c r="O16">
        <f>INDEX('AEO 2026 Table 4'!$E$6:$AD$125,MATCH($B16,'AEO 2026 Table 4'!$B$6:$B$125,0),MATCH(O$1,'AEO 2026 Table 4'!$E$5:$AD$5,0))</f>
        <v>2.0794380000000001</v>
      </c>
      <c r="P16">
        <f>INDEX('AEO 2026 Table 4'!$E$6:$AD$125,MATCH($B16,'AEO 2026 Table 4'!$B$6:$B$125,0),MATCH(P$1,'AEO 2026 Table 4'!$E$5:$AD$5,0))</f>
        <v>2.1075020000000002</v>
      </c>
      <c r="Q16">
        <f>INDEX('AEO 2026 Table 4'!$E$6:$AD$125,MATCH($B16,'AEO 2026 Table 4'!$B$6:$B$125,0),MATCH(Q$1,'AEO 2026 Table 4'!$E$5:$AD$5,0))</f>
        <v>2.1366209999999999</v>
      </c>
      <c r="R16">
        <f>INDEX('AEO 2026 Table 4'!$E$6:$AD$125,MATCH($B16,'AEO 2026 Table 4'!$B$6:$B$125,0),MATCH(R$1,'AEO 2026 Table 4'!$E$5:$AD$5,0))</f>
        <v>2.1690040000000002</v>
      </c>
      <c r="S16">
        <f>INDEX('AEO 2026 Table 4'!$E$6:$AD$125,MATCH($B16,'AEO 2026 Table 4'!$B$6:$B$125,0),MATCH(S$1,'AEO 2026 Table 4'!$E$5:$AD$5,0))</f>
        <v>2.202814</v>
      </c>
      <c r="T16">
        <f>INDEX('AEO 2026 Table 4'!$E$6:$AD$125,MATCH($B16,'AEO 2026 Table 4'!$B$6:$B$125,0),MATCH(T$1,'AEO 2026 Table 4'!$E$5:$AD$5,0))</f>
        <v>2.236977</v>
      </c>
      <c r="U16">
        <f>INDEX('AEO 2026 Table 4'!$E$6:$AD$125,MATCH($B16,'AEO 2026 Table 4'!$B$6:$B$125,0),MATCH(U$1,'AEO 2026 Table 4'!$E$5:$AD$5,0))</f>
        <v>2.2721589999999998</v>
      </c>
      <c r="V16">
        <f>INDEX('AEO 2026 Table 4'!$E$6:$AD$125,MATCH($B16,'AEO 2026 Table 4'!$B$6:$B$125,0),MATCH(V$1,'AEO 2026 Table 4'!$E$5:$AD$5,0))</f>
        <v>2.308141</v>
      </c>
      <c r="W16">
        <f>INDEX('AEO 2026 Table 4'!$E$6:$AD$125,MATCH($B16,'AEO 2026 Table 4'!$B$6:$B$125,0),MATCH(W$1,'AEO 2026 Table 4'!$E$5:$AD$5,0))</f>
        <v>2.343804</v>
      </c>
      <c r="X16">
        <f>INDEX('AEO 2026 Table 4'!$E$6:$AD$125,MATCH($B16,'AEO 2026 Table 4'!$B$6:$B$125,0),MATCH(X$1,'AEO 2026 Table 4'!$E$5:$AD$5,0))</f>
        <v>2.3753449999999998</v>
      </c>
      <c r="Y16">
        <f>INDEX('AEO 2026 Table 4'!$E$6:$AD$125,MATCH($B16,'AEO 2026 Table 4'!$B$6:$B$125,0),MATCH(Y$1,'AEO 2026 Table 4'!$E$5:$AD$5,0))</f>
        <v>2.4092920000000002</v>
      </c>
      <c r="Z16">
        <f>INDEX('AEO 2026 Table 4'!$E$6:$AD$125,MATCH($B16,'AEO 2026 Table 4'!$B$6:$B$125,0),MATCH(Z$1,'AEO 2026 Table 4'!$E$5:$AD$5,0))</f>
        <v>2.4448620000000001</v>
      </c>
      <c r="AA16">
        <f>INDEX('AEO 2026 Table 4'!$E$6:$AD$125,MATCH($B16,'AEO 2026 Table 4'!$B$6:$B$125,0),MATCH(AA$1,'AEO 2026 Table 4'!$E$5:$AD$5,0))</f>
        <v>2.4824570000000001</v>
      </c>
      <c r="AB16">
        <f>INDEX('AEO 2026 Table 4'!$E$6:$AD$125,MATCH($B16,'AEO 2026 Table 4'!$B$6:$B$125,0),MATCH(AB$1,'AEO 2026 Table 4'!$E$5:$AD$5,0))</f>
        <v>2.52102</v>
      </c>
      <c r="AC16">
        <f>INDEX('AEO 2026 Table 4'!$E$6:$AD$125,MATCH($B16,'AEO 2026 Table 4'!$B$6:$B$125,0),MATCH(AC$1,'AEO 2026 Table 4'!$E$5:$AD$5,0))</f>
        <v>2.555663</v>
      </c>
      <c r="AD16">
        <f>INDEX('AEO 2026 Table 4'!$E$6:$AD$125,MATCH($B16,'AEO 2026 Table 4'!$B$6:$B$125,0),MATCH(AD$1,'AEO 2026 Table 4'!$E$5:$AD$5,0))</f>
        <v>2.5940460000000001</v>
      </c>
      <c r="AE16">
        <f>INDEX('AEO 2026 Table 4'!$E$6:$AD$125,MATCH($B16,'AEO 2026 Table 4'!$B$6:$B$125,0),MATCH(AE$1,'AEO 2026 Table 4'!$E$5:$AD$5,0))</f>
        <v>2.6318519999999999</v>
      </c>
      <c r="AF16">
        <f>INDEX('AEO 2026 Table 4'!$E$6:$AD$125,MATCH($B16,'AEO 2026 Table 4'!$B$6:$B$125,0),MATCH(AF$1,'AEO 2026 Table 4'!$E$5:$AD$5,0))</f>
        <v>2.6698110000000002</v>
      </c>
      <c r="AG16">
        <f>INDEX('AEO 2026 Table 4'!$E$6:$AD$125,MATCH($B16,'AEO 2026 Table 4'!$B$6:$B$125,0),MATCH(AG$1,'AEO 2026 Table 4'!$E$5:$AD$5,0))</f>
        <v>2.708942</v>
      </c>
      <c r="AH16">
        <f>INDEX('AEO 2026 Table 4'!$E$6:$AD$125,MATCH($B16,'AEO 2026 Table 4'!$B$6:$B$125,0),MATCH(AH$1,'AEO 2026 Table 4'!$E$5:$AD$5,0))</f>
        <v>2.748828</v>
      </c>
    </row>
    <row r="17" spans="2:34" x14ac:dyDescent="0.25">
      <c r="B17" t="s">
        <v>41</v>
      </c>
      <c r="C17" t="s">
        <v>42</v>
      </c>
      <c r="D17" t="str">
        <f t="shared" si="0"/>
        <v>residential-total-electricity (BTU)</v>
      </c>
      <c r="E17" t="s">
        <v>8</v>
      </c>
      <c r="F17" t="s">
        <v>43</v>
      </c>
      <c r="G17" s="1" t="s">
        <v>10</v>
      </c>
      <c r="H17" s="44">
        <f>INDEX(Table_4._Residential_Sector_Key!$F$8:$AG$125,MATCH($C17,Table_4._Residential_Sector_Key!$B$8:$B$125,0),MATCH(H$1,Table_4._Residential_Sector_Key!$F$5:$AG$5,0))</f>
        <v>5.273498</v>
      </c>
      <c r="I17">
        <f>INDEX('AEO 2026 Table 4'!$E$6:$AD$125,MATCH($B17,'AEO 2026 Table 4'!$B$6:$B$125,0),MATCH(I$1,'AEO 2026 Table 4'!$E$5:$AD$5,0))</f>
        <v>5.3316210000000002</v>
      </c>
      <c r="J17">
        <f>INDEX('AEO 2026 Table 4'!$E$6:$AD$125,MATCH($B17,'AEO 2026 Table 4'!$B$6:$B$125,0),MATCH(J$1,'AEO 2026 Table 4'!$E$5:$AD$5,0))</f>
        <v>5.3623669999999999</v>
      </c>
      <c r="K17">
        <f>INDEX('AEO 2026 Table 4'!$E$6:$AD$125,MATCH($B17,'AEO 2026 Table 4'!$B$6:$B$125,0),MATCH(K$1,'AEO 2026 Table 4'!$E$5:$AD$5,0))</f>
        <v>5.2717369999999999</v>
      </c>
      <c r="L17">
        <f>INDEX('AEO 2026 Table 4'!$E$6:$AD$125,MATCH($B17,'AEO 2026 Table 4'!$B$6:$B$125,0),MATCH(L$1,'AEO 2026 Table 4'!$E$5:$AD$5,0))</f>
        <v>5.3177380000000003</v>
      </c>
      <c r="M17">
        <f>INDEX('AEO 2026 Table 4'!$E$6:$AD$125,MATCH($B17,'AEO 2026 Table 4'!$B$6:$B$125,0),MATCH(M$1,'AEO 2026 Table 4'!$E$5:$AD$5,0))</f>
        <v>5.342727</v>
      </c>
      <c r="N17">
        <f>INDEX('AEO 2026 Table 4'!$E$6:$AD$125,MATCH($B17,'AEO 2026 Table 4'!$B$6:$B$125,0),MATCH(N$1,'AEO 2026 Table 4'!$E$5:$AD$5,0))</f>
        <v>5.3451490000000002</v>
      </c>
      <c r="O17">
        <f>INDEX('AEO 2026 Table 4'!$E$6:$AD$125,MATCH($B17,'AEO 2026 Table 4'!$B$6:$B$125,0),MATCH(O$1,'AEO 2026 Table 4'!$E$5:$AD$5,0))</f>
        <v>5.3415670000000004</v>
      </c>
      <c r="P17">
        <f>INDEX('AEO 2026 Table 4'!$E$6:$AD$125,MATCH($B17,'AEO 2026 Table 4'!$B$6:$B$125,0),MATCH(P$1,'AEO 2026 Table 4'!$E$5:$AD$5,0))</f>
        <v>5.3418359999999998</v>
      </c>
      <c r="Q17">
        <f>INDEX('AEO 2026 Table 4'!$E$6:$AD$125,MATCH($B17,'AEO 2026 Table 4'!$B$6:$B$125,0),MATCH(Q$1,'AEO 2026 Table 4'!$E$5:$AD$5,0))</f>
        <v>5.3472220000000004</v>
      </c>
      <c r="R17">
        <f>INDEX('AEO 2026 Table 4'!$E$6:$AD$125,MATCH($B17,'AEO 2026 Table 4'!$B$6:$B$125,0),MATCH(R$1,'AEO 2026 Table 4'!$E$5:$AD$5,0))</f>
        <v>5.3599480000000002</v>
      </c>
      <c r="S17">
        <f>INDEX('AEO 2026 Table 4'!$E$6:$AD$125,MATCH($B17,'AEO 2026 Table 4'!$B$6:$B$125,0),MATCH(S$1,'AEO 2026 Table 4'!$E$5:$AD$5,0))</f>
        <v>5.3780039999999998</v>
      </c>
      <c r="T17">
        <f>INDEX('AEO 2026 Table 4'!$E$6:$AD$125,MATCH($B17,'AEO 2026 Table 4'!$B$6:$B$125,0),MATCH(T$1,'AEO 2026 Table 4'!$E$5:$AD$5,0))</f>
        <v>5.4010540000000002</v>
      </c>
      <c r="U17">
        <f>INDEX('AEO 2026 Table 4'!$E$6:$AD$125,MATCH($B17,'AEO 2026 Table 4'!$B$6:$B$125,0),MATCH(U$1,'AEO 2026 Table 4'!$E$5:$AD$5,0))</f>
        <v>5.4282279999999998</v>
      </c>
      <c r="V17">
        <f>INDEX('AEO 2026 Table 4'!$E$6:$AD$125,MATCH($B17,'AEO 2026 Table 4'!$B$6:$B$125,0),MATCH(V$1,'AEO 2026 Table 4'!$E$5:$AD$5,0))</f>
        <v>5.4599229999999999</v>
      </c>
      <c r="W17">
        <f>INDEX('AEO 2026 Table 4'!$E$6:$AD$125,MATCH($B17,'AEO 2026 Table 4'!$B$6:$B$125,0),MATCH(W$1,'AEO 2026 Table 4'!$E$5:$AD$5,0))</f>
        <v>5.4944389999999999</v>
      </c>
      <c r="X17">
        <f>INDEX('AEO 2026 Table 4'!$E$6:$AD$125,MATCH($B17,'AEO 2026 Table 4'!$B$6:$B$125,0),MATCH(X$1,'AEO 2026 Table 4'!$E$5:$AD$5,0))</f>
        <v>5.5251489999999999</v>
      </c>
      <c r="Y17">
        <f>INDEX('AEO 2026 Table 4'!$E$6:$AD$125,MATCH($B17,'AEO 2026 Table 4'!$B$6:$B$125,0),MATCH(Y$1,'AEO 2026 Table 4'!$E$5:$AD$5,0))</f>
        <v>5.5618990000000004</v>
      </c>
      <c r="Z17">
        <f>INDEX('AEO 2026 Table 4'!$E$6:$AD$125,MATCH($B17,'AEO 2026 Table 4'!$B$6:$B$125,0),MATCH(Z$1,'AEO 2026 Table 4'!$E$5:$AD$5,0))</f>
        <v>5.6055650000000004</v>
      </c>
      <c r="AA17">
        <f>INDEX('AEO 2026 Table 4'!$E$6:$AD$125,MATCH($B17,'AEO 2026 Table 4'!$B$6:$B$125,0),MATCH(AA$1,'AEO 2026 Table 4'!$E$5:$AD$5,0))</f>
        <v>5.6555580000000001</v>
      </c>
      <c r="AB17">
        <f>INDEX('AEO 2026 Table 4'!$E$6:$AD$125,MATCH($B17,'AEO 2026 Table 4'!$B$6:$B$125,0),MATCH(AB$1,'AEO 2026 Table 4'!$E$5:$AD$5,0))</f>
        <v>5.7074850000000001</v>
      </c>
      <c r="AC17">
        <f>INDEX('AEO 2026 Table 4'!$E$6:$AD$125,MATCH($B17,'AEO 2026 Table 4'!$B$6:$B$125,0),MATCH(AC$1,'AEO 2026 Table 4'!$E$5:$AD$5,0))</f>
        <v>5.7576739999999997</v>
      </c>
      <c r="AD17">
        <f>INDEX('AEO 2026 Table 4'!$E$6:$AD$125,MATCH($B17,'AEO 2026 Table 4'!$B$6:$B$125,0),MATCH(AD$1,'AEO 2026 Table 4'!$E$5:$AD$5,0))</f>
        <v>5.8109450000000002</v>
      </c>
      <c r="AE17">
        <f>INDEX('AEO 2026 Table 4'!$E$6:$AD$125,MATCH($B17,'AEO 2026 Table 4'!$B$6:$B$125,0),MATCH(AE$1,'AEO 2026 Table 4'!$E$5:$AD$5,0))</f>
        <v>5.8628349999999996</v>
      </c>
      <c r="AF17">
        <f>INDEX('AEO 2026 Table 4'!$E$6:$AD$125,MATCH($B17,'AEO 2026 Table 4'!$B$6:$B$125,0),MATCH(AF$1,'AEO 2026 Table 4'!$E$5:$AD$5,0))</f>
        <v>5.9148230000000002</v>
      </c>
      <c r="AG17">
        <f>INDEX('AEO 2026 Table 4'!$E$6:$AD$125,MATCH($B17,'AEO 2026 Table 4'!$B$6:$B$125,0),MATCH(AG$1,'AEO 2026 Table 4'!$E$5:$AD$5,0))</f>
        <v>5.9698900000000004</v>
      </c>
      <c r="AH17">
        <f>INDEX('AEO 2026 Table 4'!$E$6:$AD$125,MATCH($B17,'AEO 2026 Table 4'!$B$6:$B$125,0),MATCH(AH$1,'AEO 2026 Table 4'!$E$5:$AD$5,0))</f>
        <v>6.0259790000000004</v>
      </c>
    </row>
    <row r="18" spans="2:34" x14ac:dyDescent="0.25">
      <c r="B18" t="s">
        <v>44</v>
      </c>
      <c r="C18" t="s">
        <v>45</v>
      </c>
      <c r="D18" t="str">
        <f t="shared" si="0"/>
        <v>residential-NA-electricity (BTU)</v>
      </c>
      <c r="E18" t="s">
        <v>8</v>
      </c>
      <c r="F18" t="s">
        <v>46</v>
      </c>
      <c r="G18" s="1" t="s">
        <v>10</v>
      </c>
      <c r="H18" s="44">
        <f>INDEX(Table_4._Residential_Sector_Key!$F$8:$AG$125,MATCH($C18,Table_4._Residential_Sector_Key!$B$8:$B$125,0),MATCH(H$1,Table_4._Residential_Sector_Key!$F$5:$AG$5,0))</f>
        <v>4.4337000000000001E-2</v>
      </c>
      <c r="I18">
        <f>INDEX('AEO 2026 Table 4'!$E$6:$AD$125,MATCH($B18,'AEO 2026 Table 4'!$B$6:$B$125,0),MATCH(I$1,'AEO 2026 Table 4'!$E$5:$AD$5,0))</f>
        <v>7.0135000000000003E-2</v>
      </c>
      <c r="J18">
        <f>INDEX('AEO 2026 Table 4'!$E$6:$AD$125,MATCH($B18,'AEO 2026 Table 4'!$B$6:$B$125,0),MATCH(J$1,'AEO 2026 Table 4'!$E$5:$AD$5,0))</f>
        <v>9.1486999999999999E-2</v>
      </c>
      <c r="K18">
        <f>INDEX('AEO 2026 Table 4'!$E$6:$AD$125,MATCH($B18,'AEO 2026 Table 4'!$B$6:$B$125,0),MATCH(K$1,'AEO 2026 Table 4'!$E$5:$AD$5,0))</f>
        <v>0.119301</v>
      </c>
      <c r="L18">
        <f>INDEX('AEO 2026 Table 4'!$E$6:$AD$125,MATCH($B18,'AEO 2026 Table 4'!$B$6:$B$125,0),MATCH(L$1,'AEO 2026 Table 4'!$E$5:$AD$5,0))</f>
        <v>0.15019099999999999</v>
      </c>
      <c r="M18">
        <f>INDEX('AEO 2026 Table 4'!$E$6:$AD$125,MATCH($B18,'AEO 2026 Table 4'!$B$6:$B$125,0),MATCH(M$1,'AEO 2026 Table 4'!$E$5:$AD$5,0))</f>
        <v>0.18050099999999999</v>
      </c>
      <c r="N18">
        <f>INDEX('AEO 2026 Table 4'!$E$6:$AD$125,MATCH($B18,'AEO 2026 Table 4'!$B$6:$B$125,0),MATCH(N$1,'AEO 2026 Table 4'!$E$5:$AD$5,0))</f>
        <v>0.20873</v>
      </c>
      <c r="O18">
        <f>INDEX('AEO 2026 Table 4'!$E$6:$AD$125,MATCH($B18,'AEO 2026 Table 4'!$B$6:$B$125,0),MATCH(O$1,'AEO 2026 Table 4'!$E$5:$AD$5,0))</f>
        <v>0.23311999999999999</v>
      </c>
      <c r="P18">
        <f>INDEX('AEO 2026 Table 4'!$E$6:$AD$125,MATCH($B18,'AEO 2026 Table 4'!$B$6:$B$125,0),MATCH(P$1,'AEO 2026 Table 4'!$E$5:$AD$5,0))</f>
        <v>0.25518800000000003</v>
      </c>
      <c r="Q18">
        <f>INDEX('AEO 2026 Table 4'!$E$6:$AD$125,MATCH($B18,'AEO 2026 Table 4'!$B$6:$B$125,0),MATCH(Q$1,'AEO 2026 Table 4'!$E$5:$AD$5,0))</f>
        <v>0.27699499999999999</v>
      </c>
      <c r="R18">
        <f>INDEX('AEO 2026 Table 4'!$E$6:$AD$125,MATCH($B18,'AEO 2026 Table 4'!$B$6:$B$125,0),MATCH(R$1,'AEO 2026 Table 4'!$E$5:$AD$5,0))</f>
        <v>0.29923699999999998</v>
      </c>
      <c r="S18">
        <f>INDEX('AEO 2026 Table 4'!$E$6:$AD$125,MATCH($B18,'AEO 2026 Table 4'!$B$6:$B$125,0),MATCH(S$1,'AEO 2026 Table 4'!$E$5:$AD$5,0))</f>
        <v>0.321766</v>
      </c>
      <c r="T18">
        <f>INDEX('AEO 2026 Table 4'!$E$6:$AD$125,MATCH($B18,'AEO 2026 Table 4'!$B$6:$B$125,0),MATCH(T$1,'AEO 2026 Table 4'!$E$5:$AD$5,0))</f>
        <v>0.34432200000000002</v>
      </c>
      <c r="U18">
        <f>INDEX('AEO 2026 Table 4'!$E$6:$AD$125,MATCH($B18,'AEO 2026 Table 4'!$B$6:$B$125,0),MATCH(U$1,'AEO 2026 Table 4'!$E$5:$AD$5,0))</f>
        <v>0.36690099999999998</v>
      </c>
      <c r="V18">
        <f>INDEX('AEO 2026 Table 4'!$E$6:$AD$125,MATCH($B18,'AEO 2026 Table 4'!$B$6:$B$125,0),MATCH(V$1,'AEO 2026 Table 4'!$E$5:$AD$5,0))</f>
        <v>0.389322</v>
      </c>
      <c r="W18">
        <f>INDEX('AEO 2026 Table 4'!$E$6:$AD$125,MATCH($B18,'AEO 2026 Table 4'!$B$6:$B$125,0),MATCH(W$1,'AEO 2026 Table 4'!$E$5:$AD$5,0))</f>
        <v>0.41114099999999998</v>
      </c>
      <c r="X18">
        <f>INDEX('AEO 2026 Table 4'!$E$6:$AD$125,MATCH($B18,'AEO 2026 Table 4'!$B$6:$B$125,0),MATCH(X$1,'AEO 2026 Table 4'!$E$5:$AD$5,0))</f>
        <v>0.43246899999999999</v>
      </c>
      <c r="Y18">
        <f>INDEX('AEO 2026 Table 4'!$E$6:$AD$125,MATCH($B18,'AEO 2026 Table 4'!$B$6:$B$125,0),MATCH(Y$1,'AEO 2026 Table 4'!$E$5:$AD$5,0))</f>
        <v>0.45277400000000001</v>
      </c>
      <c r="Z18">
        <f>INDEX('AEO 2026 Table 4'!$E$6:$AD$125,MATCH($B18,'AEO 2026 Table 4'!$B$6:$B$125,0),MATCH(Z$1,'AEO 2026 Table 4'!$E$5:$AD$5,0))</f>
        <v>0.47238799999999997</v>
      </c>
      <c r="AA18">
        <f>INDEX('AEO 2026 Table 4'!$E$6:$AD$125,MATCH($B18,'AEO 2026 Table 4'!$B$6:$B$125,0),MATCH(AA$1,'AEO 2026 Table 4'!$E$5:$AD$5,0))</f>
        <v>0.49130400000000002</v>
      </c>
      <c r="AB18">
        <f>INDEX('AEO 2026 Table 4'!$E$6:$AD$125,MATCH($B18,'AEO 2026 Table 4'!$B$6:$B$125,0),MATCH(AB$1,'AEO 2026 Table 4'!$E$5:$AD$5,0))</f>
        <v>0.50966900000000004</v>
      </c>
      <c r="AC18">
        <f>INDEX('AEO 2026 Table 4'!$E$6:$AD$125,MATCH($B18,'AEO 2026 Table 4'!$B$6:$B$125,0),MATCH(AC$1,'AEO 2026 Table 4'!$E$5:$AD$5,0))</f>
        <v>0.52751300000000001</v>
      </c>
      <c r="AD18">
        <f>INDEX('AEO 2026 Table 4'!$E$6:$AD$125,MATCH($B18,'AEO 2026 Table 4'!$B$6:$B$125,0),MATCH(AD$1,'AEO 2026 Table 4'!$E$5:$AD$5,0))</f>
        <v>0.54464500000000005</v>
      </c>
      <c r="AE18">
        <f>INDEX('AEO 2026 Table 4'!$E$6:$AD$125,MATCH($B18,'AEO 2026 Table 4'!$B$6:$B$125,0),MATCH(AE$1,'AEO 2026 Table 4'!$E$5:$AD$5,0))</f>
        <v>0.56095399999999995</v>
      </c>
      <c r="AF18">
        <f>INDEX('AEO 2026 Table 4'!$E$6:$AD$125,MATCH($B18,'AEO 2026 Table 4'!$B$6:$B$125,0),MATCH(AF$1,'AEO 2026 Table 4'!$E$5:$AD$5,0))</f>
        <v>0.57689299999999999</v>
      </c>
      <c r="AG18">
        <f>INDEX('AEO 2026 Table 4'!$E$6:$AD$125,MATCH($B18,'AEO 2026 Table 4'!$B$6:$B$125,0),MATCH(AG$1,'AEO 2026 Table 4'!$E$5:$AD$5,0))</f>
        <v>0.59221100000000004</v>
      </c>
      <c r="AH18">
        <f>INDEX('AEO 2026 Table 4'!$E$6:$AD$125,MATCH($B18,'AEO 2026 Table 4'!$B$6:$B$125,0),MATCH(AH$1,'AEO 2026 Table 4'!$E$5:$AD$5,0))</f>
        <v>0.60719400000000001</v>
      </c>
    </row>
    <row r="19" spans="2:34" x14ac:dyDescent="0.25">
      <c r="B19" t="s">
        <v>47</v>
      </c>
      <c r="C19" t="s">
        <v>48</v>
      </c>
      <c r="D19" t="str">
        <f t="shared" si="0"/>
        <v>residential-NA-electricity (BTU)</v>
      </c>
      <c r="E19" t="s">
        <v>8</v>
      </c>
      <c r="F19" t="s">
        <v>46</v>
      </c>
      <c r="G19" s="1" t="s">
        <v>10</v>
      </c>
      <c r="H19" s="44">
        <f>INDEX(Table_4._Residential_Sector_Key!$F$8:$AG$125,MATCH($C19,Table_4._Residential_Sector_Key!$B$8:$B$125,0),MATCH(H$1,Table_4._Residential_Sector_Key!$F$5:$AG$5,0))</f>
        <v>0.175875</v>
      </c>
      <c r="I19">
        <f>INDEX('AEO 2026 Table 4'!$E$6:$AD$125,MATCH($B19,'AEO 2026 Table 4'!$B$6:$B$125,0),MATCH(I$1,'AEO 2026 Table 4'!$E$5:$AD$5,0))</f>
        <v>0.18513299999999999</v>
      </c>
      <c r="J19">
        <f>INDEX('AEO 2026 Table 4'!$E$6:$AD$125,MATCH($B19,'AEO 2026 Table 4'!$B$6:$B$125,0),MATCH(J$1,'AEO 2026 Table 4'!$E$5:$AD$5,0))</f>
        <v>0.19618099999999999</v>
      </c>
      <c r="K19">
        <f>INDEX('AEO 2026 Table 4'!$E$6:$AD$125,MATCH($B19,'AEO 2026 Table 4'!$B$6:$B$125,0),MATCH(K$1,'AEO 2026 Table 4'!$E$5:$AD$5,0))</f>
        <v>0.20807</v>
      </c>
      <c r="L19">
        <f>INDEX('AEO 2026 Table 4'!$E$6:$AD$125,MATCH($B19,'AEO 2026 Table 4'!$B$6:$B$125,0),MATCH(L$1,'AEO 2026 Table 4'!$E$5:$AD$5,0))</f>
        <v>0.22029000000000001</v>
      </c>
      <c r="M19">
        <f>INDEX('AEO 2026 Table 4'!$E$6:$AD$125,MATCH($B19,'AEO 2026 Table 4'!$B$6:$B$125,0),MATCH(M$1,'AEO 2026 Table 4'!$E$5:$AD$5,0))</f>
        <v>0.23191400000000001</v>
      </c>
      <c r="N19">
        <f>INDEX('AEO 2026 Table 4'!$E$6:$AD$125,MATCH($B19,'AEO 2026 Table 4'!$B$6:$B$125,0),MATCH(N$1,'AEO 2026 Table 4'!$E$5:$AD$5,0))</f>
        <v>0.24404699999999999</v>
      </c>
      <c r="O19">
        <f>INDEX('AEO 2026 Table 4'!$E$6:$AD$125,MATCH($B19,'AEO 2026 Table 4'!$B$6:$B$125,0),MATCH(O$1,'AEO 2026 Table 4'!$E$5:$AD$5,0))</f>
        <v>0.25698700000000002</v>
      </c>
      <c r="P19">
        <f>INDEX('AEO 2026 Table 4'!$E$6:$AD$125,MATCH($B19,'AEO 2026 Table 4'!$B$6:$B$125,0),MATCH(P$1,'AEO 2026 Table 4'!$E$5:$AD$5,0))</f>
        <v>0.26999400000000001</v>
      </c>
      <c r="Q19">
        <f>INDEX('AEO 2026 Table 4'!$E$6:$AD$125,MATCH($B19,'AEO 2026 Table 4'!$B$6:$B$125,0),MATCH(Q$1,'AEO 2026 Table 4'!$E$5:$AD$5,0))</f>
        <v>0.283557</v>
      </c>
      <c r="R19">
        <f>INDEX('AEO 2026 Table 4'!$E$6:$AD$125,MATCH($B19,'AEO 2026 Table 4'!$B$6:$B$125,0),MATCH(R$1,'AEO 2026 Table 4'!$E$5:$AD$5,0))</f>
        <v>0.29791299999999998</v>
      </c>
      <c r="S19">
        <f>INDEX('AEO 2026 Table 4'!$E$6:$AD$125,MATCH($B19,'AEO 2026 Table 4'!$B$6:$B$125,0),MATCH(S$1,'AEO 2026 Table 4'!$E$5:$AD$5,0))</f>
        <v>0.31315100000000001</v>
      </c>
      <c r="T19">
        <f>INDEX('AEO 2026 Table 4'!$E$6:$AD$125,MATCH($B19,'AEO 2026 Table 4'!$B$6:$B$125,0),MATCH(T$1,'AEO 2026 Table 4'!$E$5:$AD$5,0))</f>
        <v>0.32913300000000001</v>
      </c>
      <c r="U19">
        <f>INDEX('AEO 2026 Table 4'!$E$6:$AD$125,MATCH($B19,'AEO 2026 Table 4'!$B$6:$B$125,0),MATCH(U$1,'AEO 2026 Table 4'!$E$5:$AD$5,0))</f>
        <v>0.346163</v>
      </c>
      <c r="V19">
        <f>INDEX('AEO 2026 Table 4'!$E$6:$AD$125,MATCH($B19,'AEO 2026 Table 4'!$B$6:$B$125,0),MATCH(V$1,'AEO 2026 Table 4'!$E$5:$AD$5,0))</f>
        <v>0.36398999999999998</v>
      </c>
      <c r="W19">
        <f>INDEX('AEO 2026 Table 4'!$E$6:$AD$125,MATCH($B19,'AEO 2026 Table 4'!$B$6:$B$125,0),MATCH(W$1,'AEO 2026 Table 4'!$E$5:$AD$5,0))</f>
        <v>0.38263399999999997</v>
      </c>
      <c r="X19">
        <f>INDEX('AEO 2026 Table 4'!$E$6:$AD$125,MATCH($B19,'AEO 2026 Table 4'!$B$6:$B$125,0),MATCH(X$1,'AEO 2026 Table 4'!$E$5:$AD$5,0))</f>
        <v>0.401916</v>
      </c>
      <c r="Y19">
        <f>INDEX('AEO 2026 Table 4'!$E$6:$AD$125,MATCH($B19,'AEO 2026 Table 4'!$B$6:$B$125,0),MATCH(Y$1,'AEO 2026 Table 4'!$E$5:$AD$5,0))</f>
        <v>0.42191800000000002</v>
      </c>
      <c r="Z19">
        <f>INDEX('AEO 2026 Table 4'!$E$6:$AD$125,MATCH($B19,'AEO 2026 Table 4'!$B$6:$B$125,0),MATCH(Z$1,'AEO 2026 Table 4'!$E$5:$AD$5,0))</f>
        <v>0.44253399999999998</v>
      </c>
      <c r="AA19">
        <f>INDEX('AEO 2026 Table 4'!$E$6:$AD$125,MATCH($B19,'AEO 2026 Table 4'!$B$6:$B$125,0),MATCH(AA$1,'AEO 2026 Table 4'!$E$5:$AD$5,0))</f>
        <v>0.46366400000000002</v>
      </c>
      <c r="AB19">
        <f>INDEX('AEO 2026 Table 4'!$E$6:$AD$125,MATCH($B19,'AEO 2026 Table 4'!$B$6:$B$125,0),MATCH(AB$1,'AEO 2026 Table 4'!$E$5:$AD$5,0))</f>
        <v>0.48558299999999999</v>
      </c>
      <c r="AC19">
        <f>INDEX('AEO 2026 Table 4'!$E$6:$AD$125,MATCH($B19,'AEO 2026 Table 4'!$B$6:$B$125,0),MATCH(AC$1,'AEO 2026 Table 4'!$E$5:$AD$5,0))</f>
        <v>0.50805900000000004</v>
      </c>
      <c r="AD19">
        <f>INDEX('AEO 2026 Table 4'!$E$6:$AD$125,MATCH($B19,'AEO 2026 Table 4'!$B$6:$B$125,0),MATCH(AD$1,'AEO 2026 Table 4'!$E$5:$AD$5,0))</f>
        <v>0.53127999999999997</v>
      </c>
      <c r="AE19">
        <f>INDEX('AEO 2026 Table 4'!$E$6:$AD$125,MATCH($B19,'AEO 2026 Table 4'!$B$6:$B$125,0),MATCH(AE$1,'AEO 2026 Table 4'!$E$5:$AD$5,0))</f>
        <v>0.55522800000000005</v>
      </c>
      <c r="AF19">
        <f>INDEX('AEO 2026 Table 4'!$E$6:$AD$125,MATCH($B19,'AEO 2026 Table 4'!$B$6:$B$125,0),MATCH(AF$1,'AEO 2026 Table 4'!$E$5:$AD$5,0))</f>
        <v>0.58008000000000004</v>
      </c>
      <c r="AG19">
        <f>INDEX('AEO 2026 Table 4'!$E$6:$AD$125,MATCH($B19,'AEO 2026 Table 4'!$B$6:$B$125,0),MATCH(AG$1,'AEO 2026 Table 4'!$E$5:$AD$5,0))</f>
        <v>0.60541100000000003</v>
      </c>
      <c r="AH19">
        <f>INDEX('AEO 2026 Table 4'!$E$6:$AD$125,MATCH($B19,'AEO 2026 Table 4'!$B$6:$B$125,0),MATCH(AH$1,'AEO 2026 Table 4'!$E$5:$AD$5,0))</f>
        <v>0.63153300000000001</v>
      </c>
    </row>
    <row r="20" spans="2:34" x14ac:dyDescent="0.25">
      <c r="B20" t="s">
        <v>49</v>
      </c>
      <c r="C20" t="s">
        <v>50</v>
      </c>
      <c r="D20" t="str">
        <f t="shared" si="0"/>
        <v>residential-total-electricity (BTU)</v>
      </c>
      <c r="E20" t="s">
        <v>8</v>
      </c>
      <c r="F20" t="s">
        <v>43</v>
      </c>
      <c r="G20" s="1" t="s">
        <v>10</v>
      </c>
      <c r="H20" s="44">
        <f>INDEX(Table_4._Residential_Sector_Key!$F$8:$AG$125,MATCH($C20,Table_4._Residential_Sector_Key!$B$8:$B$125,0),MATCH(H$1,Table_4._Residential_Sector_Key!$F$5:$AG$5,0))</f>
        <v>5.1419589999999999</v>
      </c>
      <c r="I20">
        <f>INDEX('AEO 2026 Table 4'!$E$6:$AD$125,MATCH($B20,'AEO 2026 Table 4'!$B$6:$B$125,0),MATCH(I$1,'AEO 2026 Table 4'!$E$5:$AD$5,0))</f>
        <v>5.2166230000000002</v>
      </c>
      <c r="J20">
        <f>INDEX('AEO 2026 Table 4'!$E$6:$AD$125,MATCH($B20,'AEO 2026 Table 4'!$B$6:$B$125,0),MATCH(J$1,'AEO 2026 Table 4'!$E$5:$AD$5,0))</f>
        <v>5.2576729999999996</v>
      </c>
      <c r="K20">
        <f>INDEX('AEO 2026 Table 4'!$E$6:$AD$125,MATCH($B20,'AEO 2026 Table 4'!$B$6:$B$125,0),MATCH(K$1,'AEO 2026 Table 4'!$E$5:$AD$5,0))</f>
        <v>5.1829679999999998</v>
      </c>
      <c r="L20">
        <f>INDEX('AEO 2026 Table 4'!$E$6:$AD$125,MATCH($B20,'AEO 2026 Table 4'!$B$6:$B$125,0),MATCH(L$1,'AEO 2026 Table 4'!$E$5:$AD$5,0))</f>
        <v>5.2476390000000004</v>
      </c>
      <c r="M20">
        <f>INDEX('AEO 2026 Table 4'!$E$6:$AD$125,MATCH($B20,'AEO 2026 Table 4'!$B$6:$B$125,0),MATCH(M$1,'AEO 2026 Table 4'!$E$5:$AD$5,0))</f>
        <v>5.2913139999999999</v>
      </c>
      <c r="N20">
        <f>INDEX('AEO 2026 Table 4'!$E$6:$AD$125,MATCH($B20,'AEO 2026 Table 4'!$B$6:$B$125,0),MATCH(N$1,'AEO 2026 Table 4'!$E$5:$AD$5,0))</f>
        <v>5.3098320000000001</v>
      </c>
      <c r="O20">
        <f>INDEX('AEO 2026 Table 4'!$E$6:$AD$125,MATCH($B20,'AEO 2026 Table 4'!$B$6:$B$125,0),MATCH(O$1,'AEO 2026 Table 4'!$E$5:$AD$5,0))</f>
        <v>5.3177000000000003</v>
      </c>
      <c r="P20">
        <f>INDEX('AEO 2026 Table 4'!$E$6:$AD$125,MATCH($B20,'AEO 2026 Table 4'!$B$6:$B$125,0),MATCH(P$1,'AEO 2026 Table 4'!$E$5:$AD$5,0))</f>
        <v>5.3270299999999997</v>
      </c>
      <c r="Q20">
        <f>INDEX('AEO 2026 Table 4'!$E$6:$AD$125,MATCH($B20,'AEO 2026 Table 4'!$B$6:$B$125,0),MATCH(Q$1,'AEO 2026 Table 4'!$E$5:$AD$5,0))</f>
        <v>5.3406599999999997</v>
      </c>
      <c r="R20">
        <f>INDEX('AEO 2026 Table 4'!$E$6:$AD$125,MATCH($B20,'AEO 2026 Table 4'!$B$6:$B$125,0),MATCH(R$1,'AEO 2026 Table 4'!$E$5:$AD$5,0))</f>
        <v>5.3612710000000003</v>
      </c>
      <c r="S20">
        <f>INDEX('AEO 2026 Table 4'!$E$6:$AD$125,MATCH($B20,'AEO 2026 Table 4'!$B$6:$B$125,0),MATCH(S$1,'AEO 2026 Table 4'!$E$5:$AD$5,0))</f>
        <v>5.3866189999999996</v>
      </c>
      <c r="T20">
        <f>INDEX('AEO 2026 Table 4'!$E$6:$AD$125,MATCH($B20,'AEO 2026 Table 4'!$B$6:$B$125,0),MATCH(T$1,'AEO 2026 Table 4'!$E$5:$AD$5,0))</f>
        <v>5.4162439999999998</v>
      </c>
      <c r="U20">
        <f>INDEX('AEO 2026 Table 4'!$E$6:$AD$125,MATCH($B20,'AEO 2026 Table 4'!$B$6:$B$125,0),MATCH(U$1,'AEO 2026 Table 4'!$E$5:$AD$5,0))</f>
        <v>5.4489669999999997</v>
      </c>
      <c r="V20">
        <f>INDEX('AEO 2026 Table 4'!$E$6:$AD$125,MATCH($B20,'AEO 2026 Table 4'!$B$6:$B$125,0),MATCH(V$1,'AEO 2026 Table 4'!$E$5:$AD$5,0))</f>
        <v>5.4852550000000004</v>
      </c>
      <c r="W20">
        <f>INDEX('AEO 2026 Table 4'!$E$6:$AD$125,MATCH($B20,'AEO 2026 Table 4'!$B$6:$B$125,0),MATCH(W$1,'AEO 2026 Table 4'!$E$5:$AD$5,0))</f>
        <v>5.5229460000000001</v>
      </c>
      <c r="X20">
        <f>INDEX('AEO 2026 Table 4'!$E$6:$AD$125,MATCH($B20,'AEO 2026 Table 4'!$B$6:$B$125,0),MATCH(X$1,'AEO 2026 Table 4'!$E$5:$AD$5,0))</f>
        <v>5.5557020000000001</v>
      </c>
      <c r="Y20">
        <f>INDEX('AEO 2026 Table 4'!$E$6:$AD$125,MATCH($B20,'AEO 2026 Table 4'!$B$6:$B$125,0),MATCH(Y$1,'AEO 2026 Table 4'!$E$5:$AD$5,0))</f>
        <v>5.5927550000000004</v>
      </c>
      <c r="Z20">
        <f>INDEX('AEO 2026 Table 4'!$E$6:$AD$125,MATCH($B20,'AEO 2026 Table 4'!$B$6:$B$125,0),MATCH(Z$1,'AEO 2026 Table 4'!$E$5:$AD$5,0))</f>
        <v>5.6354199999999999</v>
      </c>
      <c r="AA20">
        <f>INDEX('AEO 2026 Table 4'!$E$6:$AD$125,MATCH($B20,'AEO 2026 Table 4'!$B$6:$B$125,0),MATCH(AA$1,'AEO 2026 Table 4'!$E$5:$AD$5,0))</f>
        <v>5.683198</v>
      </c>
      <c r="AB20">
        <f>INDEX('AEO 2026 Table 4'!$E$6:$AD$125,MATCH($B20,'AEO 2026 Table 4'!$B$6:$B$125,0),MATCH(AB$1,'AEO 2026 Table 4'!$E$5:$AD$5,0))</f>
        <v>5.7315699999999996</v>
      </c>
      <c r="AC20">
        <f>INDEX('AEO 2026 Table 4'!$E$6:$AD$125,MATCH($B20,'AEO 2026 Table 4'!$B$6:$B$125,0),MATCH(AC$1,'AEO 2026 Table 4'!$E$5:$AD$5,0))</f>
        <v>5.7771290000000004</v>
      </c>
      <c r="AD20">
        <f>INDEX('AEO 2026 Table 4'!$E$6:$AD$125,MATCH($B20,'AEO 2026 Table 4'!$B$6:$B$125,0),MATCH(AD$1,'AEO 2026 Table 4'!$E$5:$AD$5,0))</f>
        <v>5.8243090000000004</v>
      </c>
      <c r="AE20">
        <f>INDEX('AEO 2026 Table 4'!$E$6:$AD$125,MATCH($B20,'AEO 2026 Table 4'!$B$6:$B$125,0),MATCH(AE$1,'AEO 2026 Table 4'!$E$5:$AD$5,0))</f>
        <v>5.8685609999999997</v>
      </c>
      <c r="AF20">
        <f>INDEX('AEO 2026 Table 4'!$E$6:$AD$125,MATCH($B20,'AEO 2026 Table 4'!$B$6:$B$125,0),MATCH(AF$1,'AEO 2026 Table 4'!$E$5:$AD$5,0))</f>
        <v>5.9116369999999998</v>
      </c>
      <c r="AG20">
        <f>INDEX('AEO 2026 Table 4'!$E$6:$AD$125,MATCH($B20,'AEO 2026 Table 4'!$B$6:$B$125,0),MATCH(AG$1,'AEO 2026 Table 4'!$E$5:$AD$5,0))</f>
        <v>5.95669</v>
      </c>
      <c r="AH20">
        <f>INDEX('AEO 2026 Table 4'!$E$6:$AD$125,MATCH($B20,'AEO 2026 Table 4'!$B$6:$B$125,0),MATCH(AH$1,'AEO 2026 Table 4'!$E$5:$AD$5,0))</f>
        <v>6.0016400000000001</v>
      </c>
    </row>
    <row r="21" spans="2:34" x14ac:dyDescent="0.25">
      <c r="B21" t="s">
        <v>51</v>
      </c>
      <c r="C21" t="s">
        <v>52</v>
      </c>
      <c r="D21" t="str">
        <f t="shared" si="0"/>
        <v>residential-heating-natural gas (BTU)</v>
      </c>
      <c r="E21" t="s">
        <v>8</v>
      </c>
      <c r="F21" t="s">
        <v>9</v>
      </c>
      <c r="G21" s="1" t="s">
        <v>53</v>
      </c>
      <c r="H21" s="44">
        <f>INDEX(Table_4._Residential_Sector_Key!$F$8:$AG$125,MATCH($C21,Table_4._Residential_Sector_Key!$B$8:$B$125,0),MATCH(H$1,Table_4._Residential_Sector_Key!$F$5:$AG$5,0))</f>
        <v>2.7779120000000002</v>
      </c>
      <c r="I21">
        <f>INDEX('AEO 2026 Table 4'!$E$6:$AD$125,MATCH($B21,'AEO 2026 Table 4'!$B$6:$B$125,0),MATCH(I$1,'AEO 2026 Table 4'!$E$5:$AD$5,0))</f>
        <v>3.1180289999999999</v>
      </c>
      <c r="J21">
        <f>INDEX('AEO 2026 Table 4'!$E$6:$AD$125,MATCH($B21,'AEO 2026 Table 4'!$B$6:$B$125,0),MATCH(J$1,'AEO 2026 Table 4'!$E$5:$AD$5,0))</f>
        <v>2.929732</v>
      </c>
      <c r="K21">
        <f>INDEX('AEO 2026 Table 4'!$E$6:$AD$125,MATCH($B21,'AEO 2026 Table 4'!$B$6:$B$125,0),MATCH(K$1,'AEO 2026 Table 4'!$E$5:$AD$5,0))</f>
        <v>3.0470679999999999</v>
      </c>
      <c r="L21">
        <f>INDEX('AEO 2026 Table 4'!$E$6:$AD$125,MATCH($B21,'AEO 2026 Table 4'!$B$6:$B$125,0),MATCH(L$1,'AEO 2026 Table 4'!$E$5:$AD$5,0))</f>
        <v>3.0283389999999999</v>
      </c>
      <c r="M21">
        <f>INDEX('AEO 2026 Table 4'!$E$6:$AD$125,MATCH($B21,'AEO 2026 Table 4'!$B$6:$B$125,0),MATCH(M$1,'AEO 2026 Table 4'!$E$5:$AD$5,0))</f>
        <v>2.9919609999999999</v>
      </c>
      <c r="N21">
        <f>INDEX('AEO 2026 Table 4'!$E$6:$AD$125,MATCH($B21,'AEO 2026 Table 4'!$B$6:$B$125,0),MATCH(N$1,'AEO 2026 Table 4'!$E$5:$AD$5,0))</f>
        <v>2.9475129999999998</v>
      </c>
      <c r="O21">
        <f>INDEX('AEO 2026 Table 4'!$E$6:$AD$125,MATCH($B21,'AEO 2026 Table 4'!$B$6:$B$125,0),MATCH(O$1,'AEO 2026 Table 4'!$E$5:$AD$5,0))</f>
        <v>2.9003899999999998</v>
      </c>
      <c r="P21">
        <f>INDEX('AEO 2026 Table 4'!$E$6:$AD$125,MATCH($B21,'AEO 2026 Table 4'!$B$6:$B$125,0),MATCH(P$1,'AEO 2026 Table 4'!$E$5:$AD$5,0))</f>
        <v>2.8565019999999999</v>
      </c>
      <c r="Q21">
        <f>INDEX('AEO 2026 Table 4'!$E$6:$AD$125,MATCH($B21,'AEO 2026 Table 4'!$B$6:$B$125,0),MATCH(Q$1,'AEO 2026 Table 4'!$E$5:$AD$5,0))</f>
        <v>2.8131279999999999</v>
      </c>
      <c r="R21">
        <f>INDEX('AEO 2026 Table 4'!$E$6:$AD$125,MATCH($B21,'AEO 2026 Table 4'!$B$6:$B$125,0),MATCH(R$1,'AEO 2026 Table 4'!$E$5:$AD$5,0))</f>
        <v>2.7723939999999998</v>
      </c>
      <c r="S21">
        <f>INDEX('AEO 2026 Table 4'!$E$6:$AD$125,MATCH($B21,'AEO 2026 Table 4'!$B$6:$B$125,0),MATCH(S$1,'AEO 2026 Table 4'!$E$5:$AD$5,0))</f>
        <v>2.7328190000000001</v>
      </c>
      <c r="T21">
        <f>INDEX('AEO 2026 Table 4'!$E$6:$AD$125,MATCH($B21,'AEO 2026 Table 4'!$B$6:$B$125,0),MATCH(T$1,'AEO 2026 Table 4'!$E$5:$AD$5,0))</f>
        <v>2.695713</v>
      </c>
      <c r="U21">
        <f>INDEX('AEO 2026 Table 4'!$E$6:$AD$125,MATCH($B21,'AEO 2026 Table 4'!$B$6:$B$125,0),MATCH(U$1,'AEO 2026 Table 4'!$E$5:$AD$5,0))</f>
        <v>2.6580509999999999</v>
      </c>
      <c r="V21">
        <f>INDEX('AEO 2026 Table 4'!$E$6:$AD$125,MATCH($B21,'AEO 2026 Table 4'!$B$6:$B$125,0),MATCH(V$1,'AEO 2026 Table 4'!$E$5:$AD$5,0))</f>
        <v>2.6222400000000001</v>
      </c>
      <c r="W21">
        <f>INDEX('AEO 2026 Table 4'!$E$6:$AD$125,MATCH($B21,'AEO 2026 Table 4'!$B$6:$B$125,0),MATCH(W$1,'AEO 2026 Table 4'!$E$5:$AD$5,0))</f>
        <v>2.5871390000000001</v>
      </c>
      <c r="X21">
        <f>INDEX('AEO 2026 Table 4'!$E$6:$AD$125,MATCH($B21,'AEO 2026 Table 4'!$B$6:$B$125,0),MATCH(X$1,'AEO 2026 Table 4'!$E$5:$AD$5,0))</f>
        <v>2.5533130000000002</v>
      </c>
      <c r="Y21">
        <f>INDEX('AEO 2026 Table 4'!$E$6:$AD$125,MATCH($B21,'AEO 2026 Table 4'!$B$6:$B$125,0),MATCH(Y$1,'AEO 2026 Table 4'!$E$5:$AD$5,0))</f>
        <v>2.5199389999999999</v>
      </c>
      <c r="Z21">
        <f>INDEX('AEO 2026 Table 4'!$E$6:$AD$125,MATCH($B21,'AEO 2026 Table 4'!$B$6:$B$125,0),MATCH(Z$1,'AEO 2026 Table 4'!$E$5:$AD$5,0))</f>
        <v>2.4903379999999999</v>
      </c>
      <c r="AA21">
        <f>INDEX('AEO 2026 Table 4'!$E$6:$AD$125,MATCH($B21,'AEO 2026 Table 4'!$B$6:$B$125,0),MATCH(AA$1,'AEO 2026 Table 4'!$E$5:$AD$5,0))</f>
        <v>2.4626060000000001</v>
      </c>
      <c r="AB21">
        <f>INDEX('AEO 2026 Table 4'!$E$6:$AD$125,MATCH($B21,'AEO 2026 Table 4'!$B$6:$B$125,0),MATCH(AB$1,'AEO 2026 Table 4'!$E$5:$AD$5,0))</f>
        <v>2.4366439999999998</v>
      </c>
      <c r="AC21">
        <f>INDEX('AEO 2026 Table 4'!$E$6:$AD$125,MATCH($B21,'AEO 2026 Table 4'!$B$6:$B$125,0),MATCH(AC$1,'AEO 2026 Table 4'!$E$5:$AD$5,0))</f>
        <v>2.412093</v>
      </c>
      <c r="AD21">
        <f>INDEX('AEO 2026 Table 4'!$E$6:$AD$125,MATCH($B21,'AEO 2026 Table 4'!$B$6:$B$125,0),MATCH(AD$1,'AEO 2026 Table 4'!$E$5:$AD$5,0))</f>
        <v>2.3866540000000001</v>
      </c>
      <c r="AE21">
        <f>INDEX('AEO 2026 Table 4'!$E$6:$AD$125,MATCH($B21,'AEO 2026 Table 4'!$B$6:$B$125,0),MATCH(AE$1,'AEO 2026 Table 4'!$E$5:$AD$5,0))</f>
        <v>2.3599640000000002</v>
      </c>
      <c r="AF21">
        <f>INDEX('AEO 2026 Table 4'!$E$6:$AD$125,MATCH($B21,'AEO 2026 Table 4'!$B$6:$B$125,0),MATCH(AF$1,'AEO 2026 Table 4'!$E$5:$AD$5,0))</f>
        <v>2.333602</v>
      </c>
      <c r="AG21">
        <f>INDEX('AEO 2026 Table 4'!$E$6:$AD$125,MATCH($B21,'AEO 2026 Table 4'!$B$6:$B$125,0),MATCH(AG$1,'AEO 2026 Table 4'!$E$5:$AD$5,0))</f>
        <v>2.307677</v>
      </c>
      <c r="AH21">
        <f>INDEX('AEO 2026 Table 4'!$E$6:$AD$125,MATCH($B21,'AEO 2026 Table 4'!$B$6:$B$125,0),MATCH(AH$1,'AEO 2026 Table 4'!$E$5:$AD$5,0))</f>
        <v>2.2826300000000002</v>
      </c>
    </row>
    <row r="22" spans="2:34" x14ac:dyDescent="0.25">
      <c r="B22" t="s">
        <v>54</v>
      </c>
      <c r="C22" t="s">
        <v>55</v>
      </c>
      <c r="D22" t="str">
        <f t="shared" si="0"/>
        <v>residential-cooling-natural gas (BTU)</v>
      </c>
      <c r="E22" t="s">
        <v>8</v>
      </c>
      <c r="F22" t="s">
        <v>13</v>
      </c>
      <c r="G22" s="1" t="s">
        <v>53</v>
      </c>
      <c r="H22" s="44">
        <f>INDEX(Table_4._Residential_Sector_Key!$F$8:$AG$125,MATCH($C22,Table_4._Residential_Sector_Key!$B$8:$B$125,0),MATCH(H$1,Table_4._Residential_Sector_Key!$F$5:$AG$5,0))</f>
        <v>6.3499E-2</v>
      </c>
      <c r="I22">
        <f>INDEX('AEO 2026 Table 4'!$E$6:$AD$125,MATCH($B22,'AEO 2026 Table 4'!$B$6:$B$125,0),MATCH(I$1,'AEO 2026 Table 4'!$E$5:$AD$5,0))</f>
        <v>5.8597999999999997E-2</v>
      </c>
      <c r="J22">
        <f>INDEX('AEO 2026 Table 4'!$E$6:$AD$125,MATCH($B22,'AEO 2026 Table 4'!$B$6:$B$125,0),MATCH(J$1,'AEO 2026 Table 4'!$E$5:$AD$5,0))</f>
        <v>6.2155000000000002E-2</v>
      </c>
      <c r="K22">
        <f>INDEX('AEO 2026 Table 4'!$E$6:$AD$125,MATCH($B22,'AEO 2026 Table 4'!$B$6:$B$125,0),MATCH(K$1,'AEO 2026 Table 4'!$E$5:$AD$5,0))</f>
        <v>6.2590000000000007E-2</v>
      </c>
      <c r="L22">
        <f>INDEX('AEO 2026 Table 4'!$E$6:$AD$125,MATCH($B22,'AEO 2026 Table 4'!$B$6:$B$125,0),MATCH(L$1,'AEO 2026 Table 4'!$E$5:$AD$5,0))</f>
        <v>6.2752000000000002E-2</v>
      </c>
      <c r="M22">
        <f>INDEX('AEO 2026 Table 4'!$E$6:$AD$125,MATCH($B22,'AEO 2026 Table 4'!$B$6:$B$125,0),MATCH(M$1,'AEO 2026 Table 4'!$E$5:$AD$5,0))</f>
        <v>6.2711000000000003E-2</v>
      </c>
      <c r="N22">
        <f>INDEX('AEO 2026 Table 4'!$E$6:$AD$125,MATCH($B22,'AEO 2026 Table 4'!$B$6:$B$125,0),MATCH(N$1,'AEO 2026 Table 4'!$E$5:$AD$5,0))</f>
        <v>6.2576000000000007E-2</v>
      </c>
      <c r="O22">
        <f>INDEX('AEO 2026 Table 4'!$E$6:$AD$125,MATCH($B22,'AEO 2026 Table 4'!$B$6:$B$125,0),MATCH(O$1,'AEO 2026 Table 4'!$E$5:$AD$5,0))</f>
        <v>6.2453000000000002E-2</v>
      </c>
      <c r="P22">
        <f>INDEX('AEO 2026 Table 4'!$E$6:$AD$125,MATCH($B22,'AEO 2026 Table 4'!$B$6:$B$125,0),MATCH(P$1,'AEO 2026 Table 4'!$E$5:$AD$5,0))</f>
        <v>6.2429999999999999E-2</v>
      </c>
      <c r="Q22">
        <f>INDEX('AEO 2026 Table 4'!$E$6:$AD$125,MATCH($B22,'AEO 2026 Table 4'!$B$6:$B$125,0),MATCH(Q$1,'AEO 2026 Table 4'!$E$5:$AD$5,0))</f>
        <v>6.2446000000000002E-2</v>
      </c>
      <c r="R22">
        <f>INDEX('AEO 2026 Table 4'!$E$6:$AD$125,MATCH($B22,'AEO 2026 Table 4'!$B$6:$B$125,0),MATCH(R$1,'AEO 2026 Table 4'!$E$5:$AD$5,0))</f>
        <v>6.2545000000000003E-2</v>
      </c>
      <c r="S22">
        <f>INDEX('AEO 2026 Table 4'!$E$6:$AD$125,MATCH($B22,'AEO 2026 Table 4'!$B$6:$B$125,0),MATCH(S$1,'AEO 2026 Table 4'!$E$5:$AD$5,0))</f>
        <v>6.2667E-2</v>
      </c>
      <c r="T22">
        <f>INDEX('AEO 2026 Table 4'!$E$6:$AD$125,MATCH($B22,'AEO 2026 Table 4'!$B$6:$B$125,0),MATCH(T$1,'AEO 2026 Table 4'!$E$5:$AD$5,0))</f>
        <v>6.2853000000000006E-2</v>
      </c>
      <c r="U22">
        <f>INDEX('AEO 2026 Table 4'!$E$6:$AD$125,MATCH($B22,'AEO 2026 Table 4'!$B$6:$B$125,0),MATCH(U$1,'AEO 2026 Table 4'!$E$5:$AD$5,0))</f>
        <v>6.3070000000000001E-2</v>
      </c>
      <c r="V22">
        <f>INDEX('AEO 2026 Table 4'!$E$6:$AD$125,MATCH($B22,'AEO 2026 Table 4'!$B$6:$B$125,0),MATCH(V$1,'AEO 2026 Table 4'!$E$5:$AD$5,0))</f>
        <v>6.3308000000000003E-2</v>
      </c>
      <c r="W22">
        <f>INDEX('AEO 2026 Table 4'!$E$6:$AD$125,MATCH($B22,'AEO 2026 Table 4'!$B$6:$B$125,0),MATCH(W$1,'AEO 2026 Table 4'!$E$5:$AD$5,0))</f>
        <v>6.3572000000000004E-2</v>
      </c>
      <c r="X22">
        <f>INDEX('AEO 2026 Table 4'!$E$6:$AD$125,MATCH($B22,'AEO 2026 Table 4'!$B$6:$B$125,0),MATCH(X$1,'AEO 2026 Table 4'!$E$5:$AD$5,0))</f>
        <v>6.3894000000000006E-2</v>
      </c>
      <c r="Y22">
        <f>INDEX('AEO 2026 Table 4'!$E$6:$AD$125,MATCH($B22,'AEO 2026 Table 4'!$B$6:$B$125,0),MATCH(Y$1,'AEO 2026 Table 4'!$E$5:$AD$5,0))</f>
        <v>6.4258999999999997E-2</v>
      </c>
      <c r="Z22">
        <f>INDEX('AEO 2026 Table 4'!$E$6:$AD$125,MATCH($B22,'AEO 2026 Table 4'!$B$6:$B$125,0),MATCH(Z$1,'AEO 2026 Table 4'!$E$5:$AD$5,0))</f>
        <v>6.4725000000000005E-2</v>
      </c>
      <c r="AA22">
        <f>INDEX('AEO 2026 Table 4'!$E$6:$AD$125,MATCH($B22,'AEO 2026 Table 4'!$B$6:$B$125,0),MATCH(AA$1,'AEO 2026 Table 4'!$E$5:$AD$5,0))</f>
        <v>6.5211000000000005E-2</v>
      </c>
      <c r="AB22">
        <f>INDEX('AEO 2026 Table 4'!$E$6:$AD$125,MATCH($B22,'AEO 2026 Table 4'!$B$6:$B$125,0),MATCH(AB$1,'AEO 2026 Table 4'!$E$5:$AD$5,0))</f>
        <v>6.5681000000000003E-2</v>
      </c>
      <c r="AC22">
        <f>INDEX('AEO 2026 Table 4'!$E$6:$AD$125,MATCH($B22,'AEO 2026 Table 4'!$B$6:$B$125,0),MATCH(AC$1,'AEO 2026 Table 4'!$E$5:$AD$5,0))</f>
        <v>6.6161999999999999E-2</v>
      </c>
      <c r="AD22">
        <f>INDEX('AEO 2026 Table 4'!$E$6:$AD$125,MATCH($B22,'AEO 2026 Table 4'!$B$6:$B$125,0),MATCH(AD$1,'AEO 2026 Table 4'!$E$5:$AD$5,0))</f>
        <v>6.6586999999999993E-2</v>
      </c>
      <c r="AE22">
        <f>INDEX('AEO 2026 Table 4'!$E$6:$AD$125,MATCH($B22,'AEO 2026 Table 4'!$B$6:$B$125,0),MATCH(AE$1,'AEO 2026 Table 4'!$E$5:$AD$5,0))</f>
        <v>6.6992999999999997E-2</v>
      </c>
      <c r="AF22">
        <f>INDEX('AEO 2026 Table 4'!$E$6:$AD$125,MATCH($B22,'AEO 2026 Table 4'!$B$6:$B$125,0),MATCH(AF$1,'AEO 2026 Table 4'!$E$5:$AD$5,0))</f>
        <v>6.7364999999999994E-2</v>
      </c>
      <c r="AG22">
        <f>INDEX('AEO 2026 Table 4'!$E$6:$AD$125,MATCH($B22,'AEO 2026 Table 4'!$B$6:$B$125,0),MATCH(AG$1,'AEO 2026 Table 4'!$E$5:$AD$5,0))</f>
        <v>6.7759E-2</v>
      </c>
      <c r="AH22">
        <f>INDEX('AEO 2026 Table 4'!$E$6:$AD$125,MATCH($B22,'AEO 2026 Table 4'!$B$6:$B$125,0),MATCH(AH$1,'AEO 2026 Table 4'!$E$5:$AD$5,0))</f>
        <v>6.8144999999999997E-2</v>
      </c>
    </row>
    <row r="23" spans="2:34" x14ac:dyDescent="0.25">
      <c r="B23" t="s">
        <v>56</v>
      </c>
      <c r="C23" t="s">
        <v>57</v>
      </c>
      <c r="D23" t="str">
        <f t="shared" si="0"/>
        <v>residential-appliances-natural gas (BTU)</v>
      </c>
      <c r="E23" t="s">
        <v>8</v>
      </c>
      <c r="F23" t="s">
        <v>16</v>
      </c>
      <c r="G23" s="1" t="s">
        <v>53</v>
      </c>
      <c r="H23" s="44">
        <f>INDEX(Table_4._Residential_Sector_Key!$F$8:$AG$125,MATCH($C23,Table_4._Residential_Sector_Key!$B$8:$B$125,0),MATCH(H$1,Table_4._Residential_Sector_Key!$F$5:$AG$5,0))</f>
        <v>1.035874</v>
      </c>
      <c r="I23">
        <f>INDEX('AEO 2026 Table 4'!$E$6:$AD$125,MATCH($B23,'AEO 2026 Table 4'!$B$6:$B$125,0),MATCH(I$1,'AEO 2026 Table 4'!$E$5:$AD$5,0))</f>
        <v>1.0242659999999999</v>
      </c>
      <c r="J23">
        <f>INDEX('AEO 2026 Table 4'!$E$6:$AD$125,MATCH($B23,'AEO 2026 Table 4'!$B$6:$B$125,0),MATCH(J$1,'AEO 2026 Table 4'!$E$5:$AD$5,0))</f>
        <v>1.0351790000000001</v>
      </c>
      <c r="K23">
        <f>INDEX('AEO 2026 Table 4'!$E$6:$AD$125,MATCH($B23,'AEO 2026 Table 4'!$B$6:$B$125,0),MATCH(K$1,'AEO 2026 Table 4'!$E$5:$AD$5,0))</f>
        <v>1.0454209999999999</v>
      </c>
      <c r="L23">
        <f>INDEX('AEO 2026 Table 4'!$E$6:$AD$125,MATCH($B23,'AEO 2026 Table 4'!$B$6:$B$125,0),MATCH(L$1,'AEO 2026 Table 4'!$E$5:$AD$5,0))</f>
        <v>1.055186</v>
      </c>
      <c r="M23">
        <f>INDEX('AEO 2026 Table 4'!$E$6:$AD$125,MATCH($B23,'AEO 2026 Table 4'!$B$6:$B$125,0),MATCH(M$1,'AEO 2026 Table 4'!$E$5:$AD$5,0))</f>
        <v>1.0533440000000001</v>
      </c>
      <c r="N23">
        <f>INDEX('AEO 2026 Table 4'!$E$6:$AD$125,MATCH($B23,'AEO 2026 Table 4'!$B$6:$B$125,0),MATCH(N$1,'AEO 2026 Table 4'!$E$5:$AD$5,0))</f>
        <v>1.0497609999999999</v>
      </c>
      <c r="O23">
        <f>INDEX('AEO 2026 Table 4'!$E$6:$AD$125,MATCH($B23,'AEO 2026 Table 4'!$B$6:$B$125,0),MATCH(O$1,'AEO 2026 Table 4'!$E$5:$AD$5,0))</f>
        <v>1.0468999999999999</v>
      </c>
      <c r="P23">
        <f>INDEX('AEO 2026 Table 4'!$E$6:$AD$125,MATCH($B23,'AEO 2026 Table 4'!$B$6:$B$125,0),MATCH(P$1,'AEO 2026 Table 4'!$E$5:$AD$5,0))</f>
        <v>1.0451999999999999</v>
      </c>
      <c r="Q23">
        <f>INDEX('AEO 2026 Table 4'!$E$6:$AD$125,MATCH($B23,'AEO 2026 Table 4'!$B$6:$B$125,0),MATCH(Q$1,'AEO 2026 Table 4'!$E$5:$AD$5,0))</f>
        <v>1.042567</v>
      </c>
      <c r="R23">
        <f>INDEX('AEO 2026 Table 4'!$E$6:$AD$125,MATCH($B23,'AEO 2026 Table 4'!$B$6:$B$125,0),MATCH(R$1,'AEO 2026 Table 4'!$E$5:$AD$5,0))</f>
        <v>1.0419989999999999</v>
      </c>
      <c r="S23">
        <f>INDEX('AEO 2026 Table 4'!$E$6:$AD$125,MATCH($B23,'AEO 2026 Table 4'!$B$6:$B$125,0),MATCH(S$1,'AEO 2026 Table 4'!$E$5:$AD$5,0))</f>
        <v>1.043007</v>
      </c>
      <c r="T23">
        <f>INDEX('AEO 2026 Table 4'!$E$6:$AD$125,MATCH($B23,'AEO 2026 Table 4'!$B$6:$B$125,0),MATCH(T$1,'AEO 2026 Table 4'!$E$5:$AD$5,0))</f>
        <v>1.0435049999999999</v>
      </c>
      <c r="U23">
        <f>INDEX('AEO 2026 Table 4'!$E$6:$AD$125,MATCH($B23,'AEO 2026 Table 4'!$B$6:$B$125,0),MATCH(U$1,'AEO 2026 Table 4'!$E$5:$AD$5,0))</f>
        <v>1.043021</v>
      </c>
      <c r="V23">
        <f>INDEX('AEO 2026 Table 4'!$E$6:$AD$125,MATCH($B23,'AEO 2026 Table 4'!$B$6:$B$125,0),MATCH(V$1,'AEO 2026 Table 4'!$E$5:$AD$5,0))</f>
        <v>1.0422149999999999</v>
      </c>
      <c r="W23">
        <f>INDEX('AEO 2026 Table 4'!$E$6:$AD$125,MATCH($B23,'AEO 2026 Table 4'!$B$6:$B$125,0),MATCH(W$1,'AEO 2026 Table 4'!$E$5:$AD$5,0))</f>
        <v>1.04091</v>
      </c>
      <c r="X23">
        <f>INDEX('AEO 2026 Table 4'!$E$6:$AD$125,MATCH($B23,'AEO 2026 Table 4'!$B$6:$B$125,0),MATCH(X$1,'AEO 2026 Table 4'!$E$5:$AD$5,0))</f>
        <v>1.0392889999999999</v>
      </c>
      <c r="Y23">
        <f>INDEX('AEO 2026 Table 4'!$E$6:$AD$125,MATCH($B23,'AEO 2026 Table 4'!$B$6:$B$125,0),MATCH(Y$1,'AEO 2026 Table 4'!$E$5:$AD$5,0))</f>
        <v>1.0370159999999999</v>
      </c>
      <c r="Z23">
        <f>INDEX('AEO 2026 Table 4'!$E$6:$AD$125,MATCH($B23,'AEO 2026 Table 4'!$B$6:$B$125,0),MATCH(Z$1,'AEO 2026 Table 4'!$E$5:$AD$5,0))</f>
        <v>1.0347230000000001</v>
      </c>
      <c r="AA23">
        <f>INDEX('AEO 2026 Table 4'!$E$6:$AD$125,MATCH($B23,'AEO 2026 Table 4'!$B$6:$B$125,0),MATCH(AA$1,'AEO 2026 Table 4'!$E$5:$AD$5,0))</f>
        <v>1.032111</v>
      </c>
      <c r="AB23">
        <f>INDEX('AEO 2026 Table 4'!$E$6:$AD$125,MATCH($B23,'AEO 2026 Table 4'!$B$6:$B$125,0),MATCH(AB$1,'AEO 2026 Table 4'!$E$5:$AD$5,0))</f>
        <v>1.029129</v>
      </c>
      <c r="AC23">
        <f>INDEX('AEO 2026 Table 4'!$E$6:$AD$125,MATCH($B23,'AEO 2026 Table 4'!$B$6:$B$125,0),MATCH(AC$1,'AEO 2026 Table 4'!$E$5:$AD$5,0))</f>
        <v>1.0254289999999999</v>
      </c>
      <c r="AD23">
        <f>INDEX('AEO 2026 Table 4'!$E$6:$AD$125,MATCH($B23,'AEO 2026 Table 4'!$B$6:$B$125,0),MATCH(AD$1,'AEO 2026 Table 4'!$E$5:$AD$5,0))</f>
        <v>1.020672</v>
      </c>
      <c r="AE23">
        <f>INDEX('AEO 2026 Table 4'!$E$6:$AD$125,MATCH($B23,'AEO 2026 Table 4'!$B$6:$B$125,0),MATCH(AE$1,'AEO 2026 Table 4'!$E$5:$AD$5,0))</f>
        <v>1.0151289999999999</v>
      </c>
      <c r="AF23">
        <f>INDEX('AEO 2026 Table 4'!$E$6:$AD$125,MATCH($B23,'AEO 2026 Table 4'!$B$6:$B$125,0),MATCH(AF$1,'AEO 2026 Table 4'!$E$5:$AD$5,0))</f>
        <v>1.0093840000000001</v>
      </c>
      <c r="AG23">
        <f>INDEX('AEO 2026 Table 4'!$E$6:$AD$125,MATCH($B23,'AEO 2026 Table 4'!$B$6:$B$125,0),MATCH(AG$1,'AEO 2026 Table 4'!$E$5:$AD$5,0))</f>
        <v>1.003914</v>
      </c>
      <c r="AH23">
        <f>INDEX('AEO 2026 Table 4'!$E$6:$AD$125,MATCH($B23,'AEO 2026 Table 4'!$B$6:$B$125,0),MATCH(AH$1,'AEO 2026 Table 4'!$E$5:$AD$5,0))</f>
        <v>0.99912999999999996</v>
      </c>
    </row>
    <row r="24" spans="2:34" x14ac:dyDescent="0.25">
      <c r="B24" t="s">
        <v>58</v>
      </c>
      <c r="C24" t="s">
        <v>59</v>
      </c>
      <c r="D24" t="str">
        <f t="shared" si="0"/>
        <v>residential-appliances-natural gas (BTU)</v>
      </c>
      <c r="E24" t="s">
        <v>8</v>
      </c>
      <c r="F24" t="s">
        <v>16</v>
      </c>
      <c r="G24" s="1" t="s">
        <v>53</v>
      </c>
      <c r="H24" s="44">
        <f>INDEX(Table_4._Residential_Sector_Key!$F$8:$AG$125,MATCH($C24,Table_4._Residential_Sector_Key!$B$8:$B$125,0),MATCH(H$1,Table_4._Residential_Sector_Key!$F$5:$AG$5,0))</f>
        <v>7.7838000000000004E-2</v>
      </c>
      <c r="I24">
        <f>INDEX('AEO 2026 Table 4'!$E$6:$AD$125,MATCH($B24,'AEO 2026 Table 4'!$B$6:$B$125,0),MATCH(I$1,'AEO 2026 Table 4'!$E$5:$AD$5,0))</f>
        <v>7.7268000000000003E-2</v>
      </c>
      <c r="J24">
        <f>INDEX('AEO 2026 Table 4'!$E$6:$AD$125,MATCH($B24,'AEO 2026 Table 4'!$B$6:$B$125,0),MATCH(J$1,'AEO 2026 Table 4'!$E$5:$AD$5,0))</f>
        <v>7.7256000000000005E-2</v>
      </c>
      <c r="K24">
        <f>INDEX('AEO 2026 Table 4'!$E$6:$AD$125,MATCH($B24,'AEO 2026 Table 4'!$B$6:$B$125,0),MATCH(K$1,'AEO 2026 Table 4'!$E$5:$AD$5,0))</f>
        <v>7.7246999999999996E-2</v>
      </c>
      <c r="L24">
        <f>INDEX('AEO 2026 Table 4'!$E$6:$AD$125,MATCH($B24,'AEO 2026 Table 4'!$B$6:$B$125,0),MATCH(L$1,'AEO 2026 Table 4'!$E$5:$AD$5,0))</f>
        <v>7.7221999999999999E-2</v>
      </c>
      <c r="M24">
        <f>INDEX('AEO 2026 Table 4'!$E$6:$AD$125,MATCH($B24,'AEO 2026 Table 4'!$B$6:$B$125,0),MATCH(M$1,'AEO 2026 Table 4'!$E$5:$AD$5,0))</f>
        <v>7.7195E-2</v>
      </c>
      <c r="N24">
        <f>INDEX('AEO 2026 Table 4'!$E$6:$AD$125,MATCH($B24,'AEO 2026 Table 4'!$B$6:$B$125,0),MATCH(N$1,'AEO 2026 Table 4'!$E$5:$AD$5,0))</f>
        <v>7.7166999999999999E-2</v>
      </c>
      <c r="O24">
        <f>INDEX('AEO 2026 Table 4'!$E$6:$AD$125,MATCH($B24,'AEO 2026 Table 4'!$B$6:$B$125,0),MATCH(O$1,'AEO 2026 Table 4'!$E$5:$AD$5,0))</f>
        <v>7.7123999999999998E-2</v>
      </c>
      <c r="P24">
        <f>INDEX('AEO 2026 Table 4'!$E$6:$AD$125,MATCH($B24,'AEO 2026 Table 4'!$B$6:$B$125,0),MATCH(P$1,'AEO 2026 Table 4'!$E$5:$AD$5,0))</f>
        <v>7.7064999999999995E-2</v>
      </c>
      <c r="Q24">
        <f>INDEX('AEO 2026 Table 4'!$E$6:$AD$125,MATCH($B24,'AEO 2026 Table 4'!$B$6:$B$125,0),MATCH(Q$1,'AEO 2026 Table 4'!$E$5:$AD$5,0))</f>
        <v>7.7006000000000005E-2</v>
      </c>
      <c r="R24">
        <f>INDEX('AEO 2026 Table 4'!$E$6:$AD$125,MATCH($B24,'AEO 2026 Table 4'!$B$6:$B$125,0),MATCH(R$1,'AEO 2026 Table 4'!$E$5:$AD$5,0))</f>
        <v>7.6969999999999997E-2</v>
      </c>
      <c r="S24">
        <f>INDEX('AEO 2026 Table 4'!$E$6:$AD$125,MATCH($B24,'AEO 2026 Table 4'!$B$6:$B$125,0),MATCH(S$1,'AEO 2026 Table 4'!$E$5:$AD$5,0))</f>
        <v>7.6962000000000003E-2</v>
      </c>
      <c r="T24">
        <f>INDEX('AEO 2026 Table 4'!$E$6:$AD$125,MATCH($B24,'AEO 2026 Table 4'!$B$6:$B$125,0),MATCH(T$1,'AEO 2026 Table 4'!$E$5:$AD$5,0))</f>
        <v>7.6991000000000004E-2</v>
      </c>
      <c r="U24">
        <f>INDEX('AEO 2026 Table 4'!$E$6:$AD$125,MATCH($B24,'AEO 2026 Table 4'!$B$6:$B$125,0),MATCH(U$1,'AEO 2026 Table 4'!$E$5:$AD$5,0))</f>
        <v>7.7060000000000003E-2</v>
      </c>
      <c r="V24">
        <f>INDEX('AEO 2026 Table 4'!$E$6:$AD$125,MATCH($B24,'AEO 2026 Table 4'!$B$6:$B$125,0),MATCH(V$1,'AEO 2026 Table 4'!$E$5:$AD$5,0))</f>
        <v>7.7216999999999994E-2</v>
      </c>
      <c r="W24">
        <f>INDEX('AEO 2026 Table 4'!$E$6:$AD$125,MATCH($B24,'AEO 2026 Table 4'!$B$6:$B$125,0),MATCH(W$1,'AEO 2026 Table 4'!$E$5:$AD$5,0))</f>
        <v>7.7432000000000001E-2</v>
      </c>
      <c r="X24">
        <f>INDEX('AEO 2026 Table 4'!$E$6:$AD$125,MATCH($B24,'AEO 2026 Table 4'!$B$6:$B$125,0),MATCH(X$1,'AEO 2026 Table 4'!$E$5:$AD$5,0))</f>
        <v>7.7712000000000003E-2</v>
      </c>
      <c r="Y24">
        <f>INDEX('AEO 2026 Table 4'!$E$6:$AD$125,MATCH($B24,'AEO 2026 Table 4'!$B$6:$B$125,0),MATCH(Y$1,'AEO 2026 Table 4'!$E$5:$AD$5,0))</f>
        <v>7.8045000000000003E-2</v>
      </c>
      <c r="Z24">
        <f>INDEX('AEO 2026 Table 4'!$E$6:$AD$125,MATCH($B24,'AEO 2026 Table 4'!$B$6:$B$125,0),MATCH(Z$1,'AEO 2026 Table 4'!$E$5:$AD$5,0))</f>
        <v>7.843E-2</v>
      </c>
      <c r="AA24">
        <f>INDEX('AEO 2026 Table 4'!$E$6:$AD$125,MATCH($B24,'AEO 2026 Table 4'!$B$6:$B$125,0),MATCH(AA$1,'AEO 2026 Table 4'!$E$5:$AD$5,0))</f>
        <v>7.8815999999999997E-2</v>
      </c>
      <c r="AB24">
        <f>INDEX('AEO 2026 Table 4'!$E$6:$AD$125,MATCH($B24,'AEO 2026 Table 4'!$B$6:$B$125,0),MATCH(AB$1,'AEO 2026 Table 4'!$E$5:$AD$5,0))</f>
        <v>7.9202999999999996E-2</v>
      </c>
      <c r="AC24">
        <f>INDEX('AEO 2026 Table 4'!$E$6:$AD$125,MATCH($B24,'AEO 2026 Table 4'!$B$6:$B$125,0),MATCH(AC$1,'AEO 2026 Table 4'!$E$5:$AD$5,0))</f>
        <v>7.9599000000000003E-2</v>
      </c>
      <c r="AD24">
        <f>INDEX('AEO 2026 Table 4'!$E$6:$AD$125,MATCH($B24,'AEO 2026 Table 4'!$B$6:$B$125,0),MATCH(AD$1,'AEO 2026 Table 4'!$E$5:$AD$5,0))</f>
        <v>8.0005999999999994E-2</v>
      </c>
      <c r="AE24">
        <f>INDEX('AEO 2026 Table 4'!$E$6:$AD$125,MATCH($B24,'AEO 2026 Table 4'!$B$6:$B$125,0),MATCH(AE$1,'AEO 2026 Table 4'!$E$5:$AD$5,0))</f>
        <v>8.0423999999999995E-2</v>
      </c>
      <c r="AF24">
        <f>INDEX('AEO 2026 Table 4'!$E$6:$AD$125,MATCH($B24,'AEO 2026 Table 4'!$B$6:$B$125,0),MATCH(AF$1,'AEO 2026 Table 4'!$E$5:$AD$5,0))</f>
        <v>8.0854999999999996E-2</v>
      </c>
      <c r="AG24">
        <f>INDEX('AEO 2026 Table 4'!$E$6:$AD$125,MATCH($B24,'AEO 2026 Table 4'!$B$6:$B$125,0),MATCH(AG$1,'AEO 2026 Table 4'!$E$5:$AD$5,0))</f>
        <v>8.1298999999999996E-2</v>
      </c>
      <c r="AH24">
        <f>INDEX('AEO 2026 Table 4'!$E$6:$AD$125,MATCH($B24,'AEO 2026 Table 4'!$B$6:$B$125,0),MATCH(AH$1,'AEO 2026 Table 4'!$E$5:$AD$5,0))</f>
        <v>8.1761E-2</v>
      </c>
    </row>
    <row r="25" spans="2:34" x14ac:dyDescent="0.25">
      <c r="B25" t="s">
        <v>60</v>
      </c>
      <c r="C25" t="s">
        <v>61</v>
      </c>
      <c r="D25" t="str">
        <f t="shared" si="0"/>
        <v>residential-appliances-natural gas (BTU)</v>
      </c>
      <c r="E25" t="s">
        <v>8</v>
      </c>
      <c r="F25" t="s">
        <v>16</v>
      </c>
      <c r="G25" s="1" t="s">
        <v>53</v>
      </c>
      <c r="H25" s="44">
        <f>INDEX(Table_4._Residential_Sector_Key!$F$8:$AG$125,MATCH($C25,Table_4._Residential_Sector_Key!$B$8:$B$125,0),MATCH(H$1,Table_4._Residential_Sector_Key!$F$5:$AG$5,0))</f>
        <v>3.9583E-2</v>
      </c>
      <c r="I25">
        <f>INDEX('AEO 2026 Table 4'!$E$6:$AD$125,MATCH($B25,'AEO 2026 Table 4'!$B$6:$B$125,0),MATCH(I$1,'AEO 2026 Table 4'!$E$5:$AD$5,0))</f>
        <v>3.9573999999999998E-2</v>
      </c>
      <c r="J25">
        <f>INDEX('AEO 2026 Table 4'!$E$6:$AD$125,MATCH($B25,'AEO 2026 Table 4'!$B$6:$B$125,0),MATCH(J$1,'AEO 2026 Table 4'!$E$5:$AD$5,0))</f>
        <v>4.0284E-2</v>
      </c>
      <c r="K25">
        <f>INDEX('AEO 2026 Table 4'!$E$6:$AD$125,MATCH($B25,'AEO 2026 Table 4'!$B$6:$B$125,0),MATCH(K$1,'AEO 2026 Table 4'!$E$5:$AD$5,0))</f>
        <v>4.0919999999999998E-2</v>
      </c>
      <c r="L25">
        <f>INDEX('AEO 2026 Table 4'!$E$6:$AD$125,MATCH($B25,'AEO 2026 Table 4'!$B$6:$B$125,0),MATCH(L$1,'AEO 2026 Table 4'!$E$5:$AD$5,0))</f>
        <v>4.1543999999999998E-2</v>
      </c>
      <c r="M25">
        <f>INDEX('AEO 2026 Table 4'!$E$6:$AD$125,MATCH($B25,'AEO 2026 Table 4'!$B$6:$B$125,0),MATCH(M$1,'AEO 2026 Table 4'!$E$5:$AD$5,0))</f>
        <v>4.2109000000000001E-2</v>
      </c>
      <c r="N25">
        <f>INDEX('AEO 2026 Table 4'!$E$6:$AD$125,MATCH($B25,'AEO 2026 Table 4'!$B$6:$B$125,0),MATCH(N$1,'AEO 2026 Table 4'!$E$5:$AD$5,0))</f>
        <v>4.2643E-2</v>
      </c>
      <c r="O25">
        <f>INDEX('AEO 2026 Table 4'!$E$6:$AD$125,MATCH($B25,'AEO 2026 Table 4'!$B$6:$B$125,0),MATCH(O$1,'AEO 2026 Table 4'!$E$5:$AD$5,0))</f>
        <v>4.3187000000000003E-2</v>
      </c>
      <c r="P25">
        <f>INDEX('AEO 2026 Table 4'!$E$6:$AD$125,MATCH($B25,'AEO 2026 Table 4'!$B$6:$B$125,0),MATCH(P$1,'AEO 2026 Table 4'!$E$5:$AD$5,0))</f>
        <v>4.3758999999999999E-2</v>
      </c>
      <c r="Q25">
        <f>INDEX('AEO 2026 Table 4'!$E$6:$AD$125,MATCH($B25,'AEO 2026 Table 4'!$B$6:$B$125,0),MATCH(Q$1,'AEO 2026 Table 4'!$E$5:$AD$5,0))</f>
        <v>4.4207999999999997E-2</v>
      </c>
      <c r="R25">
        <f>INDEX('AEO 2026 Table 4'!$E$6:$AD$125,MATCH($B25,'AEO 2026 Table 4'!$B$6:$B$125,0),MATCH(R$1,'AEO 2026 Table 4'!$E$5:$AD$5,0))</f>
        <v>4.4700999999999998E-2</v>
      </c>
      <c r="S25">
        <f>INDEX('AEO 2026 Table 4'!$E$6:$AD$125,MATCH($B25,'AEO 2026 Table 4'!$B$6:$B$125,0),MATCH(S$1,'AEO 2026 Table 4'!$E$5:$AD$5,0))</f>
        <v>4.5238E-2</v>
      </c>
      <c r="T25">
        <f>INDEX('AEO 2026 Table 4'!$E$6:$AD$125,MATCH($B25,'AEO 2026 Table 4'!$B$6:$B$125,0),MATCH(T$1,'AEO 2026 Table 4'!$E$5:$AD$5,0))</f>
        <v>4.5825999999999999E-2</v>
      </c>
      <c r="U25">
        <f>INDEX('AEO 2026 Table 4'!$E$6:$AD$125,MATCH($B25,'AEO 2026 Table 4'!$B$6:$B$125,0),MATCH(U$1,'AEO 2026 Table 4'!$E$5:$AD$5,0))</f>
        <v>4.6396E-2</v>
      </c>
      <c r="V25">
        <f>INDEX('AEO 2026 Table 4'!$E$6:$AD$125,MATCH($B25,'AEO 2026 Table 4'!$B$6:$B$125,0),MATCH(V$1,'AEO 2026 Table 4'!$E$5:$AD$5,0))</f>
        <v>4.6977999999999999E-2</v>
      </c>
      <c r="W25">
        <f>INDEX('AEO 2026 Table 4'!$E$6:$AD$125,MATCH($B25,'AEO 2026 Table 4'!$B$6:$B$125,0),MATCH(W$1,'AEO 2026 Table 4'!$E$5:$AD$5,0))</f>
        <v>4.7560999999999999E-2</v>
      </c>
      <c r="X25">
        <f>INDEX('AEO 2026 Table 4'!$E$6:$AD$125,MATCH($B25,'AEO 2026 Table 4'!$B$6:$B$125,0),MATCH(X$1,'AEO 2026 Table 4'!$E$5:$AD$5,0))</f>
        <v>4.8146000000000001E-2</v>
      </c>
      <c r="Y25">
        <f>INDEX('AEO 2026 Table 4'!$E$6:$AD$125,MATCH($B25,'AEO 2026 Table 4'!$B$6:$B$125,0),MATCH(Y$1,'AEO 2026 Table 4'!$E$5:$AD$5,0))</f>
        <v>4.8724000000000003E-2</v>
      </c>
      <c r="Z25">
        <f>INDEX('AEO 2026 Table 4'!$E$6:$AD$125,MATCH($B25,'AEO 2026 Table 4'!$B$6:$B$125,0),MATCH(Z$1,'AEO 2026 Table 4'!$E$5:$AD$5,0))</f>
        <v>4.9352E-2</v>
      </c>
      <c r="AA25">
        <f>INDEX('AEO 2026 Table 4'!$E$6:$AD$125,MATCH($B25,'AEO 2026 Table 4'!$B$6:$B$125,0),MATCH(AA$1,'AEO 2026 Table 4'!$E$5:$AD$5,0))</f>
        <v>5.0014999999999997E-2</v>
      </c>
      <c r="AB25">
        <f>INDEX('AEO 2026 Table 4'!$E$6:$AD$125,MATCH($B25,'AEO 2026 Table 4'!$B$6:$B$125,0),MATCH(AB$1,'AEO 2026 Table 4'!$E$5:$AD$5,0))</f>
        <v>5.0707000000000002E-2</v>
      </c>
      <c r="AC25">
        <f>INDEX('AEO 2026 Table 4'!$E$6:$AD$125,MATCH($B25,'AEO 2026 Table 4'!$B$6:$B$125,0),MATCH(AC$1,'AEO 2026 Table 4'!$E$5:$AD$5,0))</f>
        <v>5.1406E-2</v>
      </c>
      <c r="AD25">
        <f>INDEX('AEO 2026 Table 4'!$E$6:$AD$125,MATCH($B25,'AEO 2026 Table 4'!$B$6:$B$125,0),MATCH(AD$1,'AEO 2026 Table 4'!$E$5:$AD$5,0))</f>
        <v>5.2088000000000002E-2</v>
      </c>
      <c r="AE25">
        <f>INDEX('AEO 2026 Table 4'!$E$6:$AD$125,MATCH($B25,'AEO 2026 Table 4'!$B$6:$B$125,0),MATCH(AE$1,'AEO 2026 Table 4'!$E$5:$AD$5,0))</f>
        <v>5.2755999999999997E-2</v>
      </c>
      <c r="AF25">
        <f>INDEX('AEO 2026 Table 4'!$E$6:$AD$125,MATCH($B25,'AEO 2026 Table 4'!$B$6:$B$125,0),MATCH(AF$1,'AEO 2026 Table 4'!$E$5:$AD$5,0))</f>
        <v>5.3423999999999999E-2</v>
      </c>
      <c r="AG25">
        <f>INDEX('AEO 2026 Table 4'!$E$6:$AD$125,MATCH($B25,'AEO 2026 Table 4'!$B$6:$B$125,0),MATCH(AG$1,'AEO 2026 Table 4'!$E$5:$AD$5,0))</f>
        <v>5.4100000000000002E-2</v>
      </c>
      <c r="AH25">
        <f>INDEX('AEO 2026 Table 4'!$E$6:$AD$125,MATCH($B25,'AEO 2026 Table 4'!$B$6:$B$125,0),MATCH(AH$1,'AEO 2026 Table 4'!$E$5:$AD$5,0))</f>
        <v>5.4788999999999997E-2</v>
      </c>
    </row>
    <row r="26" spans="2:34" x14ac:dyDescent="0.25">
      <c r="B26" t="s">
        <v>62</v>
      </c>
      <c r="C26" t="s">
        <v>63</v>
      </c>
      <c r="D26" t="str">
        <f t="shared" si="0"/>
        <v>residential-other-natural gas (BTU)</v>
      </c>
      <c r="E26" t="s">
        <v>8</v>
      </c>
      <c r="F26" t="s">
        <v>34</v>
      </c>
      <c r="G26" s="1" t="s">
        <v>53</v>
      </c>
      <c r="H26" s="44">
        <f>INDEX(Table_4._Residential_Sector_Key!$F$8:$AG$125,MATCH($C26,Table_4._Residential_Sector_Key!$B$8:$B$125,0),MATCH(H$1,Table_4._Residential_Sector_Key!$F$5:$AG$5,0))</f>
        <v>0.608734</v>
      </c>
      <c r="I26">
        <f>INDEX('AEO 2026 Table 4'!$E$6:$AD$125,MATCH($B26,'AEO 2026 Table 4'!$B$6:$B$125,0),MATCH(I$1,'AEO 2026 Table 4'!$E$5:$AD$5,0))</f>
        <v>0.60834600000000005</v>
      </c>
      <c r="J26">
        <f>INDEX('AEO 2026 Table 4'!$E$6:$AD$125,MATCH($B26,'AEO 2026 Table 4'!$B$6:$B$125,0),MATCH(J$1,'AEO 2026 Table 4'!$E$5:$AD$5,0))</f>
        <v>0.61166600000000004</v>
      </c>
      <c r="K26">
        <f>INDEX('AEO 2026 Table 4'!$E$6:$AD$125,MATCH($B26,'AEO 2026 Table 4'!$B$6:$B$125,0),MATCH(K$1,'AEO 2026 Table 4'!$E$5:$AD$5,0))</f>
        <v>0.61394599999999999</v>
      </c>
      <c r="L26">
        <f>INDEX('AEO 2026 Table 4'!$E$6:$AD$125,MATCH($B26,'AEO 2026 Table 4'!$B$6:$B$125,0),MATCH(L$1,'AEO 2026 Table 4'!$E$5:$AD$5,0))</f>
        <v>0.61501399999999995</v>
      </c>
      <c r="M26">
        <f>INDEX('AEO 2026 Table 4'!$E$6:$AD$125,MATCH($B26,'AEO 2026 Table 4'!$B$6:$B$125,0),MATCH(M$1,'AEO 2026 Table 4'!$E$5:$AD$5,0))</f>
        <v>0.61462000000000006</v>
      </c>
      <c r="N26">
        <f>INDEX('AEO 2026 Table 4'!$E$6:$AD$125,MATCH($B26,'AEO 2026 Table 4'!$B$6:$B$125,0),MATCH(N$1,'AEO 2026 Table 4'!$E$5:$AD$5,0))</f>
        <v>0.61321499999999995</v>
      </c>
      <c r="O26">
        <f>INDEX('AEO 2026 Table 4'!$E$6:$AD$125,MATCH($B26,'AEO 2026 Table 4'!$B$6:$B$125,0),MATCH(O$1,'AEO 2026 Table 4'!$E$5:$AD$5,0))</f>
        <v>0.61157499999999998</v>
      </c>
      <c r="P26">
        <f>INDEX('AEO 2026 Table 4'!$E$6:$AD$125,MATCH($B26,'AEO 2026 Table 4'!$B$6:$B$125,0),MATCH(P$1,'AEO 2026 Table 4'!$E$5:$AD$5,0))</f>
        <v>0.61024999999999996</v>
      </c>
      <c r="Q26">
        <f>INDEX('AEO 2026 Table 4'!$E$6:$AD$125,MATCH($B26,'AEO 2026 Table 4'!$B$6:$B$125,0),MATCH(Q$1,'AEO 2026 Table 4'!$E$5:$AD$5,0))</f>
        <v>0.608433</v>
      </c>
      <c r="R26">
        <f>INDEX('AEO 2026 Table 4'!$E$6:$AD$125,MATCH($B26,'AEO 2026 Table 4'!$B$6:$B$125,0),MATCH(R$1,'AEO 2026 Table 4'!$E$5:$AD$5,0))</f>
        <v>0.60708799999999996</v>
      </c>
      <c r="S26">
        <f>INDEX('AEO 2026 Table 4'!$E$6:$AD$125,MATCH($B26,'AEO 2026 Table 4'!$B$6:$B$125,0),MATCH(S$1,'AEO 2026 Table 4'!$E$5:$AD$5,0))</f>
        <v>0.60589999999999999</v>
      </c>
      <c r="T26">
        <f>INDEX('AEO 2026 Table 4'!$E$6:$AD$125,MATCH($B26,'AEO 2026 Table 4'!$B$6:$B$125,0),MATCH(T$1,'AEO 2026 Table 4'!$E$5:$AD$5,0))</f>
        <v>0.60509100000000005</v>
      </c>
      <c r="U26">
        <f>INDEX('AEO 2026 Table 4'!$E$6:$AD$125,MATCH($B26,'AEO 2026 Table 4'!$B$6:$B$125,0),MATCH(U$1,'AEO 2026 Table 4'!$E$5:$AD$5,0))</f>
        <v>0.60413399999999995</v>
      </c>
      <c r="V26">
        <f>INDEX('AEO 2026 Table 4'!$E$6:$AD$125,MATCH($B26,'AEO 2026 Table 4'!$B$6:$B$125,0),MATCH(V$1,'AEO 2026 Table 4'!$E$5:$AD$5,0))</f>
        <v>0.603321</v>
      </c>
      <c r="W26">
        <f>INDEX('AEO 2026 Table 4'!$E$6:$AD$125,MATCH($B26,'AEO 2026 Table 4'!$B$6:$B$125,0),MATCH(W$1,'AEO 2026 Table 4'!$E$5:$AD$5,0))</f>
        <v>0.60255599999999998</v>
      </c>
      <c r="X26">
        <f>INDEX('AEO 2026 Table 4'!$E$6:$AD$125,MATCH($B26,'AEO 2026 Table 4'!$B$6:$B$125,0),MATCH(X$1,'AEO 2026 Table 4'!$E$5:$AD$5,0))</f>
        <v>0.601908</v>
      </c>
      <c r="Y26">
        <f>INDEX('AEO 2026 Table 4'!$E$6:$AD$125,MATCH($B26,'AEO 2026 Table 4'!$B$6:$B$125,0),MATCH(Y$1,'AEO 2026 Table 4'!$E$5:$AD$5,0))</f>
        <v>0.60136500000000004</v>
      </c>
      <c r="Z26">
        <f>INDEX('AEO 2026 Table 4'!$E$6:$AD$125,MATCH($B26,'AEO 2026 Table 4'!$B$6:$B$125,0),MATCH(Z$1,'AEO 2026 Table 4'!$E$5:$AD$5,0))</f>
        <v>0.60120899999999999</v>
      </c>
      <c r="AA26">
        <f>INDEX('AEO 2026 Table 4'!$E$6:$AD$125,MATCH($B26,'AEO 2026 Table 4'!$B$6:$B$125,0),MATCH(AA$1,'AEO 2026 Table 4'!$E$5:$AD$5,0))</f>
        <v>0.60129600000000005</v>
      </c>
      <c r="AB26">
        <f>INDEX('AEO 2026 Table 4'!$E$6:$AD$125,MATCH($B26,'AEO 2026 Table 4'!$B$6:$B$125,0),MATCH(AB$1,'AEO 2026 Table 4'!$E$5:$AD$5,0))</f>
        <v>0.60158299999999998</v>
      </c>
      <c r="AC26">
        <f>INDEX('AEO 2026 Table 4'!$E$6:$AD$125,MATCH($B26,'AEO 2026 Table 4'!$B$6:$B$125,0),MATCH(AC$1,'AEO 2026 Table 4'!$E$5:$AD$5,0))</f>
        <v>0.60179099999999996</v>
      </c>
      <c r="AD26">
        <f>INDEX('AEO 2026 Table 4'!$E$6:$AD$125,MATCH($B26,'AEO 2026 Table 4'!$B$6:$B$125,0),MATCH(AD$1,'AEO 2026 Table 4'!$E$5:$AD$5,0))</f>
        <v>0.60165900000000005</v>
      </c>
      <c r="AE26">
        <f>INDEX('AEO 2026 Table 4'!$E$6:$AD$125,MATCH($B26,'AEO 2026 Table 4'!$B$6:$B$125,0),MATCH(AE$1,'AEO 2026 Table 4'!$E$5:$AD$5,0))</f>
        <v>0.60124999999999995</v>
      </c>
      <c r="AF26">
        <f>INDEX('AEO 2026 Table 4'!$E$6:$AD$125,MATCH($B26,'AEO 2026 Table 4'!$B$6:$B$125,0),MATCH(AF$1,'AEO 2026 Table 4'!$E$5:$AD$5,0))</f>
        <v>0.60075900000000004</v>
      </c>
      <c r="AG26">
        <f>INDEX('AEO 2026 Table 4'!$E$6:$AD$125,MATCH($B26,'AEO 2026 Table 4'!$B$6:$B$125,0),MATCH(AG$1,'AEO 2026 Table 4'!$E$5:$AD$5,0))</f>
        <v>0.60029500000000002</v>
      </c>
      <c r="AH26">
        <f>INDEX('AEO 2026 Table 4'!$E$6:$AD$125,MATCH($B26,'AEO 2026 Table 4'!$B$6:$B$125,0),MATCH(AH$1,'AEO 2026 Table 4'!$E$5:$AD$5,0))</f>
        <v>0.59991700000000003</v>
      </c>
    </row>
    <row r="27" spans="2:34" x14ac:dyDescent="0.25">
      <c r="B27" t="s">
        <v>64</v>
      </c>
      <c r="C27" t="s">
        <v>65</v>
      </c>
      <c r="D27" t="str">
        <f t="shared" si="0"/>
        <v>residential-total-natural gas (BTU)</v>
      </c>
      <c r="E27" t="s">
        <v>8</v>
      </c>
      <c r="F27" t="s">
        <v>43</v>
      </c>
      <c r="G27" s="1" t="s">
        <v>53</v>
      </c>
      <c r="H27" s="44">
        <f>INDEX(Table_4._Residential_Sector_Key!$F$8:$AG$125,MATCH($C27,Table_4._Residential_Sector_Key!$B$8:$B$125,0),MATCH(H$1,Table_4._Residential_Sector_Key!$F$5:$AG$5,0))</f>
        <v>4.60344</v>
      </c>
      <c r="I27">
        <f>INDEX('AEO 2026 Table 4'!$E$6:$AD$125,MATCH($B27,'AEO 2026 Table 4'!$B$6:$B$125,0),MATCH(I$1,'AEO 2026 Table 4'!$E$5:$AD$5,0))</f>
        <v>4.9260799999999998</v>
      </c>
      <c r="J27">
        <f>INDEX('AEO 2026 Table 4'!$E$6:$AD$125,MATCH($B27,'AEO 2026 Table 4'!$B$6:$B$125,0),MATCH(J$1,'AEO 2026 Table 4'!$E$5:$AD$5,0))</f>
        <v>4.7562720000000001</v>
      </c>
      <c r="K27">
        <f>INDEX('AEO 2026 Table 4'!$E$6:$AD$125,MATCH($B27,'AEO 2026 Table 4'!$B$6:$B$125,0),MATCH(K$1,'AEO 2026 Table 4'!$E$5:$AD$5,0))</f>
        <v>4.8871929999999999</v>
      </c>
      <c r="L27">
        <f>INDEX('AEO 2026 Table 4'!$E$6:$AD$125,MATCH($B27,'AEO 2026 Table 4'!$B$6:$B$125,0),MATCH(L$1,'AEO 2026 Table 4'!$E$5:$AD$5,0))</f>
        <v>4.8800569999999999</v>
      </c>
      <c r="M27">
        <f>INDEX('AEO 2026 Table 4'!$E$6:$AD$125,MATCH($B27,'AEO 2026 Table 4'!$B$6:$B$125,0),MATCH(M$1,'AEO 2026 Table 4'!$E$5:$AD$5,0))</f>
        <v>4.8419410000000003</v>
      </c>
      <c r="N27">
        <f>INDEX('AEO 2026 Table 4'!$E$6:$AD$125,MATCH($B27,'AEO 2026 Table 4'!$B$6:$B$125,0),MATCH(N$1,'AEO 2026 Table 4'!$E$5:$AD$5,0))</f>
        <v>4.7928750000000004</v>
      </c>
      <c r="O27">
        <f>INDEX('AEO 2026 Table 4'!$E$6:$AD$125,MATCH($B27,'AEO 2026 Table 4'!$B$6:$B$125,0),MATCH(O$1,'AEO 2026 Table 4'!$E$5:$AD$5,0))</f>
        <v>4.7416289999999996</v>
      </c>
      <c r="P27">
        <f>INDEX('AEO 2026 Table 4'!$E$6:$AD$125,MATCH($B27,'AEO 2026 Table 4'!$B$6:$B$125,0),MATCH(P$1,'AEO 2026 Table 4'!$E$5:$AD$5,0))</f>
        <v>4.6952059999999998</v>
      </c>
      <c r="Q27">
        <f>INDEX('AEO 2026 Table 4'!$E$6:$AD$125,MATCH($B27,'AEO 2026 Table 4'!$B$6:$B$125,0),MATCH(Q$1,'AEO 2026 Table 4'!$E$5:$AD$5,0))</f>
        <v>4.6477890000000004</v>
      </c>
      <c r="R27">
        <f>INDEX('AEO 2026 Table 4'!$E$6:$AD$125,MATCH($B27,'AEO 2026 Table 4'!$B$6:$B$125,0),MATCH(R$1,'AEO 2026 Table 4'!$E$5:$AD$5,0))</f>
        <v>4.6056990000000004</v>
      </c>
      <c r="S27">
        <f>INDEX('AEO 2026 Table 4'!$E$6:$AD$125,MATCH($B27,'AEO 2026 Table 4'!$B$6:$B$125,0),MATCH(S$1,'AEO 2026 Table 4'!$E$5:$AD$5,0))</f>
        <v>4.5665930000000001</v>
      </c>
      <c r="T27">
        <f>INDEX('AEO 2026 Table 4'!$E$6:$AD$125,MATCH($B27,'AEO 2026 Table 4'!$B$6:$B$125,0),MATCH(T$1,'AEO 2026 Table 4'!$E$5:$AD$5,0))</f>
        <v>4.529979</v>
      </c>
      <c r="U27">
        <f>INDEX('AEO 2026 Table 4'!$E$6:$AD$125,MATCH($B27,'AEO 2026 Table 4'!$B$6:$B$125,0),MATCH(U$1,'AEO 2026 Table 4'!$E$5:$AD$5,0))</f>
        <v>4.4917319999999998</v>
      </c>
      <c r="V27">
        <f>INDEX('AEO 2026 Table 4'!$E$6:$AD$125,MATCH($B27,'AEO 2026 Table 4'!$B$6:$B$125,0),MATCH(V$1,'AEO 2026 Table 4'!$E$5:$AD$5,0))</f>
        <v>4.4552800000000001</v>
      </c>
      <c r="W27">
        <f>INDEX('AEO 2026 Table 4'!$E$6:$AD$125,MATCH($B27,'AEO 2026 Table 4'!$B$6:$B$125,0),MATCH(W$1,'AEO 2026 Table 4'!$E$5:$AD$5,0))</f>
        <v>4.4191710000000004</v>
      </c>
      <c r="X27">
        <f>INDEX('AEO 2026 Table 4'!$E$6:$AD$125,MATCH($B27,'AEO 2026 Table 4'!$B$6:$B$125,0),MATCH(X$1,'AEO 2026 Table 4'!$E$5:$AD$5,0))</f>
        <v>4.3842610000000004</v>
      </c>
      <c r="Y27">
        <f>INDEX('AEO 2026 Table 4'!$E$6:$AD$125,MATCH($B27,'AEO 2026 Table 4'!$B$6:$B$125,0),MATCH(Y$1,'AEO 2026 Table 4'!$E$5:$AD$5,0))</f>
        <v>4.349348</v>
      </c>
      <c r="Z27">
        <f>INDEX('AEO 2026 Table 4'!$E$6:$AD$125,MATCH($B27,'AEO 2026 Table 4'!$B$6:$B$125,0),MATCH(Z$1,'AEO 2026 Table 4'!$E$5:$AD$5,0))</f>
        <v>4.318778</v>
      </c>
      <c r="AA27">
        <f>INDEX('AEO 2026 Table 4'!$E$6:$AD$125,MATCH($B27,'AEO 2026 Table 4'!$B$6:$B$125,0),MATCH(AA$1,'AEO 2026 Table 4'!$E$5:$AD$5,0))</f>
        <v>4.2900549999999997</v>
      </c>
      <c r="AB27">
        <f>INDEX('AEO 2026 Table 4'!$E$6:$AD$125,MATCH($B27,'AEO 2026 Table 4'!$B$6:$B$125,0),MATCH(AB$1,'AEO 2026 Table 4'!$E$5:$AD$5,0))</f>
        <v>4.2629460000000003</v>
      </c>
      <c r="AC27">
        <f>INDEX('AEO 2026 Table 4'!$E$6:$AD$125,MATCH($B27,'AEO 2026 Table 4'!$B$6:$B$125,0),MATCH(AC$1,'AEO 2026 Table 4'!$E$5:$AD$5,0))</f>
        <v>4.2364800000000002</v>
      </c>
      <c r="AD27">
        <f>INDEX('AEO 2026 Table 4'!$E$6:$AD$125,MATCH($B27,'AEO 2026 Table 4'!$B$6:$B$125,0),MATCH(AD$1,'AEO 2026 Table 4'!$E$5:$AD$5,0))</f>
        <v>4.2076669999999998</v>
      </c>
      <c r="AE27">
        <f>INDEX('AEO 2026 Table 4'!$E$6:$AD$125,MATCH($B27,'AEO 2026 Table 4'!$B$6:$B$125,0),MATCH(AE$1,'AEO 2026 Table 4'!$E$5:$AD$5,0))</f>
        <v>4.1765169999999996</v>
      </c>
      <c r="AF27">
        <f>INDEX('AEO 2026 Table 4'!$E$6:$AD$125,MATCH($B27,'AEO 2026 Table 4'!$B$6:$B$125,0),MATCH(AF$1,'AEO 2026 Table 4'!$E$5:$AD$5,0))</f>
        <v>4.1453889999999998</v>
      </c>
      <c r="AG27">
        <f>INDEX('AEO 2026 Table 4'!$E$6:$AD$125,MATCH($B27,'AEO 2026 Table 4'!$B$6:$B$125,0),MATCH(AG$1,'AEO 2026 Table 4'!$E$5:$AD$5,0))</f>
        <v>4.1150450000000003</v>
      </c>
      <c r="AH27">
        <f>INDEX('AEO 2026 Table 4'!$E$6:$AD$125,MATCH($B27,'AEO 2026 Table 4'!$B$6:$B$125,0),MATCH(AH$1,'AEO 2026 Table 4'!$E$5:$AD$5,0))</f>
        <v>4.0863719999999999</v>
      </c>
    </row>
    <row r="28" spans="2:34" x14ac:dyDescent="0.25">
      <c r="B28" t="s">
        <v>66</v>
      </c>
      <c r="C28" t="s">
        <v>67</v>
      </c>
      <c r="D28" t="str">
        <f t="shared" si="0"/>
        <v>residential-heating-petroleum diesel (BTU)</v>
      </c>
      <c r="E28" t="s">
        <v>8</v>
      </c>
      <c r="F28" t="s">
        <v>9</v>
      </c>
      <c r="G28" s="1" t="s">
        <v>68</v>
      </c>
      <c r="H28" s="44">
        <f>INDEX(Table_4._Residential_Sector_Key!$F$8:$AG$125,MATCH($C28,Table_4._Residential_Sector_Key!$B$8:$B$125,0),MATCH(H$1,Table_4._Residential_Sector_Key!$F$5:$AG$5,0))</f>
        <v>0.37978200000000001</v>
      </c>
      <c r="I28">
        <f>INDEX('AEO 2026 Table 4'!$E$6:$AD$125,MATCH($B28,'AEO 2026 Table 4'!$B$6:$B$125,0),MATCH(I$1,'AEO 2026 Table 4'!$E$5:$AD$5,0))</f>
        <v>0.42536800000000002</v>
      </c>
      <c r="J28">
        <f>INDEX('AEO 2026 Table 4'!$E$6:$AD$125,MATCH($B28,'AEO 2026 Table 4'!$B$6:$B$125,0),MATCH(J$1,'AEO 2026 Table 4'!$E$5:$AD$5,0))</f>
        <v>0.409161</v>
      </c>
      <c r="K28">
        <f>INDEX('AEO 2026 Table 4'!$E$6:$AD$125,MATCH($B28,'AEO 2026 Table 4'!$B$6:$B$125,0),MATCH(K$1,'AEO 2026 Table 4'!$E$5:$AD$5,0))</f>
        <v>0.40481800000000001</v>
      </c>
      <c r="L28">
        <f>INDEX('AEO 2026 Table 4'!$E$6:$AD$125,MATCH($B28,'AEO 2026 Table 4'!$B$6:$B$125,0),MATCH(L$1,'AEO 2026 Table 4'!$E$5:$AD$5,0))</f>
        <v>0.39842899999999998</v>
      </c>
      <c r="M28">
        <f>INDEX('AEO 2026 Table 4'!$E$6:$AD$125,MATCH($B28,'AEO 2026 Table 4'!$B$6:$B$125,0),MATCH(M$1,'AEO 2026 Table 4'!$E$5:$AD$5,0))</f>
        <v>0.391596</v>
      </c>
      <c r="N28">
        <f>INDEX('AEO 2026 Table 4'!$E$6:$AD$125,MATCH($B28,'AEO 2026 Table 4'!$B$6:$B$125,0),MATCH(N$1,'AEO 2026 Table 4'!$E$5:$AD$5,0))</f>
        <v>0.38541799999999998</v>
      </c>
      <c r="O28">
        <f>INDEX('AEO 2026 Table 4'!$E$6:$AD$125,MATCH($B28,'AEO 2026 Table 4'!$B$6:$B$125,0),MATCH(O$1,'AEO 2026 Table 4'!$E$5:$AD$5,0))</f>
        <v>0.37913999999999998</v>
      </c>
      <c r="P28">
        <f>INDEX('AEO 2026 Table 4'!$E$6:$AD$125,MATCH($B28,'AEO 2026 Table 4'!$B$6:$B$125,0),MATCH(P$1,'AEO 2026 Table 4'!$E$5:$AD$5,0))</f>
        <v>0.37317800000000001</v>
      </c>
      <c r="Q28">
        <f>INDEX('AEO 2026 Table 4'!$E$6:$AD$125,MATCH($B28,'AEO 2026 Table 4'!$B$6:$B$125,0),MATCH(Q$1,'AEO 2026 Table 4'!$E$5:$AD$5,0))</f>
        <v>0.36729000000000001</v>
      </c>
      <c r="R28">
        <f>INDEX('AEO 2026 Table 4'!$E$6:$AD$125,MATCH($B28,'AEO 2026 Table 4'!$B$6:$B$125,0),MATCH(R$1,'AEO 2026 Table 4'!$E$5:$AD$5,0))</f>
        <v>0.361877</v>
      </c>
      <c r="S28">
        <f>INDEX('AEO 2026 Table 4'!$E$6:$AD$125,MATCH($B28,'AEO 2026 Table 4'!$B$6:$B$125,0),MATCH(S$1,'AEO 2026 Table 4'!$E$5:$AD$5,0))</f>
        <v>0.35654799999999998</v>
      </c>
      <c r="T28">
        <f>INDEX('AEO 2026 Table 4'!$E$6:$AD$125,MATCH($B28,'AEO 2026 Table 4'!$B$6:$B$125,0),MATCH(T$1,'AEO 2026 Table 4'!$E$5:$AD$5,0))</f>
        <v>0.35143600000000003</v>
      </c>
      <c r="U28">
        <f>INDEX('AEO 2026 Table 4'!$E$6:$AD$125,MATCH($B28,'AEO 2026 Table 4'!$B$6:$B$125,0),MATCH(U$1,'AEO 2026 Table 4'!$E$5:$AD$5,0))</f>
        <v>0.34647800000000001</v>
      </c>
      <c r="V28">
        <f>INDEX('AEO 2026 Table 4'!$E$6:$AD$125,MATCH($B28,'AEO 2026 Table 4'!$B$6:$B$125,0),MATCH(V$1,'AEO 2026 Table 4'!$E$5:$AD$5,0))</f>
        <v>0.34170600000000001</v>
      </c>
      <c r="W28">
        <f>INDEX('AEO 2026 Table 4'!$E$6:$AD$125,MATCH($B28,'AEO 2026 Table 4'!$B$6:$B$125,0),MATCH(W$1,'AEO 2026 Table 4'!$E$5:$AD$5,0))</f>
        <v>0.33711099999999999</v>
      </c>
      <c r="X28">
        <f>INDEX('AEO 2026 Table 4'!$E$6:$AD$125,MATCH($B28,'AEO 2026 Table 4'!$B$6:$B$125,0),MATCH(X$1,'AEO 2026 Table 4'!$E$5:$AD$5,0))</f>
        <v>0.33257599999999998</v>
      </c>
      <c r="Y28">
        <f>INDEX('AEO 2026 Table 4'!$E$6:$AD$125,MATCH($B28,'AEO 2026 Table 4'!$B$6:$B$125,0),MATCH(Y$1,'AEO 2026 Table 4'!$E$5:$AD$5,0))</f>
        <v>0.32808100000000001</v>
      </c>
      <c r="Z28">
        <f>INDEX('AEO 2026 Table 4'!$E$6:$AD$125,MATCH($B28,'AEO 2026 Table 4'!$B$6:$B$125,0),MATCH(Z$1,'AEO 2026 Table 4'!$E$5:$AD$5,0))</f>
        <v>0.32377800000000001</v>
      </c>
      <c r="AA28">
        <f>INDEX('AEO 2026 Table 4'!$E$6:$AD$125,MATCH($B28,'AEO 2026 Table 4'!$B$6:$B$125,0),MATCH(AA$1,'AEO 2026 Table 4'!$E$5:$AD$5,0))</f>
        <v>0.31953399999999998</v>
      </c>
      <c r="AB28">
        <f>INDEX('AEO 2026 Table 4'!$E$6:$AD$125,MATCH($B28,'AEO 2026 Table 4'!$B$6:$B$125,0),MATCH(AB$1,'AEO 2026 Table 4'!$E$5:$AD$5,0))</f>
        <v>0.31542700000000001</v>
      </c>
      <c r="AC28">
        <f>INDEX('AEO 2026 Table 4'!$E$6:$AD$125,MATCH($B28,'AEO 2026 Table 4'!$B$6:$B$125,0),MATCH(AC$1,'AEO 2026 Table 4'!$E$5:$AD$5,0))</f>
        <v>0.31137100000000001</v>
      </c>
      <c r="AD28">
        <f>INDEX('AEO 2026 Table 4'!$E$6:$AD$125,MATCH($B28,'AEO 2026 Table 4'!$B$6:$B$125,0),MATCH(AD$1,'AEO 2026 Table 4'!$E$5:$AD$5,0))</f>
        <v>0.30740200000000001</v>
      </c>
      <c r="AE28">
        <f>INDEX('AEO 2026 Table 4'!$E$6:$AD$125,MATCH($B28,'AEO 2026 Table 4'!$B$6:$B$125,0),MATCH(AE$1,'AEO 2026 Table 4'!$E$5:$AD$5,0))</f>
        <v>0.30341800000000002</v>
      </c>
      <c r="AF28">
        <f>INDEX('AEO 2026 Table 4'!$E$6:$AD$125,MATCH($B28,'AEO 2026 Table 4'!$B$6:$B$125,0),MATCH(AF$1,'AEO 2026 Table 4'!$E$5:$AD$5,0))</f>
        <v>0.29945899999999998</v>
      </c>
      <c r="AG28">
        <f>INDEX('AEO 2026 Table 4'!$E$6:$AD$125,MATCH($B28,'AEO 2026 Table 4'!$B$6:$B$125,0),MATCH(AG$1,'AEO 2026 Table 4'!$E$5:$AD$5,0))</f>
        <v>0.29552299999999998</v>
      </c>
      <c r="AH28">
        <f>INDEX('AEO 2026 Table 4'!$E$6:$AD$125,MATCH($B28,'AEO 2026 Table 4'!$B$6:$B$125,0),MATCH(AH$1,'AEO 2026 Table 4'!$E$5:$AD$5,0))</f>
        <v>0.29172900000000002</v>
      </c>
    </row>
    <row r="29" spans="2:34" x14ac:dyDescent="0.25">
      <c r="B29" t="s">
        <v>69</v>
      </c>
      <c r="C29" t="s">
        <v>70</v>
      </c>
      <c r="D29" t="str">
        <f t="shared" si="0"/>
        <v>residential-appliances-petroleum diesel (BTU)</v>
      </c>
      <c r="E29" t="s">
        <v>8</v>
      </c>
      <c r="F29" t="s">
        <v>16</v>
      </c>
      <c r="G29" s="1" t="s">
        <v>68</v>
      </c>
      <c r="H29" s="44">
        <f>INDEX(Table_4._Residential_Sector_Key!$F$8:$AG$125,MATCH($C29,Table_4._Residential_Sector_Key!$B$8:$B$125,0),MATCH(H$1,Table_4._Residential_Sector_Key!$F$5:$AG$5,0))</f>
        <v>4.0280000000000003E-2</v>
      </c>
      <c r="I29">
        <f>INDEX('AEO 2026 Table 4'!$E$6:$AD$125,MATCH($B29,'AEO 2026 Table 4'!$B$6:$B$125,0),MATCH(I$1,'AEO 2026 Table 4'!$E$5:$AD$5,0))</f>
        <v>3.7857000000000002E-2</v>
      </c>
      <c r="J29">
        <f>INDEX('AEO 2026 Table 4'!$E$6:$AD$125,MATCH($B29,'AEO 2026 Table 4'!$B$6:$B$125,0),MATCH(J$1,'AEO 2026 Table 4'!$E$5:$AD$5,0))</f>
        <v>3.5874999999999997E-2</v>
      </c>
      <c r="K29">
        <f>INDEX('AEO 2026 Table 4'!$E$6:$AD$125,MATCH($B29,'AEO 2026 Table 4'!$B$6:$B$125,0),MATCH(K$1,'AEO 2026 Table 4'!$E$5:$AD$5,0))</f>
        <v>3.3765000000000003E-2</v>
      </c>
      <c r="L29">
        <f>INDEX('AEO 2026 Table 4'!$E$6:$AD$125,MATCH($B29,'AEO 2026 Table 4'!$B$6:$B$125,0),MATCH(L$1,'AEO 2026 Table 4'!$E$5:$AD$5,0))</f>
        <v>3.1759999999999997E-2</v>
      </c>
      <c r="M29">
        <f>INDEX('AEO 2026 Table 4'!$E$6:$AD$125,MATCH($B29,'AEO 2026 Table 4'!$B$6:$B$125,0),MATCH(M$1,'AEO 2026 Table 4'!$E$5:$AD$5,0))</f>
        <v>2.9822000000000001E-2</v>
      </c>
      <c r="N29">
        <f>INDEX('AEO 2026 Table 4'!$E$6:$AD$125,MATCH($B29,'AEO 2026 Table 4'!$B$6:$B$125,0),MATCH(N$1,'AEO 2026 Table 4'!$E$5:$AD$5,0))</f>
        <v>2.8183E-2</v>
      </c>
      <c r="O29">
        <f>INDEX('AEO 2026 Table 4'!$E$6:$AD$125,MATCH($B29,'AEO 2026 Table 4'!$B$6:$B$125,0),MATCH(O$1,'AEO 2026 Table 4'!$E$5:$AD$5,0))</f>
        <v>2.6771E-2</v>
      </c>
      <c r="P29">
        <f>INDEX('AEO 2026 Table 4'!$E$6:$AD$125,MATCH($B29,'AEO 2026 Table 4'!$B$6:$B$125,0),MATCH(P$1,'AEO 2026 Table 4'!$E$5:$AD$5,0))</f>
        <v>2.5623E-2</v>
      </c>
      <c r="Q29">
        <f>INDEX('AEO 2026 Table 4'!$E$6:$AD$125,MATCH($B29,'AEO 2026 Table 4'!$B$6:$B$125,0),MATCH(Q$1,'AEO 2026 Table 4'!$E$5:$AD$5,0))</f>
        <v>2.4712000000000001E-2</v>
      </c>
      <c r="R29">
        <f>INDEX('AEO 2026 Table 4'!$E$6:$AD$125,MATCH($B29,'AEO 2026 Table 4'!$B$6:$B$125,0),MATCH(R$1,'AEO 2026 Table 4'!$E$5:$AD$5,0))</f>
        <v>2.4074999999999999E-2</v>
      </c>
      <c r="S29">
        <f>INDEX('AEO 2026 Table 4'!$E$6:$AD$125,MATCH($B29,'AEO 2026 Table 4'!$B$6:$B$125,0),MATCH(S$1,'AEO 2026 Table 4'!$E$5:$AD$5,0))</f>
        <v>2.3675999999999999E-2</v>
      </c>
      <c r="T29">
        <f>INDEX('AEO 2026 Table 4'!$E$6:$AD$125,MATCH($B29,'AEO 2026 Table 4'!$B$6:$B$125,0),MATCH(T$1,'AEO 2026 Table 4'!$E$5:$AD$5,0))</f>
        <v>2.3234000000000001E-2</v>
      </c>
      <c r="U29">
        <f>INDEX('AEO 2026 Table 4'!$E$6:$AD$125,MATCH($B29,'AEO 2026 Table 4'!$B$6:$B$125,0),MATCH(U$1,'AEO 2026 Table 4'!$E$5:$AD$5,0))</f>
        <v>2.2778E-2</v>
      </c>
      <c r="V29">
        <f>INDEX('AEO 2026 Table 4'!$E$6:$AD$125,MATCH($B29,'AEO 2026 Table 4'!$B$6:$B$125,0),MATCH(V$1,'AEO 2026 Table 4'!$E$5:$AD$5,0))</f>
        <v>2.2308999999999999E-2</v>
      </c>
      <c r="W29">
        <f>INDEX('AEO 2026 Table 4'!$E$6:$AD$125,MATCH($B29,'AEO 2026 Table 4'!$B$6:$B$125,0),MATCH(W$1,'AEO 2026 Table 4'!$E$5:$AD$5,0))</f>
        <v>2.1833999999999999E-2</v>
      </c>
      <c r="X29">
        <f>INDEX('AEO 2026 Table 4'!$E$6:$AD$125,MATCH($B29,'AEO 2026 Table 4'!$B$6:$B$125,0),MATCH(X$1,'AEO 2026 Table 4'!$E$5:$AD$5,0))</f>
        <v>2.1354000000000001E-2</v>
      </c>
      <c r="Y29">
        <f>INDEX('AEO 2026 Table 4'!$E$6:$AD$125,MATCH($B29,'AEO 2026 Table 4'!$B$6:$B$125,0),MATCH(Y$1,'AEO 2026 Table 4'!$E$5:$AD$5,0))</f>
        <v>2.0861999999999999E-2</v>
      </c>
      <c r="Z29">
        <f>INDEX('AEO 2026 Table 4'!$E$6:$AD$125,MATCH($B29,'AEO 2026 Table 4'!$B$6:$B$125,0),MATCH(Z$1,'AEO 2026 Table 4'!$E$5:$AD$5,0))</f>
        <v>2.0367E-2</v>
      </c>
      <c r="AA29">
        <f>INDEX('AEO 2026 Table 4'!$E$6:$AD$125,MATCH($B29,'AEO 2026 Table 4'!$B$6:$B$125,0),MATCH(AA$1,'AEO 2026 Table 4'!$E$5:$AD$5,0))</f>
        <v>1.9869999999999999E-2</v>
      </c>
      <c r="AB29">
        <f>INDEX('AEO 2026 Table 4'!$E$6:$AD$125,MATCH($B29,'AEO 2026 Table 4'!$B$6:$B$125,0),MATCH(AB$1,'AEO 2026 Table 4'!$E$5:$AD$5,0))</f>
        <v>1.9372E-2</v>
      </c>
      <c r="AC29">
        <f>INDEX('AEO 2026 Table 4'!$E$6:$AD$125,MATCH($B29,'AEO 2026 Table 4'!$B$6:$B$125,0),MATCH(AC$1,'AEO 2026 Table 4'!$E$5:$AD$5,0))</f>
        <v>1.8870000000000001E-2</v>
      </c>
      <c r="AD29">
        <f>INDEX('AEO 2026 Table 4'!$E$6:$AD$125,MATCH($B29,'AEO 2026 Table 4'!$B$6:$B$125,0),MATCH(AD$1,'AEO 2026 Table 4'!$E$5:$AD$5,0))</f>
        <v>1.8371999999999999E-2</v>
      </c>
      <c r="AE29">
        <f>INDEX('AEO 2026 Table 4'!$E$6:$AD$125,MATCH($B29,'AEO 2026 Table 4'!$B$6:$B$125,0),MATCH(AE$1,'AEO 2026 Table 4'!$E$5:$AD$5,0))</f>
        <v>1.7881000000000001E-2</v>
      </c>
      <c r="AF29">
        <f>INDEX('AEO 2026 Table 4'!$E$6:$AD$125,MATCH($B29,'AEO 2026 Table 4'!$B$6:$B$125,0),MATCH(AF$1,'AEO 2026 Table 4'!$E$5:$AD$5,0))</f>
        <v>1.7401E-2</v>
      </c>
      <c r="AG29">
        <f>INDEX('AEO 2026 Table 4'!$E$6:$AD$125,MATCH($B29,'AEO 2026 Table 4'!$B$6:$B$125,0),MATCH(AG$1,'AEO 2026 Table 4'!$E$5:$AD$5,0))</f>
        <v>1.694E-2</v>
      </c>
      <c r="AH29">
        <f>INDEX('AEO 2026 Table 4'!$E$6:$AD$125,MATCH($B29,'AEO 2026 Table 4'!$B$6:$B$125,0),MATCH(AH$1,'AEO 2026 Table 4'!$E$5:$AD$5,0))</f>
        <v>1.6508999999999999E-2</v>
      </c>
    </row>
    <row r="30" spans="2:34" x14ac:dyDescent="0.25">
      <c r="B30" t="s">
        <v>71</v>
      </c>
      <c r="C30" t="s">
        <v>72</v>
      </c>
      <c r="D30" t="str">
        <f t="shared" si="0"/>
        <v>residential-other-petroleum diesel (BTU)</v>
      </c>
      <c r="E30" t="s">
        <v>8</v>
      </c>
      <c r="F30" t="s">
        <v>34</v>
      </c>
      <c r="G30" s="1" t="s">
        <v>68</v>
      </c>
      <c r="H30" s="44">
        <f>INDEX(Table_4._Residential_Sector_Key!$F$8:$AG$125,MATCH($C30,Table_4._Residential_Sector_Key!$B$8:$B$125,0),MATCH(H$1,Table_4._Residential_Sector_Key!$F$5:$AG$5,0))</f>
        <v>2.5815000000000001E-2</v>
      </c>
      <c r="I30">
        <f>INDEX('AEO 2026 Table 4'!$E$6:$AD$125,MATCH($B30,'AEO 2026 Table 4'!$B$6:$B$125,0),MATCH(I$1,'AEO 2026 Table 4'!$E$5:$AD$5,0))</f>
        <v>2.6054999999999998E-2</v>
      </c>
      <c r="J30">
        <f>INDEX('AEO 2026 Table 4'!$E$6:$AD$125,MATCH($B30,'AEO 2026 Table 4'!$B$6:$B$125,0),MATCH(J$1,'AEO 2026 Table 4'!$E$5:$AD$5,0))</f>
        <v>2.6324E-2</v>
      </c>
      <c r="K30">
        <f>INDEX('AEO 2026 Table 4'!$E$6:$AD$125,MATCH($B30,'AEO 2026 Table 4'!$B$6:$B$125,0),MATCH(K$1,'AEO 2026 Table 4'!$E$5:$AD$5,0))</f>
        <v>2.6369E-2</v>
      </c>
      <c r="L30">
        <f>INDEX('AEO 2026 Table 4'!$E$6:$AD$125,MATCH($B30,'AEO 2026 Table 4'!$B$6:$B$125,0),MATCH(L$1,'AEO 2026 Table 4'!$E$5:$AD$5,0))</f>
        <v>2.631E-2</v>
      </c>
      <c r="M30">
        <f>INDEX('AEO 2026 Table 4'!$E$6:$AD$125,MATCH($B30,'AEO 2026 Table 4'!$B$6:$B$125,0),MATCH(M$1,'AEO 2026 Table 4'!$E$5:$AD$5,0))</f>
        <v>2.6206E-2</v>
      </c>
      <c r="N30">
        <f>INDEX('AEO 2026 Table 4'!$E$6:$AD$125,MATCH($B30,'AEO 2026 Table 4'!$B$6:$B$125,0),MATCH(N$1,'AEO 2026 Table 4'!$E$5:$AD$5,0))</f>
        <v>2.6145000000000002E-2</v>
      </c>
      <c r="O30">
        <f>INDEX('AEO 2026 Table 4'!$E$6:$AD$125,MATCH($B30,'AEO 2026 Table 4'!$B$6:$B$125,0),MATCH(O$1,'AEO 2026 Table 4'!$E$5:$AD$5,0))</f>
        <v>2.6071E-2</v>
      </c>
      <c r="P30">
        <f>INDEX('AEO 2026 Table 4'!$E$6:$AD$125,MATCH($B30,'AEO 2026 Table 4'!$B$6:$B$125,0),MATCH(P$1,'AEO 2026 Table 4'!$E$5:$AD$5,0))</f>
        <v>2.6009999999999998E-2</v>
      </c>
      <c r="Q30">
        <f>INDEX('AEO 2026 Table 4'!$E$6:$AD$125,MATCH($B30,'AEO 2026 Table 4'!$B$6:$B$125,0),MATCH(Q$1,'AEO 2026 Table 4'!$E$5:$AD$5,0))</f>
        <v>2.5943000000000001E-2</v>
      </c>
      <c r="R30">
        <f>INDEX('AEO 2026 Table 4'!$E$6:$AD$125,MATCH($B30,'AEO 2026 Table 4'!$B$6:$B$125,0),MATCH(R$1,'AEO 2026 Table 4'!$E$5:$AD$5,0))</f>
        <v>2.5898999999999998E-2</v>
      </c>
      <c r="S30">
        <f>INDEX('AEO 2026 Table 4'!$E$6:$AD$125,MATCH($B30,'AEO 2026 Table 4'!$B$6:$B$125,0),MATCH(S$1,'AEO 2026 Table 4'!$E$5:$AD$5,0))</f>
        <v>2.5849E-2</v>
      </c>
      <c r="T30">
        <f>INDEX('AEO 2026 Table 4'!$E$6:$AD$125,MATCH($B30,'AEO 2026 Table 4'!$B$6:$B$125,0),MATCH(T$1,'AEO 2026 Table 4'!$E$5:$AD$5,0))</f>
        <v>2.5803E-2</v>
      </c>
      <c r="U30">
        <f>INDEX('AEO 2026 Table 4'!$E$6:$AD$125,MATCH($B30,'AEO 2026 Table 4'!$B$6:$B$125,0),MATCH(U$1,'AEO 2026 Table 4'!$E$5:$AD$5,0))</f>
        <v>2.5762E-2</v>
      </c>
      <c r="V30">
        <f>INDEX('AEO 2026 Table 4'!$E$6:$AD$125,MATCH($B30,'AEO 2026 Table 4'!$B$6:$B$125,0),MATCH(V$1,'AEO 2026 Table 4'!$E$5:$AD$5,0))</f>
        <v>2.5724E-2</v>
      </c>
      <c r="W30">
        <f>INDEX('AEO 2026 Table 4'!$E$6:$AD$125,MATCH($B30,'AEO 2026 Table 4'!$B$6:$B$125,0),MATCH(W$1,'AEO 2026 Table 4'!$E$5:$AD$5,0))</f>
        <v>2.5690000000000001E-2</v>
      </c>
      <c r="X30">
        <f>INDEX('AEO 2026 Table 4'!$E$6:$AD$125,MATCH($B30,'AEO 2026 Table 4'!$B$6:$B$125,0),MATCH(X$1,'AEO 2026 Table 4'!$E$5:$AD$5,0))</f>
        <v>2.5656999999999999E-2</v>
      </c>
      <c r="Y30">
        <f>INDEX('AEO 2026 Table 4'!$E$6:$AD$125,MATCH($B30,'AEO 2026 Table 4'!$B$6:$B$125,0),MATCH(Y$1,'AEO 2026 Table 4'!$E$5:$AD$5,0))</f>
        <v>2.5617999999999998E-2</v>
      </c>
      <c r="Z30">
        <f>INDEX('AEO 2026 Table 4'!$E$6:$AD$125,MATCH($B30,'AEO 2026 Table 4'!$B$6:$B$125,0),MATCH(Z$1,'AEO 2026 Table 4'!$E$5:$AD$5,0))</f>
        <v>2.5583000000000002E-2</v>
      </c>
      <c r="AA30">
        <f>INDEX('AEO 2026 Table 4'!$E$6:$AD$125,MATCH($B30,'AEO 2026 Table 4'!$B$6:$B$125,0),MATCH(AA$1,'AEO 2026 Table 4'!$E$5:$AD$5,0))</f>
        <v>2.5548999999999999E-2</v>
      </c>
      <c r="AB30">
        <f>INDEX('AEO 2026 Table 4'!$E$6:$AD$125,MATCH($B30,'AEO 2026 Table 4'!$B$6:$B$125,0),MATCH(AB$1,'AEO 2026 Table 4'!$E$5:$AD$5,0))</f>
        <v>2.5516E-2</v>
      </c>
      <c r="AC30">
        <f>INDEX('AEO 2026 Table 4'!$E$6:$AD$125,MATCH($B30,'AEO 2026 Table 4'!$B$6:$B$125,0),MATCH(AC$1,'AEO 2026 Table 4'!$E$5:$AD$5,0))</f>
        <v>2.5477E-2</v>
      </c>
      <c r="AD30">
        <f>INDEX('AEO 2026 Table 4'!$E$6:$AD$125,MATCH($B30,'AEO 2026 Table 4'!$B$6:$B$125,0),MATCH(AD$1,'AEO 2026 Table 4'!$E$5:$AD$5,0))</f>
        <v>2.5437999999999999E-2</v>
      </c>
      <c r="AE30">
        <f>INDEX('AEO 2026 Table 4'!$E$6:$AD$125,MATCH($B30,'AEO 2026 Table 4'!$B$6:$B$125,0),MATCH(AE$1,'AEO 2026 Table 4'!$E$5:$AD$5,0))</f>
        <v>2.5395999999999998E-2</v>
      </c>
      <c r="AF30">
        <f>INDEX('AEO 2026 Table 4'!$E$6:$AD$125,MATCH($B30,'AEO 2026 Table 4'!$B$6:$B$125,0),MATCH(AF$1,'AEO 2026 Table 4'!$E$5:$AD$5,0))</f>
        <v>2.5350999999999999E-2</v>
      </c>
      <c r="AG30">
        <f>INDEX('AEO 2026 Table 4'!$E$6:$AD$125,MATCH($B30,'AEO 2026 Table 4'!$B$6:$B$125,0),MATCH(AG$1,'AEO 2026 Table 4'!$E$5:$AD$5,0))</f>
        <v>2.5305999999999999E-2</v>
      </c>
      <c r="AH30">
        <f>INDEX('AEO 2026 Table 4'!$E$6:$AD$125,MATCH($B30,'AEO 2026 Table 4'!$B$6:$B$125,0),MATCH(AH$1,'AEO 2026 Table 4'!$E$5:$AD$5,0))</f>
        <v>2.5270999999999998E-2</v>
      </c>
    </row>
    <row r="31" spans="2:34" x14ac:dyDescent="0.25">
      <c r="B31" t="s">
        <v>73</v>
      </c>
      <c r="C31" t="s">
        <v>74</v>
      </c>
      <c r="D31" t="str">
        <f t="shared" si="0"/>
        <v>residential-total-petroleum diesel (BTU)</v>
      </c>
      <c r="E31" t="s">
        <v>8</v>
      </c>
      <c r="F31" t="s">
        <v>43</v>
      </c>
      <c r="G31" s="1" t="s">
        <v>68</v>
      </c>
      <c r="H31" s="44">
        <f>INDEX(Table_4._Residential_Sector_Key!$F$8:$AG$125,MATCH($C31,Table_4._Residential_Sector_Key!$B$8:$B$125,0),MATCH(H$1,Table_4._Residential_Sector_Key!$F$5:$AG$5,0))</f>
        <v>0.44587700000000002</v>
      </c>
      <c r="I31">
        <f>INDEX('AEO 2026 Table 4'!$E$6:$AD$125,MATCH($B31,'AEO 2026 Table 4'!$B$6:$B$125,0),MATCH(I$1,'AEO 2026 Table 4'!$E$5:$AD$5,0))</f>
        <v>0.48927999999999999</v>
      </c>
      <c r="J31">
        <f>INDEX('AEO 2026 Table 4'!$E$6:$AD$125,MATCH($B31,'AEO 2026 Table 4'!$B$6:$B$125,0),MATCH(J$1,'AEO 2026 Table 4'!$E$5:$AD$5,0))</f>
        <v>0.47136</v>
      </c>
      <c r="K31">
        <f>INDEX('AEO 2026 Table 4'!$E$6:$AD$125,MATCH($B31,'AEO 2026 Table 4'!$B$6:$B$125,0),MATCH(K$1,'AEO 2026 Table 4'!$E$5:$AD$5,0))</f>
        <v>0.46495199999999998</v>
      </c>
      <c r="L31">
        <f>INDEX('AEO 2026 Table 4'!$E$6:$AD$125,MATCH($B31,'AEO 2026 Table 4'!$B$6:$B$125,0),MATCH(L$1,'AEO 2026 Table 4'!$E$5:$AD$5,0))</f>
        <v>0.45650000000000002</v>
      </c>
      <c r="M31">
        <f>INDEX('AEO 2026 Table 4'!$E$6:$AD$125,MATCH($B31,'AEO 2026 Table 4'!$B$6:$B$125,0),MATCH(M$1,'AEO 2026 Table 4'!$E$5:$AD$5,0))</f>
        <v>0.44762400000000002</v>
      </c>
      <c r="N31">
        <f>INDEX('AEO 2026 Table 4'!$E$6:$AD$125,MATCH($B31,'AEO 2026 Table 4'!$B$6:$B$125,0),MATCH(N$1,'AEO 2026 Table 4'!$E$5:$AD$5,0))</f>
        <v>0.43974600000000003</v>
      </c>
      <c r="O31">
        <f>INDEX('AEO 2026 Table 4'!$E$6:$AD$125,MATCH($B31,'AEO 2026 Table 4'!$B$6:$B$125,0),MATCH(O$1,'AEO 2026 Table 4'!$E$5:$AD$5,0))</f>
        <v>0.43198300000000001</v>
      </c>
      <c r="P31">
        <f>INDEX('AEO 2026 Table 4'!$E$6:$AD$125,MATCH($B31,'AEO 2026 Table 4'!$B$6:$B$125,0),MATCH(P$1,'AEO 2026 Table 4'!$E$5:$AD$5,0))</f>
        <v>0.42481200000000002</v>
      </c>
      <c r="Q31">
        <f>INDEX('AEO 2026 Table 4'!$E$6:$AD$125,MATCH($B31,'AEO 2026 Table 4'!$B$6:$B$125,0),MATCH(Q$1,'AEO 2026 Table 4'!$E$5:$AD$5,0))</f>
        <v>0.41794500000000001</v>
      </c>
      <c r="R31">
        <f>INDEX('AEO 2026 Table 4'!$E$6:$AD$125,MATCH($B31,'AEO 2026 Table 4'!$B$6:$B$125,0),MATCH(R$1,'AEO 2026 Table 4'!$E$5:$AD$5,0))</f>
        <v>0.41185100000000002</v>
      </c>
      <c r="S31">
        <f>INDEX('AEO 2026 Table 4'!$E$6:$AD$125,MATCH($B31,'AEO 2026 Table 4'!$B$6:$B$125,0),MATCH(S$1,'AEO 2026 Table 4'!$E$5:$AD$5,0))</f>
        <v>0.40607300000000002</v>
      </c>
      <c r="T31">
        <f>INDEX('AEO 2026 Table 4'!$E$6:$AD$125,MATCH($B31,'AEO 2026 Table 4'!$B$6:$B$125,0),MATCH(T$1,'AEO 2026 Table 4'!$E$5:$AD$5,0))</f>
        <v>0.40047300000000002</v>
      </c>
      <c r="U31">
        <f>INDEX('AEO 2026 Table 4'!$E$6:$AD$125,MATCH($B31,'AEO 2026 Table 4'!$B$6:$B$125,0),MATCH(U$1,'AEO 2026 Table 4'!$E$5:$AD$5,0))</f>
        <v>0.39501900000000001</v>
      </c>
      <c r="V31">
        <f>INDEX('AEO 2026 Table 4'!$E$6:$AD$125,MATCH($B31,'AEO 2026 Table 4'!$B$6:$B$125,0),MATCH(V$1,'AEO 2026 Table 4'!$E$5:$AD$5,0))</f>
        <v>0.38974199999999998</v>
      </c>
      <c r="W31">
        <f>INDEX('AEO 2026 Table 4'!$E$6:$AD$125,MATCH($B31,'AEO 2026 Table 4'!$B$6:$B$125,0),MATCH(W$1,'AEO 2026 Table 4'!$E$5:$AD$5,0))</f>
        <v>0.38463999999999998</v>
      </c>
      <c r="X31">
        <f>INDEX('AEO 2026 Table 4'!$E$6:$AD$125,MATCH($B31,'AEO 2026 Table 4'!$B$6:$B$125,0),MATCH(X$1,'AEO 2026 Table 4'!$E$5:$AD$5,0))</f>
        <v>0.37959500000000002</v>
      </c>
      <c r="Y31">
        <f>INDEX('AEO 2026 Table 4'!$E$6:$AD$125,MATCH($B31,'AEO 2026 Table 4'!$B$6:$B$125,0),MATCH(Y$1,'AEO 2026 Table 4'!$E$5:$AD$5,0))</f>
        <v>0.37457200000000002</v>
      </c>
      <c r="Z31">
        <f>INDEX('AEO 2026 Table 4'!$E$6:$AD$125,MATCH($B31,'AEO 2026 Table 4'!$B$6:$B$125,0),MATCH(Z$1,'AEO 2026 Table 4'!$E$5:$AD$5,0))</f>
        <v>0.36974099999999999</v>
      </c>
      <c r="AA31">
        <f>INDEX('AEO 2026 Table 4'!$E$6:$AD$125,MATCH($B31,'AEO 2026 Table 4'!$B$6:$B$125,0),MATCH(AA$1,'AEO 2026 Table 4'!$E$5:$AD$5,0))</f>
        <v>0.36496899999999999</v>
      </c>
      <c r="AB31">
        <f>INDEX('AEO 2026 Table 4'!$E$6:$AD$125,MATCH($B31,'AEO 2026 Table 4'!$B$6:$B$125,0),MATCH(AB$1,'AEO 2026 Table 4'!$E$5:$AD$5,0))</f>
        <v>0.36033500000000002</v>
      </c>
      <c r="AC31">
        <f>INDEX('AEO 2026 Table 4'!$E$6:$AD$125,MATCH($B31,'AEO 2026 Table 4'!$B$6:$B$125,0),MATCH(AC$1,'AEO 2026 Table 4'!$E$5:$AD$5,0))</f>
        <v>0.35574</v>
      </c>
      <c r="AD31">
        <f>INDEX('AEO 2026 Table 4'!$E$6:$AD$125,MATCH($B31,'AEO 2026 Table 4'!$B$6:$B$125,0),MATCH(AD$1,'AEO 2026 Table 4'!$E$5:$AD$5,0))</f>
        <v>0.35123799999999999</v>
      </c>
      <c r="AE31">
        <f>INDEX('AEO 2026 Table 4'!$E$6:$AD$125,MATCH($B31,'AEO 2026 Table 4'!$B$6:$B$125,0),MATCH(AE$1,'AEO 2026 Table 4'!$E$5:$AD$5,0))</f>
        <v>0.34672399999999998</v>
      </c>
      <c r="AF31">
        <f>INDEX('AEO 2026 Table 4'!$E$6:$AD$125,MATCH($B31,'AEO 2026 Table 4'!$B$6:$B$125,0),MATCH(AF$1,'AEO 2026 Table 4'!$E$5:$AD$5,0))</f>
        <v>0.34224399999999999</v>
      </c>
      <c r="AG31">
        <f>INDEX('AEO 2026 Table 4'!$E$6:$AD$125,MATCH($B31,'AEO 2026 Table 4'!$B$6:$B$125,0),MATCH(AG$1,'AEO 2026 Table 4'!$E$5:$AD$5,0))</f>
        <v>0.33780500000000002</v>
      </c>
      <c r="AH31">
        <f>INDEX('AEO 2026 Table 4'!$E$6:$AD$125,MATCH($B31,'AEO 2026 Table 4'!$B$6:$B$125,0),MATCH(AH$1,'AEO 2026 Table 4'!$E$5:$AD$5,0))</f>
        <v>0.33354699999999998</v>
      </c>
    </row>
    <row r="32" spans="2:34" x14ac:dyDescent="0.25">
      <c r="B32" t="s">
        <v>75</v>
      </c>
      <c r="C32" t="s">
        <v>76</v>
      </c>
      <c r="D32" t="str">
        <f t="shared" si="0"/>
        <v>residential-heating-LPG propane or butane (BTU)</v>
      </c>
      <c r="E32" t="s">
        <v>8</v>
      </c>
      <c r="F32" t="s">
        <v>9</v>
      </c>
      <c r="G32" s="1" t="s">
        <v>77</v>
      </c>
      <c r="H32" s="44">
        <f>INDEX(Table_4._Residential_Sector_Key!$F$8:$AG$125,MATCH($C32,Table_4._Residential_Sector_Key!$B$8:$B$125,0),MATCH(H$1,Table_4._Residential_Sector_Key!$F$5:$AG$5,0))</f>
        <v>0.30324699999999999</v>
      </c>
      <c r="I32">
        <f>INDEX('AEO 2026 Table 4'!$E$6:$AD$125,MATCH($B32,'AEO 2026 Table 4'!$B$6:$B$125,0),MATCH(I$1,'AEO 2026 Table 4'!$E$5:$AD$5,0))</f>
        <v>0.377521</v>
      </c>
      <c r="J32">
        <f>INDEX('AEO 2026 Table 4'!$E$6:$AD$125,MATCH($B32,'AEO 2026 Table 4'!$B$6:$B$125,0),MATCH(J$1,'AEO 2026 Table 4'!$E$5:$AD$5,0))</f>
        <v>0.36312299999999997</v>
      </c>
      <c r="K32">
        <f>INDEX('AEO 2026 Table 4'!$E$6:$AD$125,MATCH($B32,'AEO 2026 Table 4'!$B$6:$B$125,0),MATCH(K$1,'AEO 2026 Table 4'!$E$5:$AD$5,0))</f>
        <v>0.34120200000000001</v>
      </c>
      <c r="L32">
        <f>INDEX('AEO 2026 Table 4'!$E$6:$AD$125,MATCH($B32,'AEO 2026 Table 4'!$B$6:$B$125,0),MATCH(L$1,'AEO 2026 Table 4'!$E$5:$AD$5,0))</f>
        <v>0.33858100000000002</v>
      </c>
      <c r="M32">
        <f>INDEX('AEO 2026 Table 4'!$E$6:$AD$125,MATCH($B32,'AEO 2026 Table 4'!$B$6:$B$125,0),MATCH(M$1,'AEO 2026 Table 4'!$E$5:$AD$5,0))</f>
        <v>0.33409800000000001</v>
      </c>
      <c r="N32">
        <f>INDEX('AEO 2026 Table 4'!$E$6:$AD$125,MATCH($B32,'AEO 2026 Table 4'!$B$6:$B$125,0),MATCH(N$1,'AEO 2026 Table 4'!$E$5:$AD$5,0))</f>
        <v>0.32856999999999997</v>
      </c>
      <c r="O32">
        <f>INDEX('AEO 2026 Table 4'!$E$6:$AD$125,MATCH($B32,'AEO 2026 Table 4'!$B$6:$B$125,0),MATCH(O$1,'AEO 2026 Table 4'!$E$5:$AD$5,0))</f>
        <v>0.32222099999999998</v>
      </c>
      <c r="P32">
        <f>INDEX('AEO 2026 Table 4'!$E$6:$AD$125,MATCH($B32,'AEO 2026 Table 4'!$B$6:$B$125,0),MATCH(P$1,'AEO 2026 Table 4'!$E$5:$AD$5,0))</f>
        <v>0.31594800000000001</v>
      </c>
      <c r="Q32">
        <f>INDEX('AEO 2026 Table 4'!$E$6:$AD$125,MATCH($B32,'AEO 2026 Table 4'!$B$6:$B$125,0),MATCH(Q$1,'AEO 2026 Table 4'!$E$5:$AD$5,0))</f>
        <v>0.30998100000000001</v>
      </c>
      <c r="R32">
        <f>INDEX('AEO 2026 Table 4'!$E$6:$AD$125,MATCH($B32,'AEO 2026 Table 4'!$B$6:$B$125,0),MATCH(R$1,'AEO 2026 Table 4'!$E$5:$AD$5,0))</f>
        <v>0.30452200000000001</v>
      </c>
      <c r="S32">
        <f>INDEX('AEO 2026 Table 4'!$E$6:$AD$125,MATCH($B32,'AEO 2026 Table 4'!$B$6:$B$125,0),MATCH(S$1,'AEO 2026 Table 4'!$E$5:$AD$5,0))</f>
        <v>0.29947699999999999</v>
      </c>
      <c r="T32">
        <f>INDEX('AEO 2026 Table 4'!$E$6:$AD$125,MATCH($B32,'AEO 2026 Table 4'!$B$6:$B$125,0),MATCH(T$1,'AEO 2026 Table 4'!$E$5:$AD$5,0))</f>
        <v>0.294769</v>
      </c>
      <c r="U32">
        <f>INDEX('AEO 2026 Table 4'!$E$6:$AD$125,MATCH($B32,'AEO 2026 Table 4'!$B$6:$B$125,0),MATCH(U$1,'AEO 2026 Table 4'!$E$5:$AD$5,0))</f>
        <v>0.29023399999999999</v>
      </c>
      <c r="V32">
        <f>INDEX('AEO 2026 Table 4'!$E$6:$AD$125,MATCH($B32,'AEO 2026 Table 4'!$B$6:$B$125,0),MATCH(V$1,'AEO 2026 Table 4'!$E$5:$AD$5,0))</f>
        <v>0.28586400000000001</v>
      </c>
      <c r="W32">
        <f>INDEX('AEO 2026 Table 4'!$E$6:$AD$125,MATCH($B32,'AEO 2026 Table 4'!$B$6:$B$125,0),MATCH(W$1,'AEO 2026 Table 4'!$E$5:$AD$5,0))</f>
        <v>0.281613</v>
      </c>
      <c r="X32">
        <f>INDEX('AEO 2026 Table 4'!$E$6:$AD$125,MATCH($B32,'AEO 2026 Table 4'!$B$6:$B$125,0),MATCH(X$1,'AEO 2026 Table 4'!$E$5:$AD$5,0))</f>
        <v>0.27760299999999999</v>
      </c>
      <c r="Y32">
        <f>INDEX('AEO 2026 Table 4'!$E$6:$AD$125,MATCH($B32,'AEO 2026 Table 4'!$B$6:$B$125,0),MATCH(Y$1,'AEO 2026 Table 4'!$E$5:$AD$5,0))</f>
        <v>0.27384799999999998</v>
      </c>
      <c r="Z32">
        <f>INDEX('AEO 2026 Table 4'!$E$6:$AD$125,MATCH($B32,'AEO 2026 Table 4'!$B$6:$B$125,0),MATCH(Z$1,'AEO 2026 Table 4'!$E$5:$AD$5,0))</f>
        <v>0.27051999999999998</v>
      </c>
      <c r="AA32">
        <f>INDEX('AEO 2026 Table 4'!$E$6:$AD$125,MATCH($B32,'AEO 2026 Table 4'!$B$6:$B$125,0),MATCH(AA$1,'AEO 2026 Table 4'!$E$5:$AD$5,0))</f>
        <v>0.26754699999999998</v>
      </c>
      <c r="AB32">
        <f>INDEX('AEO 2026 Table 4'!$E$6:$AD$125,MATCH($B32,'AEO 2026 Table 4'!$B$6:$B$125,0),MATCH(AB$1,'AEO 2026 Table 4'!$E$5:$AD$5,0))</f>
        <v>0.26485799999999998</v>
      </c>
      <c r="AC32">
        <f>INDEX('AEO 2026 Table 4'!$E$6:$AD$125,MATCH($B32,'AEO 2026 Table 4'!$B$6:$B$125,0),MATCH(AC$1,'AEO 2026 Table 4'!$E$5:$AD$5,0))</f>
        <v>0.26235700000000001</v>
      </c>
      <c r="AD32">
        <f>INDEX('AEO 2026 Table 4'!$E$6:$AD$125,MATCH($B32,'AEO 2026 Table 4'!$B$6:$B$125,0),MATCH(AD$1,'AEO 2026 Table 4'!$E$5:$AD$5,0))</f>
        <v>0.25988</v>
      </c>
      <c r="AE32">
        <f>INDEX('AEO 2026 Table 4'!$E$6:$AD$125,MATCH($B32,'AEO 2026 Table 4'!$B$6:$B$125,0),MATCH(AE$1,'AEO 2026 Table 4'!$E$5:$AD$5,0))</f>
        <v>0.25727</v>
      </c>
      <c r="AF32">
        <f>INDEX('AEO 2026 Table 4'!$E$6:$AD$125,MATCH($B32,'AEO 2026 Table 4'!$B$6:$B$125,0),MATCH(AF$1,'AEO 2026 Table 4'!$E$5:$AD$5,0))</f>
        <v>0.25462000000000001</v>
      </c>
      <c r="AG32">
        <f>INDEX('AEO 2026 Table 4'!$E$6:$AD$125,MATCH($B32,'AEO 2026 Table 4'!$B$6:$B$125,0),MATCH(AG$1,'AEO 2026 Table 4'!$E$5:$AD$5,0))</f>
        <v>0.251971</v>
      </c>
      <c r="AH32">
        <f>INDEX('AEO 2026 Table 4'!$E$6:$AD$125,MATCH($B32,'AEO 2026 Table 4'!$B$6:$B$125,0),MATCH(AH$1,'AEO 2026 Table 4'!$E$5:$AD$5,0))</f>
        <v>0.24937899999999999</v>
      </c>
    </row>
    <row r="33" spans="1:34" x14ac:dyDescent="0.25">
      <c r="B33" t="s">
        <v>78</v>
      </c>
      <c r="C33" t="s">
        <v>79</v>
      </c>
      <c r="D33" t="str">
        <f t="shared" si="0"/>
        <v>residential-appliances-LPG propane or butane (BTU)</v>
      </c>
      <c r="E33" t="s">
        <v>8</v>
      </c>
      <c r="F33" t="s">
        <v>16</v>
      </c>
      <c r="G33" s="1" t="s">
        <v>77</v>
      </c>
      <c r="H33" s="44">
        <f>INDEX(Table_4._Residential_Sector_Key!$F$8:$AG$125,MATCH($C33,Table_4._Residential_Sector_Key!$B$8:$B$125,0),MATCH(H$1,Table_4._Residential_Sector_Key!$F$5:$AG$5,0))</f>
        <v>5.6641999999999998E-2</v>
      </c>
      <c r="I33">
        <f>INDEX('AEO 2026 Table 4'!$E$6:$AD$125,MATCH($B33,'AEO 2026 Table 4'!$B$6:$B$125,0),MATCH(I$1,'AEO 2026 Table 4'!$E$5:$AD$5,0))</f>
        <v>5.8525000000000001E-2</v>
      </c>
      <c r="J33">
        <f>INDEX('AEO 2026 Table 4'!$E$6:$AD$125,MATCH($B33,'AEO 2026 Table 4'!$B$6:$B$125,0),MATCH(J$1,'AEO 2026 Table 4'!$E$5:$AD$5,0))</f>
        <v>5.9045E-2</v>
      </c>
      <c r="K33">
        <f>INDEX('AEO 2026 Table 4'!$E$6:$AD$125,MATCH($B33,'AEO 2026 Table 4'!$B$6:$B$125,0),MATCH(K$1,'AEO 2026 Table 4'!$E$5:$AD$5,0))</f>
        <v>5.9788000000000001E-2</v>
      </c>
      <c r="L33">
        <f>INDEX('AEO 2026 Table 4'!$E$6:$AD$125,MATCH($B33,'AEO 2026 Table 4'!$B$6:$B$125,0),MATCH(L$1,'AEO 2026 Table 4'!$E$5:$AD$5,0))</f>
        <v>6.0389999999999999E-2</v>
      </c>
      <c r="M33">
        <f>INDEX('AEO 2026 Table 4'!$E$6:$AD$125,MATCH($B33,'AEO 2026 Table 4'!$B$6:$B$125,0),MATCH(M$1,'AEO 2026 Table 4'!$E$5:$AD$5,0))</f>
        <v>5.9603000000000003E-2</v>
      </c>
      <c r="N33">
        <f>INDEX('AEO 2026 Table 4'!$E$6:$AD$125,MATCH($B33,'AEO 2026 Table 4'!$B$6:$B$125,0),MATCH(N$1,'AEO 2026 Table 4'!$E$5:$AD$5,0))</f>
        <v>5.8604000000000003E-2</v>
      </c>
      <c r="O33">
        <f>INDEX('AEO 2026 Table 4'!$E$6:$AD$125,MATCH($B33,'AEO 2026 Table 4'!$B$6:$B$125,0),MATCH(O$1,'AEO 2026 Table 4'!$E$5:$AD$5,0))</f>
        <v>5.7556999999999997E-2</v>
      </c>
      <c r="P33">
        <f>INDEX('AEO 2026 Table 4'!$E$6:$AD$125,MATCH($B33,'AEO 2026 Table 4'!$B$6:$B$125,0),MATCH(P$1,'AEO 2026 Table 4'!$E$5:$AD$5,0))</f>
        <v>5.6584000000000002E-2</v>
      </c>
      <c r="Q33">
        <f>INDEX('AEO 2026 Table 4'!$E$6:$AD$125,MATCH($B33,'AEO 2026 Table 4'!$B$6:$B$125,0),MATCH(Q$1,'AEO 2026 Table 4'!$E$5:$AD$5,0))</f>
        <v>5.5702000000000002E-2</v>
      </c>
      <c r="R33">
        <f>INDEX('AEO 2026 Table 4'!$E$6:$AD$125,MATCH($B33,'AEO 2026 Table 4'!$B$6:$B$125,0),MATCH(R$1,'AEO 2026 Table 4'!$E$5:$AD$5,0))</f>
        <v>5.5021E-2</v>
      </c>
      <c r="S33">
        <f>INDEX('AEO 2026 Table 4'!$E$6:$AD$125,MATCH($B33,'AEO 2026 Table 4'!$B$6:$B$125,0),MATCH(S$1,'AEO 2026 Table 4'!$E$5:$AD$5,0))</f>
        <v>5.4533999999999999E-2</v>
      </c>
      <c r="T33">
        <f>INDEX('AEO 2026 Table 4'!$E$6:$AD$125,MATCH($B33,'AEO 2026 Table 4'!$B$6:$B$125,0),MATCH(T$1,'AEO 2026 Table 4'!$E$5:$AD$5,0))</f>
        <v>5.3959E-2</v>
      </c>
      <c r="U33">
        <f>INDEX('AEO 2026 Table 4'!$E$6:$AD$125,MATCH($B33,'AEO 2026 Table 4'!$B$6:$B$125,0),MATCH(U$1,'AEO 2026 Table 4'!$E$5:$AD$5,0))</f>
        <v>5.3307E-2</v>
      </c>
      <c r="V33">
        <f>INDEX('AEO 2026 Table 4'!$E$6:$AD$125,MATCH($B33,'AEO 2026 Table 4'!$B$6:$B$125,0),MATCH(V$1,'AEO 2026 Table 4'!$E$5:$AD$5,0))</f>
        <v>5.2581999999999997E-2</v>
      </c>
      <c r="W33">
        <f>INDEX('AEO 2026 Table 4'!$E$6:$AD$125,MATCH($B33,'AEO 2026 Table 4'!$B$6:$B$125,0),MATCH(W$1,'AEO 2026 Table 4'!$E$5:$AD$5,0))</f>
        <v>5.1789000000000002E-2</v>
      </c>
      <c r="X33">
        <f>INDEX('AEO 2026 Table 4'!$E$6:$AD$125,MATCH($B33,'AEO 2026 Table 4'!$B$6:$B$125,0),MATCH(X$1,'AEO 2026 Table 4'!$E$5:$AD$5,0))</f>
        <v>5.0962E-2</v>
      </c>
      <c r="Y33">
        <f>INDEX('AEO 2026 Table 4'!$E$6:$AD$125,MATCH($B33,'AEO 2026 Table 4'!$B$6:$B$125,0),MATCH(Y$1,'AEO 2026 Table 4'!$E$5:$AD$5,0))</f>
        <v>5.0118000000000003E-2</v>
      </c>
      <c r="Z33">
        <f>INDEX('AEO 2026 Table 4'!$E$6:$AD$125,MATCH($B33,'AEO 2026 Table 4'!$B$6:$B$125,0),MATCH(Z$1,'AEO 2026 Table 4'!$E$5:$AD$5,0))</f>
        <v>4.9286000000000003E-2</v>
      </c>
      <c r="AA33">
        <f>INDEX('AEO 2026 Table 4'!$E$6:$AD$125,MATCH($B33,'AEO 2026 Table 4'!$B$6:$B$125,0),MATCH(AA$1,'AEO 2026 Table 4'!$E$5:$AD$5,0))</f>
        <v>4.8475999999999998E-2</v>
      </c>
      <c r="AB33">
        <f>INDEX('AEO 2026 Table 4'!$E$6:$AD$125,MATCH($B33,'AEO 2026 Table 4'!$B$6:$B$125,0),MATCH(AB$1,'AEO 2026 Table 4'!$E$5:$AD$5,0))</f>
        <v>4.7683999999999997E-2</v>
      </c>
      <c r="AC33">
        <f>INDEX('AEO 2026 Table 4'!$E$6:$AD$125,MATCH($B33,'AEO 2026 Table 4'!$B$6:$B$125,0),MATCH(AC$1,'AEO 2026 Table 4'!$E$5:$AD$5,0))</f>
        <v>4.6887999999999999E-2</v>
      </c>
      <c r="AD33">
        <f>INDEX('AEO 2026 Table 4'!$E$6:$AD$125,MATCH($B33,'AEO 2026 Table 4'!$B$6:$B$125,0),MATCH(AD$1,'AEO 2026 Table 4'!$E$5:$AD$5,0))</f>
        <v>4.607E-2</v>
      </c>
      <c r="AE33">
        <f>INDEX('AEO 2026 Table 4'!$E$6:$AD$125,MATCH($B33,'AEO 2026 Table 4'!$B$6:$B$125,0),MATCH(AE$1,'AEO 2026 Table 4'!$E$5:$AD$5,0))</f>
        <v>4.5235999999999998E-2</v>
      </c>
      <c r="AF33">
        <f>INDEX('AEO 2026 Table 4'!$E$6:$AD$125,MATCH($B33,'AEO 2026 Table 4'!$B$6:$B$125,0),MATCH(AF$1,'AEO 2026 Table 4'!$E$5:$AD$5,0))</f>
        <v>4.4408999999999997E-2</v>
      </c>
      <c r="AG33">
        <f>INDEX('AEO 2026 Table 4'!$E$6:$AD$125,MATCH($B33,'AEO 2026 Table 4'!$B$6:$B$125,0),MATCH(AG$1,'AEO 2026 Table 4'!$E$5:$AD$5,0))</f>
        <v>4.3616000000000002E-2</v>
      </c>
      <c r="AH33">
        <f>INDEX('AEO 2026 Table 4'!$E$6:$AD$125,MATCH($B33,'AEO 2026 Table 4'!$B$6:$B$125,0),MATCH(AH$1,'AEO 2026 Table 4'!$E$5:$AD$5,0))</f>
        <v>4.2877999999999999E-2</v>
      </c>
    </row>
    <row r="34" spans="1:34" x14ac:dyDescent="0.25">
      <c r="B34" t="s">
        <v>80</v>
      </c>
      <c r="C34" t="s">
        <v>81</v>
      </c>
      <c r="D34" t="str">
        <f t="shared" si="0"/>
        <v>residential-appliances-LPG propane or butane (BTU)</v>
      </c>
      <c r="E34" t="s">
        <v>8</v>
      </c>
      <c r="F34" t="s">
        <v>16</v>
      </c>
      <c r="G34" s="1" t="s">
        <v>77</v>
      </c>
      <c r="H34" s="44">
        <f>INDEX(Table_4._Residential_Sector_Key!$F$8:$AG$125,MATCH($C34,Table_4._Residential_Sector_Key!$B$8:$B$125,0),MATCH(H$1,Table_4._Residential_Sector_Key!$F$5:$AG$5,0))</f>
        <v>1.0414E-2</v>
      </c>
      <c r="I34">
        <f>INDEX('AEO 2026 Table 4'!$E$6:$AD$125,MATCH($B34,'AEO 2026 Table 4'!$B$6:$B$125,0),MATCH(I$1,'AEO 2026 Table 4'!$E$5:$AD$5,0))</f>
        <v>1.0416999999999999E-2</v>
      </c>
      <c r="J34">
        <f>INDEX('AEO 2026 Table 4'!$E$6:$AD$125,MATCH($B34,'AEO 2026 Table 4'!$B$6:$B$125,0),MATCH(J$1,'AEO 2026 Table 4'!$E$5:$AD$5,0))</f>
        <v>1.0383E-2</v>
      </c>
      <c r="K34">
        <f>INDEX('AEO 2026 Table 4'!$E$6:$AD$125,MATCH($B34,'AEO 2026 Table 4'!$B$6:$B$125,0),MATCH(K$1,'AEO 2026 Table 4'!$E$5:$AD$5,0))</f>
        <v>1.0352999999999999E-2</v>
      </c>
      <c r="L34">
        <f>INDEX('AEO 2026 Table 4'!$E$6:$AD$125,MATCH($B34,'AEO 2026 Table 4'!$B$6:$B$125,0),MATCH(L$1,'AEO 2026 Table 4'!$E$5:$AD$5,0))</f>
        <v>1.0321E-2</v>
      </c>
      <c r="M34">
        <f>INDEX('AEO 2026 Table 4'!$E$6:$AD$125,MATCH($B34,'AEO 2026 Table 4'!$B$6:$B$125,0),MATCH(M$1,'AEO 2026 Table 4'!$E$5:$AD$5,0))</f>
        <v>1.0288E-2</v>
      </c>
      <c r="N34">
        <f>INDEX('AEO 2026 Table 4'!$E$6:$AD$125,MATCH($B34,'AEO 2026 Table 4'!$B$6:$B$125,0),MATCH(N$1,'AEO 2026 Table 4'!$E$5:$AD$5,0))</f>
        <v>1.0251E-2</v>
      </c>
      <c r="O34">
        <f>INDEX('AEO 2026 Table 4'!$E$6:$AD$125,MATCH($B34,'AEO 2026 Table 4'!$B$6:$B$125,0),MATCH(O$1,'AEO 2026 Table 4'!$E$5:$AD$5,0))</f>
        <v>1.0208999999999999E-2</v>
      </c>
      <c r="P34">
        <f>INDEX('AEO 2026 Table 4'!$E$6:$AD$125,MATCH($B34,'AEO 2026 Table 4'!$B$6:$B$125,0),MATCH(P$1,'AEO 2026 Table 4'!$E$5:$AD$5,0))</f>
        <v>1.0161E-2</v>
      </c>
      <c r="Q34">
        <f>INDEX('AEO 2026 Table 4'!$E$6:$AD$125,MATCH($B34,'AEO 2026 Table 4'!$B$6:$B$125,0),MATCH(Q$1,'AEO 2026 Table 4'!$E$5:$AD$5,0))</f>
        <v>1.0109999999999999E-2</v>
      </c>
      <c r="R34">
        <f>INDEX('AEO 2026 Table 4'!$E$6:$AD$125,MATCH($B34,'AEO 2026 Table 4'!$B$6:$B$125,0),MATCH(R$1,'AEO 2026 Table 4'!$E$5:$AD$5,0))</f>
        <v>1.0055E-2</v>
      </c>
      <c r="S34">
        <f>INDEX('AEO 2026 Table 4'!$E$6:$AD$125,MATCH($B34,'AEO 2026 Table 4'!$B$6:$B$125,0),MATCH(S$1,'AEO 2026 Table 4'!$E$5:$AD$5,0))</f>
        <v>9.9959999999999997E-3</v>
      </c>
      <c r="T34">
        <f>INDEX('AEO 2026 Table 4'!$E$6:$AD$125,MATCH($B34,'AEO 2026 Table 4'!$B$6:$B$125,0),MATCH(T$1,'AEO 2026 Table 4'!$E$5:$AD$5,0))</f>
        <v>9.9330000000000009E-3</v>
      </c>
      <c r="U34">
        <f>INDEX('AEO 2026 Table 4'!$E$6:$AD$125,MATCH($B34,'AEO 2026 Table 4'!$B$6:$B$125,0),MATCH(U$1,'AEO 2026 Table 4'!$E$5:$AD$5,0))</f>
        <v>9.8650000000000005E-3</v>
      </c>
      <c r="V34">
        <f>INDEX('AEO 2026 Table 4'!$E$6:$AD$125,MATCH($B34,'AEO 2026 Table 4'!$B$6:$B$125,0),MATCH(V$1,'AEO 2026 Table 4'!$E$5:$AD$5,0))</f>
        <v>9.8130000000000005E-3</v>
      </c>
      <c r="W34">
        <f>INDEX('AEO 2026 Table 4'!$E$6:$AD$125,MATCH($B34,'AEO 2026 Table 4'!$B$6:$B$125,0),MATCH(W$1,'AEO 2026 Table 4'!$E$5:$AD$5,0))</f>
        <v>9.7769999999999992E-3</v>
      </c>
      <c r="X34">
        <f>INDEX('AEO 2026 Table 4'!$E$6:$AD$125,MATCH($B34,'AEO 2026 Table 4'!$B$6:$B$125,0),MATCH(X$1,'AEO 2026 Table 4'!$E$5:$AD$5,0))</f>
        <v>9.7590000000000003E-3</v>
      </c>
      <c r="Y34">
        <f>INDEX('AEO 2026 Table 4'!$E$6:$AD$125,MATCH($B34,'AEO 2026 Table 4'!$B$6:$B$125,0),MATCH(Y$1,'AEO 2026 Table 4'!$E$5:$AD$5,0))</f>
        <v>9.7590000000000003E-3</v>
      </c>
      <c r="Z34">
        <f>INDEX('AEO 2026 Table 4'!$E$6:$AD$125,MATCH($B34,'AEO 2026 Table 4'!$B$6:$B$125,0),MATCH(Z$1,'AEO 2026 Table 4'!$E$5:$AD$5,0))</f>
        <v>9.7800000000000005E-3</v>
      </c>
      <c r="AA34">
        <f>INDEX('AEO 2026 Table 4'!$E$6:$AD$125,MATCH($B34,'AEO 2026 Table 4'!$B$6:$B$125,0),MATCH(AA$1,'AEO 2026 Table 4'!$E$5:$AD$5,0))</f>
        <v>9.7990000000000004E-3</v>
      </c>
      <c r="AB34">
        <f>INDEX('AEO 2026 Table 4'!$E$6:$AD$125,MATCH($B34,'AEO 2026 Table 4'!$B$6:$B$125,0),MATCH(AB$1,'AEO 2026 Table 4'!$E$5:$AD$5,0))</f>
        <v>9.8150000000000008E-3</v>
      </c>
      <c r="AC34">
        <f>INDEX('AEO 2026 Table 4'!$E$6:$AD$125,MATCH($B34,'AEO 2026 Table 4'!$B$6:$B$125,0),MATCH(AC$1,'AEO 2026 Table 4'!$E$5:$AD$5,0))</f>
        <v>9.8300000000000002E-3</v>
      </c>
      <c r="AD34">
        <f>INDEX('AEO 2026 Table 4'!$E$6:$AD$125,MATCH($B34,'AEO 2026 Table 4'!$B$6:$B$125,0),MATCH(AD$1,'AEO 2026 Table 4'!$E$5:$AD$5,0))</f>
        <v>9.8440000000000003E-3</v>
      </c>
      <c r="AE34">
        <f>INDEX('AEO 2026 Table 4'!$E$6:$AD$125,MATCH($B34,'AEO 2026 Table 4'!$B$6:$B$125,0),MATCH(AE$1,'AEO 2026 Table 4'!$E$5:$AD$5,0))</f>
        <v>9.8569999999999994E-3</v>
      </c>
      <c r="AF34">
        <f>INDEX('AEO 2026 Table 4'!$E$6:$AD$125,MATCH($B34,'AEO 2026 Table 4'!$B$6:$B$125,0),MATCH(AF$1,'AEO 2026 Table 4'!$E$5:$AD$5,0))</f>
        <v>9.868E-3</v>
      </c>
      <c r="AG34">
        <f>INDEX('AEO 2026 Table 4'!$E$6:$AD$125,MATCH($B34,'AEO 2026 Table 4'!$B$6:$B$125,0),MATCH(AG$1,'AEO 2026 Table 4'!$E$5:$AD$5,0))</f>
        <v>9.8770000000000004E-3</v>
      </c>
      <c r="AH34">
        <f>INDEX('AEO 2026 Table 4'!$E$6:$AD$125,MATCH($B34,'AEO 2026 Table 4'!$B$6:$B$125,0),MATCH(AH$1,'AEO 2026 Table 4'!$E$5:$AD$5,0))</f>
        <v>9.8860000000000007E-3</v>
      </c>
    </row>
    <row r="35" spans="1:34" x14ac:dyDescent="0.25">
      <c r="B35" t="s">
        <v>82</v>
      </c>
      <c r="C35" t="s">
        <v>83</v>
      </c>
      <c r="D35" t="str">
        <f t="shared" si="0"/>
        <v>residential-other-LPG propane or butane (BTU)</v>
      </c>
      <c r="E35" t="s">
        <v>8</v>
      </c>
      <c r="F35" t="s">
        <v>34</v>
      </c>
      <c r="G35" s="1" t="s">
        <v>77</v>
      </c>
      <c r="H35" s="44">
        <f>INDEX(Table_4._Residential_Sector_Key!$F$8:$AG$125,MATCH($C35,Table_4._Residential_Sector_Key!$B$8:$B$125,0),MATCH(H$1,Table_4._Residential_Sector_Key!$F$5:$AG$5,0))</f>
        <v>7.5281000000000001E-2</v>
      </c>
      <c r="I35">
        <f>INDEX('AEO 2026 Table 4'!$E$6:$AD$125,MATCH($B35,'AEO 2026 Table 4'!$B$6:$B$125,0),MATCH(I$1,'AEO 2026 Table 4'!$E$5:$AD$5,0))</f>
        <v>7.8036999999999995E-2</v>
      </c>
      <c r="J35">
        <f>INDEX('AEO 2026 Table 4'!$E$6:$AD$125,MATCH($B35,'AEO 2026 Table 4'!$B$6:$B$125,0),MATCH(J$1,'AEO 2026 Table 4'!$E$5:$AD$5,0))</f>
        <v>8.1169000000000005E-2</v>
      </c>
      <c r="K35">
        <f>INDEX('AEO 2026 Table 4'!$E$6:$AD$125,MATCH($B35,'AEO 2026 Table 4'!$B$6:$B$125,0),MATCH(K$1,'AEO 2026 Table 4'!$E$5:$AD$5,0))</f>
        <v>8.4196999999999994E-2</v>
      </c>
      <c r="L35">
        <f>INDEX('AEO 2026 Table 4'!$E$6:$AD$125,MATCH($B35,'AEO 2026 Table 4'!$B$6:$B$125,0),MATCH(L$1,'AEO 2026 Table 4'!$E$5:$AD$5,0))</f>
        <v>8.6918999999999996E-2</v>
      </c>
      <c r="M35">
        <f>INDEX('AEO 2026 Table 4'!$E$6:$AD$125,MATCH($B35,'AEO 2026 Table 4'!$B$6:$B$125,0),MATCH(M$1,'AEO 2026 Table 4'!$E$5:$AD$5,0))</f>
        <v>8.9321999999999999E-2</v>
      </c>
      <c r="N35">
        <f>INDEX('AEO 2026 Table 4'!$E$6:$AD$125,MATCH($B35,'AEO 2026 Table 4'!$B$6:$B$125,0),MATCH(N$1,'AEO 2026 Table 4'!$E$5:$AD$5,0))</f>
        <v>9.1503000000000001E-2</v>
      </c>
      <c r="O35">
        <f>INDEX('AEO 2026 Table 4'!$E$6:$AD$125,MATCH($B35,'AEO 2026 Table 4'!$B$6:$B$125,0),MATCH(O$1,'AEO 2026 Table 4'!$E$5:$AD$5,0))</f>
        <v>9.35E-2</v>
      </c>
      <c r="P35">
        <f>INDEX('AEO 2026 Table 4'!$E$6:$AD$125,MATCH($B35,'AEO 2026 Table 4'!$B$6:$B$125,0),MATCH(P$1,'AEO 2026 Table 4'!$E$5:$AD$5,0))</f>
        <v>9.5471E-2</v>
      </c>
      <c r="Q35">
        <f>INDEX('AEO 2026 Table 4'!$E$6:$AD$125,MATCH($B35,'AEO 2026 Table 4'!$B$6:$B$125,0),MATCH(Q$1,'AEO 2026 Table 4'!$E$5:$AD$5,0))</f>
        <v>9.7409999999999997E-2</v>
      </c>
      <c r="R35">
        <f>INDEX('AEO 2026 Table 4'!$E$6:$AD$125,MATCH($B35,'AEO 2026 Table 4'!$B$6:$B$125,0),MATCH(R$1,'AEO 2026 Table 4'!$E$5:$AD$5,0))</f>
        <v>9.9464999999999998E-2</v>
      </c>
      <c r="S35">
        <f>INDEX('AEO 2026 Table 4'!$E$6:$AD$125,MATCH($B35,'AEO 2026 Table 4'!$B$6:$B$125,0),MATCH(S$1,'AEO 2026 Table 4'!$E$5:$AD$5,0))</f>
        <v>0.101614</v>
      </c>
      <c r="T35">
        <f>INDEX('AEO 2026 Table 4'!$E$6:$AD$125,MATCH($B35,'AEO 2026 Table 4'!$B$6:$B$125,0),MATCH(T$1,'AEO 2026 Table 4'!$E$5:$AD$5,0))</f>
        <v>0.103822</v>
      </c>
      <c r="U35">
        <f>INDEX('AEO 2026 Table 4'!$E$6:$AD$125,MATCH($B35,'AEO 2026 Table 4'!$B$6:$B$125,0),MATCH(U$1,'AEO 2026 Table 4'!$E$5:$AD$5,0))</f>
        <v>0.10602399999999999</v>
      </c>
      <c r="V35">
        <f>INDEX('AEO 2026 Table 4'!$E$6:$AD$125,MATCH($B35,'AEO 2026 Table 4'!$B$6:$B$125,0),MATCH(V$1,'AEO 2026 Table 4'!$E$5:$AD$5,0))</f>
        <v>0.10821600000000001</v>
      </c>
      <c r="W35">
        <f>INDEX('AEO 2026 Table 4'!$E$6:$AD$125,MATCH($B35,'AEO 2026 Table 4'!$B$6:$B$125,0),MATCH(W$1,'AEO 2026 Table 4'!$E$5:$AD$5,0))</f>
        <v>0.110387</v>
      </c>
      <c r="X35">
        <f>INDEX('AEO 2026 Table 4'!$E$6:$AD$125,MATCH($B35,'AEO 2026 Table 4'!$B$6:$B$125,0),MATCH(X$1,'AEO 2026 Table 4'!$E$5:$AD$5,0))</f>
        <v>0.11257499999999999</v>
      </c>
      <c r="Y35">
        <f>INDEX('AEO 2026 Table 4'!$E$6:$AD$125,MATCH($B35,'AEO 2026 Table 4'!$B$6:$B$125,0),MATCH(Y$1,'AEO 2026 Table 4'!$E$5:$AD$5,0))</f>
        <v>0.114814</v>
      </c>
      <c r="Z35">
        <f>INDEX('AEO 2026 Table 4'!$E$6:$AD$125,MATCH($B35,'AEO 2026 Table 4'!$B$6:$B$125,0),MATCH(Z$1,'AEO 2026 Table 4'!$E$5:$AD$5,0))</f>
        <v>0.11715200000000001</v>
      </c>
      <c r="AA35">
        <f>INDEX('AEO 2026 Table 4'!$E$6:$AD$125,MATCH($B35,'AEO 2026 Table 4'!$B$6:$B$125,0),MATCH(AA$1,'AEO 2026 Table 4'!$E$5:$AD$5,0))</f>
        <v>0.11959400000000001</v>
      </c>
      <c r="AB35">
        <f>INDEX('AEO 2026 Table 4'!$E$6:$AD$125,MATCH($B35,'AEO 2026 Table 4'!$B$6:$B$125,0),MATCH(AB$1,'AEO 2026 Table 4'!$E$5:$AD$5,0))</f>
        <v>0.12212099999999999</v>
      </c>
      <c r="AC35">
        <f>INDEX('AEO 2026 Table 4'!$E$6:$AD$125,MATCH($B35,'AEO 2026 Table 4'!$B$6:$B$125,0),MATCH(AC$1,'AEO 2026 Table 4'!$E$5:$AD$5,0))</f>
        <v>0.12467</v>
      </c>
      <c r="AD35">
        <f>INDEX('AEO 2026 Table 4'!$E$6:$AD$125,MATCH($B35,'AEO 2026 Table 4'!$B$6:$B$125,0),MATCH(AD$1,'AEO 2026 Table 4'!$E$5:$AD$5,0))</f>
        <v>0.12718199999999999</v>
      </c>
      <c r="AE35">
        <f>INDEX('AEO 2026 Table 4'!$E$6:$AD$125,MATCH($B35,'AEO 2026 Table 4'!$B$6:$B$125,0),MATCH(AE$1,'AEO 2026 Table 4'!$E$5:$AD$5,0))</f>
        <v>0.12964800000000001</v>
      </c>
      <c r="AF35">
        <f>INDEX('AEO 2026 Table 4'!$E$6:$AD$125,MATCH($B35,'AEO 2026 Table 4'!$B$6:$B$125,0),MATCH(AF$1,'AEO 2026 Table 4'!$E$5:$AD$5,0))</f>
        <v>0.13209399999999999</v>
      </c>
      <c r="AG35">
        <f>INDEX('AEO 2026 Table 4'!$E$6:$AD$125,MATCH($B35,'AEO 2026 Table 4'!$B$6:$B$125,0),MATCH(AG$1,'AEO 2026 Table 4'!$E$5:$AD$5,0))</f>
        <v>0.13455500000000001</v>
      </c>
      <c r="AH35">
        <f>INDEX('AEO 2026 Table 4'!$E$6:$AD$125,MATCH($B35,'AEO 2026 Table 4'!$B$6:$B$125,0),MATCH(AH$1,'AEO 2026 Table 4'!$E$5:$AD$5,0))</f>
        <v>0.137049</v>
      </c>
    </row>
    <row r="36" spans="1:34" x14ac:dyDescent="0.25">
      <c r="B36" t="s">
        <v>84</v>
      </c>
      <c r="C36" t="s">
        <v>85</v>
      </c>
      <c r="D36" t="str">
        <f t="shared" si="0"/>
        <v>residential-total-LPG propane or butane (BTU)</v>
      </c>
      <c r="E36" t="s">
        <v>8</v>
      </c>
      <c r="F36" t="s">
        <v>43</v>
      </c>
      <c r="G36" s="1" t="s">
        <v>77</v>
      </c>
      <c r="H36" s="44">
        <f>INDEX(Table_4._Residential_Sector_Key!$F$8:$AG$125,MATCH($C36,Table_4._Residential_Sector_Key!$B$8:$B$125,0),MATCH(H$1,Table_4._Residential_Sector_Key!$F$5:$AG$5,0))</f>
        <v>0.44558500000000001</v>
      </c>
      <c r="I36">
        <f>INDEX('AEO 2026 Table 4'!$E$6:$AD$125,MATCH($B36,'AEO 2026 Table 4'!$B$6:$B$125,0),MATCH(I$1,'AEO 2026 Table 4'!$E$5:$AD$5,0))</f>
        <v>0.52449999999999997</v>
      </c>
      <c r="J36">
        <f>INDEX('AEO 2026 Table 4'!$E$6:$AD$125,MATCH($B36,'AEO 2026 Table 4'!$B$6:$B$125,0),MATCH(J$1,'AEO 2026 Table 4'!$E$5:$AD$5,0))</f>
        <v>0.51371999999999995</v>
      </c>
      <c r="K36">
        <f>INDEX('AEO 2026 Table 4'!$E$6:$AD$125,MATCH($B36,'AEO 2026 Table 4'!$B$6:$B$125,0),MATCH(K$1,'AEO 2026 Table 4'!$E$5:$AD$5,0))</f>
        <v>0.49554100000000001</v>
      </c>
      <c r="L36">
        <f>INDEX('AEO 2026 Table 4'!$E$6:$AD$125,MATCH($B36,'AEO 2026 Table 4'!$B$6:$B$125,0),MATCH(L$1,'AEO 2026 Table 4'!$E$5:$AD$5,0))</f>
        <v>0.49621100000000001</v>
      </c>
      <c r="M36">
        <f>INDEX('AEO 2026 Table 4'!$E$6:$AD$125,MATCH($B36,'AEO 2026 Table 4'!$B$6:$B$125,0),MATCH(M$1,'AEO 2026 Table 4'!$E$5:$AD$5,0))</f>
        <v>0.493311</v>
      </c>
      <c r="N36">
        <f>INDEX('AEO 2026 Table 4'!$E$6:$AD$125,MATCH($B36,'AEO 2026 Table 4'!$B$6:$B$125,0),MATCH(N$1,'AEO 2026 Table 4'!$E$5:$AD$5,0))</f>
        <v>0.48892799999999997</v>
      </c>
      <c r="O36">
        <f>INDEX('AEO 2026 Table 4'!$E$6:$AD$125,MATCH($B36,'AEO 2026 Table 4'!$B$6:$B$125,0),MATCH(O$1,'AEO 2026 Table 4'!$E$5:$AD$5,0))</f>
        <v>0.48348600000000003</v>
      </c>
      <c r="P36">
        <f>INDEX('AEO 2026 Table 4'!$E$6:$AD$125,MATCH($B36,'AEO 2026 Table 4'!$B$6:$B$125,0),MATCH(P$1,'AEO 2026 Table 4'!$E$5:$AD$5,0))</f>
        <v>0.478163</v>
      </c>
      <c r="Q36">
        <f>INDEX('AEO 2026 Table 4'!$E$6:$AD$125,MATCH($B36,'AEO 2026 Table 4'!$B$6:$B$125,0),MATCH(Q$1,'AEO 2026 Table 4'!$E$5:$AD$5,0))</f>
        <v>0.47320299999999998</v>
      </c>
      <c r="R36">
        <f>INDEX('AEO 2026 Table 4'!$E$6:$AD$125,MATCH($B36,'AEO 2026 Table 4'!$B$6:$B$125,0),MATCH(R$1,'AEO 2026 Table 4'!$E$5:$AD$5,0))</f>
        <v>0.46906199999999998</v>
      </c>
      <c r="S36">
        <f>INDEX('AEO 2026 Table 4'!$E$6:$AD$125,MATCH($B36,'AEO 2026 Table 4'!$B$6:$B$125,0),MATCH(S$1,'AEO 2026 Table 4'!$E$5:$AD$5,0))</f>
        <v>0.46562100000000001</v>
      </c>
      <c r="T36">
        <f>INDEX('AEO 2026 Table 4'!$E$6:$AD$125,MATCH($B36,'AEO 2026 Table 4'!$B$6:$B$125,0),MATCH(T$1,'AEO 2026 Table 4'!$E$5:$AD$5,0))</f>
        <v>0.46248299999999998</v>
      </c>
      <c r="U36">
        <f>INDEX('AEO 2026 Table 4'!$E$6:$AD$125,MATCH($B36,'AEO 2026 Table 4'!$B$6:$B$125,0),MATCH(U$1,'AEO 2026 Table 4'!$E$5:$AD$5,0))</f>
        <v>0.45942899999999998</v>
      </c>
      <c r="V36">
        <f>INDEX('AEO 2026 Table 4'!$E$6:$AD$125,MATCH($B36,'AEO 2026 Table 4'!$B$6:$B$125,0),MATCH(V$1,'AEO 2026 Table 4'!$E$5:$AD$5,0))</f>
        <v>0.45647500000000002</v>
      </c>
      <c r="W36">
        <f>INDEX('AEO 2026 Table 4'!$E$6:$AD$125,MATCH($B36,'AEO 2026 Table 4'!$B$6:$B$125,0),MATCH(W$1,'AEO 2026 Table 4'!$E$5:$AD$5,0))</f>
        <v>0.45356600000000002</v>
      </c>
      <c r="X36">
        <f>INDEX('AEO 2026 Table 4'!$E$6:$AD$125,MATCH($B36,'AEO 2026 Table 4'!$B$6:$B$125,0),MATCH(X$1,'AEO 2026 Table 4'!$E$5:$AD$5,0))</f>
        <v>0.45089800000000002</v>
      </c>
      <c r="Y36">
        <f>INDEX('AEO 2026 Table 4'!$E$6:$AD$125,MATCH($B36,'AEO 2026 Table 4'!$B$6:$B$125,0),MATCH(Y$1,'AEO 2026 Table 4'!$E$5:$AD$5,0))</f>
        <v>0.44853900000000002</v>
      </c>
      <c r="Z36">
        <f>INDEX('AEO 2026 Table 4'!$E$6:$AD$125,MATCH($B36,'AEO 2026 Table 4'!$B$6:$B$125,0),MATCH(Z$1,'AEO 2026 Table 4'!$E$5:$AD$5,0))</f>
        <v>0.44673800000000002</v>
      </c>
      <c r="AA36">
        <f>INDEX('AEO 2026 Table 4'!$E$6:$AD$125,MATCH($B36,'AEO 2026 Table 4'!$B$6:$B$125,0),MATCH(AA$1,'AEO 2026 Table 4'!$E$5:$AD$5,0))</f>
        <v>0.44541599999999998</v>
      </c>
      <c r="AB36">
        <f>INDEX('AEO 2026 Table 4'!$E$6:$AD$125,MATCH($B36,'AEO 2026 Table 4'!$B$6:$B$125,0),MATCH(AB$1,'AEO 2026 Table 4'!$E$5:$AD$5,0))</f>
        <v>0.44447900000000001</v>
      </c>
      <c r="AC36">
        <f>INDEX('AEO 2026 Table 4'!$E$6:$AD$125,MATCH($B36,'AEO 2026 Table 4'!$B$6:$B$125,0),MATCH(AC$1,'AEO 2026 Table 4'!$E$5:$AD$5,0))</f>
        <v>0.44374599999999997</v>
      </c>
      <c r="AD36">
        <f>INDEX('AEO 2026 Table 4'!$E$6:$AD$125,MATCH($B36,'AEO 2026 Table 4'!$B$6:$B$125,0),MATCH(AD$1,'AEO 2026 Table 4'!$E$5:$AD$5,0))</f>
        <v>0.44297599999999998</v>
      </c>
      <c r="AE36">
        <f>INDEX('AEO 2026 Table 4'!$E$6:$AD$125,MATCH($B36,'AEO 2026 Table 4'!$B$6:$B$125,0),MATCH(AE$1,'AEO 2026 Table 4'!$E$5:$AD$5,0))</f>
        <v>0.44201200000000002</v>
      </c>
      <c r="AF36">
        <f>INDEX('AEO 2026 Table 4'!$E$6:$AD$125,MATCH($B36,'AEO 2026 Table 4'!$B$6:$B$125,0),MATCH(AF$1,'AEO 2026 Table 4'!$E$5:$AD$5,0))</f>
        <v>0.44099100000000002</v>
      </c>
      <c r="AG36">
        <f>INDEX('AEO 2026 Table 4'!$E$6:$AD$125,MATCH($B36,'AEO 2026 Table 4'!$B$6:$B$125,0),MATCH(AG$1,'AEO 2026 Table 4'!$E$5:$AD$5,0))</f>
        <v>0.44002000000000002</v>
      </c>
      <c r="AH36">
        <f>INDEX('AEO 2026 Table 4'!$E$6:$AD$125,MATCH($B36,'AEO 2026 Table 4'!$B$6:$B$125,0),MATCH(AH$1,'AEO 2026 Table 4'!$E$5:$AD$5,0))</f>
        <v>0.439191</v>
      </c>
    </row>
    <row r="37" spans="1:34" x14ac:dyDescent="0.25">
      <c r="B37" t="s">
        <v>86</v>
      </c>
      <c r="C37" t="s">
        <v>87</v>
      </c>
      <c r="D37" t="str">
        <f t="shared" si="0"/>
        <v>residential-heating-biomass (BTU)</v>
      </c>
      <c r="E37" t="s">
        <v>8</v>
      </c>
      <c r="F37" t="s">
        <v>9</v>
      </c>
      <c r="G37" s="1" t="s">
        <v>88</v>
      </c>
      <c r="H37" s="44">
        <f>INDEX(Table_4._Residential_Sector_Key!$F$8:$AG$125,MATCH($C37,Table_4._Residential_Sector_Key!$B$8:$B$125,0),MATCH(H$1,Table_4._Residential_Sector_Key!$F$5:$AG$5,0))</f>
        <v>0.35758299999999998</v>
      </c>
      <c r="I37">
        <f>INDEX('AEO 2026 Table 4'!$E$6:$AD$125,MATCH($B37,'AEO 2026 Table 4'!$B$6:$B$125,0),MATCH(I$1,'AEO 2026 Table 4'!$E$5:$AD$5,0))</f>
        <v>0.37138700000000002</v>
      </c>
      <c r="J37">
        <f>INDEX('AEO 2026 Table 4'!$E$6:$AD$125,MATCH($B37,'AEO 2026 Table 4'!$B$6:$B$125,0),MATCH(J$1,'AEO 2026 Table 4'!$E$5:$AD$5,0))</f>
        <v>0.34290100000000001</v>
      </c>
      <c r="K37">
        <f>INDEX('AEO 2026 Table 4'!$E$6:$AD$125,MATCH($B37,'AEO 2026 Table 4'!$B$6:$B$125,0),MATCH(K$1,'AEO 2026 Table 4'!$E$5:$AD$5,0))</f>
        <v>0.33499000000000001</v>
      </c>
      <c r="L37">
        <f>INDEX('AEO 2026 Table 4'!$E$6:$AD$125,MATCH($B37,'AEO 2026 Table 4'!$B$6:$B$125,0),MATCH(L$1,'AEO 2026 Table 4'!$E$5:$AD$5,0))</f>
        <v>0.33120500000000003</v>
      </c>
      <c r="M37">
        <f>INDEX('AEO 2026 Table 4'!$E$6:$AD$125,MATCH($B37,'AEO 2026 Table 4'!$B$6:$B$125,0),MATCH(M$1,'AEO 2026 Table 4'!$E$5:$AD$5,0))</f>
        <v>0.32895400000000002</v>
      </c>
      <c r="N37">
        <f>INDEX('AEO 2026 Table 4'!$E$6:$AD$125,MATCH($B37,'AEO 2026 Table 4'!$B$6:$B$125,0),MATCH(N$1,'AEO 2026 Table 4'!$E$5:$AD$5,0))</f>
        <v>0.323627</v>
      </c>
      <c r="O37">
        <f>INDEX('AEO 2026 Table 4'!$E$6:$AD$125,MATCH($B37,'AEO 2026 Table 4'!$B$6:$B$125,0),MATCH(O$1,'AEO 2026 Table 4'!$E$5:$AD$5,0))</f>
        <v>0.31936900000000001</v>
      </c>
      <c r="P37">
        <f>INDEX('AEO 2026 Table 4'!$E$6:$AD$125,MATCH($B37,'AEO 2026 Table 4'!$B$6:$B$125,0),MATCH(P$1,'AEO 2026 Table 4'!$E$5:$AD$5,0))</f>
        <v>0.31564300000000001</v>
      </c>
      <c r="Q37">
        <f>INDEX('AEO 2026 Table 4'!$E$6:$AD$125,MATCH($B37,'AEO 2026 Table 4'!$B$6:$B$125,0),MATCH(Q$1,'AEO 2026 Table 4'!$E$5:$AD$5,0))</f>
        <v>0.31281199999999998</v>
      </c>
      <c r="R37">
        <f>INDEX('AEO 2026 Table 4'!$E$6:$AD$125,MATCH($B37,'AEO 2026 Table 4'!$B$6:$B$125,0),MATCH(R$1,'AEO 2026 Table 4'!$E$5:$AD$5,0))</f>
        <v>0.30912600000000001</v>
      </c>
      <c r="S37">
        <f>INDEX('AEO 2026 Table 4'!$E$6:$AD$125,MATCH($B37,'AEO 2026 Table 4'!$B$6:$B$125,0),MATCH(S$1,'AEO 2026 Table 4'!$E$5:$AD$5,0))</f>
        <v>0.30582900000000002</v>
      </c>
      <c r="T37">
        <f>INDEX('AEO 2026 Table 4'!$E$6:$AD$125,MATCH($B37,'AEO 2026 Table 4'!$B$6:$B$125,0),MATCH(T$1,'AEO 2026 Table 4'!$E$5:$AD$5,0))</f>
        <v>0.302008</v>
      </c>
      <c r="U37">
        <f>INDEX('AEO 2026 Table 4'!$E$6:$AD$125,MATCH($B37,'AEO 2026 Table 4'!$B$6:$B$125,0),MATCH(U$1,'AEO 2026 Table 4'!$E$5:$AD$5,0))</f>
        <v>0.29809400000000003</v>
      </c>
      <c r="V37">
        <f>INDEX('AEO 2026 Table 4'!$E$6:$AD$125,MATCH($B37,'AEO 2026 Table 4'!$B$6:$B$125,0),MATCH(V$1,'AEO 2026 Table 4'!$E$5:$AD$5,0))</f>
        <v>0.29419899999999999</v>
      </c>
      <c r="W37">
        <f>INDEX('AEO 2026 Table 4'!$E$6:$AD$125,MATCH($B37,'AEO 2026 Table 4'!$B$6:$B$125,0),MATCH(W$1,'AEO 2026 Table 4'!$E$5:$AD$5,0))</f>
        <v>0.28995399999999999</v>
      </c>
      <c r="X37">
        <f>INDEX('AEO 2026 Table 4'!$E$6:$AD$125,MATCH($B37,'AEO 2026 Table 4'!$B$6:$B$125,0),MATCH(X$1,'AEO 2026 Table 4'!$E$5:$AD$5,0))</f>
        <v>0.28553800000000001</v>
      </c>
      <c r="Y37">
        <f>INDEX('AEO 2026 Table 4'!$E$6:$AD$125,MATCH($B37,'AEO 2026 Table 4'!$B$6:$B$125,0),MATCH(Y$1,'AEO 2026 Table 4'!$E$5:$AD$5,0))</f>
        <v>0.28127000000000002</v>
      </c>
      <c r="Z37">
        <f>INDEX('AEO 2026 Table 4'!$E$6:$AD$125,MATCH($B37,'AEO 2026 Table 4'!$B$6:$B$125,0),MATCH(Z$1,'AEO 2026 Table 4'!$E$5:$AD$5,0))</f>
        <v>0.27737800000000001</v>
      </c>
      <c r="AA37">
        <f>INDEX('AEO 2026 Table 4'!$E$6:$AD$125,MATCH($B37,'AEO 2026 Table 4'!$B$6:$B$125,0),MATCH(AA$1,'AEO 2026 Table 4'!$E$5:$AD$5,0))</f>
        <v>0.27363100000000001</v>
      </c>
      <c r="AB37">
        <f>INDEX('AEO 2026 Table 4'!$E$6:$AD$125,MATCH($B37,'AEO 2026 Table 4'!$B$6:$B$125,0),MATCH(AB$1,'AEO 2026 Table 4'!$E$5:$AD$5,0))</f>
        <v>0.27007799999999998</v>
      </c>
      <c r="AC37">
        <f>INDEX('AEO 2026 Table 4'!$E$6:$AD$125,MATCH($B37,'AEO 2026 Table 4'!$B$6:$B$125,0),MATCH(AC$1,'AEO 2026 Table 4'!$E$5:$AD$5,0))</f>
        <v>0.26697399999999999</v>
      </c>
      <c r="AD37">
        <f>INDEX('AEO 2026 Table 4'!$E$6:$AD$125,MATCH($B37,'AEO 2026 Table 4'!$B$6:$B$125,0),MATCH(AD$1,'AEO 2026 Table 4'!$E$5:$AD$5,0))</f>
        <v>0.26397799999999999</v>
      </c>
      <c r="AE37">
        <f>INDEX('AEO 2026 Table 4'!$E$6:$AD$125,MATCH($B37,'AEO 2026 Table 4'!$B$6:$B$125,0),MATCH(AE$1,'AEO 2026 Table 4'!$E$5:$AD$5,0))</f>
        <v>0.26129000000000002</v>
      </c>
      <c r="AF37">
        <f>INDEX('AEO 2026 Table 4'!$E$6:$AD$125,MATCH($B37,'AEO 2026 Table 4'!$B$6:$B$125,0),MATCH(AF$1,'AEO 2026 Table 4'!$E$5:$AD$5,0))</f>
        <v>0.258824</v>
      </c>
      <c r="AG37">
        <f>INDEX('AEO 2026 Table 4'!$E$6:$AD$125,MATCH($B37,'AEO 2026 Table 4'!$B$6:$B$125,0),MATCH(AG$1,'AEO 2026 Table 4'!$E$5:$AD$5,0))</f>
        <v>0.25657600000000003</v>
      </c>
      <c r="AH37">
        <f>INDEX('AEO 2026 Table 4'!$E$6:$AD$125,MATCH($B37,'AEO 2026 Table 4'!$B$6:$B$125,0),MATCH(AH$1,'AEO 2026 Table 4'!$E$5:$AD$5,0))</f>
        <v>0.254137</v>
      </c>
    </row>
    <row r="38" spans="1:34" x14ac:dyDescent="0.25">
      <c r="B38" s="45"/>
      <c r="C38" s="45" t="s">
        <v>89</v>
      </c>
      <c r="D38" s="45"/>
      <c r="E38" s="45"/>
      <c r="F38" s="45"/>
      <c r="G38" s="45"/>
      <c r="H38" s="46"/>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row>
    <row r="39" spans="1:34" x14ac:dyDescent="0.25">
      <c r="B39" t="s">
        <v>90</v>
      </c>
      <c r="C39" t="s">
        <v>91</v>
      </c>
      <c r="D39" t="str">
        <f t="shared" ref="D39:D64" si="1">E39&amp;"-"&amp;F39&amp;"-"&amp;G39</f>
        <v>commercial-heating-electricity (BTU)</v>
      </c>
      <c r="E39" t="s">
        <v>92</v>
      </c>
      <c r="F39" t="s">
        <v>9</v>
      </c>
      <c r="G39" s="1" t="s">
        <v>10</v>
      </c>
      <c r="H39" s="44">
        <f>INDEX('AEO 2025 Table 5'!$F$8:$AG$102,MATCH('Crosswalk AEO to EPS Summary'!$C39,'AEO 2025 Table 5'!$B$8:$B$102,0),MATCH(H$1,'AEO 2025 Table 5'!$F$5:$AG$5,0))</f>
        <v>0.18654100000000001</v>
      </c>
      <c r="I39">
        <f>INDEX('AEO 2026 Table 5'!$E$6:$AD$102,MATCH($B39,'AEO 2026 Table 5'!$B$6:$B$102,0),MATCH(I$1,'AEO 2026 Table 5'!$E$5:$AD$5,0))*IF($A39=1,'Data Centers'!C$53,1)</f>
        <v>0.20086000000000001</v>
      </c>
      <c r="J39">
        <f>INDEX('AEO 2026 Table 5'!$E$6:$AD$102,MATCH($B39,'AEO 2026 Table 5'!$B$6:$B$102,0),MATCH(J$1,'AEO 2026 Table 5'!$E$5:$AD$5,0))*IF($A39=1,'Data Centers'!D$53,1)</f>
        <v>0.193991</v>
      </c>
      <c r="K39">
        <f>INDEX('AEO 2026 Table 5'!$E$6:$AD$102,MATCH($B39,'AEO 2026 Table 5'!$B$6:$B$102,0),MATCH(K$1,'AEO 2026 Table 5'!$E$5:$AD$5,0))*IF($A39=1,'Data Centers'!E$53,1)</f>
        <v>0.19233</v>
      </c>
      <c r="L39">
        <f>INDEX('AEO 2026 Table 5'!$E$6:$AD$102,MATCH($B39,'AEO 2026 Table 5'!$B$6:$B$102,0),MATCH(L$1,'AEO 2026 Table 5'!$E$5:$AD$5,0))*IF($A39=1,'Data Centers'!F$53,1)</f>
        <v>0.19123699999999999</v>
      </c>
      <c r="M39">
        <f>INDEX('AEO 2026 Table 5'!$E$6:$AD$102,MATCH($B39,'AEO 2026 Table 5'!$B$6:$B$102,0),MATCH(M$1,'AEO 2026 Table 5'!$E$5:$AD$5,0))*IF($A39=1,'Data Centers'!G$53,1)</f>
        <v>0.18969</v>
      </c>
      <c r="N39">
        <f>INDEX('AEO 2026 Table 5'!$E$6:$AD$102,MATCH($B39,'AEO 2026 Table 5'!$B$6:$B$102,0),MATCH(N$1,'AEO 2026 Table 5'!$E$5:$AD$5,0))*IF($A39=1,'Data Centers'!H$53,1)</f>
        <v>0.18790200000000001</v>
      </c>
      <c r="O39">
        <f>INDEX('AEO 2026 Table 5'!$E$6:$AD$102,MATCH($B39,'AEO 2026 Table 5'!$B$6:$B$102,0),MATCH(O$1,'AEO 2026 Table 5'!$E$5:$AD$5,0))*IF($A39=1,'Data Centers'!I$53,1)</f>
        <v>0.186031</v>
      </c>
      <c r="P39">
        <f>INDEX('AEO 2026 Table 5'!$E$6:$AD$102,MATCH($B39,'AEO 2026 Table 5'!$B$6:$B$102,0),MATCH(P$1,'AEO 2026 Table 5'!$E$5:$AD$5,0))*IF($A39=1,'Data Centers'!J$53,1)</f>
        <v>0.18410599999999999</v>
      </c>
      <c r="Q39">
        <f>INDEX('AEO 2026 Table 5'!$E$6:$AD$102,MATCH($B39,'AEO 2026 Table 5'!$B$6:$B$102,0),MATCH(Q$1,'AEO 2026 Table 5'!$E$5:$AD$5,0))*IF($A39=1,'Data Centers'!K$53,1)</f>
        <v>0.18223</v>
      </c>
      <c r="R39">
        <f>INDEX('AEO 2026 Table 5'!$E$6:$AD$102,MATCH($B39,'AEO 2026 Table 5'!$B$6:$B$102,0),MATCH(R$1,'AEO 2026 Table 5'!$E$5:$AD$5,0))*IF($A39=1,'Data Centers'!L$53,1)</f>
        <v>0.18024200000000001</v>
      </c>
      <c r="S39">
        <f>INDEX('AEO 2026 Table 5'!$E$6:$AD$102,MATCH($B39,'AEO 2026 Table 5'!$B$6:$B$102,0),MATCH(S$1,'AEO 2026 Table 5'!$E$5:$AD$5,0))*IF($A39=1,'Data Centers'!M$53,1)</f>
        <v>0.1782</v>
      </c>
      <c r="T39">
        <f>INDEX('AEO 2026 Table 5'!$E$6:$AD$102,MATCH($B39,'AEO 2026 Table 5'!$B$6:$B$102,0),MATCH(T$1,'AEO 2026 Table 5'!$E$5:$AD$5,0))*IF($A39=1,'Data Centers'!N$53,1)</f>
        <v>0.17622699999999999</v>
      </c>
      <c r="U39">
        <f>INDEX('AEO 2026 Table 5'!$E$6:$AD$102,MATCH($B39,'AEO 2026 Table 5'!$B$6:$B$102,0),MATCH(U$1,'AEO 2026 Table 5'!$E$5:$AD$5,0))*IF($A39=1,'Data Centers'!O$53,1)</f>
        <v>0.17410100000000001</v>
      </c>
      <c r="V39">
        <f>INDEX('AEO 2026 Table 5'!$E$6:$AD$102,MATCH($B39,'AEO 2026 Table 5'!$B$6:$B$102,0),MATCH(V$1,'AEO 2026 Table 5'!$E$5:$AD$5,0))*IF($A39=1,'Data Centers'!P$53,1)</f>
        <v>0.171933</v>
      </c>
      <c r="W39">
        <f>INDEX('AEO 2026 Table 5'!$E$6:$AD$102,MATCH($B39,'AEO 2026 Table 5'!$B$6:$B$102,0),MATCH(W$1,'AEO 2026 Table 5'!$E$5:$AD$5,0))*IF($A39=1,'Data Centers'!Q$53,1)</f>
        <v>0.16966300000000001</v>
      </c>
      <c r="X39">
        <f>INDEX('AEO 2026 Table 5'!$E$6:$AD$102,MATCH($B39,'AEO 2026 Table 5'!$B$6:$B$102,0),MATCH(X$1,'AEO 2026 Table 5'!$E$5:$AD$5,0))*IF($A39=1,'Data Centers'!R$53,1)</f>
        <v>0.16736599999999999</v>
      </c>
      <c r="Y39">
        <f>INDEX('AEO 2026 Table 5'!$E$6:$AD$102,MATCH($B39,'AEO 2026 Table 5'!$B$6:$B$102,0),MATCH(Y$1,'AEO 2026 Table 5'!$E$5:$AD$5,0))*IF($A39=1,'Data Centers'!S$53,1)</f>
        <v>0.165099</v>
      </c>
      <c r="Z39">
        <f>INDEX('AEO 2026 Table 5'!$E$6:$AD$102,MATCH($B39,'AEO 2026 Table 5'!$B$6:$B$102,0),MATCH(Z$1,'AEO 2026 Table 5'!$E$5:$AD$5,0))*IF($A39=1,'Data Centers'!T$53,1)</f>
        <v>0.16280800000000001</v>
      </c>
      <c r="AA39">
        <f>INDEX('AEO 2026 Table 5'!$E$6:$AD$102,MATCH($B39,'AEO 2026 Table 5'!$B$6:$B$102,0),MATCH(AA$1,'AEO 2026 Table 5'!$E$5:$AD$5,0))*IF($A39=1,'Data Centers'!U$53,1)</f>
        <v>0.16050900000000001</v>
      </c>
      <c r="AB39">
        <f>INDEX('AEO 2026 Table 5'!$E$6:$AD$102,MATCH($B39,'AEO 2026 Table 5'!$B$6:$B$102,0),MATCH(AB$1,'AEO 2026 Table 5'!$E$5:$AD$5,0))*IF($A39=1,'Data Centers'!V$53,1)</f>
        <v>0.15815599999999999</v>
      </c>
      <c r="AC39">
        <f>INDEX('AEO 2026 Table 5'!$E$6:$AD$102,MATCH($B39,'AEO 2026 Table 5'!$B$6:$B$102,0),MATCH(AC$1,'AEO 2026 Table 5'!$E$5:$AD$5,0))*IF($A39=1,'Data Centers'!W$53,1)</f>
        <v>0.15582399999999999</v>
      </c>
      <c r="AD39">
        <f>INDEX('AEO 2026 Table 5'!$E$6:$AD$102,MATCH($B39,'AEO 2026 Table 5'!$B$6:$B$102,0),MATCH(AD$1,'AEO 2026 Table 5'!$E$5:$AD$5,0))*IF($A39=1,'Data Centers'!X$53,1)</f>
        <v>0.15335499999999999</v>
      </c>
      <c r="AE39">
        <f>INDEX('AEO 2026 Table 5'!$E$6:$AD$102,MATCH($B39,'AEO 2026 Table 5'!$B$6:$B$102,0),MATCH(AE$1,'AEO 2026 Table 5'!$E$5:$AD$5,0))*IF($A39=1,'Data Centers'!Y$53,1)</f>
        <v>0.15071499999999999</v>
      </c>
      <c r="AF39">
        <f>INDEX('AEO 2026 Table 5'!$E$6:$AD$102,MATCH($B39,'AEO 2026 Table 5'!$B$6:$B$102,0),MATCH(AF$1,'AEO 2026 Table 5'!$E$5:$AD$5,0))*IF($A39=1,'Data Centers'!Z$53,1)</f>
        <v>0.148032</v>
      </c>
      <c r="AG39">
        <f>INDEX('AEO 2026 Table 5'!$E$6:$AD$102,MATCH($B39,'AEO 2026 Table 5'!$B$6:$B$102,0),MATCH(AG$1,'AEO 2026 Table 5'!$E$5:$AD$5,0))*IF($A39=1,'Data Centers'!AA$53,1)</f>
        <v>0.14538499999999999</v>
      </c>
      <c r="AH39">
        <f>INDEX('AEO 2026 Table 5'!$E$6:$AD$102,MATCH($B39,'AEO 2026 Table 5'!$B$6:$B$102,0),MATCH(AH$1,'AEO 2026 Table 5'!$E$5:$AD$5,0))*IF($A39=1,'Data Centers'!AB$53,1)</f>
        <v>0.14267099999999999</v>
      </c>
    </row>
    <row r="40" spans="1:34" x14ac:dyDescent="0.25">
      <c r="A40">
        <v>1</v>
      </c>
      <c r="B40" t="s">
        <v>93</v>
      </c>
      <c r="C40" t="s">
        <v>94</v>
      </c>
      <c r="D40" t="str">
        <f t="shared" si="1"/>
        <v>commercial-cooling-electricity (BTU)</v>
      </c>
      <c r="E40" t="s">
        <v>92</v>
      </c>
      <c r="F40" t="s">
        <v>13</v>
      </c>
      <c r="G40" s="1" t="s">
        <v>10</v>
      </c>
      <c r="H40" s="44">
        <f>INDEX('AEO 2025 Table 5'!$F$8:$AG$102,MATCH('Crosswalk AEO to EPS Summary'!$C40,'AEO 2025 Table 5'!$B$8:$B$102,0),MATCH(H$1,'AEO 2025 Table 5'!$F$5:$AG$5,0))</f>
        <v>0.57286300000000001</v>
      </c>
      <c r="I40">
        <f>INDEX('AEO 2026 Table 5'!$E$6:$AD$102,MATCH($B40,'AEO 2026 Table 5'!$B$6:$B$102,0),MATCH(I$1,'AEO 2026 Table 5'!$E$5:$AD$5,0))*IF($A40=1,'Data Centers'!C$53,1)</f>
        <v>0.50109284400813403</v>
      </c>
      <c r="J40">
        <f>INDEX('AEO 2026 Table 5'!$E$6:$AD$102,MATCH($B40,'AEO 2026 Table 5'!$B$6:$B$102,0),MATCH(J$1,'AEO 2026 Table 5'!$E$5:$AD$5,0))*IF($A40=1,'Data Centers'!D$53,1)</f>
        <v>0.4954864238320244</v>
      </c>
      <c r="K40">
        <f>INDEX('AEO 2026 Table 5'!$E$6:$AD$102,MATCH($B40,'AEO 2026 Table 5'!$B$6:$B$102,0),MATCH(K$1,'AEO 2026 Table 5'!$E$5:$AD$5,0))*IF($A40=1,'Data Centers'!E$53,1)</f>
        <v>0.49855056271718479</v>
      </c>
      <c r="L40">
        <f>INDEX('AEO 2026 Table 5'!$E$6:$AD$102,MATCH($B40,'AEO 2026 Table 5'!$B$6:$B$102,0),MATCH(L$1,'AEO 2026 Table 5'!$E$5:$AD$5,0))*IF($A40=1,'Data Centers'!F$53,1)</f>
        <v>0.50331867787072015</v>
      </c>
      <c r="M40">
        <f>INDEX('AEO 2026 Table 5'!$E$6:$AD$102,MATCH($B40,'AEO 2026 Table 5'!$B$6:$B$102,0),MATCH(M$1,'AEO 2026 Table 5'!$E$5:$AD$5,0))*IF($A40=1,'Data Centers'!G$53,1)</f>
        <v>0.50742111593795203</v>
      </c>
      <c r="N40">
        <f>INDEX('AEO 2026 Table 5'!$E$6:$AD$102,MATCH($B40,'AEO 2026 Table 5'!$B$6:$B$102,0),MATCH(N$1,'AEO 2026 Table 5'!$E$5:$AD$5,0))*IF($A40=1,'Data Centers'!H$53,1)</f>
        <v>0.51066120472259646</v>
      </c>
      <c r="O40">
        <f>INDEX('AEO 2026 Table 5'!$E$6:$AD$102,MATCH($B40,'AEO 2026 Table 5'!$B$6:$B$102,0),MATCH(O$1,'AEO 2026 Table 5'!$E$5:$AD$5,0))*IF($A40=1,'Data Centers'!I$53,1)</f>
        <v>0.51419605883084085</v>
      </c>
      <c r="P40">
        <f>INDEX('AEO 2026 Table 5'!$E$6:$AD$102,MATCH($B40,'AEO 2026 Table 5'!$B$6:$B$102,0),MATCH(P$1,'AEO 2026 Table 5'!$E$5:$AD$5,0))*IF($A40=1,'Data Centers'!J$53,1)</f>
        <v>0.51793063597695466</v>
      </c>
      <c r="Q40">
        <f>INDEX('AEO 2026 Table 5'!$E$6:$AD$102,MATCH($B40,'AEO 2026 Table 5'!$B$6:$B$102,0),MATCH(Q$1,'AEO 2026 Table 5'!$E$5:$AD$5,0))*IF($A40=1,'Data Centers'!K$53,1)</f>
        <v>0.52153077101477296</v>
      </c>
      <c r="R40">
        <f>INDEX('AEO 2026 Table 5'!$E$6:$AD$102,MATCH($B40,'AEO 2026 Table 5'!$B$6:$B$102,0),MATCH(R$1,'AEO 2026 Table 5'!$E$5:$AD$5,0))*IF($A40=1,'Data Centers'!L$53,1)</f>
        <v>0.52520406530447739</v>
      </c>
      <c r="S40">
        <f>INDEX('AEO 2026 Table 5'!$E$6:$AD$102,MATCH($B40,'AEO 2026 Table 5'!$B$6:$B$102,0),MATCH(S$1,'AEO 2026 Table 5'!$E$5:$AD$5,0))*IF($A40=1,'Data Centers'!M$53,1)</f>
        <v>0.52881931052873965</v>
      </c>
      <c r="T40">
        <f>INDEX('AEO 2026 Table 5'!$E$6:$AD$102,MATCH($B40,'AEO 2026 Table 5'!$B$6:$B$102,0),MATCH(T$1,'AEO 2026 Table 5'!$E$5:$AD$5,0))*IF($A40=1,'Data Centers'!N$53,1)</f>
        <v>0.53245914685447027</v>
      </c>
      <c r="U40">
        <f>INDEX('AEO 2026 Table 5'!$E$6:$AD$102,MATCH($B40,'AEO 2026 Table 5'!$B$6:$B$102,0),MATCH(U$1,'AEO 2026 Table 5'!$E$5:$AD$5,0))*IF($A40=1,'Data Centers'!O$53,1)</f>
        <v>0.53602806725567809</v>
      </c>
      <c r="V40">
        <f>INDEX('AEO 2026 Table 5'!$E$6:$AD$102,MATCH($B40,'AEO 2026 Table 5'!$B$6:$B$102,0),MATCH(V$1,'AEO 2026 Table 5'!$E$5:$AD$5,0))*IF($A40=1,'Data Centers'!P$53,1)</f>
        <v>0.53954374352271706</v>
      </c>
      <c r="W40">
        <f>INDEX('AEO 2026 Table 5'!$E$6:$AD$102,MATCH($B40,'AEO 2026 Table 5'!$B$6:$B$102,0),MATCH(W$1,'AEO 2026 Table 5'!$E$5:$AD$5,0))*IF($A40=1,'Data Centers'!Q$53,1)</f>
        <v>0.54284425764513267</v>
      </c>
      <c r="X40">
        <f>INDEX('AEO 2026 Table 5'!$E$6:$AD$102,MATCH($B40,'AEO 2026 Table 5'!$B$6:$B$102,0),MATCH(X$1,'AEO 2026 Table 5'!$E$5:$AD$5,0))*IF($A40=1,'Data Centers'!R$53,1)</f>
        <v>0.54630544173287043</v>
      </c>
      <c r="Y40">
        <f>INDEX('AEO 2026 Table 5'!$E$6:$AD$102,MATCH($B40,'AEO 2026 Table 5'!$B$6:$B$102,0),MATCH(Y$1,'AEO 2026 Table 5'!$E$5:$AD$5,0))*IF($A40=1,'Data Centers'!S$53,1)</f>
        <v>0.55001593528981618</v>
      </c>
      <c r="Z40">
        <f>INDEX('AEO 2026 Table 5'!$E$6:$AD$102,MATCH($B40,'AEO 2026 Table 5'!$B$6:$B$102,0),MATCH(Z$1,'AEO 2026 Table 5'!$E$5:$AD$5,0))*IF($A40=1,'Data Centers'!T$53,1)</f>
        <v>0.55381439270445043</v>
      </c>
      <c r="AA40">
        <f>INDEX('AEO 2026 Table 5'!$E$6:$AD$102,MATCH($B40,'AEO 2026 Table 5'!$B$6:$B$102,0),MATCH(AA$1,'AEO 2026 Table 5'!$E$5:$AD$5,0))*IF($A40=1,'Data Centers'!U$53,1)</f>
        <v>0.55798738691337402</v>
      </c>
      <c r="AB40">
        <f>INDEX('AEO 2026 Table 5'!$E$6:$AD$102,MATCH($B40,'AEO 2026 Table 5'!$B$6:$B$102,0),MATCH(AB$1,'AEO 2026 Table 5'!$E$5:$AD$5,0))*IF($A40=1,'Data Centers'!V$53,1)</f>
        <v>0.56215980045350755</v>
      </c>
      <c r="AC40">
        <f>INDEX('AEO 2026 Table 5'!$E$6:$AD$102,MATCH($B40,'AEO 2026 Table 5'!$B$6:$B$102,0),MATCH(AC$1,'AEO 2026 Table 5'!$E$5:$AD$5,0))*IF($A40=1,'Data Centers'!W$53,1)</f>
        <v>0.56646120926455934</v>
      </c>
      <c r="AD40">
        <f>INDEX('AEO 2026 Table 5'!$E$6:$AD$102,MATCH($B40,'AEO 2026 Table 5'!$B$6:$B$102,0),MATCH(AD$1,'AEO 2026 Table 5'!$E$5:$AD$5,0))*IF($A40=1,'Data Centers'!X$53,1)</f>
        <v>0.57046893914875196</v>
      </c>
      <c r="AE40">
        <f>INDEX('AEO 2026 Table 5'!$E$6:$AD$102,MATCH($B40,'AEO 2026 Table 5'!$B$6:$B$102,0),MATCH(AE$1,'AEO 2026 Table 5'!$E$5:$AD$5,0))*IF($A40=1,'Data Centers'!Y$53,1)</f>
        <v>0.57434747049167811</v>
      </c>
      <c r="AF40">
        <f>INDEX('AEO 2026 Table 5'!$E$6:$AD$102,MATCH($B40,'AEO 2026 Table 5'!$B$6:$B$102,0),MATCH(AF$1,'AEO 2026 Table 5'!$E$5:$AD$5,0))*IF($A40=1,'Data Centers'!Z$53,1)</f>
        <v>0.57813879580460947</v>
      </c>
      <c r="AG40">
        <f>INDEX('AEO 2026 Table 5'!$E$6:$AD$102,MATCH($B40,'AEO 2026 Table 5'!$B$6:$B$102,0),MATCH(AG$1,'AEO 2026 Table 5'!$E$5:$AD$5,0))*IF($A40=1,'Data Centers'!AA$53,1)</f>
        <v>0.58212108984319699</v>
      </c>
      <c r="AH40">
        <f>INDEX('AEO 2026 Table 5'!$E$6:$AD$102,MATCH($B40,'AEO 2026 Table 5'!$B$6:$B$102,0),MATCH(AH$1,'AEO 2026 Table 5'!$E$5:$AD$5,0))*IF($A40=1,'Data Centers'!AB$53,1)</f>
        <v>0.58602681114482036</v>
      </c>
    </row>
    <row r="41" spans="1:34" x14ac:dyDescent="0.25">
      <c r="B41" t="s">
        <v>95</v>
      </c>
      <c r="C41" t="s">
        <v>96</v>
      </c>
      <c r="D41" t="str">
        <f t="shared" si="1"/>
        <v>commercial-appliances-electricity (BTU)</v>
      </c>
      <c r="E41" t="s">
        <v>92</v>
      </c>
      <c r="F41" t="s">
        <v>16</v>
      </c>
      <c r="G41" s="1" t="s">
        <v>10</v>
      </c>
      <c r="H41" s="44">
        <f>INDEX('AEO 2025 Table 5'!$F$8:$AG$102,MATCH('Crosswalk AEO to EPS Summary'!$C41,'AEO 2025 Table 5'!$B$8:$B$102,0),MATCH(H$1,'AEO 2025 Table 5'!$F$5:$AG$5,0))</f>
        <v>7.4497999999999995E-2</v>
      </c>
      <c r="I41">
        <f>INDEX('AEO 2026 Table 5'!$E$6:$AD$102,MATCH($B41,'AEO 2026 Table 5'!$B$6:$B$102,0),MATCH(I$1,'AEO 2026 Table 5'!$E$5:$AD$5,0))*IF($A41=1,'Data Centers'!C$53,1)</f>
        <v>7.3797000000000001E-2</v>
      </c>
      <c r="J41">
        <f>INDEX('AEO 2026 Table 5'!$E$6:$AD$102,MATCH($B41,'AEO 2026 Table 5'!$B$6:$B$102,0),MATCH(J$1,'AEO 2026 Table 5'!$E$5:$AD$5,0))*IF($A41=1,'Data Centers'!D$53,1)</f>
        <v>7.2725999999999999E-2</v>
      </c>
      <c r="K41">
        <f>INDEX('AEO 2026 Table 5'!$E$6:$AD$102,MATCH($B41,'AEO 2026 Table 5'!$B$6:$B$102,0),MATCH(K$1,'AEO 2026 Table 5'!$E$5:$AD$5,0))*IF($A41=1,'Data Centers'!E$53,1)</f>
        <v>7.2052000000000005E-2</v>
      </c>
      <c r="L41">
        <f>INDEX('AEO 2026 Table 5'!$E$6:$AD$102,MATCH($B41,'AEO 2026 Table 5'!$B$6:$B$102,0),MATCH(L$1,'AEO 2026 Table 5'!$E$5:$AD$5,0))*IF($A41=1,'Data Centers'!F$53,1)</f>
        <v>7.1639999999999995E-2</v>
      </c>
      <c r="M41">
        <f>INDEX('AEO 2026 Table 5'!$E$6:$AD$102,MATCH($B41,'AEO 2026 Table 5'!$B$6:$B$102,0),MATCH(M$1,'AEO 2026 Table 5'!$E$5:$AD$5,0))*IF($A41=1,'Data Centers'!G$53,1)</f>
        <v>7.1070999999999995E-2</v>
      </c>
      <c r="N41">
        <f>INDEX('AEO 2026 Table 5'!$E$6:$AD$102,MATCH($B41,'AEO 2026 Table 5'!$B$6:$B$102,0),MATCH(N$1,'AEO 2026 Table 5'!$E$5:$AD$5,0))*IF($A41=1,'Data Centers'!H$53,1)</f>
        <v>7.0186999999999999E-2</v>
      </c>
      <c r="O41">
        <f>INDEX('AEO 2026 Table 5'!$E$6:$AD$102,MATCH($B41,'AEO 2026 Table 5'!$B$6:$B$102,0),MATCH(O$1,'AEO 2026 Table 5'!$E$5:$AD$5,0))*IF($A41=1,'Data Centers'!I$53,1)</f>
        <v>6.9282999999999997E-2</v>
      </c>
      <c r="P41">
        <f>INDEX('AEO 2026 Table 5'!$E$6:$AD$102,MATCH($B41,'AEO 2026 Table 5'!$B$6:$B$102,0),MATCH(P$1,'AEO 2026 Table 5'!$E$5:$AD$5,0))*IF($A41=1,'Data Centers'!J$53,1)</f>
        <v>6.8399000000000001E-2</v>
      </c>
      <c r="Q41">
        <f>INDEX('AEO 2026 Table 5'!$E$6:$AD$102,MATCH($B41,'AEO 2026 Table 5'!$B$6:$B$102,0),MATCH(Q$1,'AEO 2026 Table 5'!$E$5:$AD$5,0))*IF($A41=1,'Data Centers'!K$53,1)</f>
        <v>6.7566000000000001E-2</v>
      </c>
      <c r="R41">
        <f>INDEX('AEO 2026 Table 5'!$E$6:$AD$102,MATCH($B41,'AEO 2026 Table 5'!$B$6:$B$102,0),MATCH(R$1,'AEO 2026 Table 5'!$E$5:$AD$5,0))*IF($A41=1,'Data Centers'!L$53,1)</f>
        <v>6.6746E-2</v>
      </c>
      <c r="S41">
        <f>INDEX('AEO 2026 Table 5'!$E$6:$AD$102,MATCH($B41,'AEO 2026 Table 5'!$B$6:$B$102,0),MATCH(S$1,'AEO 2026 Table 5'!$E$5:$AD$5,0))*IF($A41=1,'Data Centers'!M$53,1)</f>
        <v>6.5932000000000004E-2</v>
      </c>
      <c r="T41">
        <f>INDEX('AEO 2026 Table 5'!$E$6:$AD$102,MATCH($B41,'AEO 2026 Table 5'!$B$6:$B$102,0),MATCH(T$1,'AEO 2026 Table 5'!$E$5:$AD$5,0))*IF($A41=1,'Data Centers'!N$53,1)</f>
        <v>6.5184000000000006E-2</v>
      </c>
      <c r="U41">
        <f>INDEX('AEO 2026 Table 5'!$E$6:$AD$102,MATCH($B41,'AEO 2026 Table 5'!$B$6:$B$102,0),MATCH(U$1,'AEO 2026 Table 5'!$E$5:$AD$5,0))*IF($A41=1,'Data Centers'!O$53,1)</f>
        <v>6.4424999999999996E-2</v>
      </c>
      <c r="V41">
        <f>INDEX('AEO 2026 Table 5'!$E$6:$AD$102,MATCH($B41,'AEO 2026 Table 5'!$B$6:$B$102,0),MATCH(V$1,'AEO 2026 Table 5'!$E$5:$AD$5,0))*IF($A41=1,'Data Centers'!P$53,1)</f>
        <v>6.3672999999999993E-2</v>
      </c>
      <c r="W41">
        <f>INDEX('AEO 2026 Table 5'!$E$6:$AD$102,MATCH($B41,'AEO 2026 Table 5'!$B$6:$B$102,0),MATCH(W$1,'AEO 2026 Table 5'!$E$5:$AD$5,0))*IF($A41=1,'Data Centers'!Q$53,1)</f>
        <v>6.2916E-2</v>
      </c>
      <c r="X41">
        <f>INDEX('AEO 2026 Table 5'!$E$6:$AD$102,MATCH($B41,'AEO 2026 Table 5'!$B$6:$B$102,0),MATCH(X$1,'AEO 2026 Table 5'!$E$5:$AD$5,0))*IF($A41=1,'Data Centers'!R$53,1)</f>
        <v>6.2153E-2</v>
      </c>
      <c r="Y41">
        <f>INDEX('AEO 2026 Table 5'!$E$6:$AD$102,MATCH($B41,'AEO 2026 Table 5'!$B$6:$B$102,0),MATCH(Y$1,'AEO 2026 Table 5'!$E$5:$AD$5,0))*IF($A41=1,'Data Centers'!S$53,1)</f>
        <v>6.1430999999999999E-2</v>
      </c>
      <c r="Z41">
        <f>INDEX('AEO 2026 Table 5'!$E$6:$AD$102,MATCH($B41,'AEO 2026 Table 5'!$B$6:$B$102,0),MATCH(Z$1,'AEO 2026 Table 5'!$E$5:$AD$5,0))*IF($A41=1,'Data Centers'!T$53,1)</f>
        <v>6.0715999999999999E-2</v>
      </c>
      <c r="AA41">
        <f>INDEX('AEO 2026 Table 5'!$E$6:$AD$102,MATCH($B41,'AEO 2026 Table 5'!$B$6:$B$102,0),MATCH(AA$1,'AEO 2026 Table 5'!$E$5:$AD$5,0))*IF($A41=1,'Data Centers'!U$53,1)</f>
        <v>6.0033999999999997E-2</v>
      </c>
      <c r="AB41">
        <f>INDEX('AEO 2026 Table 5'!$E$6:$AD$102,MATCH($B41,'AEO 2026 Table 5'!$B$6:$B$102,0),MATCH(AB$1,'AEO 2026 Table 5'!$E$5:$AD$5,0))*IF($A41=1,'Data Centers'!V$53,1)</f>
        <v>5.9364E-2</v>
      </c>
      <c r="AC41">
        <f>INDEX('AEO 2026 Table 5'!$E$6:$AD$102,MATCH($B41,'AEO 2026 Table 5'!$B$6:$B$102,0),MATCH(AC$1,'AEO 2026 Table 5'!$E$5:$AD$5,0))*IF($A41=1,'Data Centers'!W$53,1)</f>
        <v>5.8694999999999997E-2</v>
      </c>
      <c r="AD41">
        <f>INDEX('AEO 2026 Table 5'!$E$6:$AD$102,MATCH($B41,'AEO 2026 Table 5'!$B$6:$B$102,0),MATCH(AD$1,'AEO 2026 Table 5'!$E$5:$AD$5,0))*IF($A41=1,'Data Centers'!X$53,1)</f>
        <v>5.8001999999999998E-2</v>
      </c>
      <c r="AE41">
        <f>INDEX('AEO 2026 Table 5'!$E$6:$AD$102,MATCH($B41,'AEO 2026 Table 5'!$B$6:$B$102,0),MATCH(AE$1,'AEO 2026 Table 5'!$E$5:$AD$5,0))*IF($A41=1,'Data Centers'!Y$53,1)</f>
        <v>5.7258000000000003E-2</v>
      </c>
      <c r="AF41">
        <f>INDEX('AEO 2026 Table 5'!$E$6:$AD$102,MATCH($B41,'AEO 2026 Table 5'!$B$6:$B$102,0),MATCH(AF$1,'AEO 2026 Table 5'!$E$5:$AD$5,0))*IF($A41=1,'Data Centers'!Z$53,1)</f>
        <v>5.6502999999999998E-2</v>
      </c>
      <c r="AG41">
        <f>INDEX('AEO 2026 Table 5'!$E$6:$AD$102,MATCH($B41,'AEO 2026 Table 5'!$B$6:$B$102,0),MATCH(AG$1,'AEO 2026 Table 5'!$E$5:$AD$5,0))*IF($A41=1,'Data Centers'!AA$53,1)</f>
        <v>5.5764000000000001E-2</v>
      </c>
      <c r="AH41">
        <f>INDEX('AEO 2026 Table 5'!$E$6:$AD$102,MATCH($B41,'AEO 2026 Table 5'!$B$6:$B$102,0),MATCH(AH$1,'AEO 2026 Table 5'!$E$5:$AD$5,0))*IF($A41=1,'Data Centers'!AB$53,1)</f>
        <v>5.5010999999999997E-2</v>
      </c>
    </row>
    <row r="42" spans="1:34" x14ac:dyDescent="0.25">
      <c r="A42">
        <v>1</v>
      </c>
      <c r="B42" t="s">
        <v>97</v>
      </c>
      <c r="C42" t="s">
        <v>98</v>
      </c>
      <c r="D42" t="str">
        <f t="shared" si="1"/>
        <v>commercial-cooling-electricity (BTU)</v>
      </c>
      <c r="E42" t="s">
        <v>92</v>
      </c>
      <c r="F42" t="s">
        <v>13</v>
      </c>
      <c r="G42" s="1" t="s">
        <v>10</v>
      </c>
      <c r="H42" s="44">
        <f>INDEX('AEO 2025 Table 5'!$F$8:$AG$102,MATCH('Crosswalk AEO to EPS Summary'!$C42,'AEO 2025 Table 5'!$B$8:$B$102,0),MATCH(H$1,'AEO 2025 Table 5'!$F$5:$AG$5,0))</f>
        <v>0.74466100000000002</v>
      </c>
      <c r="I42">
        <f>INDEX('AEO 2026 Table 5'!$E$6:$AD$102,MATCH($B42,'AEO 2026 Table 5'!$B$6:$B$102,0),MATCH(I$1,'AEO 2026 Table 5'!$E$5:$AD$5,0))*IF($A42=1,'Data Centers'!C$53,1)</f>
        <v>0.68296960570984044</v>
      </c>
      <c r="J42">
        <f>INDEX('AEO 2026 Table 5'!$E$6:$AD$102,MATCH($B42,'AEO 2026 Table 5'!$B$6:$B$102,0),MATCH(J$1,'AEO 2026 Table 5'!$E$5:$AD$5,0))*IF($A42=1,'Data Centers'!D$53,1)</f>
        <v>0.6485226758226551</v>
      </c>
      <c r="K42">
        <f>INDEX('AEO 2026 Table 5'!$E$6:$AD$102,MATCH($B42,'AEO 2026 Table 5'!$B$6:$B$102,0),MATCH(K$1,'AEO 2026 Table 5'!$E$5:$AD$5,0))*IF($A42=1,'Data Centers'!E$53,1)</f>
        <v>0.65317432780621698</v>
      </c>
      <c r="L42">
        <f>INDEX('AEO 2026 Table 5'!$E$6:$AD$102,MATCH($B42,'AEO 2026 Table 5'!$B$6:$B$102,0),MATCH(L$1,'AEO 2026 Table 5'!$E$5:$AD$5,0))*IF($A42=1,'Data Centers'!F$53,1)</f>
        <v>0.66026982333843887</v>
      </c>
      <c r="M42">
        <f>INDEX('AEO 2026 Table 5'!$E$6:$AD$102,MATCH($B42,'AEO 2026 Table 5'!$B$6:$B$102,0),MATCH(M$1,'AEO 2026 Table 5'!$E$5:$AD$5,0))*IF($A42=1,'Data Centers'!G$53,1)</f>
        <v>0.6662921039060733</v>
      </c>
      <c r="N42">
        <f>INDEX('AEO 2026 Table 5'!$E$6:$AD$102,MATCH($B42,'AEO 2026 Table 5'!$B$6:$B$102,0),MATCH(N$1,'AEO 2026 Table 5'!$E$5:$AD$5,0))*IF($A42=1,'Data Centers'!H$53,1)</f>
        <v>0.66942863975182176</v>
      </c>
      <c r="O42">
        <f>INDEX('AEO 2026 Table 5'!$E$6:$AD$102,MATCH($B42,'AEO 2026 Table 5'!$B$6:$B$102,0),MATCH(O$1,'AEO 2026 Table 5'!$E$5:$AD$5,0))*IF($A42=1,'Data Centers'!I$53,1)</f>
        <v>0.6725359882559826</v>
      </c>
      <c r="P42">
        <f>INDEX('AEO 2026 Table 5'!$E$6:$AD$102,MATCH($B42,'AEO 2026 Table 5'!$B$6:$B$102,0),MATCH(P$1,'AEO 2026 Table 5'!$E$5:$AD$5,0))*IF($A42=1,'Data Centers'!J$53,1)</f>
        <v>0.67569982338542789</v>
      </c>
      <c r="Q42">
        <f>INDEX('AEO 2026 Table 5'!$E$6:$AD$102,MATCH($B42,'AEO 2026 Table 5'!$B$6:$B$102,0),MATCH(Q$1,'AEO 2026 Table 5'!$E$5:$AD$5,0))*IF($A42=1,'Data Centers'!K$53,1)</f>
        <v>0.67888455893954869</v>
      </c>
      <c r="R42">
        <f>INDEX('AEO 2026 Table 5'!$E$6:$AD$102,MATCH($B42,'AEO 2026 Table 5'!$B$6:$B$102,0),MATCH(R$1,'AEO 2026 Table 5'!$E$5:$AD$5,0))*IF($A42=1,'Data Centers'!L$53,1)</f>
        <v>0.68187121798578043</v>
      </c>
      <c r="S42">
        <f>INDEX('AEO 2026 Table 5'!$E$6:$AD$102,MATCH($B42,'AEO 2026 Table 5'!$B$6:$B$102,0),MATCH(S$1,'AEO 2026 Table 5'!$E$5:$AD$5,0))*IF($A42=1,'Data Centers'!M$53,1)</f>
        <v>0.68475451398565679</v>
      </c>
      <c r="T42">
        <f>INDEX('AEO 2026 Table 5'!$E$6:$AD$102,MATCH($B42,'AEO 2026 Table 5'!$B$6:$B$102,0),MATCH(T$1,'AEO 2026 Table 5'!$E$5:$AD$5,0))*IF($A42=1,'Data Centers'!N$53,1)</f>
        <v>0.68754514514530263</v>
      </c>
      <c r="U42">
        <f>INDEX('AEO 2026 Table 5'!$E$6:$AD$102,MATCH($B42,'AEO 2026 Table 5'!$B$6:$B$102,0),MATCH(U$1,'AEO 2026 Table 5'!$E$5:$AD$5,0))*IF($A42=1,'Data Centers'!O$53,1)</f>
        <v>0.69010876174675873</v>
      </c>
      <c r="V42">
        <f>INDEX('AEO 2026 Table 5'!$E$6:$AD$102,MATCH($B42,'AEO 2026 Table 5'!$B$6:$B$102,0),MATCH(V$1,'AEO 2026 Table 5'!$E$5:$AD$5,0))*IF($A42=1,'Data Centers'!P$53,1)</f>
        <v>0.69260091026608184</v>
      </c>
      <c r="W42">
        <f>INDEX('AEO 2026 Table 5'!$E$6:$AD$102,MATCH($B42,'AEO 2026 Table 5'!$B$6:$B$102,0),MATCH(W$1,'AEO 2026 Table 5'!$E$5:$AD$5,0))*IF($A42=1,'Data Centers'!Q$53,1)</f>
        <v>0.69487549505973689</v>
      </c>
      <c r="X42">
        <f>INDEX('AEO 2026 Table 5'!$E$6:$AD$102,MATCH($B42,'AEO 2026 Table 5'!$B$6:$B$102,0),MATCH(X$1,'AEO 2026 Table 5'!$E$5:$AD$5,0))*IF($A42=1,'Data Centers'!R$53,1)</f>
        <v>0.69712448921256542</v>
      </c>
      <c r="Y42">
        <f>INDEX('AEO 2026 Table 5'!$E$6:$AD$102,MATCH($B42,'AEO 2026 Table 5'!$B$6:$B$102,0),MATCH(Y$1,'AEO 2026 Table 5'!$E$5:$AD$5,0))*IF($A42=1,'Data Centers'!S$53,1)</f>
        <v>0.69965349848994496</v>
      </c>
      <c r="Z42">
        <f>INDEX('AEO 2026 Table 5'!$E$6:$AD$102,MATCH($B42,'AEO 2026 Table 5'!$B$6:$B$102,0),MATCH(Z$1,'AEO 2026 Table 5'!$E$5:$AD$5,0))*IF($A42=1,'Data Centers'!T$53,1)</f>
        <v>0.70196382723017703</v>
      </c>
      <c r="AA42">
        <f>INDEX('AEO 2026 Table 5'!$E$6:$AD$102,MATCH($B42,'AEO 2026 Table 5'!$B$6:$B$102,0),MATCH(AA$1,'AEO 2026 Table 5'!$E$5:$AD$5,0))*IF($A42=1,'Data Centers'!U$53,1)</f>
        <v>0.70442665982895336</v>
      </c>
      <c r="AB42">
        <f>INDEX('AEO 2026 Table 5'!$E$6:$AD$102,MATCH($B42,'AEO 2026 Table 5'!$B$6:$B$102,0),MATCH(AB$1,'AEO 2026 Table 5'!$E$5:$AD$5,0))*IF($A42=1,'Data Centers'!V$53,1)</f>
        <v>0.70688034462133764</v>
      </c>
      <c r="AC42">
        <f>INDEX('AEO 2026 Table 5'!$E$6:$AD$102,MATCH($B42,'AEO 2026 Table 5'!$B$6:$B$102,0),MATCH(AC$1,'AEO 2026 Table 5'!$E$5:$AD$5,0))*IF($A42=1,'Data Centers'!W$53,1)</f>
        <v>0.7091809430467495</v>
      </c>
      <c r="AD42">
        <f>INDEX('AEO 2026 Table 5'!$E$6:$AD$102,MATCH($B42,'AEO 2026 Table 5'!$B$6:$B$102,0),MATCH(AD$1,'AEO 2026 Table 5'!$E$5:$AD$5,0))*IF($A42=1,'Data Centers'!X$53,1)</f>
        <v>0.71124277157421867</v>
      </c>
      <c r="AE42">
        <f>INDEX('AEO 2026 Table 5'!$E$6:$AD$102,MATCH($B42,'AEO 2026 Table 5'!$B$6:$B$102,0),MATCH(AE$1,'AEO 2026 Table 5'!$E$5:$AD$5,0))*IF($A42=1,'Data Centers'!Y$53,1)</f>
        <v>0.71307200609500088</v>
      </c>
      <c r="AF42">
        <f>INDEX('AEO 2026 Table 5'!$E$6:$AD$102,MATCH($B42,'AEO 2026 Table 5'!$B$6:$B$102,0),MATCH(AF$1,'AEO 2026 Table 5'!$E$5:$AD$5,0))*IF($A42=1,'Data Centers'!Z$53,1)</f>
        <v>0.71473801693282424</v>
      </c>
      <c r="AG42">
        <f>INDEX('AEO 2026 Table 5'!$E$6:$AD$102,MATCH($B42,'AEO 2026 Table 5'!$B$6:$B$102,0),MATCH(AG$1,'AEO 2026 Table 5'!$E$5:$AD$5,0))*IF($A42=1,'Data Centers'!AA$53,1)</f>
        <v>0.71646254592881853</v>
      </c>
      <c r="AH42">
        <f>INDEX('AEO 2026 Table 5'!$E$6:$AD$102,MATCH($B42,'AEO 2026 Table 5'!$B$6:$B$102,0),MATCH(AH$1,'AEO 2026 Table 5'!$E$5:$AD$5,0))*IF($A42=1,'Data Centers'!AB$53,1)</f>
        <v>0.7179964963940717</v>
      </c>
    </row>
    <row r="43" spans="1:34" x14ac:dyDescent="0.25">
      <c r="B43" t="s">
        <v>99</v>
      </c>
      <c r="C43" t="s">
        <v>100</v>
      </c>
      <c r="D43" t="str">
        <f t="shared" si="1"/>
        <v>commercial-appliances-electricity (BTU)</v>
      </c>
      <c r="E43" t="s">
        <v>92</v>
      </c>
      <c r="F43" t="s">
        <v>16</v>
      </c>
      <c r="G43" s="1" t="s">
        <v>10</v>
      </c>
      <c r="H43" s="44">
        <f>INDEX('AEO 2025 Table 5'!$F$8:$AG$102,MATCH('Crosswalk AEO to EPS Summary'!$C43,'AEO 2025 Table 5'!$B$8:$B$102,0),MATCH(H$1,'AEO 2025 Table 5'!$F$5:$AG$5,0))</f>
        <v>8.4362999999999994E-2</v>
      </c>
      <c r="I43">
        <f>INDEX('AEO 2026 Table 5'!$E$6:$AD$102,MATCH($B43,'AEO 2026 Table 5'!$B$6:$B$102,0),MATCH(I$1,'AEO 2026 Table 5'!$E$5:$AD$5,0))*IF($A43=1,'Data Centers'!C$53,1)</f>
        <v>8.3990999999999996E-2</v>
      </c>
      <c r="J43">
        <f>INDEX('AEO 2026 Table 5'!$E$6:$AD$102,MATCH($B43,'AEO 2026 Table 5'!$B$6:$B$102,0),MATCH(J$1,'AEO 2026 Table 5'!$E$5:$AD$5,0))*IF($A43=1,'Data Centers'!D$53,1)</f>
        <v>8.3245E-2</v>
      </c>
      <c r="K43">
        <f>INDEX('AEO 2026 Table 5'!$E$6:$AD$102,MATCH($B43,'AEO 2026 Table 5'!$B$6:$B$102,0),MATCH(K$1,'AEO 2026 Table 5'!$E$5:$AD$5,0))*IF($A43=1,'Data Centers'!E$53,1)</f>
        <v>8.2881999999999997E-2</v>
      </c>
      <c r="L43">
        <f>INDEX('AEO 2026 Table 5'!$E$6:$AD$102,MATCH($B43,'AEO 2026 Table 5'!$B$6:$B$102,0),MATCH(L$1,'AEO 2026 Table 5'!$E$5:$AD$5,0))*IF($A43=1,'Data Centers'!F$53,1)</f>
        <v>8.2750000000000004E-2</v>
      </c>
      <c r="M43">
        <f>INDEX('AEO 2026 Table 5'!$E$6:$AD$102,MATCH($B43,'AEO 2026 Table 5'!$B$6:$B$102,0),MATCH(M$1,'AEO 2026 Table 5'!$E$5:$AD$5,0))*IF($A43=1,'Data Centers'!G$53,1)</f>
        <v>8.2395999999999997E-2</v>
      </c>
      <c r="N43">
        <f>INDEX('AEO 2026 Table 5'!$E$6:$AD$102,MATCH($B43,'AEO 2026 Table 5'!$B$6:$B$102,0),MATCH(N$1,'AEO 2026 Table 5'!$E$5:$AD$5,0))*IF($A43=1,'Data Centers'!H$53,1)</f>
        <v>8.1708000000000003E-2</v>
      </c>
      <c r="O43">
        <f>INDEX('AEO 2026 Table 5'!$E$6:$AD$102,MATCH($B43,'AEO 2026 Table 5'!$B$6:$B$102,0),MATCH(O$1,'AEO 2026 Table 5'!$E$5:$AD$5,0))*IF($A43=1,'Data Centers'!I$53,1)</f>
        <v>8.0997E-2</v>
      </c>
      <c r="P43">
        <f>INDEX('AEO 2026 Table 5'!$E$6:$AD$102,MATCH($B43,'AEO 2026 Table 5'!$B$6:$B$102,0),MATCH(P$1,'AEO 2026 Table 5'!$E$5:$AD$5,0))*IF($A43=1,'Data Centers'!J$53,1)</f>
        <v>8.0317E-2</v>
      </c>
      <c r="Q43">
        <f>INDEX('AEO 2026 Table 5'!$E$6:$AD$102,MATCH($B43,'AEO 2026 Table 5'!$B$6:$B$102,0),MATCH(Q$1,'AEO 2026 Table 5'!$E$5:$AD$5,0))*IF($A43=1,'Data Centers'!K$53,1)</f>
        <v>7.9703999999999997E-2</v>
      </c>
      <c r="R43">
        <f>INDEX('AEO 2026 Table 5'!$E$6:$AD$102,MATCH($B43,'AEO 2026 Table 5'!$B$6:$B$102,0),MATCH(R$1,'AEO 2026 Table 5'!$E$5:$AD$5,0))*IF($A43=1,'Data Centers'!L$53,1)</f>
        <v>7.9116000000000006E-2</v>
      </c>
      <c r="S43">
        <f>INDEX('AEO 2026 Table 5'!$E$6:$AD$102,MATCH($B43,'AEO 2026 Table 5'!$B$6:$B$102,0),MATCH(S$1,'AEO 2026 Table 5'!$E$5:$AD$5,0))*IF($A43=1,'Data Centers'!M$53,1)</f>
        <v>7.8533000000000006E-2</v>
      </c>
      <c r="T43">
        <f>INDEX('AEO 2026 Table 5'!$E$6:$AD$102,MATCH($B43,'AEO 2026 Table 5'!$B$6:$B$102,0),MATCH(T$1,'AEO 2026 Table 5'!$E$5:$AD$5,0))*IF($A43=1,'Data Centers'!N$53,1)</f>
        <v>7.7997999999999998E-2</v>
      </c>
      <c r="U43">
        <f>INDEX('AEO 2026 Table 5'!$E$6:$AD$102,MATCH($B43,'AEO 2026 Table 5'!$B$6:$B$102,0),MATCH(U$1,'AEO 2026 Table 5'!$E$5:$AD$5,0))*IF($A43=1,'Data Centers'!O$53,1)</f>
        <v>7.7441999999999997E-2</v>
      </c>
      <c r="V43">
        <f>INDEX('AEO 2026 Table 5'!$E$6:$AD$102,MATCH($B43,'AEO 2026 Table 5'!$B$6:$B$102,0),MATCH(V$1,'AEO 2026 Table 5'!$E$5:$AD$5,0))*IF($A43=1,'Data Centers'!P$53,1)</f>
        <v>7.6881000000000005E-2</v>
      </c>
      <c r="W43">
        <f>INDEX('AEO 2026 Table 5'!$E$6:$AD$102,MATCH($B43,'AEO 2026 Table 5'!$B$6:$B$102,0),MATCH(W$1,'AEO 2026 Table 5'!$E$5:$AD$5,0))*IF($A43=1,'Data Centers'!Q$53,1)</f>
        <v>7.6298000000000005E-2</v>
      </c>
      <c r="X43">
        <f>INDEX('AEO 2026 Table 5'!$E$6:$AD$102,MATCH($B43,'AEO 2026 Table 5'!$B$6:$B$102,0),MATCH(X$1,'AEO 2026 Table 5'!$E$5:$AD$5,0))*IF($A43=1,'Data Centers'!R$53,1)</f>
        <v>7.5702000000000005E-2</v>
      </c>
      <c r="Y43">
        <f>INDEX('AEO 2026 Table 5'!$E$6:$AD$102,MATCH($B43,'AEO 2026 Table 5'!$B$6:$B$102,0),MATCH(Y$1,'AEO 2026 Table 5'!$E$5:$AD$5,0))*IF($A43=1,'Data Centers'!S$53,1)</f>
        <v>7.5150999999999996E-2</v>
      </c>
      <c r="Z43">
        <f>INDEX('AEO 2026 Table 5'!$E$6:$AD$102,MATCH($B43,'AEO 2026 Table 5'!$B$6:$B$102,0),MATCH(Z$1,'AEO 2026 Table 5'!$E$5:$AD$5,0))*IF($A43=1,'Data Centers'!T$53,1)</f>
        <v>7.4596999999999997E-2</v>
      </c>
      <c r="AA43">
        <f>INDEX('AEO 2026 Table 5'!$E$6:$AD$102,MATCH($B43,'AEO 2026 Table 5'!$B$6:$B$102,0),MATCH(AA$1,'AEO 2026 Table 5'!$E$5:$AD$5,0))*IF($A43=1,'Data Centers'!U$53,1)</f>
        <v>7.4065000000000006E-2</v>
      </c>
      <c r="AB43">
        <f>INDEX('AEO 2026 Table 5'!$E$6:$AD$102,MATCH($B43,'AEO 2026 Table 5'!$B$6:$B$102,0),MATCH(AB$1,'AEO 2026 Table 5'!$E$5:$AD$5,0))*IF($A43=1,'Data Centers'!V$53,1)</f>
        <v>7.3538000000000006E-2</v>
      </c>
      <c r="AC43">
        <f>INDEX('AEO 2026 Table 5'!$E$6:$AD$102,MATCH($B43,'AEO 2026 Table 5'!$B$6:$B$102,0),MATCH(AC$1,'AEO 2026 Table 5'!$E$5:$AD$5,0))*IF($A43=1,'Data Centers'!W$53,1)</f>
        <v>7.3001999999999997E-2</v>
      </c>
      <c r="AD43">
        <f>INDEX('AEO 2026 Table 5'!$E$6:$AD$102,MATCH($B43,'AEO 2026 Table 5'!$B$6:$B$102,0),MATCH(AD$1,'AEO 2026 Table 5'!$E$5:$AD$5,0))*IF($A43=1,'Data Centers'!X$53,1)</f>
        <v>7.2416999999999995E-2</v>
      </c>
      <c r="AE43">
        <f>INDEX('AEO 2026 Table 5'!$E$6:$AD$102,MATCH($B43,'AEO 2026 Table 5'!$B$6:$B$102,0),MATCH(AE$1,'AEO 2026 Table 5'!$E$5:$AD$5,0))*IF($A43=1,'Data Centers'!Y$53,1)</f>
        <v>7.1762999999999993E-2</v>
      </c>
      <c r="AF43">
        <f>INDEX('AEO 2026 Table 5'!$E$6:$AD$102,MATCH($B43,'AEO 2026 Table 5'!$B$6:$B$102,0),MATCH(AF$1,'AEO 2026 Table 5'!$E$5:$AD$5,0))*IF($A43=1,'Data Centers'!Z$53,1)</f>
        <v>7.1082000000000006E-2</v>
      </c>
      <c r="AG43">
        <f>INDEX('AEO 2026 Table 5'!$E$6:$AD$102,MATCH($B43,'AEO 2026 Table 5'!$B$6:$B$102,0),MATCH(AG$1,'AEO 2026 Table 5'!$E$5:$AD$5,0))*IF($A43=1,'Data Centers'!AA$53,1)</f>
        <v>7.0415000000000005E-2</v>
      </c>
      <c r="AH43">
        <f>INDEX('AEO 2026 Table 5'!$E$6:$AD$102,MATCH($B43,'AEO 2026 Table 5'!$B$6:$B$102,0),MATCH(AH$1,'AEO 2026 Table 5'!$E$5:$AD$5,0))*IF($A43=1,'Data Centers'!AB$53,1)</f>
        <v>6.9721000000000005E-2</v>
      </c>
    </row>
    <row r="44" spans="1:34" x14ac:dyDescent="0.25">
      <c r="B44" t="s">
        <v>101</v>
      </c>
      <c r="C44" t="s">
        <v>102</v>
      </c>
      <c r="D44" t="str">
        <f t="shared" si="1"/>
        <v>commercial-lighting-electricity (BTU)</v>
      </c>
      <c r="E44" t="s">
        <v>92</v>
      </c>
      <c r="F44" t="s">
        <v>27</v>
      </c>
      <c r="G44" s="1" t="s">
        <v>10</v>
      </c>
      <c r="H44" s="44">
        <f>INDEX('AEO 2025 Table 5'!$F$8:$AG$102,MATCH('Crosswalk AEO to EPS Summary'!$C44,'AEO 2025 Table 5'!$B$8:$B$102,0),MATCH(H$1,'AEO 2025 Table 5'!$F$5:$AG$5,0))</f>
        <v>0.57562899999999995</v>
      </c>
      <c r="I44">
        <f>INDEX('AEO 2026 Table 5'!$E$6:$AD$102,MATCH($B44,'AEO 2026 Table 5'!$B$6:$B$102,0),MATCH(I$1,'AEO 2026 Table 5'!$E$5:$AD$5,0))*IF($A44=1,'Data Centers'!C$53,1)</f>
        <v>0.56464899999999996</v>
      </c>
      <c r="J44">
        <f>INDEX('AEO 2026 Table 5'!$E$6:$AD$102,MATCH($B44,'AEO 2026 Table 5'!$B$6:$B$102,0),MATCH(J$1,'AEO 2026 Table 5'!$E$5:$AD$5,0))*IF($A44=1,'Data Centers'!D$53,1)</f>
        <v>0.55332800000000004</v>
      </c>
      <c r="K44">
        <f>INDEX('AEO 2026 Table 5'!$E$6:$AD$102,MATCH($B44,'AEO 2026 Table 5'!$B$6:$B$102,0),MATCH(K$1,'AEO 2026 Table 5'!$E$5:$AD$5,0))*IF($A44=1,'Data Centers'!E$53,1)</f>
        <v>0.54732899999999995</v>
      </c>
      <c r="L44">
        <f>INDEX('AEO 2026 Table 5'!$E$6:$AD$102,MATCH($B44,'AEO 2026 Table 5'!$B$6:$B$102,0),MATCH(L$1,'AEO 2026 Table 5'!$E$5:$AD$5,0))*IF($A44=1,'Data Centers'!F$53,1)</f>
        <v>0.54542999999999997</v>
      </c>
      <c r="M44">
        <f>INDEX('AEO 2026 Table 5'!$E$6:$AD$102,MATCH($B44,'AEO 2026 Table 5'!$B$6:$B$102,0),MATCH(M$1,'AEO 2026 Table 5'!$E$5:$AD$5,0))*IF($A44=1,'Data Centers'!G$53,1)</f>
        <v>0.54358799999999996</v>
      </c>
      <c r="N44">
        <f>INDEX('AEO 2026 Table 5'!$E$6:$AD$102,MATCH($B44,'AEO 2026 Table 5'!$B$6:$B$102,0),MATCH(N$1,'AEO 2026 Table 5'!$E$5:$AD$5,0))*IF($A44=1,'Data Centers'!H$53,1)</f>
        <v>0.53231799999999996</v>
      </c>
      <c r="O44">
        <f>INDEX('AEO 2026 Table 5'!$E$6:$AD$102,MATCH($B44,'AEO 2026 Table 5'!$B$6:$B$102,0),MATCH(O$1,'AEO 2026 Table 5'!$E$5:$AD$5,0))*IF($A44=1,'Data Centers'!I$53,1)</f>
        <v>0.52262200000000003</v>
      </c>
      <c r="P44">
        <f>INDEX('AEO 2026 Table 5'!$E$6:$AD$102,MATCH($B44,'AEO 2026 Table 5'!$B$6:$B$102,0),MATCH(P$1,'AEO 2026 Table 5'!$E$5:$AD$5,0))*IF($A44=1,'Data Centers'!J$53,1)</f>
        <v>0.51419999999999999</v>
      </c>
      <c r="Q44">
        <f>INDEX('AEO 2026 Table 5'!$E$6:$AD$102,MATCH($B44,'AEO 2026 Table 5'!$B$6:$B$102,0),MATCH(Q$1,'AEO 2026 Table 5'!$E$5:$AD$5,0))*IF($A44=1,'Data Centers'!K$53,1)</f>
        <v>0.50677899999999998</v>
      </c>
      <c r="R44">
        <f>INDEX('AEO 2026 Table 5'!$E$6:$AD$102,MATCH($B44,'AEO 2026 Table 5'!$B$6:$B$102,0),MATCH(R$1,'AEO 2026 Table 5'!$E$5:$AD$5,0))*IF($A44=1,'Data Centers'!L$53,1)</f>
        <v>0.499778</v>
      </c>
      <c r="S44">
        <f>INDEX('AEO 2026 Table 5'!$E$6:$AD$102,MATCH($B44,'AEO 2026 Table 5'!$B$6:$B$102,0),MATCH(S$1,'AEO 2026 Table 5'!$E$5:$AD$5,0))*IF($A44=1,'Data Centers'!M$53,1)</f>
        <v>0.492952</v>
      </c>
      <c r="T44">
        <f>INDEX('AEO 2026 Table 5'!$E$6:$AD$102,MATCH($B44,'AEO 2026 Table 5'!$B$6:$B$102,0),MATCH(T$1,'AEO 2026 Table 5'!$E$5:$AD$5,0))*IF($A44=1,'Data Centers'!N$53,1)</f>
        <v>0.48728900000000003</v>
      </c>
      <c r="U44">
        <f>INDEX('AEO 2026 Table 5'!$E$6:$AD$102,MATCH($B44,'AEO 2026 Table 5'!$B$6:$B$102,0),MATCH(U$1,'AEO 2026 Table 5'!$E$5:$AD$5,0))*IF($A44=1,'Data Centers'!O$53,1)</f>
        <v>0.48248600000000003</v>
      </c>
      <c r="V44">
        <f>INDEX('AEO 2026 Table 5'!$E$6:$AD$102,MATCH($B44,'AEO 2026 Table 5'!$B$6:$B$102,0),MATCH(V$1,'AEO 2026 Table 5'!$E$5:$AD$5,0))*IF($A44=1,'Data Centers'!P$53,1)</f>
        <v>0.47849799999999998</v>
      </c>
      <c r="W44">
        <f>INDEX('AEO 2026 Table 5'!$E$6:$AD$102,MATCH($B44,'AEO 2026 Table 5'!$B$6:$B$102,0),MATCH(W$1,'AEO 2026 Table 5'!$E$5:$AD$5,0))*IF($A44=1,'Data Centers'!Q$53,1)</f>
        <v>0.47511900000000001</v>
      </c>
      <c r="X44">
        <f>INDEX('AEO 2026 Table 5'!$E$6:$AD$102,MATCH($B44,'AEO 2026 Table 5'!$B$6:$B$102,0),MATCH(X$1,'AEO 2026 Table 5'!$E$5:$AD$5,0))*IF($A44=1,'Data Centers'!R$53,1)</f>
        <v>0.47012199999999998</v>
      </c>
      <c r="Y44">
        <f>INDEX('AEO 2026 Table 5'!$E$6:$AD$102,MATCH($B44,'AEO 2026 Table 5'!$B$6:$B$102,0),MATCH(Y$1,'AEO 2026 Table 5'!$E$5:$AD$5,0))*IF($A44=1,'Data Centers'!S$53,1)</f>
        <v>0.46640700000000002</v>
      </c>
      <c r="Z44">
        <f>INDEX('AEO 2026 Table 5'!$E$6:$AD$102,MATCH($B44,'AEO 2026 Table 5'!$B$6:$B$102,0),MATCH(Z$1,'AEO 2026 Table 5'!$E$5:$AD$5,0))*IF($A44=1,'Data Centers'!T$53,1)</f>
        <v>0.46348200000000001</v>
      </c>
      <c r="AA44">
        <f>INDEX('AEO 2026 Table 5'!$E$6:$AD$102,MATCH($B44,'AEO 2026 Table 5'!$B$6:$B$102,0),MATCH(AA$1,'AEO 2026 Table 5'!$E$5:$AD$5,0))*IF($A44=1,'Data Centers'!U$53,1)</f>
        <v>0.46129700000000001</v>
      </c>
      <c r="AB44">
        <f>INDEX('AEO 2026 Table 5'!$E$6:$AD$102,MATCH($B44,'AEO 2026 Table 5'!$B$6:$B$102,0),MATCH(AB$1,'AEO 2026 Table 5'!$E$5:$AD$5,0))*IF($A44=1,'Data Centers'!V$53,1)</f>
        <v>0.45964300000000002</v>
      </c>
      <c r="AC44">
        <f>INDEX('AEO 2026 Table 5'!$E$6:$AD$102,MATCH($B44,'AEO 2026 Table 5'!$B$6:$B$102,0),MATCH(AC$1,'AEO 2026 Table 5'!$E$5:$AD$5,0))*IF($A44=1,'Data Centers'!W$53,1)</f>
        <v>0.458401</v>
      </c>
      <c r="AD44">
        <f>INDEX('AEO 2026 Table 5'!$E$6:$AD$102,MATCH($B44,'AEO 2026 Table 5'!$B$6:$B$102,0),MATCH(AD$1,'AEO 2026 Table 5'!$E$5:$AD$5,0))*IF($A44=1,'Data Centers'!X$53,1)</f>
        <v>0.457258</v>
      </c>
      <c r="AE44">
        <f>INDEX('AEO 2026 Table 5'!$E$6:$AD$102,MATCH($B44,'AEO 2026 Table 5'!$B$6:$B$102,0),MATCH(AE$1,'AEO 2026 Table 5'!$E$5:$AD$5,0))*IF($A44=1,'Data Centers'!Y$53,1)</f>
        <v>0.45599400000000001</v>
      </c>
      <c r="AF44">
        <f>INDEX('AEO 2026 Table 5'!$E$6:$AD$102,MATCH($B44,'AEO 2026 Table 5'!$B$6:$B$102,0),MATCH(AF$1,'AEO 2026 Table 5'!$E$5:$AD$5,0))*IF($A44=1,'Data Centers'!Z$53,1)</f>
        <v>0.454706</v>
      </c>
      <c r="AG44">
        <f>INDEX('AEO 2026 Table 5'!$E$6:$AD$102,MATCH($B44,'AEO 2026 Table 5'!$B$6:$B$102,0),MATCH(AG$1,'AEO 2026 Table 5'!$E$5:$AD$5,0))*IF($A44=1,'Data Centers'!AA$53,1)</f>
        <v>0.45369199999999998</v>
      </c>
      <c r="AH44">
        <f>INDEX('AEO 2026 Table 5'!$E$6:$AD$102,MATCH($B44,'AEO 2026 Table 5'!$B$6:$B$102,0),MATCH(AH$1,'AEO 2026 Table 5'!$E$5:$AD$5,0))*IF($A44=1,'Data Centers'!AB$53,1)</f>
        <v>0.45269500000000001</v>
      </c>
    </row>
    <row r="45" spans="1:34" x14ac:dyDescent="0.25">
      <c r="B45" t="s">
        <v>103</v>
      </c>
      <c r="C45" t="s">
        <v>104</v>
      </c>
      <c r="D45" t="str">
        <f t="shared" si="1"/>
        <v>commercial-appliances-electricity (BTU)</v>
      </c>
      <c r="E45" t="s">
        <v>92</v>
      </c>
      <c r="F45" t="s">
        <v>16</v>
      </c>
      <c r="G45" s="1" t="s">
        <v>10</v>
      </c>
      <c r="H45" s="44">
        <f>INDEX('AEO 2025 Table 5'!$F$8:$AG$102,MATCH('Crosswalk AEO to EPS Summary'!$C45,'AEO 2025 Table 5'!$B$8:$B$102,0),MATCH(H$1,'AEO 2025 Table 5'!$F$5:$AG$5,0))</f>
        <v>0.367309</v>
      </c>
      <c r="I45">
        <f>INDEX('AEO 2026 Table 5'!$E$6:$AD$102,MATCH($B45,'AEO 2026 Table 5'!$B$6:$B$102,0),MATCH(I$1,'AEO 2026 Table 5'!$E$5:$AD$5,0))*IF($A45=1,'Data Centers'!C$53,1)</f>
        <v>0.366734</v>
      </c>
      <c r="J45">
        <f>INDEX('AEO 2026 Table 5'!$E$6:$AD$102,MATCH($B45,'AEO 2026 Table 5'!$B$6:$B$102,0),MATCH(J$1,'AEO 2026 Table 5'!$E$5:$AD$5,0))*IF($A45=1,'Data Centers'!D$53,1)</f>
        <v>0.36595299999999997</v>
      </c>
      <c r="K45">
        <f>INDEX('AEO 2026 Table 5'!$E$6:$AD$102,MATCH($B45,'AEO 2026 Table 5'!$B$6:$B$102,0),MATCH(K$1,'AEO 2026 Table 5'!$E$5:$AD$5,0))*IF($A45=1,'Data Centers'!E$53,1)</f>
        <v>0.366174</v>
      </c>
      <c r="L45">
        <f>INDEX('AEO 2026 Table 5'!$E$6:$AD$102,MATCH($B45,'AEO 2026 Table 5'!$B$6:$B$102,0),MATCH(L$1,'AEO 2026 Table 5'!$E$5:$AD$5,0))*IF($A45=1,'Data Centers'!F$53,1)</f>
        <v>0.36699999999999999</v>
      </c>
      <c r="M45">
        <f>INDEX('AEO 2026 Table 5'!$E$6:$AD$102,MATCH($B45,'AEO 2026 Table 5'!$B$6:$B$102,0),MATCH(M$1,'AEO 2026 Table 5'!$E$5:$AD$5,0))*IF($A45=1,'Data Centers'!G$53,1)</f>
        <v>0.36756299999999997</v>
      </c>
      <c r="N45">
        <f>INDEX('AEO 2026 Table 5'!$E$6:$AD$102,MATCH($B45,'AEO 2026 Table 5'!$B$6:$B$102,0),MATCH(N$1,'AEO 2026 Table 5'!$E$5:$AD$5,0))*IF($A45=1,'Data Centers'!H$53,1)</f>
        <v>0.36664400000000003</v>
      </c>
      <c r="O45">
        <f>INDEX('AEO 2026 Table 5'!$E$6:$AD$102,MATCH($B45,'AEO 2026 Table 5'!$B$6:$B$102,0),MATCH(O$1,'AEO 2026 Table 5'!$E$5:$AD$5,0))*IF($A45=1,'Data Centers'!I$53,1)</f>
        <v>0.36620599999999998</v>
      </c>
      <c r="P45">
        <f>INDEX('AEO 2026 Table 5'!$E$6:$AD$102,MATCH($B45,'AEO 2026 Table 5'!$B$6:$B$102,0),MATCH(P$1,'AEO 2026 Table 5'!$E$5:$AD$5,0))*IF($A45=1,'Data Centers'!J$53,1)</f>
        <v>0.36610900000000002</v>
      </c>
      <c r="Q45">
        <f>INDEX('AEO 2026 Table 5'!$E$6:$AD$102,MATCH($B45,'AEO 2026 Table 5'!$B$6:$B$102,0),MATCH(Q$1,'AEO 2026 Table 5'!$E$5:$AD$5,0))*IF($A45=1,'Data Centers'!K$53,1)</f>
        <v>0.36638999999999999</v>
      </c>
      <c r="R45">
        <f>INDEX('AEO 2026 Table 5'!$E$6:$AD$102,MATCH($B45,'AEO 2026 Table 5'!$B$6:$B$102,0),MATCH(R$1,'AEO 2026 Table 5'!$E$5:$AD$5,0))*IF($A45=1,'Data Centers'!L$53,1)</f>
        <v>0.36695</v>
      </c>
      <c r="S45">
        <f>INDEX('AEO 2026 Table 5'!$E$6:$AD$102,MATCH($B45,'AEO 2026 Table 5'!$B$6:$B$102,0),MATCH(S$1,'AEO 2026 Table 5'!$E$5:$AD$5,0))*IF($A45=1,'Data Centers'!M$53,1)</f>
        <v>0.36775600000000003</v>
      </c>
      <c r="T45">
        <f>INDEX('AEO 2026 Table 5'!$E$6:$AD$102,MATCH($B45,'AEO 2026 Table 5'!$B$6:$B$102,0),MATCH(T$1,'AEO 2026 Table 5'!$E$5:$AD$5,0))*IF($A45=1,'Data Centers'!N$53,1)</f>
        <v>0.36884800000000001</v>
      </c>
      <c r="U45">
        <f>INDEX('AEO 2026 Table 5'!$E$6:$AD$102,MATCH($B45,'AEO 2026 Table 5'!$B$6:$B$102,0),MATCH(U$1,'AEO 2026 Table 5'!$E$5:$AD$5,0))*IF($A45=1,'Data Centers'!O$53,1)</f>
        <v>0.37004599999999999</v>
      </c>
      <c r="V45">
        <f>INDEX('AEO 2026 Table 5'!$E$6:$AD$102,MATCH($B45,'AEO 2026 Table 5'!$B$6:$B$102,0),MATCH(V$1,'AEO 2026 Table 5'!$E$5:$AD$5,0))*IF($A45=1,'Data Centers'!P$53,1)</f>
        <v>0.37123899999999999</v>
      </c>
      <c r="W45">
        <f>INDEX('AEO 2026 Table 5'!$E$6:$AD$102,MATCH($B45,'AEO 2026 Table 5'!$B$6:$B$102,0),MATCH(W$1,'AEO 2026 Table 5'!$E$5:$AD$5,0))*IF($A45=1,'Data Centers'!Q$53,1)</f>
        <v>0.37238300000000002</v>
      </c>
      <c r="X45">
        <f>INDEX('AEO 2026 Table 5'!$E$6:$AD$102,MATCH($B45,'AEO 2026 Table 5'!$B$6:$B$102,0),MATCH(X$1,'AEO 2026 Table 5'!$E$5:$AD$5,0))*IF($A45=1,'Data Centers'!R$53,1)</f>
        <v>0.37348500000000001</v>
      </c>
      <c r="Y45">
        <f>INDEX('AEO 2026 Table 5'!$E$6:$AD$102,MATCH($B45,'AEO 2026 Table 5'!$B$6:$B$102,0),MATCH(Y$1,'AEO 2026 Table 5'!$E$5:$AD$5,0))*IF($A45=1,'Data Centers'!S$53,1)</f>
        <v>0.37482799999999999</v>
      </c>
      <c r="Z45">
        <f>INDEX('AEO 2026 Table 5'!$E$6:$AD$102,MATCH($B45,'AEO 2026 Table 5'!$B$6:$B$102,0),MATCH(Z$1,'AEO 2026 Table 5'!$E$5:$AD$5,0))*IF($A45=1,'Data Centers'!T$53,1)</f>
        <v>0.37610199999999999</v>
      </c>
      <c r="AA45">
        <f>INDEX('AEO 2026 Table 5'!$E$6:$AD$102,MATCH($B45,'AEO 2026 Table 5'!$B$6:$B$102,0),MATCH(AA$1,'AEO 2026 Table 5'!$E$5:$AD$5,0))*IF($A45=1,'Data Centers'!U$53,1)</f>
        <v>0.37739</v>
      </c>
      <c r="AB45">
        <f>INDEX('AEO 2026 Table 5'!$E$6:$AD$102,MATCH($B45,'AEO 2026 Table 5'!$B$6:$B$102,0),MATCH(AB$1,'AEO 2026 Table 5'!$E$5:$AD$5,0))*IF($A45=1,'Data Centers'!V$53,1)</f>
        <v>0.37866300000000003</v>
      </c>
      <c r="AC45">
        <f>INDEX('AEO 2026 Table 5'!$E$6:$AD$102,MATCH($B45,'AEO 2026 Table 5'!$B$6:$B$102,0),MATCH(AC$1,'AEO 2026 Table 5'!$E$5:$AD$5,0))*IF($A45=1,'Data Centers'!W$53,1)</f>
        <v>0.37990099999999999</v>
      </c>
      <c r="AD45">
        <f>INDEX('AEO 2026 Table 5'!$E$6:$AD$102,MATCH($B45,'AEO 2026 Table 5'!$B$6:$B$102,0),MATCH(AD$1,'AEO 2026 Table 5'!$E$5:$AD$5,0))*IF($A45=1,'Data Centers'!X$53,1)</f>
        <v>0.38101400000000002</v>
      </c>
      <c r="AE45">
        <f>INDEX('AEO 2026 Table 5'!$E$6:$AD$102,MATCH($B45,'AEO 2026 Table 5'!$B$6:$B$102,0),MATCH(AE$1,'AEO 2026 Table 5'!$E$5:$AD$5,0))*IF($A45=1,'Data Centers'!Y$53,1)</f>
        <v>0.38195499999999999</v>
      </c>
      <c r="AF45">
        <f>INDEX('AEO 2026 Table 5'!$E$6:$AD$102,MATCH($B45,'AEO 2026 Table 5'!$B$6:$B$102,0),MATCH(AF$1,'AEO 2026 Table 5'!$E$5:$AD$5,0))*IF($A45=1,'Data Centers'!Z$53,1)</f>
        <v>0.38280700000000001</v>
      </c>
      <c r="AG45">
        <f>INDEX('AEO 2026 Table 5'!$E$6:$AD$102,MATCH($B45,'AEO 2026 Table 5'!$B$6:$B$102,0),MATCH(AG$1,'AEO 2026 Table 5'!$E$5:$AD$5,0))*IF($A45=1,'Data Centers'!AA$53,1)</f>
        <v>0.383654</v>
      </c>
      <c r="AH45">
        <f>INDEX('AEO 2026 Table 5'!$E$6:$AD$102,MATCH($B45,'AEO 2026 Table 5'!$B$6:$B$102,0),MATCH(AH$1,'AEO 2026 Table 5'!$E$5:$AD$5,0))*IF($A45=1,'Data Centers'!AB$53,1)</f>
        <v>0.38441500000000001</v>
      </c>
    </row>
    <row r="46" spans="1:34" x14ac:dyDescent="0.25">
      <c r="A46">
        <v>1</v>
      </c>
      <c r="B46" t="s">
        <v>105</v>
      </c>
      <c r="C46" t="s">
        <v>106</v>
      </c>
      <c r="D46" t="str">
        <f t="shared" si="1"/>
        <v>commercial-other-electricity (BTU)</v>
      </c>
      <c r="E46" t="s">
        <v>92</v>
      </c>
      <c r="F46" t="s">
        <v>34</v>
      </c>
      <c r="G46" s="1" t="s">
        <v>10</v>
      </c>
      <c r="H46" s="44">
        <f>INDEX('AEO 2025 Table 5'!$F$8:$AG$102,MATCH('Crosswalk AEO to EPS Summary'!$C46,'AEO 2025 Table 5'!$B$8:$B$102,0),MATCH(H$1,'AEO 2025 Table 5'!$F$5:$AG$5,0))</f>
        <v>0.341028</v>
      </c>
      <c r="I46">
        <f>INDEX('AEO 2026 Table 5'!$E$6:$AD$102,MATCH($B46,'AEO 2026 Table 5'!$B$6:$B$102,0),MATCH(I$1,'AEO 2026 Table 5'!$E$5:$AD$5,0))*IF($A46=1,'Data Centers'!C$53,1)</f>
        <v>0.19178919549659906</v>
      </c>
      <c r="J46">
        <f>INDEX('AEO 2026 Table 5'!$E$6:$AD$102,MATCH($B46,'AEO 2026 Table 5'!$B$6:$B$102,0),MATCH(J$1,'AEO 2026 Table 5'!$E$5:$AD$5,0))*IF($A46=1,'Data Centers'!D$53,1)</f>
        <v>0.17648732457426422</v>
      </c>
      <c r="K46">
        <f>INDEX('AEO 2026 Table 5'!$E$6:$AD$102,MATCH($B46,'AEO 2026 Table 5'!$B$6:$B$102,0),MATCH(K$1,'AEO 2026 Table 5'!$E$5:$AD$5,0))*IF($A46=1,'Data Centers'!E$53,1)</f>
        <v>0.17185470458410307</v>
      </c>
      <c r="L46">
        <f>INDEX('AEO 2026 Table 5'!$E$6:$AD$102,MATCH($B46,'AEO 2026 Table 5'!$B$6:$B$102,0),MATCH(L$1,'AEO 2026 Table 5'!$E$5:$AD$5,0))*IF($A46=1,'Data Centers'!F$53,1)</f>
        <v>0.16750292744149575</v>
      </c>
      <c r="M46">
        <f>INDEX('AEO 2026 Table 5'!$E$6:$AD$102,MATCH($B46,'AEO 2026 Table 5'!$B$6:$B$102,0),MATCH(M$1,'AEO 2026 Table 5'!$E$5:$AD$5,0))*IF($A46=1,'Data Centers'!G$53,1)</f>
        <v>0.16336585194798761</v>
      </c>
      <c r="N46">
        <f>INDEX('AEO 2026 Table 5'!$E$6:$AD$102,MATCH($B46,'AEO 2026 Table 5'!$B$6:$B$102,0),MATCH(N$1,'AEO 2026 Table 5'!$E$5:$AD$5,0))*IF($A46=1,'Data Centers'!H$53,1)</f>
        <v>0.15969888075039246</v>
      </c>
      <c r="O46">
        <f>INDEX('AEO 2026 Table 5'!$E$6:$AD$102,MATCH($B46,'AEO 2026 Table 5'!$B$6:$B$102,0),MATCH(O$1,'AEO 2026 Table 5'!$E$5:$AD$5,0))*IF($A46=1,'Data Centers'!I$53,1)</f>
        <v>0.15618591333117804</v>
      </c>
      <c r="P46">
        <f>INDEX('AEO 2026 Table 5'!$E$6:$AD$102,MATCH($B46,'AEO 2026 Table 5'!$B$6:$B$102,0),MATCH(P$1,'AEO 2026 Table 5'!$E$5:$AD$5,0))*IF($A46=1,'Data Centers'!J$53,1)</f>
        <v>0.15257464987269334</v>
      </c>
      <c r="Q46">
        <f>INDEX('AEO 2026 Table 5'!$E$6:$AD$102,MATCH($B46,'AEO 2026 Table 5'!$B$6:$B$102,0),MATCH(Q$1,'AEO 2026 Table 5'!$E$5:$AD$5,0))*IF($A46=1,'Data Centers'!K$53,1)</f>
        <v>0.14952846622482835</v>
      </c>
      <c r="R46">
        <f>INDEX('AEO 2026 Table 5'!$E$6:$AD$102,MATCH($B46,'AEO 2026 Table 5'!$B$6:$B$102,0),MATCH(R$1,'AEO 2026 Table 5'!$E$5:$AD$5,0))*IF($A46=1,'Data Centers'!L$53,1)</f>
        <v>0.14679933333613657</v>
      </c>
      <c r="S46">
        <f>INDEX('AEO 2026 Table 5'!$E$6:$AD$102,MATCH($B46,'AEO 2026 Table 5'!$B$6:$B$102,0),MATCH(S$1,'AEO 2026 Table 5'!$E$5:$AD$5,0))*IF($A46=1,'Data Centers'!M$53,1)</f>
        <v>0.14410063551558611</v>
      </c>
      <c r="T46">
        <f>INDEX('AEO 2026 Table 5'!$E$6:$AD$102,MATCH($B46,'AEO 2026 Table 5'!$B$6:$B$102,0),MATCH(T$1,'AEO 2026 Table 5'!$E$5:$AD$5,0))*IF($A46=1,'Data Centers'!N$53,1)</f>
        <v>0.14176336343131304</v>
      </c>
      <c r="U46">
        <f>INDEX('AEO 2026 Table 5'!$E$6:$AD$102,MATCH($B46,'AEO 2026 Table 5'!$B$6:$B$102,0),MATCH(U$1,'AEO 2026 Table 5'!$E$5:$AD$5,0))*IF($A46=1,'Data Centers'!O$53,1)</f>
        <v>0.13953476143848709</v>
      </c>
      <c r="V46">
        <f>INDEX('AEO 2026 Table 5'!$E$6:$AD$102,MATCH($B46,'AEO 2026 Table 5'!$B$6:$B$102,0),MATCH(V$1,'AEO 2026 Table 5'!$E$5:$AD$5,0))*IF($A46=1,'Data Centers'!P$53,1)</f>
        <v>0.13740282787019406</v>
      </c>
      <c r="W46">
        <f>INDEX('AEO 2026 Table 5'!$E$6:$AD$102,MATCH($B46,'AEO 2026 Table 5'!$B$6:$B$102,0),MATCH(W$1,'AEO 2026 Table 5'!$E$5:$AD$5,0))*IF($A46=1,'Data Centers'!Q$53,1)</f>
        <v>0.13579534821096337</v>
      </c>
      <c r="X46">
        <f>INDEX('AEO 2026 Table 5'!$E$6:$AD$102,MATCH($B46,'AEO 2026 Table 5'!$B$6:$B$102,0),MATCH(X$1,'AEO 2026 Table 5'!$E$5:$AD$5,0))*IF($A46=1,'Data Centers'!R$53,1)</f>
        <v>0.13396574270848904</v>
      </c>
      <c r="Y46">
        <f>INDEX('AEO 2026 Table 5'!$E$6:$AD$102,MATCH($B46,'AEO 2026 Table 5'!$B$6:$B$102,0),MATCH(Y$1,'AEO 2026 Table 5'!$E$5:$AD$5,0))*IF($A46=1,'Data Centers'!S$53,1)</f>
        <v>0.13188685228057878</v>
      </c>
      <c r="Z46">
        <f>INDEX('AEO 2026 Table 5'!$E$6:$AD$102,MATCH($B46,'AEO 2026 Table 5'!$B$6:$B$102,0),MATCH(Z$1,'AEO 2026 Table 5'!$E$5:$AD$5,0))*IF($A46=1,'Data Centers'!T$53,1)</f>
        <v>0.13038998630669538</v>
      </c>
      <c r="AA46">
        <f>INDEX('AEO 2026 Table 5'!$E$6:$AD$102,MATCH($B46,'AEO 2026 Table 5'!$B$6:$B$102,0),MATCH(AA$1,'AEO 2026 Table 5'!$E$5:$AD$5,0))*IF($A46=1,'Data Centers'!U$53,1)</f>
        <v>0.12827066339597937</v>
      </c>
      <c r="AB46">
        <f>INDEX('AEO 2026 Table 5'!$E$6:$AD$102,MATCH($B46,'AEO 2026 Table 5'!$B$6:$B$102,0),MATCH(AB$1,'AEO 2026 Table 5'!$E$5:$AD$5,0))*IF($A46=1,'Data Centers'!V$53,1)</f>
        <v>0.12638980105216011</v>
      </c>
      <c r="AC46">
        <f>INDEX('AEO 2026 Table 5'!$E$6:$AD$102,MATCH($B46,'AEO 2026 Table 5'!$B$6:$B$102,0),MATCH(AC$1,'AEO 2026 Table 5'!$E$5:$AD$5,0))*IF($A46=1,'Data Centers'!W$53,1)</f>
        <v>0.12431689486839995</v>
      </c>
      <c r="AD46">
        <f>INDEX('AEO 2026 Table 5'!$E$6:$AD$102,MATCH($B46,'AEO 2026 Table 5'!$B$6:$B$102,0),MATCH(AD$1,'AEO 2026 Table 5'!$E$5:$AD$5,0))*IF($A46=1,'Data Centers'!X$53,1)</f>
        <v>0.12256031513380808</v>
      </c>
      <c r="AE46">
        <f>INDEX('AEO 2026 Table 5'!$E$6:$AD$102,MATCH($B46,'AEO 2026 Table 5'!$B$6:$B$102,0),MATCH(AE$1,'AEO 2026 Table 5'!$E$5:$AD$5,0))*IF($A46=1,'Data Centers'!Y$53,1)</f>
        <v>0.12023682914247416</v>
      </c>
      <c r="AF46">
        <f>INDEX('AEO 2026 Table 5'!$E$6:$AD$102,MATCH($B46,'AEO 2026 Table 5'!$B$6:$B$102,0),MATCH(AF$1,'AEO 2026 Table 5'!$E$5:$AD$5,0))*IF($A46=1,'Data Centers'!Z$53,1)</f>
        <v>0.11775444007989898</v>
      </c>
      <c r="AG46">
        <f>INDEX('AEO 2026 Table 5'!$E$6:$AD$102,MATCH($B46,'AEO 2026 Table 5'!$B$6:$B$102,0),MATCH(AG$1,'AEO 2026 Table 5'!$E$5:$AD$5,0))*IF($A46=1,'Data Centers'!AA$53,1)</f>
        <v>0.11509096126869521</v>
      </c>
      <c r="AH46">
        <f>INDEX('AEO 2026 Table 5'!$E$6:$AD$102,MATCH($B46,'AEO 2026 Table 5'!$B$6:$B$102,0),MATCH(AH$1,'AEO 2026 Table 5'!$E$5:$AD$5,0))*IF($A46=1,'Data Centers'!AB$53,1)</f>
        <v>0.11226218446073663</v>
      </c>
    </row>
    <row r="47" spans="1:34" x14ac:dyDescent="0.25">
      <c r="C47" t="s">
        <v>107</v>
      </c>
      <c r="D47" t="str">
        <f t="shared" si="1"/>
        <v>commercial-other-electricity (BTU)</v>
      </c>
      <c r="E47" t="s">
        <v>92</v>
      </c>
      <c r="F47" t="s">
        <v>34</v>
      </c>
      <c r="G47" s="1" t="s">
        <v>10</v>
      </c>
      <c r="H47" s="44">
        <f>INDEX('AEO 2025 Table 5'!$F$8:$AG$102,MATCH('Crosswalk AEO to EPS Summary'!$C47,'AEO 2025 Table 5'!$B$8:$B$102,0),MATCH(H$1,'AEO 2025 Table 5'!$F$5:$AG$5,0))</f>
        <v>4.3232E-2</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row>
    <row r="48" spans="1:34" x14ac:dyDescent="0.25">
      <c r="A48">
        <v>1</v>
      </c>
      <c r="B48" t="s">
        <v>108</v>
      </c>
      <c r="C48" t="s">
        <v>109</v>
      </c>
      <c r="D48" t="str">
        <f t="shared" si="1"/>
        <v>commercial-other-electricity (BTU)</v>
      </c>
      <c r="E48" t="s">
        <v>92</v>
      </c>
      <c r="F48" t="s">
        <v>34</v>
      </c>
      <c r="G48" s="1" t="s">
        <v>10</v>
      </c>
      <c r="H48" s="44">
        <f>INDEX('AEO 2025 Table 5'!$F$8:$AG$102,MATCH('Crosswalk AEO to EPS Summary'!$C48,'AEO 2025 Table 5'!$B$8:$B$102,0),MATCH(H$1,'AEO 2025 Table 5'!$F$5:$AG$5,0))</f>
        <v>1.9009560000000001</v>
      </c>
      <c r="I48">
        <f>INDEX('AEO 2026 Table 5'!$E$6:$AD$102,MATCH($B48,'AEO 2026 Table 5'!$B$6:$B$102,0),MATCH(I$1,'AEO 2026 Table 5'!$E$5:$AD$5,0))*IF($A48=1,'Data Centers'!C$53,1)</f>
        <v>1.7230847402973801</v>
      </c>
      <c r="J48">
        <f>INDEX('AEO 2026 Table 5'!$E$6:$AD$102,MATCH($B48,'AEO 2026 Table 5'!$B$6:$B$102,0),MATCH(J$1,'AEO 2026 Table 5'!$E$5:$AD$5,0))*IF($A48=1,'Data Centers'!D$53,1)</f>
        <v>1.7784399612830106</v>
      </c>
      <c r="K48">
        <f>INDEX('AEO 2026 Table 5'!$E$6:$AD$102,MATCH($B48,'AEO 2026 Table 5'!$B$6:$B$102,0),MATCH(K$1,'AEO 2026 Table 5'!$E$5:$AD$5,0))*IF($A48=1,'Data Centers'!E$53,1)</f>
        <v>1.7753567904044492</v>
      </c>
      <c r="L48">
        <f>INDEX('AEO 2026 Table 5'!$E$6:$AD$102,MATCH($B48,'AEO 2026 Table 5'!$B$6:$B$102,0),MATCH(L$1,'AEO 2026 Table 5'!$E$5:$AD$5,0))*IF($A48=1,'Data Centers'!F$53,1)</f>
        <v>1.7678449568612995</v>
      </c>
      <c r="M48">
        <f>INDEX('AEO 2026 Table 5'!$E$6:$AD$102,MATCH($B48,'AEO 2026 Table 5'!$B$6:$B$102,0),MATCH(M$1,'AEO 2026 Table 5'!$E$5:$AD$5,0))*IF($A48=1,'Data Centers'!G$53,1)</f>
        <v>1.7618573137199411</v>
      </c>
      <c r="N48">
        <f>INDEX('AEO 2026 Table 5'!$E$6:$AD$102,MATCH($B48,'AEO 2026 Table 5'!$B$6:$B$102,0),MATCH(N$1,'AEO 2026 Table 5'!$E$5:$AD$5,0))*IF($A48=1,'Data Centers'!H$53,1)</f>
        <v>1.7591476602871432</v>
      </c>
      <c r="O48">
        <f>INDEX('AEO 2026 Table 5'!$E$6:$AD$102,MATCH($B48,'AEO 2026 Table 5'!$B$6:$B$102,0),MATCH(O$1,'AEO 2026 Table 5'!$E$5:$AD$5,0))*IF($A48=1,'Data Centers'!I$53,1)</f>
        <v>1.7560184250939532</v>
      </c>
      <c r="P48">
        <f>INDEX('AEO 2026 Table 5'!$E$6:$AD$102,MATCH($B48,'AEO 2026 Table 5'!$B$6:$B$102,0),MATCH(P$1,'AEO 2026 Table 5'!$E$5:$AD$5,0))*IF($A48=1,'Data Centers'!J$53,1)</f>
        <v>1.7527312762768785</v>
      </c>
      <c r="Q48">
        <f>INDEX('AEO 2026 Table 5'!$E$6:$AD$102,MATCH($B48,'AEO 2026 Table 5'!$B$6:$B$102,0),MATCH(Q$1,'AEO 2026 Table 5'!$E$5:$AD$5,0))*IF($A48=1,'Data Centers'!K$53,1)</f>
        <v>1.748992589332804</v>
      </c>
      <c r="R48">
        <f>INDEX('AEO 2026 Table 5'!$E$6:$AD$102,MATCH($B48,'AEO 2026 Table 5'!$B$6:$B$102,0),MATCH(R$1,'AEO 2026 Table 5'!$E$5:$AD$5,0))*IF($A48=1,'Data Centers'!L$53,1)</f>
        <v>1.7450617688855601</v>
      </c>
      <c r="S48">
        <f>INDEX('AEO 2026 Table 5'!$E$6:$AD$102,MATCH($B48,'AEO 2026 Table 5'!$B$6:$B$102,0),MATCH(S$1,'AEO 2026 Table 5'!$E$5:$AD$5,0))*IF($A48=1,'Data Centers'!M$53,1)</f>
        <v>1.7412619254819719</v>
      </c>
      <c r="T48">
        <f>INDEX('AEO 2026 Table 5'!$E$6:$AD$102,MATCH($B48,'AEO 2026 Table 5'!$B$6:$B$102,0),MATCH(T$1,'AEO 2026 Table 5'!$E$5:$AD$5,0))*IF($A48=1,'Data Centers'!N$53,1)</f>
        <v>1.7371687300808683</v>
      </c>
      <c r="U48">
        <f>INDEX('AEO 2026 Table 5'!$E$6:$AD$102,MATCH($B48,'AEO 2026 Table 5'!$B$6:$B$102,0),MATCH(U$1,'AEO 2026 Table 5'!$E$5:$AD$5,0))*IF($A48=1,'Data Centers'!O$53,1)</f>
        <v>1.7332647950710307</v>
      </c>
      <c r="V48">
        <f>INDEX('AEO 2026 Table 5'!$E$6:$AD$102,MATCH($B48,'AEO 2026 Table 5'!$B$6:$B$102,0),MATCH(V$1,'AEO 2026 Table 5'!$E$5:$AD$5,0))*IF($A48=1,'Data Centers'!P$53,1)</f>
        <v>1.7293889038529613</v>
      </c>
      <c r="W48">
        <f>INDEX('AEO 2026 Table 5'!$E$6:$AD$102,MATCH($B48,'AEO 2026 Table 5'!$B$6:$B$102,0),MATCH(W$1,'AEO 2026 Table 5'!$E$5:$AD$5,0))*IF($A48=1,'Data Centers'!Q$53,1)</f>
        <v>1.7254212845961214</v>
      </c>
      <c r="X48">
        <f>INDEX('AEO 2026 Table 5'!$E$6:$AD$102,MATCH($B48,'AEO 2026 Table 5'!$B$6:$B$102,0),MATCH(X$1,'AEO 2026 Table 5'!$E$5:$AD$5,0))*IF($A48=1,'Data Centers'!R$53,1)</f>
        <v>1.7215407118580295</v>
      </c>
      <c r="Y48">
        <f>INDEX('AEO 2026 Table 5'!$E$6:$AD$102,MATCH($B48,'AEO 2026 Table 5'!$B$6:$B$102,0),MATCH(Y$1,'AEO 2026 Table 5'!$E$5:$AD$5,0))*IF($A48=1,'Data Centers'!S$53,1)</f>
        <v>1.7173800994516144</v>
      </c>
      <c r="Z48">
        <f>INDEX('AEO 2026 Table 5'!$E$6:$AD$102,MATCH($B48,'AEO 2026 Table 5'!$B$6:$B$102,0),MATCH(Z$1,'AEO 2026 Table 5'!$E$5:$AD$5,0))*IF($A48=1,'Data Centers'!T$53,1)</f>
        <v>1.712768179270632</v>
      </c>
      <c r="AA48">
        <f>INDEX('AEO 2026 Table 5'!$E$6:$AD$102,MATCH($B48,'AEO 2026 Table 5'!$B$6:$B$102,0),MATCH(AA$1,'AEO 2026 Table 5'!$E$5:$AD$5,0))*IF($A48=1,'Data Centers'!U$53,1)</f>
        <v>1.7082516753736476</v>
      </c>
      <c r="AB48">
        <f>INDEX('AEO 2026 Table 5'!$E$6:$AD$102,MATCH($B48,'AEO 2026 Table 5'!$B$6:$B$102,0),MATCH(AB$1,'AEO 2026 Table 5'!$E$5:$AD$5,0))*IF($A48=1,'Data Centers'!V$53,1)</f>
        <v>1.7035064393849488</v>
      </c>
      <c r="AC48">
        <f>INDEX('AEO 2026 Table 5'!$E$6:$AD$102,MATCH($B48,'AEO 2026 Table 5'!$B$6:$B$102,0),MATCH(AC$1,'AEO 2026 Table 5'!$E$5:$AD$5,0))*IF($A48=1,'Data Centers'!W$53,1)</f>
        <v>1.6989773383322451</v>
      </c>
      <c r="AD48">
        <f>INDEX('AEO 2026 Table 5'!$E$6:$AD$102,MATCH($B48,'AEO 2026 Table 5'!$B$6:$B$102,0),MATCH(AD$1,'AEO 2026 Table 5'!$E$5:$AD$5,0))*IF($A48=1,'Data Centers'!X$53,1)</f>
        <v>1.694664359655176</v>
      </c>
      <c r="AE48">
        <f>INDEX('AEO 2026 Table 5'!$E$6:$AD$102,MATCH($B48,'AEO 2026 Table 5'!$B$6:$B$102,0),MATCH(AE$1,'AEO 2026 Table 5'!$E$5:$AD$5,0))*IF($A48=1,'Data Centers'!Y$53,1)</f>
        <v>1.6912800797828009</v>
      </c>
      <c r="AF48">
        <f>INDEX('AEO 2026 Table 5'!$E$6:$AD$102,MATCH($B48,'AEO 2026 Table 5'!$B$6:$B$102,0),MATCH(AF$1,'AEO 2026 Table 5'!$E$5:$AD$5,0))*IF($A48=1,'Data Centers'!Z$53,1)</f>
        <v>1.688305132694621</v>
      </c>
      <c r="AG48">
        <f>INDEX('AEO 2026 Table 5'!$E$6:$AD$102,MATCH($B48,'AEO 2026 Table 5'!$B$6:$B$102,0),MATCH(AG$1,'AEO 2026 Table 5'!$E$5:$AD$5,0))*IF($A48=1,'Data Centers'!AA$53,1)</f>
        <v>1.6852617884712433</v>
      </c>
      <c r="AH48">
        <f>INDEX('AEO 2026 Table 5'!$E$6:$AD$102,MATCH($B48,'AEO 2026 Table 5'!$B$6:$B$102,0),MATCH(AH$1,'AEO 2026 Table 5'!$E$5:$AD$5,0))*IF($A48=1,'Data Centers'!AB$53,1)</f>
        <v>1.6826508935123254</v>
      </c>
    </row>
    <row r="49" spans="2:34" x14ac:dyDescent="0.25">
      <c r="B49" t="s">
        <v>110</v>
      </c>
      <c r="C49" t="s">
        <v>111</v>
      </c>
      <c r="D49" t="str">
        <f t="shared" si="1"/>
        <v>commercial-total-electricity (BTU)</v>
      </c>
      <c r="E49" t="s">
        <v>92</v>
      </c>
      <c r="F49" t="s">
        <v>43</v>
      </c>
      <c r="G49" s="1" t="s">
        <v>10</v>
      </c>
      <c r="H49" s="44">
        <f>INDEX('AEO 2025 Table 5'!$F$8:$AG$102,MATCH('Crosswalk AEO to EPS Summary'!$C49,'AEO 2025 Table 5'!$B$8:$B$102,0),MATCH(H$1,'AEO 2025 Table 5'!$F$5:$AG$5,0))</f>
        <v>4.8910809999999998</v>
      </c>
      <c r="I49">
        <f>INDEX('AEO 2026 Table 5'!$E$6:$AD$102,MATCH($B49,'AEO 2026 Table 5'!$B$6:$B$102,0),MATCH(I$1,'AEO 2026 Table 5'!$E$5:$AD$5,0))*IF($A49=1,'Data Centers'!C$53,1)</f>
        <v>5.1532549999999997</v>
      </c>
      <c r="J49">
        <f>INDEX('AEO 2026 Table 5'!$E$6:$AD$102,MATCH($B49,'AEO 2026 Table 5'!$B$6:$B$102,0),MATCH(J$1,'AEO 2026 Table 5'!$E$5:$AD$5,0))*IF($A49=1,'Data Centers'!D$53,1)</f>
        <v>5.3909659999999997</v>
      </c>
      <c r="K49">
        <f>INDEX('AEO 2026 Table 5'!$E$6:$AD$102,MATCH($B49,'AEO 2026 Table 5'!$B$6:$B$102,0),MATCH(K$1,'AEO 2026 Table 5'!$E$5:$AD$5,0))*IF($A49=1,'Data Centers'!E$53,1)</f>
        <v>5.4486230000000004</v>
      </c>
      <c r="L49">
        <f>INDEX('AEO 2026 Table 5'!$E$6:$AD$102,MATCH($B49,'AEO 2026 Table 5'!$B$6:$B$102,0),MATCH(L$1,'AEO 2026 Table 5'!$E$5:$AD$5,0))*IF($A49=1,'Data Centers'!F$53,1)</f>
        <v>5.5117349999999998</v>
      </c>
      <c r="M49">
        <f>INDEX('AEO 2026 Table 5'!$E$6:$AD$102,MATCH($B49,'AEO 2026 Table 5'!$B$6:$B$102,0),MATCH(M$1,'AEO 2026 Table 5'!$E$5:$AD$5,0))*IF($A49=1,'Data Centers'!G$53,1)</f>
        <v>5.5710030000000001</v>
      </c>
      <c r="N49">
        <f>INDEX('AEO 2026 Table 5'!$E$6:$AD$102,MATCH($B49,'AEO 2026 Table 5'!$B$6:$B$102,0),MATCH(N$1,'AEO 2026 Table 5'!$E$5:$AD$5,0))*IF($A49=1,'Data Centers'!H$53,1)</f>
        <v>5.6097219999999997</v>
      </c>
      <c r="O49">
        <f>INDEX('AEO 2026 Table 5'!$E$6:$AD$102,MATCH($B49,'AEO 2026 Table 5'!$B$6:$B$102,0),MATCH(O$1,'AEO 2026 Table 5'!$E$5:$AD$5,0))*IF($A49=1,'Data Centers'!I$53,1)</f>
        <v>5.6525759999999998</v>
      </c>
      <c r="P49">
        <f>INDEX('AEO 2026 Table 5'!$E$6:$AD$102,MATCH($B49,'AEO 2026 Table 5'!$B$6:$B$102,0),MATCH(P$1,'AEO 2026 Table 5'!$E$5:$AD$5,0))*IF($A49=1,'Data Centers'!J$53,1)</f>
        <v>5.7001429999999997</v>
      </c>
      <c r="Q49">
        <f>INDEX('AEO 2026 Table 5'!$E$6:$AD$102,MATCH($B49,'AEO 2026 Table 5'!$B$6:$B$102,0),MATCH(Q$1,'AEO 2026 Table 5'!$E$5:$AD$5,0))*IF($A49=1,'Data Centers'!K$53,1)</f>
        <v>5.7539410000000002</v>
      </c>
      <c r="R49">
        <f>INDEX('AEO 2026 Table 5'!$E$6:$AD$102,MATCH($B49,'AEO 2026 Table 5'!$B$6:$B$102,0),MATCH(R$1,'AEO 2026 Table 5'!$E$5:$AD$5,0))*IF($A49=1,'Data Centers'!L$53,1)</f>
        <v>5.8118990000000004</v>
      </c>
      <c r="S49">
        <f>INDEX('AEO 2026 Table 5'!$E$6:$AD$102,MATCH($B49,'AEO 2026 Table 5'!$B$6:$B$102,0),MATCH(S$1,'AEO 2026 Table 5'!$E$5:$AD$5,0))*IF($A49=1,'Data Centers'!M$53,1)</f>
        <v>5.8729810000000002</v>
      </c>
      <c r="T49">
        <f>INDEX('AEO 2026 Table 5'!$E$6:$AD$102,MATCH($B49,'AEO 2026 Table 5'!$B$6:$B$102,0),MATCH(T$1,'AEO 2026 Table 5'!$E$5:$AD$5,0))*IF($A49=1,'Data Centers'!N$53,1)</f>
        <v>5.940315</v>
      </c>
      <c r="U49">
        <f>INDEX('AEO 2026 Table 5'!$E$6:$AD$102,MATCH($B49,'AEO 2026 Table 5'!$B$6:$B$102,0),MATCH(U$1,'AEO 2026 Table 5'!$E$5:$AD$5,0))*IF($A49=1,'Data Centers'!O$53,1)</f>
        <v>6.0097480000000001</v>
      </c>
      <c r="V49">
        <f>INDEX('AEO 2026 Table 5'!$E$6:$AD$102,MATCH($B49,'AEO 2026 Table 5'!$B$6:$B$102,0),MATCH(V$1,'AEO 2026 Table 5'!$E$5:$AD$5,0))*IF($A49=1,'Data Centers'!P$53,1)</f>
        <v>6.0802860000000001</v>
      </c>
      <c r="W49">
        <f>INDEX('AEO 2026 Table 5'!$E$6:$AD$102,MATCH($B49,'AEO 2026 Table 5'!$B$6:$B$102,0),MATCH(W$1,'AEO 2026 Table 5'!$E$5:$AD$5,0))*IF($A49=1,'Data Centers'!Q$53,1)</f>
        <v>6.1509410000000004</v>
      </c>
      <c r="X49">
        <f>INDEX('AEO 2026 Table 5'!$E$6:$AD$102,MATCH($B49,'AEO 2026 Table 5'!$B$6:$B$102,0),MATCH(X$1,'AEO 2026 Table 5'!$E$5:$AD$5,0))*IF($A49=1,'Data Centers'!R$53,1)</f>
        <v>6.2187760000000001</v>
      </c>
      <c r="Y49">
        <f>INDEX('AEO 2026 Table 5'!$E$6:$AD$102,MATCH($B49,'AEO 2026 Table 5'!$B$6:$B$102,0),MATCH(Y$1,'AEO 2026 Table 5'!$E$5:$AD$5,0))*IF($A49=1,'Data Centers'!S$53,1)</f>
        <v>6.2869549999999998</v>
      </c>
      <c r="Z49">
        <f>INDEX('AEO 2026 Table 5'!$E$6:$AD$102,MATCH($B49,'AEO 2026 Table 5'!$B$6:$B$102,0),MATCH(Z$1,'AEO 2026 Table 5'!$E$5:$AD$5,0))*IF($A49=1,'Data Centers'!T$53,1)</f>
        <v>6.3548049999999998</v>
      </c>
      <c r="AA49">
        <f>INDEX('AEO 2026 Table 5'!$E$6:$AD$102,MATCH($B49,'AEO 2026 Table 5'!$B$6:$B$102,0),MATCH(AA$1,'AEO 2026 Table 5'!$E$5:$AD$5,0))*IF($A49=1,'Data Centers'!U$53,1)</f>
        <v>6.4218029999999997</v>
      </c>
      <c r="AB49">
        <f>INDEX('AEO 2026 Table 5'!$E$6:$AD$102,MATCH($B49,'AEO 2026 Table 5'!$B$6:$B$102,0),MATCH(AB$1,'AEO 2026 Table 5'!$E$5:$AD$5,0))*IF($A49=1,'Data Centers'!V$53,1)</f>
        <v>6.4868730000000001</v>
      </c>
      <c r="AC49">
        <f>INDEX('AEO 2026 Table 5'!$E$6:$AD$102,MATCH($B49,'AEO 2026 Table 5'!$B$6:$B$102,0),MATCH(AC$1,'AEO 2026 Table 5'!$E$5:$AD$5,0))*IF($A49=1,'Data Centers'!W$53,1)</f>
        <v>6.5502229999999999</v>
      </c>
      <c r="AD49">
        <f>INDEX('AEO 2026 Table 5'!$E$6:$AD$102,MATCH($B49,'AEO 2026 Table 5'!$B$6:$B$102,0),MATCH(AD$1,'AEO 2026 Table 5'!$E$5:$AD$5,0))*IF($A49=1,'Data Centers'!X$53,1)</f>
        <v>6.6083980000000002</v>
      </c>
      <c r="AE49">
        <f>INDEX('AEO 2026 Table 5'!$E$6:$AD$102,MATCH($B49,'AEO 2026 Table 5'!$B$6:$B$102,0),MATCH(AE$1,'AEO 2026 Table 5'!$E$5:$AD$5,0))*IF($A49=1,'Data Centers'!Y$53,1)</f>
        <v>6.6594790000000001</v>
      </c>
      <c r="AF49">
        <f>INDEX('AEO 2026 Table 5'!$E$6:$AD$102,MATCH($B49,'AEO 2026 Table 5'!$B$6:$B$102,0),MATCH(AF$1,'AEO 2026 Table 5'!$E$5:$AD$5,0))*IF($A49=1,'Data Centers'!Z$53,1)</f>
        <v>6.7053450000000003</v>
      </c>
      <c r="AG49">
        <f>INDEX('AEO 2026 Table 5'!$E$6:$AD$102,MATCH($B49,'AEO 2026 Table 5'!$B$6:$B$102,0),MATCH(AG$1,'AEO 2026 Table 5'!$E$5:$AD$5,0))*IF($A49=1,'Data Centers'!AA$53,1)</f>
        <v>6.7475779999999999</v>
      </c>
      <c r="AH49">
        <f>INDEX('AEO 2026 Table 5'!$E$6:$AD$102,MATCH($B49,'AEO 2026 Table 5'!$B$6:$B$102,0),MATCH(AH$1,'AEO 2026 Table 5'!$E$5:$AD$5,0))*IF($A49=1,'Data Centers'!AB$53,1)</f>
        <v>6.7875439999999996</v>
      </c>
    </row>
    <row r="50" spans="2:34" x14ac:dyDescent="0.25">
      <c r="B50" t="s">
        <v>112</v>
      </c>
      <c r="C50" t="s">
        <v>113</v>
      </c>
      <c r="D50" t="str">
        <f t="shared" si="1"/>
        <v>commercial-NA-electricity (BTU)</v>
      </c>
      <c r="E50" t="s">
        <v>92</v>
      </c>
      <c r="F50" t="s">
        <v>46</v>
      </c>
      <c r="G50" s="1" t="s">
        <v>10</v>
      </c>
      <c r="H50" s="44">
        <f>INDEX('AEO 2025 Table 5'!$F$8:$AG$102,MATCH('Crosswalk AEO to EPS Summary'!$C50,'AEO 2025 Table 5'!$B$8:$B$102,0),MATCH(H$1,'AEO 2025 Table 5'!$F$5:$AG$5,0))</f>
        <v>1.8762000000000001E-2</v>
      </c>
      <c r="I50">
        <f>INDEX('AEO 2026 Table 5'!$E$6:$AD$102,MATCH($B50,'AEO 2026 Table 5'!$B$6:$B$102,0),MATCH(I$1,'AEO 2026 Table 5'!$E$5:$AD$5,0))*IF($A50=1,'Data Centers'!C$53,1)</f>
        <v>3.1625E-2</v>
      </c>
      <c r="J50">
        <f>INDEX('AEO 2026 Table 5'!$E$6:$AD$102,MATCH($B50,'AEO 2026 Table 5'!$B$6:$B$102,0),MATCH(J$1,'AEO 2026 Table 5'!$E$5:$AD$5,0))*IF($A50=1,'Data Centers'!D$53,1)</f>
        <v>4.1348999999999997E-2</v>
      </c>
      <c r="K50">
        <f>INDEX('AEO 2026 Table 5'!$E$6:$AD$102,MATCH($B50,'AEO 2026 Table 5'!$B$6:$B$102,0),MATCH(K$1,'AEO 2026 Table 5'!$E$5:$AD$5,0))*IF($A50=1,'Data Centers'!E$53,1)</f>
        <v>5.3095000000000003E-2</v>
      </c>
      <c r="L50">
        <f>INDEX('AEO 2026 Table 5'!$E$6:$AD$102,MATCH($B50,'AEO 2026 Table 5'!$B$6:$B$102,0),MATCH(L$1,'AEO 2026 Table 5'!$E$5:$AD$5,0))*IF($A50=1,'Data Centers'!F$53,1)</f>
        <v>6.6243999999999997E-2</v>
      </c>
      <c r="M50">
        <f>INDEX('AEO 2026 Table 5'!$E$6:$AD$102,MATCH($B50,'AEO 2026 Table 5'!$B$6:$B$102,0),MATCH(M$1,'AEO 2026 Table 5'!$E$5:$AD$5,0))*IF($A50=1,'Data Centers'!G$53,1)</f>
        <v>7.9602999999999993E-2</v>
      </c>
      <c r="N50">
        <f>INDEX('AEO 2026 Table 5'!$E$6:$AD$102,MATCH($B50,'AEO 2026 Table 5'!$B$6:$B$102,0),MATCH(N$1,'AEO 2026 Table 5'!$E$5:$AD$5,0))*IF($A50=1,'Data Centers'!H$53,1)</f>
        <v>9.2543E-2</v>
      </c>
      <c r="O50">
        <f>INDEX('AEO 2026 Table 5'!$E$6:$AD$102,MATCH($B50,'AEO 2026 Table 5'!$B$6:$B$102,0),MATCH(O$1,'AEO 2026 Table 5'!$E$5:$AD$5,0))*IF($A50=1,'Data Centers'!I$53,1)</f>
        <v>0.10441599999999999</v>
      </c>
      <c r="P50">
        <f>INDEX('AEO 2026 Table 5'!$E$6:$AD$102,MATCH($B50,'AEO 2026 Table 5'!$B$6:$B$102,0),MATCH(P$1,'AEO 2026 Table 5'!$E$5:$AD$5,0))*IF($A50=1,'Data Centers'!J$53,1)</f>
        <v>0.115643</v>
      </c>
      <c r="Q50">
        <f>INDEX('AEO 2026 Table 5'!$E$6:$AD$102,MATCH($B50,'AEO 2026 Table 5'!$B$6:$B$102,0),MATCH(Q$1,'AEO 2026 Table 5'!$E$5:$AD$5,0))*IF($A50=1,'Data Centers'!K$53,1)</f>
        <v>0.126972</v>
      </c>
      <c r="R50">
        <f>INDEX('AEO 2026 Table 5'!$E$6:$AD$102,MATCH($B50,'AEO 2026 Table 5'!$B$6:$B$102,0),MATCH(R$1,'AEO 2026 Table 5'!$E$5:$AD$5,0))*IF($A50=1,'Data Centers'!L$53,1)</f>
        <v>0.13850199999999999</v>
      </c>
      <c r="S50">
        <f>INDEX('AEO 2026 Table 5'!$E$6:$AD$102,MATCH($B50,'AEO 2026 Table 5'!$B$6:$B$102,0),MATCH(S$1,'AEO 2026 Table 5'!$E$5:$AD$5,0))*IF($A50=1,'Data Centers'!M$53,1)</f>
        <v>0.150392</v>
      </c>
      <c r="T50">
        <f>INDEX('AEO 2026 Table 5'!$E$6:$AD$102,MATCH($B50,'AEO 2026 Table 5'!$B$6:$B$102,0),MATCH(T$1,'AEO 2026 Table 5'!$E$5:$AD$5,0))*IF($A50=1,'Data Centers'!N$53,1)</f>
        <v>0.16246099999999999</v>
      </c>
      <c r="U50">
        <f>INDEX('AEO 2026 Table 5'!$E$6:$AD$102,MATCH($B50,'AEO 2026 Table 5'!$B$6:$B$102,0),MATCH(U$1,'AEO 2026 Table 5'!$E$5:$AD$5,0))*IF($A50=1,'Data Centers'!O$53,1)</f>
        <v>0.17480399999999999</v>
      </c>
      <c r="V50">
        <f>INDEX('AEO 2026 Table 5'!$E$6:$AD$102,MATCH($B50,'AEO 2026 Table 5'!$B$6:$B$102,0),MATCH(V$1,'AEO 2026 Table 5'!$E$5:$AD$5,0))*IF($A50=1,'Data Centers'!P$53,1)</f>
        <v>0.18723899999999999</v>
      </c>
      <c r="W50">
        <f>INDEX('AEO 2026 Table 5'!$E$6:$AD$102,MATCH($B50,'AEO 2026 Table 5'!$B$6:$B$102,0),MATCH(W$1,'AEO 2026 Table 5'!$E$5:$AD$5,0))*IF($A50=1,'Data Centers'!Q$53,1)</f>
        <v>0.19958999999999999</v>
      </c>
      <c r="X50">
        <f>INDEX('AEO 2026 Table 5'!$E$6:$AD$102,MATCH($B50,'AEO 2026 Table 5'!$B$6:$B$102,0),MATCH(X$1,'AEO 2026 Table 5'!$E$5:$AD$5,0))*IF($A50=1,'Data Centers'!R$53,1)</f>
        <v>0.212288</v>
      </c>
      <c r="Y50">
        <f>INDEX('AEO 2026 Table 5'!$E$6:$AD$102,MATCH($B50,'AEO 2026 Table 5'!$B$6:$B$102,0),MATCH(Y$1,'AEO 2026 Table 5'!$E$5:$AD$5,0))*IF($A50=1,'Data Centers'!S$53,1)</f>
        <v>0.22536400000000001</v>
      </c>
      <c r="Z50">
        <f>INDEX('AEO 2026 Table 5'!$E$6:$AD$102,MATCH($B50,'AEO 2026 Table 5'!$B$6:$B$102,0),MATCH(Z$1,'AEO 2026 Table 5'!$E$5:$AD$5,0))*IF($A50=1,'Data Centers'!T$53,1)</f>
        <v>0.23924300000000001</v>
      </c>
      <c r="AA50">
        <f>INDEX('AEO 2026 Table 5'!$E$6:$AD$102,MATCH($B50,'AEO 2026 Table 5'!$B$6:$B$102,0),MATCH(AA$1,'AEO 2026 Table 5'!$E$5:$AD$5,0))*IF($A50=1,'Data Centers'!U$53,1)</f>
        <v>0.253973</v>
      </c>
      <c r="AB50">
        <f>INDEX('AEO 2026 Table 5'!$E$6:$AD$102,MATCH($B50,'AEO 2026 Table 5'!$B$6:$B$102,0),MATCH(AB$1,'AEO 2026 Table 5'!$E$5:$AD$5,0))*IF($A50=1,'Data Centers'!V$53,1)</f>
        <v>0.26994400000000002</v>
      </c>
      <c r="AC50">
        <f>INDEX('AEO 2026 Table 5'!$E$6:$AD$102,MATCH($B50,'AEO 2026 Table 5'!$B$6:$B$102,0),MATCH(AC$1,'AEO 2026 Table 5'!$E$5:$AD$5,0))*IF($A50=1,'Data Centers'!W$53,1)</f>
        <v>0.28712100000000002</v>
      </c>
      <c r="AD50">
        <f>INDEX('AEO 2026 Table 5'!$E$6:$AD$102,MATCH($B50,'AEO 2026 Table 5'!$B$6:$B$102,0),MATCH(AD$1,'AEO 2026 Table 5'!$E$5:$AD$5,0))*IF($A50=1,'Data Centers'!X$53,1)</f>
        <v>0.30473800000000001</v>
      </c>
      <c r="AE50">
        <f>INDEX('AEO 2026 Table 5'!$E$6:$AD$102,MATCH($B50,'AEO 2026 Table 5'!$B$6:$B$102,0),MATCH(AE$1,'AEO 2026 Table 5'!$E$5:$AD$5,0))*IF($A50=1,'Data Centers'!Y$53,1)</f>
        <v>0.32270399999999999</v>
      </c>
      <c r="AF50">
        <f>INDEX('AEO 2026 Table 5'!$E$6:$AD$102,MATCH($B50,'AEO 2026 Table 5'!$B$6:$B$102,0),MATCH(AF$1,'AEO 2026 Table 5'!$E$5:$AD$5,0))*IF($A50=1,'Data Centers'!Z$53,1)</f>
        <v>0.34103499999999998</v>
      </c>
      <c r="AG50">
        <f>INDEX('AEO 2026 Table 5'!$E$6:$AD$102,MATCH($B50,'AEO 2026 Table 5'!$B$6:$B$102,0),MATCH(AG$1,'AEO 2026 Table 5'!$E$5:$AD$5,0))*IF($A50=1,'Data Centers'!AA$53,1)</f>
        <v>0.35960799999999998</v>
      </c>
      <c r="AH50">
        <f>INDEX('AEO 2026 Table 5'!$E$6:$AD$102,MATCH($B50,'AEO 2026 Table 5'!$B$6:$B$102,0),MATCH(AH$1,'AEO 2026 Table 5'!$E$5:$AD$5,0))*IF($A50=1,'Data Centers'!AB$53,1)</f>
        <v>0.37826300000000002</v>
      </c>
    </row>
    <row r="51" spans="2:34" x14ac:dyDescent="0.25">
      <c r="B51" t="s">
        <v>114</v>
      </c>
      <c r="C51" t="s">
        <v>115</v>
      </c>
      <c r="D51" t="str">
        <f t="shared" si="1"/>
        <v>commercial-NA-electricity (BTU)</v>
      </c>
      <c r="E51" t="s">
        <v>92</v>
      </c>
      <c r="F51" t="s">
        <v>46</v>
      </c>
      <c r="G51" s="1" t="s">
        <v>10</v>
      </c>
      <c r="H51" s="44">
        <f>INDEX('AEO 2025 Table 5'!$F$8:$AG$102,MATCH('Crosswalk AEO to EPS Summary'!$C51,'AEO 2025 Table 5'!$B$8:$B$102,0),MATCH(H$1,'AEO 2025 Table 5'!$F$5:$AG$5,0))</f>
        <v>0.14174300000000001</v>
      </c>
      <c r="I51">
        <f>INDEX('AEO 2026 Table 5'!$E$6:$AD$102,MATCH($B51,'AEO 2026 Table 5'!$B$6:$B$102,0),MATCH(I$1,'AEO 2026 Table 5'!$E$5:$AD$5,0))*IF($A51=1,'Data Centers'!C$53,1)</f>
        <v>0.15950900000000001</v>
      </c>
      <c r="J51">
        <f>INDEX('AEO 2026 Table 5'!$E$6:$AD$102,MATCH($B51,'AEO 2026 Table 5'!$B$6:$B$102,0),MATCH(J$1,'AEO 2026 Table 5'!$E$5:$AD$5,0))*IF($A51=1,'Data Centers'!D$53,1)</f>
        <v>0.178677</v>
      </c>
      <c r="K51">
        <f>INDEX('AEO 2026 Table 5'!$E$6:$AD$102,MATCH($B51,'AEO 2026 Table 5'!$B$6:$B$102,0),MATCH(K$1,'AEO 2026 Table 5'!$E$5:$AD$5,0))*IF($A51=1,'Data Centers'!E$53,1)</f>
        <v>0.19480600000000001</v>
      </c>
      <c r="L51">
        <f>INDEX('AEO 2026 Table 5'!$E$6:$AD$102,MATCH($B51,'AEO 2026 Table 5'!$B$6:$B$102,0),MATCH(L$1,'AEO 2026 Table 5'!$E$5:$AD$5,0))*IF($A51=1,'Data Centers'!F$53,1)</f>
        <v>0.202568</v>
      </c>
      <c r="M51">
        <f>INDEX('AEO 2026 Table 5'!$E$6:$AD$102,MATCH($B51,'AEO 2026 Table 5'!$B$6:$B$102,0),MATCH(M$1,'AEO 2026 Table 5'!$E$5:$AD$5,0))*IF($A51=1,'Data Centers'!G$53,1)</f>
        <v>0.20727899999999999</v>
      </c>
      <c r="N51">
        <f>INDEX('AEO 2026 Table 5'!$E$6:$AD$102,MATCH($B51,'AEO 2026 Table 5'!$B$6:$B$102,0),MATCH(N$1,'AEO 2026 Table 5'!$E$5:$AD$5,0))*IF($A51=1,'Data Centers'!H$53,1)</f>
        <v>0.212645</v>
      </c>
      <c r="O51">
        <f>INDEX('AEO 2026 Table 5'!$E$6:$AD$102,MATCH($B51,'AEO 2026 Table 5'!$B$6:$B$102,0),MATCH(O$1,'AEO 2026 Table 5'!$E$5:$AD$5,0))*IF($A51=1,'Data Centers'!I$53,1)</f>
        <v>0.21679300000000001</v>
      </c>
      <c r="P51">
        <f>INDEX('AEO 2026 Table 5'!$E$6:$AD$102,MATCH($B51,'AEO 2026 Table 5'!$B$6:$B$102,0),MATCH(P$1,'AEO 2026 Table 5'!$E$5:$AD$5,0))*IF($A51=1,'Data Centers'!J$53,1)</f>
        <v>0.22007099999999999</v>
      </c>
      <c r="Q51">
        <f>INDEX('AEO 2026 Table 5'!$E$6:$AD$102,MATCH($B51,'AEO 2026 Table 5'!$B$6:$B$102,0),MATCH(Q$1,'AEO 2026 Table 5'!$E$5:$AD$5,0))*IF($A51=1,'Data Centers'!K$53,1)</f>
        <v>0.22375700000000001</v>
      </c>
      <c r="R51">
        <f>INDEX('AEO 2026 Table 5'!$E$6:$AD$102,MATCH($B51,'AEO 2026 Table 5'!$B$6:$B$102,0),MATCH(R$1,'AEO 2026 Table 5'!$E$5:$AD$5,0))*IF($A51=1,'Data Centers'!L$53,1)</f>
        <v>0.22936000000000001</v>
      </c>
      <c r="S51">
        <f>INDEX('AEO 2026 Table 5'!$E$6:$AD$102,MATCH($B51,'AEO 2026 Table 5'!$B$6:$B$102,0),MATCH(S$1,'AEO 2026 Table 5'!$E$5:$AD$5,0))*IF($A51=1,'Data Centers'!M$53,1)</f>
        <v>0.23388900000000001</v>
      </c>
      <c r="T51">
        <f>INDEX('AEO 2026 Table 5'!$E$6:$AD$102,MATCH($B51,'AEO 2026 Table 5'!$B$6:$B$102,0),MATCH(T$1,'AEO 2026 Table 5'!$E$5:$AD$5,0))*IF($A51=1,'Data Centers'!N$53,1)</f>
        <v>0.23771300000000001</v>
      </c>
      <c r="U51">
        <f>INDEX('AEO 2026 Table 5'!$E$6:$AD$102,MATCH($B51,'AEO 2026 Table 5'!$B$6:$B$102,0),MATCH(U$1,'AEO 2026 Table 5'!$E$5:$AD$5,0))*IF($A51=1,'Data Centers'!O$53,1)</f>
        <v>0.24440600000000001</v>
      </c>
      <c r="V51">
        <f>INDEX('AEO 2026 Table 5'!$E$6:$AD$102,MATCH($B51,'AEO 2026 Table 5'!$B$6:$B$102,0),MATCH(V$1,'AEO 2026 Table 5'!$E$5:$AD$5,0))*IF($A51=1,'Data Centers'!P$53,1)</f>
        <v>0.25092700000000001</v>
      </c>
      <c r="W51">
        <f>INDEX('AEO 2026 Table 5'!$E$6:$AD$102,MATCH($B51,'AEO 2026 Table 5'!$B$6:$B$102,0),MATCH(W$1,'AEO 2026 Table 5'!$E$5:$AD$5,0))*IF($A51=1,'Data Centers'!Q$53,1)</f>
        <v>0.25883299999999998</v>
      </c>
      <c r="X51">
        <f>INDEX('AEO 2026 Table 5'!$E$6:$AD$102,MATCH($B51,'AEO 2026 Table 5'!$B$6:$B$102,0),MATCH(X$1,'AEO 2026 Table 5'!$E$5:$AD$5,0))*IF($A51=1,'Data Centers'!R$53,1)</f>
        <v>0.26564700000000002</v>
      </c>
      <c r="Y51">
        <f>INDEX('AEO 2026 Table 5'!$E$6:$AD$102,MATCH($B51,'AEO 2026 Table 5'!$B$6:$B$102,0),MATCH(Y$1,'AEO 2026 Table 5'!$E$5:$AD$5,0))*IF($A51=1,'Data Centers'!S$53,1)</f>
        <v>0.26933000000000001</v>
      </c>
      <c r="Z51">
        <f>INDEX('AEO 2026 Table 5'!$E$6:$AD$102,MATCH($B51,'AEO 2026 Table 5'!$B$6:$B$102,0),MATCH(Z$1,'AEO 2026 Table 5'!$E$5:$AD$5,0))*IF($A51=1,'Data Centers'!T$53,1)</f>
        <v>0.27484399999999998</v>
      </c>
      <c r="AA51">
        <f>INDEX('AEO 2026 Table 5'!$E$6:$AD$102,MATCH($B51,'AEO 2026 Table 5'!$B$6:$B$102,0),MATCH(AA$1,'AEO 2026 Table 5'!$E$5:$AD$5,0))*IF($A51=1,'Data Centers'!U$53,1)</f>
        <v>0.27782000000000001</v>
      </c>
      <c r="AB51">
        <f>INDEX('AEO 2026 Table 5'!$E$6:$AD$102,MATCH($B51,'AEO 2026 Table 5'!$B$6:$B$102,0),MATCH(AB$1,'AEO 2026 Table 5'!$E$5:$AD$5,0))*IF($A51=1,'Data Centers'!V$53,1)</f>
        <v>0.281171</v>
      </c>
      <c r="AC51">
        <f>INDEX('AEO 2026 Table 5'!$E$6:$AD$102,MATCH($B51,'AEO 2026 Table 5'!$B$6:$B$102,0),MATCH(AC$1,'AEO 2026 Table 5'!$E$5:$AD$5,0))*IF($A51=1,'Data Centers'!W$53,1)</f>
        <v>0.28390700000000002</v>
      </c>
      <c r="AD51">
        <f>INDEX('AEO 2026 Table 5'!$E$6:$AD$102,MATCH($B51,'AEO 2026 Table 5'!$B$6:$B$102,0),MATCH(AD$1,'AEO 2026 Table 5'!$E$5:$AD$5,0))*IF($A51=1,'Data Centers'!X$53,1)</f>
        <v>0.28815800000000003</v>
      </c>
      <c r="AE51">
        <f>INDEX('AEO 2026 Table 5'!$E$6:$AD$102,MATCH($B51,'AEO 2026 Table 5'!$B$6:$B$102,0),MATCH(AE$1,'AEO 2026 Table 5'!$E$5:$AD$5,0))*IF($A51=1,'Data Centers'!Y$53,1)</f>
        <v>0.29341899999999999</v>
      </c>
      <c r="AF51">
        <f>INDEX('AEO 2026 Table 5'!$E$6:$AD$102,MATCH($B51,'AEO 2026 Table 5'!$B$6:$B$102,0),MATCH(AF$1,'AEO 2026 Table 5'!$E$5:$AD$5,0))*IF($A51=1,'Data Centers'!Z$53,1)</f>
        <v>0.29877599999999999</v>
      </c>
      <c r="AG51">
        <f>INDEX('AEO 2026 Table 5'!$E$6:$AD$102,MATCH($B51,'AEO 2026 Table 5'!$B$6:$B$102,0),MATCH(AG$1,'AEO 2026 Table 5'!$E$5:$AD$5,0))*IF($A51=1,'Data Centers'!AA$53,1)</f>
        <v>0.30282900000000001</v>
      </c>
      <c r="AH51">
        <f>INDEX('AEO 2026 Table 5'!$E$6:$AD$102,MATCH($B51,'AEO 2026 Table 5'!$B$6:$B$102,0),MATCH(AH$1,'AEO 2026 Table 5'!$E$5:$AD$5,0))*IF($A51=1,'Data Centers'!AB$53,1)</f>
        <v>0.308056</v>
      </c>
    </row>
    <row r="52" spans="2:34" x14ac:dyDescent="0.25">
      <c r="B52" t="s">
        <v>116</v>
      </c>
      <c r="C52" t="s">
        <v>117</v>
      </c>
      <c r="D52" t="str">
        <f t="shared" si="1"/>
        <v>commercial-total-electricity (BTU)</v>
      </c>
      <c r="E52" t="s">
        <v>92</v>
      </c>
      <c r="F52" t="s">
        <v>43</v>
      </c>
      <c r="G52" s="1" t="s">
        <v>10</v>
      </c>
      <c r="H52" s="44">
        <f>INDEX('AEO 2025 Table 5'!$F$8:$AG$102,MATCH('Crosswalk AEO to EPS Summary'!$C52,'AEO 2025 Table 5'!$B$8:$B$102,0),MATCH(H$1,'AEO 2025 Table 5'!$F$5:$AG$5,0))</f>
        <v>4.7680999999999996</v>
      </c>
      <c r="I52">
        <f>INDEX('AEO 2026 Table 5'!$E$6:$AD$102,MATCH($B52,'AEO 2026 Table 5'!$B$6:$B$102,0),MATCH(I$1,'AEO 2026 Table 5'!$E$5:$AD$5,0))*IF($A52=1,'Data Centers'!C$53,1)</f>
        <v>5.0253730000000001</v>
      </c>
      <c r="J52">
        <f>INDEX('AEO 2026 Table 5'!$E$6:$AD$102,MATCH($B52,'AEO 2026 Table 5'!$B$6:$B$102,0),MATCH(J$1,'AEO 2026 Table 5'!$E$5:$AD$5,0))*IF($A52=1,'Data Centers'!D$53,1)</f>
        <v>5.2536379999999996</v>
      </c>
      <c r="K52">
        <f>INDEX('AEO 2026 Table 5'!$E$6:$AD$102,MATCH($B52,'AEO 2026 Table 5'!$B$6:$B$102,0),MATCH(K$1,'AEO 2026 Table 5'!$E$5:$AD$5,0))*IF($A52=1,'Data Centers'!E$53,1)</f>
        <v>5.3069119999999996</v>
      </c>
      <c r="L52">
        <f>INDEX('AEO 2026 Table 5'!$E$6:$AD$102,MATCH($B52,'AEO 2026 Table 5'!$B$6:$B$102,0),MATCH(L$1,'AEO 2026 Table 5'!$E$5:$AD$5,0))*IF($A52=1,'Data Centers'!F$53,1)</f>
        <v>5.3754119999999999</v>
      </c>
      <c r="M52">
        <f>INDEX('AEO 2026 Table 5'!$E$6:$AD$102,MATCH($B52,'AEO 2026 Table 5'!$B$6:$B$102,0),MATCH(M$1,'AEO 2026 Table 5'!$E$5:$AD$5,0))*IF($A52=1,'Data Centers'!G$53,1)</f>
        <v>5.443327</v>
      </c>
      <c r="N52">
        <f>INDEX('AEO 2026 Table 5'!$E$6:$AD$102,MATCH($B52,'AEO 2026 Table 5'!$B$6:$B$102,0),MATCH(N$1,'AEO 2026 Table 5'!$E$5:$AD$5,0))*IF($A52=1,'Data Centers'!H$53,1)</f>
        <v>5.4896200000000004</v>
      </c>
      <c r="O52">
        <f>INDEX('AEO 2026 Table 5'!$E$6:$AD$102,MATCH($B52,'AEO 2026 Table 5'!$B$6:$B$102,0),MATCH(O$1,'AEO 2026 Table 5'!$E$5:$AD$5,0))*IF($A52=1,'Data Centers'!I$53,1)</f>
        <v>5.5401990000000003</v>
      </c>
      <c r="P52">
        <f>INDEX('AEO 2026 Table 5'!$E$6:$AD$102,MATCH($B52,'AEO 2026 Table 5'!$B$6:$B$102,0),MATCH(P$1,'AEO 2026 Table 5'!$E$5:$AD$5,0))*IF($A52=1,'Data Centers'!J$53,1)</f>
        <v>5.5957150000000002</v>
      </c>
      <c r="Q52">
        <f>INDEX('AEO 2026 Table 5'!$E$6:$AD$102,MATCH($B52,'AEO 2026 Table 5'!$B$6:$B$102,0),MATCH(Q$1,'AEO 2026 Table 5'!$E$5:$AD$5,0))*IF($A52=1,'Data Centers'!K$53,1)</f>
        <v>5.6571559999999996</v>
      </c>
      <c r="R52">
        <f>INDEX('AEO 2026 Table 5'!$E$6:$AD$102,MATCH($B52,'AEO 2026 Table 5'!$B$6:$B$102,0),MATCH(R$1,'AEO 2026 Table 5'!$E$5:$AD$5,0))*IF($A52=1,'Data Centers'!L$53,1)</f>
        <v>5.7210400000000003</v>
      </c>
      <c r="S52">
        <f>INDEX('AEO 2026 Table 5'!$E$6:$AD$102,MATCH($B52,'AEO 2026 Table 5'!$B$6:$B$102,0),MATCH(S$1,'AEO 2026 Table 5'!$E$5:$AD$5,0))*IF($A52=1,'Data Centers'!M$53,1)</f>
        <v>5.789485</v>
      </c>
      <c r="T52">
        <f>INDEX('AEO 2026 Table 5'!$E$6:$AD$102,MATCH($B52,'AEO 2026 Table 5'!$B$6:$B$102,0),MATCH(T$1,'AEO 2026 Table 5'!$E$5:$AD$5,0))*IF($A52=1,'Data Centers'!N$53,1)</f>
        <v>5.8650630000000001</v>
      </c>
      <c r="U52">
        <f>INDEX('AEO 2026 Table 5'!$E$6:$AD$102,MATCH($B52,'AEO 2026 Table 5'!$B$6:$B$102,0),MATCH(U$1,'AEO 2026 Table 5'!$E$5:$AD$5,0))*IF($A52=1,'Data Centers'!O$53,1)</f>
        <v>5.9401460000000004</v>
      </c>
      <c r="V52">
        <f>INDEX('AEO 2026 Table 5'!$E$6:$AD$102,MATCH($B52,'AEO 2026 Table 5'!$B$6:$B$102,0),MATCH(V$1,'AEO 2026 Table 5'!$E$5:$AD$5,0))*IF($A52=1,'Data Centers'!P$53,1)</f>
        <v>6.0165980000000001</v>
      </c>
      <c r="W52">
        <f>INDEX('AEO 2026 Table 5'!$E$6:$AD$102,MATCH($B52,'AEO 2026 Table 5'!$B$6:$B$102,0),MATCH(W$1,'AEO 2026 Table 5'!$E$5:$AD$5,0))*IF($A52=1,'Data Centers'!Q$53,1)</f>
        <v>6.0916980000000001</v>
      </c>
      <c r="X52">
        <f>INDEX('AEO 2026 Table 5'!$E$6:$AD$102,MATCH($B52,'AEO 2026 Table 5'!$B$6:$B$102,0),MATCH(X$1,'AEO 2026 Table 5'!$E$5:$AD$5,0))*IF($A52=1,'Data Centers'!R$53,1)</f>
        <v>6.1654169999999997</v>
      </c>
      <c r="Y52">
        <f>INDEX('AEO 2026 Table 5'!$E$6:$AD$102,MATCH($B52,'AEO 2026 Table 5'!$B$6:$B$102,0),MATCH(Y$1,'AEO 2026 Table 5'!$E$5:$AD$5,0))*IF($A52=1,'Data Centers'!S$53,1)</f>
        <v>6.2429899999999998</v>
      </c>
      <c r="Z52">
        <f>INDEX('AEO 2026 Table 5'!$E$6:$AD$102,MATCH($B52,'AEO 2026 Table 5'!$B$6:$B$102,0),MATCH(Z$1,'AEO 2026 Table 5'!$E$5:$AD$5,0))*IF($A52=1,'Data Centers'!T$53,1)</f>
        <v>6.319204</v>
      </c>
      <c r="AA52">
        <f>INDEX('AEO 2026 Table 5'!$E$6:$AD$102,MATCH($B52,'AEO 2026 Table 5'!$B$6:$B$102,0),MATCH(AA$1,'AEO 2026 Table 5'!$E$5:$AD$5,0))*IF($A52=1,'Data Centers'!U$53,1)</f>
        <v>6.3979559999999998</v>
      </c>
      <c r="AB52">
        <f>INDEX('AEO 2026 Table 5'!$E$6:$AD$102,MATCH($B52,'AEO 2026 Table 5'!$B$6:$B$102,0),MATCH(AB$1,'AEO 2026 Table 5'!$E$5:$AD$5,0))*IF($A52=1,'Data Centers'!V$53,1)</f>
        <v>6.4756460000000002</v>
      </c>
      <c r="AC52">
        <f>INDEX('AEO 2026 Table 5'!$E$6:$AD$102,MATCH($B52,'AEO 2026 Table 5'!$B$6:$B$102,0),MATCH(AC$1,'AEO 2026 Table 5'!$E$5:$AD$5,0))*IF($A52=1,'Data Centers'!W$53,1)</f>
        <v>6.5534369999999997</v>
      </c>
      <c r="AD52">
        <f>INDEX('AEO 2026 Table 5'!$E$6:$AD$102,MATCH($B52,'AEO 2026 Table 5'!$B$6:$B$102,0),MATCH(AD$1,'AEO 2026 Table 5'!$E$5:$AD$5,0))*IF($A52=1,'Data Centers'!X$53,1)</f>
        <v>6.6249789999999997</v>
      </c>
      <c r="AE52">
        <f>INDEX('AEO 2026 Table 5'!$E$6:$AD$102,MATCH($B52,'AEO 2026 Table 5'!$B$6:$B$102,0),MATCH(AE$1,'AEO 2026 Table 5'!$E$5:$AD$5,0))*IF($A52=1,'Data Centers'!Y$53,1)</f>
        <v>6.6887629999999998</v>
      </c>
      <c r="AF52">
        <f>INDEX('AEO 2026 Table 5'!$E$6:$AD$102,MATCH($B52,'AEO 2026 Table 5'!$B$6:$B$102,0),MATCH(AF$1,'AEO 2026 Table 5'!$E$5:$AD$5,0))*IF($A52=1,'Data Centers'!Z$53,1)</f>
        <v>6.7476050000000001</v>
      </c>
      <c r="AG52">
        <f>INDEX('AEO 2026 Table 5'!$E$6:$AD$102,MATCH($B52,'AEO 2026 Table 5'!$B$6:$B$102,0),MATCH(AG$1,'AEO 2026 Table 5'!$E$5:$AD$5,0))*IF($A52=1,'Data Centers'!AA$53,1)</f>
        <v>6.8043579999999997</v>
      </c>
      <c r="AH52">
        <f>INDEX('AEO 2026 Table 5'!$E$6:$AD$102,MATCH($B52,'AEO 2026 Table 5'!$B$6:$B$102,0),MATCH(AH$1,'AEO 2026 Table 5'!$E$5:$AD$5,0))*IF($A52=1,'Data Centers'!AB$53,1)</f>
        <v>6.8577510000000004</v>
      </c>
    </row>
    <row r="53" spans="2:34" x14ac:dyDescent="0.25">
      <c r="B53" t="s">
        <v>118</v>
      </c>
      <c r="C53" t="s">
        <v>119</v>
      </c>
      <c r="D53" t="str">
        <f t="shared" si="1"/>
        <v>commercial-heating-natural gas (BTU)</v>
      </c>
      <c r="E53" t="s">
        <v>92</v>
      </c>
      <c r="F53" t="s">
        <v>9</v>
      </c>
      <c r="G53" s="1" t="s">
        <v>53</v>
      </c>
      <c r="H53" s="44">
        <f>INDEX('AEO 2025 Table 5'!$F$8:$AG$102,MATCH('Crosswalk AEO to EPS Summary'!$C53,'AEO 2025 Table 5'!$B$8:$B$102,0),MATCH(H$1,'AEO 2025 Table 5'!$F$5:$AG$5,0))</f>
        <v>1.5374129999999999</v>
      </c>
      <c r="I53">
        <f>INDEX('AEO 2026 Table 5'!$E$6:$AD$102,MATCH($B53,'AEO 2026 Table 5'!$B$6:$B$102,0),MATCH(I$1,'AEO 2026 Table 5'!$E$5:$AD$5,0))*IF($A53=1,'Data Centers'!C$53,1)</f>
        <v>1.677395</v>
      </c>
      <c r="J53">
        <f>INDEX('AEO 2026 Table 5'!$E$6:$AD$102,MATCH($B53,'AEO 2026 Table 5'!$B$6:$B$102,0),MATCH(J$1,'AEO 2026 Table 5'!$E$5:$AD$5,0))*IF($A53=1,'Data Centers'!D$53,1)</f>
        <v>1.6589769999999999</v>
      </c>
      <c r="K53">
        <f>INDEX('AEO 2026 Table 5'!$E$6:$AD$102,MATCH($B53,'AEO 2026 Table 5'!$B$6:$B$102,0),MATCH(K$1,'AEO 2026 Table 5'!$E$5:$AD$5,0))*IF($A53=1,'Data Centers'!E$53,1)</f>
        <v>1.6553329999999999</v>
      </c>
      <c r="L53">
        <f>INDEX('AEO 2026 Table 5'!$E$6:$AD$102,MATCH($B53,'AEO 2026 Table 5'!$B$6:$B$102,0),MATCH(L$1,'AEO 2026 Table 5'!$E$5:$AD$5,0))*IF($A53=1,'Data Centers'!F$53,1)</f>
        <v>1.6402129999999999</v>
      </c>
      <c r="M53">
        <f>INDEX('AEO 2026 Table 5'!$E$6:$AD$102,MATCH($B53,'AEO 2026 Table 5'!$B$6:$B$102,0),MATCH(M$1,'AEO 2026 Table 5'!$E$5:$AD$5,0))*IF($A53=1,'Data Centers'!G$53,1)</f>
        <v>1.6146229999999999</v>
      </c>
      <c r="N53">
        <f>INDEX('AEO 2026 Table 5'!$E$6:$AD$102,MATCH($B53,'AEO 2026 Table 5'!$B$6:$B$102,0),MATCH(N$1,'AEO 2026 Table 5'!$E$5:$AD$5,0))*IF($A53=1,'Data Centers'!H$53,1)</f>
        <v>1.585396</v>
      </c>
      <c r="O53">
        <f>INDEX('AEO 2026 Table 5'!$E$6:$AD$102,MATCH($B53,'AEO 2026 Table 5'!$B$6:$B$102,0),MATCH(O$1,'AEO 2026 Table 5'!$E$5:$AD$5,0))*IF($A53=1,'Data Centers'!I$53,1)</f>
        <v>1.5581529999999999</v>
      </c>
      <c r="P53">
        <f>INDEX('AEO 2026 Table 5'!$E$6:$AD$102,MATCH($B53,'AEO 2026 Table 5'!$B$6:$B$102,0),MATCH(P$1,'AEO 2026 Table 5'!$E$5:$AD$5,0))*IF($A53=1,'Data Centers'!J$53,1)</f>
        <v>1.539679</v>
      </c>
      <c r="Q53">
        <f>INDEX('AEO 2026 Table 5'!$E$6:$AD$102,MATCH($B53,'AEO 2026 Table 5'!$B$6:$B$102,0),MATCH(Q$1,'AEO 2026 Table 5'!$E$5:$AD$5,0))*IF($A53=1,'Data Centers'!K$53,1)</f>
        <v>1.5255799999999999</v>
      </c>
      <c r="R53">
        <f>INDEX('AEO 2026 Table 5'!$E$6:$AD$102,MATCH($B53,'AEO 2026 Table 5'!$B$6:$B$102,0),MATCH(R$1,'AEO 2026 Table 5'!$E$5:$AD$5,0))*IF($A53=1,'Data Centers'!L$53,1)</f>
        <v>1.5149980000000001</v>
      </c>
      <c r="S53">
        <f>INDEX('AEO 2026 Table 5'!$E$6:$AD$102,MATCH($B53,'AEO 2026 Table 5'!$B$6:$B$102,0),MATCH(S$1,'AEO 2026 Table 5'!$E$5:$AD$5,0))*IF($A53=1,'Data Centers'!M$53,1)</f>
        <v>1.504151</v>
      </c>
      <c r="T53">
        <f>INDEX('AEO 2026 Table 5'!$E$6:$AD$102,MATCH($B53,'AEO 2026 Table 5'!$B$6:$B$102,0),MATCH(T$1,'AEO 2026 Table 5'!$E$5:$AD$5,0))*IF($A53=1,'Data Centers'!N$53,1)</f>
        <v>1.4947490000000001</v>
      </c>
      <c r="U53">
        <f>INDEX('AEO 2026 Table 5'!$E$6:$AD$102,MATCH($B53,'AEO 2026 Table 5'!$B$6:$B$102,0),MATCH(U$1,'AEO 2026 Table 5'!$E$5:$AD$5,0))*IF($A53=1,'Data Centers'!O$53,1)</f>
        <v>1.4847630000000001</v>
      </c>
      <c r="V53">
        <f>INDEX('AEO 2026 Table 5'!$E$6:$AD$102,MATCH($B53,'AEO 2026 Table 5'!$B$6:$B$102,0),MATCH(V$1,'AEO 2026 Table 5'!$E$5:$AD$5,0))*IF($A53=1,'Data Centers'!P$53,1)</f>
        <v>1.474809</v>
      </c>
      <c r="W53">
        <f>INDEX('AEO 2026 Table 5'!$E$6:$AD$102,MATCH($B53,'AEO 2026 Table 5'!$B$6:$B$102,0),MATCH(W$1,'AEO 2026 Table 5'!$E$5:$AD$5,0))*IF($A53=1,'Data Centers'!Q$53,1)</f>
        <v>1.464232</v>
      </c>
      <c r="X53">
        <f>INDEX('AEO 2026 Table 5'!$E$6:$AD$102,MATCH($B53,'AEO 2026 Table 5'!$B$6:$B$102,0),MATCH(X$1,'AEO 2026 Table 5'!$E$5:$AD$5,0))*IF($A53=1,'Data Centers'!R$53,1)</f>
        <v>1.4538169999999999</v>
      </c>
      <c r="Y53">
        <f>INDEX('AEO 2026 Table 5'!$E$6:$AD$102,MATCH($B53,'AEO 2026 Table 5'!$B$6:$B$102,0),MATCH(Y$1,'AEO 2026 Table 5'!$E$5:$AD$5,0))*IF($A53=1,'Data Centers'!S$53,1)</f>
        <v>1.4437610000000001</v>
      </c>
      <c r="Z53">
        <f>INDEX('AEO 2026 Table 5'!$E$6:$AD$102,MATCH($B53,'AEO 2026 Table 5'!$B$6:$B$102,0),MATCH(Z$1,'AEO 2026 Table 5'!$E$5:$AD$5,0))*IF($A53=1,'Data Centers'!T$53,1)</f>
        <v>1.435541</v>
      </c>
      <c r="AA53">
        <f>INDEX('AEO 2026 Table 5'!$E$6:$AD$102,MATCH($B53,'AEO 2026 Table 5'!$B$6:$B$102,0),MATCH(AA$1,'AEO 2026 Table 5'!$E$5:$AD$5,0))*IF($A53=1,'Data Centers'!U$53,1)</f>
        <v>1.427792</v>
      </c>
      <c r="AB53">
        <f>INDEX('AEO 2026 Table 5'!$E$6:$AD$102,MATCH($B53,'AEO 2026 Table 5'!$B$6:$B$102,0),MATCH(AB$1,'AEO 2026 Table 5'!$E$5:$AD$5,0))*IF($A53=1,'Data Centers'!V$53,1)</f>
        <v>1.4207719999999999</v>
      </c>
      <c r="AC53">
        <f>INDEX('AEO 2026 Table 5'!$E$6:$AD$102,MATCH($B53,'AEO 2026 Table 5'!$B$6:$B$102,0),MATCH(AC$1,'AEO 2026 Table 5'!$E$5:$AD$5,0))*IF($A53=1,'Data Centers'!W$53,1)</f>
        <v>1.4132450000000001</v>
      </c>
      <c r="AD53">
        <f>INDEX('AEO 2026 Table 5'!$E$6:$AD$102,MATCH($B53,'AEO 2026 Table 5'!$B$6:$B$102,0),MATCH(AD$1,'AEO 2026 Table 5'!$E$5:$AD$5,0))*IF($A53=1,'Data Centers'!X$53,1)</f>
        <v>1.403235</v>
      </c>
      <c r="AE53">
        <f>INDEX('AEO 2026 Table 5'!$E$6:$AD$102,MATCH($B53,'AEO 2026 Table 5'!$B$6:$B$102,0),MATCH(AE$1,'AEO 2026 Table 5'!$E$5:$AD$5,0))*IF($A53=1,'Data Centers'!Y$53,1)</f>
        <v>1.3916379999999999</v>
      </c>
      <c r="AF53">
        <f>INDEX('AEO 2026 Table 5'!$E$6:$AD$102,MATCH($B53,'AEO 2026 Table 5'!$B$6:$B$102,0),MATCH(AF$1,'AEO 2026 Table 5'!$E$5:$AD$5,0))*IF($A53=1,'Data Centers'!Z$53,1)</f>
        <v>1.379734</v>
      </c>
      <c r="AG53">
        <f>INDEX('AEO 2026 Table 5'!$E$6:$AD$102,MATCH($B53,'AEO 2026 Table 5'!$B$6:$B$102,0),MATCH(AG$1,'AEO 2026 Table 5'!$E$5:$AD$5,0))*IF($A53=1,'Data Centers'!AA$53,1)</f>
        <v>1.3678490000000001</v>
      </c>
      <c r="AH53">
        <f>INDEX('AEO 2026 Table 5'!$E$6:$AD$102,MATCH($B53,'AEO 2026 Table 5'!$B$6:$B$102,0),MATCH(AH$1,'AEO 2026 Table 5'!$E$5:$AD$5,0))*IF($A53=1,'Data Centers'!AB$53,1)</f>
        <v>1.356255</v>
      </c>
    </row>
    <row r="54" spans="2:34" x14ac:dyDescent="0.25">
      <c r="B54" t="s">
        <v>120</v>
      </c>
      <c r="C54" t="s">
        <v>121</v>
      </c>
      <c r="D54" t="str">
        <f t="shared" si="1"/>
        <v>commercial-cooling-natural gas (BTU)</v>
      </c>
      <c r="E54" t="s">
        <v>92</v>
      </c>
      <c r="F54" t="s">
        <v>13</v>
      </c>
      <c r="G54" s="1" t="s">
        <v>53</v>
      </c>
      <c r="H54" s="44">
        <f>INDEX('AEO 2025 Table 5'!$F$8:$AG$102,MATCH('Crosswalk AEO to EPS Summary'!$C54,'AEO 2025 Table 5'!$B$8:$B$102,0),MATCH(H$1,'AEO 2025 Table 5'!$F$5:$AG$5,0))</f>
        <v>1.8319999999999999E-2</v>
      </c>
      <c r="I54">
        <f>INDEX('AEO 2026 Table 5'!$E$6:$AD$102,MATCH($B54,'AEO 2026 Table 5'!$B$6:$B$102,0),MATCH(I$1,'AEO 2026 Table 5'!$E$5:$AD$5,0))*IF($A54=1,'Data Centers'!C$53,1)</f>
        <v>1.5692000000000001E-2</v>
      </c>
      <c r="J54">
        <f>INDEX('AEO 2026 Table 5'!$E$6:$AD$102,MATCH($B54,'AEO 2026 Table 5'!$B$6:$B$102,0),MATCH(J$1,'AEO 2026 Table 5'!$E$5:$AD$5,0))*IF($A54=1,'Data Centers'!D$53,1)</f>
        <v>1.7611999999999999E-2</v>
      </c>
      <c r="K54">
        <f>INDEX('AEO 2026 Table 5'!$E$6:$AD$102,MATCH($B54,'AEO 2026 Table 5'!$B$6:$B$102,0),MATCH(K$1,'AEO 2026 Table 5'!$E$5:$AD$5,0))*IF($A54=1,'Data Centers'!E$53,1)</f>
        <v>1.7944999999999999E-2</v>
      </c>
      <c r="L54">
        <f>INDEX('AEO 2026 Table 5'!$E$6:$AD$102,MATCH($B54,'AEO 2026 Table 5'!$B$6:$B$102,0),MATCH(L$1,'AEO 2026 Table 5'!$E$5:$AD$5,0))*IF($A54=1,'Data Centers'!F$53,1)</f>
        <v>1.8169000000000001E-2</v>
      </c>
      <c r="M54">
        <f>INDEX('AEO 2026 Table 5'!$E$6:$AD$102,MATCH($B54,'AEO 2026 Table 5'!$B$6:$B$102,0),MATCH(M$1,'AEO 2026 Table 5'!$E$5:$AD$5,0))*IF($A54=1,'Data Centers'!G$53,1)</f>
        <v>1.8287000000000001E-2</v>
      </c>
      <c r="N54">
        <f>INDEX('AEO 2026 Table 5'!$E$6:$AD$102,MATCH($B54,'AEO 2026 Table 5'!$B$6:$B$102,0),MATCH(N$1,'AEO 2026 Table 5'!$E$5:$AD$5,0))*IF($A54=1,'Data Centers'!H$53,1)</f>
        <v>1.8391999999999999E-2</v>
      </c>
      <c r="O54">
        <f>INDEX('AEO 2026 Table 5'!$E$6:$AD$102,MATCH($B54,'AEO 2026 Table 5'!$B$6:$B$102,0),MATCH(O$1,'AEO 2026 Table 5'!$E$5:$AD$5,0))*IF($A54=1,'Data Centers'!I$53,1)</f>
        <v>1.8554999999999999E-2</v>
      </c>
      <c r="P54">
        <f>INDEX('AEO 2026 Table 5'!$E$6:$AD$102,MATCH($B54,'AEO 2026 Table 5'!$B$6:$B$102,0),MATCH(P$1,'AEO 2026 Table 5'!$E$5:$AD$5,0))*IF($A54=1,'Data Centers'!J$53,1)</f>
        <v>1.8870999999999999E-2</v>
      </c>
      <c r="Q54">
        <f>INDEX('AEO 2026 Table 5'!$E$6:$AD$102,MATCH($B54,'AEO 2026 Table 5'!$B$6:$B$102,0),MATCH(Q$1,'AEO 2026 Table 5'!$E$5:$AD$5,0))*IF($A54=1,'Data Centers'!K$53,1)</f>
        <v>1.9279999999999999E-2</v>
      </c>
      <c r="R54">
        <f>INDEX('AEO 2026 Table 5'!$E$6:$AD$102,MATCH($B54,'AEO 2026 Table 5'!$B$6:$B$102,0),MATCH(R$1,'AEO 2026 Table 5'!$E$5:$AD$5,0))*IF($A54=1,'Data Centers'!L$53,1)</f>
        <v>1.9785000000000001E-2</v>
      </c>
      <c r="S54">
        <f>INDEX('AEO 2026 Table 5'!$E$6:$AD$102,MATCH($B54,'AEO 2026 Table 5'!$B$6:$B$102,0),MATCH(S$1,'AEO 2026 Table 5'!$E$5:$AD$5,0))*IF($A54=1,'Data Centers'!M$53,1)</f>
        <v>2.0337999999999998E-2</v>
      </c>
      <c r="T54">
        <f>INDEX('AEO 2026 Table 5'!$E$6:$AD$102,MATCH($B54,'AEO 2026 Table 5'!$B$6:$B$102,0),MATCH(T$1,'AEO 2026 Table 5'!$E$5:$AD$5,0))*IF($A54=1,'Data Centers'!N$53,1)</f>
        <v>2.0947E-2</v>
      </c>
      <c r="U54">
        <f>INDEX('AEO 2026 Table 5'!$E$6:$AD$102,MATCH($B54,'AEO 2026 Table 5'!$B$6:$B$102,0),MATCH(U$1,'AEO 2026 Table 5'!$E$5:$AD$5,0))*IF($A54=1,'Data Centers'!O$53,1)</f>
        <v>2.1603000000000001E-2</v>
      </c>
      <c r="V54">
        <f>INDEX('AEO 2026 Table 5'!$E$6:$AD$102,MATCH($B54,'AEO 2026 Table 5'!$B$6:$B$102,0),MATCH(V$1,'AEO 2026 Table 5'!$E$5:$AD$5,0))*IF($A54=1,'Data Centers'!P$53,1)</f>
        <v>2.2291999999999999E-2</v>
      </c>
      <c r="W54">
        <f>INDEX('AEO 2026 Table 5'!$E$6:$AD$102,MATCH($B54,'AEO 2026 Table 5'!$B$6:$B$102,0),MATCH(W$1,'AEO 2026 Table 5'!$E$5:$AD$5,0))*IF($A54=1,'Data Centers'!Q$53,1)</f>
        <v>2.3007E-2</v>
      </c>
      <c r="X54">
        <f>INDEX('AEO 2026 Table 5'!$E$6:$AD$102,MATCH($B54,'AEO 2026 Table 5'!$B$6:$B$102,0),MATCH(X$1,'AEO 2026 Table 5'!$E$5:$AD$5,0))*IF($A54=1,'Data Centers'!R$53,1)</f>
        <v>2.3771E-2</v>
      </c>
      <c r="Y54">
        <f>INDEX('AEO 2026 Table 5'!$E$6:$AD$102,MATCH($B54,'AEO 2026 Table 5'!$B$6:$B$102,0),MATCH(Y$1,'AEO 2026 Table 5'!$E$5:$AD$5,0))*IF($A54=1,'Data Centers'!S$53,1)</f>
        <v>2.4568E-2</v>
      </c>
      <c r="Z54">
        <f>INDEX('AEO 2026 Table 5'!$E$6:$AD$102,MATCH($B54,'AEO 2026 Table 5'!$B$6:$B$102,0),MATCH(Z$1,'AEO 2026 Table 5'!$E$5:$AD$5,0))*IF($A54=1,'Data Centers'!T$53,1)</f>
        <v>2.5420999999999999E-2</v>
      </c>
      <c r="AA54">
        <f>INDEX('AEO 2026 Table 5'!$E$6:$AD$102,MATCH($B54,'AEO 2026 Table 5'!$B$6:$B$102,0),MATCH(AA$1,'AEO 2026 Table 5'!$E$5:$AD$5,0))*IF($A54=1,'Data Centers'!U$53,1)</f>
        <v>2.6325999999999999E-2</v>
      </c>
      <c r="AB54">
        <f>INDEX('AEO 2026 Table 5'!$E$6:$AD$102,MATCH($B54,'AEO 2026 Table 5'!$B$6:$B$102,0),MATCH(AB$1,'AEO 2026 Table 5'!$E$5:$AD$5,0))*IF($A54=1,'Data Centers'!V$53,1)</f>
        <v>2.7285E-2</v>
      </c>
      <c r="AC54">
        <f>INDEX('AEO 2026 Table 5'!$E$6:$AD$102,MATCH($B54,'AEO 2026 Table 5'!$B$6:$B$102,0),MATCH(AC$1,'AEO 2026 Table 5'!$E$5:$AD$5,0))*IF($A54=1,'Data Centers'!W$53,1)</f>
        <v>2.8298E-2</v>
      </c>
      <c r="AD54">
        <f>INDEX('AEO 2026 Table 5'!$E$6:$AD$102,MATCH($B54,'AEO 2026 Table 5'!$B$6:$B$102,0),MATCH(AD$1,'AEO 2026 Table 5'!$E$5:$AD$5,0))*IF($A54=1,'Data Centers'!X$53,1)</f>
        <v>2.9311E-2</v>
      </c>
      <c r="AE54">
        <f>INDEX('AEO 2026 Table 5'!$E$6:$AD$102,MATCH($B54,'AEO 2026 Table 5'!$B$6:$B$102,0),MATCH(AE$1,'AEO 2026 Table 5'!$E$5:$AD$5,0))*IF($A54=1,'Data Centers'!Y$53,1)</f>
        <v>3.0356000000000001E-2</v>
      </c>
      <c r="AF54">
        <f>INDEX('AEO 2026 Table 5'!$E$6:$AD$102,MATCH($B54,'AEO 2026 Table 5'!$B$6:$B$102,0),MATCH(AF$1,'AEO 2026 Table 5'!$E$5:$AD$5,0))*IF($A54=1,'Data Centers'!Z$53,1)</f>
        <v>3.1434999999999998E-2</v>
      </c>
      <c r="AG54">
        <f>INDEX('AEO 2026 Table 5'!$E$6:$AD$102,MATCH($B54,'AEO 2026 Table 5'!$B$6:$B$102,0),MATCH(AG$1,'AEO 2026 Table 5'!$E$5:$AD$5,0))*IF($A54=1,'Data Centers'!AA$53,1)</f>
        <v>3.2570000000000002E-2</v>
      </c>
      <c r="AH54">
        <f>INDEX('AEO 2026 Table 5'!$E$6:$AD$102,MATCH($B54,'AEO 2026 Table 5'!$B$6:$B$102,0),MATCH(AH$1,'AEO 2026 Table 5'!$E$5:$AD$5,0))*IF($A54=1,'Data Centers'!AB$53,1)</f>
        <v>3.3763000000000001E-2</v>
      </c>
    </row>
    <row r="55" spans="2:34" x14ac:dyDescent="0.25">
      <c r="B55" t="s">
        <v>122</v>
      </c>
      <c r="C55" t="s">
        <v>123</v>
      </c>
      <c r="D55" t="str">
        <f t="shared" si="1"/>
        <v>commercial-appliances-natural gas (BTU)</v>
      </c>
      <c r="E55" t="s">
        <v>92</v>
      </c>
      <c r="F55" t="s">
        <v>16</v>
      </c>
      <c r="G55" s="1" t="s">
        <v>53</v>
      </c>
      <c r="H55" s="44">
        <f>INDEX('AEO 2025 Table 5'!$F$8:$AG$102,MATCH('Crosswalk AEO to EPS Summary'!$C55,'AEO 2025 Table 5'!$B$8:$B$102,0),MATCH(H$1,'AEO 2025 Table 5'!$F$5:$AG$5,0))</f>
        <v>0.26994499999999999</v>
      </c>
      <c r="I55">
        <f>INDEX('AEO 2026 Table 5'!$E$6:$AD$102,MATCH($B55,'AEO 2026 Table 5'!$B$6:$B$102,0),MATCH(I$1,'AEO 2026 Table 5'!$E$5:$AD$5,0))*IF($A55=1,'Data Centers'!C$53,1)</f>
        <v>0.27396999999999999</v>
      </c>
      <c r="J55">
        <f>INDEX('AEO 2026 Table 5'!$E$6:$AD$102,MATCH($B55,'AEO 2026 Table 5'!$B$6:$B$102,0),MATCH(J$1,'AEO 2026 Table 5'!$E$5:$AD$5,0))*IF($A55=1,'Data Centers'!D$53,1)</f>
        <v>0.28034100000000001</v>
      </c>
      <c r="K55">
        <f>INDEX('AEO 2026 Table 5'!$E$6:$AD$102,MATCH($B55,'AEO 2026 Table 5'!$B$6:$B$102,0),MATCH(K$1,'AEO 2026 Table 5'!$E$5:$AD$5,0))*IF($A55=1,'Data Centers'!E$53,1)</f>
        <v>0.28301799999999999</v>
      </c>
      <c r="L55">
        <f>INDEX('AEO 2026 Table 5'!$E$6:$AD$102,MATCH($B55,'AEO 2026 Table 5'!$B$6:$B$102,0),MATCH(L$1,'AEO 2026 Table 5'!$E$5:$AD$5,0))*IF($A55=1,'Data Centers'!F$53,1)</f>
        <v>0.28370099999999998</v>
      </c>
      <c r="M55">
        <f>INDEX('AEO 2026 Table 5'!$E$6:$AD$102,MATCH($B55,'AEO 2026 Table 5'!$B$6:$B$102,0),MATCH(M$1,'AEO 2026 Table 5'!$E$5:$AD$5,0))*IF($A55=1,'Data Centers'!G$53,1)</f>
        <v>0.28280699999999998</v>
      </c>
      <c r="N55">
        <f>INDEX('AEO 2026 Table 5'!$E$6:$AD$102,MATCH($B55,'AEO 2026 Table 5'!$B$6:$B$102,0),MATCH(N$1,'AEO 2026 Table 5'!$E$5:$AD$5,0))*IF($A55=1,'Data Centers'!H$53,1)</f>
        <v>0.28132299999999999</v>
      </c>
      <c r="O55">
        <f>INDEX('AEO 2026 Table 5'!$E$6:$AD$102,MATCH($B55,'AEO 2026 Table 5'!$B$6:$B$102,0),MATCH(O$1,'AEO 2026 Table 5'!$E$5:$AD$5,0))*IF($A55=1,'Data Centers'!I$53,1)</f>
        <v>0.280138</v>
      </c>
      <c r="P55">
        <f>INDEX('AEO 2026 Table 5'!$E$6:$AD$102,MATCH($B55,'AEO 2026 Table 5'!$B$6:$B$102,0),MATCH(P$1,'AEO 2026 Table 5'!$E$5:$AD$5,0))*IF($A55=1,'Data Centers'!J$53,1)</f>
        <v>0.28065699999999999</v>
      </c>
      <c r="Q55">
        <f>INDEX('AEO 2026 Table 5'!$E$6:$AD$102,MATCH($B55,'AEO 2026 Table 5'!$B$6:$B$102,0),MATCH(Q$1,'AEO 2026 Table 5'!$E$5:$AD$5,0))*IF($A55=1,'Data Centers'!K$53,1)</f>
        <v>0.28179199999999999</v>
      </c>
      <c r="R55">
        <f>INDEX('AEO 2026 Table 5'!$E$6:$AD$102,MATCH($B55,'AEO 2026 Table 5'!$B$6:$B$102,0),MATCH(R$1,'AEO 2026 Table 5'!$E$5:$AD$5,0))*IF($A55=1,'Data Centers'!L$53,1)</f>
        <v>0.28385700000000003</v>
      </c>
      <c r="S55">
        <f>INDEX('AEO 2026 Table 5'!$E$6:$AD$102,MATCH($B55,'AEO 2026 Table 5'!$B$6:$B$102,0),MATCH(S$1,'AEO 2026 Table 5'!$E$5:$AD$5,0))*IF($A55=1,'Data Centers'!M$53,1)</f>
        <v>0.28610000000000002</v>
      </c>
      <c r="T55">
        <f>INDEX('AEO 2026 Table 5'!$E$6:$AD$102,MATCH($B55,'AEO 2026 Table 5'!$B$6:$B$102,0),MATCH(T$1,'AEO 2026 Table 5'!$E$5:$AD$5,0))*IF($A55=1,'Data Centers'!N$53,1)</f>
        <v>0.28878300000000001</v>
      </c>
      <c r="U55">
        <f>INDEX('AEO 2026 Table 5'!$E$6:$AD$102,MATCH($B55,'AEO 2026 Table 5'!$B$6:$B$102,0),MATCH(U$1,'AEO 2026 Table 5'!$E$5:$AD$5,0))*IF($A55=1,'Data Centers'!O$53,1)</f>
        <v>0.29144900000000001</v>
      </c>
      <c r="V55">
        <f>INDEX('AEO 2026 Table 5'!$E$6:$AD$102,MATCH($B55,'AEO 2026 Table 5'!$B$6:$B$102,0),MATCH(V$1,'AEO 2026 Table 5'!$E$5:$AD$5,0))*IF($A55=1,'Data Centers'!P$53,1)</f>
        <v>0.29413099999999998</v>
      </c>
      <c r="W55">
        <f>INDEX('AEO 2026 Table 5'!$E$6:$AD$102,MATCH($B55,'AEO 2026 Table 5'!$B$6:$B$102,0),MATCH(W$1,'AEO 2026 Table 5'!$E$5:$AD$5,0))*IF($A55=1,'Data Centers'!Q$53,1)</f>
        <v>0.29672999999999999</v>
      </c>
      <c r="X55">
        <f>INDEX('AEO 2026 Table 5'!$E$6:$AD$102,MATCH($B55,'AEO 2026 Table 5'!$B$6:$B$102,0),MATCH(X$1,'AEO 2026 Table 5'!$E$5:$AD$5,0))*IF($A55=1,'Data Centers'!R$53,1)</f>
        <v>0.29936600000000002</v>
      </c>
      <c r="Y55">
        <f>INDEX('AEO 2026 Table 5'!$E$6:$AD$102,MATCH($B55,'AEO 2026 Table 5'!$B$6:$B$102,0),MATCH(Y$1,'AEO 2026 Table 5'!$E$5:$AD$5,0))*IF($A55=1,'Data Centers'!S$53,1)</f>
        <v>0.30216399999999999</v>
      </c>
      <c r="Z55">
        <f>INDEX('AEO 2026 Table 5'!$E$6:$AD$102,MATCH($B55,'AEO 2026 Table 5'!$B$6:$B$102,0),MATCH(Z$1,'AEO 2026 Table 5'!$E$5:$AD$5,0))*IF($A55=1,'Data Centers'!T$53,1)</f>
        <v>0.30531700000000001</v>
      </c>
      <c r="AA55">
        <f>INDEX('AEO 2026 Table 5'!$E$6:$AD$102,MATCH($B55,'AEO 2026 Table 5'!$B$6:$B$102,0),MATCH(AA$1,'AEO 2026 Table 5'!$E$5:$AD$5,0))*IF($A55=1,'Data Centers'!U$53,1)</f>
        <v>0.30862800000000001</v>
      </c>
      <c r="AB55">
        <f>INDEX('AEO 2026 Table 5'!$E$6:$AD$102,MATCH($B55,'AEO 2026 Table 5'!$B$6:$B$102,0),MATCH(AB$1,'AEO 2026 Table 5'!$E$5:$AD$5,0))*IF($A55=1,'Data Centers'!V$53,1)</f>
        <v>0.312135</v>
      </c>
      <c r="AC55">
        <f>INDEX('AEO 2026 Table 5'!$E$6:$AD$102,MATCH($B55,'AEO 2026 Table 5'!$B$6:$B$102,0),MATCH(AC$1,'AEO 2026 Table 5'!$E$5:$AD$5,0))*IF($A55=1,'Data Centers'!W$53,1)</f>
        <v>0.31552200000000002</v>
      </c>
      <c r="AD55">
        <f>INDEX('AEO 2026 Table 5'!$E$6:$AD$102,MATCH($B55,'AEO 2026 Table 5'!$B$6:$B$102,0),MATCH(AD$1,'AEO 2026 Table 5'!$E$5:$AD$5,0))*IF($A55=1,'Data Centers'!X$53,1)</f>
        <v>0.31842900000000002</v>
      </c>
      <c r="AE55">
        <f>INDEX('AEO 2026 Table 5'!$E$6:$AD$102,MATCH($B55,'AEO 2026 Table 5'!$B$6:$B$102,0),MATCH(AE$1,'AEO 2026 Table 5'!$E$5:$AD$5,0))*IF($A55=1,'Data Centers'!Y$53,1)</f>
        <v>0.32100499999999998</v>
      </c>
      <c r="AF55">
        <f>INDEX('AEO 2026 Table 5'!$E$6:$AD$102,MATCH($B55,'AEO 2026 Table 5'!$B$6:$B$102,0),MATCH(AF$1,'AEO 2026 Table 5'!$E$5:$AD$5,0))*IF($A55=1,'Data Centers'!Z$53,1)</f>
        <v>0.32346599999999998</v>
      </c>
      <c r="AG55">
        <f>INDEX('AEO 2026 Table 5'!$E$6:$AD$102,MATCH($B55,'AEO 2026 Table 5'!$B$6:$B$102,0),MATCH(AG$1,'AEO 2026 Table 5'!$E$5:$AD$5,0))*IF($A55=1,'Data Centers'!AA$53,1)</f>
        <v>0.32592300000000002</v>
      </c>
      <c r="AH55">
        <f>INDEX('AEO 2026 Table 5'!$E$6:$AD$102,MATCH($B55,'AEO 2026 Table 5'!$B$6:$B$102,0),MATCH(AH$1,'AEO 2026 Table 5'!$E$5:$AD$5,0))*IF($A55=1,'Data Centers'!AB$53,1)</f>
        <v>0.32842900000000003</v>
      </c>
    </row>
    <row r="56" spans="2:34" x14ac:dyDescent="0.25">
      <c r="B56" t="s">
        <v>124</v>
      </c>
      <c r="C56" t="s">
        <v>125</v>
      </c>
      <c r="D56" t="str">
        <f t="shared" si="1"/>
        <v>commercial-appliances-natural gas (BTU)</v>
      </c>
      <c r="E56" t="s">
        <v>92</v>
      </c>
      <c r="F56" t="s">
        <v>16</v>
      </c>
      <c r="G56" s="1" t="s">
        <v>53</v>
      </c>
      <c r="H56" s="44">
        <f>INDEX('AEO 2025 Table 5'!$F$8:$AG$102,MATCH('Crosswalk AEO to EPS Summary'!$C56,'AEO 2025 Table 5'!$B$8:$B$102,0),MATCH(H$1,'AEO 2025 Table 5'!$F$5:$AG$5,0))</f>
        <v>0.40088299999999999</v>
      </c>
      <c r="I56">
        <f>INDEX('AEO 2026 Table 5'!$E$6:$AD$102,MATCH($B56,'AEO 2026 Table 5'!$B$6:$B$102,0),MATCH(I$1,'AEO 2026 Table 5'!$E$5:$AD$5,0))*IF($A56=1,'Data Centers'!C$53,1)</f>
        <v>0.40538999999999997</v>
      </c>
      <c r="J56">
        <f>INDEX('AEO 2026 Table 5'!$E$6:$AD$102,MATCH($B56,'AEO 2026 Table 5'!$B$6:$B$102,0),MATCH(J$1,'AEO 2026 Table 5'!$E$5:$AD$5,0))*IF($A56=1,'Data Centers'!D$53,1)</f>
        <v>0.41269800000000001</v>
      </c>
      <c r="K56">
        <f>INDEX('AEO 2026 Table 5'!$E$6:$AD$102,MATCH($B56,'AEO 2026 Table 5'!$B$6:$B$102,0),MATCH(K$1,'AEO 2026 Table 5'!$E$5:$AD$5,0))*IF($A56=1,'Data Centers'!E$53,1)</f>
        <v>0.41620099999999999</v>
      </c>
      <c r="L56">
        <f>INDEX('AEO 2026 Table 5'!$E$6:$AD$102,MATCH($B56,'AEO 2026 Table 5'!$B$6:$B$102,0),MATCH(L$1,'AEO 2026 Table 5'!$E$5:$AD$5,0))*IF($A56=1,'Data Centers'!F$53,1)</f>
        <v>0.416769</v>
      </c>
      <c r="M56">
        <f>INDEX('AEO 2026 Table 5'!$E$6:$AD$102,MATCH($B56,'AEO 2026 Table 5'!$B$6:$B$102,0),MATCH(M$1,'AEO 2026 Table 5'!$E$5:$AD$5,0))*IF($A56=1,'Data Centers'!G$53,1)</f>
        <v>0.41515299999999999</v>
      </c>
      <c r="N56">
        <f>INDEX('AEO 2026 Table 5'!$E$6:$AD$102,MATCH($B56,'AEO 2026 Table 5'!$B$6:$B$102,0),MATCH(N$1,'AEO 2026 Table 5'!$E$5:$AD$5,0))*IF($A56=1,'Data Centers'!H$53,1)</f>
        <v>0.412603</v>
      </c>
      <c r="O56">
        <f>INDEX('AEO 2026 Table 5'!$E$6:$AD$102,MATCH($B56,'AEO 2026 Table 5'!$B$6:$B$102,0),MATCH(O$1,'AEO 2026 Table 5'!$E$5:$AD$5,0))*IF($A56=1,'Data Centers'!I$53,1)</f>
        <v>0.410522</v>
      </c>
      <c r="P56">
        <f>INDEX('AEO 2026 Table 5'!$E$6:$AD$102,MATCH($B56,'AEO 2026 Table 5'!$B$6:$B$102,0),MATCH(P$1,'AEO 2026 Table 5'!$E$5:$AD$5,0))*IF($A56=1,'Data Centers'!J$53,1)</f>
        <v>0.41081499999999999</v>
      </c>
      <c r="Q56">
        <f>INDEX('AEO 2026 Table 5'!$E$6:$AD$102,MATCH($B56,'AEO 2026 Table 5'!$B$6:$B$102,0),MATCH(Q$1,'AEO 2026 Table 5'!$E$5:$AD$5,0))*IF($A56=1,'Data Centers'!K$53,1)</f>
        <v>0.41202800000000001</v>
      </c>
      <c r="R56">
        <f>INDEX('AEO 2026 Table 5'!$E$6:$AD$102,MATCH($B56,'AEO 2026 Table 5'!$B$6:$B$102,0),MATCH(R$1,'AEO 2026 Table 5'!$E$5:$AD$5,0))*IF($A56=1,'Data Centers'!L$53,1)</f>
        <v>0.414518</v>
      </c>
      <c r="S56">
        <f>INDEX('AEO 2026 Table 5'!$E$6:$AD$102,MATCH($B56,'AEO 2026 Table 5'!$B$6:$B$102,0),MATCH(S$1,'AEO 2026 Table 5'!$E$5:$AD$5,0))*IF($A56=1,'Data Centers'!M$53,1)</f>
        <v>0.41720299999999999</v>
      </c>
      <c r="T56">
        <f>INDEX('AEO 2026 Table 5'!$E$6:$AD$102,MATCH($B56,'AEO 2026 Table 5'!$B$6:$B$102,0),MATCH(T$1,'AEO 2026 Table 5'!$E$5:$AD$5,0))*IF($A56=1,'Data Centers'!N$53,1)</f>
        <v>0.42046600000000001</v>
      </c>
      <c r="U56">
        <f>INDEX('AEO 2026 Table 5'!$E$6:$AD$102,MATCH($B56,'AEO 2026 Table 5'!$B$6:$B$102,0),MATCH(U$1,'AEO 2026 Table 5'!$E$5:$AD$5,0))*IF($A56=1,'Data Centers'!O$53,1)</f>
        <v>0.42367300000000002</v>
      </c>
      <c r="V56">
        <f>INDEX('AEO 2026 Table 5'!$E$6:$AD$102,MATCH($B56,'AEO 2026 Table 5'!$B$6:$B$102,0),MATCH(V$1,'AEO 2026 Table 5'!$E$5:$AD$5,0))*IF($A56=1,'Data Centers'!P$53,1)</f>
        <v>0.42686800000000003</v>
      </c>
      <c r="W56">
        <f>INDEX('AEO 2026 Table 5'!$E$6:$AD$102,MATCH($B56,'AEO 2026 Table 5'!$B$6:$B$102,0),MATCH(W$1,'AEO 2026 Table 5'!$E$5:$AD$5,0))*IF($A56=1,'Data Centers'!Q$53,1)</f>
        <v>0.429898</v>
      </c>
      <c r="X56">
        <f>INDEX('AEO 2026 Table 5'!$E$6:$AD$102,MATCH($B56,'AEO 2026 Table 5'!$B$6:$B$102,0),MATCH(X$1,'AEO 2026 Table 5'!$E$5:$AD$5,0))*IF($A56=1,'Data Centers'!R$53,1)</f>
        <v>0.43293399999999999</v>
      </c>
      <c r="Y56">
        <f>INDEX('AEO 2026 Table 5'!$E$6:$AD$102,MATCH($B56,'AEO 2026 Table 5'!$B$6:$B$102,0),MATCH(Y$1,'AEO 2026 Table 5'!$E$5:$AD$5,0))*IF($A56=1,'Data Centers'!S$53,1)</f>
        <v>0.43624499999999999</v>
      </c>
      <c r="Z56">
        <f>INDEX('AEO 2026 Table 5'!$E$6:$AD$102,MATCH($B56,'AEO 2026 Table 5'!$B$6:$B$102,0),MATCH(Z$1,'AEO 2026 Table 5'!$E$5:$AD$5,0))*IF($A56=1,'Data Centers'!T$53,1)</f>
        <v>0.440058</v>
      </c>
      <c r="AA56">
        <f>INDEX('AEO 2026 Table 5'!$E$6:$AD$102,MATCH($B56,'AEO 2026 Table 5'!$B$6:$B$102,0),MATCH(AA$1,'AEO 2026 Table 5'!$E$5:$AD$5,0))*IF($A56=1,'Data Centers'!U$53,1)</f>
        <v>0.44407600000000003</v>
      </c>
      <c r="AB56">
        <f>INDEX('AEO 2026 Table 5'!$E$6:$AD$102,MATCH($B56,'AEO 2026 Table 5'!$B$6:$B$102,0),MATCH(AB$1,'AEO 2026 Table 5'!$E$5:$AD$5,0))*IF($A56=1,'Data Centers'!V$53,1)</f>
        <v>0.448351</v>
      </c>
      <c r="AC56">
        <f>INDEX('AEO 2026 Table 5'!$E$6:$AD$102,MATCH($B56,'AEO 2026 Table 5'!$B$6:$B$102,0),MATCH(AC$1,'AEO 2026 Table 5'!$E$5:$AD$5,0))*IF($A56=1,'Data Centers'!W$53,1)</f>
        <v>0.45241599999999998</v>
      </c>
      <c r="AD56">
        <f>INDEX('AEO 2026 Table 5'!$E$6:$AD$102,MATCH($B56,'AEO 2026 Table 5'!$B$6:$B$102,0),MATCH(AD$1,'AEO 2026 Table 5'!$E$5:$AD$5,0))*IF($A56=1,'Data Centers'!X$53,1)</f>
        <v>0.45573799999999998</v>
      </c>
      <c r="AE56">
        <f>INDEX('AEO 2026 Table 5'!$E$6:$AD$102,MATCH($B56,'AEO 2026 Table 5'!$B$6:$B$102,0),MATCH(AE$1,'AEO 2026 Table 5'!$E$5:$AD$5,0))*IF($A56=1,'Data Centers'!Y$53,1)</f>
        <v>0.45854200000000001</v>
      </c>
      <c r="AF56">
        <f>INDEX('AEO 2026 Table 5'!$E$6:$AD$102,MATCH($B56,'AEO 2026 Table 5'!$B$6:$B$102,0),MATCH(AF$1,'AEO 2026 Table 5'!$E$5:$AD$5,0))*IF($A56=1,'Data Centers'!Z$53,1)</f>
        <v>0.46114699999999997</v>
      </c>
      <c r="AG56">
        <f>INDEX('AEO 2026 Table 5'!$E$6:$AD$102,MATCH($B56,'AEO 2026 Table 5'!$B$6:$B$102,0),MATCH(AG$1,'AEO 2026 Table 5'!$E$5:$AD$5,0))*IF($A56=1,'Data Centers'!AA$53,1)</f>
        <v>0.46372099999999999</v>
      </c>
      <c r="AH56">
        <f>INDEX('AEO 2026 Table 5'!$E$6:$AD$102,MATCH($B56,'AEO 2026 Table 5'!$B$6:$B$102,0),MATCH(AH$1,'AEO 2026 Table 5'!$E$5:$AD$5,0))*IF($A56=1,'Data Centers'!AB$53,1)</f>
        <v>0.46634399999999998</v>
      </c>
    </row>
    <row r="57" spans="2:34" x14ac:dyDescent="0.25">
      <c r="B57" t="s">
        <v>126</v>
      </c>
      <c r="C57" t="s">
        <v>127</v>
      </c>
      <c r="D57" t="str">
        <f t="shared" si="1"/>
        <v>commercial-other-natural gas (BTU)</v>
      </c>
      <c r="E57" t="s">
        <v>92</v>
      </c>
      <c r="F57" t="s">
        <v>34</v>
      </c>
      <c r="G57" s="1" t="s">
        <v>53</v>
      </c>
      <c r="H57" s="44">
        <f>INDEX('AEO 2025 Table 5'!$F$8:$AG$102,MATCH('Crosswalk AEO to EPS Summary'!$C57,'AEO 2025 Table 5'!$B$8:$B$102,0),MATCH(H$1,'AEO 2025 Table 5'!$F$5:$AG$5,0))</f>
        <v>1.200143</v>
      </c>
      <c r="I57">
        <f>INDEX('AEO 2026 Table 5'!$E$6:$AD$102,MATCH($B57,'AEO 2026 Table 5'!$B$6:$B$102,0),MATCH(I$1,'AEO 2026 Table 5'!$E$5:$AD$5,0))*IF($A57=1,'Data Centers'!C$53,1)</f>
        <v>1.2673559999999999</v>
      </c>
      <c r="J57">
        <f>INDEX('AEO 2026 Table 5'!$E$6:$AD$102,MATCH($B57,'AEO 2026 Table 5'!$B$6:$B$102,0),MATCH(J$1,'AEO 2026 Table 5'!$E$5:$AD$5,0))*IF($A57=1,'Data Centers'!D$53,1)</f>
        <v>1.1943330000000001</v>
      </c>
      <c r="K57">
        <f>INDEX('AEO 2026 Table 5'!$E$6:$AD$102,MATCH($B57,'AEO 2026 Table 5'!$B$6:$B$102,0),MATCH(K$1,'AEO 2026 Table 5'!$E$5:$AD$5,0))*IF($A57=1,'Data Centers'!E$53,1)</f>
        <v>1.1990430000000001</v>
      </c>
      <c r="L57">
        <f>INDEX('AEO 2026 Table 5'!$E$6:$AD$102,MATCH($B57,'AEO 2026 Table 5'!$B$6:$B$102,0),MATCH(L$1,'AEO 2026 Table 5'!$E$5:$AD$5,0))*IF($A57=1,'Data Centers'!F$53,1)</f>
        <v>1.1970860000000001</v>
      </c>
      <c r="M57">
        <f>INDEX('AEO 2026 Table 5'!$E$6:$AD$102,MATCH($B57,'AEO 2026 Table 5'!$B$6:$B$102,0),MATCH(M$1,'AEO 2026 Table 5'!$E$5:$AD$5,0))*IF($A57=1,'Data Centers'!G$53,1)</f>
        <v>1.1883330000000001</v>
      </c>
      <c r="N57">
        <f>INDEX('AEO 2026 Table 5'!$E$6:$AD$102,MATCH($B57,'AEO 2026 Table 5'!$B$6:$B$102,0),MATCH(N$1,'AEO 2026 Table 5'!$E$5:$AD$5,0))*IF($A57=1,'Data Centers'!H$53,1)</f>
        <v>1.177144</v>
      </c>
      <c r="O57">
        <f>INDEX('AEO 2026 Table 5'!$E$6:$AD$102,MATCH($B57,'AEO 2026 Table 5'!$B$6:$B$102,0),MATCH(O$1,'AEO 2026 Table 5'!$E$5:$AD$5,0))*IF($A57=1,'Data Centers'!I$53,1)</f>
        <v>1.166085</v>
      </c>
      <c r="P57">
        <f>INDEX('AEO 2026 Table 5'!$E$6:$AD$102,MATCH($B57,'AEO 2026 Table 5'!$B$6:$B$102,0),MATCH(P$1,'AEO 2026 Table 5'!$E$5:$AD$5,0))*IF($A57=1,'Data Centers'!J$53,1)</f>
        <v>1.160668</v>
      </c>
      <c r="Q57">
        <f>INDEX('AEO 2026 Table 5'!$E$6:$AD$102,MATCH($B57,'AEO 2026 Table 5'!$B$6:$B$102,0),MATCH(Q$1,'AEO 2026 Table 5'!$E$5:$AD$5,0))*IF($A57=1,'Data Centers'!K$53,1)</f>
        <v>1.1572070000000001</v>
      </c>
      <c r="R57">
        <f>INDEX('AEO 2026 Table 5'!$E$6:$AD$102,MATCH($B57,'AEO 2026 Table 5'!$B$6:$B$102,0),MATCH(R$1,'AEO 2026 Table 5'!$E$5:$AD$5,0))*IF($A57=1,'Data Centers'!L$53,1)</f>
        <v>1.156334</v>
      </c>
      <c r="S57">
        <f>INDEX('AEO 2026 Table 5'!$E$6:$AD$102,MATCH($B57,'AEO 2026 Table 5'!$B$6:$B$102,0),MATCH(S$1,'AEO 2026 Table 5'!$E$5:$AD$5,0))*IF($A57=1,'Data Centers'!M$53,1)</f>
        <v>1.1553119999999999</v>
      </c>
      <c r="T57">
        <f>INDEX('AEO 2026 Table 5'!$E$6:$AD$102,MATCH($B57,'AEO 2026 Table 5'!$B$6:$B$102,0),MATCH(T$1,'AEO 2026 Table 5'!$E$5:$AD$5,0))*IF($A57=1,'Data Centers'!N$53,1)</f>
        <v>1.1553340000000001</v>
      </c>
      <c r="U57">
        <f>INDEX('AEO 2026 Table 5'!$E$6:$AD$102,MATCH($B57,'AEO 2026 Table 5'!$B$6:$B$102,0),MATCH(U$1,'AEO 2026 Table 5'!$E$5:$AD$5,0))*IF($A57=1,'Data Centers'!O$53,1)</f>
        <v>1.1551670000000001</v>
      </c>
      <c r="V57">
        <f>INDEX('AEO 2026 Table 5'!$E$6:$AD$102,MATCH($B57,'AEO 2026 Table 5'!$B$6:$B$102,0),MATCH(V$1,'AEO 2026 Table 5'!$E$5:$AD$5,0))*IF($A57=1,'Data Centers'!P$53,1)</f>
        <v>1.155125</v>
      </c>
      <c r="W57">
        <f>INDEX('AEO 2026 Table 5'!$E$6:$AD$102,MATCH($B57,'AEO 2026 Table 5'!$B$6:$B$102,0),MATCH(W$1,'AEO 2026 Table 5'!$E$5:$AD$5,0))*IF($A57=1,'Data Centers'!Q$53,1)</f>
        <v>1.154979</v>
      </c>
      <c r="X57">
        <f>INDEX('AEO 2026 Table 5'!$E$6:$AD$102,MATCH($B57,'AEO 2026 Table 5'!$B$6:$B$102,0),MATCH(X$1,'AEO 2026 Table 5'!$E$5:$AD$5,0))*IF($A57=1,'Data Centers'!R$53,1)</f>
        <v>1.1551629999999999</v>
      </c>
      <c r="Y57">
        <f>INDEX('AEO 2026 Table 5'!$E$6:$AD$102,MATCH($B57,'AEO 2026 Table 5'!$B$6:$B$102,0),MATCH(Y$1,'AEO 2026 Table 5'!$E$5:$AD$5,0))*IF($A57=1,'Data Centers'!S$53,1)</f>
        <v>1.1555249999999999</v>
      </c>
      <c r="Z57">
        <f>INDEX('AEO 2026 Table 5'!$E$6:$AD$102,MATCH($B57,'AEO 2026 Table 5'!$B$6:$B$102,0),MATCH(Z$1,'AEO 2026 Table 5'!$E$5:$AD$5,0))*IF($A57=1,'Data Centers'!T$53,1)</f>
        <v>1.1573659999999999</v>
      </c>
      <c r="AA57">
        <f>INDEX('AEO 2026 Table 5'!$E$6:$AD$102,MATCH($B57,'AEO 2026 Table 5'!$B$6:$B$102,0),MATCH(AA$1,'AEO 2026 Table 5'!$E$5:$AD$5,0))*IF($A57=1,'Data Centers'!U$53,1)</f>
        <v>1.1597249999999999</v>
      </c>
      <c r="AB57">
        <f>INDEX('AEO 2026 Table 5'!$E$6:$AD$102,MATCH($B57,'AEO 2026 Table 5'!$B$6:$B$102,0),MATCH(AB$1,'AEO 2026 Table 5'!$E$5:$AD$5,0))*IF($A57=1,'Data Centers'!V$53,1)</f>
        <v>1.1629609999999999</v>
      </c>
      <c r="AC57">
        <f>INDEX('AEO 2026 Table 5'!$E$6:$AD$102,MATCH($B57,'AEO 2026 Table 5'!$B$6:$B$102,0),MATCH(AC$1,'AEO 2026 Table 5'!$E$5:$AD$5,0))*IF($A57=1,'Data Centers'!W$53,1)</f>
        <v>1.165869</v>
      </c>
      <c r="AD57">
        <f>INDEX('AEO 2026 Table 5'!$E$6:$AD$102,MATCH($B57,'AEO 2026 Table 5'!$B$6:$B$102,0),MATCH(AD$1,'AEO 2026 Table 5'!$E$5:$AD$5,0))*IF($A57=1,'Data Centers'!X$53,1)</f>
        <v>1.1673819999999999</v>
      </c>
      <c r="AE57">
        <f>INDEX('AEO 2026 Table 5'!$E$6:$AD$102,MATCH($B57,'AEO 2026 Table 5'!$B$6:$B$102,0),MATCH(AE$1,'AEO 2026 Table 5'!$E$5:$AD$5,0))*IF($A57=1,'Data Centers'!Y$53,1)</f>
        <v>1.168018</v>
      </c>
      <c r="AF57">
        <f>INDEX('AEO 2026 Table 5'!$E$6:$AD$102,MATCH($B57,'AEO 2026 Table 5'!$B$6:$B$102,0),MATCH(AF$1,'AEO 2026 Table 5'!$E$5:$AD$5,0))*IF($A57=1,'Data Centers'!Z$53,1)</f>
        <v>1.16842</v>
      </c>
      <c r="AG57">
        <f>INDEX('AEO 2026 Table 5'!$E$6:$AD$102,MATCH($B57,'AEO 2026 Table 5'!$B$6:$B$102,0),MATCH(AG$1,'AEO 2026 Table 5'!$E$5:$AD$5,0))*IF($A57=1,'Data Centers'!AA$53,1)</f>
        <v>1.1688689999999999</v>
      </c>
      <c r="AH57">
        <f>INDEX('AEO 2026 Table 5'!$E$6:$AD$102,MATCH($B57,'AEO 2026 Table 5'!$B$6:$B$102,0),MATCH(AH$1,'AEO 2026 Table 5'!$E$5:$AD$5,0))*IF($A57=1,'Data Centers'!AB$53,1)</f>
        <v>1.1696519999999999</v>
      </c>
    </row>
    <row r="58" spans="2:34" x14ac:dyDescent="0.25">
      <c r="B58" t="s">
        <v>128</v>
      </c>
      <c r="C58" t="s">
        <v>129</v>
      </c>
      <c r="D58" t="str">
        <f t="shared" si="1"/>
        <v>commercial-total-natural gas (BTU)</v>
      </c>
      <c r="E58" t="s">
        <v>92</v>
      </c>
      <c r="F58" t="s">
        <v>43</v>
      </c>
      <c r="G58" s="1" t="s">
        <v>53</v>
      </c>
      <c r="H58" s="44">
        <f>INDEX('AEO 2025 Table 5'!$F$8:$AG$102,MATCH('Crosswalk AEO to EPS Summary'!$C58,'AEO 2025 Table 5'!$B$8:$B$102,0),MATCH(H$1,'AEO 2025 Table 5'!$F$5:$AG$5,0))</f>
        <v>3.426704</v>
      </c>
      <c r="I58">
        <f>INDEX('AEO 2026 Table 5'!$E$6:$AD$102,MATCH($B58,'AEO 2026 Table 5'!$B$6:$B$102,0),MATCH(I$1,'AEO 2026 Table 5'!$E$5:$AD$5,0))*IF($A58=1,'Data Centers'!C$53,1)</f>
        <v>3.6398039999999998</v>
      </c>
      <c r="J58">
        <f>INDEX('AEO 2026 Table 5'!$E$6:$AD$102,MATCH($B58,'AEO 2026 Table 5'!$B$6:$B$102,0),MATCH(J$1,'AEO 2026 Table 5'!$E$5:$AD$5,0))*IF($A58=1,'Data Centers'!D$53,1)</f>
        <v>3.5639609999999999</v>
      </c>
      <c r="K58">
        <f>INDEX('AEO 2026 Table 5'!$E$6:$AD$102,MATCH($B58,'AEO 2026 Table 5'!$B$6:$B$102,0),MATCH(K$1,'AEO 2026 Table 5'!$E$5:$AD$5,0))*IF($A58=1,'Data Centers'!E$53,1)</f>
        <v>3.5715400000000002</v>
      </c>
      <c r="L58">
        <f>INDEX('AEO 2026 Table 5'!$E$6:$AD$102,MATCH($B58,'AEO 2026 Table 5'!$B$6:$B$102,0),MATCH(L$1,'AEO 2026 Table 5'!$E$5:$AD$5,0))*IF($A58=1,'Data Centers'!F$53,1)</f>
        <v>3.5559379999999998</v>
      </c>
      <c r="M58">
        <f>INDEX('AEO 2026 Table 5'!$E$6:$AD$102,MATCH($B58,'AEO 2026 Table 5'!$B$6:$B$102,0),MATCH(M$1,'AEO 2026 Table 5'!$E$5:$AD$5,0))*IF($A58=1,'Data Centers'!G$53,1)</f>
        <v>3.5192030000000001</v>
      </c>
      <c r="N58">
        <f>INDEX('AEO 2026 Table 5'!$E$6:$AD$102,MATCH($B58,'AEO 2026 Table 5'!$B$6:$B$102,0),MATCH(N$1,'AEO 2026 Table 5'!$E$5:$AD$5,0))*IF($A58=1,'Data Centers'!H$53,1)</f>
        <v>3.4748570000000001</v>
      </c>
      <c r="O58">
        <f>INDEX('AEO 2026 Table 5'!$E$6:$AD$102,MATCH($B58,'AEO 2026 Table 5'!$B$6:$B$102,0),MATCH(O$1,'AEO 2026 Table 5'!$E$5:$AD$5,0))*IF($A58=1,'Data Centers'!I$53,1)</f>
        <v>3.4334530000000001</v>
      </c>
      <c r="P58">
        <f>INDEX('AEO 2026 Table 5'!$E$6:$AD$102,MATCH($B58,'AEO 2026 Table 5'!$B$6:$B$102,0),MATCH(P$1,'AEO 2026 Table 5'!$E$5:$AD$5,0))*IF($A58=1,'Data Centers'!J$53,1)</f>
        <v>3.4106900000000002</v>
      </c>
      <c r="Q58">
        <f>INDEX('AEO 2026 Table 5'!$E$6:$AD$102,MATCH($B58,'AEO 2026 Table 5'!$B$6:$B$102,0),MATCH(Q$1,'AEO 2026 Table 5'!$E$5:$AD$5,0))*IF($A58=1,'Data Centers'!K$53,1)</f>
        <v>3.395886</v>
      </c>
      <c r="R58">
        <f>INDEX('AEO 2026 Table 5'!$E$6:$AD$102,MATCH($B58,'AEO 2026 Table 5'!$B$6:$B$102,0),MATCH(R$1,'AEO 2026 Table 5'!$E$5:$AD$5,0))*IF($A58=1,'Data Centers'!L$53,1)</f>
        <v>3.3894920000000002</v>
      </c>
      <c r="S58">
        <f>INDEX('AEO 2026 Table 5'!$E$6:$AD$102,MATCH($B58,'AEO 2026 Table 5'!$B$6:$B$102,0),MATCH(S$1,'AEO 2026 Table 5'!$E$5:$AD$5,0))*IF($A58=1,'Data Centers'!M$53,1)</f>
        <v>3.3831030000000002</v>
      </c>
      <c r="T58">
        <f>INDEX('AEO 2026 Table 5'!$E$6:$AD$102,MATCH($B58,'AEO 2026 Table 5'!$B$6:$B$102,0),MATCH(T$1,'AEO 2026 Table 5'!$E$5:$AD$5,0))*IF($A58=1,'Data Centers'!N$53,1)</f>
        <v>3.3802789999999998</v>
      </c>
      <c r="U58">
        <f>INDEX('AEO 2026 Table 5'!$E$6:$AD$102,MATCH($B58,'AEO 2026 Table 5'!$B$6:$B$102,0),MATCH(U$1,'AEO 2026 Table 5'!$E$5:$AD$5,0))*IF($A58=1,'Data Centers'!O$53,1)</f>
        <v>3.376655</v>
      </c>
      <c r="V58">
        <f>INDEX('AEO 2026 Table 5'!$E$6:$AD$102,MATCH($B58,'AEO 2026 Table 5'!$B$6:$B$102,0),MATCH(V$1,'AEO 2026 Table 5'!$E$5:$AD$5,0))*IF($A58=1,'Data Centers'!P$53,1)</f>
        <v>3.373224</v>
      </c>
      <c r="W58">
        <f>INDEX('AEO 2026 Table 5'!$E$6:$AD$102,MATCH($B58,'AEO 2026 Table 5'!$B$6:$B$102,0),MATCH(W$1,'AEO 2026 Table 5'!$E$5:$AD$5,0))*IF($A58=1,'Data Centers'!Q$53,1)</f>
        <v>3.3688470000000001</v>
      </c>
      <c r="X58">
        <f>INDEX('AEO 2026 Table 5'!$E$6:$AD$102,MATCH($B58,'AEO 2026 Table 5'!$B$6:$B$102,0),MATCH(X$1,'AEO 2026 Table 5'!$E$5:$AD$5,0))*IF($A58=1,'Data Centers'!R$53,1)</f>
        <v>3.3650509999999998</v>
      </c>
      <c r="Y58">
        <f>INDEX('AEO 2026 Table 5'!$E$6:$AD$102,MATCH($B58,'AEO 2026 Table 5'!$B$6:$B$102,0),MATCH(Y$1,'AEO 2026 Table 5'!$E$5:$AD$5,0))*IF($A58=1,'Data Centers'!S$53,1)</f>
        <v>3.362263</v>
      </c>
      <c r="Z58">
        <f>INDEX('AEO 2026 Table 5'!$E$6:$AD$102,MATCH($B58,'AEO 2026 Table 5'!$B$6:$B$102,0),MATCH(Z$1,'AEO 2026 Table 5'!$E$5:$AD$5,0))*IF($A58=1,'Data Centers'!T$53,1)</f>
        <v>3.3637030000000001</v>
      </c>
      <c r="AA58">
        <f>INDEX('AEO 2026 Table 5'!$E$6:$AD$102,MATCH($B58,'AEO 2026 Table 5'!$B$6:$B$102,0),MATCH(AA$1,'AEO 2026 Table 5'!$E$5:$AD$5,0))*IF($A58=1,'Data Centers'!U$53,1)</f>
        <v>3.3665470000000002</v>
      </c>
      <c r="AB58">
        <f>INDEX('AEO 2026 Table 5'!$E$6:$AD$102,MATCH($B58,'AEO 2026 Table 5'!$B$6:$B$102,0),MATCH(AB$1,'AEO 2026 Table 5'!$E$5:$AD$5,0))*IF($A58=1,'Data Centers'!V$53,1)</f>
        <v>3.3715039999999998</v>
      </c>
      <c r="AC58">
        <f>INDEX('AEO 2026 Table 5'!$E$6:$AD$102,MATCH($B58,'AEO 2026 Table 5'!$B$6:$B$102,0),MATCH(AC$1,'AEO 2026 Table 5'!$E$5:$AD$5,0))*IF($A58=1,'Data Centers'!W$53,1)</f>
        <v>3.3753500000000001</v>
      </c>
      <c r="AD58">
        <f>INDEX('AEO 2026 Table 5'!$E$6:$AD$102,MATCH($B58,'AEO 2026 Table 5'!$B$6:$B$102,0),MATCH(AD$1,'AEO 2026 Table 5'!$E$5:$AD$5,0))*IF($A58=1,'Data Centers'!X$53,1)</f>
        <v>3.3740939999999999</v>
      </c>
      <c r="AE58">
        <f>INDEX('AEO 2026 Table 5'!$E$6:$AD$102,MATCH($B58,'AEO 2026 Table 5'!$B$6:$B$102,0),MATCH(AE$1,'AEO 2026 Table 5'!$E$5:$AD$5,0))*IF($A58=1,'Data Centers'!Y$53,1)</f>
        <v>3.3695590000000002</v>
      </c>
      <c r="AF58">
        <f>INDEX('AEO 2026 Table 5'!$E$6:$AD$102,MATCH($B58,'AEO 2026 Table 5'!$B$6:$B$102,0),MATCH(AF$1,'AEO 2026 Table 5'!$E$5:$AD$5,0))*IF($A58=1,'Data Centers'!Z$53,1)</f>
        <v>3.364201</v>
      </c>
      <c r="AG58">
        <f>INDEX('AEO 2026 Table 5'!$E$6:$AD$102,MATCH($B58,'AEO 2026 Table 5'!$B$6:$B$102,0),MATCH(AG$1,'AEO 2026 Table 5'!$E$5:$AD$5,0))*IF($A58=1,'Data Centers'!AA$53,1)</f>
        <v>3.3589319999999998</v>
      </c>
      <c r="AH58">
        <f>INDEX('AEO 2026 Table 5'!$E$6:$AD$102,MATCH($B58,'AEO 2026 Table 5'!$B$6:$B$102,0),MATCH(AH$1,'AEO 2026 Table 5'!$E$5:$AD$5,0))*IF($A58=1,'Data Centers'!AB$53,1)</f>
        <v>3.3544420000000001</v>
      </c>
    </row>
    <row r="59" spans="2:34" x14ac:dyDescent="0.25">
      <c r="B59" t="s">
        <v>130</v>
      </c>
      <c r="C59" t="s">
        <v>131</v>
      </c>
      <c r="D59" t="str">
        <f t="shared" si="1"/>
        <v>commercial-heating-petroleum diesel (BTU)</v>
      </c>
      <c r="E59" t="s">
        <v>92</v>
      </c>
      <c r="F59" t="s">
        <v>9</v>
      </c>
      <c r="G59" s="1" t="s">
        <v>68</v>
      </c>
      <c r="H59" s="44">
        <f>INDEX('AEO 2025 Table 5'!$F$8:$AG$102,MATCH('Crosswalk AEO to EPS Summary'!$C59,'AEO 2025 Table 5'!$B$8:$B$102,0),MATCH(H$1,'AEO 2025 Table 5'!$F$5:$AG$5,0))</f>
        <v>6.9268999999999997E-2</v>
      </c>
      <c r="I59">
        <f>INDEX('AEO 2026 Table 5'!$E$6:$AD$102,MATCH($B59,'AEO 2026 Table 5'!$B$6:$B$102,0),MATCH(I$1,'AEO 2026 Table 5'!$E$5:$AD$5,0))*IF($A59=1,'Data Centers'!C$53,1)</f>
        <v>7.4527999999999997E-2</v>
      </c>
      <c r="J59">
        <f>INDEX('AEO 2026 Table 5'!$E$6:$AD$102,MATCH($B59,'AEO 2026 Table 5'!$B$6:$B$102,0),MATCH(J$1,'AEO 2026 Table 5'!$E$5:$AD$5,0))*IF($A59=1,'Data Centers'!D$53,1)</f>
        <v>7.2814000000000004E-2</v>
      </c>
      <c r="K59">
        <f>INDEX('AEO 2026 Table 5'!$E$6:$AD$102,MATCH($B59,'AEO 2026 Table 5'!$B$6:$B$102,0),MATCH(K$1,'AEO 2026 Table 5'!$E$5:$AD$5,0))*IF($A59=1,'Data Centers'!E$53,1)</f>
        <v>7.2147000000000003E-2</v>
      </c>
      <c r="L59">
        <f>INDEX('AEO 2026 Table 5'!$E$6:$AD$102,MATCH($B59,'AEO 2026 Table 5'!$B$6:$B$102,0),MATCH(L$1,'AEO 2026 Table 5'!$E$5:$AD$5,0))*IF($A59=1,'Data Centers'!F$53,1)</f>
        <v>7.1328000000000003E-2</v>
      </c>
      <c r="M59">
        <f>INDEX('AEO 2026 Table 5'!$E$6:$AD$102,MATCH($B59,'AEO 2026 Table 5'!$B$6:$B$102,0),MATCH(M$1,'AEO 2026 Table 5'!$E$5:$AD$5,0))*IF($A59=1,'Data Centers'!G$53,1)</f>
        <v>7.0239999999999997E-2</v>
      </c>
      <c r="N59">
        <f>INDEX('AEO 2026 Table 5'!$E$6:$AD$102,MATCH($B59,'AEO 2026 Table 5'!$B$6:$B$102,0),MATCH(N$1,'AEO 2026 Table 5'!$E$5:$AD$5,0))*IF($A59=1,'Data Centers'!H$53,1)</f>
        <v>6.9389999999999993E-2</v>
      </c>
      <c r="O59">
        <f>INDEX('AEO 2026 Table 5'!$E$6:$AD$102,MATCH($B59,'AEO 2026 Table 5'!$B$6:$B$102,0),MATCH(O$1,'AEO 2026 Table 5'!$E$5:$AD$5,0))*IF($A59=1,'Data Centers'!I$53,1)</f>
        <v>6.8552000000000002E-2</v>
      </c>
      <c r="P59">
        <f>INDEX('AEO 2026 Table 5'!$E$6:$AD$102,MATCH($B59,'AEO 2026 Table 5'!$B$6:$B$102,0),MATCH(P$1,'AEO 2026 Table 5'!$E$5:$AD$5,0))*IF($A59=1,'Data Centers'!J$53,1)</f>
        <v>6.7389000000000004E-2</v>
      </c>
      <c r="Q59">
        <f>INDEX('AEO 2026 Table 5'!$E$6:$AD$102,MATCH($B59,'AEO 2026 Table 5'!$B$6:$B$102,0),MATCH(Q$1,'AEO 2026 Table 5'!$E$5:$AD$5,0))*IF($A59=1,'Data Centers'!K$53,1)</f>
        <v>6.5911999999999998E-2</v>
      </c>
      <c r="R59">
        <f>INDEX('AEO 2026 Table 5'!$E$6:$AD$102,MATCH($B59,'AEO 2026 Table 5'!$B$6:$B$102,0),MATCH(R$1,'AEO 2026 Table 5'!$E$5:$AD$5,0))*IF($A59=1,'Data Centers'!L$53,1)</f>
        <v>6.4452999999999996E-2</v>
      </c>
      <c r="S59">
        <f>INDEX('AEO 2026 Table 5'!$E$6:$AD$102,MATCH($B59,'AEO 2026 Table 5'!$B$6:$B$102,0),MATCH(S$1,'AEO 2026 Table 5'!$E$5:$AD$5,0))*IF($A59=1,'Data Centers'!M$53,1)</f>
        <v>6.3008999999999996E-2</v>
      </c>
      <c r="T59">
        <f>INDEX('AEO 2026 Table 5'!$E$6:$AD$102,MATCH($B59,'AEO 2026 Table 5'!$B$6:$B$102,0),MATCH(T$1,'AEO 2026 Table 5'!$E$5:$AD$5,0))*IF($A59=1,'Data Centers'!N$53,1)</f>
        <v>6.1670000000000003E-2</v>
      </c>
      <c r="U59">
        <f>INDEX('AEO 2026 Table 5'!$E$6:$AD$102,MATCH($B59,'AEO 2026 Table 5'!$B$6:$B$102,0),MATCH(U$1,'AEO 2026 Table 5'!$E$5:$AD$5,0))*IF($A59=1,'Data Centers'!O$53,1)</f>
        <v>6.0345999999999997E-2</v>
      </c>
      <c r="V59">
        <f>INDEX('AEO 2026 Table 5'!$E$6:$AD$102,MATCH($B59,'AEO 2026 Table 5'!$B$6:$B$102,0),MATCH(V$1,'AEO 2026 Table 5'!$E$5:$AD$5,0))*IF($A59=1,'Data Centers'!P$53,1)</f>
        <v>5.9039000000000001E-2</v>
      </c>
      <c r="W59">
        <f>INDEX('AEO 2026 Table 5'!$E$6:$AD$102,MATCH($B59,'AEO 2026 Table 5'!$B$6:$B$102,0),MATCH(W$1,'AEO 2026 Table 5'!$E$5:$AD$5,0))*IF($A59=1,'Data Centers'!Q$53,1)</f>
        <v>5.7779999999999998E-2</v>
      </c>
      <c r="X59">
        <f>INDEX('AEO 2026 Table 5'!$E$6:$AD$102,MATCH($B59,'AEO 2026 Table 5'!$B$6:$B$102,0),MATCH(X$1,'AEO 2026 Table 5'!$E$5:$AD$5,0))*IF($A59=1,'Data Centers'!R$53,1)</f>
        <v>5.6542000000000002E-2</v>
      </c>
      <c r="Y59">
        <f>INDEX('AEO 2026 Table 5'!$E$6:$AD$102,MATCH($B59,'AEO 2026 Table 5'!$B$6:$B$102,0),MATCH(Y$1,'AEO 2026 Table 5'!$E$5:$AD$5,0))*IF($A59=1,'Data Centers'!S$53,1)</f>
        <v>5.5330999999999998E-2</v>
      </c>
      <c r="Z59">
        <f>INDEX('AEO 2026 Table 5'!$E$6:$AD$102,MATCH($B59,'AEO 2026 Table 5'!$B$6:$B$102,0),MATCH(Z$1,'AEO 2026 Table 5'!$E$5:$AD$5,0))*IF($A59=1,'Data Centers'!T$53,1)</f>
        <v>5.4154000000000001E-2</v>
      </c>
      <c r="AA59">
        <f>INDEX('AEO 2026 Table 5'!$E$6:$AD$102,MATCH($B59,'AEO 2026 Table 5'!$B$6:$B$102,0),MATCH(AA$1,'AEO 2026 Table 5'!$E$5:$AD$5,0))*IF($A59=1,'Data Centers'!U$53,1)</f>
        <v>5.2975000000000001E-2</v>
      </c>
      <c r="AB59">
        <f>INDEX('AEO 2026 Table 5'!$E$6:$AD$102,MATCH($B59,'AEO 2026 Table 5'!$B$6:$B$102,0),MATCH(AB$1,'AEO 2026 Table 5'!$E$5:$AD$5,0))*IF($A59=1,'Data Centers'!V$53,1)</f>
        <v>5.1813999999999999E-2</v>
      </c>
      <c r="AC59">
        <f>INDEX('AEO 2026 Table 5'!$E$6:$AD$102,MATCH($B59,'AEO 2026 Table 5'!$B$6:$B$102,0),MATCH(AC$1,'AEO 2026 Table 5'!$E$5:$AD$5,0))*IF($A59=1,'Data Centers'!W$53,1)</f>
        <v>5.0657000000000001E-2</v>
      </c>
      <c r="AD59">
        <f>INDEX('AEO 2026 Table 5'!$E$6:$AD$102,MATCH($B59,'AEO 2026 Table 5'!$B$6:$B$102,0),MATCH(AD$1,'AEO 2026 Table 5'!$E$5:$AD$5,0))*IF($A59=1,'Data Centers'!X$53,1)</f>
        <v>4.9515999999999998E-2</v>
      </c>
      <c r="AE59">
        <f>INDEX('AEO 2026 Table 5'!$E$6:$AD$102,MATCH($B59,'AEO 2026 Table 5'!$B$6:$B$102,0),MATCH(AE$1,'AEO 2026 Table 5'!$E$5:$AD$5,0))*IF($A59=1,'Data Centers'!Y$53,1)</f>
        <v>4.8376000000000002E-2</v>
      </c>
      <c r="AF59">
        <f>INDEX('AEO 2026 Table 5'!$E$6:$AD$102,MATCH($B59,'AEO 2026 Table 5'!$B$6:$B$102,0),MATCH(AF$1,'AEO 2026 Table 5'!$E$5:$AD$5,0))*IF($A59=1,'Data Centers'!Z$53,1)</f>
        <v>4.7275999999999999E-2</v>
      </c>
      <c r="AG59">
        <f>INDEX('AEO 2026 Table 5'!$E$6:$AD$102,MATCH($B59,'AEO 2026 Table 5'!$B$6:$B$102,0),MATCH(AG$1,'AEO 2026 Table 5'!$E$5:$AD$5,0))*IF($A59=1,'Data Centers'!AA$53,1)</f>
        <v>4.6178999999999998E-2</v>
      </c>
      <c r="AH59">
        <f>INDEX('AEO 2026 Table 5'!$E$6:$AD$102,MATCH($B59,'AEO 2026 Table 5'!$B$6:$B$102,0),MATCH(AH$1,'AEO 2026 Table 5'!$E$5:$AD$5,0))*IF($A59=1,'Data Centers'!AB$53,1)</f>
        <v>4.5136000000000003E-2</v>
      </c>
    </row>
    <row r="60" spans="2:34" x14ac:dyDescent="0.25">
      <c r="B60" t="s">
        <v>132</v>
      </c>
      <c r="C60" t="s">
        <v>133</v>
      </c>
      <c r="D60" t="str">
        <f t="shared" si="1"/>
        <v>commercial-appliances-petroleum diesel (BTU)</v>
      </c>
      <c r="E60" t="s">
        <v>92</v>
      </c>
      <c r="F60" t="s">
        <v>16</v>
      </c>
      <c r="G60" s="1" t="s">
        <v>68</v>
      </c>
      <c r="H60" s="44">
        <f>INDEX('AEO 2025 Table 5'!$F$8:$AG$102,MATCH('Crosswalk AEO to EPS Summary'!$C60,'AEO 2025 Table 5'!$B$8:$B$102,0),MATCH(H$1,'AEO 2025 Table 5'!$F$5:$AG$5,0))</f>
        <v>3.7460000000000002E-3</v>
      </c>
      <c r="I60">
        <f>INDEX('AEO 2026 Table 5'!$E$6:$AD$102,MATCH($B60,'AEO 2026 Table 5'!$B$6:$B$102,0),MATCH(I$1,'AEO 2026 Table 5'!$E$5:$AD$5,0))*IF($A60=1,'Data Centers'!C$53,1)</f>
        <v>3.7680000000000001E-3</v>
      </c>
      <c r="J60">
        <f>INDEX('AEO 2026 Table 5'!$E$6:$AD$102,MATCH($B60,'AEO 2026 Table 5'!$B$6:$B$102,0),MATCH(J$1,'AEO 2026 Table 5'!$E$5:$AD$5,0))*IF($A60=1,'Data Centers'!D$53,1)</f>
        <v>3.7829999999999999E-3</v>
      </c>
      <c r="K60">
        <f>INDEX('AEO 2026 Table 5'!$E$6:$AD$102,MATCH($B60,'AEO 2026 Table 5'!$B$6:$B$102,0),MATCH(K$1,'AEO 2026 Table 5'!$E$5:$AD$5,0))*IF($A60=1,'Data Centers'!E$53,1)</f>
        <v>3.7720000000000002E-3</v>
      </c>
      <c r="L60">
        <f>INDEX('AEO 2026 Table 5'!$E$6:$AD$102,MATCH($B60,'AEO 2026 Table 5'!$B$6:$B$102,0),MATCH(L$1,'AEO 2026 Table 5'!$E$5:$AD$5,0))*IF($A60=1,'Data Centers'!F$53,1)</f>
        <v>3.7559999999999998E-3</v>
      </c>
      <c r="M60">
        <f>INDEX('AEO 2026 Table 5'!$E$6:$AD$102,MATCH($B60,'AEO 2026 Table 5'!$B$6:$B$102,0),MATCH(M$1,'AEO 2026 Table 5'!$E$5:$AD$5,0))*IF($A60=1,'Data Centers'!G$53,1)</f>
        <v>3.738E-3</v>
      </c>
      <c r="N60">
        <f>INDEX('AEO 2026 Table 5'!$E$6:$AD$102,MATCH($B60,'AEO 2026 Table 5'!$B$6:$B$102,0),MATCH(N$1,'AEO 2026 Table 5'!$E$5:$AD$5,0))*IF($A60=1,'Data Centers'!H$53,1)</f>
        <v>3.7339999999999999E-3</v>
      </c>
      <c r="O60">
        <f>INDEX('AEO 2026 Table 5'!$E$6:$AD$102,MATCH($B60,'AEO 2026 Table 5'!$B$6:$B$102,0),MATCH(O$1,'AEO 2026 Table 5'!$E$5:$AD$5,0))*IF($A60=1,'Data Centers'!I$53,1)</f>
        <v>3.7299999999999998E-3</v>
      </c>
      <c r="P60">
        <f>INDEX('AEO 2026 Table 5'!$E$6:$AD$102,MATCH($B60,'AEO 2026 Table 5'!$B$6:$B$102,0),MATCH(P$1,'AEO 2026 Table 5'!$E$5:$AD$5,0))*IF($A60=1,'Data Centers'!J$53,1)</f>
        <v>3.7100000000000002E-3</v>
      </c>
      <c r="Q60">
        <f>INDEX('AEO 2026 Table 5'!$E$6:$AD$102,MATCH($B60,'AEO 2026 Table 5'!$B$6:$B$102,0),MATCH(Q$1,'AEO 2026 Table 5'!$E$5:$AD$5,0))*IF($A60=1,'Data Centers'!K$53,1)</f>
        <v>3.6719999999999999E-3</v>
      </c>
      <c r="R60">
        <f>INDEX('AEO 2026 Table 5'!$E$6:$AD$102,MATCH($B60,'AEO 2026 Table 5'!$B$6:$B$102,0),MATCH(R$1,'AEO 2026 Table 5'!$E$5:$AD$5,0))*IF($A60=1,'Data Centers'!L$53,1)</f>
        <v>3.6359999999999999E-3</v>
      </c>
      <c r="S60">
        <f>INDEX('AEO 2026 Table 5'!$E$6:$AD$102,MATCH($B60,'AEO 2026 Table 5'!$B$6:$B$102,0),MATCH(S$1,'AEO 2026 Table 5'!$E$5:$AD$5,0))*IF($A60=1,'Data Centers'!M$53,1)</f>
        <v>3.6020000000000002E-3</v>
      </c>
      <c r="T60">
        <f>INDEX('AEO 2026 Table 5'!$E$6:$AD$102,MATCH($B60,'AEO 2026 Table 5'!$B$6:$B$102,0),MATCH(T$1,'AEO 2026 Table 5'!$E$5:$AD$5,0))*IF($A60=1,'Data Centers'!N$53,1)</f>
        <v>3.5739999999999999E-3</v>
      </c>
      <c r="U60">
        <f>INDEX('AEO 2026 Table 5'!$E$6:$AD$102,MATCH($B60,'AEO 2026 Table 5'!$B$6:$B$102,0),MATCH(U$1,'AEO 2026 Table 5'!$E$5:$AD$5,0))*IF($A60=1,'Data Centers'!O$53,1)</f>
        <v>3.5469999999999998E-3</v>
      </c>
      <c r="V60">
        <f>INDEX('AEO 2026 Table 5'!$E$6:$AD$102,MATCH($B60,'AEO 2026 Table 5'!$B$6:$B$102,0),MATCH(V$1,'AEO 2026 Table 5'!$E$5:$AD$5,0))*IF($A60=1,'Data Centers'!P$53,1)</f>
        <v>3.5209999999999998E-3</v>
      </c>
      <c r="W60">
        <f>INDEX('AEO 2026 Table 5'!$E$6:$AD$102,MATCH($B60,'AEO 2026 Table 5'!$B$6:$B$102,0),MATCH(W$1,'AEO 2026 Table 5'!$E$5:$AD$5,0))*IF($A60=1,'Data Centers'!Q$53,1)</f>
        <v>3.496E-3</v>
      </c>
      <c r="X60">
        <f>INDEX('AEO 2026 Table 5'!$E$6:$AD$102,MATCH($B60,'AEO 2026 Table 5'!$B$6:$B$102,0),MATCH(X$1,'AEO 2026 Table 5'!$E$5:$AD$5,0))*IF($A60=1,'Data Centers'!R$53,1)</f>
        <v>3.4719999999999998E-3</v>
      </c>
      <c r="Y60">
        <f>INDEX('AEO 2026 Table 5'!$E$6:$AD$102,MATCH($B60,'AEO 2026 Table 5'!$B$6:$B$102,0),MATCH(Y$1,'AEO 2026 Table 5'!$E$5:$AD$5,0))*IF($A60=1,'Data Centers'!S$53,1)</f>
        <v>3.4480000000000001E-3</v>
      </c>
      <c r="Z60">
        <f>INDEX('AEO 2026 Table 5'!$E$6:$AD$102,MATCH($B60,'AEO 2026 Table 5'!$B$6:$B$102,0),MATCH(Z$1,'AEO 2026 Table 5'!$E$5:$AD$5,0))*IF($A60=1,'Data Centers'!T$53,1)</f>
        <v>3.424E-3</v>
      </c>
      <c r="AA60">
        <f>INDEX('AEO 2026 Table 5'!$E$6:$AD$102,MATCH($B60,'AEO 2026 Table 5'!$B$6:$B$102,0),MATCH(AA$1,'AEO 2026 Table 5'!$E$5:$AD$5,0))*IF($A60=1,'Data Centers'!U$53,1)</f>
        <v>3.3999999999999998E-3</v>
      </c>
      <c r="AB60">
        <f>INDEX('AEO 2026 Table 5'!$E$6:$AD$102,MATCH($B60,'AEO 2026 Table 5'!$B$6:$B$102,0),MATCH(AB$1,'AEO 2026 Table 5'!$E$5:$AD$5,0))*IF($A60=1,'Data Centers'!V$53,1)</f>
        <v>3.3760000000000001E-3</v>
      </c>
      <c r="AC60">
        <f>INDEX('AEO 2026 Table 5'!$E$6:$AD$102,MATCH($B60,'AEO 2026 Table 5'!$B$6:$B$102,0),MATCH(AC$1,'AEO 2026 Table 5'!$E$5:$AD$5,0))*IF($A60=1,'Data Centers'!W$53,1)</f>
        <v>3.3500000000000001E-3</v>
      </c>
      <c r="AD60">
        <f>INDEX('AEO 2026 Table 5'!$E$6:$AD$102,MATCH($B60,'AEO 2026 Table 5'!$B$6:$B$102,0),MATCH(AD$1,'AEO 2026 Table 5'!$E$5:$AD$5,0))*IF($A60=1,'Data Centers'!X$53,1)</f>
        <v>3.3240000000000001E-3</v>
      </c>
      <c r="AE60">
        <f>INDEX('AEO 2026 Table 5'!$E$6:$AD$102,MATCH($B60,'AEO 2026 Table 5'!$B$6:$B$102,0),MATCH(AE$1,'AEO 2026 Table 5'!$E$5:$AD$5,0))*IF($A60=1,'Data Centers'!Y$53,1)</f>
        <v>3.2980000000000002E-3</v>
      </c>
      <c r="AF60">
        <f>INDEX('AEO 2026 Table 5'!$E$6:$AD$102,MATCH($B60,'AEO 2026 Table 5'!$B$6:$B$102,0),MATCH(AF$1,'AEO 2026 Table 5'!$E$5:$AD$5,0))*IF($A60=1,'Data Centers'!Z$53,1)</f>
        <v>3.2729999999999999E-3</v>
      </c>
      <c r="AG60">
        <f>INDEX('AEO 2026 Table 5'!$E$6:$AD$102,MATCH($B60,'AEO 2026 Table 5'!$B$6:$B$102,0),MATCH(AG$1,'AEO 2026 Table 5'!$E$5:$AD$5,0))*IF($A60=1,'Data Centers'!AA$53,1)</f>
        <v>3.2460000000000002E-3</v>
      </c>
      <c r="AH60">
        <f>INDEX('AEO 2026 Table 5'!$E$6:$AD$102,MATCH($B60,'AEO 2026 Table 5'!$B$6:$B$102,0),MATCH(AH$1,'AEO 2026 Table 5'!$E$5:$AD$5,0))*IF($A60=1,'Data Centers'!AB$53,1)</f>
        <v>3.222E-3</v>
      </c>
    </row>
    <row r="61" spans="2:34" x14ac:dyDescent="0.25">
      <c r="B61" t="s">
        <v>134</v>
      </c>
      <c r="C61" t="s">
        <v>135</v>
      </c>
      <c r="D61" t="str">
        <f t="shared" si="1"/>
        <v>commercial-other-petroleum diesel (BTU)</v>
      </c>
      <c r="E61" t="s">
        <v>92</v>
      </c>
      <c r="F61" t="s">
        <v>34</v>
      </c>
      <c r="G61" s="1" t="s">
        <v>68</v>
      </c>
      <c r="H61" s="44">
        <f>INDEX('AEO 2025 Table 5'!$F$8:$AG$102,MATCH('Crosswalk AEO to EPS Summary'!$C61,'AEO 2025 Table 5'!$B$8:$B$102,0),MATCH(H$1,'AEO 2025 Table 5'!$F$5:$AG$5,0))</f>
        <v>0.23526900000000001</v>
      </c>
      <c r="I61">
        <f>INDEX('AEO 2026 Table 5'!$E$6:$AD$102,MATCH($B61,'AEO 2026 Table 5'!$B$6:$B$102,0),MATCH(I$1,'AEO 2026 Table 5'!$E$5:$AD$5,0))*IF($A61=1,'Data Centers'!C$53,1)</f>
        <v>0.237124</v>
      </c>
      <c r="J61">
        <f>INDEX('AEO 2026 Table 5'!$E$6:$AD$102,MATCH($B61,'AEO 2026 Table 5'!$B$6:$B$102,0),MATCH(J$1,'AEO 2026 Table 5'!$E$5:$AD$5,0))*IF($A61=1,'Data Centers'!D$53,1)</f>
        <v>0.242392</v>
      </c>
      <c r="K61">
        <f>INDEX('AEO 2026 Table 5'!$E$6:$AD$102,MATCH($B61,'AEO 2026 Table 5'!$B$6:$B$102,0),MATCH(K$1,'AEO 2026 Table 5'!$E$5:$AD$5,0))*IF($A61=1,'Data Centers'!E$53,1)</f>
        <v>0.25052600000000003</v>
      </c>
      <c r="L61">
        <f>INDEX('AEO 2026 Table 5'!$E$6:$AD$102,MATCH($B61,'AEO 2026 Table 5'!$B$6:$B$102,0),MATCH(L$1,'AEO 2026 Table 5'!$E$5:$AD$5,0))*IF($A61=1,'Data Centers'!F$53,1)</f>
        <v>0.25241000000000002</v>
      </c>
      <c r="M61">
        <f>INDEX('AEO 2026 Table 5'!$E$6:$AD$102,MATCH($B61,'AEO 2026 Table 5'!$B$6:$B$102,0),MATCH(M$1,'AEO 2026 Table 5'!$E$5:$AD$5,0))*IF($A61=1,'Data Centers'!G$53,1)</f>
        <v>0.25394099999999997</v>
      </c>
      <c r="N61">
        <f>INDEX('AEO 2026 Table 5'!$E$6:$AD$102,MATCH($B61,'AEO 2026 Table 5'!$B$6:$B$102,0),MATCH(N$1,'AEO 2026 Table 5'!$E$5:$AD$5,0))*IF($A61=1,'Data Centers'!H$53,1)</f>
        <v>0.256359</v>
      </c>
      <c r="O61">
        <f>INDEX('AEO 2026 Table 5'!$E$6:$AD$102,MATCH($B61,'AEO 2026 Table 5'!$B$6:$B$102,0),MATCH(O$1,'AEO 2026 Table 5'!$E$5:$AD$5,0))*IF($A61=1,'Data Centers'!I$53,1)</f>
        <v>0.25846799999999998</v>
      </c>
      <c r="P61">
        <f>INDEX('AEO 2026 Table 5'!$E$6:$AD$102,MATCH($B61,'AEO 2026 Table 5'!$B$6:$B$102,0),MATCH(P$1,'AEO 2026 Table 5'!$E$5:$AD$5,0))*IF($A61=1,'Data Centers'!J$53,1)</f>
        <v>0.25921899999999998</v>
      </c>
      <c r="Q61">
        <f>INDEX('AEO 2026 Table 5'!$E$6:$AD$102,MATCH($B61,'AEO 2026 Table 5'!$B$6:$B$102,0),MATCH(Q$1,'AEO 2026 Table 5'!$E$5:$AD$5,0))*IF($A61=1,'Data Centers'!K$53,1)</f>
        <v>0.258164</v>
      </c>
      <c r="R61">
        <f>INDEX('AEO 2026 Table 5'!$E$6:$AD$102,MATCH($B61,'AEO 2026 Table 5'!$B$6:$B$102,0),MATCH(R$1,'AEO 2026 Table 5'!$E$5:$AD$5,0))*IF($A61=1,'Data Centers'!L$53,1)</f>
        <v>0.257158</v>
      </c>
      <c r="S61">
        <f>INDEX('AEO 2026 Table 5'!$E$6:$AD$102,MATCH($B61,'AEO 2026 Table 5'!$B$6:$B$102,0),MATCH(S$1,'AEO 2026 Table 5'!$E$5:$AD$5,0))*IF($A61=1,'Data Centers'!M$53,1)</f>
        <v>0.256193</v>
      </c>
      <c r="T61">
        <f>INDEX('AEO 2026 Table 5'!$E$6:$AD$102,MATCH($B61,'AEO 2026 Table 5'!$B$6:$B$102,0),MATCH(T$1,'AEO 2026 Table 5'!$E$5:$AD$5,0))*IF($A61=1,'Data Centers'!N$53,1)</f>
        <v>0.25562600000000002</v>
      </c>
      <c r="U61">
        <f>INDEX('AEO 2026 Table 5'!$E$6:$AD$102,MATCH($B61,'AEO 2026 Table 5'!$B$6:$B$102,0),MATCH(U$1,'AEO 2026 Table 5'!$E$5:$AD$5,0))*IF($A61=1,'Data Centers'!O$53,1)</f>
        <v>0.25496200000000002</v>
      </c>
      <c r="V61">
        <f>INDEX('AEO 2026 Table 5'!$E$6:$AD$102,MATCH($B61,'AEO 2026 Table 5'!$B$6:$B$102,0),MATCH(V$1,'AEO 2026 Table 5'!$E$5:$AD$5,0))*IF($A61=1,'Data Centers'!P$53,1)</f>
        <v>0.25428000000000001</v>
      </c>
      <c r="W61">
        <f>INDEX('AEO 2026 Table 5'!$E$6:$AD$102,MATCH($B61,'AEO 2026 Table 5'!$B$6:$B$102,0),MATCH(W$1,'AEO 2026 Table 5'!$E$5:$AD$5,0))*IF($A61=1,'Data Centers'!Q$53,1)</f>
        <v>0.25374799999999997</v>
      </c>
      <c r="X61">
        <f>INDEX('AEO 2026 Table 5'!$E$6:$AD$102,MATCH($B61,'AEO 2026 Table 5'!$B$6:$B$102,0),MATCH(X$1,'AEO 2026 Table 5'!$E$5:$AD$5,0))*IF($A61=1,'Data Centers'!R$53,1)</f>
        <v>0.25328899999999999</v>
      </c>
      <c r="Y61">
        <f>INDEX('AEO 2026 Table 5'!$E$6:$AD$102,MATCH($B61,'AEO 2026 Table 5'!$B$6:$B$102,0),MATCH(Y$1,'AEO 2026 Table 5'!$E$5:$AD$5,0))*IF($A61=1,'Data Centers'!S$53,1)</f>
        <v>0.25278</v>
      </c>
      <c r="Z61">
        <f>INDEX('AEO 2026 Table 5'!$E$6:$AD$102,MATCH($B61,'AEO 2026 Table 5'!$B$6:$B$102,0),MATCH(Z$1,'AEO 2026 Table 5'!$E$5:$AD$5,0))*IF($A61=1,'Data Centers'!T$53,1)</f>
        <v>0.25230599999999997</v>
      </c>
      <c r="AA61">
        <f>INDEX('AEO 2026 Table 5'!$E$6:$AD$102,MATCH($B61,'AEO 2026 Table 5'!$B$6:$B$102,0),MATCH(AA$1,'AEO 2026 Table 5'!$E$5:$AD$5,0))*IF($A61=1,'Data Centers'!U$53,1)</f>
        <v>0.251799</v>
      </c>
      <c r="AB61">
        <f>INDEX('AEO 2026 Table 5'!$E$6:$AD$102,MATCH($B61,'AEO 2026 Table 5'!$B$6:$B$102,0),MATCH(AB$1,'AEO 2026 Table 5'!$E$5:$AD$5,0))*IF($A61=1,'Data Centers'!V$53,1)</f>
        <v>0.25126500000000002</v>
      </c>
      <c r="AC61">
        <f>INDEX('AEO 2026 Table 5'!$E$6:$AD$102,MATCH($B61,'AEO 2026 Table 5'!$B$6:$B$102,0),MATCH(AC$1,'AEO 2026 Table 5'!$E$5:$AD$5,0))*IF($A61=1,'Data Centers'!W$53,1)</f>
        <v>0.25063000000000002</v>
      </c>
      <c r="AD61">
        <f>INDEX('AEO 2026 Table 5'!$E$6:$AD$102,MATCH($B61,'AEO 2026 Table 5'!$B$6:$B$102,0),MATCH(AD$1,'AEO 2026 Table 5'!$E$5:$AD$5,0))*IF($A61=1,'Data Centers'!X$53,1)</f>
        <v>0.24996199999999999</v>
      </c>
      <c r="AE61">
        <f>INDEX('AEO 2026 Table 5'!$E$6:$AD$102,MATCH($B61,'AEO 2026 Table 5'!$B$6:$B$102,0),MATCH(AE$1,'AEO 2026 Table 5'!$E$5:$AD$5,0))*IF($A61=1,'Data Centers'!Y$53,1)</f>
        <v>0.249195</v>
      </c>
      <c r="AF61">
        <f>INDEX('AEO 2026 Table 5'!$E$6:$AD$102,MATCH($B61,'AEO 2026 Table 5'!$B$6:$B$102,0),MATCH(AF$1,'AEO 2026 Table 5'!$E$5:$AD$5,0))*IF($A61=1,'Data Centers'!Z$53,1)</f>
        <v>0.248498</v>
      </c>
      <c r="AG61">
        <f>INDEX('AEO 2026 Table 5'!$E$6:$AD$102,MATCH($B61,'AEO 2026 Table 5'!$B$6:$B$102,0),MATCH(AG$1,'AEO 2026 Table 5'!$E$5:$AD$5,0))*IF($A61=1,'Data Centers'!AA$53,1)</f>
        <v>0.247697</v>
      </c>
      <c r="AH61">
        <f>INDEX('AEO 2026 Table 5'!$E$6:$AD$102,MATCH($B61,'AEO 2026 Table 5'!$B$6:$B$102,0),MATCH(AH$1,'AEO 2026 Table 5'!$E$5:$AD$5,0))*IF($A61=1,'Data Centers'!AB$53,1)</f>
        <v>0.24707599999999999</v>
      </c>
    </row>
    <row r="62" spans="2:34" x14ac:dyDescent="0.25">
      <c r="B62" t="s">
        <v>136</v>
      </c>
      <c r="C62" t="s">
        <v>137</v>
      </c>
      <c r="D62" t="str">
        <f t="shared" si="1"/>
        <v>commercial-total-petroleum diesel (BTU)</v>
      </c>
      <c r="E62" t="s">
        <v>92</v>
      </c>
      <c r="F62" t="s">
        <v>43</v>
      </c>
      <c r="G62" s="1" t="s">
        <v>68</v>
      </c>
      <c r="H62" s="44">
        <f>INDEX('AEO 2025 Table 5'!$F$8:$AG$102,MATCH('Crosswalk AEO to EPS Summary'!$C62,'AEO 2025 Table 5'!$B$8:$B$102,0),MATCH(H$1,'AEO 2025 Table 5'!$F$5:$AG$5,0))</f>
        <v>0.308284</v>
      </c>
      <c r="I62">
        <f>INDEX('AEO 2026 Table 5'!$E$6:$AD$102,MATCH($B62,'AEO 2026 Table 5'!$B$6:$B$102,0),MATCH(I$1,'AEO 2026 Table 5'!$E$5:$AD$5,0))*IF($A62=1,'Data Centers'!C$53,1)</f>
        <v>0.31541999999999998</v>
      </c>
      <c r="J62">
        <f>INDEX('AEO 2026 Table 5'!$E$6:$AD$102,MATCH($B62,'AEO 2026 Table 5'!$B$6:$B$102,0),MATCH(J$1,'AEO 2026 Table 5'!$E$5:$AD$5,0))*IF($A62=1,'Data Centers'!D$53,1)</f>
        <v>0.31898799999999999</v>
      </c>
      <c r="K62">
        <f>INDEX('AEO 2026 Table 5'!$E$6:$AD$102,MATCH($B62,'AEO 2026 Table 5'!$B$6:$B$102,0),MATCH(K$1,'AEO 2026 Table 5'!$E$5:$AD$5,0))*IF($A62=1,'Data Centers'!E$53,1)</f>
        <v>0.32644600000000001</v>
      </c>
      <c r="L62">
        <f>INDEX('AEO 2026 Table 5'!$E$6:$AD$102,MATCH($B62,'AEO 2026 Table 5'!$B$6:$B$102,0),MATCH(L$1,'AEO 2026 Table 5'!$E$5:$AD$5,0))*IF($A62=1,'Data Centers'!F$53,1)</f>
        <v>0.32749499999999998</v>
      </c>
      <c r="M62">
        <f>INDEX('AEO 2026 Table 5'!$E$6:$AD$102,MATCH($B62,'AEO 2026 Table 5'!$B$6:$B$102,0),MATCH(M$1,'AEO 2026 Table 5'!$E$5:$AD$5,0))*IF($A62=1,'Data Centers'!G$53,1)</f>
        <v>0.32791799999999999</v>
      </c>
      <c r="N62">
        <f>INDEX('AEO 2026 Table 5'!$E$6:$AD$102,MATCH($B62,'AEO 2026 Table 5'!$B$6:$B$102,0),MATCH(N$1,'AEO 2026 Table 5'!$E$5:$AD$5,0))*IF($A62=1,'Data Centers'!H$53,1)</f>
        <v>0.329482</v>
      </c>
      <c r="O62">
        <f>INDEX('AEO 2026 Table 5'!$E$6:$AD$102,MATCH($B62,'AEO 2026 Table 5'!$B$6:$B$102,0),MATCH(O$1,'AEO 2026 Table 5'!$E$5:$AD$5,0))*IF($A62=1,'Data Centers'!I$53,1)</f>
        <v>0.33074900000000002</v>
      </c>
      <c r="P62">
        <f>INDEX('AEO 2026 Table 5'!$E$6:$AD$102,MATCH($B62,'AEO 2026 Table 5'!$B$6:$B$102,0),MATCH(P$1,'AEO 2026 Table 5'!$E$5:$AD$5,0))*IF($A62=1,'Data Centers'!J$53,1)</f>
        <v>0.33031700000000003</v>
      </c>
      <c r="Q62">
        <f>INDEX('AEO 2026 Table 5'!$E$6:$AD$102,MATCH($B62,'AEO 2026 Table 5'!$B$6:$B$102,0),MATCH(Q$1,'AEO 2026 Table 5'!$E$5:$AD$5,0))*IF($A62=1,'Data Centers'!K$53,1)</f>
        <v>0.32774799999999998</v>
      </c>
      <c r="R62">
        <f>INDEX('AEO 2026 Table 5'!$E$6:$AD$102,MATCH($B62,'AEO 2026 Table 5'!$B$6:$B$102,0),MATCH(R$1,'AEO 2026 Table 5'!$E$5:$AD$5,0))*IF($A62=1,'Data Centers'!L$53,1)</f>
        <v>0.32524599999999998</v>
      </c>
      <c r="S62">
        <f>INDEX('AEO 2026 Table 5'!$E$6:$AD$102,MATCH($B62,'AEO 2026 Table 5'!$B$6:$B$102,0),MATCH(S$1,'AEO 2026 Table 5'!$E$5:$AD$5,0))*IF($A62=1,'Data Centers'!M$53,1)</f>
        <v>0.32280300000000001</v>
      </c>
      <c r="T62">
        <f>INDEX('AEO 2026 Table 5'!$E$6:$AD$102,MATCH($B62,'AEO 2026 Table 5'!$B$6:$B$102,0),MATCH(T$1,'AEO 2026 Table 5'!$E$5:$AD$5,0))*IF($A62=1,'Data Centers'!N$53,1)</f>
        <v>0.32086999999999999</v>
      </c>
      <c r="U62">
        <f>INDEX('AEO 2026 Table 5'!$E$6:$AD$102,MATCH($B62,'AEO 2026 Table 5'!$B$6:$B$102,0),MATCH(U$1,'AEO 2026 Table 5'!$E$5:$AD$5,0))*IF($A62=1,'Data Centers'!O$53,1)</f>
        <v>0.31885599999999997</v>
      </c>
      <c r="V62">
        <f>INDEX('AEO 2026 Table 5'!$E$6:$AD$102,MATCH($B62,'AEO 2026 Table 5'!$B$6:$B$102,0),MATCH(V$1,'AEO 2026 Table 5'!$E$5:$AD$5,0))*IF($A62=1,'Data Centers'!P$53,1)</f>
        <v>0.31683899999999998</v>
      </c>
      <c r="W62">
        <f>INDEX('AEO 2026 Table 5'!$E$6:$AD$102,MATCH($B62,'AEO 2026 Table 5'!$B$6:$B$102,0),MATCH(W$1,'AEO 2026 Table 5'!$E$5:$AD$5,0))*IF($A62=1,'Data Centers'!Q$53,1)</f>
        <v>0.31502400000000003</v>
      </c>
      <c r="X62">
        <f>INDEX('AEO 2026 Table 5'!$E$6:$AD$102,MATCH($B62,'AEO 2026 Table 5'!$B$6:$B$102,0),MATCH(X$1,'AEO 2026 Table 5'!$E$5:$AD$5,0))*IF($A62=1,'Data Centers'!R$53,1)</f>
        <v>0.31330200000000002</v>
      </c>
      <c r="Y62">
        <f>INDEX('AEO 2026 Table 5'!$E$6:$AD$102,MATCH($B62,'AEO 2026 Table 5'!$B$6:$B$102,0),MATCH(Y$1,'AEO 2026 Table 5'!$E$5:$AD$5,0))*IF($A62=1,'Data Centers'!S$53,1)</f>
        <v>0.31156</v>
      </c>
      <c r="Z62">
        <f>INDEX('AEO 2026 Table 5'!$E$6:$AD$102,MATCH($B62,'AEO 2026 Table 5'!$B$6:$B$102,0),MATCH(Z$1,'AEO 2026 Table 5'!$E$5:$AD$5,0))*IF($A62=1,'Data Centers'!T$53,1)</f>
        <v>0.30988500000000002</v>
      </c>
      <c r="AA62">
        <f>INDEX('AEO 2026 Table 5'!$E$6:$AD$102,MATCH($B62,'AEO 2026 Table 5'!$B$6:$B$102,0),MATCH(AA$1,'AEO 2026 Table 5'!$E$5:$AD$5,0))*IF($A62=1,'Data Centers'!U$53,1)</f>
        <v>0.308174</v>
      </c>
      <c r="AB62">
        <f>INDEX('AEO 2026 Table 5'!$E$6:$AD$102,MATCH($B62,'AEO 2026 Table 5'!$B$6:$B$102,0),MATCH(AB$1,'AEO 2026 Table 5'!$E$5:$AD$5,0))*IF($A62=1,'Data Centers'!V$53,1)</f>
        <v>0.30645499999999998</v>
      </c>
      <c r="AC62">
        <f>INDEX('AEO 2026 Table 5'!$E$6:$AD$102,MATCH($B62,'AEO 2026 Table 5'!$B$6:$B$102,0),MATCH(AC$1,'AEO 2026 Table 5'!$E$5:$AD$5,0))*IF($A62=1,'Data Centers'!W$53,1)</f>
        <v>0.30463699999999999</v>
      </c>
      <c r="AD62">
        <f>INDEX('AEO 2026 Table 5'!$E$6:$AD$102,MATCH($B62,'AEO 2026 Table 5'!$B$6:$B$102,0),MATCH(AD$1,'AEO 2026 Table 5'!$E$5:$AD$5,0))*IF($A62=1,'Data Centers'!X$53,1)</f>
        <v>0.30280200000000002</v>
      </c>
      <c r="AE62">
        <f>INDEX('AEO 2026 Table 5'!$E$6:$AD$102,MATCH($B62,'AEO 2026 Table 5'!$B$6:$B$102,0),MATCH(AE$1,'AEO 2026 Table 5'!$E$5:$AD$5,0))*IF($A62=1,'Data Centers'!Y$53,1)</f>
        <v>0.300869</v>
      </c>
      <c r="AF62">
        <f>INDEX('AEO 2026 Table 5'!$E$6:$AD$102,MATCH($B62,'AEO 2026 Table 5'!$B$6:$B$102,0),MATCH(AF$1,'AEO 2026 Table 5'!$E$5:$AD$5,0))*IF($A62=1,'Data Centers'!Z$53,1)</f>
        <v>0.29904700000000001</v>
      </c>
      <c r="AG62">
        <f>INDEX('AEO 2026 Table 5'!$E$6:$AD$102,MATCH($B62,'AEO 2026 Table 5'!$B$6:$B$102,0),MATCH(AG$1,'AEO 2026 Table 5'!$E$5:$AD$5,0))*IF($A62=1,'Data Centers'!AA$53,1)</f>
        <v>0.297122</v>
      </c>
      <c r="AH62">
        <f>INDEX('AEO 2026 Table 5'!$E$6:$AD$102,MATCH($B62,'AEO 2026 Table 5'!$B$6:$B$102,0),MATCH(AH$1,'AEO 2026 Table 5'!$E$5:$AD$5,0))*IF($A62=1,'Data Centers'!AB$53,1)</f>
        <v>0.295435</v>
      </c>
    </row>
    <row r="63" spans="2:34" x14ac:dyDescent="0.25">
      <c r="B63" t="s">
        <v>138</v>
      </c>
      <c r="C63" t="s">
        <v>139</v>
      </c>
      <c r="D63" t="str">
        <f t="shared" si="1"/>
        <v>commercial-heating-biomass (BTU)</v>
      </c>
      <c r="E63" t="s">
        <v>92</v>
      </c>
      <c r="F63" t="s">
        <v>9</v>
      </c>
      <c r="G63" s="1" t="s">
        <v>88</v>
      </c>
      <c r="H63" s="44">
        <f>INDEX('AEO 2025 Table 5'!$F$8:$AG$102,MATCH('Crosswalk AEO to EPS Summary'!$C63,'AEO 2025 Table 5'!$B$8:$B$102,0),MATCH(H$1,'AEO 2025 Table 5'!$F$5:$AG$5,0))</f>
        <v>0.15810399999999999</v>
      </c>
      <c r="I63">
        <f>INDEX('AEO 2026 Table 5'!$E$6:$AD$102,MATCH($B63,'AEO 2026 Table 5'!$B$6:$B$102,0),MATCH(I$1,'AEO 2026 Table 5'!$E$5:$AD$5,0))*IF($A63=1,'Data Centers'!C$53,1)</f>
        <v>0.143682</v>
      </c>
      <c r="J63">
        <f>INDEX('AEO 2026 Table 5'!$E$6:$AD$102,MATCH($B63,'AEO 2026 Table 5'!$B$6:$B$102,0),MATCH(J$1,'AEO 2026 Table 5'!$E$5:$AD$5,0))*IF($A63=1,'Data Centers'!D$53,1)</f>
        <v>0.143682</v>
      </c>
      <c r="K63">
        <f>INDEX('AEO 2026 Table 5'!$E$6:$AD$102,MATCH($B63,'AEO 2026 Table 5'!$B$6:$B$102,0),MATCH(K$1,'AEO 2026 Table 5'!$E$5:$AD$5,0))*IF($A63=1,'Data Centers'!E$53,1)</f>
        <v>0.143682</v>
      </c>
      <c r="L63">
        <f>INDEX('AEO 2026 Table 5'!$E$6:$AD$102,MATCH($B63,'AEO 2026 Table 5'!$B$6:$B$102,0),MATCH(L$1,'AEO 2026 Table 5'!$E$5:$AD$5,0))*IF($A63=1,'Data Centers'!F$53,1)</f>
        <v>0.143682</v>
      </c>
      <c r="M63">
        <f>INDEX('AEO 2026 Table 5'!$E$6:$AD$102,MATCH($B63,'AEO 2026 Table 5'!$B$6:$B$102,0),MATCH(M$1,'AEO 2026 Table 5'!$E$5:$AD$5,0))*IF($A63=1,'Data Centers'!G$53,1)</f>
        <v>0.143682</v>
      </c>
      <c r="N63">
        <f>INDEX('AEO 2026 Table 5'!$E$6:$AD$102,MATCH($B63,'AEO 2026 Table 5'!$B$6:$B$102,0),MATCH(N$1,'AEO 2026 Table 5'!$E$5:$AD$5,0))*IF($A63=1,'Data Centers'!H$53,1)</f>
        <v>0.143682</v>
      </c>
      <c r="O63">
        <f>INDEX('AEO 2026 Table 5'!$E$6:$AD$102,MATCH($B63,'AEO 2026 Table 5'!$B$6:$B$102,0),MATCH(O$1,'AEO 2026 Table 5'!$E$5:$AD$5,0))*IF($A63=1,'Data Centers'!I$53,1)</f>
        <v>0.143682</v>
      </c>
      <c r="P63">
        <f>INDEX('AEO 2026 Table 5'!$E$6:$AD$102,MATCH($B63,'AEO 2026 Table 5'!$B$6:$B$102,0),MATCH(P$1,'AEO 2026 Table 5'!$E$5:$AD$5,0))*IF($A63=1,'Data Centers'!J$53,1)</f>
        <v>0.143682</v>
      </c>
      <c r="Q63">
        <f>INDEX('AEO 2026 Table 5'!$E$6:$AD$102,MATCH($B63,'AEO 2026 Table 5'!$B$6:$B$102,0),MATCH(Q$1,'AEO 2026 Table 5'!$E$5:$AD$5,0))*IF($A63=1,'Data Centers'!K$53,1)</f>
        <v>0.143682</v>
      </c>
      <c r="R63">
        <f>INDEX('AEO 2026 Table 5'!$E$6:$AD$102,MATCH($B63,'AEO 2026 Table 5'!$B$6:$B$102,0),MATCH(R$1,'AEO 2026 Table 5'!$E$5:$AD$5,0))*IF($A63=1,'Data Centers'!L$53,1)</f>
        <v>0.143682</v>
      </c>
      <c r="S63">
        <f>INDEX('AEO 2026 Table 5'!$E$6:$AD$102,MATCH($B63,'AEO 2026 Table 5'!$B$6:$B$102,0),MATCH(S$1,'AEO 2026 Table 5'!$E$5:$AD$5,0))*IF($A63=1,'Data Centers'!M$53,1)</f>
        <v>0.143682</v>
      </c>
      <c r="T63">
        <f>INDEX('AEO 2026 Table 5'!$E$6:$AD$102,MATCH($B63,'AEO 2026 Table 5'!$B$6:$B$102,0),MATCH(T$1,'AEO 2026 Table 5'!$E$5:$AD$5,0))*IF($A63=1,'Data Centers'!N$53,1)</f>
        <v>0.143682</v>
      </c>
      <c r="U63">
        <f>INDEX('AEO 2026 Table 5'!$E$6:$AD$102,MATCH($B63,'AEO 2026 Table 5'!$B$6:$B$102,0),MATCH(U$1,'AEO 2026 Table 5'!$E$5:$AD$5,0))*IF($A63=1,'Data Centers'!O$53,1)</f>
        <v>0.143682</v>
      </c>
      <c r="V63">
        <f>INDEX('AEO 2026 Table 5'!$E$6:$AD$102,MATCH($B63,'AEO 2026 Table 5'!$B$6:$B$102,0),MATCH(V$1,'AEO 2026 Table 5'!$E$5:$AD$5,0))*IF($A63=1,'Data Centers'!P$53,1)</f>
        <v>0.143682</v>
      </c>
      <c r="W63">
        <f>INDEX('AEO 2026 Table 5'!$E$6:$AD$102,MATCH($B63,'AEO 2026 Table 5'!$B$6:$B$102,0),MATCH(W$1,'AEO 2026 Table 5'!$E$5:$AD$5,0))*IF($A63=1,'Data Centers'!Q$53,1)</f>
        <v>0.143682</v>
      </c>
      <c r="X63">
        <f>INDEX('AEO 2026 Table 5'!$E$6:$AD$102,MATCH($B63,'AEO 2026 Table 5'!$B$6:$B$102,0),MATCH(X$1,'AEO 2026 Table 5'!$E$5:$AD$5,0))*IF($A63=1,'Data Centers'!R$53,1)</f>
        <v>0.143682</v>
      </c>
      <c r="Y63">
        <f>INDEX('AEO 2026 Table 5'!$E$6:$AD$102,MATCH($B63,'AEO 2026 Table 5'!$B$6:$B$102,0),MATCH(Y$1,'AEO 2026 Table 5'!$E$5:$AD$5,0))*IF($A63=1,'Data Centers'!S$53,1)</f>
        <v>0.143682</v>
      </c>
      <c r="Z63">
        <f>INDEX('AEO 2026 Table 5'!$E$6:$AD$102,MATCH($B63,'AEO 2026 Table 5'!$B$6:$B$102,0),MATCH(Z$1,'AEO 2026 Table 5'!$E$5:$AD$5,0))*IF($A63=1,'Data Centers'!T$53,1)</f>
        <v>0.143682</v>
      </c>
      <c r="AA63">
        <f>INDEX('AEO 2026 Table 5'!$E$6:$AD$102,MATCH($B63,'AEO 2026 Table 5'!$B$6:$B$102,0),MATCH(AA$1,'AEO 2026 Table 5'!$E$5:$AD$5,0))*IF($A63=1,'Data Centers'!U$53,1)</f>
        <v>0.143682</v>
      </c>
      <c r="AB63">
        <f>INDEX('AEO 2026 Table 5'!$E$6:$AD$102,MATCH($B63,'AEO 2026 Table 5'!$B$6:$B$102,0),MATCH(AB$1,'AEO 2026 Table 5'!$E$5:$AD$5,0))*IF($A63=1,'Data Centers'!V$53,1)</f>
        <v>0.143682</v>
      </c>
      <c r="AC63">
        <f>INDEX('AEO 2026 Table 5'!$E$6:$AD$102,MATCH($B63,'AEO 2026 Table 5'!$B$6:$B$102,0),MATCH(AC$1,'AEO 2026 Table 5'!$E$5:$AD$5,0))*IF($A63=1,'Data Centers'!W$53,1)</f>
        <v>0.143682</v>
      </c>
      <c r="AD63">
        <f>INDEX('AEO 2026 Table 5'!$E$6:$AD$102,MATCH($B63,'AEO 2026 Table 5'!$B$6:$B$102,0),MATCH(AD$1,'AEO 2026 Table 5'!$E$5:$AD$5,0))*IF($A63=1,'Data Centers'!X$53,1)</f>
        <v>0.143682</v>
      </c>
      <c r="AE63">
        <f>INDEX('AEO 2026 Table 5'!$E$6:$AD$102,MATCH($B63,'AEO 2026 Table 5'!$B$6:$B$102,0),MATCH(AE$1,'AEO 2026 Table 5'!$E$5:$AD$5,0))*IF($A63=1,'Data Centers'!Y$53,1)</f>
        <v>0.143682</v>
      </c>
      <c r="AF63">
        <f>INDEX('AEO 2026 Table 5'!$E$6:$AD$102,MATCH($B63,'AEO 2026 Table 5'!$B$6:$B$102,0),MATCH(AF$1,'AEO 2026 Table 5'!$E$5:$AD$5,0))*IF($A63=1,'Data Centers'!Z$53,1)</f>
        <v>0.143682</v>
      </c>
      <c r="AG63">
        <f>INDEX('AEO 2026 Table 5'!$E$6:$AD$102,MATCH($B63,'AEO 2026 Table 5'!$B$6:$B$102,0),MATCH(AG$1,'AEO 2026 Table 5'!$E$5:$AD$5,0))*IF($A63=1,'Data Centers'!AA$53,1)</f>
        <v>0.143682</v>
      </c>
      <c r="AH63">
        <f>INDEX('AEO 2026 Table 5'!$E$6:$AD$102,MATCH($B63,'AEO 2026 Table 5'!$B$6:$B$102,0),MATCH(AH$1,'AEO 2026 Table 5'!$E$5:$AD$5,0))*IF($A63=1,'Data Centers'!AB$53,1)</f>
        <v>0.143682</v>
      </c>
    </row>
    <row r="64" spans="2:34" x14ac:dyDescent="0.25">
      <c r="B64" t="s">
        <v>140</v>
      </c>
      <c r="C64" t="s">
        <v>141</v>
      </c>
      <c r="D64" t="str">
        <f t="shared" si="1"/>
        <v>commercial-other-LPG propane or butane (BTU)</v>
      </c>
      <c r="E64" t="s">
        <v>92</v>
      </c>
      <c r="F64" t="s">
        <v>34</v>
      </c>
      <c r="G64" s="1" t="s">
        <v>77</v>
      </c>
      <c r="H64" s="44">
        <f>INDEX('AEO 2025 Table 5'!$F$8:$AG$102,MATCH('Crosswalk AEO to EPS Summary'!$C64,'AEO 2025 Table 5'!$B$8:$B$102,0),MATCH(H$1,'AEO 2025 Table 5'!$F$5:$AG$5,0))</f>
        <v>0.65341099999999996</v>
      </c>
      <c r="I64">
        <f>INDEX('AEO 2026 Table 5'!$E$6:$AD$102,MATCH($B64,'AEO 2026 Table 5'!$B$6:$B$102,0),MATCH(I$1,'AEO 2026 Table 5'!$E$5:$AD$5,0))*IF($A64=1,'Data Centers'!C$53,1)</f>
        <v>0.64804899999999999</v>
      </c>
      <c r="J64">
        <f>INDEX('AEO 2026 Table 5'!$E$6:$AD$102,MATCH($B64,'AEO 2026 Table 5'!$B$6:$B$102,0),MATCH(J$1,'AEO 2026 Table 5'!$E$5:$AD$5,0))*IF($A64=1,'Data Centers'!D$53,1)</f>
        <v>0.66109399999999996</v>
      </c>
      <c r="K64">
        <f>INDEX('AEO 2026 Table 5'!$E$6:$AD$102,MATCH($B64,'AEO 2026 Table 5'!$B$6:$B$102,0),MATCH(K$1,'AEO 2026 Table 5'!$E$5:$AD$5,0))*IF($A64=1,'Data Centers'!E$53,1)</f>
        <v>0.66815899999999995</v>
      </c>
      <c r="L64">
        <f>INDEX('AEO 2026 Table 5'!$E$6:$AD$102,MATCH($B64,'AEO 2026 Table 5'!$B$6:$B$102,0),MATCH(L$1,'AEO 2026 Table 5'!$E$5:$AD$5,0))*IF($A64=1,'Data Centers'!F$53,1)</f>
        <v>0.67530999999999997</v>
      </c>
      <c r="M64">
        <f>INDEX('AEO 2026 Table 5'!$E$6:$AD$102,MATCH($B64,'AEO 2026 Table 5'!$B$6:$B$102,0),MATCH(M$1,'AEO 2026 Table 5'!$E$5:$AD$5,0))*IF($A64=1,'Data Centers'!G$53,1)</f>
        <v>0.68251499999999998</v>
      </c>
      <c r="N64">
        <f>INDEX('AEO 2026 Table 5'!$E$6:$AD$102,MATCH($B64,'AEO 2026 Table 5'!$B$6:$B$102,0),MATCH(N$1,'AEO 2026 Table 5'!$E$5:$AD$5,0))*IF($A64=1,'Data Centers'!H$53,1)</f>
        <v>0.69058600000000003</v>
      </c>
      <c r="O64">
        <f>INDEX('AEO 2026 Table 5'!$E$6:$AD$102,MATCH($B64,'AEO 2026 Table 5'!$B$6:$B$102,0),MATCH(O$1,'AEO 2026 Table 5'!$E$5:$AD$5,0))*IF($A64=1,'Data Centers'!I$53,1)</f>
        <v>0.69791700000000001</v>
      </c>
      <c r="P64">
        <f>INDEX('AEO 2026 Table 5'!$E$6:$AD$102,MATCH($B64,'AEO 2026 Table 5'!$B$6:$B$102,0),MATCH(P$1,'AEO 2026 Table 5'!$E$5:$AD$5,0))*IF($A64=1,'Data Centers'!J$53,1)</f>
        <v>0.705951</v>
      </c>
      <c r="Q64">
        <f>INDEX('AEO 2026 Table 5'!$E$6:$AD$102,MATCH($B64,'AEO 2026 Table 5'!$B$6:$B$102,0),MATCH(Q$1,'AEO 2026 Table 5'!$E$5:$AD$5,0))*IF($A64=1,'Data Centers'!K$53,1)</f>
        <v>0.71397100000000002</v>
      </c>
      <c r="R64">
        <f>INDEX('AEO 2026 Table 5'!$E$6:$AD$102,MATCH($B64,'AEO 2026 Table 5'!$B$6:$B$102,0),MATCH(R$1,'AEO 2026 Table 5'!$E$5:$AD$5,0))*IF($A64=1,'Data Centers'!L$53,1)</f>
        <v>0.72265699999999999</v>
      </c>
      <c r="S64">
        <f>INDEX('AEO 2026 Table 5'!$E$6:$AD$102,MATCH($B64,'AEO 2026 Table 5'!$B$6:$B$102,0),MATCH(S$1,'AEO 2026 Table 5'!$E$5:$AD$5,0))*IF($A64=1,'Data Centers'!M$53,1)</f>
        <v>0.73133000000000004</v>
      </c>
      <c r="T64">
        <f>INDEX('AEO 2026 Table 5'!$E$6:$AD$102,MATCH($B64,'AEO 2026 Table 5'!$B$6:$B$102,0),MATCH(T$1,'AEO 2026 Table 5'!$E$5:$AD$5,0))*IF($A64=1,'Data Centers'!N$53,1)</f>
        <v>0.74053500000000005</v>
      </c>
      <c r="U64">
        <f>INDEX('AEO 2026 Table 5'!$E$6:$AD$102,MATCH($B64,'AEO 2026 Table 5'!$B$6:$B$102,0),MATCH(U$1,'AEO 2026 Table 5'!$E$5:$AD$5,0))*IF($A64=1,'Data Centers'!O$53,1)</f>
        <v>0.74982300000000002</v>
      </c>
      <c r="V64">
        <f>INDEX('AEO 2026 Table 5'!$E$6:$AD$102,MATCH($B64,'AEO 2026 Table 5'!$B$6:$B$102,0),MATCH(V$1,'AEO 2026 Table 5'!$E$5:$AD$5,0))*IF($A64=1,'Data Centers'!P$53,1)</f>
        <v>0.75890299999999999</v>
      </c>
      <c r="W64">
        <f>INDEX('AEO 2026 Table 5'!$E$6:$AD$102,MATCH($B64,'AEO 2026 Table 5'!$B$6:$B$102,0),MATCH(W$1,'AEO 2026 Table 5'!$E$5:$AD$5,0))*IF($A64=1,'Data Centers'!Q$53,1)</f>
        <v>0.76786100000000002</v>
      </c>
      <c r="X64">
        <f>INDEX('AEO 2026 Table 5'!$E$6:$AD$102,MATCH($B64,'AEO 2026 Table 5'!$B$6:$B$102,0),MATCH(X$1,'AEO 2026 Table 5'!$E$5:$AD$5,0))*IF($A64=1,'Data Centers'!R$53,1)</f>
        <v>0.77653099999999997</v>
      </c>
      <c r="Y64">
        <f>INDEX('AEO 2026 Table 5'!$E$6:$AD$102,MATCH($B64,'AEO 2026 Table 5'!$B$6:$B$102,0),MATCH(Y$1,'AEO 2026 Table 5'!$E$5:$AD$5,0))*IF($A64=1,'Data Centers'!S$53,1)</f>
        <v>0.78471800000000003</v>
      </c>
      <c r="Z64">
        <f>INDEX('AEO 2026 Table 5'!$E$6:$AD$102,MATCH($B64,'AEO 2026 Table 5'!$B$6:$B$102,0),MATCH(Z$1,'AEO 2026 Table 5'!$E$5:$AD$5,0))*IF($A64=1,'Data Centers'!T$53,1)</f>
        <v>0.79267399999999999</v>
      </c>
      <c r="AA64">
        <f>INDEX('AEO 2026 Table 5'!$E$6:$AD$102,MATCH($B64,'AEO 2026 Table 5'!$B$6:$B$102,0),MATCH(AA$1,'AEO 2026 Table 5'!$E$5:$AD$5,0))*IF($A64=1,'Data Centers'!U$53,1)</f>
        <v>0.80039300000000002</v>
      </c>
      <c r="AB64">
        <f>INDEX('AEO 2026 Table 5'!$E$6:$AD$102,MATCH($B64,'AEO 2026 Table 5'!$B$6:$B$102,0),MATCH(AB$1,'AEO 2026 Table 5'!$E$5:$AD$5,0))*IF($A64=1,'Data Centers'!V$53,1)</f>
        <v>0.80793800000000005</v>
      </c>
      <c r="AC64">
        <f>INDEX('AEO 2026 Table 5'!$E$6:$AD$102,MATCH($B64,'AEO 2026 Table 5'!$B$6:$B$102,0),MATCH(AC$1,'AEO 2026 Table 5'!$E$5:$AD$5,0))*IF($A64=1,'Data Centers'!W$53,1)</f>
        <v>0.81531299999999995</v>
      </c>
      <c r="AD64">
        <f>INDEX('AEO 2026 Table 5'!$E$6:$AD$102,MATCH($B64,'AEO 2026 Table 5'!$B$6:$B$102,0),MATCH(AD$1,'AEO 2026 Table 5'!$E$5:$AD$5,0))*IF($A64=1,'Data Centers'!X$53,1)</f>
        <v>0.82266799999999995</v>
      </c>
      <c r="AE64">
        <f>INDEX('AEO 2026 Table 5'!$E$6:$AD$102,MATCH($B64,'AEO 2026 Table 5'!$B$6:$B$102,0),MATCH(AE$1,'AEO 2026 Table 5'!$E$5:$AD$5,0))*IF($A64=1,'Data Centers'!Y$53,1)</f>
        <v>0.82990399999999998</v>
      </c>
      <c r="AF64">
        <f>INDEX('AEO 2026 Table 5'!$E$6:$AD$102,MATCH($B64,'AEO 2026 Table 5'!$B$6:$B$102,0),MATCH(AF$1,'AEO 2026 Table 5'!$E$5:$AD$5,0))*IF($A64=1,'Data Centers'!Z$53,1)</f>
        <v>0.83711199999999997</v>
      </c>
      <c r="AG64">
        <f>INDEX('AEO 2026 Table 5'!$E$6:$AD$102,MATCH($B64,'AEO 2026 Table 5'!$B$6:$B$102,0),MATCH(AG$1,'AEO 2026 Table 5'!$E$5:$AD$5,0))*IF($A64=1,'Data Centers'!AA$53,1)</f>
        <v>0.84429500000000002</v>
      </c>
      <c r="AH64">
        <f>INDEX('AEO 2026 Table 5'!$E$6:$AD$102,MATCH($B64,'AEO 2026 Table 5'!$B$6:$B$102,0),MATCH(AH$1,'AEO 2026 Table 5'!$E$5:$AD$5,0))*IF($A64=1,'Data Centers'!AB$53,1)</f>
        <v>0.85150899999999996</v>
      </c>
    </row>
    <row r="65" spans="7:7" x14ac:dyDescent="0.25">
      <c r="G65" s="1"/>
    </row>
    <row r="66" spans="7:7" x14ac:dyDescent="0.25">
      <c r="G66" s="1"/>
    </row>
    <row r="67" spans="7:7" x14ac:dyDescent="0.25">
      <c r="G67" s="1"/>
    </row>
  </sheetData>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40"/>
  <sheetViews>
    <sheetView topLeftCell="B124" zoomScale="80" zoomScaleNormal="80" workbookViewId="0">
      <selection activeCell="F161" sqref="F161"/>
    </sheetView>
  </sheetViews>
  <sheetFormatPr defaultRowHeight="15" x14ac:dyDescent="0.25"/>
  <cols>
    <col min="1" max="1" width="3.28515625" customWidth="1"/>
    <col min="2" max="2" width="56.28515625" bestFit="1" customWidth="1"/>
    <col min="3" max="4" width="13.85546875" customWidth="1"/>
    <col min="5" max="5" width="28.85546875" bestFit="1" customWidth="1"/>
    <col min="6" max="33" width="11.28515625" customWidth="1"/>
  </cols>
  <sheetData>
    <row r="1" spans="1:32" x14ac:dyDescent="0.25">
      <c r="B1" s="56"/>
    </row>
    <row r="2" spans="1:32" ht="18" customHeight="1" x14ac:dyDescent="0.3">
      <c r="A2" s="10" t="s">
        <v>930</v>
      </c>
    </row>
    <row r="3" spans="1:32" x14ac:dyDescent="0.25">
      <c r="B3" s="1" t="s">
        <v>931</v>
      </c>
    </row>
    <row r="4" spans="1:32" x14ac:dyDescent="0.25">
      <c r="E4" t="s">
        <v>915</v>
      </c>
      <c r="F4" s="1">
        <v>2024</v>
      </c>
      <c r="G4" s="1">
        <v>2025</v>
      </c>
      <c r="H4" s="1">
        <v>2026</v>
      </c>
      <c r="I4" s="1">
        <v>2027</v>
      </c>
      <c r="J4" s="1">
        <v>2028</v>
      </c>
      <c r="K4" s="1">
        <v>2029</v>
      </c>
      <c r="L4" s="1">
        <v>2030</v>
      </c>
      <c r="M4" s="1">
        <v>2031</v>
      </c>
      <c r="N4" s="1">
        <v>2032</v>
      </c>
      <c r="O4" s="1">
        <v>2033</v>
      </c>
      <c r="P4" s="1">
        <v>2034</v>
      </c>
      <c r="Q4" s="1">
        <v>2035</v>
      </c>
      <c r="R4" s="1">
        <v>2036</v>
      </c>
      <c r="S4" s="1">
        <v>2037</v>
      </c>
      <c r="T4" s="1">
        <v>2038</v>
      </c>
      <c r="U4" s="1">
        <v>2039</v>
      </c>
      <c r="V4" s="1">
        <v>2040</v>
      </c>
      <c r="W4" s="1">
        <v>2041</v>
      </c>
      <c r="X4" s="1">
        <v>2042</v>
      </c>
      <c r="Y4" s="1">
        <v>2043</v>
      </c>
      <c r="Z4" s="1">
        <v>2044</v>
      </c>
      <c r="AA4" s="1">
        <v>2045</v>
      </c>
      <c r="AB4" s="1">
        <v>2046</v>
      </c>
      <c r="AC4" s="1">
        <v>2047</v>
      </c>
      <c r="AD4" s="1">
        <v>2048</v>
      </c>
      <c r="AE4" s="1">
        <v>2049</v>
      </c>
      <c r="AF4" s="1">
        <v>2050</v>
      </c>
    </row>
    <row r="5" spans="1:32" x14ac:dyDescent="0.25">
      <c r="B5" s="53" t="str">
        <f t="shared" ref="B5:B14" si="0">C5&amp;"-"&amp;D5&amp;"-"&amp;E5</f>
        <v>residential-heating-electricity (BTU)</v>
      </c>
      <c r="C5" t="s">
        <v>8</v>
      </c>
      <c r="D5" t="s">
        <v>9</v>
      </c>
      <c r="E5" t="s">
        <v>10</v>
      </c>
      <c r="F5">
        <f>SUMIFS('Crosswalk AEO to EPS Summary'!H:H,'Crosswalk AEO to EPS Summary'!$D:$D,$B5)*Percent_urban*quadrillion</f>
        <v>429356810815186.56</v>
      </c>
      <c r="G5">
        <f>SUMIFS('Crosswalk AEO to EPS Summary'!I:I,'Crosswalk AEO to EPS Summary'!$D:$D,$B5)*Percent_urban*quadrillion</f>
        <v>483773126204160.94</v>
      </c>
      <c r="H5">
        <f>SUMIFS('Crosswalk AEO to EPS Summary'!J:J,'Crosswalk AEO to EPS Summary'!$D:$D,$B5)*Percent_urban*quadrillion</f>
        <v>459871772362988.69</v>
      </c>
      <c r="I5">
        <f>SUMIFS('Crosswalk AEO to EPS Summary'!K:K,'Crosswalk AEO to EPS Summary'!$D:$D,$B5)*Percent_urban*quadrillion</f>
        <v>460342546749777.31</v>
      </c>
      <c r="J5">
        <f>SUMIFS('Crosswalk AEO to EPS Summary'!L:L,'Crosswalk AEO to EPS Summary'!$D:$D,$B5)*Percent_urban*quadrillion</f>
        <v>460976750586901.94</v>
      </c>
      <c r="K5">
        <f>SUMIFS('Crosswalk AEO to EPS Summary'!M:M,'Crosswalk AEO to EPS Summary'!$D:$D,$B5)*Percent_urban*quadrillion</f>
        <v>460055528859386.38</v>
      </c>
      <c r="L5">
        <f>SUMIFS('Crosswalk AEO to EPS Summary'!N:N,'Crosswalk AEO to EPS Summary'!$D:$D,$B5)*Percent_urban*quadrillion</f>
        <v>457175592973366.75</v>
      </c>
      <c r="M5">
        <f>SUMIFS('Crosswalk AEO to EPS Summary'!O:O,'Crosswalk AEO to EPS Summary'!$D:$D,$B5)*Percent_urban*quadrillion</f>
        <v>453407771715372.75</v>
      </c>
      <c r="N5">
        <f>SUMIFS('Crosswalk AEO to EPS Summary'!P:P,'Crosswalk AEO to EPS Summary'!$D:$D,$B5)*Percent_urban*quadrillion</f>
        <v>449649707439488.38</v>
      </c>
      <c r="O5">
        <f>SUMIFS('Crosswalk AEO to EPS Summary'!Q:Q,'Crosswalk AEO to EPS Summary'!$D:$D,$B5)*Percent_urban*quadrillion</f>
        <v>446109549097385.19</v>
      </c>
      <c r="P5">
        <f>SUMIFS('Crosswalk AEO to EPS Summary'!R:R,'Crosswalk AEO to EPS Summary'!$D:$D,$B5)*Percent_urban*quadrillion</f>
        <v>442398643568363.88</v>
      </c>
      <c r="Q5">
        <f>SUMIFS('Crosswalk AEO to EPS Summary'!S:S,'Crosswalk AEO to EPS Summary'!$D:$D,$B5)*Percent_urban*quadrillion</f>
        <v>438760915405164.69</v>
      </c>
      <c r="R5">
        <f>SUMIFS('Crosswalk AEO to EPS Summary'!T:T,'Crosswalk AEO to EPS Summary'!$D:$D,$B5)*Percent_urban*quadrillion</f>
        <v>435310196065733</v>
      </c>
      <c r="S5">
        <f>SUMIFS('Crosswalk AEO to EPS Summary'!U:U,'Crosswalk AEO to EPS Summary'!$D:$D,$B5)*Percent_urban*quadrillion</f>
        <v>431623682991985.75</v>
      </c>
      <c r="T5">
        <f>SUMIFS('Crosswalk AEO to EPS Summary'!V:V,'Crosswalk AEO to EPS Summary'!$D:$D,$B5)*Percent_urban*quadrillion</f>
        <v>428109543268841.56</v>
      </c>
      <c r="U5">
        <f>SUMIFS('Crosswalk AEO to EPS Summary'!W:W,'Crosswalk AEO to EPS Summary'!$D:$D,$B5)*Percent_urban*quadrillion</f>
        <v>424465310450902.56</v>
      </c>
      <c r="V5">
        <f>SUMIFS('Crosswalk AEO to EPS Summary'!X:X,'Crosswalk AEO to EPS Summary'!$D:$D,$B5)*Percent_urban*quadrillion</f>
        <v>420783675868210.13</v>
      </c>
      <c r="W5">
        <f>SUMIFS('Crosswalk AEO to EPS Summary'!Y:Y,'Crosswalk AEO to EPS Summary'!$D:$D,$B5)*Percent_urban*quadrillion</f>
        <v>416933733344126.88</v>
      </c>
      <c r="X5">
        <f>SUMIFS('Crosswalk AEO to EPS Summary'!Z:Z,'Crosswalk AEO to EPS Summary'!$D:$D,$B5)*Percent_urban*quadrillion</f>
        <v>413457808467578.75</v>
      </c>
      <c r="Y5">
        <f>SUMIFS('Crosswalk AEO to EPS Summary'!AA:AA,'Crosswalk AEO to EPS Summary'!$D:$D,$B5)*Percent_urban*quadrillion</f>
        <v>410108724358455.38</v>
      </c>
      <c r="Z5">
        <f>SUMIFS('Crosswalk AEO to EPS Summary'!AB:AB,'Crosswalk AEO to EPS Summary'!$D:$D,$B5)*Percent_urban*quadrillion</f>
        <v>406562061361612.5</v>
      </c>
      <c r="AA5">
        <f>SUMIFS('Crosswalk AEO to EPS Summary'!AC:AC,'Crosswalk AEO to EPS Summary'!$D:$D,$B5)*Percent_urban*quadrillion</f>
        <v>403255257508297.56</v>
      </c>
      <c r="AB5">
        <f>SUMIFS('Crosswalk AEO to EPS Summary'!AD:AD,'Crosswalk AEO to EPS Summary'!$D:$D,$B5)*Percent_urban*quadrillion</f>
        <v>399661435764591.56</v>
      </c>
      <c r="AC5">
        <f>SUMIFS('Crosswalk AEO to EPS Summary'!AE:AE,'Crosswalk AEO to EPS Summary'!$D:$D,$B5)*Percent_urban*quadrillion</f>
        <v>395694409455193</v>
      </c>
      <c r="AD5">
        <f>SUMIFS('Crosswalk AEO to EPS Summary'!AF:AF,'Crosswalk AEO to EPS Summary'!$D:$D,$B5)*Percent_urban*quadrillion</f>
        <v>391768037237917.94</v>
      </c>
      <c r="AE5">
        <f>SUMIFS('Crosswalk AEO to EPS Summary'!AG:AG,'Crosswalk AEO to EPS Summary'!$D:$D,$B5)*Percent_urban*quadrillion</f>
        <v>387996963652554</v>
      </c>
      <c r="AF5">
        <f>SUMIFS('Crosswalk AEO to EPS Summary'!AH:AH,'Crosswalk AEO to EPS Summary'!$D:$D,$B5)*Percent_urban*quadrillion</f>
        <v>384147834210313.31</v>
      </c>
    </row>
    <row r="6" spans="1:32" x14ac:dyDescent="0.25">
      <c r="B6" s="53" t="str">
        <f t="shared" si="0"/>
        <v>residential-heating-coal (BTU)</v>
      </c>
      <c r="C6" t="s">
        <v>8</v>
      </c>
      <c r="D6" t="s">
        <v>9</v>
      </c>
      <c r="E6" t="s">
        <v>932</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25">
      <c r="B7" s="53" t="str">
        <f t="shared" si="0"/>
        <v>residential-heating-natural gas (BTU)</v>
      </c>
      <c r="C7" t="s">
        <v>8</v>
      </c>
      <c r="D7" t="s">
        <v>9</v>
      </c>
      <c r="E7" t="s">
        <v>53</v>
      </c>
      <c r="F7">
        <f>SUMIFS('Crosswalk AEO to EPS Summary'!H:H,'Crosswalk AEO to EPS Summary'!$D:$D,$B7)*Percent_urban*quadrillion</f>
        <v>2258669807172347</v>
      </c>
      <c r="G7">
        <f>SUMIFS('Crosswalk AEO to EPS Summary'!I:I,'Crosswalk AEO to EPS Summary'!$D:$D,$B7)*Percent_urban*quadrillion</f>
        <v>2535212764186837</v>
      </c>
      <c r="H7">
        <f>SUMIFS('Crosswalk AEO to EPS Summary'!J:J,'Crosswalk AEO to EPS Summary'!$D:$D,$B7)*Percent_urban*quadrillion</f>
        <v>2382111892495750</v>
      </c>
      <c r="I7">
        <f>SUMIFS('Crosswalk AEO to EPS Summary'!K:K,'Crosswalk AEO to EPS Summary'!$D:$D,$B7)*Percent_urban*quadrillion</f>
        <v>2477515663563506.5</v>
      </c>
      <c r="J7">
        <f>SUMIFS('Crosswalk AEO to EPS Summary'!L:L,'Crosswalk AEO to EPS Summary'!$D:$D,$B7)*Percent_urban*quadrillion</f>
        <v>2462287453735934.5</v>
      </c>
      <c r="K7">
        <f>SUMIFS('Crosswalk AEO to EPS Summary'!M:M,'Crosswalk AEO to EPS Summary'!$D:$D,$B7)*Percent_urban*quadrillion</f>
        <v>2432709162470654.5</v>
      </c>
      <c r="L7">
        <f>SUMIFS('Crosswalk AEO to EPS Summary'!N:N,'Crosswalk AEO to EPS Summary'!$D:$D,$B7)*Percent_urban*quadrillion</f>
        <v>2396569300736663</v>
      </c>
      <c r="M7">
        <f>SUMIFS('Crosswalk AEO to EPS Summary'!O:O,'Crosswalk AEO to EPS Summary'!$D:$D,$B7)*Percent_urban*quadrillion</f>
        <v>2358254445074070.5</v>
      </c>
      <c r="N7">
        <f>SUMIFS('Crosswalk AEO to EPS Summary'!P:P,'Crosswalk AEO to EPS Summary'!$D:$D,$B7)*Percent_urban*quadrillion</f>
        <v>2322569909171861</v>
      </c>
      <c r="O7">
        <f>SUMIFS('Crosswalk AEO to EPS Summary'!Q:Q,'Crosswalk AEO to EPS Summary'!$D:$D,$B7)*Percent_urban*quadrillion</f>
        <v>2287303297336679</v>
      </c>
      <c r="P7">
        <f>SUMIFS('Crosswalk AEO to EPS Summary'!R:R,'Crosswalk AEO to EPS Summary'!$D:$D,$B7)*Percent_urban*quadrillion</f>
        <v>2254183221565611.5</v>
      </c>
      <c r="Q7">
        <f>SUMIFS('Crosswalk AEO to EPS Summary'!S:S,'Crosswalk AEO to EPS Summary'!$D:$D,$B7)*Percent_urban*quadrillion</f>
        <v>2222005507649963.8</v>
      </c>
      <c r="R7">
        <f>SUMIFS('Crosswalk AEO to EPS Summary'!T:T,'Crosswalk AEO to EPS Summary'!$D:$D,$B7)*Percent_urban*quadrillion</f>
        <v>2191835292803367.5</v>
      </c>
      <c r="S7">
        <f>SUMIFS('Crosswalk AEO to EPS Summary'!U:U,'Crosswalk AEO to EPS Summary'!$D:$D,$B7)*Percent_urban*quadrillion</f>
        <v>2161213004452359.5</v>
      </c>
      <c r="T7">
        <f>SUMIFS('Crosswalk AEO to EPS Summary'!V:V,'Crosswalk AEO to EPS Summary'!$D:$D,$B7)*Percent_urban*quadrillion</f>
        <v>2132095730591759.3</v>
      </c>
      <c r="U7">
        <f>SUMIFS('Crosswalk AEO to EPS Summary'!W:W,'Crosswalk AEO to EPS Summary'!$D:$D,$B7)*Percent_urban*quadrillion</f>
        <v>2103555744839310.3</v>
      </c>
      <c r="V7">
        <f>SUMIFS('Crosswalk AEO to EPS Summary'!X:X,'Crosswalk AEO to EPS Summary'!$D:$D,$B7)*Percent_urban*quadrillion</f>
        <v>2076052438436007.3</v>
      </c>
      <c r="W7">
        <f>SUMIFS('Crosswalk AEO to EPS Summary'!Y:Y,'Crosswalk AEO to EPS Summary'!$D:$D,$B7)*Percent_urban*quadrillion</f>
        <v>2048916645025499.8</v>
      </c>
      <c r="X7">
        <f>SUMIFS('Crosswalk AEO to EPS Summary'!Z:Z,'Crosswalk AEO to EPS Summary'!$D:$D,$B7)*Percent_urban*quadrillion</f>
        <v>2024848609406621.5</v>
      </c>
      <c r="Y7">
        <f>SUMIFS('Crosswalk AEO to EPS Summary'!AA:AA,'Crosswalk AEO to EPS Summary'!$D:$D,$B7)*Percent_urban*quadrillion</f>
        <v>2002300223751315.3</v>
      </c>
      <c r="Z7">
        <f>SUMIFS('Crosswalk AEO to EPS Summary'!AB:AB,'Crosswalk AEO to EPS Summary'!$D:$D,$B7)*Percent_urban*quadrillion</f>
        <v>1981190992957176</v>
      </c>
      <c r="AA7">
        <f>SUMIFS('Crosswalk AEO to EPS Summary'!AC:AC,'Crosswalk AEO to EPS Summary'!$D:$D,$B7)*Percent_urban*quadrillion</f>
        <v>1961229020642758.8</v>
      </c>
      <c r="AB7">
        <f>SUMIFS('Crosswalk AEO to EPS Summary'!AD:AD,'Crosswalk AEO to EPS Summary'!$D:$D,$B7)*Percent_urban*quadrillion</f>
        <v>1940545031652230.3</v>
      </c>
      <c r="AC7">
        <f>SUMIFS('Crosswalk AEO to EPS Summary'!AE:AE,'Crosswalk AEO to EPS Summary'!$D:$D,$B7)*Percent_urban*quadrillion</f>
        <v>1918843877276774.8</v>
      </c>
      <c r="AD7">
        <f>SUMIFS('Crosswalk AEO to EPS Summary'!AF:AF,'Crosswalk AEO to EPS Summary'!$D:$D,$B7)*Percent_urban*quadrillion</f>
        <v>1897409413745648.8</v>
      </c>
      <c r="AE7">
        <f>SUMIFS('Crosswalk AEO to EPS Summary'!AG:AG,'Crosswalk AEO to EPS Summary'!$D:$D,$B7)*Percent_urban*quadrillion</f>
        <v>1876330266979680.8</v>
      </c>
      <c r="AF7">
        <f>SUMIFS('Crosswalk AEO to EPS Summary'!AH:AH,'Crosswalk AEO to EPS Summary'!$D:$D,$B7)*Percent_urban*quadrillion</f>
        <v>1855965006071399.8</v>
      </c>
    </row>
    <row r="8" spans="1:32" x14ac:dyDescent="0.25">
      <c r="B8" s="53" t="str">
        <f t="shared" si="0"/>
        <v>residential-heating-petroleum diesel (BTU)</v>
      </c>
      <c r="C8" t="s">
        <v>8</v>
      </c>
      <c r="D8" t="s">
        <v>9</v>
      </c>
      <c r="E8" t="s">
        <v>68</v>
      </c>
      <c r="F8">
        <f>SUMIFS('Crosswalk AEO to EPS Summary'!H:H,'Crosswalk AEO to EPS Summary'!$D:$D,$B8)*Percent_urban*quadrillion</f>
        <v>308793848295960.44</v>
      </c>
      <c r="G8">
        <f>SUMIFS('Crosswalk AEO to EPS Summary'!I:I,'Crosswalk AEO to EPS Summary'!$D:$D,$B8)*Percent_urban*quadrillion</f>
        <v>345858997166680.19</v>
      </c>
      <c r="H8">
        <f>SUMIFS('Crosswalk AEO to EPS Summary'!J:J,'Crosswalk AEO to EPS Summary'!$D:$D,$B8)*Percent_urban*quadrillion</f>
        <v>332681379745810.69</v>
      </c>
      <c r="I8">
        <f>SUMIFS('Crosswalk AEO to EPS Summary'!K:K,'Crosswalk AEO to EPS Summary'!$D:$D,$B8)*Percent_urban*quadrillion</f>
        <v>329150165303974.75</v>
      </c>
      <c r="J8">
        <f>SUMIFS('Crosswalk AEO to EPS Summary'!L:L,'Crosswalk AEO to EPS Summary'!$D:$D,$B8)*Percent_urban*quadrillion</f>
        <v>323955385412450.38</v>
      </c>
      <c r="K8">
        <f>SUMIFS('Crosswalk AEO to EPS Summary'!M:M,'Crosswalk AEO to EPS Summary'!$D:$D,$B8)*Percent_urban*quadrillion</f>
        <v>318399597182870.5</v>
      </c>
      <c r="L8">
        <f>SUMIFS('Crosswalk AEO to EPS Summary'!N:N,'Crosswalk AEO to EPS Summary'!$D:$D,$B8)*Percent_urban*quadrillion</f>
        <v>313376377560106.81</v>
      </c>
      <c r="M8">
        <f>SUMIFS('Crosswalk AEO to EPS Summary'!O:O,'Crosswalk AEO to EPS Summary'!$D:$D,$B8)*Percent_urban*quadrillion</f>
        <v>308271849753096.38</v>
      </c>
      <c r="N8">
        <f>SUMIFS('Crosswalk AEO to EPS Summary'!P:P,'Crosswalk AEO to EPS Summary'!$D:$D,$B8)*Percent_urban*quadrillion</f>
        <v>303424255808305.69</v>
      </c>
      <c r="O8">
        <f>SUMIFS('Crosswalk AEO to EPS Summary'!Q:Q,'Crosswalk AEO to EPS Summary'!$D:$D,$B8)*Percent_urban*quadrillion</f>
        <v>298636829919857.5</v>
      </c>
      <c r="P8">
        <f>SUMIFS('Crosswalk AEO to EPS Summary'!R:R,'Crosswalk AEO to EPS Summary'!$D:$D,$B8)*Percent_urban*quadrillion</f>
        <v>294235617906581.38</v>
      </c>
      <c r="Q8">
        <f>SUMIFS('Crosswalk AEO to EPS Summary'!S:S,'Crosswalk AEO to EPS Summary'!$D:$D,$B8)*Percent_urban*quadrillion</f>
        <v>289902704768072.5</v>
      </c>
      <c r="R8">
        <f>SUMIFS('Crosswalk AEO to EPS Summary'!T:T,'Crosswalk AEO to EPS Summary'!$D:$D,$B8)*Percent_urban*quadrillion</f>
        <v>285746230389379.06</v>
      </c>
      <c r="S8">
        <f>SUMIFS('Crosswalk AEO to EPS Summary'!U:U,'Crosswalk AEO to EPS Summary'!$D:$D,$B8)*Percent_urban*quadrillion</f>
        <v>281714970614425.63</v>
      </c>
      <c r="T8">
        <f>SUMIFS('Crosswalk AEO to EPS Summary'!V:V,'Crosswalk AEO to EPS Summary'!$D:$D,$B8)*Percent_urban*quadrillion</f>
        <v>277834944062171.13</v>
      </c>
      <c r="U8">
        <f>SUMIFS('Crosswalk AEO to EPS Summary'!W:W,'Crosswalk AEO to EPS Summary'!$D:$D,$B8)*Percent_urban*quadrillion</f>
        <v>274098832996033.31</v>
      </c>
      <c r="V8">
        <f>SUMIFS('Crosswalk AEO to EPS Summary'!X:X,'Crosswalk AEO to EPS Summary'!$D:$D,$B8)*Percent_urban*quadrillion</f>
        <v>270411506840443.56</v>
      </c>
      <c r="W8">
        <f>SUMIFS('Crosswalk AEO to EPS Summary'!Y:Y,'Crosswalk AEO to EPS Summary'!$D:$D,$B8)*Percent_urban*quadrillion</f>
        <v>266756703958552.56</v>
      </c>
      <c r="X8">
        <f>SUMIFS('Crosswalk AEO to EPS Summary'!Z:Z,'Crosswalk AEO to EPS Summary'!$D:$D,$B8)*Percent_urban*quadrillion</f>
        <v>263258012790415.28</v>
      </c>
      <c r="Y8">
        <f>SUMIFS('Crosswalk AEO to EPS Summary'!AA:AA,'Crosswalk AEO to EPS Summary'!$D:$D,$B8)*Percent_urban*quadrillion</f>
        <v>259807293450983.53</v>
      </c>
      <c r="Z8">
        <f>SUMIFS('Crosswalk AEO to EPS Summary'!AB:AB,'Crosswalk AEO to EPS Summary'!$D:$D,$B8)*Percent_urban*quadrillion</f>
        <v>256467966323969.91</v>
      </c>
      <c r="AA8">
        <f>SUMIFS('Crosswalk AEO to EPS Summary'!AC:AC,'Crosswalk AEO to EPS Summary'!$D:$D,$B8)*Percent_urban*quadrillion</f>
        <v>253170106370922.03</v>
      </c>
      <c r="AB8">
        <f>SUMIFS('Crosswalk AEO to EPS Summary'!AD:AD,'Crosswalk AEO to EPS Summary'!$D:$D,$B8)*Percent_urban*quadrillion</f>
        <v>249942984538168.84</v>
      </c>
      <c r="AC8">
        <f>SUMIFS('Crosswalk AEO to EPS Summary'!AE:AE,'Crosswalk AEO to EPS Summary'!$D:$D,$B8)*Percent_urban*quadrillion</f>
        <v>246703666477778.66</v>
      </c>
      <c r="AD8">
        <f>SUMIFS('Crosswalk AEO to EPS Summary'!AF:AF,'Crosswalk AEO to EPS Summary'!$D:$D,$B8)*Percent_urban*quadrillion</f>
        <v>243484675463450.16</v>
      </c>
      <c r="AE8">
        <f>SUMIFS('Crosswalk AEO to EPS Summary'!AG:AG,'Crosswalk AEO to EPS Summary'!$D:$D,$B8)*Percent_urban*quadrillion</f>
        <v>240284385331498.41</v>
      </c>
      <c r="AF8">
        <f>SUMIFS('Crosswalk AEO to EPS Summary'!AH:AH,'Crosswalk AEO to EPS Summary'!$D:$D,$B8)*Percent_urban*quadrillion</f>
        <v>237199552821177.06</v>
      </c>
    </row>
    <row r="9" spans="1:32" x14ac:dyDescent="0.25">
      <c r="B9" s="53" t="str">
        <f t="shared" si="0"/>
        <v>residential-heating-heat (BTU)</v>
      </c>
      <c r="C9" t="s">
        <v>8</v>
      </c>
      <c r="D9" t="s">
        <v>9</v>
      </c>
      <c r="E9" t="s">
        <v>933</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x14ac:dyDescent="0.25">
      <c r="B10" s="53" t="str">
        <f t="shared" si="0"/>
        <v>residential-heating-biomass (BTU)</v>
      </c>
      <c r="C10" t="s">
        <v>8</v>
      </c>
      <c r="D10" t="s">
        <v>9</v>
      </c>
      <c r="E10" t="s">
        <v>88</v>
      </c>
      <c r="F10">
        <f>SUMIFS('Crosswalk AEO to EPS Summary'!H:H,'Crosswalk AEO to EPS Summary'!$D:$D,$B10)*Percent_urban*quadrillion</f>
        <v>290744244475026.25</v>
      </c>
      <c r="G10">
        <f>SUMIFS('Crosswalk AEO to EPS Summary'!I:I,'Crosswalk AEO to EPS Summary'!$D:$D,$B10)*Percent_urban*quadrillion</f>
        <v>301968026228446.56</v>
      </c>
      <c r="H10">
        <f>SUMIFS('Crosswalk AEO to EPS Summary'!J:J,'Crosswalk AEO to EPS Summary'!$D:$D,$B10)*Percent_urban*quadrillion</f>
        <v>278806576863919.69</v>
      </c>
      <c r="I10">
        <f>SUMIFS('Crosswalk AEO to EPS Summary'!K:K,'Crosswalk AEO to EPS Summary'!$D:$D,$B10)*Percent_urban*quadrillion</f>
        <v>272374286408159.97</v>
      </c>
      <c r="J10">
        <f>SUMIFS('Crosswalk AEO to EPS Summary'!L:L,'Crosswalk AEO to EPS Summary'!$D:$D,$B10)*Percent_urban*quadrillion</f>
        <v>269296771634420.78</v>
      </c>
      <c r="K10">
        <f>SUMIFS('Crosswalk AEO to EPS Summary'!M:M,'Crosswalk AEO to EPS Summary'!$D:$D,$B10)*Percent_urban*quadrillion</f>
        <v>267466524407026.63</v>
      </c>
      <c r="L10">
        <f>SUMIFS('Crosswalk AEO to EPS Summary'!N:N,'Crosswalk AEO to EPS Summary'!$D:$D,$B10)*Percent_urban*quadrillion</f>
        <v>263135237432202.69</v>
      </c>
      <c r="M10">
        <f>SUMIFS('Crosswalk AEO to EPS Summary'!O:O,'Crosswalk AEO to EPS Summary'!$D:$D,$B10)*Percent_urban*quadrillion</f>
        <v>259673134946976.41</v>
      </c>
      <c r="N10">
        <f>SUMIFS('Crosswalk AEO to EPS Summary'!P:P,'Crosswalk AEO to EPS Summary'!$D:$D,$B10)*Percent_urban*quadrillion</f>
        <v>256643592001942.81</v>
      </c>
      <c r="O10">
        <f>SUMIFS('Crosswalk AEO to EPS Summary'!Q:Q,'Crosswalk AEO to EPS Summary'!$D:$D,$B10)*Percent_urban*quadrillion</f>
        <v>254341757305917.56</v>
      </c>
      <c r="P10">
        <f>SUMIFS('Crosswalk AEO to EPS Summary'!R:R,'Crosswalk AEO to EPS Summary'!$D:$D,$B10)*Percent_urban*quadrillion</f>
        <v>251344737634582.72</v>
      </c>
      <c r="Q10">
        <f>SUMIFS('Crosswalk AEO to EPS Summary'!S:S,'Crosswalk AEO to EPS Summary'!$D:$D,$B10)*Percent_urban*quadrillion</f>
        <v>248664006799967.63</v>
      </c>
      <c r="R10">
        <f>SUMIFS('Crosswalk AEO to EPS Summary'!T:T,'Crosswalk AEO to EPS Summary'!$D:$D,$B10)*Percent_urban*quadrillion</f>
        <v>245557221079899.59</v>
      </c>
      <c r="S10">
        <f>SUMIFS('Crosswalk AEO to EPS Summary'!U:U,'Crosswalk AEO to EPS Summary'!$D:$D,$B10)*Percent_urban*quadrillion</f>
        <v>242374818748482.16</v>
      </c>
      <c r="T10">
        <f>SUMIFS('Crosswalk AEO to EPS Summary'!V:V,'Crosswalk AEO to EPS Summary'!$D:$D,$B10)*Percent_urban*quadrillion</f>
        <v>239207864972071.53</v>
      </c>
      <c r="U10">
        <f>SUMIFS('Crosswalk AEO to EPS Summary'!W:W,'Crosswalk AEO to EPS Summary'!$D:$D,$B10)*Percent_urban*quadrillion</f>
        <v>235756332550797.38</v>
      </c>
      <c r="V10">
        <f>SUMIFS('Crosswalk AEO to EPS Summary'!X:X,'Crosswalk AEO to EPS Summary'!$D:$D,$B10)*Percent_urban*quadrillion</f>
        <v>232165763134461.28</v>
      </c>
      <c r="W10">
        <f>SUMIFS('Crosswalk AEO to EPS Summary'!Y:Y,'Crosswalk AEO to EPS Summary'!$D:$D,$B10)*Percent_urban*quadrillion</f>
        <v>228695529830810.31</v>
      </c>
      <c r="X10">
        <f>SUMIFS('Crosswalk AEO to EPS Summary'!Z:Z,'Crosswalk AEO to EPS Summary'!$D:$D,$B10)*Percent_urban*quadrillion</f>
        <v>225531015299927.13</v>
      </c>
      <c r="Y10">
        <f>SUMIFS('Crosswalk AEO to EPS Summary'!AA:AA,'Crosswalk AEO to EPS Summary'!$D:$D,$B10)*Percent_urban*quadrillion</f>
        <v>222484397636201.72</v>
      </c>
      <c r="Z10">
        <f>SUMIFS('Crosswalk AEO to EPS Summary'!AB:AB,'Crosswalk AEO to EPS Summary'!$D:$D,$B10)*Percent_urban*quadrillion</f>
        <v>219595517849914.97</v>
      </c>
      <c r="AA10">
        <f>SUMIFS('Crosswalk AEO to EPS Summary'!AC:AC,'Crosswalk AEO to EPS Summary'!$D:$D,$B10)*Percent_urban*quadrillion</f>
        <v>217071711810896.13</v>
      </c>
      <c r="AB10">
        <f>SUMIFS('Crosswalk AEO to EPS Summary'!AD:AD,'Crosswalk AEO to EPS Summary'!$D:$D,$B10)*Percent_urban*quadrillion</f>
        <v>214635718610863.72</v>
      </c>
      <c r="AC10">
        <f>SUMIFS('Crosswalk AEO to EPS Summary'!AE:AE,'Crosswalk AEO to EPS Summary'!$D:$D,$B10)*Percent_urban*quadrillion</f>
        <v>212450154618311.34</v>
      </c>
      <c r="AD10">
        <f>SUMIFS('Crosswalk AEO to EPS Summary'!AF:AF,'Crosswalk AEO to EPS Summary'!$D:$D,$B10)*Percent_urban*quadrillion</f>
        <v>210445094794786.69</v>
      </c>
      <c r="AE10">
        <f>SUMIFS('Crosswalk AEO to EPS Summary'!AG:AG,'Crosswalk AEO to EPS Summary'!$D:$D,$B10)*Percent_urban*quadrillion</f>
        <v>208617286812919.94</v>
      </c>
      <c r="AF10">
        <f>SUMIFS('Crosswalk AEO to EPS Summary'!AH:AH,'Crosswalk AEO to EPS Summary'!$D:$D,$B10)*Percent_urban*quadrillion</f>
        <v>206634180199141.91</v>
      </c>
    </row>
    <row r="11" spans="1:32" x14ac:dyDescent="0.25">
      <c r="B11" s="53" t="str">
        <f t="shared" si="0"/>
        <v>residential-heating-kerosene (BTU)</v>
      </c>
      <c r="C11" t="s">
        <v>8</v>
      </c>
      <c r="D11" t="s">
        <v>9</v>
      </c>
      <c r="E11" t="s">
        <v>934</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row r="12" spans="1:32" x14ac:dyDescent="0.25">
      <c r="B12" s="53" t="str">
        <f t="shared" si="0"/>
        <v>residential-heating-heavy or residual fuel oil (BTU)</v>
      </c>
      <c r="C12" t="s">
        <v>8</v>
      </c>
      <c r="D12" t="s">
        <v>9</v>
      </c>
      <c r="E12" t="s">
        <v>935</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row>
    <row r="13" spans="1:32" x14ac:dyDescent="0.25">
      <c r="B13" s="53" t="str">
        <f t="shared" si="0"/>
        <v>residential-heating-LPG propane or butane (BTU)</v>
      </c>
      <c r="C13" t="s">
        <v>8</v>
      </c>
      <c r="D13" t="s">
        <v>9</v>
      </c>
      <c r="E13" t="s">
        <v>77</v>
      </c>
      <c r="F13">
        <f>SUMIFS('Crosswalk AEO to EPS Summary'!H:H,'Crosswalk AEO to EPS Summary'!$D:$D,$B13)*Percent_urban*quadrillion</f>
        <v>246564629482716.75</v>
      </c>
      <c r="G13">
        <f>SUMIFS('Crosswalk AEO to EPS Summary'!I:I,'Crosswalk AEO to EPS Summary'!$D:$D,$B13)*Percent_urban*quadrillion</f>
        <v>306955470250141.63</v>
      </c>
      <c r="H13">
        <f>SUMIFS('Crosswalk AEO to EPS Summary'!J:J,'Crosswalk AEO to EPS Summary'!$D:$D,$B13)*Percent_urban*quadrillion</f>
        <v>295248717882295.81</v>
      </c>
      <c r="I13">
        <f>SUMIFS('Crosswalk AEO to EPS Summary'!K:K,'Crosswalk AEO to EPS Summary'!$D:$D,$B13)*Percent_urban*quadrillion</f>
        <v>277425150813567.56</v>
      </c>
      <c r="J13">
        <f>SUMIFS('Crosswalk AEO to EPS Summary'!L:L,'Crosswalk AEO to EPS Summary'!$D:$D,$B13)*Percent_urban*quadrillion</f>
        <v>275294063304460.44</v>
      </c>
      <c r="K13">
        <f>SUMIFS('Crosswalk AEO to EPS Summary'!M:M,'Crosswalk AEO to EPS Summary'!$D:$D,$B13)*Percent_urban*quadrillion</f>
        <v>271649017404679</v>
      </c>
      <c r="L13">
        <f>SUMIFS('Crosswalk AEO to EPS Summary'!N:N,'Crosswalk AEO to EPS Summary'!$D:$D,$B13)*Percent_urban*quadrillion</f>
        <v>267154300979519.09</v>
      </c>
      <c r="M13">
        <f>SUMIFS('Crosswalk AEO to EPS Summary'!O:O,'Crosswalk AEO to EPS Summary'!$D:$D,$B13)*Percent_urban*quadrillion</f>
        <v>261992044361693.5</v>
      </c>
      <c r="N13">
        <f>SUMIFS('Crosswalk AEO to EPS Summary'!P:P,'Crosswalk AEO to EPS Summary'!$D:$D,$B13)*Percent_urban*quadrillion</f>
        <v>256891581963895.38</v>
      </c>
      <c r="O13">
        <f>SUMIFS('Crosswalk AEO to EPS Summary'!Q:Q,'Crosswalk AEO to EPS Summary'!$D:$D,$B13)*Percent_urban*quadrillion</f>
        <v>252039922609892.34</v>
      </c>
      <c r="P13">
        <f>SUMIFS('Crosswalk AEO to EPS Summary'!R:R,'Crosswalk AEO to EPS Summary'!$D:$D,$B13)*Percent_urban*quadrillion</f>
        <v>247601308831862.72</v>
      </c>
      <c r="Q13">
        <f>SUMIFS('Crosswalk AEO to EPS Summary'!S:S,'Crosswalk AEO to EPS Summary'!$D:$D,$B13)*Percent_urban*quadrillion</f>
        <v>243499310936614.56</v>
      </c>
      <c r="R13">
        <f>SUMIFS('Crosswalk AEO to EPS Summary'!T:T,'Crosswalk AEO to EPS Summary'!$D:$D,$B13)*Percent_urban*quadrillion</f>
        <v>239671321622277.97</v>
      </c>
      <c r="S13">
        <f>SUMIFS('Crosswalk AEO to EPS Summary'!U:U,'Crosswalk AEO to EPS Summary'!$D:$D,$B13)*Percent_urban*quadrillion</f>
        <v>235983995466688.25</v>
      </c>
      <c r="T13">
        <f>SUMIFS('Crosswalk AEO to EPS Summary'!V:V,'Crosswalk AEO to EPS Summary'!$D:$D,$B13)*Percent_urban*quadrillion</f>
        <v>232430827815105.63</v>
      </c>
      <c r="U13">
        <f>SUMIFS('Crosswalk AEO to EPS Summary'!W:W,'Crosswalk AEO to EPS Summary'!$D:$D,$B13)*Percent_urban*quadrillion</f>
        <v>228974416902776.66</v>
      </c>
      <c r="V13">
        <f>SUMIFS('Crosswalk AEO to EPS Summary'!X:X,'Crosswalk AEO to EPS Summary'!$D:$D,$B13)*Percent_urban*quadrillion</f>
        <v>225713958714482.31</v>
      </c>
      <c r="W13">
        <f>SUMIFS('Crosswalk AEO to EPS Summary'!Y:Y,'Crosswalk AEO to EPS Summary'!$D:$D,$B13)*Percent_urban*quadrillion</f>
        <v>222660836396017.13</v>
      </c>
      <c r="X13">
        <f>SUMIFS('Crosswalk AEO to EPS Summary'!Z:Z,'Crosswalk AEO to EPS Summary'!$D:$D,$B13)*Percent_urban*quadrillion</f>
        <v>219954900024285.59</v>
      </c>
      <c r="Y13">
        <f>SUMIFS('Crosswalk AEO to EPS Summary'!AA:AA,'Crosswalk AEO to EPS Summary'!$D:$D,$B13)*Percent_urban*quadrillion</f>
        <v>217537607706629.94</v>
      </c>
      <c r="Z13">
        <f>SUMIFS('Crosswalk AEO to EPS Summary'!AB:AB,'Crosswalk AEO to EPS Summary'!$D:$D,$B13)*Percent_urban*quadrillion</f>
        <v>215351230632235.03</v>
      </c>
      <c r="AA13">
        <f>SUMIFS('Crosswalk AEO to EPS Summary'!AC:AC,'Crosswalk AEO to EPS Summary'!$D:$D,$B13)*Percent_urban*quadrillion</f>
        <v>213317712944224.09</v>
      </c>
      <c r="AB13">
        <f>SUMIFS('Crosswalk AEO to EPS Summary'!AD:AD,'Crosswalk AEO to EPS Summary'!$D:$D,$B13)*Percent_urban*quadrillion</f>
        <v>211303709220432.25</v>
      </c>
      <c r="AC13">
        <f>SUMIFS('Crosswalk AEO to EPS Summary'!AE:AE,'Crosswalk AEO to EPS Summary'!$D:$D,$B13)*Percent_urban*quadrillion</f>
        <v>209181565611592.31</v>
      </c>
      <c r="AD13">
        <f>SUMIFS('Crosswalk AEO to EPS Summary'!AF:AF,'Crosswalk AEO to EPS Summary'!$D:$D,$B13)*Percent_urban*quadrillion</f>
        <v>207026898729053.66</v>
      </c>
      <c r="AE13">
        <f>SUMIFS('Crosswalk AEO to EPS Summary'!AG:AG,'Crosswalk AEO to EPS Summary'!$D:$D,$B13)*Percent_urban*quadrillion</f>
        <v>204873044928357.47</v>
      </c>
      <c r="AF13">
        <f>SUMIFS('Crosswalk AEO to EPS Summary'!AH:AH,'Crosswalk AEO to EPS Summary'!$D:$D,$B13)*Percent_urban*quadrillion</f>
        <v>202765536792681.91</v>
      </c>
    </row>
    <row r="14" spans="1:32" x14ac:dyDescent="0.25">
      <c r="B14" s="53" t="str">
        <f t="shared" si="0"/>
        <v>residential-heating-hydrogen (BTU)</v>
      </c>
      <c r="C14" t="s">
        <v>8</v>
      </c>
      <c r="D14" t="s">
        <v>9</v>
      </c>
      <c r="E14" t="s">
        <v>936</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6" spans="1:32" x14ac:dyDescent="0.25">
      <c r="B16" s="1" t="s">
        <v>937</v>
      </c>
    </row>
    <row r="17" spans="2:32" x14ac:dyDescent="0.25">
      <c r="E17" t="s">
        <v>915</v>
      </c>
      <c r="F17" s="1">
        <v>2024</v>
      </c>
      <c r="G17" s="1">
        <v>2025</v>
      </c>
      <c r="H17" s="1">
        <v>2026</v>
      </c>
      <c r="I17" s="1">
        <v>2027</v>
      </c>
      <c r="J17" s="1">
        <v>2028</v>
      </c>
      <c r="K17" s="1">
        <v>2029</v>
      </c>
      <c r="L17" s="1">
        <v>2030</v>
      </c>
      <c r="M17" s="1">
        <v>2031</v>
      </c>
      <c r="N17" s="1">
        <v>2032</v>
      </c>
      <c r="O17" s="1">
        <v>2033</v>
      </c>
      <c r="P17" s="1">
        <v>2034</v>
      </c>
      <c r="Q17" s="1">
        <v>2035</v>
      </c>
      <c r="R17" s="1">
        <v>2036</v>
      </c>
      <c r="S17" s="1">
        <v>2037</v>
      </c>
      <c r="T17" s="1">
        <v>2038</v>
      </c>
      <c r="U17" s="1">
        <v>2039</v>
      </c>
      <c r="V17" s="1">
        <v>2040</v>
      </c>
      <c r="W17" s="1">
        <v>2041</v>
      </c>
      <c r="X17" s="1">
        <v>2042</v>
      </c>
      <c r="Y17" s="1">
        <v>2043</v>
      </c>
      <c r="Z17" s="1">
        <v>2044</v>
      </c>
      <c r="AA17" s="1">
        <v>2045</v>
      </c>
      <c r="AB17" s="1">
        <v>2046</v>
      </c>
      <c r="AC17" s="1">
        <v>2047</v>
      </c>
      <c r="AD17" s="1">
        <v>2048</v>
      </c>
      <c r="AE17" s="1">
        <v>2049</v>
      </c>
      <c r="AF17" s="1">
        <v>2050</v>
      </c>
    </row>
    <row r="18" spans="2:32" x14ac:dyDescent="0.25">
      <c r="B18" s="53" t="str">
        <f t="shared" ref="B18:B27" si="1">C18&amp;"-"&amp;D18&amp;"-"&amp;E18</f>
        <v>residential-cooling-electricity (BTU)</v>
      </c>
      <c r="C18" t="s">
        <v>8</v>
      </c>
      <c r="D18" t="s">
        <v>13</v>
      </c>
      <c r="E18" t="s">
        <v>10</v>
      </c>
      <c r="F18">
        <f>SUMIFS('Crosswalk AEO to EPS Summary'!H:H,'Crosswalk AEO to EPS Summary'!$D:$D,$B18)*Percent_urban*quadrillion</f>
        <v>922563312555654.38</v>
      </c>
      <c r="G18">
        <f>SUMIFS('Crosswalk AEO to EPS Summary'!I:I,'Crosswalk AEO to EPS Summary'!$D:$D,$B18)*Percent_urban*quadrillion</f>
        <v>879762684368169.5</v>
      </c>
      <c r="H18">
        <f>SUMIFS('Crosswalk AEO to EPS Summary'!J:J,'Crosswalk AEO to EPS Summary'!$D:$D,$B18)*Percent_urban*quadrillion</f>
        <v>924297616125637.5</v>
      </c>
      <c r="I18">
        <f>SUMIFS('Crosswalk AEO to EPS Summary'!K:K,'Crosswalk AEO to EPS Summary'!$D:$D,$B18)*Percent_urban*quadrillion</f>
        <v>936312526511778.38</v>
      </c>
      <c r="J18">
        <f>SUMIFS('Crosswalk AEO to EPS Summary'!L:L,'Crosswalk AEO to EPS Summary'!$D:$D,$B18)*Percent_urban*quadrillion</f>
        <v>947796494454788.38</v>
      </c>
      <c r="K18">
        <f>SUMIFS('Crosswalk AEO to EPS Summary'!M:M,'Crosswalk AEO to EPS Summary'!$D:$D,$B18)*Percent_urban*quadrillion</f>
        <v>956801375860114.88</v>
      </c>
      <c r="L18">
        <f>SUMIFS('Crosswalk AEO to EPS Summary'!N:N,'Crosswalk AEO to EPS Summary'!$D:$D,$B18)*Percent_urban*quadrillion</f>
        <v>962400257427345.63</v>
      </c>
      <c r="M18">
        <f>SUMIFS('Crosswalk AEO to EPS Summary'!O:O,'Crosswalk AEO to EPS Summary'!$D:$D,$B18)*Percent_urban*quadrillion</f>
        <v>967295010118999.38</v>
      </c>
      <c r="N18">
        <f>SUMIFS('Crosswalk AEO to EPS Summary'!P:P,'Crosswalk AEO to EPS Summary'!$D:$D,$B18)*Percent_urban*quadrillion</f>
        <v>973087405164737.13</v>
      </c>
      <c r="O18">
        <f>SUMIFS('Crosswalk AEO to EPS Summary'!Q:Q,'Crosswalk AEO to EPS Summary'!$D:$D,$B18)*Percent_urban*quadrillion</f>
        <v>979406677244394</v>
      </c>
      <c r="P18">
        <f>SUMIFS('Crosswalk AEO to EPS Summary'!R:R,'Crosswalk AEO to EPS Summary'!$D:$D,$B18)*Percent_urban*quadrillion</f>
        <v>986794338865053.13</v>
      </c>
      <c r="Q18">
        <f>SUMIFS('Crosswalk AEO to EPS Summary'!S:S,'Crosswalk AEO to EPS Summary'!$D:$D,$B18)*Percent_urban*quadrillion</f>
        <v>994882877033918.88</v>
      </c>
      <c r="R18">
        <f>SUMIFS('Crosswalk AEO to EPS Summary'!T:T,'Crosswalk AEO to EPS Summary'!$D:$D,$B18)*Percent_urban*quadrillion</f>
        <v>1003856861329231.8</v>
      </c>
      <c r="S18">
        <f>SUMIFS('Crosswalk AEO to EPS Summary'!U:U,'Crosswalk AEO to EPS Summary'!$D:$D,$B18)*Percent_urban*quadrillion</f>
        <v>1013187788553387.8</v>
      </c>
      <c r="T18">
        <f>SUMIFS('Crosswalk AEO to EPS Summary'!V:V,'Crosswalk AEO to EPS Summary'!$D:$D,$B18)*Percent_urban*quadrillion</f>
        <v>1022699219946571.6</v>
      </c>
      <c r="U18">
        <f>SUMIFS('Crosswalk AEO to EPS Summary'!W:W,'Crosswalk AEO to EPS Summary'!$D:$D,$B18)*Percent_urban*quadrillion</f>
        <v>1032209025176070.5</v>
      </c>
      <c r="V18">
        <f>SUMIFS('Crosswalk AEO to EPS Summary'!X:X,'Crosswalk AEO to EPS Summary'!$D:$D,$B18)*Percent_urban*quadrillion</f>
        <v>1042195296365255.4</v>
      </c>
      <c r="W18">
        <f>SUMIFS('Crosswalk AEO to EPS Summary'!Y:Y,'Crosswalk AEO to EPS Summary'!$D:$D,$B18)*Percent_urban*quadrillion</f>
        <v>1052601930866995.6</v>
      </c>
      <c r="X18">
        <f>SUMIFS('Crosswalk AEO to EPS Summary'!Z:Z,'Crosswalk AEO to EPS Summary'!$D:$D,$B18)*Percent_urban*quadrillion</f>
        <v>1064472112685177.8</v>
      </c>
      <c r="Y18">
        <f>SUMIFS('Crosswalk AEO to EPS Summary'!AA:AA,'Crosswalk AEO to EPS Summary'!$D:$D,$B18)*Percent_urban*quadrillion</f>
        <v>1077104152189751.5</v>
      </c>
      <c r="Z18">
        <f>SUMIFS('Crosswalk AEO to EPS Summary'!AB:AB,'Crosswalk AEO to EPS Summary'!$D:$D,$B18)*Percent_urban*quadrillion</f>
        <v>1089750014085647.1</v>
      </c>
      <c r="AA18">
        <f>SUMIFS('Crosswalk AEO to EPS Summary'!AC:AC,'Crosswalk AEO to EPS Summary'!$D:$D,$B18)*Percent_urban*quadrillion</f>
        <v>1102973164089694.8</v>
      </c>
      <c r="AB18">
        <f>SUMIFS('Crosswalk AEO to EPS Summary'!AD:AD,'Crosswalk AEO to EPS Summary'!$D:$D,$B18)*Percent_urban*quadrillion</f>
        <v>1115401933133651.8</v>
      </c>
      <c r="AC18">
        <f>SUMIFS('Crosswalk AEO to EPS Summary'!AE:AE,'Crosswalk AEO to EPS Summary'!$D:$D,$B18)*Percent_urban*quadrillion</f>
        <v>1127255853314984</v>
      </c>
      <c r="AD18">
        <f>SUMIFS('Crosswalk AEO to EPS Summary'!AF:AF,'Crosswalk AEO to EPS Summary'!$D:$D,$B18)*Percent_urban*quadrillion</f>
        <v>1138829260260665.3</v>
      </c>
      <c r="AE18">
        <f>SUMIFS('Crosswalk AEO to EPS Summary'!AG:AG,'Crosswalk AEO to EPS Summary'!$D:$D,$B18)*Percent_urban*quadrillion</f>
        <v>1151140132437464.5</v>
      </c>
      <c r="AF18">
        <f>SUMIFS('Crosswalk AEO to EPS Summary'!AH:AH,'Crosswalk AEO to EPS Summary'!$D:$D,$B18)*Percent_urban*quadrillion</f>
        <v>1163438808386626.8</v>
      </c>
    </row>
    <row r="19" spans="2:32" x14ac:dyDescent="0.25">
      <c r="B19" s="53" t="str">
        <f t="shared" si="1"/>
        <v>residential-cooling-coal (BTU)</v>
      </c>
      <c r="C19" t="s">
        <v>8</v>
      </c>
      <c r="D19" t="s">
        <v>13</v>
      </c>
      <c r="E19" t="s">
        <v>932</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2:32" x14ac:dyDescent="0.25">
      <c r="B20" s="53" t="str">
        <f t="shared" si="1"/>
        <v>residential-cooling-natural gas (BTU)</v>
      </c>
      <c r="C20" t="s">
        <v>8</v>
      </c>
      <c r="D20" t="s">
        <v>13</v>
      </c>
      <c r="E20" t="s">
        <v>53</v>
      </c>
      <c r="F20">
        <f>SUMIFS('Crosswalk AEO to EPS Summary'!H:H,'Crosswalk AEO to EPS Summary'!$D:$D,$B20)*Percent_urban*quadrillion</f>
        <v>51629883914838.5</v>
      </c>
      <c r="G20">
        <f>SUMIFS('Crosswalk AEO to EPS Summary'!I:I,'Crosswalk AEO to EPS Summary'!$D:$D,$B20)*Percent_urban*quadrillion</f>
        <v>47644969804905.688</v>
      </c>
      <c r="H20">
        <f>SUMIFS('Crosswalk AEO to EPS Summary'!J:J,'Crosswalk AEO to EPS Summary'!$D:$D,$B20)*Percent_urban*quadrillion</f>
        <v>50537101918562.289</v>
      </c>
      <c r="I20">
        <f>SUMIFS('Crosswalk AEO to EPS Summary'!K:K,'Crosswalk AEO to EPS Summary'!$D:$D,$B20)*Percent_urban*quadrillion</f>
        <v>50890792520035.625</v>
      </c>
      <c r="J20">
        <f>SUMIFS('Crosswalk AEO to EPS Summary'!L:L,'Crosswalk AEO to EPS Summary'!$D:$D,$B20)*Percent_urban*quadrillion</f>
        <v>51022511778515.344</v>
      </c>
      <c r="K20">
        <f>SUMIFS('Crosswalk AEO to EPS Summary'!M:M,'Crosswalk AEO to EPS Summary'!$D:$D,$B20)*Percent_urban*quadrillion</f>
        <v>50989175422974.172</v>
      </c>
      <c r="L20">
        <f>SUMIFS('Crosswalk AEO to EPS Summary'!N:N,'Crosswalk AEO to EPS Summary'!$D:$D,$B20)*Percent_urban*quadrillion</f>
        <v>50879409374241.078</v>
      </c>
      <c r="M20">
        <f>SUMIFS('Crosswalk AEO to EPS Summary'!O:O,'Crosswalk AEO to EPS Summary'!$D:$D,$B20)*Percent_urban*quadrillion</f>
        <v>50779400307617.578</v>
      </c>
      <c r="N20">
        <f>SUMIFS('Crosswalk AEO to EPS Summary'!P:P,'Crosswalk AEO to EPS Summary'!$D:$D,$B20)*Percent_urban*quadrillion</f>
        <v>50760699425240.828</v>
      </c>
      <c r="O20">
        <f>SUMIFS('Crosswalk AEO to EPS Summary'!Q:Q,'Crosswalk AEO to EPS Summary'!$D:$D,$B20)*Percent_urban*quadrillion</f>
        <v>50773708734720.305</v>
      </c>
      <c r="P20">
        <f>SUMIFS('Crosswalk AEO to EPS Summary'!R:R,'Crosswalk AEO to EPS Summary'!$D:$D,$B20)*Percent_urban*quadrillion</f>
        <v>50854203837124.586</v>
      </c>
      <c r="Q20">
        <f>SUMIFS('Crosswalk AEO to EPS Summary'!S:S,'Crosswalk AEO to EPS Summary'!$D:$D,$B20)*Percent_urban*quadrillion</f>
        <v>50953399821905.609</v>
      </c>
      <c r="R20">
        <f>SUMIFS('Crosswalk AEO to EPS Summary'!T:T,'Crosswalk AEO to EPS Summary'!$D:$D,$B20)*Percent_urban*quadrillion</f>
        <v>51104633044604.555</v>
      </c>
      <c r="S20">
        <f>SUMIFS('Crosswalk AEO to EPS Summary'!U:U,'Crosswalk AEO to EPS Summary'!$D:$D,$B20)*Percent_urban*quadrillion</f>
        <v>51281071804419.977</v>
      </c>
      <c r="T20">
        <f>SUMIFS('Crosswalk AEO to EPS Summary'!V:V,'Crosswalk AEO to EPS Summary'!$D:$D,$B20)*Percent_urban*quadrillion</f>
        <v>51474585282927.227</v>
      </c>
      <c r="U20">
        <f>SUMIFS('Crosswalk AEO to EPS Summary'!W:W,'Crosswalk AEO to EPS Summary'!$D:$D,$B20)*Percent_urban*quadrillion</f>
        <v>51689238889338.625</v>
      </c>
      <c r="V20">
        <f>SUMIFS('Crosswalk AEO to EPS Summary'!X:X,'Crosswalk AEO to EPS Summary'!$D:$D,$B20)*Percent_urban*quadrillion</f>
        <v>51951051242613.133</v>
      </c>
      <c r="W20">
        <f>SUMIFS('Crosswalk AEO to EPS Summary'!Y:Y,'Crosswalk AEO to EPS Summary'!$D:$D,$B20)*Percent_urban*quadrillion</f>
        <v>52247826115113.727</v>
      </c>
      <c r="X20">
        <f>SUMIFS('Crosswalk AEO to EPS Summary'!Z:Z,'Crosswalk AEO to EPS Summary'!$D:$D,$B20)*Percent_urban*quadrillion</f>
        <v>52626722253703.555</v>
      </c>
      <c r="Y20">
        <f>SUMIFS('Crosswalk AEO to EPS Summary'!AA:AA,'Crosswalk AEO to EPS Summary'!$D:$D,$B20)*Percent_urban*quadrillion</f>
        <v>53021880029142.719</v>
      </c>
      <c r="Z20">
        <f>SUMIFS('Crosswalk AEO to EPS Summary'!AB:AB,'Crosswalk AEO to EPS Summary'!$D:$D,$B20)*Percent_urban*quadrillion</f>
        <v>53404028495102.406</v>
      </c>
      <c r="AA20">
        <f>SUMIFS('Crosswalk AEO to EPS Summary'!AC:AC,'Crosswalk AEO to EPS Summary'!$D:$D,$B20)*Percent_urban*quadrillion</f>
        <v>53795120861329.227</v>
      </c>
      <c r="AB20">
        <f>SUMIFS('Crosswalk AEO to EPS Summary'!AD:AD,'Crosswalk AEO to EPS Summary'!$D:$D,$B20)*Percent_urban*quadrillion</f>
        <v>54140680644377.875</v>
      </c>
      <c r="AC20">
        <f>SUMIFS('Crosswalk AEO to EPS Summary'!AE:AE,'Crosswalk AEO to EPS Summary'!$D:$D,$B20)*Percent_urban*quadrillion</f>
        <v>54470791872419.648</v>
      </c>
      <c r="AD20">
        <f>SUMIFS('Crosswalk AEO to EPS Summary'!AF:AF,'Crosswalk AEO to EPS Summary'!$D:$D,$B20)*Percent_urban*quadrillion</f>
        <v>54773258317817.531</v>
      </c>
      <c r="AE20">
        <f>SUMIFS('Crosswalk AEO to EPS Summary'!AG:AG,'Crosswalk AEO to EPS Summary'!$D:$D,$B20)*Percent_urban*quadrillion</f>
        <v>55093612563749.695</v>
      </c>
      <c r="AF20">
        <f>SUMIFS('Crosswalk AEO to EPS Summary'!AH:AH,'Crosswalk AEO to EPS Summary'!$D:$D,$B20)*Percent_urban*quadrillion</f>
        <v>55407462154942.109</v>
      </c>
    </row>
    <row r="21" spans="2:32" x14ac:dyDescent="0.25">
      <c r="B21" s="53" t="str">
        <f t="shared" si="1"/>
        <v>residential-cooling-petroleum diesel (BTU)</v>
      </c>
      <c r="C21" t="s">
        <v>8</v>
      </c>
      <c r="D21" t="s">
        <v>13</v>
      </c>
      <c r="E21" t="s">
        <v>68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2:32" x14ac:dyDescent="0.25">
      <c r="B22" s="53" t="str">
        <f t="shared" si="1"/>
        <v>residential-cooling-heat (BTU)</v>
      </c>
      <c r="C22" t="s">
        <v>8</v>
      </c>
      <c r="D22" t="s">
        <v>13</v>
      </c>
      <c r="E22" t="s">
        <v>933</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2:32" x14ac:dyDescent="0.25">
      <c r="B23" s="53" t="str">
        <f t="shared" si="1"/>
        <v>residential-cooling-biomass (BTU)</v>
      </c>
      <c r="C23" t="s">
        <v>8</v>
      </c>
      <c r="D23" t="s">
        <v>13</v>
      </c>
      <c r="E23" t="s">
        <v>88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2:32" x14ac:dyDescent="0.25">
      <c r="B24" s="53" t="str">
        <f t="shared" si="1"/>
        <v>residential-cooling-kerosene (BTU)</v>
      </c>
      <c r="C24" t="s">
        <v>8</v>
      </c>
      <c r="D24" t="s">
        <v>13</v>
      </c>
      <c r="E24" t="s">
        <v>934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row>
    <row r="25" spans="2:32" x14ac:dyDescent="0.25">
      <c r="B25" s="53" t="str">
        <f t="shared" si="1"/>
        <v>residential-cooling-heavy or residual fuel oil (BTU)</v>
      </c>
      <c r="C25" t="s">
        <v>8</v>
      </c>
      <c r="D25" t="s">
        <v>13</v>
      </c>
      <c r="E25" t="s">
        <v>935</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2:32" x14ac:dyDescent="0.25">
      <c r="B26" s="53" t="str">
        <f t="shared" si="1"/>
        <v>residential-cooling-LPG propane or butane (BTU)</v>
      </c>
      <c r="C26" t="s">
        <v>8</v>
      </c>
      <c r="D26" t="s">
        <v>13</v>
      </c>
      <c r="E26" t="s">
        <v>77</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row>
    <row r="27" spans="2:32" x14ac:dyDescent="0.25">
      <c r="B27" s="53" t="str">
        <f t="shared" si="1"/>
        <v>residential-cooling-hydrogen (BTU)</v>
      </c>
      <c r="C27" t="s">
        <v>8</v>
      </c>
      <c r="D27" t="s">
        <v>13</v>
      </c>
      <c r="E27" t="s">
        <v>936</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9" spans="2:32" x14ac:dyDescent="0.25">
      <c r="B29" s="1" t="s">
        <v>938</v>
      </c>
    </row>
    <row r="30" spans="2:32" x14ac:dyDescent="0.25">
      <c r="E30" t="s">
        <v>915</v>
      </c>
      <c r="F30" s="1">
        <v>2024</v>
      </c>
      <c r="G30" s="1">
        <v>2025</v>
      </c>
      <c r="H30" s="1">
        <v>2026</v>
      </c>
      <c r="I30" s="1">
        <v>2027</v>
      </c>
      <c r="J30" s="1">
        <v>2028</v>
      </c>
      <c r="K30" s="1">
        <v>2029</v>
      </c>
      <c r="L30" s="1">
        <v>2030</v>
      </c>
      <c r="M30" s="1">
        <v>2031</v>
      </c>
      <c r="N30" s="1">
        <v>2032</v>
      </c>
      <c r="O30" s="1">
        <v>2033</v>
      </c>
      <c r="P30" s="1">
        <v>2034</v>
      </c>
      <c r="Q30" s="1">
        <v>2035</v>
      </c>
      <c r="R30" s="1">
        <v>2036</v>
      </c>
      <c r="S30" s="1">
        <v>2037</v>
      </c>
      <c r="T30" s="1">
        <v>2038</v>
      </c>
      <c r="U30" s="1">
        <v>2039</v>
      </c>
      <c r="V30" s="1">
        <v>2040</v>
      </c>
      <c r="W30" s="1">
        <v>2041</v>
      </c>
      <c r="X30" s="1">
        <v>2042</v>
      </c>
      <c r="Y30" s="1">
        <v>2043</v>
      </c>
      <c r="Z30" s="1">
        <v>2044</v>
      </c>
      <c r="AA30" s="1">
        <v>2045</v>
      </c>
      <c r="AB30" s="1">
        <v>2046</v>
      </c>
      <c r="AC30" s="1">
        <v>2047</v>
      </c>
      <c r="AD30" s="1">
        <v>2048</v>
      </c>
      <c r="AE30" s="1">
        <v>2049</v>
      </c>
      <c r="AF30" s="1">
        <v>2050</v>
      </c>
    </row>
    <row r="31" spans="2:32" x14ac:dyDescent="0.25">
      <c r="B31" s="53" t="str">
        <f t="shared" ref="B31:B40" si="2">C31&amp;"-"&amp;D31&amp;"-"&amp;E31</f>
        <v>residential-lighting-electricity (BTU)</v>
      </c>
      <c r="C31" t="s">
        <v>8</v>
      </c>
      <c r="D31" t="s">
        <v>27</v>
      </c>
      <c r="E31" t="s">
        <v>10</v>
      </c>
      <c r="F31">
        <f>SUMIFS('Crosswalk AEO to EPS Summary'!H:H,'Crosswalk AEO to EPS Summary'!$D:$D,$B31)*Percent_urban*quadrillion</f>
        <v>152347957904962.38</v>
      </c>
      <c r="G31">
        <f>SUMIFS('Crosswalk AEO to EPS Summary'!I:I,'Crosswalk AEO to EPS Summary'!$D:$D,$B31)*Percent_urban*quadrillion</f>
        <v>148669575649639.75</v>
      </c>
      <c r="H31">
        <f>SUMIFS('Crosswalk AEO to EPS Summary'!J:J,'Crosswalk AEO to EPS Summary'!$D:$D,$B31)*Percent_urban*quadrillion</f>
        <v>148156521007042.78</v>
      </c>
      <c r="I31">
        <f>SUMIFS('Crosswalk AEO to EPS Summary'!K:K,'Crosswalk AEO to EPS Summary'!$D:$D,$B31)*Percent_urban*quadrillion</f>
        <v>149256620739901.22</v>
      </c>
      <c r="J31">
        <f>SUMIFS('Crosswalk AEO to EPS Summary'!L:L,'Crosswalk AEO to EPS Summary'!$D:$D,$B31)*Percent_urban*quadrillion</f>
        <v>150940513235651.25</v>
      </c>
      <c r="K31">
        <f>SUMIFS('Crosswalk AEO to EPS Summary'!M:M,'Crosswalk AEO to EPS Summary'!$D:$D,$B31)*Percent_urban*quadrillion</f>
        <v>152403247470250.13</v>
      </c>
      <c r="L31">
        <f>SUMIFS('Crosswalk AEO to EPS Summary'!N:N,'Crosswalk AEO to EPS Summary'!$D:$D,$B31)*Percent_urban*quadrillion</f>
        <v>152041426050352.13</v>
      </c>
      <c r="M31">
        <f>SUMIFS('Crosswalk AEO to EPS Summary'!O:O,'Crosswalk AEO to EPS Summary'!$D:$D,$B31)*Percent_urban*quadrillion</f>
        <v>151577969400145.69</v>
      </c>
      <c r="N31">
        <f>SUMIFS('Crosswalk AEO to EPS Summary'!P:P,'Crosswalk AEO to EPS Summary'!$D:$D,$B31)*Percent_urban*quadrillion</f>
        <v>151445437059823.53</v>
      </c>
      <c r="O31">
        <f>SUMIFS('Crosswalk AEO to EPS Summary'!Q:Q,'Crosswalk AEO to EPS Summary'!$D:$D,$B31)*Percent_urban*quadrillion</f>
        <v>151561707763296.34</v>
      </c>
      <c r="P31">
        <f>SUMIFS('Crosswalk AEO to EPS Summary'!R:R,'Crosswalk AEO to EPS Summary'!$D:$D,$B31)*Percent_urban*quadrillion</f>
        <v>151836529426050.34</v>
      </c>
      <c r="Q31">
        <f>SUMIFS('Crosswalk AEO to EPS Summary'!S:S,'Crosswalk AEO to EPS Summary'!$D:$D,$B31)*Percent_urban*quadrillion</f>
        <v>152221117137537.41</v>
      </c>
      <c r="R31">
        <f>SUMIFS('Crosswalk AEO to EPS Summary'!T:T,'Crosswalk AEO to EPS Summary'!$D:$D,$B31)*Percent_urban*quadrillion</f>
        <v>152659368250627.38</v>
      </c>
      <c r="S31">
        <f>SUMIFS('Crosswalk AEO to EPS Summary'!U:U,'Crosswalk AEO to EPS Summary'!$D:$D,$B31)*Percent_urban*quadrillion</f>
        <v>153043142880272</v>
      </c>
      <c r="T31">
        <f>SUMIFS('Crosswalk AEO to EPS Summary'!V:V,'Crosswalk AEO to EPS Summary'!$D:$D,$B31)*Percent_urban*quadrillion</f>
        <v>153447244555978.31</v>
      </c>
      <c r="U31">
        <f>SUMIFS('Crosswalk AEO to EPS Summary'!W:W,'Crosswalk AEO to EPS Summary'!$D:$D,$B31)*Percent_urban*quadrillion</f>
        <v>153997700963328.75</v>
      </c>
      <c r="V31">
        <f>SUMIFS('Crosswalk AEO to EPS Summary'!X:X,'Crosswalk AEO to EPS Summary'!$D:$D,$B31)*Percent_urban*quadrillion</f>
        <v>152074762405893.28</v>
      </c>
      <c r="W31">
        <f>SUMIFS('Crosswalk AEO to EPS Summary'!Y:Y,'Crosswalk AEO to EPS Summary'!$D:$D,$B31)*Percent_urban*quadrillion</f>
        <v>150492505140451.72</v>
      </c>
      <c r="X31">
        <f>SUMIFS('Crosswalk AEO to EPS Summary'!Z:Z,'Crosswalk AEO to EPS Summary'!$D:$D,$B31)*Percent_urban*quadrillion</f>
        <v>149355816724682.25</v>
      </c>
      <c r="Y31">
        <f>SUMIFS('Crosswalk AEO to EPS Summary'!AA:AA,'Crosswalk AEO to EPS Summary'!$D:$D,$B31)*Percent_urban*quadrillion</f>
        <v>148668762567797.28</v>
      </c>
      <c r="Z31">
        <f>SUMIFS('Crosswalk AEO to EPS Summary'!AB:AB,'Crosswalk AEO to EPS Summary'!$D:$D,$B31)*Percent_urban*quadrillion</f>
        <v>148368735367926.81</v>
      </c>
      <c r="AA31">
        <f>SUMIFS('Crosswalk AEO to EPS Summary'!AC:AC,'Crosswalk AEO to EPS Summary'!$D:$D,$B31)*Percent_urban*quadrillion</f>
        <v>148293118756577.34</v>
      </c>
      <c r="AB31">
        <f>SUMIFS('Crosswalk AEO to EPS Summary'!AD:AD,'Crosswalk AEO to EPS Summary'!$D:$D,$B31)*Percent_urban*quadrillion</f>
        <v>148232950700234.75</v>
      </c>
      <c r="AC31">
        <f>SUMIFS('Crosswalk AEO to EPS Summary'!AE:AE,'Crosswalk AEO to EPS Summary'!$D:$D,$B31)*Percent_urban*quadrillion</f>
        <v>148145137861248.28</v>
      </c>
      <c r="AD31">
        <f>SUMIFS('Crosswalk AEO to EPS Summary'!AF:AF,'Crosswalk AEO to EPS Summary'!$D:$D,$B31)*Percent_urban*quadrillion</f>
        <v>148137007042823.59</v>
      </c>
      <c r="AE31">
        <f>SUMIFS('Crosswalk AEO to EPS Summary'!AG:AG,'Crosswalk AEO to EPS Summary'!$D:$D,$B31)*Percent_urban*quadrillion</f>
        <v>148285801019995.13</v>
      </c>
      <c r="AF31">
        <f>SUMIFS('Crosswalk AEO to EPS Summary'!AH:AH,'Crosswalk AEO to EPS Summary'!$D:$D,$B31)*Percent_urban*quadrillion</f>
        <v>148458987452440.69</v>
      </c>
    </row>
    <row r="32" spans="2:32" x14ac:dyDescent="0.25">
      <c r="B32" s="53" t="str">
        <f t="shared" si="2"/>
        <v>residential-lighting-coal (BTU)</v>
      </c>
      <c r="C32" t="s">
        <v>8</v>
      </c>
      <c r="D32" t="s">
        <v>27</v>
      </c>
      <c r="E32" t="s">
        <v>932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row>
    <row r="33" spans="2:32" x14ac:dyDescent="0.25">
      <c r="B33" s="53" t="str">
        <f t="shared" si="2"/>
        <v>residential-lighting-natural gas (BTU)</v>
      </c>
      <c r="C33" t="s">
        <v>8</v>
      </c>
      <c r="D33" t="s">
        <v>27</v>
      </c>
      <c r="E33" t="s">
        <v>53</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2:32" x14ac:dyDescent="0.25">
      <c r="B34" s="53" t="str">
        <f t="shared" si="2"/>
        <v>residential-lighting-petroleum diesel (BTU)</v>
      </c>
      <c r="C34" t="s">
        <v>8</v>
      </c>
      <c r="D34" t="s">
        <v>27</v>
      </c>
      <c r="E34" t="s">
        <v>68</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row>
    <row r="35" spans="2:32" x14ac:dyDescent="0.25">
      <c r="B35" s="53" t="str">
        <f t="shared" si="2"/>
        <v>residential-lighting-heat (BTU)</v>
      </c>
      <c r="C35" t="s">
        <v>8</v>
      </c>
      <c r="D35" t="s">
        <v>27</v>
      </c>
      <c r="E35" t="s">
        <v>933</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6" spans="2:32" x14ac:dyDescent="0.25">
      <c r="B36" s="53" t="str">
        <f t="shared" si="2"/>
        <v>residential-lighting-biomass (BTU)</v>
      </c>
      <c r="C36" t="s">
        <v>8</v>
      </c>
      <c r="D36" t="s">
        <v>27</v>
      </c>
      <c r="E36" t="s">
        <v>88</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row>
    <row r="37" spans="2:32" x14ac:dyDescent="0.25">
      <c r="B37" s="53" t="str">
        <f t="shared" si="2"/>
        <v>residential-lighting-kerosene (BTU)</v>
      </c>
      <c r="C37" t="s">
        <v>8</v>
      </c>
      <c r="D37" t="s">
        <v>27</v>
      </c>
      <c r="E37" t="s">
        <v>934</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row>
    <row r="38" spans="2:32" x14ac:dyDescent="0.25">
      <c r="B38" s="53" t="str">
        <f t="shared" si="2"/>
        <v>residential-lighting-heavy or residual fuel oil (BTU)</v>
      </c>
      <c r="C38" t="s">
        <v>8</v>
      </c>
      <c r="D38" t="s">
        <v>27</v>
      </c>
      <c r="E38" t="s">
        <v>935</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row>
    <row r="39" spans="2:32" x14ac:dyDescent="0.25">
      <c r="B39" s="53" t="str">
        <f t="shared" si="2"/>
        <v>residential-lighting-LPG propane or butane (BTU)</v>
      </c>
      <c r="C39" t="s">
        <v>8</v>
      </c>
      <c r="D39" t="s">
        <v>27</v>
      </c>
      <c r="E39" t="s">
        <v>77</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row>
    <row r="40" spans="2:32" x14ac:dyDescent="0.25">
      <c r="B40" s="53" t="str">
        <f t="shared" si="2"/>
        <v>residential-lighting-hydrogen (BTU)</v>
      </c>
      <c r="C40" t="s">
        <v>8</v>
      </c>
      <c r="D40" t="s">
        <v>27</v>
      </c>
      <c r="E40" t="s">
        <v>936</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row>
    <row r="42" spans="2:32" x14ac:dyDescent="0.25">
      <c r="B42" s="1" t="s">
        <v>939</v>
      </c>
    </row>
    <row r="43" spans="2:32" x14ac:dyDescent="0.25">
      <c r="E43" t="s">
        <v>915</v>
      </c>
      <c r="F43" s="1">
        <v>2024</v>
      </c>
      <c r="G43" s="1">
        <v>2025</v>
      </c>
      <c r="H43" s="1">
        <v>2026</v>
      </c>
      <c r="I43" s="1">
        <v>2027</v>
      </c>
      <c r="J43" s="1">
        <v>2028</v>
      </c>
      <c r="K43" s="1">
        <v>2029</v>
      </c>
      <c r="L43" s="1">
        <v>2030</v>
      </c>
      <c r="M43" s="1">
        <v>2031</v>
      </c>
      <c r="N43" s="1">
        <v>2032</v>
      </c>
      <c r="O43" s="1">
        <v>2033</v>
      </c>
      <c r="P43" s="1">
        <v>2034</v>
      </c>
      <c r="Q43" s="1">
        <v>2035</v>
      </c>
      <c r="R43" s="1">
        <v>2036</v>
      </c>
      <c r="S43" s="1">
        <v>2037</v>
      </c>
      <c r="T43" s="1">
        <v>2038</v>
      </c>
      <c r="U43" s="1">
        <v>2039</v>
      </c>
      <c r="V43" s="1">
        <v>2040</v>
      </c>
      <c r="W43" s="1">
        <v>2041</v>
      </c>
      <c r="X43" s="1">
        <v>2042</v>
      </c>
      <c r="Y43" s="1">
        <v>2043</v>
      </c>
      <c r="Z43" s="1">
        <v>2044</v>
      </c>
      <c r="AA43" s="1">
        <v>2045</v>
      </c>
      <c r="AB43" s="1">
        <v>2046</v>
      </c>
      <c r="AC43" s="1">
        <v>2047</v>
      </c>
      <c r="AD43" s="1">
        <v>2048</v>
      </c>
      <c r="AE43" s="1">
        <v>2049</v>
      </c>
      <c r="AF43" s="1">
        <v>2050</v>
      </c>
    </row>
    <row r="44" spans="2:32" x14ac:dyDescent="0.25">
      <c r="B44" s="53" t="str">
        <f t="shared" ref="B44:B53" si="3">C44&amp;"-"&amp;D44&amp;"-"&amp;E44</f>
        <v>residential-appliances-electricity (BTU)</v>
      </c>
      <c r="C44" t="s">
        <v>8</v>
      </c>
      <c r="D44" t="s">
        <v>16</v>
      </c>
      <c r="E44" t="s">
        <v>10</v>
      </c>
      <c r="F44">
        <f>SUMIFS('Crosswalk AEO to EPS Summary'!H:H,'Crosswalk AEO to EPS Summary'!$D:$D,$B44)*Percent_urban*quadrillion</f>
        <v>1009091482231036.9</v>
      </c>
      <c r="G44">
        <f>SUMIFS('Crosswalk AEO to EPS Summary'!I:I,'Crosswalk AEO to EPS Summary'!$D:$D,$B44)*Percent_urban*quadrillion</f>
        <v>990293030033190.38</v>
      </c>
      <c r="H44">
        <f>SUMIFS('Crosswalk AEO to EPS Summary'!J:J,'Crosswalk AEO to EPS Summary'!$D:$D,$B44)*Percent_urban*quadrillion</f>
        <v>984233131061280.75</v>
      </c>
      <c r="I44">
        <f>SUMIFS('Crosswalk AEO to EPS Summary'!K:K,'Crosswalk AEO to EPS Summary'!$D:$D,$B44)*Percent_urban*quadrillion</f>
        <v>979726218408483.75</v>
      </c>
      <c r="J44">
        <f>SUMIFS('Crosswalk AEO to EPS Summary'!L:L,'Crosswalk AEO to EPS Summary'!$D:$D,$B44)*Percent_urban*quadrillion</f>
        <v>975920182303893.63</v>
      </c>
      <c r="K44">
        <f>SUMIFS('Crosswalk AEO to EPS Summary'!M:M,'Crosswalk AEO to EPS Summary'!$D:$D,$B44)*Percent_urban*quadrillion</f>
        <v>961864436493159.5</v>
      </c>
      <c r="L44">
        <f>SUMIFS('Crosswalk AEO to EPS Summary'!N:N,'Crosswalk AEO to EPS Summary'!$D:$D,$B44)*Percent_urban*quadrillion</f>
        <v>940998317169918.13</v>
      </c>
      <c r="M44">
        <f>SUMIFS('Crosswalk AEO to EPS Summary'!O:O,'Crosswalk AEO to EPS Summary'!$D:$D,$B44)*Percent_urban*quadrillion</f>
        <v>918764594187646.5</v>
      </c>
      <c r="N44">
        <f>SUMIFS('Crosswalk AEO to EPS Summary'!P:P,'Crosswalk AEO to EPS Summary'!$D:$D,$B44)*Percent_urban*quadrillion</f>
        <v>897643167165870.5</v>
      </c>
      <c r="O44">
        <f>SUMIFS('Crosswalk AEO to EPS Summary'!Q:Q,'Crosswalk AEO to EPS Summary'!$D:$D,$B44)*Percent_urban*quadrillion</f>
        <v>878612173561078.25</v>
      </c>
      <c r="P44">
        <f>SUMIFS('Crosswalk AEO to EPS Summary'!R:R,'Crosswalk AEO to EPS Summary'!$D:$D,$B44)*Percent_urban*quadrillion</f>
        <v>861681370355379.13</v>
      </c>
      <c r="Q44">
        <f>SUMIFS('Crosswalk AEO to EPS Summary'!S:S,'Crosswalk AEO to EPS Summary'!$D:$D,$B44)*Percent_urban*quadrillion</f>
        <v>846862140694568.13</v>
      </c>
      <c r="R44">
        <f>SUMIFS('Crosswalk AEO to EPS Summary'!T:T,'Crosswalk AEO to EPS Summary'!$D:$D,$B44)*Percent_urban*quadrillion</f>
        <v>834497605116166.13</v>
      </c>
      <c r="S44">
        <f>SUMIFS('Crosswalk AEO to EPS Summary'!U:U,'Crosswalk AEO to EPS Summary'!$D:$D,$B44)*Percent_urban*quadrillion</f>
        <v>824457670525378.38</v>
      </c>
      <c r="T44">
        <f>SUMIFS('Crosswalk AEO to EPS Summary'!V:V,'Crosswalk AEO to EPS Summary'!$D:$D,$B44)*Percent_urban*quadrillion</f>
        <v>816866738444102.5</v>
      </c>
      <c r="U44">
        <f>SUMIFS('Crosswalk AEO to EPS Summary'!W:W,'Crosswalk AEO to EPS Summary'!$D:$D,$B44)*Percent_urban*quadrillion</f>
        <v>811643500688091.75</v>
      </c>
      <c r="V44">
        <f>SUMIFS('Crosswalk AEO to EPS Summary'!X:X,'Crosswalk AEO to EPS Summary'!$D:$D,$B44)*Percent_urban*quadrillion</f>
        <v>808531836476969</v>
      </c>
      <c r="W44">
        <f>SUMIFS('Crosswalk AEO to EPS Summary'!Y:Y,'Crosswalk AEO to EPS Summary'!$D:$D,$B44)*Percent_urban*quadrillion</f>
        <v>807555325184165.88</v>
      </c>
      <c r="X44">
        <f>SUMIFS('Crosswalk AEO to EPS Summary'!Z:Z,'Crosswalk AEO to EPS Summary'!$D:$D,$B44)*Percent_urban*quadrillion</f>
        <v>808347266898728.88</v>
      </c>
      <c r="Y44">
        <f>SUMIFS('Crosswalk AEO to EPS Summary'!AA:AA,'Crosswalk AEO to EPS Summary'!$D:$D,$B44)*Percent_urban*quadrillion</f>
        <v>811013362260179.63</v>
      </c>
      <c r="Z44">
        <f>SUMIFS('Crosswalk AEO to EPS Summary'!AB:AB,'Crosswalk AEO to EPS Summary'!$D:$D,$B44)*Percent_urban*quadrillion</f>
        <v>813998998785720</v>
      </c>
      <c r="AA44">
        <f>SUMIFS('Crosswalk AEO to EPS Summary'!AC:AC,'Crosswalk AEO to EPS Summary'!$D:$D,$B44)*Percent_urban*quadrillion</f>
        <v>817457848943576.38</v>
      </c>
      <c r="AB44">
        <f>SUMIFS('Crosswalk AEO to EPS Summary'!AD:AD,'Crosswalk AEO to EPS Summary'!$D:$D,$B44)*Percent_urban*quadrillion</f>
        <v>821224044037885.38</v>
      </c>
      <c r="AC44">
        <f>SUMIFS('Crosswalk AEO to EPS Summary'!AE:AE,'Crosswalk AEO to EPS Summary'!$D:$D,$B44)*Percent_urban*quadrillion</f>
        <v>825217088966243</v>
      </c>
      <c r="AD44">
        <f>SUMIFS('Crosswalk AEO to EPS Summary'!AF:AF,'Crosswalk AEO to EPS Summary'!$D:$D,$B44)*Percent_urban*quadrillion</f>
        <v>829171105966162</v>
      </c>
      <c r="AE44">
        <f>SUMIFS('Crosswalk AEO to EPS Summary'!AG:AG,'Crosswalk AEO to EPS Summary'!$D:$D,$B44)*Percent_urban*quadrillion</f>
        <v>833404823119890</v>
      </c>
      <c r="AF44">
        <f>SUMIFS('Crosswalk AEO to EPS Summary'!AH:AH,'Crosswalk AEO to EPS Summary'!$D:$D,$B44)*Percent_urban*quadrillion</f>
        <v>837770259532097.5</v>
      </c>
    </row>
    <row r="45" spans="2:32" x14ac:dyDescent="0.25">
      <c r="B45" s="53" t="str">
        <f t="shared" si="3"/>
        <v>residential-appliances-coal (BTU)</v>
      </c>
      <c r="C45" t="s">
        <v>8</v>
      </c>
      <c r="D45" t="s">
        <v>16</v>
      </c>
      <c r="E45" t="s">
        <v>932</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row>
    <row r="46" spans="2:32" x14ac:dyDescent="0.25">
      <c r="B46" s="53" t="str">
        <f t="shared" si="3"/>
        <v>residential-appliances-natural gas (BTU)</v>
      </c>
      <c r="C46" t="s">
        <v>8</v>
      </c>
      <c r="D46" t="s">
        <v>16</v>
      </c>
      <c r="E46" t="s">
        <v>53</v>
      </c>
      <c r="F46">
        <f>SUMIFS('Crosswalk AEO to EPS Summary'!H:H,'Crosswalk AEO to EPS Summary'!$D:$D,$B46)*Percent_urban*quadrillion</f>
        <v>937723223508459.38</v>
      </c>
      <c r="G46">
        <f>SUMIFS('Crosswalk AEO to EPS Summary'!I:I,'Crosswalk AEO to EPS Summary'!$D:$D,$B46)*Percent_urban*quadrillion</f>
        <v>927814195094309.13</v>
      </c>
      <c r="H46">
        <f>SUMIFS('Crosswalk AEO to EPS Summary'!J:J,'Crosswalk AEO to EPS Summary'!$D:$D,$B46)*Percent_urban*quadrillion</f>
        <v>937254888367198.25</v>
      </c>
      <c r="I46">
        <f>SUMIFS('Crosswalk AEO to EPS Summary'!K:K,'Crosswalk AEO to EPS Summary'!$D:$D,$B46)*Percent_urban*quadrillion</f>
        <v>946092274912976.63</v>
      </c>
      <c r="J46">
        <f>SUMIFS('Crosswalk AEO to EPS Summary'!L:L,'Crosswalk AEO to EPS Summary'!$D:$D,$B46)*Percent_urban*quadrillion</f>
        <v>954519055128308.88</v>
      </c>
      <c r="K46">
        <f>SUMIFS('Crosswalk AEO to EPS Summary'!M:M,'Crosswalk AEO to EPS Summary'!$D:$D,$B46)*Percent_urban*quadrillion</f>
        <v>953458796405731.25</v>
      </c>
      <c r="L46">
        <f>SUMIFS('Crosswalk AEO to EPS Summary'!N:N,'Crosswalk AEO to EPS Summary'!$D:$D,$B46)*Percent_urban*quadrillion</f>
        <v>950956943576459</v>
      </c>
      <c r="M46">
        <f>SUMIFS('Crosswalk AEO to EPS Summary'!O:O,'Crosswalk AEO to EPS Summary'!$D:$D,$B46)*Percent_urban*quadrillion</f>
        <v>949038070428236</v>
      </c>
      <c r="N46">
        <f>SUMIFS('Crosswalk AEO to EPS Summary'!P:P,'Crosswalk AEO to EPS Summary'!$D:$D,$B46)*Percent_urban*quadrillion</f>
        <v>948072942281227.13</v>
      </c>
      <c r="O46">
        <f>SUMIFS('Crosswalk AEO to EPS Summary'!Q:Q,'Crosswalk AEO to EPS Summary'!$D:$D,$B46)*Percent_urban*quadrillion</f>
        <v>946249199708572.63</v>
      </c>
      <c r="P46">
        <f>SUMIFS('Crosswalk AEO to EPS Summary'!R:R,'Crosswalk AEO to EPS Summary'!$D:$D,$B46)*Percent_urban*quadrillion</f>
        <v>946158947624058.88</v>
      </c>
      <c r="Q46">
        <f>SUMIFS('Crosswalk AEO to EPS Summary'!S:S,'Crosswalk AEO to EPS Summary'!$D:$D,$B46)*Percent_urban*quadrillion</f>
        <v>947408654415931.38</v>
      </c>
      <c r="R46">
        <f>SUMIFS('Crosswalk AEO to EPS Summary'!T:T,'Crosswalk AEO to EPS Summary'!$D:$D,$B46)*Percent_urban*quadrillion</f>
        <v>948315240670282.38</v>
      </c>
      <c r="S46">
        <f>SUMIFS('Crosswalk AEO to EPS Summary'!U:U,'Crosswalk AEO to EPS Summary'!$D:$D,$B46)*Percent_urban*quadrillion</f>
        <v>948441268355865</v>
      </c>
      <c r="T46">
        <f>SUMIFS('Crosswalk AEO to EPS Summary'!V:V,'Crosswalk AEO to EPS Summary'!$D:$D,$B46)*Percent_urban*quadrillion</f>
        <v>948386791872419.63</v>
      </c>
      <c r="U46">
        <f>SUMIFS('Crosswalk AEO to EPS Summary'!W:W,'Crosswalk AEO to EPS Summary'!$D:$D,$B46)*Percent_urban*quadrillion</f>
        <v>947974559378288.5</v>
      </c>
      <c r="V46">
        <f>SUMIFS('Crosswalk AEO to EPS Summary'!X:X,'Crosswalk AEO to EPS Summary'!$D:$D,$B46)*Percent_urban*quadrillion</f>
        <v>947359869505383.25</v>
      </c>
      <c r="W46">
        <f>SUMIFS('Crosswalk AEO to EPS Summary'!Y:Y,'Crosswalk AEO to EPS Summary'!$D:$D,$B46)*Percent_urban*quadrillion</f>
        <v>946252452035942.5</v>
      </c>
      <c r="X46">
        <f>SUMIFS('Crosswalk AEO to EPS Summary'!Z:Z,'Crosswalk AEO to EPS Summary'!$D:$D,$B46)*Percent_urban*quadrillion</f>
        <v>945211707277584.38</v>
      </c>
      <c r="Y46">
        <f>SUMIFS('Crosswalk AEO to EPS Summary'!AA:AA,'Crosswalk AEO to EPS Summary'!$D:$D,$B46)*Percent_urban*quadrillion</f>
        <v>943940860357807.63</v>
      </c>
      <c r="Z46">
        <f>SUMIFS('Crosswalk AEO to EPS Summary'!AB:AB,'Crosswalk AEO to EPS Summary'!$D:$D,$B46)*Percent_urban*quadrillion</f>
        <v>942393565611592.25</v>
      </c>
      <c r="AA46">
        <f>SUMIFS('Crosswalk AEO to EPS Summary'!AC:AC,'Crosswalk AEO to EPS Summary'!$D:$D,$B46)*Percent_urban*quadrillion</f>
        <v>940275487411964.63</v>
      </c>
      <c r="AB46">
        <f>SUMIFS('Crosswalk AEO to EPS Summary'!AD:AD,'Crosswalk AEO to EPS Summary'!$D:$D,$B46)*Percent_urban*quadrillion</f>
        <v>937293103213794.13</v>
      </c>
      <c r="AC46">
        <f>SUMIFS('Crosswalk AEO to EPS Summary'!AE:AE,'Crosswalk AEO to EPS Summary'!$D:$D,$B46)*Percent_urban*quadrillion</f>
        <v>933669197441916.88</v>
      </c>
      <c r="AD46">
        <f>SUMIFS('Crosswalk AEO to EPS Summary'!AF:AF,'Crosswalk AEO to EPS Summary'!$D:$D,$B46)*Percent_urban*quadrillion</f>
        <v>929891619201813.13</v>
      </c>
      <c r="AE46">
        <f>SUMIFS('Crosswalk AEO to EPS Summary'!AG:AG,'Crosswalk AEO to EPS Summary'!$D:$D,$B46)*Percent_urban*quadrillion</f>
        <v>926354713187080.13</v>
      </c>
      <c r="AF46">
        <f>SUMIFS('Crosswalk AEO to EPS Summary'!AH:AH,'Crosswalk AEO to EPS Summary'!$D:$D,$B46)*Percent_urban*quadrillion</f>
        <v>923400786853395.88</v>
      </c>
    </row>
    <row r="47" spans="2:32" x14ac:dyDescent="0.25">
      <c r="B47" s="53" t="str">
        <f t="shared" si="3"/>
        <v>residential-appliances-petroleum diesel (BTU)</v>
      </c>
      <c r="C47" t="s">
        <v>8</v>
      </c>
      <c r="D47" t="s">
        <v>16</v>
      </c>
      <c r="E47" t="s">
        <v>68</v>
      </c>
      <c r="F47">
        <f>SUMIFS('Crosswalk AEO to EPS Summary'!H:H,'Crosswalk AEO to EPS Summary'!$D:$D,$B47)*Percent_urban*quadrillion</f>
        <v>32750936614587.551</v>
      </c>
      <c r="G47">
        <f>SUMIFS('Crosswalk AEO to EPS Summary'!I:I,'Crosswalk AEO to EPS Summary'!$D:$D,$B47)*Percent_urban*quadrillion</f>
        <v>30780839310288.996</v>
      </c>
      <c r="H47">
        <f>SUMIFS('Crosswalk AEO to EPS Summary'!J:J,'Crosswalk AEO to EPS Summary'!$D:$D,$B47)*Percent_urban*quadrillion</f>
        <v>29169311098518.574</v>
      </c>
      <c r="I47">
        <f>SUMIFS('Crosswalk AEO to EPS Summary'!K:K,'Crosswalk AEO to EPS Summary'!$D:$D,$B47)*Percent_urban*quadrillion</f>
        <v>27453708410912.328</v>
      </c>
      <c r="J47">
        <f>SUMIFS('Crosswalk AEO to EPS Summary'!L:L,'Crosswalk AEO to EPS Summary'!$D:$D,$B47)*Percent_urban*quadrillion</f>
        <v>25823479316765.152</v>
      </c>
      <c r="K47">
        <f>SUMIFS('Crosswalk AEO to EPS Summary'!M:M,'Crosswalk AEO to EPS Summary'!$D:$D,$B47)*Percent_urban*quadrillion</f>
        <v>24247726706063.301</v>
      </c>
      <c r="L47">
        <f>SUMIFS('Crosswalk AEO to EPS Summary'!N:N,'Crosswalk AEO to EPS Summary'!$D:$D,$B47)*Percent_urban*quadrillion</f>
        <v>22915085566259.207</v>
      </c>
      <c r="M47">
        <f>SUMIFS('Crosswalk AEO to EPS Summary'!O:O,'Crosswalk AEO to EPS Summary'!$D:$D,$B47)*Percent_urban*quadrillion</f>
        <v>21767014004695.215</v>
      </c>
      <c r="N47">
        <f>SUMIFS('Crosswalk AEO to EPS Summary'!P:P,'Crosswalk AEO to EPS Summary'!$D:$D,$B47)*Percent_urban*quadrillion</f>
        <v>20833596049542.621</v>
      </c>
      <c r="O47">
        <f>SUMIFS('Crosswalk AEO to EPS Summary'!Q:Q,'Crosswalk AEO to EPS Summary'!$D:$D,$B47)*Percent_urban*quadrillion</f>
        <v>20092878491054.805</v>
      </c>
      <c r="P47">
        <f>SUMIFS('Crosswalk AEO to EPS Summary'!R:R,'Crosswalk AEO to EPS Summary'!$D:$D,$B47)*Percent_urban*quadrillion</f>
        <v>19574945357403.059</v>
      </c>
      <c r="Q47">
        <f>SUMIFS('Crosswalk AEO to EPS Summary'!S:S,'Crosswalk AEO to EPS Summary'!$D:$D,$B47)*Percent_urban*quadrillion</f>
        <v>19250525702258.559</v>
      </c>
      <c r="R47">
        <f>SUMIFS('Crosswalk AEO to EPS Summary'!T:T,'Crosswalk AEO to EPS Summary'!$D:$D,$B47)*Percent_urban*quadrillion</f>
        <v>18891143527887.961</v>
      </c>
      <c r="S47">
        <f>SUMIFS('Crosswalk AEO to EPS Summary'!U:U,'Crosswalk AEO to EPS Summary'!$D:$D,$B47)*Percent_urban*quadrillion</f>
        <v>18520378207722.82</v>
      </c>
      <c r="T47">
        <f>SUMIFS('Crosswalk AEO to EPS Summary'!V:V,'Crosswalk AEO to EPS Summary'!$D:$D,$B47)*Percent_urban*quadrillion</f>
        <v>18139042823605.602</v>
      </c>
      <c r="U47">
        <f>SUMIFS('Crosswalk AEO to EPS Summary'!W:W,'Crosswalk AEO to EPS Summary'!$D:$D,$B47)*Percent_urban*quadrillion</f>
        <v>17752828948433.578</v>
      </c>
      <c r="V47">
        <f>SUMIFS('Crosswalk AEO to EPS Summary'!X:X,'Crosswalk AEO to EPS Summary'!$D:$D,$B47)*Percent_urban*quadrillion</f>
        <v>17362549664049.221</v>
      </c>
      <c r="W47">
        <f>SUMIFS('Crosswalk AEO to EPS Summary'!Y:Y,'Crosswalk AEO to EPS Summary'!$D:$D,$B47)*Percent_urban*quadrillion</f>
        <v>16962513397555.248</v>
      </c>
      <c r="X47">
        <f>SUMIFS('Crosswalk AEO to EPS Summary'!Z:Z,'Crosswalk AEO to EPS Summary'!$D:$D,$B47)*Percent_urban*quadrillion</f>
        <v>16560037885533.879</v>
      </c>
      <c r="Y47">
        <f>SUMIFS('Crosswalk AEO to EPS Summary'!AA:AA,'Crosswalk AEO to EPS Summary'!$D:$D,$B47)*Percent_urban*quadrillion</f>
        <v>16155936209827.57</v>
      </c>
      <c r="Z47">
        <f>SUMIFS('Crosswalk AEO to EPS Summary'!AB:AB,'Crosswalk AEO to EPS Summary'!$D:$D,$B47)*Percent_urban*quadrillion</f>
        <v>15751021452278.799</v>
      </c>
      <c r="AA47">
        <f>SUMIFS('Crosswalk AEO to EPS Summary'!AC:AC,'Crosswalk AEO to EPS Summary'!$D:$D,$B47)*Percent_urban*quadrillion</f>
        <v>15342854367360.156</v>
      </c>
      <c r="AB47">
        <f>SUMIFS('Crosswalk AEO to EPS Summary'!AD:AD,'Crosswalk AEO to EPS Summary'!$D:$D,$B47)*Percent_urban*quadrillion</f>
        <v>14937939609811.381</v>
      </c>
      <c r="AC47">
        <f>SUMIFS('Crosswalk AEO to EPS Summary'!AE:AE,'Crosswalk AEO to EPS Summary'!$D:$D,$B47)*Percent_urban*quadrillion</f>
        <v>14538716425159.879</v>
      </c>
      <c r="AD47">
        <f>SUMIFS('Crosswalk AEO to EPS Summary'!AF:AF,'Crosswalk AEO to EPS Summary'!$D:$D,$B47)*Percent_urban*quadrillion</f>
        <v>14148437140775.52</v>
      </c>
      <c r="AE47">
        <f>SUMIFS('Crosswalk AEO to EPS Summary'!AG:AG,'Crosswalk AEO to EPS Summary'!$D:$D,$B47)*Percent_urban*quadrillion</f>
        <v>13773606411398.039</v>
      </c>
      <c r="AF47">
        <f>SUMIFS('Crosswalk AEO to EPS Summary'!AH:AH,'Crosswalk AEO to EPS Summary'!$D:$D,$B47)*Percent_urban*quadrillion</f>
        <v>13423168137294.582</v>
      </c>
    </row>
    <row r="48" spans="2:32" x14ac:dyDescent="0.25">
      <c r="B48" s="53" t="str">
        <f t="shared" si="3"/>
        <v>residential-appliances-heat (BTU)</v>
      </c>
      <c r="C48" t="s">
        <v>8</v>
      </c>
      <c r="D48" t="s">
        <v>16</v>
      </c>
      <c r="E48" t="s">
        <v>933</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row>
    <row r="49" spans="2:32" x14ac:dyDescent="0.25">
      <c r="B49" s="53" t="str">
        <f t="shared" si="3"/>
        <v>residential-appliances-biomass (BTU)</v>
      </c>
      <c r="C49" t="s">
        <v>8</v>
      </c>
      <c r="D49" t="s">
        <v>16</v>
      </c>
      <c r="E49" t="s">
        <v>88</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row>
    <row r="50" spans="2:32" x14ac:dyDescent="0.25">
      <c r="B50" s="53" t="str">
        <f t="shared" si="3"/>
        <v>residential-appliances-kerosene (BTU)</v>
      </c>
      <c r="C50" t="s">
        <v>8</v>
      </c>
      <c r="D50" t="s">
        <v>16</v>
      </c>
      <c r="E50" t="s">
        <v>934</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row>
    <row r="51" spans="2:32" x14ac:dyDescent="0.25">
      <c r="B51" s="53" t="str">
        <f t="shared" si="3"/>
        <v>residential-appliances-heavy or residual fuel oil (BTU)</v>
      </c>
      <c r="C51" t="s">
        <v>8</v>
      </c>
      <c r="D51" t="s">
        <v>16</v>
      </c>
      <c r="E51" t="s">
        <v>935</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row>
    <row r="52" spans="2:32" x14ac:dyDescent="0.25">
      <c r="B52" s="53" t="str">
        <f t="shared" si="3"/>
        <v>residential-appliances-LPG propane or butane (BTU)</v>
      </c>
      <c r="C52" t="s">
        <v>8</v>
      </c>
      <c r="D52" t="s">
        <v>16</v>
      </c>
      <c r="E52" t="s">
        <v>77</v>
      </c>
      <c r="F52">
        <f>SUMIFS('Crosswalk AEO to EPS Summary'!H:H,'Crosswalk AEO to EPS Summary'!$D:$D,$B52)*Percent_urban*quadrillion</f>
        <v>54522016028495.102</v>
      </c>
      <c r="G52">
        <f>SUMIFS('Crosswalk AEO to EPS Summary'!I:I,'Crosswalk AEO to EPS Summary'!$D:$D,$B52)*Percent_urban*quadrillion</f>
        <v>56055488383388.648</v>
      </c>
      <c r="H52">
        <f>SUMIFS('Crosswalk AEO to EPS Summary'!J:J,'Crosswalk AEO to EPS Summary'!$D:$D,$B52)*Percent_urban*quadrillion</f>
        <v>56450646158827.813</v>
      </c>
      <c r="I52">
        <f>SUMIFS('Crosswalk AEO to EPS Summary'!K:K,'Crosswalk AEO to EPS Summary'!$D:$D,$B52)*Percent_urban*quadrillion</f>
        <v>57030373512507.07</v>
      </c>
      <c r="J52">
        <f>SUMIFS('Crosswalk AEO to EPS Summary'!L:L,'Crosswalk AEO to EPS Summary'!$D:$D,$B52)*Percent_urban*quadrillion</f>
        <v>57493830162713.508</v>
      </c>
      <c r="K52">
        <f>SUMIFS('Crosswalk AEO to EPS Summary'!M:M,'Crosswalk AEO to EPS Summary'!$D:$D,$B52)*Percent_urban*quadrillion</f>
        <v>56827103051890.234</v>
      </c>
      <c r="L52">
        <f>SUMIFS('Crosswalk AEO to EPS Summary'!N:N,'Crosswalk AEO to EPS Summary'!$D:$D,$B52)*Percent_urban*quadrillion</f>
        <v>55984750263093.984</v>
      </c>
      <c r="M52">
        <f>SUMIFS('Crosswalk AEO to EPS Summary'!O:O,'Crosswalk AEO to EPS Summary'!$D:$D,$B52)*Percent_urban*quadrillion</f>
        <v>55099304136646.961</v>
      </c>
      <c r="N52">
        <f>SUMIFS('Crosswalk AEO to EPS Summary'!P:P,'Crosswalk AEO to EPS Summary'!$D:$D,$B52)*Percent_urban*quadrillion</f>
        <v>54269147575487.734</v>
      </c>
      <c r="O52">
        <f>SUMIFS('Crosswalk AEO to EPS Summary'!Q:Q,'Crosswalk AEO to EPS Summary'!$D:$D,$B52)*Percent_urban*quadrillion</f>
        <v>53510542216465.633</v>
      </c>
      <c r="P52">
        <f>SUMIFS('Crosswalk AEO to EPS Summary'!R:R,'Crosswalk AEO to EPS Summary'!$D:$D,$B52)*Percent_urban*quadrillion</f>
        <v>52912113980409.609</v>
      </c>
      <c r="Q52">
        <f>SUMIFS('Crosswalk AEO to EPS Summary'!S:S,'Crosswalk AEO to EPS Summary'!$D:$D,$B52)*Percent_urban*quadrillion</f>
        <v>52468171294422.406</v>
      </c>
      <c r="R52">
        <f>SUMIFS('Crosswalk AEO to EPS Summary'!T:T,'Crosswalk AEO to EPS Summary'!$D:$D,$B52)*Percent_urban*quadrillion</f>
        <v>51949425078928.195</v>
      </c>
      <c r="S52">
        <f>SUMIFS('Crosswalk AEO to EPS Summary'!U:U,'Crosswalk AEO to EPS Summary'!$D:$D,$B52)*Percent_urban*quadrillion</f>
        <v>51364006152351.656</v>
      </c>
      <c r="T52">
        <f>SUMIFS('Crosswalk AEO to EPS Summary'!V:V,'Crosswalk AEO to EPS Summary'!$D:$D,$B52)*Percent_urban*quadrillion</f>
        <v>50732241560754.469</v>
      </c>
      <c r="U52">
        <f>SUMIFS('Crosswalk AEO to EPS Summary'!W:W,'Crosswalk AEO to EPS Summary'!$D:$D,$B52)*Percent_urban*quadrillion</f>
        <v>50058196713348.984</v>
      </c>
      <c r="V52">
        <f>SUMIFS('Crosswalk AEO to EPS Summary'!X:X,'Crosswalk AEO to EPS Summary'!$D:$D,$B52)*Percent_urban*quadrillion</f>
        <v>49371142556464.016</v>
      </c>
      <c r="W52">
        <f>SUMIFS('Crosswalk AEO to EPS Summary'!Y:Y,'Crosswalk AEO to EPS Summary'!$D:$D,$B52)*Percent_urban*quadrillion</f>
        <v>48684901481421.516</v>
      </c>
      <c r="X52">
        <f>SUMIFS('Crosswalk AEO to EPS Summary'!Z:Z,'Crosswalk AEO to EPS Summary'!$D:$D,$B52)*Percent_urban*quadrillion</f>
        <v>48025492107180.445</v>
      </c>
      <c r="Y52">
        <f>SUMIFS('Crosswalk AEO to EPS Summary'!AA:AA,'Crosswalk AEO to EPS Summary'!$D:$D,$B52)*Percent_urban*quadrillion</f>
        <v>47382344369788.711</v>
      </c>
      <c r="Z52">
        <f>SUMIFS('Crosswalk AEO to EPS Summary'!AB:AB,'Crosswalk AEO to EPS Summary'!$D:$D,$B52)*Percent_urban*quadrillion</f>
        <v>46751392860033.992</v>
      </c>
      <c r="AA52">
        <f>SUMIFS('Crosswalk AEO to EPS Summary'!AC:AC,'Crosswalk AEO to EPS Summary'!$D:$D,$B52)*Percent_urban*quadrillion</f>
        <v>46116375941066.938</v>
      </c>
      <c r="AB52">
        <f>SUMIFS('Crosswalk AEO to EPS Summary'!AD:AD,'Crosswalk AEO to EPS Summary'!$D:$D,$B52)*Percent_urban*quadrillion</f>
        <v>45462658139723.141</v>
      </c>
      <c r="AC52">
        <f>SUMIFS('Crosswalk AEO to EPS Summary'!AE:AE,'Crosswalk AEO to EPS Summary'!$D:$D,$B52)*Percent_urban*quadrillion</f>
        <v>44795117947057.383</v>
      </c>
      <c r="AD52">
        <f>SUMIFS('Crosswalk AEO to EPS Summary'!AF:AF,'Crosswalk AEO to EPS Summary'!$D:$D,$B52)*Percent_urban*quadrillion</f>
        <v>44131643163603.977</v>
      </c>
      <c r="AE52">
        <f>SUMIFS('Crosswalk AEO to EPS Summary'!AG:AG,'Crosswalk AEO to EPS Summary'!$D:$D,$B52)*Percent_urban*quadrillion</f>
        <v>43494186999109.523</v>
      </c>
      <c r="AF52">
        <f>SUMIFS('Crosswalk AEO to EPS Summary'!AH:AH,'Crosswalk AEO to EPS Summary'!$D:$D,$B52)*Percent_urban*quadrillion</f>
        <v>42901450335950.773</v>
      </c>
    </row>
    <row r="53" spans="2:32" x14ac:dyDescent="0.25">
      <c r="B53" s="53" t="str">
        <f t="shared" si="3"/>
        <v>residential-appliances-hydrogen (BTU)</v>
      </c>
      <c r="C53" t="s">
        <v>8</v>
      </c>
      <c r="D53" t="s">
        <v>16</v>
      </c>
      <c r="E53" t="s">
        <v>936</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5" spans="2:32" x14ac:dyDescent="0.25">
      <c r="B55" s="1" t="s">
        <v>940</v>
      </c>
    </row>
    <row r="56" spans="2:32" x14ac:dyDescent="0.25">
      <c r="E56" t="s">
        <v>915</v>
      </c>
      <c r="F56" s="1">
        <v>2024</v>
      </c>
      <c r="G56" s="1">
        <v>2025</v>
      </c>
      <c r="H56" s="1">
        <v>2026</v>
      </c>
      <c r="I56" s="1">
        <v>2027</v>
      </c>
      <c r="J56" s="1">
        <v>2028</v>
      </c>
      <c r="K56" s="1">
        <v>2029</v>
      </c>
      <c r="L56" s="1">
        <v>2030</v>
      </c>
      <c r="M56" s="1">
        <v>2031</v>
      </c>
      <c r="N56" s="1">
        <v>2032</v>
      </c>
      <c r="O56" s="1">
        <v>2033</v>
      </c>
      <c r="P56" s="1">
        <v>2034</v>
      </c>
      <c r="Q56" s="1">
        <v>2035</v>
      </c>
      <c r="R56" s="1">
        <v>2036</v>
      </c>
      <c r="S56" s="1">
        <v>2037</v>
      </c>
      <c r="T56" s="1">
        <v>2038</v>
      </c>
      <c r="U56" s="1">
        <v>2039</v>
      </c>
      <c r="V56" s="1">
        <v>2040</v>
      </c>
      <c r="W56" s="1">
        <v>2041</v>
      </c>
      <c r="X56" s="1">
        <v>2042</v>
      </c>
      <c r="Y56" s="1">
        <v>2043</v>
      </c>
      <c r="Z56" s="1">
        <v>2044</v>
      </c>
      <c r="AA56" s="1">
        <v>2045</v>
      </c>
      <c r="AB56" s="1">
        <v>2046</v>
      </c>
      <c r="AC56" s="1">
        <v>2047</v>
      </c>
      <c r="AD56" s="1">
        <v>2048</v>
      </c>
      <c r="AE56" s="1">
        <v>2049</v>
      </c>
      <c r="AF56" s="1">
        <v>2050</v>
      </c>
    </row>
    <row r="57" spans="2:32" x14ac:dyDescent="0.25">
      <c r="B57" s="53" t="str">
        <f t="shared" ref="B57:B66" si="4">C57&amp;"-"&amp;D57&amp;"-"&amp;E57</f>
        <v>residential-other-electricity (BTU)</v>
      </c>
      <c r="C57" t="s">
        <v>8</v>
      </c>
      <c r="D57" t="s">
        <v>34</v>
      </c>
      <c r="E57" t="s">
        <v>10</v>
      </c>
      <c r="F57">
        <f>SUMIFS('Crosswalk AEO to EPS Summary'!H:H,'Crosswalk AEO to EPS Summary'!$D:$D,$B57)*Percent_urban*quadrillion</f>
        <v>1774425093499554.5</v>
      </c>
      <c r="G57">
        <f>SUMIFS('Crosswalk AEO to EPS Summary'!I:I,'Crosswalk AEO to EPS Summary'!$D:$D,$B57)*Percent_urban*quadrillion</f>
        <v>1832545809762810.5</v>
      </c>
      <c r="H57">
        <f>SUMIFS('Crosswalk AEO to EPS Summary'!J:J,'Crosswalk AEO to EPS Summary'!$D:$D,$B57)*Percent_urban*quadrillion</f>
        <v>1843485012871367.3</v>
      </c>
      <c r="I57">
        <f>SUMIFS('Crosswalk AEO to EPS Summary'!K:K,'Crosswalk AEO to EPS Summary'!$D:$D,$B57)*Percent_urban*quadrillion</f>
        <v>1760715720553711.5</v>
      </c>
      <c r="J57">
        <f>SUMIFS('Crosswalk AEO to EPS Summary'!L:L,'Crosswalk AEO to EPS Summary'!$D:$D,$B57)*Percent_urban*quadrillion</f>
        <v>1788123896381445.5</v>
      </c>
      <c r="K57">
        <f>SUMIFS('Crosswalk AEO to EPS Summary'!M:M,'Crosswalk AEO to EPS Summary'!$D:$D,$B57)*Percent_urban*quadrillion</f>
        <v>1812948098113818.5</v>
      </c>
      <c r="L57">
        <f>SUMIFS('Crosswalk AEO to EPS Summary'!N:N,'Crosswalk AEO to EPS Summary'!$D:$D,$B57)*Percent_urban*quadrillion</f>
        <v>1833428003561887.8</v>
      </c>
      <c r="M57">
        <f>SUMIFS('Crosswalk AEO to EPS Summary'!O:O,'Crosswalk AEO to EPS Summary'!$D:$D,$B57)*Percent_urban*quadrillion</f>
        <v>1852086605682830</v>
      </c>
      <c r="N57">
        <f>SUMIFS('Crosswalk AEO to EPS Summary'!P:P,'Crosswalk AEO to EPS Summary'!$D:$D,$B57)*Percent_urban*quadrillion</f>
        <v>1871524140208856.3</v>
      </c>
      <c r="O57">
        <f>SUMIFS('Crosswalk AEO to EPS Summary'!Q:Q,'Crosswalk AEO to EPS Summary'!$D:$D,$B57)*Percent_urban*quadrillion</f>
        <v>1892037382012466.3</v>
      </c>
      <c r="P57">
        <f>SUMIFS('Crosswalk AEO to EPS Summary'!R:R,'Crosswalk AEO to EPS Summary'!$D:$D,$B57)*Percent_urban*quadrillion</f>
        <v>1915364700072856.8</v>
      </c>
      <c r="Q57">
        <f>SUMIFS('Crosswalk AEO to EPS Summary'!S:S,'Crosswalk AEO to EPS Summary'!$D:$D,$B57)*Percent_urban*quadrillion</f>
        <v>1940029537764106</v>
      </c>
      <c r="R57">
        <f>SUMIFS('Crosswalk AEO to EPS Summary'!T:T,'Crosswalk AEO to EPS Summary'!$D:$D,$B57)*Percent_urban*quadrillion</f>
        <v>1965174906824253</v>
      </c>
      <c r="S57">
        <f>SUMIFS('Crosswalk AEO to EPS Summary'!U:U,'Crosswalk AEO to EPS Summary'!$D:$D,$B57)*Percent_urban*quadrillion</f>
        <v>1991281338622196.8</v>
      </c>
      <c r="T57">
        <f>SUMIFS('Crosswalk AEO to EPS Summary'!V:V,'Crosswalk AEO to EPS Summary'!$D:$D,$B57)*Percent_urban*quadrillion</f>
        <v>2018242319436574</v>
      </c>
      <c r="U57">
        <f>SUMIFS('Crosswalk AEO to EPS Summary'!W:W,'Crosswalk AEO to EPS Summary'!$D:$D,$B57)*Percent_urban*quadrillion</f>
        <v>2045112235084595</v>
      </c>
      <c r="V57">
        <f>SUMIFS('Crosswalk AEO to EPS Summary'!X:X,'Crosswalk AEO to EPS Summary'!$D:$D,$B57)*Percent_urban*quadrillion</f>
        <v>2068813570792519.5</v>
      </c>
      <c r="W57">
        <f>SUMIFS('Crosswalk AEO to EPS Summary'!Y:Y,'Crosswalk AEO to EPS Summary'!$D:$D,$B57)*Percent_urban*quadrillion</f>
        <v>2094697218165627.8</v>
      </c>
      <c r="X57">
        <f>SUMIFS('Crosswalk AEO to EPS Summary'!Z:Z,'Crosswalk AEO to EPS Summary'!$D:$D,$B57)*Percent_urban*quadrillion</f>
        <v>2122148487331012.5</v>
      </c>
      <c r="Y57">
        <f>SUMIFS('Crosswalk AEO to EPS Summary'!AA:AA,'Crosswalk AEO to EPS Summary'!$D:$D,$B57)*Percent_urban*quadrillion</f>
        <v>2151537330526997.5</v>
      </c>
      <c r="Z57">
        <f>SUMIFS('Crosswalk AEO to EPS Summary'!AB:AB,'Crosswalk AEO to EPS Summary'!$D:$D,$B57)*Percent_urban*quadrillion</f>
        <v>2181971796972395</v>
      </c>
      <c r="AA57">
        <f>SUMIFS('Crosswalk AEO to EPS Summary'!AC:AC,'Crosswalk AEO to EPS Summary'!$D:$D,$B57)*Percent_urban*quadrillion</f>
        <v>2209480794948595</v>
      </c>
      <c r="AB57">
        <f>SUMIFS('Crosswalk AEO to EPS Summary'!AD:AD,'Crosswalk AEO to EPS Summary'!$D:$D,$B57)*Percent_urban*quadrillion</f>
        <v>2240252690358617.3</v>
      </c>
      <c r="AC57">
        <f>SUMIFS('Crosswalk AEO to EPS Summary'!AE:AE,'Crosswalk AEO to EPS Summary'!$D:$D,$B57)*Percent_urban*quadrillion</f>
        <v>2270651381202946.5</v>
      </c>
      <c r="AD57">
        <f>SUMIFS('Crosswalk AEO to EPS Summary'!AF:AF,'Crosswalk AEO to EPS Summary'!$D:$D,$B57)*Percent_urban*quadrillion</f>
        <v>2301328959119242</v>
      </c>
      <c r="AE57">
        <f>SUMIFS('Crosswalk AEO to EPS Summary'!AG:AG,'Crosswalk AEO to EPS Summary'!$D:$D,$B57)*Percent_urban*quadrillion</f>
        <v>2333180627216061</v>
      </c>
      <c r="AF57">
        <f>SUMIFS('Crosswalk AEO to EPS Summary'!AH:AH,'Crosswalk AEO to EPS Summary'!$D:$D,$B57)*Percent_urban*quadrillion</f>
        <v>2365798218408483.5</v>
      </c>
    </row>
    <row r="58" spans="2:32" x14ac:dyDescent="0.25">
      <c r="B58" s="53" t="str">
        <f t="shared" si="4"/>
        <v>residential-other-coal (BTU)</v>
      </c>
      <c r="C58" t="s">
        <v>8</v>
      </c>
      <c r="D58" t="s">
        <v>34</v>
      </c>
      <c r="E58" t="s">
        <v>932</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2:32" x14ac:dyDescent="0.25">
      <c r="B59" s="53" t="str">
        <f t="shared" si="4"/>
        <v>residential-other-natural gas (BTU)</v>
      </c>
      <c r="C59" t="s">
        <v>8</v>
      </c>
      <c r="D59" t="s">
        <v>34</v>
      </c>
      <c r="E59" t="s">
        <v>53</v>
      </c>
      <c r="F59">
        <f>SUMIFS('Crosswalk AEO to EPS Summary'!H:H,'Crosswalk AEO to EPS Summary'!$D:$D,$B59)*Percent_urban*quadrillion</f>
        <v>494950562292560.44</v>
      </c>
      <c r="G59">
        <f>SUMIFS('Crosswalk AEO to EPS Summary'!I:I,'Crosswalk AEO to EPS Summary'!$D:$D,$B59)*Percent_urban*quadrillion</f>
        <v>494635086537683.19</v>
      </c>
      <c r="H59">
        <f>SUMIFS('Crosswalk AEO to EPS Summary'!J:J,'Crosswalk AEO to EPS Summary'!$D:$D,$B59)*Percent_urban*quadrillion</f>
        <v>497334518254675</v>
      </c>
      <c r="I59">
        <f>SUMIFS('Crosswalk AEO to EPS Summary'!K:K,'Crosswalk AEO to EPS Summary'!$D:$D,$B59)*Percent_urban*quadrillion</f>
        <v>499188344855500.69</v>
      </c>
      <c r="J59">
        <f>SUMIFS('Crosswalk AEO to EPS Summary'!L:L,'Crosswalk AEO to EPS Summary'!$D:$D,$B59)*Percent_urban*quadrillion</f>
        <v>500056716263255.75</v>
      </c>
      <c r="K59">
        <f>SUMIFS('Crosswalk AEO to EPS Summary'!M:M,'Crosswalk AEO to EPS Summary'!$D:$D,$B59)*Percent_urban*quadrillion</f>
        <v>499736362017323.75</v>
      </c>
      <c r="L59">
        <f>SUMIFS('Crosswalk AEO to EPS Summary'!N:N,'Crosswalk AEO to EPS Summary'!$D:$D,$B59)*Percent_urban*quadrillion</f>
        <v>498593982028656.94</v>
      </c>
      <c r="M59">
        <f>SUMIFS('Crosswalk AEO to EPS Summary'!O:O,'Crosswalk AEO to EPS Summary'!$D:$D,$B59)*Percent_urban*quadrillion</f>
        <v>497260527807010.44</v>
      </c>
      <c r="N59">
        <f>SUMIFS('Crosswalk AEO to EPS Summary'!P:P,'Crosswalk AEO to EPS Summary'!$D:$D,$B59)*Percent_urban*quadrillion</f>
        <v>496183194365741.06</v>
      </c>
      <c r="O59">
        <f>SUMIFS('Crosswalk AEO to EPS Summary'!Q:Q,'Crosswalk AEO to EPS Summary'!$D:$D,$B59)*Percent_urban*quadrillion</f>
        <v>494705824657977.81</v>
      </c>
      <c r="P59">
        <f>SUMIFS('Crosswalk AEO to EPS Summary'!R:R,'Crosswalk AEO to EPS Summary'!$D:$D,$B59)*Percent_urban*quadrillion</f>
        <v>493612229579859.06</v>
      </c>
      <c r="Q59">
        <f>SUMIFS('Crosswalk AEO to EPS Summary'!S:S,'Crosswalk AEO to EPS Summary'!$D:$D,$B59)*Percent_urban*quadrillion</f>
        <v>492646288351007.81</v>
      </c>
      <c r="R59">
        <f>SUMIFS('Crosswalk AEO to EPS Summary'!T:T,'Crosswalk AEO to EPS Summary'!$D:$D,$B59)*Percent_urban*quadrillion</f>
        <v>491988505140451.75</v>
      </c>
      <c r="S59">
        <f>SUMIFS('Crosswalk AEO to EPS Summary'!U:U,'Crosswalk AEO to EPS Summary'!$D:$D,$B59)*Percent_urban*quadrillion</f>
        <v>491210385817210.31</v>
      </c>
      <c r="T59">
        <f>SUMIFS('Crosswalk AEO to EPS Summary'!V:V,'Crosswalk AEO to EPS Summary'!$D:$D,$B59)*Percent_urban*quadrillion</f>
        <v>490549350279284.38</v>
      </c>
      <c r="U59">
        <f>SUMIFS('Crosswalk AEO to EPS Summary'!W:W,'Crosswalk AEO to EPS Summary'!$D:$D,$B59)*Percent_urban*quadrillion</f>
        <v>489927342669796.75</v>
      </c>
      <c r="V59">
        <f>SUMIFS('Crosswalk AEO to EPS Summary'!X:X,'Crosswalk AEO to EPS Summary'!$D:$D,$B59)*Percent_urban*quadrillion</f>
        <v>489400465635877.94</v>
      </c>
      <c r="W59">
        <f>SUMIFS('Crosswalk AEO to EPS Summary'!Y:Y,'Crosswalk AEO to EPS Summary'!$D:$D,$B59)*Percent_urban*quadrillion</f>
        <v>488958962195418.13</v>
      </c>
      <c r="X59">
        <f>SUMIFS('Crosswalk AEO to EPS Summary'!Z:Z,'Crosswalk AEO to EPS Summary'!$D:$D,$B59)*Percent_urban*quadrillion</f>
        <v>488832121427993.13</v>
      </c>
      <c r="Y59">
        <f>SUMIFS('Crosswalk AEO to EPS Summary'!AA:AA,'Crosswalk AEO to EPS Summary'!$D:$D,$B59)*Percent_urban*quadrillion</f>
        <v>488902859548287.88</v>
      </c>
      <c r="Z59">
        <f>SUMIFS('Crosswalk AEO to EPS Summary'!AB:AB,'Crosswalk AEO to EPS Summary'!$D:$D,$B59)*Percent_urban*quadrillion</f>
        <v>489136214037075.94</v>
      </c>
      <c r="AA59">
        <f>SUMIFS('Crosswalk AEO to EPS Summary'!AC:AC,'Crosswalk AEO to EPS Summary'!$D:$D,$B59)*Percent_urban*quadrillion</f>
        <v>489305335060309.13</v>
      </c>
      <c r="AB59">
        <f>SUMIFS('Crosswalk AEO to EPS Summary'!AD:AD,'Crosswalk AEO to EPS Summary'!$D:$D,$B59)*Percent_urban*quadrillion</f>
        <v>489198008257103.56</v>
      </c>
      <c r="AC59">
        <f>SUMIFS('Crosswalk AEO to EPS Summary'!AE:AE,'Crosswalk AEO to EPS Summary'!$D:$D,$B59)*Percent_urban*quadrillion</f>
        <v>488865457783534.31</v>
      </c>
      <c r="AD59">
        <f>SUMIFS('Crosswalk AEO to EPS Summary'!AF:AF,'Crosswalk AEO to EPS Summary'!$D:$D,$B59)*Percent_urban*quadrillion</f>
        <v>488466234598882.88</v>
      </c>
      <c r="AE59">
        <f>SUMIFS('Crosswalk AEO to EPS Summary'!AG:AG,'Crosswalk AEO to EPS Summary'!$D:$D,$B59)*Percent_urban*quadrillion</f>
        <v>488088964623978</v>
      </c>
      <c r="AF59">
        <f>SUMIFS('Crosswalk AEO to EPS Summary'!AH:AH,'Crosswalk AEO to EPS Summary'!$D:$D,$B59)*Percent_urban*quadrillion</f>
        <v>487781619687525.31</v>
      </c>
    </row>
    <row r="60" spans="2:32" x14ac:dyDescent="0.25">
      <c r="B60" s="53" t="str">
        <f t="shared" si="4"/>
        <v>residential-other-petroleum diesel (BTU)</v>
      </c>
      <c r="C60" t="s">
        <v>8</v>
      </c>
      <c r="D60" t="s">
        <v>34</v>
      </c>
      <c r="E60" t="s">
        <v>68</v>
      </c>
      <c r="F60">
        <f>SUMIFS('Crosswalk AEO to EPS Summary'!H:H,'Crosswalk AEO to EPS Summary'!$D:$D,$B60)*Percent_urban*quadrillion</f>
        <v>20989707763296.363</v>
      </c>
      <c r="G60">
        <f>SUMIFS('Crosswalk AEO to EPS Summary'!I:I,'Crosswalk AEO to EPS Summary'!$D:$D,$B60)*Percent_urban*quadrillion</f>
        <v>21184847405488.543</v>
      </c>
      <c r="H60">
        <f>SUMIFS('Crosswalk AEO to EPS Summary'!J:J,'Crosswalk AEO to EPS Summary'!$D:$D,$B60)*Percent_urban*quadrillion</f>
        <v>21403566421112.281</v>
      </c>
      <c r="I60">
        <f>SUMIFS('Crosswalk AEO to EPS Summary'!K:K,'Crosswalk AEO to EPS Summary'!$D:$D,$B60)*Percent_urban*quadrillion</f>
        <v>21440155104023.313</v>
      </c>
      <c r="J60">
        <f>SUMIFS('Crosswalk AEO to EPS Summary'!L:L,'Crosswalk AEO to EPS Summary'!$D:$D,$B60)*Percent_urban*quadrillion</f>
        <v>21392183275317.734</v>
      </c>
      <c r="K60">
        <f>SUMIFS('Crosswalk AEO to EPS Summary'!M:M,'Crosswalk AEO to EPS Summary'!$D:$D,$B60)*Percent_urban*quadrillion</f>
        <v>21307622763701.125</v>
      </c>
      <c r="L60">
        <f>SUMIFS('Crosswalk AEO to EPS Summary'!N:N,'Crosswalk AEO to EPS Summary'!$D:$D,$B60)*Percent_urban*quadrillion</f>
        <v>21258024771310.613</v>
      </c>
      <c r="M60">
        <f>SUMIFS('Crosswalk AEO to EPS Summary'!O:O,'Crosswalk AEO to EPS Summary'!$D:$D,$B60)*Percent_urban*quadrillion</f>
        <v>21197856714968.023</v>
      </c>
      <c r="N60">
        <f>SUMIFS('Crosswalk AEO to EPS Summary'!P:P,'Crosswalk AEO to EPS Summary'!$D:$D,$B60)*Percent_urban*quadrillion</f>
        <v>21148258722577.508</v>
      </c>
      <c r="O60">
        <f>SUMIFS('Crosswalk AEO to EPS Summary'!Q:Q,'Crosswalk AEO to EPS Summary'!$D:$D,$B60)*Percent_urban*quadrillion</f>
        <v>21093782239132.195</v>
      </c>
      <c r="P60">
        <f>SUMIFS('Crosswalk AEO to EPS Summary'!R:R,'Crosswalk AEO to EPS Summary'!$D:$D,$B60)*Percent_urban*quadrillion</f>
        <v>21058006638063.625</v>
      </c>
      <c r="Q60">
        <f>SUMIFS('Crosswalk AEO to EPS Summary'!S:S,'Crosswalk AEO to EPS Summary'!$D:$D,$B60)*Percent_urban*quadrillion</f>
        <v>21017352545940.258</v>
      </c>
      <c r="R60">
        <f>SUMIFS('Crosswalk AEO to EPS Summary'!T:T,'Crosswalk AEO to EPS Summary'!$D:$D,$B60)*Percent_urban*quadrillion</f>
        <v>20979950781186.754</v>
      </c>
      <c r="S60">
        <f>SUMIFS('Crosswalk AEO to EPS Summary'!U:U,'Crosswalk AEO to EPS Summary'!$D:$D,$B60)*Percent_urban*quadrillion</f>
        <v>20946614425645.59</v>
      </c>
      <c r="T60">
        <f>SUMIFS('Crosswalk AEO to EPS Summary'!V:V,'Crosswalk AEO to EPS Summary'!$D:$D,$B60)*Percent_urban*quadrillion</f>
        <v>20915717315631.828</v>
      </c>
      <c r="U60">
        <f>SUMIFS('Crosswalk AEO to EPS Summary'!W:W,'Crosswalk AEO to EPS Summary'!$D:$D,$B60)*Percent_urban*quadrillion</f>
        <v>20888072532987.938</v>
      </c>
      <c r="V60">
        <f>SUMIFS('Crosswalk AEO to EPS Summary'!X:X,'Crosswalk AEO to EPS Summary'!$D:$D,$B60)*Percent_urban*quadrillion</f>
        <v>20861240832186.512</v>
      </c>
      <c r="W60">
        <f>SUMIFS('Crosswalk AEO to EPS Summary'!Y:Y,'Crosswalk AEO to EPS Summary'!$D:$D,$B60)*Percent_urban*quadrillion</f>
        <v>20829530640330.281</v>
      </c>
      <c r="X60">
        <f>SUMIFS('Crosswalk AEO to EPS Summary'!Z:Z,'Crosswalk AEO to EPS Summary'!$D:$D,$B60)*Percent_urban*quadrillion</f>
        <v>20801072775843.926</v>
      </c>
      <c r="Y60">
        <f>SUMIFS('Crosswalk AEO to EPS Summary'!AA:AA,'Crosswalk AEO to EPS Summary'!$D:$D,$B60)*Percent_urban*quadrillion</f>
        <v>20773427993200.031</v>
      </c>
      <c r="Z60">
        <f>SUMIFS('Crosswalk AEO to EPS Summary'!AB:AB,'Crosswalk AEO to EPS Summary'!$D:$D,$B60)*Percent_urban*quadrillion</f>
        <v>20746596292398.609</v>
      </c>
      <c r="AA60">
        <f>SUMIFS('Crosswalk AEO to EPS Summary'!AC:AC,'Crosswalk AEO to EPS Summary'!$D:$D,$B60)*Percent_urban*quadrillion</f>
        <v>20714886100542.379</v>
      </c>
      <c r="AB60">
        <f>SUMIFS('Crosswalk AEO to EPS Summary'!AD:AD,'Crosswalk AEO to EPS Summary'!$D:$D,$B60)*Percent_urban*quadrillion</f>
        <v>20683175908686.145</v>
      </c>
      <c r="AC60">
        <f>SUMIFS('Crosswalk AEO to EPS Summary'!AE:AE,'Crosswalk AEO to EPS Summary'!$D:$D,$B60)*Percent_urban*quadrillion</f>
        <v>20649026471302.516</v>
      </c>
      <c r="AD60">
        <f>SUMIFS('Crosswalk AEO to EPS Summary'!AF:AF,'Crosswalk AEO to EPS Summary'!$D:$D,$B60)*Percent_urban*quadrillion</f>
        <v>20612437788391.48</v>
      </c>
      <c r="AE60">
        <f>SUMIFS('Crosswalk AEO to EPS Summary'!AG:AG,'Crosswalk AEO to EPS Summary'!$D:$D,$B60)*Percent_urban*quadrillion</f>
        <v>20575849105480.449</v>
      </c>
      <c r="AF60">
        <f>SUMIFS('Crosswalk AEO to EPS Summary'!AH:AH,'Crosswalk AEO to EPS Summary'!$D:$D,$B60)*Percent_urban*quadrillion</f>
        <v>20547391240994.086</v>
      </c>
    </row>
    <row r="61" spans="2:32" x14ac:dyDescent="0.25">
      <c r="B61" s="53" t="str">
        <f t="shared" si="4"/>
        <v>residential-other-heat (BTU)</v>
      </c>
      <c r="C61" t="s">
        <v>8</v>
      </c>
      <c r="D61" t="s">
        <v>34</v>
      </c>
      <c r="E61" t="s">
        <v>933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row>
    <row r="62" spans="2:32" x14ac:dyDescent="0.25">
      <c r="B62" s="53" t="str">
        <f t="shared" si="4"/>
        <v>residential-other-biomass (BTU)</v>
      </c>
      <c r="C62" t="s">
        <v>8</v>
      </c>
      <c r="D62" t="s">
        <v>34</v>
      </c>
      <c r="E62" t="s">
        <v>88</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row>
    <row r="63" spans="2:32" x14ac:dyDescent="0.25">
      <c r="B63" s="53" t="str">
        <f t="shared" si="4"/>
        <v>residential-other-kerosene (BTU)</v>
      </c>
      <c r="C63" t="s">
        <v>8</v>
      </c>
      <c r="D63" t="s">
        <v>34</v>
      </c>
      <c r="E63" t="s">
        <v>934</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row>
    <row r="64" spans="2:32" x14ac:dyDescent="0.25">
      <c r="B64" s="53" t="str">
        <f t="shared" si="4"/>
        <v>residential-other-heavy or residual fuel oil (BTU)</v>
      </c>
      <c r="C64" t="s">
        <v>8</v>
      </c>
      <c r="D64" t="s">
        <v>34</v>
      </c>
      <c r="E64" t="s">
        <v>935</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row>
    <row r="65" spans="2:32" x14ac:dyDescent="0.25">
      <c r="B65" s="53" t="str">
        <f t="shared" si="4"/>
        <v>residential-other-LPG propane or butane (BTU)</v>
      </c>
      <c r="C65" t="s">
        <v>8</v>
      </c>
      <c r="D65" t="s">
        <v>34</v>
      </c>
      <c r="E65" t="s">
        <v>77</v>
      </c>
      <c r="F65">
        <f>SUMIFS('Crosswalk AEO to EPS Summary'!H:H,'Crosswalk AEO to EPS Summary'!$D:$D,$B65)*Percent_urban*quadrillion</f>
        <v>61209614182789.602</v>
      </c>
      <c r="G65">
        <f>SUMIFS('Crosswalk AEO to EPS Summary'!I:I,'Crosswalk AEO to EPS Summary'!$D:$D,$B65)*Percent_urban*quadrillion</f>
        <v>63450467740629.805</v>
      </c>
      <c r="H65">
        <f>SUMIFS('Crosswalk AEO to EPS Summary'!J:J,'Crosswalk AEO to EPS Summary'!$D:$D,$B65)*Percent_urban*quadrillion</f>
        <v>65997040071237.758</v>
      </c>
      <c r="I65">
        <f>SUMIFS('Crosswalk AEO to EPS Summary'!K:K,'Crosswalk AEO to EPS Summary'!$D:$D,$B65)*Percent_urban*quadrillion</f>
        <v>68459051890229.094</v>
      </c>
      <c r="J65">
        <f>SUMIFS('Crosswalk AEO to EPS Summary'!L:L,'Crosswalk AEO to EPS Summary'!$D:$D,$B65)*Percent_urban*quadrillion</f>
        <v>70672260665425.391</v>
      </c>
      <c r="K65">
        <f>SUMIFS('Crosswalk AEO to EPS Summary'!M:M,'Crosswalk AEO to EPS Summary'!$D:$D,$B65)*Percent_urban*quadrillion</f>
        <v>72626096332874.609</v>
      </c>
      <c r="L65">
        <f>SUMIFS('Crosswalk AEO to EPS Summary'!N:N,'Crosswalk AEO to EPS Summary'!$D:$D,$B65)*Percent_urban*quadrillion</f>
        <v>74399427831296.031</v>
      </c>
      <c r="M65">
        <f>SUMIFS('Crosswalk AEO to EPS Summary'!O:O,'Crosswalk AEO to EPS Summary'!$D:$D,$B65)*Percent_urban*quadrillion</f>
        <v>76023152270703.469</v>
      </c>
      <c r="N65">
        <f>SUMIFS('Crosswalk AEO to EPS Summary'!P:P,'Crosswalk AEO to EPS Summary'!$D:$D,$B65)*Percent_urban*quadrillion</f>
        <v>77625736582206.734</v>
      </c>
      <c r="O65">
        <f>SUMIFS('Crosswalk AEO to EPS Summary'!Q:Q,'Crosswalk AEO to EPS Summary'!$D:$D,$B65)*Percent_urban*quadrillion</f>
        <v>79202302274751.078</v>
      </c>
      <c r="P65">
        <f>SUMIFS('Crosswalk AEO to EPS Summary'!R:R,'Crosswalk AEO to EPS Summary'!$D:$D,$B65)*Percent_urban*quadrillion</f>
        <v>80873185461021.609</v>
      </c>
      <c r="Q65">
        <f>SUMIFS('Crosswalk AEO to EPS Summary'!S:S,'Crosswalk AEO to EPS Summary'!$D:$D,$B65)*Percent_urban*quadrillion</f>
        <v>82620498340484.078</v>
      </c>
      <c r="R65">
        <f>SUMIFS('Crosswalk AEO to EPS Summary'!T:T,'Crosswalk AEO to EPS Summary'!$D:$D,$B65)*Percent_urban*quadrillion</f>
        <v>84415783048652.141</v>
      </c>
      <c r="S65">
        <f>SUMIFS('Crosswalk AEO to EPS Summary'!U:U,'Crosswalk AEO to EPS Summary'!$D:$D,$B65)*Percent_urban*quadrillion</f>
        <v>86206189265765.391</v>
      </c>
      <c r="T65">
        <f>SUMIFS('Crosswalk AEO to EPS Summary'!V:V,'Crosswalk AEO to EPS Summary'!$D:$D,$B65)*Percent_urban*quadrillion</f>
        <v>87988464664453.984</v>
      </c>
      <c r="U65">
        <f>SUMIFS('Crosswalk AEO to EPS Summary'!W:W,'Crosswalk AEO to EPS Summary'!$D:$D,$B65)*Percent_urban*quadrillion</f>
        <v>89753665344450.734</v>
      </c>
      <c r="V65">
        <f>SUMIFS('Crosswalk AEO to EPS Summary'!X:X,'Crosswalk AEO to EPS Summary'!$D:$D,$B65)*Percent_urban*quadrillion</f>
        <v>91532688415769.438</v>
      </c>
      <c r="W65">
        <f>SUMIFS('Crosswalk AEO to EPS Summary'!Y:Y,'Crosswalk AEO to EPS Summary'!$D:$D,$B65)*Percent_urban*quadrillion</f>
        <v>93353178661053.984</v>
      </c>
      <c r="X65">
        <f>SUMIFS('Crosswalk AEO to EPS Summary'!Z:Z,'Crosswalk AEO to EPS Summary'!$D:$D,$B65)*Percent_urban*quadrillion</f>
        <v>95254164008742.813</v>
      </c>
      <c r="Y65">
        <f>SUMIFS('Crosswalk AEO to EPS Summary'!AA:AA,'Crosswalk AEO to EPS Summary'!$D:$D,$B65)*Percent_urban*quadrillion</f>
        <v>97239709868048.25</v>
      </c>
      <c r="Z65">
        <f>SUMIFS('Crosswalk AEO to EPS Summary'!AB:AB,'Crosswalk AEO to EPS Summary'!$D:$D,$B65)*Percent_urban*quadrillion</f>
        <v>99294367683963.391</v>
      </c>
      <c r="AA65">
        <f>SUMIFS('Crosswalk AEO to EPS Summary'!AC:AC,'Crosswalk AEO to EPS Summary'!$D:$D,$B65)*Percent_urban*quadrillion</f>
        <v>101366913300412.84</v>
      </c>
      <c r="AB65">
        <f>SUMIFS('Crosswalk AEO to EPS Summary'!AD:AD,'Crosswalk AEO to EPS Summary'!$D:$D,$B65)*Percent_urban*quadrillion</f>
        <v>103409374888691</v>
      </c>
      <c r="AC65">
        <f>SUMIFS('Crosswalk AEO to EPS Summary'!AE:AE,'Crosswalk AEO to EPS Summary'!$D:$D,$B65)*Percent_urban*quadrillion</f>
        <v>105414434712215.66</v>
      </c>
      <c r="AD65">
        <f>SUMIFS('Crosswalk AEO to EPS Summary'!AF:AF,'Crosswalk AEO to EPS Summary'!$D:$D,$B65)*Percent_urban*quadrillion</f>
        <v>107403232898890.95</v>
      </c>
      <c r="AE65">
        <f>SUMIFS('Crosswalk AEO to EPS Summary'!AG:AG,'Crosswalk AEO to EPS Summary'!$D:$D,$B65)*Percent_urban*quadrillion</f>
        <v>109404227313203.28</v>
      </c>
      <c r="AF65">
        <f>SUMIFS('Crosswalk AEO to EPS Summary'!AH:AH,'Crosswalk AEO to EPS Summary'!$D:$D,$B65)*Percent_urban*quadrillion</f>
        <v>111432053428317.02</v>
      </c>
    </row>
    <row r="66" spans="2:32" x14ac:dyDescent="0.25">
      <c r="B66" s="53" t="str">
        <f t="shared" si="4"/>
        <v>residential-other-hydrogen (BTU)</v>
      </c>
      <c r="C66" t="s">
        <v>8</v>
      </c>
      <c r="D66" t="s">
        <v>34</v>
      </c>
      <c r="E66" t="s">
        <v>936</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row>
    <row r="68" spans="2:32" x14ac:dyDescent="0.25">
      <c r="B68" s="1" t="s">
        <v>941</v>
      </c>
    </row>
    <row r="69" spans="2:32" x14ac:dyDescent="0.25">
      <c r="E69" t="s">
        <v>915</v>
      </c>
      <c r="F69" s="1">
        <v>2024</v>
      </c>
      <c r="G69" s="1">
        <v>2025</v>
      </c>
      <c r="H69" s="1">
        <v>2026</v>
      </c>
      <c r="I69" s="1">
        <v>2027</v>
      </c>
      <c r="J69" s="1">
        <v>2028</v>
      </c>
      <c r="K69" s="1">
        <v>2029</v>
      </c>
      <c r="L69" s="1">
        <v>2030</v>
      </c>
      <c r="M69" s="1">
        <v>2031</v>
      </c>
      <c r="N69" s="1">
        <v>2032</v>
      </c>
      <c r="O69" s="1">
        <v>2033</v>
      </c>
      <c r="P69" s="1">
        <v>2034</v>
      </c>
      <c r="Q69" s="1">
        <v>2035</v>
      </c>
      <c r="R69" s="1">
        <v>2036</v>
      </c>
      <c r="S69" s="1">
        <v>2037</v>
      </c>
      <c r="T69" s="1">
        <v>2038</v>
      </c>
      <c r="U69" s="1">
        <v>2039</v>
      </c>
      <c r="V69" s="1">
        <v>2040</v>
      </c>
      <c r="W69" s="1">
        <v>2041</v>
      </c>
      <c r="X69" s="1">
        <v>2042</v>
      </c>
      <c r="Y69" s="1">
        <v>2043</v>
      </c>
      <c r="Z69" s="1">
        <v>2044</v>
      </c>
      <c r="AA69" s="1">
        <v>2045</v>
      </c>
      <c r="AB69" s="1">
        <v>2046</v>
      </c>
      <c r="AC69" s="1">
        <v>2047</v>
      </c>
      <c r="AD69" s="1">
        <v>2048</v>
      </c>
      <c r="AE69" s="1">
        <v>2049</v>
      </c>
      <c r="AF69" s="1">
        <v>2050</v>
      </c>
    </row>
    <row r="70" spans="2:32" x14ac:dyDescent="0.25">
      <c r="B70" s="53" t="str">
        <f t="shared" ref="B70:B79" si="5">C70&amp;"-"&amp;D70&amp;"-"&amp;E70</f>
        <v>residential-heating-electricity (BTU)</v>
      </c>
      <c r="C70" t="s">
        <v>8</v>
      </c>
      <c r="D70" t="s">
        <v>9</v>
      </c>
      <c r="E70" t="s">
        <v>10</v>
      </c>
      <c r="F70">
        <f>SUMIFS('Crosswalk AEO to EPS Summary'!H:H,'Crosswalk AEO to EPS Summary'!$D:$D,$B70)*Percent_rural*quadrillion</f>
        <v>98704189184813.391</v>
      </c>
      <c r="G70">
        <f>SUMIFS('Crosswalk AEO to EPS Summary'!I:I,'Crosswalk AEO to EPS Summary'!$D:$D,$B70)*Percent_rural*quadrillion</f>
        <v>111213873795839.06</v>
      </c>
      <c r="H70">
        <f>SUMIFS('Crosswalk AEO to EPS Summary'!J:J,'Crosswalk AEO to EPS Summary'!$D:$D,$B70)*Percent_rural*quadrillion</f>
        <v>105719227637011.23</v>
      </c>
      <c r="I70">
        <f>SUMIFS('Crosswalk AEO to EPS Summary'!K:K,'Crosswalk AEO to EPS Summary'!$D:$D,$B70)*Percent_rural*quadrillion</f>
        <v>105827453250222.61</v>
      </c>
      <c r="J70">
        <f>SUMIFS('Crosswalk AEO to EPS Summary'!L:L,'Crosswalk AEO to EPS Summary'!$D:$D,$B70)*Percent_rural*quadrillion</f>
        <v>105973249413098.02</v>
      </c>
      <c r="K70">
        <f>SUMIFS('Crosswalk AEO to EPS Summary'!M:M,'Crosswalk AEO to EPS Summary'!$D:$D,$B70)*Percent_rural*quadrillion</f>
        <v>105761471140613.61</v>
      </c>
      <c r="L70">
        <f>SUMIFS('Crosswalk AEO to EPS Summary'!N:N,'Crosswalk AEO to EPS Summary'!$D:$D,$B70)*Percent_rural*quadrillion</f>
        <v>105099407026633.2</v>
      </c>
      <c r="M70">
        <f>SUMIFS('Crosswalk AEO to EPS Summary'!O:O,'Crosswalk AEO to EPS Summary'!$D:$D,$B70)*Percent_rural*quadrillion</f>
        <v>104233228284627.22</v>
      </c>
      <c r="N70">
        <f>SUMIFS('Crosswalk AEO to EPS Summary'!P:P,'Crosswalk AEO to EPS Summary'!$D:$D,$B70)*Percent_rural*quadrillion</f>
        <v>103369292560511.63</v>
      </c>
      <c r="O70">
        <f>SUMIFS('Crosswalk AEO to EPS Summary'!Q:Q,'Crosswalk AEO to EPS Summary'!$D:$D,$B70)*Percent_rural*quadrillion</f>
        <v>102555450902614.73</v>
      </c>
      <c r="P70">
        <f>SUMIFS('Crosswalk AEO to EPS Summary'!R:R,'Crosswalk AEO to EPS Summary'!$D:$D,$B70)*Percent_rural*quadrillion</f>
        <v>101702356431636.03</v>
      </c>
      <c r="Q70">
        <f>SUMIFS('Crosswalk AEO to EPS Summary'!S:S,'Crosswalk AEO to EPS Summary'!$D:$D,$B70)*Percent_rural*quadrillion</f>
        <v>100866084594835.27</v>
      </c>
      <c r="R70">
        <f>SUMIFS('Crosswalk AEO to EPS Summary'!T:T,'Crosswalk AEO to EPS Summary'!$D:$D,$B70)*Percent_rural*quadrillion</f>
        <v>100072803934266.98</v>
      </c>
      <c r="S70">
        <f>SUMIFS('Crosswalk AEO to EPS Summary'!U:U,'Crosswalk AEO to EPS Summary'!$D:$D,$B70)*Percent_rural*quadrillion</f>
        <v>99225317008014.25</v>
      </c>
      <c r="T70">
        <f>SUMIFS('Crosswalk AEO to EPS Summary'!V:V,'Crosswalk AEO to EPS Summary'!$D:$D,$B70)*Percent_rural*quadrillion</f>
        <v>98417456731158.406</v>
      </c>
      <c r="U70">
        <f>SUMIFS('Crosswalk AEO to EPS Summary'!W:W,'Crosswalk AEO to EPS Summary'!$D:$D,$B70)*Percent_rural*quadrillion</f>
        <v>97579689549097.375</v>
      </c>
      <c r="V70">
        <f>SUMIFS('Crosswalk AEO to EPS Summary'!X:X,'Crosswalk AEO to EPS Summary'!$D:$D,$B70)*Percent_rural*quadrillion</f>
        <v>96733324131789.859</v>
      </c>
      <c r="W70">
        <f>SUMIFS('Crosswalk AEO to EPS Summary'!Y:Y,'Crosswalk AEO to EPS Summary'!$D:$D,$B70)*Percent_rural*quadrillion</f>
        <v>95848266655873.047</v>
      </c>
      <c r="X70">
        <f>SUMIFS('Crosswalk AEO to EPS Summary'!Z:Z,'Crosswalk AEO to EPS Summary'!$D:$D,$B70)*Percent_rural*quadrillion</f>
        <v>95049191532421.281</v>
      </c>
      <c r="Y70">
        <f>SUMIFS('Crosswalk AEO to EPS Summary'!AA:AA,'Crosswalk AEO to EPS Summary'!$D:$D,$B70)*Percent_rural*quadrillion</f>
        <v>94279275641544.547</v>
      </c>
      <c r="Z70">
        <f>SUMIFS('Crosswalk AEO to EPS Summary'!AB:AB,'Crosswalk AEO to EPS Summary'!$D:$D,$B70)*Percent_rural*quadrillion</f>
        <v>93463938638387.422</v>
      </c>
      <c r="AA70">
        <f>SUMIFS('Crosswalk AEO to EPS Summary'!AC:AC,'Crosswalk AEO to EPS Summary'!$D:$D,$B70)*Percent_rural*quadrillion</f>
        <v>92703742491702.422</v>
      </c>
      <c r="AB70">
        <f>SUMIFS('Crosswalk AEO to EPS Summary'!AD:AD,'Crosswalk AEO to EPS Summary'!$D:$D,$B70)*Percent_rural*quadrillion</f>
        <v>91877564235408.391</v>
      </c>
      <c r="AC70">
        <f>SUMIFS('Crosswalk AEO to EPS Summary'!AE:AE,'Crosswalk AEO to EPS Summary'!$D:$D,$B70)*Percent_rural*quadrillion</f>
        <v>90965590544806.922</v>
      </c>
      <c r="AD70">
        <f>SUMIFS('Crosswalk AEO to EPS Summary'!AF:AF,'Crosswalk AEO to EPS Summary'!$D:$D,$B70)*Percent_rural*quadrillion</f>
        <v>90062962762082.094</v>
      </c>
      <c r="AE70">
        <f>SUMIFS('Crosswalk AEO to EPS Summary'!AG:AG,'Crosswalk AEO to EPS Summary'!$D:$D,$B70)*Percent_rural*quadrillion</f>
        <v>89196036347445.953</v>
      </c>
      <c r="AF70">
        <f>SUMIFS('Crosswalk AEO to EPS Summary'!AH:AH,'Crosswalk AEO to EPS Summary'!$D:$D,$B70)*Percent_rural*quadrillion</f>
        <v>88311165789686.719</v>
      </c>
    </row>
    <row r="71" spans="2:32" x14ac:dyDescent="0.25">
      <c r="B71" s="53" t="str">
        <f t="shared" si="5"/>
        <v>residential-heating-coal (BTU)</v>
      </c>
      <c r="C71" t="s">
        <v>8</v>
      </c>
      <c r="D71" t="s">
        <v>9</v>
      </c>
      <c r="E71" t="s">
        <v>932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row>
    <row r="72" spans="2:32" x14ac:dyDescent="0.25">
      <c r="B72" s="53" t="str">
        <f t="shared" si="5"/>
        <v>residential-heating-natural gas (BTU)</v>
      </c>
      <c r="C72" t="s">
        <v>8</v>
      </c>
      <c r="D72" t="s">
        <v>9</v>
      </c>
      <c r="E72" t="s">
        <v>53</v>
      </c>
      <c r="F72">
        <f>SUMIFS('Crosswalk AEO to EPS Summary'!H:H,'Crosswalk AEO to EPS Summary'!$D:$D,$B72)*Percent_rural*quadrillion</f>
        <v>519242192827653.25</v>
      </c>
      <c r="G72">
        <f>SUMIFS('Crosswalk AEO to EPS Summary'!I:I,'Crosswalk AEO to EPS Summary'!$D:$D,$B72)*Percent_rural*quadrillion</f>
        <v>582816235813162.75</v>
      </c>
      <c r="H72">
        <f>SUMIFS('Crosswalk AEO to EPS Summary'!J:J,'Crosswalk AEO to EPS Summary'!$D:$D,$B72)*Percent_rural*quadrillion</f>
        <v>547620107504249.94</v>
      </c>
      <c r="I72">
        <f>SUMIFS('Crosswalk AEO to EPS Summary'!K:K,'Crosswalk AEO to EPS Summary'!$D:$D,$B72)*Percent_rural*quadrillion</f>
        <v>569552336436493.13</v>
      </c>
      <c r="J72">
        <f>SUMIFS('Crosswalk AEO to EPS Summary'!L:L,'Crosswalk AEO to EPS Summary'!$D:$D,$B72)*Percent_rural*quadrillion</f>
        <v>566051546264065.38</v>
      </c>
      <c r="K72">
        <f>SUMIFS('Crosswalk AEO to EPS Summary'!M:M,'Crosswalk AEO to EPS Summary'!$D:$D,$B72)*Percent_rural*quadrillion</f>
        <v>559251837529345.06</v>
      </c>
      <c r="L72">
        <f>SUMIFS('Crosswalk AEO to EPS Summary'!N:N,'Crosswalk AEO to EPS Summary'!$D:$D,$B72)*Percent_rural*quadrillion</f>
        <v>550943699263336.75</v>
      </c>
      <c r="M72">
        <f>SUMIFS('Crosswalk AEO to EPS Summary'!O:O,'Crosswalk AEO to EPS Summary'!$D:$D,$B72)*Percent_rural*quadrillion</f>
        <v>542135554925928.94</v>
      </c>
      <c r="N72">
        <f>SUMIFS('Crosswalk AEO to EPS Summary'!P:P,'Crosswalk AEO to EPS Summary'!$D:$D,$B72)*Percent_rural*quadrillion</f>
        <v>533932090828138.88</v>
      </c>
      <c r="O72">
        <f>SUMIFS('Crosswalk AEO to EPS Summary'!Q:Q,'Crosswalk AEO to EPS Summary'!$D:$D,$B72)*Percent_rural*quadrillion</f>
        <v>525824702663320.63</v>
      </c>
      <c r="P72">
        <f>SUMIFS('Crosswalk AEO to EPS Summary'!R:R,'Crosswalk AEO to EPS Summary'!$D:$D,$B72)*Percent_rural*quadrillion</f>
        <v>518210778434388.31</v>
      </c>
      <c r="Q72">
        <f>SUMIFS('Crosswalk AEO to EPS Summary'!S:S,'Crosswalk AEO to EPS Summary'!$D:$D,$B72)*Percent_rural*quadrillion</f>
        <v>510813492350036.5</v>
      </c>
      <c r="R72">
        <f>SUMIFS('Crosswalk AEO to EPS Summary'!T:T,'Crosswalk AEO to EPS Summary'!$D:$D,$B72)*Percent_rural*quadrillion</f>
        <v>503877707196632.38</v>
      </c>
      <c r="S72">
        <f>SUMIFS('Crosswalk AEO to EPS Summary'!U:U,'Crosswalk AEO to EPS Summary'!$D:$D,$B72)*Percent_rural*quadrillion</f>
        <v>496837995547640.25</v>
      </c>
      <c r="T72">
        <f>SUMIFS('Crosswalk AEO to EPS Summary'!V:V,'Crosswalk AEO to EPS Summary'!$D:$D,$B72)*Percent_rural*quadrillion</f>
        <v>490144269408240.94</v>
      </c>
      <c r="U72">
        <f>SUMIFS('Crosswalk AEO to EPS Summary'!W:W,'Crosswalk AEO to EPS Summary'!$D:$D,$B72)*Percent_rural*quadrillion</f>
        <v>483583255160689.75</v>
      </c>
      <c r="V72">
        <f>SUMIFS('Crosswalk AEO to EPS Summary'!X:X,'Crosswalk AEO to EPS Summary'!$D:$D,$B72)*Percent_rural*quadrillion</f>
        <v>477260561563992.56</v>
      </c>
      <c r="W72">
        <f>SUMIFS('Crosswalk AEO to EPS Summary'!Y:Y,'Crosswalk AEO to EPS Summary'!$D:$D,$B72)*Percent_rural*quadrillion</f>
        <v>471022354974500.13</v>
      </c>
      <c r="X72">
        <f>SUMIFS('Crosswalk AEO to EPS Summary'!Z:Z,'Crosswalk AEO to EPS Summary'!$D:$D,$B72)*Percent_rural*quadrillion</f>
        <v>465489390593378.13</v>
      </c>
      <c r="Y72">
        <f>SUMIFS('Crosswalk AEO to EPS Summary'!AA:AA,'Crosswalk AEO to EPS Summary'!$D:$D,$B72)*Percent_rural*quadrillion</f>
        <v>460305776248684.5</v>
      </c>
      <c r="Z72">
        <f>SUMIFS('Crosswalk AEO to EPS Summary'!AB:AB,'Crosswalk AEO to EPS Summary'!$D:$D,$B72)*Percent_rural*quadrillion</f>
        <v>455453007042823.56</v>
      </c>
      <c r="AA72">
        <f>SUMIFS('Crosswalk AEO to EPS Summary'!AC:AC,'Crosswalk AEO to EPS Summary'!$D:$D,$B72)*Percent_rural*quadrillion</f>
        <v>450863979357241.13</v>
      </c>
      <c r="AB72">
        <f>SUMIFS('Crosswalk AEO to EPS Summary'!AD:AD,'Crosswalk AEO to EPS Summary'!$D:$D,$B72)*Percent_rural*quadrillion</f>
        <v>446108968347769.75</v>
      </c>
      <c r="AC72">
        <f>SUMIFS('Crosswalk AEO to EPS Summary'!AE:AE,'Crosswalk AEO to EPS Summary'!$D:$D,$B72)*Percent_rural*quadrillion</f>
        <v>441120122723225.13</v>
      </c>
      <c r="AD72">
        <f>SUMIFS('Crosswalk AEO to EPS Summary'!AF:AF,'Crosswalk AEO to EPS Summary'!$D:$D,$B72)*Percent_rural*quadrillion</f>
        <v>436192586254351.13</v>
      </c>
      <c r="AE72">
        <f>SUMIFS('Crosswalk AEO to EPS Summary'!AG:AG,'Crosswalk AEO to EPS Summary'!$D:$D,$B72)*Percent_rural*quadrillion</f>
        <v>431346733020318.94</v>
      </c>
      <c r="AF72">
        <f>SUMIFS('Crosswalk AEO to EPS Summary'!AH:AH,'Crosswalk AEO to EPS Summary'!$D:$D,$B72)*Percent_rural*quadrillion</f>
        <v>426664993928600.38</v>
      </c>
    </row>
    <row r="73" spans="2:32" x14ac:dyDescent="0.25">
      <c r="B73" s="53" t="str">
        <f t="shared" si="5"/>
        <v>residential-heating-petroleum diesel (BTU)</v>
      </c>
      <c r="C73" t="s">
        <v>8</v>
      </c>
      <c r="D73" t="s">
        <v>9</v>
      </c>
      <c r="E73" t="s">
        <v>68</v>
      </c>
      <c r="F73">
        <f>SUMIFS('Crosswalk AEO to EPS Summary'!H:H,'Crosswalk AEO to EPS Summary'!$D:$D,$B73)*Percent_rural*quadrillion</f>
        <v>70988151704039.5</v>
      </c>
      <c r="G73">
        <f>SUMIFS('Crosswalk AEO to EPS Summary'!I:I,'Crosswalk AEO to EPS Summary'!$D:$D,$B73)*Percent_rural*quadrillion</f>
        <v>79509002833319.844</v>
      </c>
      <c r="H73">
        <f>SUMIFS('Crosswalk AEO to EPS Summary'!J:J,'Crosswalk AEO to EPS Summary'!$D:$D,$B73)*Percent_rural*quadrillion</f>
        <v>76479620254189.266</v>
      </c>
      <c r="I73">
        <f>SUMIFS('Crosswalk AEO to EPS Summary'!K:K,'Crosswalk AEO to EPS Summary'!$D:$D,$B73)*Percent_rural*quadrillion</f>
        <v>75667834696025.25</v>
      </c>
      <c r="J73">
        <f>SUMIFS('Crosswalk AEO to EPS Summary'!L:L,'Crosswalk AEO to EPS Summary'!$D:$D,$B73)*Percent_rural*quadrillion</f>
        <v>74473614587549.578</v>
      </c>
      <c r="K73">
        <f>SUMIFS('Crosswalk AEO to EPS Summary'!M:M,'Crosswalk AEO to EPS Summary'!$D:$D,$B73)*Percent_rural*quadrillion</f>
        <v>73196402817129.438</v>
      </c>
      <c r="L73">
        <f>SUMIFS('Crosswalk AEO to EPS Summary'!N:N,'Crosswalk AEO to EPS Summary'!$D:$D,$B73)*Percent_rural*quadrillion</f>
        <v>72041622439893.141</v>
      </c>
      <c r="M73">
        <f>SUMIFS('Crosswalk AEO to EPS Summary'!O:O,'Crosswalk AEO to EPS Summary'!$D:$D,$B73)*Percent_rural*quadrillion</f>
        <v>70868150246903.578</v>
      </c>
      <c r="N73">
        <f>SUMIFS('Crosswalk AEO to EPS Summary'!P:P,'Crosswalk AEO to EPS Summary'!$D:$D,$B73)*Percent_rural*quadrillion</f>
        <v>69753744191694.32</v>
      </c>
      <c r="O73">
        <f>SUMIFS('Crosswalk AEO to EPS Summary'!Q:Q,'Crosswalk AEO to EPS Summary'!$D:$D,$B73)*Percent_rural*quadrillion</f>
        <v>68653170080142.477</v>
      </c>
      <c r="P73">
        <f>SUMIFS('Crosswalk AEO to EPS Summary'!R:R,'Crosswalk AEO to EPS Summary'!$D:$D,$B73)*Percent_rural*quadrillion</f>
        <v>67641382093418.609</v>
      </c>
      <c r="Q73">
        <f>SUMIFS('Crosswalk AEO to EPS Summary'!S:S,'Crosswalk AEO to EPS Summary'!$D:$D,$B73)*Percent_rural*quadrillion</f>
        <v>66645295231927.453</v>
      </c>
      <c r="R73">
        <f>SUMIFS('Crosswalk AEO to EPS Summary'!T:T,'Crosswalk AEO to EPS Summary'!$D:$D,$B73)*Percent_rural*quadrillion</f>
        <v>65689769610620.906</v>
      </c>
      <c r="S73">
        <f>SUMIFS('Crosswalk AEO to EPS Summary'!U:U,'Crosswalk AEO to EPS Summary'!$D:$D,$B73)*Percent_rural*quadrillion</f>
        <v>64763029385574.352</v>
      </c>
      <c r="T73">
        <f>SUMIFS('Crosswalk AEO to EPS Summary'!V:V,'Crosswalk AEO to EPS Summary'!$D:$D,$B73)*Percent_rural*quadrillion</f>
        <v>63871055937828.867</v>
      </c>
      <c r="U73">
        <f>SUMIFS('Crosswalk AEO to EPS Summary'!W:W,'Crosswalk AEO to EPS Summary'!$D:$D,$B73)*Percent_rural*quadrillion</f>
        <v>63012167003966.641</v>
      </c>
      <c r="V73">
        <f>SUMIFS('Crosswalk AEO to EPS Summary'!X:X,'Crosswalk AEO to EPS Summary'!$D:$D,$B73)*Percent_rural*quadrillion</f>
        <v>62164493159556.375</v>
      </c>
      <c r="W73">
        <f>SUMIFS('Crosswalk AEO to EPS Summary'!Y:Y,'Crosswalk AEO to EPS Summary'!$D:$D,$B73)*Percent_rural*quadrillion</f>
        <v>61324296041447.422</v>
      </c>
      <c r="X73">
        <f>SUMIFS('Crosswalk AEO to EPS Summary'!Z:Z,'Crosswalk AEO to EPS Summary'!$D:$D,$B73)*Percent_rural*quadrillion</f>
        <v>60519987209584.719</v>
      </c>
      <c r="Y73">
        <f>SUMIFS('Crosswalk AEO to EPS Summary'!AA:AA,'Crosswalk AEO to EPS Summary'!$D:$D,$B73)*Percent_rural*quadrillion</f>
        <v>59726706549016.43</v>
      </c>
      <c r="Z73">
        <f>SUMIFS('Crosswalk AEO to EPS Summary'!AB:AB,'Crosswalk AEO to EPS Summary'!$D:$D,$B73)*Percent_rural*quadrillion</f>
        <v>58959033676030.117</v>
      </c>
      <c r="AA73">
        <f>SUMIFS('Crosswalk AEO to EPS Summary'!AC:AC,'Crosswalk AEO to EPS Summary'!$D:$D,$B73)*Percent_rural*quadrillion</f>
        <v>58200893629077.961</v>
      </c>
      <c r="AB73">
        <f>SUMIFS('Crosswalk AEO to EPS Summary'!AD:AD,'Crosswalk AEO to EPS Summary'!$D:$D,$B73)*Percent_rural*quadrillion</f>
        <v>57459015461831.133</v>
      </c>
      <c r="AC73">
        <f>SUMIFS('Crosswalk AEO to EPS Summary'!AE:AE,'Crosswalk AEO to EPS Summary'!$D:$D,$B73)*Percent_rural*quadrillion</f>
        <v>56714333522221.328</v>
      </c>
      <c r="AD73">
        <f>SUMIFS('Crosswalk AEO to EPS Summary'!AF:AF,'Crosswalk AEO to EPS Summary'!$D:$D,$B73)*Percent_rural*quadrillion</f>
        <v>55974324536549.82</v>
      </c>
      <c r="AE73">
        <f>SUMIFS('Crosswalk AEO to EPS Summary'!AG:AG,'Crosswalk AEO to EPS Summary'!$D:$D,$B73)*Percent_rural*quadrillion</f>
        <v>55238614668501.57</v>
      </c>
      <c r="AF73">
        <f>SUMIFS('Crosswalk AEO to EPS Summary'!AH:AH,'Crosswalk AEO to EPS Summary'!$D:$D,$B73)*Percent_rural*quadrillion</f>
        <v>54529447178822.961</v>
      </c>
    </row>
    <row r="74" spans="2:32" x14ac:dyDescent="0.25">
      <c r="B74" s="53" t="str">
        <f t="shared" si="5"/>
        <v>residential-heating-heat (BTU)</v>
      </c>
      <c r="C74" t="s">
        <v>8</v>
      </c>
      <c r="D74" t="s">
        <v>9</v>
      </c>
      <c r="E74" t="s">
        <v>933</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row>
    <row r="75" spans="2:32" x14ac:dyDescent="0.25">
      <c r="B75" s="53" t="str">
        <f t="shared" si="5"/>
        <v>residential-heating-biomass (BTU)</v>
      </c>
      <c r="C75" t="s">
        <v>8</v>
      </c>
      <c r="D75" t="s">
        <v>9</v>
      </c>
      <c r="E75" t="s">
        <v>88</v>
      </c>
      <c r="F75">
        <f>SUMIFS('Crosswalk AEO to EPS Summary'!H:H,'Crosswalk AEO to EPS Summary'!$D:$D,$B75)*Percent_rural*quadrillion</f>
        <v>66838755524973.688</v>
      </c>
      <c r="G75">
        <f>SUMIFS('Crosswalk AEO to EPS Summary'!I:I,'Crosswalk AEO to EPS Summary'!$D:$D,$B75)*Percent_rural*quadrillion</f>
        <v>69418973771553.469</v>
      </c>
      <c r="H75">
        <f>SUMIFS('Crosswalk AEO to EPS Summary'!J:J,'Crosswalk AEO to EPS Summary'!$D:$D,$B75)*Percent_rural*quadrillion</f>
        <v>64094423136080.313</v>
      </c>
      <c r="I75">
        <f>SUMIFS('Crosswalk AEO to EPS Summary'!K:K,'Crosswalk AEO to EPS Summary'!$D:$D,$B75)*Percent_rural*quadrillion</f>
        <v>62615713591840.039</v>
      </c>
      <c r="J75">
        <f>SUMIFS('Crosswalk AEO to EPS Summary'!L:L,'Crosswalk AEO to EPS Summary'!$D:$D,$B75)*Percent_rural*quadrillion</f>
        <v>61908228365579.219</v>
      </c>
      <c r="K75">
        <f>SUMIFS('Crosswalk AEO to EPS Summary'!M:M,'Crosswalk AEO to EPS Summary'!$D:$D,$B75)*Percent_rural*quadrillion</f>
        <v>61487475592973.375</v>
      </c>
      <c r="L75">
        <f>SUMIFS('Crosswalk AEO to EPS Summary'!N:N,'Crosswalk AEO to EPS Summary'!$D:$D,$B75)*Percent_rural*quadrillion</f>
        <v>60491762567797.289</v>
      </c>
      <c r="M75">
        <f>SUMIFS('Crosswalk AEO to EPS Summary'!O:O,'Crosswalk AEO to EPS Summary'!$D:$D,$B75)*Percent_rural*quadrillion</f>
        <v>59695865053023.555</v>
      </c>
      <c r="N75">
        <f>SUMIFS('Crosswalk AEO to EPS Summary'!P:P,'Crosswalk AEO to EPS Summary'!$D:$D,$B75)*Percent_rural*quadrillion</f>
        <v>58999407998057.156</v>
      </c>
      <c r="O75">
        <f>SUMIFS('Crosswalk AEO to EPS Summary'!Q:Q,'Crosswalk AEO to EPS Summary'!$D:$D,$B75)*Percent_rural*quadrillion</f>
        <v>58470242694082.398</v>
      </c>
      <c r="P75">
        <f>SUMIFS('Crosswalk AEO to EPS Summary'!R:R,'Crosswalk AEO to EPS Summary'!$D:$D,$B75)*Percent_rural*quadrillion</f>
        <v>57781262365417.305</v>
      </c>
      <c r="Q75">
        <f>SUMIFS('Crosswalk AEO to EPS Summary'!S:S,'Crosswalk AEO to EPS Summary'!$D:$D,$B75)*Percent_rural*quadrillion</f>
        <v>57164993200032.383</v>
      </c>
      <c r="R75">
        <f>SUMIFS('Crosswalk AEO to EPS Summary'!T:T,'Crosswalk AEO to EPS Summary'!$D:$D,$B75)*Percent_rural*quadrillion</f>
        <v>56450778920100.375</v>
      </c>
      <c r="S75">
        <f>SUMIFS('Crosswalk AEO to EPS Summary'!U:U,'Crosswalk AEO to EPS Summary'!$D:$D,$B75)*Percent_rural*quadrillion</f>
        <v>55719181251517.852</v>
      </c>
      <c r="T75">
        <f>SUMIFS('Crosswalk AEO to EPS Summary'!V:V,'Crosswalk AEO to EPS Summary'!$D:$D,$B75)*Percent_rural*quadrillion</f>
        <v>54991135027928.438</v>
      </c>
      <c r="U75">
        <f>SUMIFS('Crosswalk AEO to EPS Summary'!W:W,'Crosswalk AEO to EPS Summary'!$D:$D,$B75)*Percent_rural*quadrillion</f>
        <v>54197667449202.617</v>
      </c>
      <c r="V75">
        <f>SUMIFS('Crosswalk AEO to EPS Summary'!X:X,'Crosswalk AEO to EPS Summary'!$D:$D,$B75)*Percent_rural*quadrillion</f>
        <v>53372236865538.734</v>
      </c>
      <c r="W75">
        <f>SUMIFS('Crosswalk AEO to EPS Summary'!Y:Y,'Crosswalk AEO to EPS Summary'!$D:$D,$B75)*Percent_rural*quadrillion</f>
        <v>52574470169189.672</v>
      </c>
      <c r="X75">
        <f>SUMIFS('Crosswalk AEO to EPS Summary'!Z:Z,'Crosswalk AEO to EPS Summary'!$D:$D,$B75)*Percent_rural*quadrillion</f>
        <v>51846984700072.859</v>
      </c>
      <c r="Y75">
        <f>SUMIFS('Crosswalk AEO to EPS Summary'!AA:AA,'Crosswalk AEO to EPS Summary'!$D:$D,$B75)*Percent_rural*quadrillion</f>
        <v>51146602363798.266</v>
      </c>
      <c r="Z75">
        <f>SUMIFS('Crosswalk AEO to EPS Summary'!AB:AB,'Crosswalk AEO to EPS Summary'!$D:$D,$B75)*Percent_rural*quadrillion</f>
        <v>50482482150084.992</v>
      </c>
      <c r="AA75">
        <f>SUMIFS('Crosswalk AEO to EPS Summary'!AC:AC,'Crosswalk AEO to EPS Summary'!$D:$D,$B75)*Percent_rural*quadrillion</f>
        <v>49902288189103.859</v>
      </c>
      <c r="AB75">
        <f>SUMIFS('Crosswalk AEO to EPS Summary'!AD:AD,'Crosswalk AEO to EPS Summary'!$D:$D,$B75)*Percent_rural*quadrillion</f>
        <v>49342281389136.242</v>
      </c>
      <c r="AC75">
        <f>SUMIFS('Crosswalk AEO to EPS Summary'!AE:AE,'Crosswalk AEO to EPS Summary'!$D:$D,$B75)*Percent_rural*quadrillion</f>
        <v>48839845381688.656</v>
      </c>
      <c r="AD75">
        <f>SUMIFS('Crosswalk AEO to EPS Summary'!AF:AF,'Crosswalk AEO to EPS Summary'!$D:$D,$B75)*Percent_rural*quadrillion</f>
        <v>48378905205213.305</v>
      </c>
      <c r="AE75">
        <f>SUMIFS('Crosswalk AEO to EPS Summary'!AG:AG,'Crosswalk AEO to EPS Summary'!$D:$D,$B75)*Percent_rural*quadrillion</f>
        <v>47958713187080.07</v>
      </c>
      <c r="AF75">
        <f>SUMIFS('Crosswalk AEO to EPS Summary'!AH:AH,'Crosswalk AEO to EPS Summary'!$D:$D,$B75)*Percent_rural*quadrillion</f>
        <v>47502819800858.094</v>
      </c>
    </row>
    <row r="76" spans="2:32" x14ac:dyDescent="0.25">
      <c r="B76" s="53" t="str">
        <f t="shared" si="5"/>
        <v>residential-heating-kerosene (BTU)</v>
      </c>
      <c r="C76" t="s">
        <v>8</v>
      </c>
      <c r="D76" t="s">
        <v>9</v>
      </c>
      <c r="E76" t="s">
        <v>934</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row>
    <row r="77" spans="2:32" x14ac:dyDescent="0.25">
      <c r="B77" s="53" t="str">
        <f t="shared" si="5"/>
        <v>residential-heating-heavy or residual fuel oil (BTU)</v>
      </c>
      <c r="C77" t="s">
        <v>8</v>
      </c>
      <c r="D77" t="s">
        <v>9</v>
      </c>
      <c r="E77" t="s">
        <v>935</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row>
    <row r="78" spans="2:32" x14ac:dyDescent="0.25">
      <c r="B78" s="53" t="str">
        <f t="shared" si="5"/>
        <v>residential-heating-LPG propane or butane (BTU)</v>
      </c>
      <c r="C78" t="s">
        <v>8</v>
      </c>
      <c r="D78" t="s">
        <v>9</v>
      </c>
      <c r="E78" t="s">
        <v>77</v>
      </c>
      <c r="F78">
        <f>SUMIFS('Crosswalk AEO to EPS Summary'!H:H,'Crosswalk AEO to EPS Summary'!$D:$D,$B78)*Percent_rural*quadrillion</f>
        <v>56682370517283.25</v>
      </c>
      <c r="G78">
        <f>SUMIFS('Crosswalk AEO to EPS Summary'!I:I,'Crosswalk AEO to EPS Summary'!$D:$D,$B78)*Percent_rural*quadrillion</f>
        <v>70565529749858.328</v>
      </c>
      <c r="H78">
        <f>SUMIFS('Crosswalk AEO to EPS Summary'!J:J,'Crosswalk AEO to EPS Summary'!$D:$D,$B78)*Percent_rural*quadrillion</f>
        <v>67874282117704.203</v>
      </c>
      <c r="I78">
        <f>SUMIFS('Crosswalk AEO to EPS Summary'!K:K,'Crosswalk AEO to EPS Summary'!$D:$D,$B78)*Percent_rural*quadrillion</f>
        <v>63776849186432.453</v>
      </c>
      <c r="J78">
        <f>SUMIFS('Crosswalk AEO to EPS Summary'!L:L,'Crosswalk AEO to EPS Summary'!$D:$D,$B78)*Percent_rural*quadrillion</f>
        <v>63286936695539.547</v>
      </c>
      <c r="K78">
        <f>SUMIFS('Crosswalk AEO to EPS Summary'!M:M,'Crosswalk AEO to EPS Summary'!$D:$D,$B78)*Percent_rural*quadrillion</f>
        <v>62448982595320.977</v>
      </c>
      <c r="L78">
        <f>SUMIFS('Crosswalk AEO to EPS Summary'!N:N,'Crosswalk AEO to EPS Summary'!$D:$D,$B78)*Percent_rural*quadrillion</f>
        <v>61415699020480.852</v>
      </c>
      <c r="M78">
        <f>SUMIFS('Crosswalk AEO to EPS Summary'!O:O,'Crosswalk AEO to EPS Summary'!$D:$D,$B78)*Percent_rural*quadrillion</f>
        <v>60228955638306.477</v>
      </c>
      <c r="N78">
        <f>SUMIFS('Crosswalk AEO to EPS Summary'!P:P,'Crosswalk AEO to EPS Summary'!$D:$D,$B78)*Percent_rural*quadrillion</f>
        <v>59056418036104.594</v>
      </c>
      <c r="O78">
        <f>SUMIFS('Crosswalk AEO to EPS Summary'!Q:Q,'Crosswalk AEO to EPS Summary'!$D:$D,$B78)*Percent_rural*quadrillion</f>
        <v>57941077390107.672</v>
      </c>
      <c r="P78">
        <f>SUMIFS('Crosswalk AEO to EPS Summary'!R:R,'Crosswalk AEO to EPS Summary'!$D:$D,$B78)*Percent_rural*quadrillion</f>
        <v>56920691168137.297</v>
      </c>
      <c r="Q78">
        <f>SUMIFS('Crosswalk AEO to EPS Summary'!S:S,'Crosswalk AEO to EPS Summary'!$D:$D,$B78)*Percent_rural*quadrillion</f>
        <v>55977689063385.414</v>
      </c>
      <c r="R78">
        <f>SUMIFS('Crosswalk AEO to EPS Summary'!T:T,'Crosswalk AEO to EPS Summary'!$D:$D,$B78)*Percent_rural*quadrillion</f>
        <v>55097678377722.008</v>
      </c>
      <c r="S78">
        <f>SUMIFS('Crosswalk AEO to EPS Summary'!U:U,'Crosswalk AEO to EPS Summary'!$D:$D,$B78)*Percent_rural*quadrillion</f>
        <v>54250004533311.75</v>
      </c>
      <c r="T78">
        <f>SUMIFS('Crosswalk AEO to EPS Summary'!V:V,'Crosswalk AEO to EPS Summary'!$D:$D,$B78)*Percent_rural*quadrillion</f>
        <v>53433172184894.359</v>
      </c>
      <c r="U78">
        <f>SUMIFS('Crosswalk AEO to EPS Summary'!W:W,'Crosswalk AEO to EPS Summary'!$D:$D,$B78)*Percent_rural*quadrillion</f>
        <v>52638583097223.344</v>
      </c>
      <c r="V78">
        <f>SUMIFS('Crosswalk AEO to EPS Summary'!X:X,'Crosswalk AEO to EPS Summary'!$D:$D,$B78)*Percent_rural*quadrillion</f>
        <v>51889041285517.68</v>
      </c>
      <c r="W78">
        <f>SUMIFS('Crosswalk AEO to EPS Summary'!Y:Y,'Crosswalk AEO to EPS Summary'!$D:$D,$B78)*Percent_rural*quadrillion</f>
        <v>51187163603982.828</v>
      </c>
      <c r="X78">
        <f>SUMIFS('Crosswalk AEO to EPS Summary'!Z:Z,'Crosswalk AEO to EPS Summary'!$D:$D,$B78)*Percent_rural*quadrillion</f>
        <v>50565099975714.391</v>
      </c>
      <c r="Y78">
        <f>SUMIFS('Crosswalk AEO to EPS Summary'!AA:AA,'Crosswalk AEO to EPS Summary'!$D:$D,$B78)*Percent_rural*quadrillion</f>
        <v>50009392293370.031</v>
      </c>
      <c r="Z78">
        <f>SUMIFS('Crosswalk AEO to EPS Summary'!AB:AB,'Crosswalk AEO to EPS Summary'!$D:$D,$B78)*Percent_rural*quadrillion</f>
        <v>49506769367764.906</v>
      </c>
      <c r="AA78">
        <f>SUMIFS('Crosswalk AEO to EPS Summary'!AC:AC,'Crosswalk AEO to EPS Summary'!$D:$D,$B78)*Percent_rural*quadrillion</f>
        <v>49039287055775.93</v>
      </c>
      <c r="AB78">
        <f>SUMIFS('Crosswalk AEO to EPS Summary'!AD:AD,'Crosswalk AEO to EPS Summary'!$D:$D,$B78)*Percent_rural*quadrillion</f>
        <v>48576290779567.719</v>
      </c>
      <c r="AC78">
        <f>SUMIFS('Crosswalk AEO to EPS Summary'!AE:AE,'Crosswalk AEO to EPS Summary'!$D:$D,$B78)*Percent_rural*quadrillion</f>
        <v>48088434388407.672</v>
      </c>
      <c r="AD78">
        <f>SUMIFS('Crosswalk AEO to EPS Summary'!AF:AF,'Crosswalk AEO to EPS Summary'!$D:$D,$B78)*Percent_rural*quadrillion</f>
        <v>47593101270946.328</v>
      </c>
      <c r="AE78">
        <f>SUMIFS('Crosswalk AEO to EPS Summary'!AG:AG,'Crosswalk AEO to EPS Summary'!$D:$D,$B78)*Percent_rural*quadrillion</f>
        <v>47097955071642.516</v>
      </c>
      <c r="AF78">
        <f>SUMIFS('Crosswalk AEO to EPS Summary'!AH:AH,'Crosswalk AEO to EPS Summary'!$D:$D,$B78)*Percent_rural*quadrillion</f>
        <v>46613463207318.063</v>
      </c>
    </row>
    <row r="79" spans="2:32" x14ac:dyDescent="0.25">
      <c r="B79" s="53" t="str">
        <f t="shared" si="5"/>
        <v>residential-heating-hydrogen (BTU)</v>
      </c>
      <c r="C79" t="s">
        <v>8</v>
      </c>
      <c r="D79" t="s">
        <v>9</v>
      </c>
      <c r="E79" t="s">
        <v>936</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row>
    <row r="81" spans="2:32" x14ac:dyDescent="0.25">
      <c r="B81" s="1" t="s">
        <v>942</v>
      </c>
    </row>
    <row r="82" spans="2:32" x14ac:dyDescent="0.25">
      <c r="E82" t="s">
        <v>915</v>
      </c>
      <c r="F82" s="1">
        <v>2024</v>
      </c>
      <c r="G82" s="1">
        <v>2025</v>
      </c>
      <c r="H82" s="1">
        <v>2026</v>
      </c>
      <c r="I82" s="1">
        <v>2027</v>
      </c>
      <c r="J82" s="1">
        <v>2028</v>
      </c>
      <c r="K82" s="1">
        <v>2029</v>
      </c>
      <c r="L82" s="1">
        <v>2030</v>
      </c>
      <c r="M82" s="1">
        <v>2031</v>
      </c>
      <c r="N82" s="1">
        <v>2032</v>
      </c>
      <c r="O82" s="1">
        <v>2033</v>
      </c>
      <c r="P82" s="1">
        <v>2034</v>
      </c>
      <c r="Q82" s="1">
        <v>2035</v>
      </c>
      <c r="R82" s="1">
        <v>2036</v>
      </c>
      <c r="S82" s="1">
        <v>2037</v>
      </c>
      <c r="T82" s="1">
        <v>2038</v>
      </c>
      <c r="U82" s="1">
        <v>2039</v>
      </c>
      <c r="V82" s="1">
        <v>2040</v>
      </c>
      <c r="W82" s="1">
        <v>2041</v>
      </c>
      <c r="X82" s="1">
        <v>2042</v>
      </c>
      <c r="Y82" s="1">
        <v>2043</v>
      </c>
      <c r="Z82" s="1">
        <v>2044</v>
      </c>
      <c r="AA82" s="1">
        <v>2045</v>
      </c>
      <c r="AB82" s="1">
        <v>2046</v>
      </c>
      <c r="AC82" s="1">
        <v>2047</v>
      </c>
      <c r="AD82" s="1">
        <v>2048</v>
      </c>
      <c r="AE82" s="1">
        <v>2049</v>
      </c>
      <c r="AF82" s="1">
        <v>2050</v>
      </c>
    </row>
    <row r="83" spans="2:32" x14ac:dyDescent="0.25">
      <c r="B83" s="53" t="str">
        <f t="shared" ref="B83:B92" si="6">C83&amp;"-"&amp;D83&amp;"-"&amp;E83</f>
        <v>residential-cooling-electricity (BTU)</v>
      </c>
      <c r="C83" t="s">
        <v>8</v>
      </c>
      <c r="D83" t="s">
        <v>13</v>
      </c>
      <c r="E83" t="s">
        <v>10</v>
      </c>
      <c r="F83">
        <f>SUMIFS('Crosswalk AEO to EPS Summary'!H:H,'Crosswalk AEO to EPS Summary'!$D:$D,$B83)*Percent_rural*quadrillion</f>
        <v>212086687444345.47</v>
      </c>
      <c r="G83">
        <f>SUMIFS('Crosswalk AEO to EPS Summary'!I:I,'Crosswalk AEO to EPS Summary'!$D:$D,$B83)*Percent_rural*quadrillion</f>
        <v>202247315631830.28</v>
      </c>
      <c r="H83">
        <f>SUMIFS('Crosswalk AEO to EPS Summary'!J:J,'Crosswalk AEO to EPS Summary'!$D:$D,$B83)*Percent_rural*quadrillion</f>
        <v>212485383874362.53</v>
      </c>
      <c r="I83">
        <f>SUMIFS('Crosswalk AEO to EPS Summary'!K:K,'Crosswalk AEO to EPS Summary'!$D:$D,$B83)*Percent_rural*quadrillion</f>
        <v>215247473488221.47</v>
      </c>
      <c r="J83">
        <f>SUMIFS('Crosswalk AEO to EPS Summary'!L:L,'Crosswalk AEO to EPS Summary'!$D:$D,$B83)*Percent_rural*quadrillion</f>
        <v>217887505545211.72</v>
      </c>
      <c r="K83">
        <f>SUMIFS('Crosswalk AEO to EPS Summary'!M:M,'Crosswalk AEO to EPS Summary'!$D:$D,$B83)*Percent_rural*quadrillion</f>
        <v>219957624139885.06</v>
      </c>
      <c r="L83">
        <f>SUMIFS('Crosswalk AEO to EPS Summary'!N:N,'Crosswalk AEO to EPS Summary'!$D:$D,$B83)*Percent_rural*quadrillion</f>
        <v>221244742572654.41</v>
      </c>
      <c r="M83">
        <f>SUMIFS('Crosswalk AEO to EPS Summary'!O:O,'Crosswalk AEO to EPS Summary'!$D:$D,$B83)*Percent_rural*quadrillion</f>
        <v>222369989881000.56</v>
      </c>
      <c r="N83">
        <f>SUMIFS('Crosswalk AEO to EPS Summary'!P:P,'Crosswalk AEO to EPS Summary'!$D:$D,$B83)*Percent_rural*quadrillion</f>
        <v>223701594835262.66</v>
      </c>
      <c r="O83">
        <f>SUMIFS('Crosswalk AEO to EPS Summary'!Q:Q,'Crosswalk AEO to EPS Summary'!$D:$D,$B83)*Percent_rural*quadrillion</f>
        <v>225154322755605.94</v>
      </c>
      <c r="P83">
        <f>SUMIFS('Crosswalk AEO to EPS Summary'!R:R,'Crosswalk AEO to EPS Summary'!$D:$D,$B83)*Percent_rural*quadrillion</f>
        <v>226852661134947</v>
      </c>
      <c r="Q83">
        <f>SUMIFS('Crosswalk AEO to EPS Summary'!S:S,'Crosswalk AEO to EPS Summary'!$D:$D,$B83)*Percent_rural*quadrillion</f>
        <v>228712122966081.09</v>
      </c>
      <c r="R83">
        <f>SUMIFS('Crosswalk AEO to EPS Summary'!T:T,'Crosswalk AEO to EPS Summary'!$D:$D,$B83)*Percent_rural*quadrillion</f>
        <v>230775138670768.25</v>
      </c>
      <c r="S83">
        <f>SUMIFS('Crosswalk AEO to EPS Summary'!U:U,'Crosswalk AEO to EPS Summary'!$D:$D,$B83)*Percent_rural*quadrillion</f>
        <v>232920211446612.16</v>
      </c>
      <c r="T83">
        <f>SUMIFS('Crosswalk AEO to EPS Summary'!V:V,'Crosswalk AEO to EPS Summary'!$D:$D,$B83)*Percent_rural*quadrillion</f>
        <v>235106780053428.31</v>
      </c>
      <c r="U83">
        <f>SUMIFS('Crosswalk AEO to EPS Summary'!W:W,'Crosswalk AEO to EPS Summary'!$D:$D,$B83)*Percent_rural*quadrillion</f>
        <v>237292974823929.38</v>
      </c>
      <c r="V83">
        <f>SUMIFS('Crosswalk AEO to EPS Summary'!X:X,'Crosswalk AEO to EPS Summary'!$D:$D,$B83)*Percent_rural*quadrillion</f>
        <v>239588703634744.59</v>
      </c>
      <c r="W83">
        <f>SUMIFS('Crosswalk AEO to EPS Summary'!Y:Y,'Crosswalk AEO to EPS Summary'!$D:$D,$B83)*Percent_rural*quadrillion</f>
        <v>241981069133004.09</v>
      </c>
      <c r="X83">
        <f>SUMIFS('Crosswalk AEO to EPS Summary'!Z:Z,'Crosswalk AEO to EPS Summary'!$D:$D,$B83)*Percent_rural*quadrillion</f>
        <v>244709887314822.31</v>
      </c>
      <c r="Y83">
        <f>SUMIFS('Crosswalk AEO to EPS Summary'!AA:AA,'Crosswalk AEO to EPS Summary'!$D:$D,$B83)*Percent_rural*quadrillion</f>
        <v>247613847810248.53</v>
      </c>
      <c r="Z83">
        <f>SUMIFS('Crosswalk AEO to EPS Summary'!AB:AB,'Crosswalk AEO to EPS Summary'!$D:$D,$B83)*Percent_rural*quadrillion</f>
        <v>250520985914352.78</v>
      </c>
      <c r="AA83">
        <f>SUMIFS('Crosswalk AEO to EPS Summary'!AC:AC,'Crosswalk AEO to EPS Summary'!$D:$D,$B83)*Percent_rural*quadrillion</f>
        <v>253560835910305.16</v>
      </c>
      <c r="AB83">
        <f>SUMIFS('Crosswalk AEO to EPS Summary'!AD:AD,'Crosswalk AEO to EPS Summary'!$D:$D,$B83)*Percent_rural*quadrillion</f>
        <v>256418066866348.28</v>
      </c>
      <c r="AC83">
        <f>SUMIFS('Crosswalk AEO to EPS Summary'!AE:AE,'Crosswalk AEO to EPS Summary'!$D:$D,$B83)*Percent_rural*quadrillion</f>
        <v>259143146685015.75</v>
      </c>
      <c r="AD83">
        <f>SUMIFS('Crosswalk AEO to EPS Summary'!AF:AF,'Crosswalk AEO to EPS Summary'!$D:$D,$B83)*Percent_rural*quadrillion</f>
        <v>261803739739334.56</v>
      </c>
      <c r="AE83">
        <f>SUMIFS('Crosswalk AEO to EPS Summary'!AG:AG,'Crosswalk AEO to EPS Summary'!$D:$D,$B83)*Percent_rural*quadrillion</f>
        <v>264633867562535.38</v>
      </c>
      <c r="AF83">
        <f>SUMIFS('Crosswalk AEO to EPS Summary'!AH:AH,'Crosswalk AEO to EPS Summary'!$D:$D,$B83)*Percent_rural*quadrillion</f>
        <v>267461191613373.28</v>
      </c>
    </row>
    <row r="84" spans="2:32" x14ac:dyDescent="0.25">
      <c r="B84" s="53" t="str">
        <f t="shared" si="6"/>
        <v>residential-cooling-coal (BTU)</v>
      </c>
      <c r="C84" t="s">
        <v>8</v>
      </c>
      <c r="D84" t="s">
        <v>13</v>
      </c>
      <c r="E84" t="s">
        <v>932</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row>
    <row r="85" spans="2:32" x14ac:dyDescent="0.25">
      <c r="B85" s="53" t="str">
        <f t="shared" si="6"/>
        <v>residential-cooling-natural gas (BTU)</v>
      </c>
      <c r="C85" t="s">
        <v>8</v>
      </c>
      <c r="D85" t="s">
        <v>13</v>
      </c>
      <c r="E85" t="s">
        <v>53</v>
      </c>
      <c r="F85">
        <f>SUMIFS('Crosswalk AEO to EPS Summary'!H:H,'Crosswalk AEO to EPS Summary'!$D:$D,$B85)*Percent_rural*quadrillion</f>
        <v>11869116085161.498</v>
      </c>
      <c r="G85">
        <f>SUMIFS('Crosswalk AEO to EPS Summary'!I:I,'Crosswalk AEO to EPS Summary'!$D:$D,$B85)*Percent_rural*quadrillion</f>
        <v>10953030195094.309</v>
      </c>
      <c r="H85">
        <f>SUMIFS('Crosswalk AEO to EPS Summary'!J:J,'Crosswalk AEO to EPS Summary'!$D:$D,$B85)*Percent_rural*quadrillion</f>
        <v>11617898081437.707</v>
      </c>
      <c r="I85">
        <f>SUMIFS('Crosswalk AEO to EPS Summary'!K:K,'Crosswalk AEO to EPS Summary'!$D:$D,$B85)*Percent_rural*quadrillion</f>
        <v>11699207479964.383</v>
      </c>
      <c r="J85">
        <f>SUMIFS('Crosswalk AEO to EPS Summary'!L:L,'Crosswalk AEO to EPS Summary'!$D:$D,$B85)*Percent_rural*quadrillion</f>
        <v>11729488221484.66</v>
      </c>
      <c r="K85">
        <f>SUMIFS('Crosswalk AEO to EPS Summary'!M:M,'Crosswalk AEO to EPS Summary'!$D:$D,$B85)*Percent_rural*quadrillion</f>
        <v>11721824577025.824</v>
      </c>
      <c r="L85">
        <f>SUMIFS('Crosswalk AEO to EPS Summary'!N:N,'Crosswalk AEO to EPS Summary'!$D:$D,$B85)*Percent_rural*quadrillion</f>
        <v>11696590625758.926</v>
      </c>
      <c r="M85">
        <f>SUMIFS('Crosswalk AEO to EPS Summary'!O:O,'Crosswalk AEO to EPS Summary'!$D:$D,$B85)*Percent_rural*quadrillion</f>
        <v>11673599692382.416</v>
      </c>
      <c r="N85">
        <f>SUMIFS('Crosswalk AEO to EPS Summary'!P:P,'Crosswalk AEO to EPS Summary'!$D:$D,$B85)*Percent_rural*quadrillion</f>
        <v>11669300574759.168</v>
      </c>
      <c r="O85">
        <f>SUMIFS('Crosswalk AEO to EPS Summary'!Q:Q,'Crosswalk AEO to EPS Summary'!$D:$D,$B85)*Percent_rural*quadrillion</f>
        <v>11672291265279.688</v>
      </c>
      <c r="P85">
        <f>SUMIFS('Crosswalk AEO to EPS Summary'!R:R,'Crosswalk AEO to EPS Summary'!$D:$D,$B85)*Percent_rural*quadrillion</f>
        <v>11690796162875.414</v>
      </c>
      <c r="Q85">
        <f>SUMIFS('Crosswalk AEO to EPS Summary'!S:S,'Crosswalk AEO to EPS Summary'!$D:$D,$B85)*Percent_rural*quadrillion</f>
        <v>11713600178094.389</v>
      </c>
      <c r="R85">
        <f>SUMIFS('Crosswalk AEO to EPS Summary'!T:T,'Crosswalk AEO to EPS Summary'!$D:$D,$B85)*Percent_rural*quadrillion</f>
        <v>11748366955395.451</v>
      </c>
      <c r="S85">
        <f>SUMIFS('Crosswalk AEO to EPS Summary'!U:U,'Crosswalk AEO to EPS Summary'!$D:$D,$B85)*Percent_rural*quadrillion</f>
        <v>11788928195580.021</v>
      </c>
      <c r="T85">
        <f>SUMIFS('Crosswalk AEO to EPS Summary'!V:V,'Crosswalk AEO to EPS Summary'!$D:$D,$B85)*Percent_rural*quadrillion</f>
        <v>11833414717072.777</v>
      </c>
      <c r="U85">
        <f>SUMIFS('Crosswalk AEO to EPS Summary'!W:W,'Crosswalk AEO to EPS Summary'!$D:$D,$B85)*Percent_rural*quadrillion</f>
        <v>11882761110661.379</v>
      </c>
      <c r="V85">
        <f>SUMIFS('Crosswalk AEO to EPS Summary'!X:X,'Crosswalk AEO to EPS Summary'!$D:$D,$B85)*Percent_rural*quadrillion</f>
        <v>11942948757386.871</v>
      </c>
      <c r="W85">
        <f>SUMIFS('Crosswalk AEO to EPS Summary'!Y:Y,'Crosswalk AEO to EPS Summary'!$D:$D,$B85)*Percent_rural*quadrillion</f>
        <v>12011173884886.262</v>
      </c>
      <c r="X85">
        <f>SUMIFS('Crosswalk AEO to EPS Summary'!Z:Z,'Crosswalk AEO to EPS Summary'!$D:$D,$B85)*Percent_rural*quadrillion</f>
        <v>12098277746296.447</v>
      </c>
      <c r="Y85">
        <f>SUMIFS('Crosswalk AEO to EPS Summary'!AA:AA,'Crosswalk AEO to EPS Summary'!$D:$D,$B85)*Percent_rural*quadrillion</f>
        <v>12189119970857.281</v>
      </c>
      <c r="Z85">
        <f>SUMIFS('Crosswalk AEO to EPS Summary'!AB:AB,'Crosswalk AEO to EPS Summary'!$D:$D,$B85)*Percent_rural*quadrillion</f>
        <v>12276971504897.596</v>
      </c>
      <c r="AA85">
        <f>SUMIFS('Crosswalk AEO to EPS Summary'!AC:AC,'Crosswalk AEO to EPS Summary'!$D:$D,$B85)*Percent_rural*quadrillion</f>
        <v>12366879138670.768</v>
      </c>
      <c r="AB85">
        <f>SUMIFS('Crosswalk AEO to EPS Summary'!AD:AD,'Crosswalk AEO to EPS Summary'!$D:$D,$B85)*Percent_rural*quadrillion</f>
        <v>12446319355622.113</v>
      </c>
      <c r="AC85">
        <f>SUMIFS('Crosswalk AEO to EPS Summary'!AE:AE,'Crosswalk AEO to EPS Summary'!$D:$D,$B85)*Percent_rural*quadrillion</f>
        <v>12522208127580.344</v>
      </c>
      <c r="AD85">
        <f>SUMIFS('Crosswalk AEO to EPS Summary'!AF:AF,'Crosswalk AEO to EPS Summary'!$D:$D,$B85)*Percent_rural*quadrillion</f>
        <v>12591741682182.465</v>
      </c>
      <c r="AE85">
        <f>SUMIFS('Crosswalk AEO to EPS Summary'!AG:AG,'Crosswalk AEO to EPS Summary'!$D:$D,$B85)*Percent_rural*quadrillion</f>
        <v>12665387436250.303</v>
      </c>
      <c r="AF85">
        <f>SUMIFS('Crosswalk AEO to EPS Summary'!AH:AH,'Crosswalk AEO to EPS Summary'!$D:$D,$B85)*Percent_rural*quadrillion</f>
        <v>12737537845057.879</v>
      </c>
    </row>
    <row r="86" spans="2:32" x14ac:dyDescent="0.25">
      <c r="B86" s="53" t="str">
        <f t="shared" si="6"/>
        <v>residential-cooling-petroleum diesel (BTU)</v>
      </c>
      <c r="C86" t="s">
        <v>8</v>
      </c>
      <c r="D86" t="s">
        <v>13</v>
      </c>
      <c r="E86" t="s">
        <v>68</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row>
    <row r="87" spans="2:32" x14ac:dyDescent="0.25">
      <c r="B87" s="53" t="str">
        <f t="shared" si="6"/>
        <v>residential-cooling-heat (BTU)</v>
      </c>
      <c r="C87" t="s">
        <v>8</v>
      </c>
      <c r="D87" t="s">
        <v>13</v>
      </c>
      <c r="E87" t="s">
        <v>933</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row>
    <row r="88" spans="2:32" x14ac:dyDescent="0.25">
      <c r="B88" s="53" t="str">
        <f t="shared" si="6"/>
        <v>residential-cooling-biomass (BTU)</v>
      </c>
      <c r="C88" t="s">
        <v>8</v>
      </c>
      <c r="D88" t="s">
        <v>13</v>
      </c>
      <c r="E88" t="s">
        <v>88</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row>
    <row r="89" spans="2:32" x14ac:dyDescent="0.25">
      <c r="B89" s="53" t="str">
        <f t="shared" si="6"/>
        <v>residential-cooling-kerosene (BTU)</v>
      </c>
      <c r="C89" t="s">
        <v>8</v>
      </c>
      <c r="D89" t="s">
        <v>13</v>
      </c>
      <c r="E89" t="s">
        <v>934</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row>
    <row r="90" spans="2:32" x14ac:dyDescent="0.25">
      <c r="B90" s="53" t="str">
        <f t="shared" si="6"/>
        <v>residential-cooling-heavy or residual fuel oil (BTU)</v>
      </c>
      <c r="C90" t="s">
        <v>8</v>
      </c>
      <c r="D90" t="s">
        <v>13</v>
      </c>
      <c r="E90" t="s">
        <v>935</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row>
    <row r="91" spans="2:32" x14ac:dyDescent="0.25">
      <c r="B91" s="53" t="str">
        <f t="shared" si="6"/>
        <v>residential-cooling-LPG propane or butane (BTU)</v>
      </c>
      <c r="C91" t="s">
        <v>8</v>
      </c>
      <c r="D91" t="s">
        <v>13</v>
      </c>
      <c r="E91" t="s">
        <v>77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row>
    <row r="92" spans="2:32" x14ac:dyDescent="0.25">
      <c r="B92" s="53" t="str">
        <f t="shared" si="6"/>
        <v>residential-cooling-hydrogen (BTU)</v>
      </c>
      <c r="C92" t="s">
        <v>8</v>
      </c>
      <c r="D92" t="s">
        <v>13</v>
      </c>
      <c r="E92" t="s">
        <v>936</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row>
    <row r="94" spans="2:32" x14ac:dyDescent="0.25">
      <c r="B94" s="1" t="s">
        <v>943</v>
      </c>
    </row>
    <row r="95" spans="2:32" x14ac:dyDescent="0.25">
      <c r="E95" t="s">
        <v>915</v>
      </c>
      <c r="F95" s="1">
        <v>2024</v>
      </c>
      <c r="G95" s="1">
        <v>2025</v>
      </c>
      <c r="H95" s="1">
        <v>2026</v>
      </c>
      <c r="I95" s="1">
        <v>2027</v>
      </c>
      <c r="J95" s="1">
        <v>2028</v>
      </c>
      <c r="K95" s="1">
        <v>2029</v>
      </c>
      <c r="L95" s="1">
        <v>2030</v>
      </c>
      <c r="M95" s="1">
        <v>2031</v>
      </c>
      <c r="N95" s="1">
        <v>2032</v>
      </c>
      <c r="O95" s="1">
        <v>2033</v>
      </c>
      <c r="P95" s="1">
        <v>2034</v>
      </c>
      <c r="Q95" s="1">
        <v>2035</v>
      </c>
      <c r="R95" s="1">
        <v>2036</v>
      </c>
      <c r="S95" s="1">
        <v>2037</v>
      </c>
      <c r="T95" s="1">
        <v>2038</v>
      </c>
      <c r="U95" s="1">
        <v>2039</v>
      </c>
      <c r="V95" s="1">
        <v>2040</v>
      </c>
      <c r="W95" s="1">
        <v>2041</v>
      </c>
      <c r="X95" s="1">
        <v>2042</v>
      </c>
      <c r="Y95" s="1">
        <v>2043</v>
      </c>
      <c r="Z95" s="1">
        <v>2044</v>
      </c>
      <c r="AA95" s="1">
        <v>2045</v>
      </c>
      <c r="AB95" s="1">
        <v>2046</v>
      </c>
      <c r="AC95" s="1">
        <v>2047</v>
      </c>
      <c r="AD95" s="1">
        <v>2048</v>
      </c>
      <c r="AE95" s="1">
        <v>2049</v>
      </c>
      <c r="AF95" s="1">
        <v>2050</v>
      </c>
    </row>
    <row r="96" spans="2:32" x14ac:dyDescent="0.25">
      <c r="B96" s="53" t="str">
        <f t="shared" ref="B96:B105" si="7">C96&amp;"-"&amp;D96&amp;"-"&amp;E96</f>
        <v>residential-lighting-electricity (BTU)</v>
      </c>
      <c r="C96" t="s">
        <v>8</v>
      </c>
      <c r="D96" t="s">
        <v>27</v>
      </c>
      <c r="E96" t="s">
        <v>10</v>
      </c>
      <c r="F96">
        <f>SUMIFS('Crosswalk AEO to EPS Summary'!H:H,'Crosswalk AEO to EPS Summary'!$D:$D,$B96)*Percent_rural*quadrillion</f>
        <v>35023042095037.641</v>
      </c>
      <c r="G96">
        <f>SUMIFS('Crosswalk AEO to EPS Summary'!I:I,'Crosswalk AEO to EPS Summary'!$D:$D,$B96)*Percent_rural*quadrillion</f>
        <v>34177424350360.238</v>
      </c>
      <c r="H96">
        <f>SUMIFS('Crosswalk AEO to EPS Summary'!J:J,'Crosswalk AEO to EPS Summary'!$D:$D,$B96)*Percent_rural*quadrillion</f>
        <v>34059478992957.172</v>
      </c>
      <c r="I96">
        <f>SUMIFS('Crosswalk AEO to EPS Summary'!K:K,'Crosswalk AEO to EPS Summary'!$D:$D,$B96)*Percent_rural*quadrillion</f>
        <v>34312379260098.758</v>
      </c>
      <c r="J96">
        <f>SUMIFS('Crosswalk AEO to EPS Summary'!L:L,'Crosswalk AEO to EPS Summary'!$D:$D,$B96)*Percent_rural*quadrillion</f>
        <v>34699486764348.738</v>
      </c>
      <c r="K96">
        <f>SUMIFS('Crosswalk AEO to EPS Summary'!M:M,'Crosswalk AEO to EPS Summary'!$D:$D,$B96)*Percent_rural*quadrillion</f>
        <v>35035752529749.859</v>
      </c>
      <c r="L96">
        <f>SUMIFS('Crosswalk AEO to EPS Summary'!N:N,'Crosswalk AEO to EPS Summary'!$D:$D,$B96)*Percent_rural*quadrillion</f>
        <v>34952573949647.855</v>
      </c>
      <c r="M96">
        <f>SUMIFS('Crosswalk AEO to EPS Summary'!O:O,'Crosswalk AEO to EPS Summary'!$D:$D,$B96)*Percent_rural*quadrillion</f>
        <v>34846030599854.285</v>
      </c>
      <c r="N96">
        <f>SUMIFS('Crosswalk AEO to EPS Summary'!P:P,'Crosswalk AEO to EPS Summary'!$D:$D,$B96)*Percent_rural*quadrillion</f>
        <v>34815562940176.48</v>
      </c>
      <c r="O96">
        <f>SUMIFS('Crosswalk AEO to EPS Summary'!Q:Q,'Crosswalk AEO to EPS Summary'!$D:$D,$B96)*Percent_rural*quadrillion</f>
        <v>34842292236703.633</v>
      </c>
      <c r="P96">
        <f>SUMIFS('Crosswalk AEO to EPS Summary'!R:R,'Crosswalk AEO to EPS Summary'!$D:$D,$B96)*Percent_rural*quadrillion</f>
        <v>34905470573949.645</v>
      </c>
      <c r="Q96">
        <f>SUMIFS('Crosswalk AEO to EPS Summary'!S:S,'Crosswalk AEO to EPS Summary'!$D:$D,$B96)*Percent_rural*quadrillion</f>
        <v>34993882862462.559</v>
      </c>
      <c r="R96">
        <f>SUMIFS('Crosswalk AEO to EPS Summary'!T:T,'Crosswalk AEO to EPS Summary'!$D:$D,$B96)*Percent_rural*quadrillion</f>
        <v>35094631749372.621</v>
      </c>
      <c r="S96">
        <f>SUMIFS('Crosswalk AEO to EPS Summary'!U:U,'Crosswalk AEO to EPS Summary'!$D:$D,$B96)*Percent_rural*quadrillion</f>
        <v>35182857119728.004</v>
      </c>
      <c r="T96">
        <f>SUMIFS('Crosswalk AEO to EPS Summary'!V:V,'Crosswalk AEO to EPS Summary'!$D:$D,$B96)*Percent_rural*quadrillion</f>
        <v>35275755444021.695</v>
      </c>
      <c r="U96">
        <f>SUMIFS('Crosswalk AEO to EPS Summary'!W:W,'Crosswalk AEO to EPS Summary'!$D:$D,$B96)*Percent_rural*quadrillion</f>
        <v>35402299036671.258</v>
      </c>
      <c r="V96">
        <f>SUMIFS('Crosswalk AEO to EPS Summary'!X:X,'Crosswalk AEO to EPS Summary'!$D:$D,$B96)*Percent_rural*quadrillion</f>
        <v>34960237594106.691</v>
      </c>
      <c r="W96">
        <f>SUMIFS('Crosswalk AEO to EPS Summary'!Y:Y,'Crosswalk AEO to EPS Summary'!$D:$D,$B96)*Percent_rural*quadrillion</f>
        <v>34596494859548.285</v>
      </c>
      <c r="X96">
        <f>SUMIFS('Crosswalk AEO to EPS Summary'!Z:Z,'Crosswalk AEO to EPS Summary'!$D:$D,$B96)*Percent_rural*quadrillion</f>
        <v>34335183275317.73</v>
      </c>
      <c r="Y96">
        <f>SUMIFS('Crosswalk AEO to EPS Summary'!AA:AA,'Crosswalk AEO to EPS Summary'!$D:$D,$B96)*Percent_rural*quadrillion</f>
        <v>34177237432202.703</v>
      </c>
      <c r="Z96">
        <f>SUMIFS('Crosswalk AEO to EPS Summary'!AB:AB,'Crosswalk AEO to EPS Summary'!$D:$D,$B96)*Percent_rural*quadrillion</f>
        <v>34108264632073.18</v>
      </c>
      <c r="AA96">
        <f>SUMIFS('Crosswalk AEO to EPS Summary'!AC:AC,'Crosswalk AEO to EPS Summary'!$D:$D,$B96)*Percent_rural*quadrillion</f>
        <v>34090881243422.648</v>
      </c>
      <c r="AB96">
        <f>SUMIFS('Crosswalk AEO to EPS Summary'!AD:AD,'Crosswalk AEO to EPS Summary'!$D:$D,$B96)*Percent_rural*quadrillion</f>
        <v>34077049299765.238</v>
      </c>
      <c r="AC96">
        <f>SUMIFS('Crosswalk AEO to EPS Summary'!AE:AE,'Crosswalk AEO to EPS Summary'!$D:$D,$B96)*Percent_rural*quadrillion</f>
        <v>34056862138751.719</v>
      </c>
      <c r="AD96">
        <f>SUMIFS('Crosswalk AEO to EPS Summary'!AF:AF,'Crosswalk AEO to EPS Summary'!$D:$D,$B96)*Percent_rural*quadrillion</f>
        <v>34054992957176.395</v>
      </c>
      <c r="AE96">
        <f>SUMIFS('Crosswalk AEO to EPS Summary'!AG:AG,'Crosswalk AEO to EPS Summary'!$D:$D,$B96)*Percent_rural*quadrillion</f>
        <v>34089198980004.855</v>
      </c>
      <c r="AF96">
        <f>SUMIFS('Crosswalk AEO to EPS Summary'!AH:AH,'Crosswalk AEO to EPS Summary'!$D:$D,$B96)*Percent_rural*quadrillion</f>
        <v>34129012547559.297</v>
      </c>
    </row>
    <row r="97" spans="2:32" x14ac:dyDescent="0.25">
      <c r="B97" s="53" t="str">
        <f t="shared" si="7"/>
        <v>residential-lighting-coal (BTU)</v>
      </c>
      <c r="C97" t="s">
        <v>8</v>
      </c>
      <c r="D97" t="s">
        <v>27</v>
      </c>
      <c r="E97" t="s">
        <v>932</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row>
    <row r="98" spans="2:32" x14ac:dyDescent="0.25">
      <c r="B98" s="53" t="str">
        <f t="shared" si="7"/>
        <v>residential-lighting-natural gas (BTU)</v>
      </c>
      <c r="C98" t="s">
        <v>8</v>
      </c>
      <c r="D98" t="s">
        <v>27</v>
      </c>
      <c r="E98" t="s">
        <v>53</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row>
    <row r="99" spans="2:32" x14ac:dyDescent="0.25">
      <c r="B99" s="53" t="str">
        <f t="shared" si="7"/>
        <v>residential-lighting-petroleum diesel (BTU)</v>
      </c>
      <c r="C99" t="s">
        <v>8</v>
      </c>
      <c r="D99" t="s">
        <v>27</v>
      </c>
      <c r="E99" t="s">
        <v>68</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row>
    <row r="100" spans="2:32" x14ac:dyDescent="0.25">
      <c r="B100" s="53" t="str">
        <f t="shared" si="7"/>
        <v>residential-lighting-heat (BTU)</v>
      </c>
      <c r="C100" t="s">
        <v>8</v>
      </c>
      <c r="D100" t="s">
        <v>27</v>
      </c>
      <c r="E100" t="s">
        <v>933</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row>
    <row r="101" spans="2:32" x14ac:dyDescent="0.25">
      <c r="B101" s="53" t="str">
        <f t="shared" si="7"/>
        <v>residential-lighting-biomass (BTU)</v>
      </c>
      <c r="C101" t="s">
        <v>8</v>
      </c>
      <c r="D101" t="s">
        <v>27</v>
      </c>
      <c r="E101" t="s">
        <v>88</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row>
    <row r="102" spans="2:32" x14ac:dyDescent="0.25">
      <c r="B102" s="53" t="str">
        <f t="shared" si="7"/>
        <v>residential-lighting-kerosene (BTU)</v>
      </c>
      <c r="C102" t="s">
        <v>8</v>
      </c>
      <c r="D102" t="s">
        <v>27</v>
      </c>
      <c r="E102" t="s">
        <v>934</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row>
    <row r="103" spans="2:32" x14ac:dyDescent="0.25">
      <c r="B103" s="53" t="str">
        <f t="shared" si="7"/>
        <v>residential-lighting-heavy or residual fuel oil (BTU)</v>
      </c>
      <c r="C103" t="s">
        <v>8</v>
      </c>
      <c r="D103" t="s">
        <v>27</v>
      </c>
      <c r="E103" t="s">
        <v>935</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row>
    <row r="104" spans="2:32" x14ac:dyDescent="0.25">
      <c r="B104" s="53" t="str">
        <f t="shared" si="7"/>
        <v>residential-lighting-LPG propane or butane (BTU)</v>
      </c>
      <c r="C104" t="s">
        <v>8</v>
      </c>
      <c r="D104" t="s">
        <v>27</v>
      </c>
      <c r="E104" t="s">
        <v>77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row>
    <row r="105" spans="2:32" x14ac:dyDescent="0.25">
      <c r="B105" s="53" t="str">
        <f t="shared" si="7"/>
        <v>residential-lighting-hydrogen (BTU)</v>
      </c>
      <c r="C105" t="s">
        <v>8</v>
      </c>
      <c r="D105" t="s">
        <v>27</v>
      </c>
      <c r="E105" t="s">
        <v>936</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row>
    <row r="107" spans="2:32" x14ac:dyDescent="0.25">
      <c r="B107" s="1" t="s">
        <v>944</v>
      </c>
    </row>
    <row r="108" spans="2:32" x14ac:dyDescent="0.25">
      <c r="E108" t="s">
        <v>915</v>
      </c>
      <c r="F108" s="1">
        <v>2024</v>
      </c>
      <c r="G108" s="1">
        <v>2025</v>
      </c>
      <c r="H108" s="1">
        <v>2026</v>
      </c>
      <c r="I108" s="1">
        <v>2027</v>
      </c>
      <c r="J108" s="1">
        <v>2028</v>
      </c>
      <c r="K108" s="1">
        <v>2029</v>
      </c>
      <c r="L108" s="1">
        <v>2030</v>
      </c>
      <c r="M108" s="1">
        <v>2031</v>
      </c>
      <c r="N108" s="1">
        <v>2032</v>
      </c>
      <c r="O108" s="1">
        <v>2033</v>
      </c>
      <c r="P108" s="1">
        <v>2034</v>
      </c>
      <c r="Q108" s="1">
        <v>2035</v>
      </c>
      <c r="R108" s="1">
        <v>2036</v>
      </c>
      <c r="S108" s="1">
        <v>2037</v>
      </c>
      <c r="T108" s="1">
        <v>2038</v>
      </c>
      <c r="U108" s="1">
        <v>2039</v>
      </c>
      <c r="V108" s="1">
        <v>2040</v>
      </c>
      <c r="W108" s="1">
        <v>2041</v>
      </c>
      <c r="X108" s="1">
        <v>2042</v>
      </c>
      <c r="Y108" s="1">
        <v>2043</v>
      </c>
      <c r="Z108" s="1">
        <v>2044</v>
      </c>
      <c r="AA108" s="1">
        <v>2045</v>
      </c>
      <c r="AB108" s="1">
        <v>2046</v>
      </c>
      <c r="AC108" s="1">
        <v>2047</v>
      </c>
      <c r="AD108" s="1">
        <v>2048</v>
      </c>
      <c r="AE108" s="1">
        <v>2049</v>
      </c>
      <c r="AF108" s="1">
        <v>2050</v>
      </c>
    </row>
    <row r="109" spans="2:32" x14ac:dyDescent="0.25">
      <c r="B109" s="53" t="str">
        <f t="shared" ref="B109:B118" si="8">C109&amp;"-"&amp;D109&amp;"-"&amp;E109</f>
        <v>residential-appliances-electricity (BTU)</v>
      </c>
      <c r="C109" t="s">
        <v>8</v>
      </c>
      <c r="D109" t="s">
        <v>16</v>
      </c>
      <c r="E109" t="s">
        <v>10</v>
      </c>
      <c r="F109">
        <f>SUMIFS('Crosswalk AEO to EPS Summary'!H:H,'Crosswalk AEO to EPS Summary'!$D:$D,$B109)*Percent_rural*quadrillion</f>
        <v>231978517768962.97</v>
      </c>
      <c r="G109">
        <f>SUMIFS('Crosswalk AEO to EPS Summary'!I:I,'Crosswalk AEO to EPS Summary'!$D:$D,$B109)*Percent_rural*quadrillion</f>
        <v>227656969966809.69</v>
      </c>
      <c r="H109">
        <f>SUMIFS('Crosswalk AEO to EPS Summary'!J:J,'Crosswalk AEO to EPS Summary'!$D:$D,$B109)*Percent_rural*quadrillion</f>
        <v>226263868938719.34</v>
      </c>
      <c r="I109">
        <f>SUMIFS('Crosswalk AEO to EPS Summary'!K:K,'Crosswalk AEO to EPS Summary'!$D:$D,$B109)*Percent_rural*quadrillion</f>
        <v>225227781591516.25</v>
      </c>
      <c r="J109">
        <f>SUMIFS('Crosswalk AEO to EPS Summary'!L:L,'Crosswalk AEO to EPS Summary'!$D:$D,$B109)*Percent_rural*quadrillion</f>
        <v>224352817696106.19</v>
      </c>
      <c r="K109">
        <f>SUMIFS('Crosswalk AEO to EPS Summary'!M:M,'Crosswalk AEO to EPS Summary'!$D:$D,$B109)*Percent_rural*quadrillion</f>
        <v>221121563506840.44</v>
      </c>
      <c r="L109">
        <f>SUMIFS('Crosswalk AEO to EPS Summary'!N:N,'Crosswalk AEO to EPS Summary'!$D:$D,$B109)*Percent_rural*quadrillion</f>
        <v>216324682830081.75</v>
      </c>
      <c r="M109">
        <f>SUMIFS('Crosswalk AEO to EPS Summary'!O:O,'Crosswalk AEO to EPS Summary'!$D:$D,$B109)*Percent_rural*quadrillion</f>
        <v>211213405812353.25</v>
      </c>
      <c r="N109">
        <f>SUMIFS('Crosswalk AEO to EPS Summary'!P:P,'Crosswalk AEO to EPS Summary'!$D:$D,$B109)*Percent_rural*quadrillion</f>
        <v>206357832834129.38</v>
      </c>
      <c r="O109">
        <f>SUMIFS('Crosswalk AEO to EPS Summary'!Q:Q,'Crosswalk AEO to EPS Summary'!$D:$D,$B109)*Percent_rural*quadrillion</f>
        <v>201982826438921.72</v>
      </c>
      <c r="P109">
        <f>SUMIFS('Crosswalk AEO to EPS Summary'!R:R,'Crosswalk AEO to EPS Summary'!$D:$D,$B109)*Percent_rural*quadrillion</f>
        <v>198090629644620.75</v>
      </c>
      <c r="Q109">
        <f>SUMIFS('Crosswalk AEO to EPS Summary'!S:S,'Crosswalk AEO to EPS Summary'!$D:$D,$B109)*Percent_rural*quadrillion</f>
        <v>194683859305431.88</v>
      </c>
      <c r="R109">
        <f>SUMIFS('Crosswalk AEO to EPS Summary'!T:T,'Crosswalk AEO to EPS Summary'!$D:$D,$B109)*Percent_rural*quadrillion</f>
        <v>191841394883833.91</v>
      </c>
      <c r="S109">
        <f>SUMIFS('Crosswalk AEO to EPS Summary'!U:U,'Crosswalk AEO to EPS Summary'!$D:$D,$B109)*Percent_rural*quadrillion</f>
        <v>189533329474621.5</v>
      </c>
      <c r="T109">
        <f>SUMIFS('Crosswalk AEO to EPS Summary'!V:V,'Crosswalk AEO to EPS Summary'!$D:$D,$B109)*Percent_rural*quadrillion</f>
        <v>187788261555897.31</v>
      </c>
      <c r="U109">
        <f>SUMIFS('Crosswalk AEO to EPS Summary'!W:W,'Crosswalk AEO to EPS Summary'!$D:$D,$B109)*Percent_rural*quadrillion</f>
        <v>186587499311908.03</v>
      </c>
      <c r="V109">
        <f>SUMIFS('Crosswalk AEO to EPS Summary'!X:X,'Crosswalk AEO to EPS Summary'!$D:$D,$B109)*Percent_rural*quadrillion</f>
        <v>185872163523030.81</v>
      </c>
      <c r="W109">
        <f>SUMIFS('Crosswalk AEO to EPS Summary'!Y:Y,'Crosswalk AEO to EPS Summary'!$D:$D,$B109)*Percent_rural*quadrillion</f>
        <v>185647674815834.22</v>
      </c>
      <c r="X109">
        <f>SUMIFS('Crosswalk AEO to EPS Summary'!Z:Z,'Crosswalk AEO to EPS Summary'!$D:$D,$B109)*Percent_rural*quadrillion</f>
        <v>185829733101270.91</v>
      </c>
      <c r="Y109">
        <f>SUMIFS('Crosswalk AEO to EPS Summary'!AA:AA,'Crosswalk AEO to EPS Summary'!$D:$D,$B109)*Percent_rural*quadrillion</f>
        <v>186442637739820.28</v>
      </c>
      <c r="Z109">
        <f>SUMIFS('Crosswalk AEO to EPS Summary'!AB:AB,'Crosswalk AEO to EPS Summary'!$D:$D,$B109)*Percent_rural*quadrillion</f>
        <v>187129001214279.94</v>
      </c>
      <c r="AA109">
        <f>SUMIFS('Crosswalk AEO to EPS Summary'!AC:AC,'Crosswalk AEO to EPS Summary'!$D:$D,$B109)*Percent_rural*quadrillion</f>
        <v>187924151056423.53</v>
      </c>
      <c r="AB109">
        <f>SUMIFS('Crosswalk AEO to EPS Summary'!AD:AD,'Crosswalk AEO to EPS Summary'!$D:$D,$B109)*Percent_rural*quadrillion</f>
        <v>188789955962114.44</v>
      </c>
      <c r="AC109">
        <f>SUMIFS('Crosswalk AEO to EPS Summary'!AE:AE,'Crosswalk AEO to EPS Summary'!$D:$D,$B109)*Percent_rural*quadrillion</f>
        <v>189707911033757</v>
      </c>
      <c r="AD109">
        <f>SUMIFS('Crosswalk AEO to EPS Summary'!AF:AF,'Crosswalk AEO to EPS Summary'!$D:$D,$B109)*Percent_rural*quadrillion</f>
        <v>190616894033837.91</v>
      </c>
      <c r="AE109">
        <f>SUMIFS('Crosswalk AEO to EPS Summary'!AG:AG,'Crosswalk AEO to EPS Summary'!$D:$D,$B109)*Percent_rural*quadrillion</f>
        <v>191590176880110.09</v>
      </c>
      <c r="AF109">
        <f>SUMIFS('Crosswalk AEO to EPS Summary'!AH:AH,'Crosswalk AEO to EPS Summary'!$D:$D,$B109)*Percent_rural*quadrillion</f>
        <v>192593740467902.53</v>
      </c>
    </row>
    <row r="110" spans="2:32" x14ac:dyDescent="0.25">
      <c r="B110" s="53" t="str">
        <f t="shared" si="8"/>
        <v>residential-appliances-coal (BTU)</v>
      </c>
      <c r="C110" t="s">
        <v>8</v>
      </c>
      <c r="D110" t="s">
        <v>16</v>
      </c>
      <c r="E110" t="s">
        <v>932</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row>
    <row r="111" spans="2:32" x14ac:dyDescent="0.25">
      <c r="B111" s="53" t="str">
        <f t="shared" si="8"/>
        <v>residential-appliances-natural gas (BTU)</v>
      </c>
      <c r="C111" t="s">
        <v>8</v>
      </c>
      <c r="D111" t="s">
        <v>16</v>
      </c>
      <c r="E111" t="s">
        <v>53</v>
      </c>
      <c r="F111">
        <f>SUMIFS('Crosswalk AEO to EPS Summary'!H:H,'Crosswalk AEO to EPS Summary'!$D:$D,$B111)*Percent_rural*quadrillion</f>
        <v>215571776491540.5</v>
      </c>
      <c r="G111">
        <f>SUMIFS('Crosswalk AEO to EPS Summary'!I:I,'Crosswalk AEO to EPS Summary'!$D:$D,$B111)*Percent_rural*quadrillion</f>
        <v>213293804905690.91</v>
      </c>
      <c r="H111">
        <f>SUMIFS('Crosswalk AEO to EPS Summary'!J:J,'Crosswalk AEO to EPS Summary'!$D:$D,$B111)*Percent_rural*quadrillion</f>
        <v>215464111632801.75</v>
      </c>
      <c r="I111">
        <f>SUMIFS('Crosswalk AEO to EPS Summary'!K:K,'Crosswalk AEO to EPS Summary'!$D:$D,$B111)*Percent_rural*quadrillion</f>
        <v>217495725087023.38</v>
      </c>
      <c r="J111">
        <f>SUMIFS('Crosswalk AEO to EPS Summary'!L:L,'Crosswalk AEO to EPS Summary'!$D:$D,$B111)*Percent_rural*quadrillion</f>
        <v>219432944871691.06</v>
      </c>
      <c r="K111">
        <f>SUMIFS('Crosswalk AEO to EPS Summary'!M:M,'Crosswalk AEO to EPS Summary'!$D:$D,$B111)*Percent_rural*quadrillion</f>
        <v>219189203594268.56</v>
      </c>
      <c r="L111">
        <f>SUMIFS('Crosswalk AEO to EPS Summary'!N:N,'Crosswalk AEO to EPS Summary'!$D:$D,$B111)*Percent_rural*quadrillion</f>
        <v>218614056423540.81</v>
      </c>
      <c r="M111">
        <f>SUMIFS('Crosswalk AEO to EPS Summary'!O:O,'Crosswalk AEO to EPS Summary'!$D:$D,$B111)*Percent_rural*quadrillion</f>
        <v>218172929571763.94</v>
      </c>
      <c r="N111">
        <f>SUMIFS('Crosswalk AEO to EPS Summary'!P:P,'Crosswalk AEO to EPS Summary'!$D:$D,$B111)*Percent_rural*quadrillion</f>
        <v>217951057718772.75</v>
      </c>
      <c r="O111">
        <f>SUMIFS('Crosswalk AEO to EPS Summary'!Q:Q,'Crosswalk AEO to EPS Summary'!$D:$D,$B111)*Percent_rural*quadrillion</f>
        <v>217531800291427.16</v>
      </c>
      <c r="P111">
        <f>SUMIFS('Crosswalk AEO to EPS Summary'!R:R,'Crosswalk AEO to EPS Summary'!$D:$D,$B111)*Percent_rural*quadrillion</f>
        <v>217511052375941.06</v>
      </c>
      <c r="Q111">
        <f>SUMIFS('Crosswalk AEO to EPS Summary'!S:S,'Crosswalk AEO to EPS Summary'!$D:$D,$B111)*Percent_rural*quadrillion</f>
        <v>217798345584068.66</v>
      </c>
      <c r="R111">
        <f>SUMIFS('Crosswalk AEO to EPS Summary'!T:T,'Crosswalk AEO to EPS Summary'!$D:$D,$B111)*Percent_rural*quadrillion</f>
        <v>218006759329717.44</v>
      </c>
      <c r="S111">
        <f>SUMIFS('Crosswalk AEO to EPS Summary'!U:U,'Crosswalk AEO to EPS Summary'!$D:$D,$B111)*Percent_rural*quadrillion</f>
        <v>218035731644135.03</v>
      </c>
      <c r="T111">
        <f>SUMIFS('Crosswalk AEO to EPS Summary'!V:V,'Crosswalk AEO to EPS Summary'!$D:$D,$B111)*Percent_rural*quadrillion</f>
        <v>218023208127580.34</v>
      </c>
      <c r="U111">
        <f>SUMIFS('Crosswalk AEO to EPS Summary'!W:W,'Crosswalk AEO to EPS Summary'!$D:$D,$B111)*Percent_rural*quadrillion</f>
        <v>217928440621711.28</v>
      </c>
      <c r="V111">
        <f>SUMIFS('Crosswalk AEO to EPS Summary'!X:X,'Crosswalk AEO to EPS Summary'!$D:$D,$B111)*Percent_rural*quadrillion</f>
        <v>217787130494616.69</v>
      </c>
      <c r="W111">
        <f>SUMIFS('Crosswalk AEO to EPS Summary'!Y:Y,'Crosswalk AEO to EPS Summary'!$D:$D,$B111)*Percent_rural*quadrillion</f>
        <v>217532547964057.28</v>
      </c>
      <c r="X111">
        <f>SUMIFS('Crosswalk AEO to EPS Summary'!Z:Z,'Crosswalk AEO to EPS Summary'!$D:$D,$B111)*Percent_rural*quadrillion</f>
        <v>217293292722415.63</v>
      </c>
      <c r="Y111">
        <f>SUMIFS('Crosswalk AEO to EPS Summary'!AA:AA,'Crosswalk AEO to EPS Summary'!$D:$D,$B111)*Percent_rural*quadrillion</f>
        <v>217001139642192.16</v>
      </c>
      <c r="Z111">
        <f>SUMIFS('Crosswalk AEO to EPS Summary'!AB:AB,'Crosswalk AEO to EPS Summary'!$D:$D,$B111)*Percent_rural*quadrillion</f>
        <v>216645434388407.66</v>
      </c>
      <c r="AA111">
        <f>SUMIFS('Crosswalk AEO to EPS Summary'!AC:AC,'Crosswalk AEO to EPS Summary'!$D:$D,$B111)*Percent_rural*quadrillion</f>
        <v>216158512588035.28</v>
      </c>
      <c r="AB111">
        <f>SUMIFS('Crosswalk AEO to EPS Summary'!AD:AD,'Crosswalk AEO to EPS Summary'!$D:$D,$B111)*Percent_rural*quadrillion</f>
        <v>215472896786205.75</v>
      </c>
      <c r="AC111">
        <f>SUMIFS('Crosswalk AEO to EPS Summary'!AE:AE,'Crosswalk AEO to EPS Summary'!$D:$D,$B111)*Percent_rural*quadrillion</f>
        <v>214639802558083.03</v>
      </c>
      <c r="AD111">
        <f>SUMIFS('Crosswalk AEO to EPS Summary'!AF:AF,'Crosswalk AEO to EPS Summary'!$D:$D,$B111)*Percent_rural*quadrillion</f>
        <v>213771380798186.63</v>
      </c>
      <c r="AE111">
        <f>SUMIFS('Crosswalk AEO to EPS Summary'!AG:AG,'Crosswalk AEO to EPS Summary'!$D:$D,$B111)*Percent_rural*quadrillion</f>
        <v>212958286812919.94</v>
      </c>
      <c r="AF111">
        <f>SUMIFS('Crosswalk AEO to EPS Summary'!AH:AH,'Crosswalk AEO to EPS Summary'!$D:$D,$B111)*Percent_rural*quadrillion</f>
        <v>212279213146604.06</v>
      </c>
    </row>
    <row r="112" spans="2:32" x14ac:dyDescent="0.25">
      <c r="B112" s="53" t="str">
        <f t="shared" si="8"/>
        <v>residential-appliances-petroleum diesel (BTU)</v>
      </c>
      <c r="C112" t="s">
        <v>8</v>
      </c>
      <c r="D112" t="s">
        <v>16</v>
      </c>
      <c r="E112" t="s">
        <v>68</v>
      </c>
      <c r="F112">
        <f>SUMIFS('Crosswalk AEO to EPS Summary'!H:H,'Crosswalk AEO to EPS Summary'!$D:$D,$B112)*Percent_rural*quadrillion</f>
        <v>7529063385412.4512</v>
      </c>
      <c r="G112">
        <f>SUMIFS('Crosswalk AEO to EPS Summary'!I:I,'Crosswalk AEO to EPS Summary'!$D:$D,$B112)*Percent_rural*quadrillion</f>
        <v>7076160689711.002</v>
      </c>
      <c r="H112">
        <f>SUMIFS('Crosswalk AEO to EPS Summary'!J:J,'Crosswalk AEO to EPS Summary'!$D:$D,$B112)*Percent_rural*quadrillion</f>
        <v>6705688901481.4209</v>
      </c>
      <c r="I112">
        <f>SUMIFS('Crosswalk AEO to EPS Summary'!K:K,'Crosswalk AEO to EPS Summary'!$D:$D,$B112)*Percent_rural*quadrillion</f>
        <v>6311291589087.6709</v>
      </c>
      <c r="J112">
        <f>SUMIFS('Crosswalk AEO to EPS Summary'!L:L,'Crosswalk AEO to EPS Summary'!$D:$D,$B112)*Percent_rural*quadrillion</f>
        <v>5936520683234.8408</v>
      </c>
      <c r="K112">
        <f>SUMIFS('Crosswalk AEO to EPS Summary'!M:M,'Crosswalk AEO to EPS Summary'!$D:$D,$B112)*Percent_rural*quadrillion</f>
        <v>5574273293936.6953</v>
      </c>
      <c r="L112">
        <f>SUMIFS('Crosswalk AEO to EPS Summary'!N:N,'Crosswalk AEO to EPS Summary'!$D:$D,$B112)*Percent_rural*quadrillion</f>
        <v>5267914433740.792</v>
      </c>
      <c r="M112">
        <f>SUMIFS('Crosswalk AEO to EPS Summary'!O:O,'Crosswalk AEO to EPS Summary'!$D:$D,$B112)*Percent_rural*quadrillion</f>
        <v>5003985995304.7842</v>
      </c>
      <c r="N112">
        <f>SUMIFS('Crosswalk AEO to EPS Summary'!P:P,'Crosswalk AEO to EPS Summary'!$D:$D,$B112)*Percent_rural*quadrillion</f>
        <v>4789403950457.3789</v>
      </c>
      <c r="O112">
        <f>SUMIFS('Crosswalk AEO to EPS Summary'!Q:Q,'Crosswalk AEO to EPS Summary'!$D:$D,$B112)*Percent_rural*quadrillion</f>
        <v>4619121508945.1953</v>
      </c>
      <c r="P112">
        <f>SUMIFS('Crosswalk AEO to EPS Summary'!R:R,'Crosswalk AEO to EPS Summary'!$D:$D,$B112)*Percent_rural*quadrillion</f>
        <v>4500054642596.9395</v>
      </c>
      <c r="Q112">
        <f>SUMIFS('Crosswalk AEO to EPS Summary'!S:S,'Crosswalk AEO to EPS Summary'!$D:$D,$B112)*Percent_rural*quadrillion</f>
        <v>4425474297741.4385</v>
      </c>
      <c r="R112">
        <f>SUMIFS('Crosswalk AEO to EPS Summary'!T:T,'Crosswalk AEO to EPS Summary'!$D:$D,$B112)*Percent_rural*quadrillion</f>
        <v>4342856472112.0376</v>
      </c>
      <c r="S112">
        <f>SUMIFS('Crosswalk AEO to EPS Summary'!U:U,'Crosswalk AEO to EPS Summary'!$D:$D,$B112)*Percent_rural*quadrillion</f>
        <v>4257621792277.1792</v>
      </c>
      <c r="T112">
        <f>SUMIFS('Crosswalk AEO to EPS Summary'!V:V,'Crosswalk AEO to EPS Summary'!$D:$D,$B112)*Percent_rural*quadrillion</f>
        <v>4169957176394.3975</v>
      </c>
      <c r="U112">
        <f>SUMIFS('Crosswalk AEO to EPS Summary'!W:W,'Crosswalk AEO to EPS Summary'!$D:$D,$B112)*Percent_rural*quadrillion</f>
        <v>4081171051566.4209</v>
      </c>
      <c r="V112">
        <f>SUMIFS('Crosswalk AEO to EPS Summary'!X:X,'Crosswalk AEO to EPS Summary'!$D:$D,$B112)*Percent_rural*quadrillion</f>
        <v>3991450335950.7817</v>
      </c>
      <c r="W112">
        <f>SUMIFS('Crosswalk AEO to EPS Summary'!Y:Y,'Crosswalk AEO to EPS Summary'!$D:$D,$B112)*Percent_rural*quadrillion</f>
        <v>3899486602444.75</v>
      </c>
      <c r="X112">
        <f>SUMIFS('Crosswalk AEO to EPS Summary'!Z:Z,'Crosswalk AEO to EPS Summary'!$D:$D,$B112)*Percent_rural*quadrillion</f>
        <v>3806962114466.1216</v>
      </c>
      <c r="Y112">
        <f>SUMIFS('Crosswalk AEO to EPS Summary'!AA:AA,'Crosswalk AEO to EPS Summary'!$D:$D,$B112)*Percent_rural*quadrillion</f>
        <v>3714063790172.4277</v>
      </c>
      <c r="Z112">
        <f>SUMIFS('Crosswalk AEO to EPS Summary'!AB:AB,'Crosswalk AEO to EPS Summary'!$D:$D,$B112)*Percent_rural*quadrillion</f>
        <v>3620978547721.2012</v>
      </c>
      <c r="AA112">
        <f>SUMIFS('Crosswalk AEO to EPS Summary'!AC:AC,'Crosswalk AEO to EPS Summary'!$D:$D,$B112)*Percent_rural*quadrillion</f>
        <v>3527145632639.8447</v>
      </c>
      <c r="AB112">
        <f>SUMIFS('Crosswalk AEO to EPS Summary'!AD:AD,'Crosswalk AEO to EPS Summary'!$D:$D,$B112)*Percent_rural*quadrillion</f>
        <v>3434060390188.6182</v>
      </c>
      <c r="AC112">
        <f>SUMIFS('Crosswalk AEO to EPS Summary'!AE:AE,'Crosswalk AEO to EPS Summary'!$D:$D,$B112)*Percent_rural*quadrillion</f>
        <v>3342283574840.1201</v>
      </c>
      <c r="AD112">
        <f>SUMIFS('Crosswalk AEO to EPS Summary'!AF:AF,'Crosswalk AEO to EPS Summary'!$D:$D,$B112)*Percent_rural*quadrillion</f>
        <v>3252562859224.48</v>
      </c>
      <c r="AE112">
        <f>SUMIFS('Crosswalk AEO to EPS Summary'!AG:AG,'Crosswalk AEO to EPS Summary'!$D:$D,$B112)*Percent_rural*quadrillion</f>
        <v>3166393588601.959</v>
      </c>
      <c r="AF112">
        <f>SUMIFS('Crosswalk AEO to EPS Summary'!AH:AH,'Crosswalk AEO to EPS Summary'!$D:$D,$B112)*Percent_rural*quadrillion</f>
        <v>3085831862705.4155</v>
      </c>
    </row>
    <row r="113" spans="2:32" x14ac:dyDescent="0.25">
      <c r="B113" s="53" t="str">
        <f t="shared" si="8"/>
        <v>residential-appliances-heat (BTU)</v>
      </c>
      <c r="C113" t="s">
        <v>8</v>
      </c>
      <c r="D113" t="s">
        <v>16</v>
      </c>
      <c r="E113" t="s">
        <v>933</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row>
    <row r="114" spans="2:32" x14ac:dyDescent="0.25">
      <c r="B114" s="53" t="str">
        <f t="shared" si="8"/>
        <v>residential-appliances-biomass (BTU)</v>
      </c>
      <c r="C114" t="s">
        <v>8</v>
      </c>
      <c r="D114" t="s">
        <v>16</v>
      </c>
      <c r="E114" t="s">
        <v>88</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row>
    <row r="115" spans="2:32" x14ac:dyDescent="0.25">
      <c r="B115" s="53" t="str">
        <f t="shared" si="8"/>
        <v>residential-appliances-kerosene (BTU)</v>
      </c>
      <c r="C115" t="s">
        <v>8</v>
      </c>
      <c r="D115" t="s">
        <v>16</v>
      </c>
      <c r="E115" t="s">
        <v>934</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row>
    <row r="116" spans="2:32" x14ac:dyDescent="0.25">
      <c r="B116" s="53" t="str">
        <f t="shared" si="8"/>
        <v>residential-appliances-heavy or residual fuel oil (BTU)</v>
      </c>
      <c r="C116" t="s">
        <v>8</v>
      </c>
      <c r="D116" t="s">
        <v>16</v>
      </c>
      <c r="E116" t="s">
        <v>935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row>
    <row r="117" spans="2:32" x14ac:dyDescent="0.25">
      <c r="B117" s="53" t="str">
        <f t="shared" si="8"/>
        <v>residential-appliances-LPG propane or butane (BTU)</v>
      </c>
      <c r="C117" t="s">
        <v>8</v>
      </c>
      <c r="D117" t="s">
        <v>16</v>
      </c>
      <c r="E117" t="s">
        <v>77</v>
      </c>
      <c r="F117">
        <f>SUMIFS('Crosswalk AEO to EPS Summary'!H:H,'Crosswalk AEO to EPS Summary'!$D:$D,$B117)*Percent_rural*quadrillion</f>
        <v>12533983971504.898</v>
      </c>
      <c r="G117">
        <f>SUMIFS('Crosswalk AEO to EPS Summary'!I:I,'Crosswalk AEO to EPS Summary'!$D:$D,$B117)*Percent_rural*quadrillion</f>
        <v>12886511616611.35</v>
      </c>
      <c r="H117">
        <f>SUMIFS('Crosswalk AEO to EPS Summary'!J:J,'Crosswalk AEO to EPS Summary'!$D:$D,$B117)*Percent_rural*quadrillion</f>
        <v>12977353841172.184</v>
      </c>
      <c r="I117">
        <f>SUMIFS('Crosswalk AEO to EPS Summary'!K:K,'Crosswalk AEO to EPS Summary'!$D:$D,$B117)*Percent_rural*quadrillion</f>
        <v>13110626487492.916</v>
      </c>
      <c r="J117">
        <f>SUMIFS('Crosswalk AEO to EPS Summary'!L:L,'Crosswalk AEO to EPS Summary'!$D:$D,$B117)*Percent_rural*quadrillion</f>
        <v>13217169837286.488</v>
      </c>
      <c r="K117">
        <f>SUMIFS('Crosswalk AEO to EPS Summary'!M:M,'Crosswalk AEO to EPS Summary'!$D:$D,$B117)*Percent_rural*quadrillion</f>
        <v>13063896948109.771</v>
      </c>
      <c r="L117">
        <f>SUMIFS('Crosswalk AEO to EPS Summary'!N:N,'Crosswalk AEO to EPS Summary'!$D:$D,$B117)*Percent_rural*quadrillion</f>
        <v>12870249736906.014</v>
      </c>
      <c r="M117">
        <f>SUMIFS('Crosswalk AEO to EPS Summary'!O:O,'Crosswalk AEO to EPS Summary'!$D:$D,$B117)*Percent_rural*quadrillion</f>
        <v>12666695863353.029</v>
      </c>
      <c r="N117">
        <f>SUMIFS('Crosswalk AEO to EPS Summary'!P:P,'Crosswalk AEO to EPS Summary'!$D:$D,$B117)*Percent_rural*quadrillion</f>
        <v>12475852424512.264</v>
      </c>
      <c r="O117">
        <f>SUMIFS('Crosswalk AEO to EPS Summary'!Q:Q,'Crosswalk AEO to EPS Summary'!$D:$D,$B117)*Percent_rural*quadrillion</f>
        <v>12301457783534.363</v>
      </c>
      <c r="P117">
        <f>SUMIFS('Crosswalk AEO to EPS Summary'!R:R,'Crosswalk AEO to EPS Summary'!$D:$D,$B117)*Percent_rural*quadrillion</f>
        <v>12163886019590.383</v>
      </c>
      <c r="Q117">
        <f>SUMIFS('Crosswalk AEO to EPS Summary'!S:S,'Crosswalk AEO to EPS Summary'!$D:$D,$B117)*Percent_rural*quadrillion</f>
        <v>12061828705577.594</v>
      </c>
      <c r="R117">
        <f>SUMIFS('Crosswalk AEO to EPS Summary'!T:T,'Crosswalk AEO to EPS Summary'!$D:$D,$B117)*Percent_rural*quadrillion</f>
        <v>11942574921071.805</v>
      </c>
      <c r="S117">
        <f>SUMIFS('Crosswalk AEO to EPS Summary'!U:U,'Crosswalk AEO to EPS Summary'!$D:$D,$B117)*Percent_rural*quadrillion</f>
        <v>11807993847648.346</v>
      </c>
      <c r="T117">
        <f>SUMIFS('Crosswalk AEO to EPS Summary'!V:V,'Crosswalk AEO to EPS Summary'!$D:$D,$B117)*Percent_rural*quadrillion</f>
        <v>11662758439245.527</v>
      </c>
      <c r="U117">
        <f>SUMIFS('Crosswalk AEO to EPS Summary'!W:W,'Crosswalk AEO to EPS Summary'!$D:$D,$B117)*Percent_rural*quadrillion</f>
        <v>11507803286651.016</v>
      </c>
      <c r="V117">
        <f>SUMIFS('Crosswalk AEO to EPS Summary'!X:X,'Crosswalk AEO to EPS Summary'!$D:$D,$B117)*Percent_rural*quadrillion</f>
        <v>11349857443535.982</v>
      </c>
      <c r="W117">
        <f>SUMIFS('Crosswalk AEO to EPS Summary'!Y:Y,'Crosswalk AEO to EPS Summary'!$D:$D,$B117)*Percent_rural*quadrillion</f>
        <v>11192098518578.482</v>
      </c>
      <c r="X117">
        <f>SUMIFS('Crosswalk AEO to EPS Summary'!Z:Z,'Crosswalk AEO to EPS Summary'!$D:$D,$B117)*Percent_rural*quadrillion</f>
        <v>11040507892819.559</v>
      </c>
      <c r="Y117">
        <f>SUMIFS('Crosswalk AEO to EPS Summary'!AA:AA,'Crosswalk AEO to EPS Summary'!$D:$D,$B117)*Percent_rural*quadrillion</f>
        <v>10892655630211.285</v>
      </c>
      <c r="Z117">
        <f>SUMIFS('Crosswalk AEO to EPS Summary'!AB:AB,'Crosswalk AEO to EPS Summary'!$D:$D,$B117)*Percent_rural*quadrillion</f>
        <v>10747607139965.998</v>
      </c>
      <c r="AA117">
        <f>SUMIFS('Crosswalk AEO to EPS Summary'!AC:AC,'Crosswalk AEO to EPS Summary'!$D:$D,$B117)*Percent_rural*quadrillion</f>
        <v>10601624058933.051</v>
      </c>
      <c r="AB117">
        <f>SUMIFS('Crosswalk AEO to EPS Summary'!AD:AD,'Crosswalk AEO to EPS Summary'!$D:$D,$B117)*Percent_rural*quadrillion</f>
        <v>10451341860276.855</v>
      </c>
      <c r="AC117">
        <f>SUMIFS('Crosswalk AEO to EPS Summary'!AE:AE,'Crosswalk AEO to EPS Summary'!$D:$D,$B117)*Percent_rural*quadrillion</f>
        <v>10297882052942.605</v>
      </c>
      <c r="AD117">
        <f>SUMIFS('Crosswalk AEO to EPS Summary'!AF:AF,'Crosswalk AEO to EPS Summary'!$D:$D,$B117)*Percent_rural*quadrillion</f>
        <v>10145356836396.016</v>
      </c>
      <c r="AE117">
        <f>SUMIFS('Crosswalk AEO to EPS Summary'!AG:AG,'Crosswalk AEO to EPS Summary'!$D:$D,$B117)*Percent_rural*quadrillion</f>
        <v>9998813000890.4727</v>
      </c>
      <c r="AF117">
        <f>SUMIFS('Crosswalk AEO to EPS Summary'!AH:AH,'Crosswalk AEO to EPS Summary'!$D:$D,$B117)*Percent_rural*quadrillion</f>
        <v>9862549664049.2188</v>
      </c>
    </row>
    <row r="118" spans="2:32" x14ac:dyDescent="0.25">
      <c r="B118" s="53" t="str">
        <f t="shared" si="8"/>
        <v>residential-appliances-hydrogen (BTU)</v>
      </c>
      <c r="C118" t="s">
        <v>8</v>
      </c>
      <c r="D118" t="s">
        <v>16</v>
      </c>
      <c r="E118" t="s">
        <v>936</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row>
    <row r="120" spans="2:32" x14ac:dyDescent="0.25">
      <c r="B120" s="1" t="s">
        <v>945</v>
      </c>
    </row>
    <row r="121" spans="2:32" x14ac:dyDescent="0.25">
      <c r="E121" t="s">
        <v>915</v>
      </c>
      <c r="F121" s="1">
        <v>2024</v>
      </c>
      <c r="G121" s="1">
        <v>2025</v>
      </c>
      <c r="H121" s="1">
        <v>2026</v>
      </c>
      <c r="I121" s="1">
        <v>2027</v>
      </c>
      <c r="J121" s="1">
        <v>2028</v>
      </c>
      <c r="K121" s="1">
        <v>2029</v>
      </c>
      <c r="L121" s="1">
        <v>2030</v>
      </c>
      <c r="M121" s="1">
        <v>2031</v>
      </c>
      <c r="N121" s="1">
        <v>2032</v>
      </c>
      <c r="O121" s="1">
        <v>2033</v>
      </c>
      <c r="P121" s="1">
        <v>2034</v>
      </c>
      <c r="Q121" s="1">
        <v>2035</v>
      </c>
      <c r="R121" s="1">
        <v>2036</v>
      </c>
      <c r="S121" s="1">
        <v>2037</v>
      </c>
      <c r="T121" s="1">
        <v>2038</v>
      </c>
      <c r="U121" s="1">
        <v>2039</v>
      </c>
      <c r="V121" s="1">
        <v>2040</v>
      </c>
      <c r="W121" s="1">
        <v>2041</v>
      </c>
      <c r="X121" s="1">
        <v>2042</v>
      </c>
      <c r="Y121" s="1">
        <v>2043</v>
      </c>
      <c r="Z121" s="1">
        <v>2044</v>
      </c>
      <c r="AA121" s="1">
        <v>2045</v>
      </c>
      <c r="AB121" s="1">
        <v>2046</v>
      </c>
      <c r="AC121" s="1">
        <v>2047</v>
      </c>
      <c r="AD121" s="1">
        <v>2048</v>
      </c>
      <c r="AE121" s="1">
        <v>2049</v>
      </c>
      <c r="AF121" s="1">
        <v>2050</v>
      </c>
    </row>
    <row r="122" spans="2:32" x14ac:dyDescent="0.25">
      <c r="B122" s="53" t="str">
        <f t="shared" ref="B122:B131" si="9">C122&amp;"-"&amp;D122&amp;"-"&amp;E122</f>
        <v>residential-other-electricity (BTU)</v>
      </c>
      <c r="C122" t="s">
        <v>8</v>
      </c>
      <c r="D122" t="s">
        <v>34</v>
      </c>
      <c r="E122" t="s">
        <v>10</v>
      </c>
      <c r="F122">
        <f>SUMIFS('Crosswalk AEO to EPS Summary'!H:H,'Crosswalk AEO to EPS Summary'!$D:$D,$B122)*Percent_rural*quadrillion</f>
        <v>407919906500445.19</v>
      </c>
      <c r="G122">
        <f>SUMIFS('Crosswalk AEO to EPS Summary'!I:I,'Crosswalk AEO to EPS Summary'!$D:$D,$B122)*Percent_rural*quadrillion</f>
        <v>421281190237189.31</v>
      </c>
      <c r="H122">
        <f>SUMIFS('Crosswalk AEO to EPS Summary'!J:J,'Crosswalk AEO to EPS Summary'!$D:$D,$B122)*Percent_rural*quadrillion</f>
        <v>423795987128632.75</v>
      </c>
      <c r="I122">
        <f>SUMIFS('Crosswalk AEO to EPS Summary'!K:K,'Crosswalk AEO to EPS Summary'!$D:$D,$B122)*Percent_rural*quadrillion</f>
        <v>404768279446288.38</v>
      </c>
      <c r="J122">
        <f>SUMIFS('Crosswalk AEO to EPS Summary'!L:L,'Crosswalk AEO to EPS Summary'!$D:$D,$B122)*Percent_rural*quadrillion</f>
        <v>411069103618554.13</v>
      </c>
      <c r="K122">
        <f>SUMIFS('Crosswalk AEO to EPS Summary'!M:M,'Crosswalk AEO to EPS Summary'!$D:$D,$B122)*Percent_rural*quadrillion</f>
        <v>416775901886181.44</v>
      </c>
      <c r="L122">
        <f>SUMIFS('Crosswalk AEO to EPS Summary'!N:N,'Crosswalk AEO to EPS Summary'!$D:$D,$B122)*Percent_rural*quadrillion</f>
        <v>421483996438112.19</v>
      </c>
      <c r="M122">
        <f>SUMIFS('Crosswalk AEO to EPS Summary'!O:O,'Crosswalk AEO to EPS Summary'!$D:$D,$B122)*Percent_rural*quadrillion</f>
        <v>425773394317169.94</v>
      </c>
      <c r="N122">
        <f>SUMIFS('Crosswalk AEO to EPS Summary'!P:P,'Crosswalk AEO to EPS Summary'!$D:$D,$B122)*Percent_rural*quadrillion</f>
        <v>430241859791143.88</v>
      </c>
      <c r="O122">
        <f>SUMIFS('Crosswalk AEO to EPS Summary'!Q:Q,'Crosswalk AEO to EPS Summary'!$D:$D,$B122)*Percent_rural*quadrillion</f>
        <v>434957617987533.38</v>
      </c>
      <c r="P122">
        <f>SUMIFS('Crosswalk AEO to EPS Summary'!R:R,'Crosswalk AEO to EPS Summary'!$D:$D,$B122)*Percent_rural*quadrillion</f>
        <v>440320299927143.25</v>
      </c>
      <c r="Q122">
        <f>SUMIFS('Crosswalk AEO to EPS Summary'!S:S,'Crosswalk AEO to EPS Summary'!$D:$D,$B122)*Percent_rural*quadrillion</f>
        <v>445990462235894.19</v>
      </c>
      <c r="R122">
        <f>SUMIFS('Crosswalk AEO to EPS Summary'!T:T,'Crosswalk AEO to EPS Summary'!$D:$D,$B122)*Percent_rural*quadrillion</f>
        <v>451771093175746.75</v>
      </c>
      <c r="S122">
        <f>SUMIFS('Crosswalk AEO to EPS Summary'!U:U,'Crosswalk AEO to EPS Summary'!$D:$D,$B122)*Percent_rural*quadrillion</f>
        <v>457772661377802.94</v>
      </c>
      <c r="T122">
        <f>SUMIFS('Crosswalk AEO to EPS Summary'!V:V,'Crosswalk AEO to EPS Summary'!$D:$D,$B122)*Percent_rural*quadrillion</f>
        <v>463970680563425.81</v>
      </c>
      <c r="U122">
        <f>SUMIFS('Crosswalk AEO to EPS Summary'!W:W,'Crosswalk AEO to EPS Summary'!$D:$D,$B122)*Percent_rural*quadrillion</f>
        <v>470147764915405.19</v>
      </c>
      <c r="V122">
        <f>SUMIFS('Crosswalk AEO to EPS Summary'!X:X,'Crosswalk AEO to EPS Summary'!$D:$D,$B122)*Percent_rural*quadrillion</f>
        <v>475596429207479.88</v>
      </c>
      <c r="W122">
        <f>SUMIFS('Crosswalk AEO to EPS Summary'!Y:Y,'Crosswalk AEO to EPS Summary'!$D:$D,$B122)*Percent_rural*quadrillion</f>
        <v>481546781834372.19</v>
      </c>
      <c r="X122">
        <f>SUMIFS('Crosswalk AEO to EPS Summary'!Z:Z,'Crosswalk AEO to EPS Summary'!$D:$D,$B122)*Percent_rural*quadrillion</f>
        <v>487857512668987.31</v>
      </c>
      <c r="Y122">
        <f>SUMIFS('Crosswalk AEO to EPS Summary'!AA:AA,'Crosswalk AEO to EPS Summary'!$D:$D,$B122)*Percent_rural*quadrillion</f>
        <v>494613669473002.5</v>
      </c>
      <c r="Z122">
        <f>SUMIFS('Crosswalk AEO to EPS Summary'!AB:AB,'Crosswalk AEO to EPS Summary'!$D:$D,$B122)*Percent_rural*quadrillion</f>
        <v>501610203027604.63</v>
      </c>
      <c r="AA122">
        <f>SUMIFS('Crosswalk AEO to EPS Summary'!AC:AC,'Crosswalk AEO to EPS Summary'!$D:$D,$B122)*Percent_rural*quadrillion</f>
        <v>507934205051404.5</v>
      </c>
      <c r="AB122">
        <f>SUMIFS('Crosswalk AEO to EPS Summary'!AD:AD,'Crosswalk AEO to EPS Summary'!$D:$D,$B122)*Percent_rural*quadrillion</f>
        <v>515008309641382.69</v>
      </c>
      <c r="AC122">
        <f>SUMIFS('Crosswalk AEO to EPS Summary'!AE:AE,'Crosswalk AEO to EPS Summary'!$D:$D,$B122)*Percent_rural*quadrillion</f>
        <v>521996618797053.25</v>
      </c>
      <c r="AD122">
        <f>SUMIFS('Crosswalk AEO to EPS Summary'!AF:AF,'Crosswalk AEO to EPS Summary'!$D:$D,$B122)*Percent_rural*quadrillion</f>
        <v>529049040880757.69</v>
      </c>
      <c r="AE122">
        <f>SUMIFS('Crosswalk AEO to EPS Summary'!AG:AG,'Crosswalk AEO to EPS Summary'!$D:$D,$B122)*Percent_rural*quadrillion</f>
        <v>536371372783939.06</v>
      </c>
      <c r="AF122">
        <f>SUMIFS('Crosswalk AEO to EPS Summary'!AH:AH,'Crosswalk AEO to EPS Summary'!$D:$D,$B122)*Percent_rural*quadrillion</f>
        <v>543869781591516.25</v>
      </c>
    </row>
    <row r="123" spans="2:32" x14ac:dyDescent="0.25">
      <c r="B123" s="53" t="str">
        <f t="shared" si="9"/>
        <v>residential-other-coal (BTU)</v>
      </c>
      <c r="C123" t="s">
        <v>8</v>
      </c>
      <c r="D123" t="s">
        <v>34</v>
      </c>
      <c r="E123" t="s">
        <v>932</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row>
    <row r="124" spans="2:32" x14ac:dyDescent="0.25">
      <c r="B124" s="53" t="str">
        <f t="shared" si="9"/>
        <v>residential-other-natural gas (BTU)</v>
      </c>
      <c r="C124" t="s">
        <v>8</v>
      </c>
      <c r="D124" t="s">
        <v>34</v>
      </c>
      <c r="E124" t="s">
        <v>53</v>
      </c>
      <c r="F124">
        <f>SUMIFS('Crosswalk AEO to EPS Summary'!H:H,'Crosswalk AEO to EPS Summary'!$D:$D,$B124)*Percent_rural*quadrillion</f>
        <v>113783437707439.48</v>
      </c>
      <c r="G124">
        <f>SUMIFS('Crosswalk AEO to EPS Summary'!I:I,'Crosswalk AEO to EPS Summary'!$D:$D,$B124)*Percent_rural*quadrillion</f>
        <v>113710913462316.84</v>
      </c>
      <c r="H124">
        <f>SUMIFS('Crosswalk AEO to EPS Summary'!J:J,'Crosswalk AEO to EPS Summary'!$D:$D,$B124)*Percent_rural*quadrillion</f>
        <v>114331481745325.02</v>
      </c>
      <c r="I124">
        <f>SUMIFS('Crosswalk AEO to EPS Summary'!K:K,'Crosswalk AEO to EPS Summary'!$D:$D,$B124)*Percent_rural*quadrillion</f>
        <v>114757655144499.3</v>
      </c>
      <c r="J124">
        <f>SUMIFS('Crosswalk AEO to EPS Summary'!L:L,'Crosswalk AEO to EPS Summary'!$D:$D,$B124)*Percent_rural*quadrillion</f>
        <v>114957283736744.11</v>
      </c>
      <c r="K124">
        <f>SUMIFS('Crosswalk AEO to EPS Summary'!M:M,'Crosswalk AEO to EPS Summary'!$D:$D,$B124)*Percent_rural*quadrillion</f>
        <v>114883637982676.28</v>
      </c>
      <c r="L124">
        <f>SUMIFS('Crosswalk AEO to EPS Summary'!N:N,'Crosswalk AEO to EPS Summary'!$D:$D,$B124)*Percent_rural*quadrillion</f>
        <v>114621017971342.98</v>
      </c>
      <c r="M124">
        <f>SUMIFS('Crosswalk AEO to EPS Summary'!O:O,'Crosswalk AEO to EPS Summary'!$D:$D,$B124)*Percent_rural*quadrillion</f>
        <v>114314472192989.56</v>
      </c>
      <c r="N124">
        <f>SUMIFS('Crosswalk AEO to EPS Summary'!P:P,'Crosswalk AEO to EPS Summary'!$D:$D,$B124)*Percent_rural*quadrillion</f>
        <v>114066805634258.88</v>
      </c>
      <c r="O124">
        <f>SUMIFS('Crosswalk AEO to EPS Summary'!Q:Q,'Crosswalk AEO to EPS Summary'!$D:$D,$B124)*Percent_rural*quadrillion</f>
        <v>113727175342022.17</v>
      </c>
      <c r="P124">
        <f>SUMIFS('Crosswalk AEO to EPS Summary'!R:R,'Crosswalk AEO to EPS Summary'!$D:$D,$B124)*Percent_rural*quadrillion</f>
        <v>113475770420140.84</v>
      </c>
      <c r="Q124">
        <f>SUMIFS('Crosswalk AEO to EPS Summary'!S:S,'Crosswalk AEO to EPS Summary'!$D:$D,$B124)*Percent_rural*quadrillion</f>
        <v>113253711648992.14</v>
      </c>
      <c r="R124">
        <f>SUMIFS('Crosswalk AEO to EPS Summary'!T:T,'Crosswalk AEO to EPS Summary'!$D:$D,$B124)*Percent_rural*quadrillion</f>
        <v>113102494859548.3</v>
      </c>
      <c r="S124">
        <f>SUMIFS('Crosswalk AEO to EPS Summary'!U:U,'Crosswalk AEO to EPS Summary'!$D:$D,$B124)*Percent_rural*quadrillion</f>
        <v>112923614182789.59</v>
      </c>
      <c r="T124">
        <f>SUMIFS('Crosswalk AEO to EPS Summary'!V:V,'Crosswalk AEO to EPS Summary'!$D:$D,$B124)*Percent_rural*quadrillion</f>
        <v>112771649720715.61</v>
      </c>
      <c r="U124">
        <f>SUMIFS('Crosswalk AEO to EPS Summary'!W:W,'Crosswalk AEO to EPS Summary'!$D:$D,$B124)*Percent_rural*quadrillion</f>
        <v>112628657330203.17</v>
      </c>
      <c r="V124">
        <f>SUMIFS('Crosswalk AEO to EPS Summary'!X:X,'Crosswalk AEO to EPS Summary'!$D:$D,$B124)*Percent_rural*quadrillion</f>
        <v>112507534364122.08</v>
      </c>
      <c r="W124">
        <f>SUMIFS('Crosswalk AEO to EPS Summary'!Y:Y,'Crosswalk AEO to EPS Summary'!$D:$D,$B124)*Percent_rural*quadrillion</f>
        <v>112406037804581.89</v>
      </c>
      <c r="X124">
        <f>SUMIFS('Crosswalk AEO to EPS Summary'!Z:Z,'Crosswalk AEO to EPS Summary'!$D:$D,$B124)*Percent_rural*quadrillion</f>
        <v>112376878572006.8</v>
      </c>
      <c r="Y124">
        <f>SUMIFS('Crosswalk AEO to EPS Summary'!AA:AA,'Crosswalk AEO to EPS Summary'!$D:$D,$B124)*Percent_rural*quadrillion</f>
        <v>112393140451712.14</v>
      </c>
      <c r="Z124">
        <f>SUMIFS('Crosswalk AEO to EPS Summary'!AB:AB,'Crosswalk AEO to EPS Summary'!$D:$D,$B124)*Percent_rural*quadrillion</f>
        <v>112446785962923.98</v>
      </c>
      <c r="AA124">
        <f>SUMIFS('Crosswalk AEO to EPS Summary'!AC:AC,'Crosswalk AEO to EPS Summary'!$D:$D,$B124)*Percent_rural*quadrillion</f>
        <v>112485664939690.75</v>
      </c>
      <c r="AB124">
        <f>SUMIFS('Crosswalk AEO to EPS Summary'!AD:AD,'Crosswalk AEO to EPS Summary'!$D:$D,$B124)*Percent_rural*quadrillion</f>
        <v>112460991742896.48</v>
      </c>
      <c r="AC124">
        <f>SUMIFS('Crosswalk AEO to EPS Summary'!AE:AE,'Crosswalk AEO to EPS Summary'!$D:$D,$B124)*Percent_rural*quadrillion</f>
        <v>112384542216465.63</v>
      </c>
      <c r="AD124">
        <f>SUMIFS('Crosswalk AEO to EPS Summary'!AF:AF,'Crosswalk AEO to EPS Summary'!$D:$D,$B124)*Percent_rural*quadrillion</f>
        <v>112292765401117.14</v>
      </c>
      <c r="AE124">
        <f>SUMIFS('Crosswalk AEO to EPS Summary'!AG:AG,'Crosswalk AEO to EPS Summary'!$D:$D,$B124)*Percent_rural*quadrillion</f>
        <v>112206035376022.02</v>
      </c>
      <c r="AF124">
        <f>SUMIFS('Crosswalk AEO to EPS Summary'!AH:AH,'Crosswalk AEO to EPS Summary'!$D:$D,$B124)*Percent_rural*quadrillion</f>
        <v>112135380312474.7</v>
      </c>
    </row>
    <row r="125" spans="2:32" x14ac:dyDescent="0.25">
      <c r="B125" s="53" t="str">
        <f t="shared" si="9"/>
        <v>residential-other-petroleum diesel (BTU)</v>
      </c>
      <c r="C125" t="s">
        <v>8</v>
      </c>
      <c r="D125" t="s">
        <v>34</v>
      </c>
      <c r="E125" t="s">
        <v>68</v>
      </c>
      <c r="F125">
        <f>SUMIFS('Crosswalk AEO to EPS Summary'!H:H,'Crosswalk AEO to EPS Summary'!$D:$D,$B125)*Percent_rural*quadrillion</f>
        <v>4825292236703.6348</v>
      </c>
      <c r="G125">
        <f>SUMIFS('Crosswalk AEO to EPS Summary'!I:I,'Crosswalk AEO to EPS Summary'!$D:$D,$B125)*Percent_rural*quadrillion</f>
        <v>4870152594511.4541</v>
      </c>
      <c r="H125">
        <f>SUMIFS('Crosswalk AEO to EPS Summary'!J:J,'Crosswalk AEO to EPS Summary'!$D:$D,$B125)*Percent_rural*quadrillion</f>
        <v>4920433578887.7188</v>
      </c>
      <c r="I125">
        <f>SUMIFS('Crosswalk AEO to EPS Summary'!K:K,'Crosswalk AEO to EPS Summary'!$D:$D,$B125)*Percent_rural*quadrillion</f>
        <v>4928844895976.6855</v>
      </c>
      <c r="J125">
        <f>SUMIFS('Crosswalk AEO to EPS Summary'!L:L,'Crosswalk AEO to EPS Summary'!$D:$D,$B125)*Percent_rural*quadrillion</f>
        <v>4917816724682.2637</v>
      </c>
      <c r="K125">
        <f>SUMIFS('Crosswalk AEO to EPS Summary'!M:M,'Crosswalk AEO to EPS Summary'!$D:$D,$B125)*Percent_rural*quadrillion</f>
        <v>4898377236298.874</v>
      </c>
      <c r="L125">
        <f>SUMIFS('Crosswalk AEO to EPS Summary'!N:N,'Crosswalk AEO to EPS Summary'!$D:$D,$B125)*Percent_rural*quadrillion</f>
        <v>4886975228689.3877</v>
      </c>
      <c r="M125">
        <f>SUMIFS('Crosswalk AEO to EPS Summary'!O:O,'Crosswalk AEO to EPS Summary'!$D:$D,$B125)*Percent_rural*quadrillion</f>
        <v>4873143285031.9766</v>
      </c>
      <c r="N125">
        <f>SUMIFS('Crosswalk AEO to EPS Summary'!P:P,'Crosswalk AEO to EPS Summary'!$D:$D,$B125)*Percent_rural*quadrillion</f>
        <v>4861741277422.4883</v>
      </c>
      <c r="O125">
        <f>SUMIFS('Crosswalk AEO to EPS Summary'!Q:Q,'Crosswalk AEO to EPS Summary'!$D:$D,$B125)*Percent_rural*quadrillion</f>
        <v>4849217760867.8057</v>
      </c>
      <c r="P125">
        <f>SUMIFS('Crosswalk AEO to EPS Summary'!R:R,'Crosswalk AEO to EPS Summary'!$D:$D,$B125)*Percent_rural*quadrillion</f>
        <v>4840993361936.3711</v>
      </c>
      <c r="Q125">
        <f>SUMIFS('Crosswalk AEO to EPS Summary'!S:S,'Crosswalk AEO to EPS Summary'!$D:$D,$B125)*Percent_rural*quadrillion</f>
        <v>4831647454059.7422</v>
      </c>
      <c r="R125">
        <f>SUMIFS('Crosswalk AEO to EPS Summary'!T:T,'Crosswalk AEO to EPS Summary'!$D:$D,$B125)*Percent_rural*quadrillion</f>
        <v>4823049218813.2441</v>
      </c>
      <c r="S125">
        <f>SUMIFS('Crosswalk AEO to EPS Summary'!U:U,'Crosswalk AEO to EPS Summary'!$D:$D,$B125)*Percent_rural*quadrillion</f>
        <v>4815385574354.4082</v>
      </c>
      <c r="T125">
        <f>SUMIFS('Crosswalk AEO to EPS Summary'!V:V,'Crosswalk AEO to EPS Summary'!$D:$D,$B125)*Percent_rural*quadrillion</f>
        <v>4808282684368.1699</v>
      </c>
      <c r="U125">
        <f>SUMIFS('Crosswalk AEO to EPS Summary'!W:W,'Crosswalk AEO to EPS Summary'!$D:$D,$B125)*Percent_rural*quadrillion</f>
        <v>4801927467012.0615</v>
      </c>
      <c r="V125">
        <f>SUMIFS('Crosswalk AEO to EPS Summary'!X:X,'Crosswalk AEO to EPS Summary'!$D:$D,$B125)*Percent_rural*quadrillion</f>
        <v>4795759167813.4863</v>
      </c>
      <c r="W125">
        <f>SUMIFS('Crosswalk AEO to EPS Summary'!Y:Y,'Crosswalk AEO to EPS Summary'!$D:$D,$B125)*Percent_rural*quadrillion</f>
        <v>4788469359669.7148</v>
      </c>
      <c r="X125">
        <f>SUMIFS('Crosswalk AEO to EPS Summary'!Z:Z,'Crosswalk AEO to EPS Summary'!$D:$D,$B125)*Percent_rural*quadrillion</f>
        <v>4781927224156.0762</v>
      </c>
      <c r="Y125">
        <f>SUMIFS('Crosswalk AEO to EPS Summary'!AA:AA,'Crosswalk AEO to EPS Summary'!$D:$D,$B125)*Percent_rural*quadrillion</f>
        <v>4775572006799.9678</v>
      </c>
      <c r="Z125">
        <f>SUMIFS('Crosswalk AEO to EPS Summary'!AB:AB,'Crosswalk AEO to EPS Summary'!$D:$D,$B125)*Percent_rural*quadrillion</f>
        <v>4769403707601.3926</v>
      </c>
      <c r="AA125">
        <f>SUMIFS('Crosswalk AEO to EPS Summary'!AC:AC,'Crosswalk AEO to EPS Summary'!$D:$D,$B125)*Percent_rural*quadrillion</f>
        <v>4762113899457.6211</v>
      </c>
      <c r="AB125">
        <f>SUMIFS('Crosswalk AEO to EPS Summary'!AD:AD,'Crosswalk AEO to EPS Summary'!$D:$D,$B125)*Percent_rural*quadrillion</f>
        <v>4754824091313.8506</v>
      </c>
      <c r="AC125">
        <f>SUMIFS('Crosswalk AEO to EPS Summary'!AE:AE,'Crosswalk AEO to EPS Summary'!$D:$D,$B125)*Percent_rural*quadrillion</f>
        <v>4746973528697.4824</v>
      </c>
      <c r="AD125">
        <f>SUMIFS('Crosswalk AEO to EPS Summary'!AF:AF,'Crosswalk AEO to EPS Summary'!$D:$D,$B125)*Percent_rural*quadrillion</f>
        <v>4738562211608.5156</v>
      </c>
      <c r="AE125">
        <f>SUMIFS('Crosswalk AEO to EPS Summary'!AG:AG,'Crosswalk AEO to EPS Summary'!$D:$D,$B125)*Percent_rural*quadrillion</f>
        <v>4730150894519.5498</v>
      </c>
      <c r="AF125">
        <f>SUMIFS('Crosswalk AEO to EPS Summary'!AH:AH,'Crosswalk AEO to EPS Summary'!$D:$D,$B125)*Percent_rural*quadrillion</f>
        <v>4723608759005.9092</v>
      </c>
    </row>
    <row r="126" spans="2:32" x14ac:dyDescent="0.25">
      <c r="B126" s="53" t="str">
        <f t="shared" si="9"/>
        <v>residential-other-heat (BTU)</v>
      </c>
      <c r="C126" t="s">
        <v>8</v>
      </c>
      <c r="D126" t="s">
        <v>34</v>
      </c>
      <c r="E126" t="s">
        <v>933</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row>
    <row r="127" spans="2:32" x14ac:dyDescent="0.25">
      <c r="B127" s="53" t="str">
        <f t="shared" si="9"/>
        <v>residential-other-biomass (BTU)</v>
      </c>
      <c r="C127" t="s">
        <v>8</v>
      </c>
      <c r="D127" t="s">
        <v>34</v>
      </c>
      <c r="E127" t="s">
        <v>88</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row>
    <row r="128" spans="2:32" x14ac:dyDescent="0.25">
      <c r="B128" s="53" t="str">
        <f t="shared" si="9"/>
        <v>residential-other-kerosene (BTU)</v>
      </c>
      <c r="C128" t="s">
        <v>8</v>
      </c>
      <c r="D128" t="s">
        <v>34</v>
      </c>
      <c r="E128" t="s">
        <v>934</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row>
    <row r="129" spans="1:32" x14ac:dyDescent="0.25">
      <c r="B129" s="53" t="str">
        <f t="shared" si="9"/>
        <v>residential-other-heavy or residual fuel oil (BTU)</v>
      </c>
      <c r="C129" t="s">
        <v>8</v>
      </c>
      <c r="D129" t="s">
        <v>34</v>
      </c>
      <c r="E129" t="s">
        <v>935</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row>
    <row r="130" spans="1:32" x14ac:dyDescent="0.25">
      <c r="B130" s="53" t="str">
        <f t="shared" si="9"/>
        <v>residential-other-LPG propane or butane (BTU)</v>
      </c>
      <c r="C130" t="s">
        <v>8</v>
      </c>
      <c r="D130" t="s">
        <v>34</v>
      </c>
      <c r="E130" t="s">
        <v>77</v>
      </c>
      <c r="F130">
        <f>SUMIFS('Crosswalk AEO to EPS Summary'!H:H,'Crosswalk AEO to EPS Summary'!$D:$D,$B130)*Percent_rural*quadrillion</f>
        <v>14071385817210.395</v>
      </c>
      <c r="G130">
        <f>SUMIFS('Crosswalk AEO to EPS Summary'!I:I,'Crosswalk AEO to EPS Summary'!$D:$D,$B130)*Percent_rural*quadrillion</f>
        <v>14586532259370.193</v>
      </c>
      <c r="H130">
        <f>SUMIFS('Crosswalk AEO to EPS Summary'!J:J,'Crosswalk AEO to EPS Summary'!$D:$D,$B130)*Percent_rural*quadrillion</f>
        <v>15171959928762.244</v>
      </c>
      <c r="I130">
        <f>SUMIFS('Crosswalk AEO to EPS Summary'!K:K,'Crosswalk AEO to EPS Summary'!$D:$D,$B130)*Percent_rural*quadrillion</f>
        <v>15737948109770.906</v>
      </c>
      <c r="J130">
        <f>SUMIFS('Crosswalk AEO to EPS Summary'!L:L,'Crosswalk AEO to EPS Summary'!$D:$D,$B130)*Percent_rural*quadrillion</f>
        <v>16246739334574.598</v>
      </c>
      <c r="K130">
        <f>SUMIFS('Crosswalk AEO to EPS Summary'!M:M,'Crosswalk AEO to EPS Summary'!$D:$D,$B130)*Percent_rural*quadrillion</f>
        <v>16695903667125.395</v>
      </c>
      <c r="L130">
        <f>SUMIFS('Crosswalk AEO to EPS Summary'!N:N,'Crosswalk AEO to EPS Summary'!$D:$D,$B130)*Percent_rural*quadrillion</f>
        <v>17103572168703.957</v>
      </c>
      <c r="M130">
        <f>SUMIFS('Crosswalk AEO to EPS Summary'!O:O,'Crosswalk AEO to EPS Summary'!$D:$D,$B130)*Percent_rural*quadrillion</f>
        <v>17476847729296.525</v>
      </c>
      <c r="N130">
        <f>SUMIFS('Crosswalk AEO to EPS Summary'!P:P,'Crosswalk AEO to EPS Summary'!$D:$D,$B130)*Percent_rural*quadrillion</f>
        <v>17845263417793.246</v>
      </c>
      <c r="O130">
        <f>SUMIFS('Crosswalk AEO to EPS Summary'!Q:Q,'Crosswalk AEO to EPS Summary'!$D:$D,$B130)*Percent_rural*quadrillion</f>
        <v>18207697725248.926</v>
      </c>
      <c r="P130">
        <f>SUMIFS('Crosswalk AEO to EPS Summary'!R:R,'Crosswalk AEO to EPS Summary'!$D:$D,$B130)*Percent_rural*quadrillion</f>
        <v>18591814538978.383</v>
      </c>
      <c r="Q130">
        <f>SUMIFS('Crosswalk AEO to EPS Summary'!S:S,'Crosswalk AEO to EPS Summary'!$D:$D,$B130)*Percent_rural*quadrillion</f>
        <v>18993501659515.906</v>
      </c>
      <c r="R130">
        <f>SUMIFS('Crosswalk AEO to EPS Summary'!T:T,'Crosswalk AEO to EPS Summary'!$D:$D,$B130)*Percent_rural*quadrillion</f>
        <v>19406216951347.848</v>
      </c>
      <c r="S130">
        <f>SUMIFS('Crosswalk AEO to EPS Summary'!U:U,'Crosswalk AEO to EPS Summary'!$D:$D,$B130)*Percent_rural*quadrillion</f>
        <v>19817810734234.598</v>
      </c>
      <c r="T130">
        <f>SUMIFS('Crosswalk AEO to EPS Summary'!V:V,'Crosswalk AEO to EPS Summary'!$D:$D,$B130)*Percent_rural*quadrillion</f>
        <v>20227535335546.023</v>
      </c>
      <c r="U130">
        <f>SUMIFS('Crosswalk AEO to EPS Summary'!W:W,'Crosswalk AEO to EPS Summary'!$D:$D,$B130)*Percent_rural*quadrillion</f>
        <v>20633334655549.258</v>
      </c>
      <c r="V130">
        <f>SUMIFS('Crosswalk AEO to EPS Summary'!X:X,'Crosswalk AEO to EPS Summary'!$D:$D,$B130)*Percent_rural*quadrillion</f>
        <v>21042311584230.551</v>
      </c>
      <c r="W130">
        <f>SUMIFS('Crosswalk AEO to EPS Summary'!Y:Y,'Crosswalk AEO to EPS Summary'!$D:$D,$B130)*Percent_rural*quadrillion</f>
        <v>21460821338946.004</v>
      </c>
      <c r="X130">
        <f>SUMIFS('Crosswalk AEO to EPS Summary'!Z:Z,'Crosswalk AEO to EPS Summary'!$D:$D,$B130)*Percent_rural*quadrillion</f>
        <v>21897835991257.184</v>
      </c>
      <c r="Y130">
        <f>SUMIFS('Crosswalk AEO to EPS Summary'!AA:AA,'Crosswalk AEO to EPS Summary'!$D:$D,$B130)*Percent_rural*quadrillion</f>
        <v>22354290131951.754</v>
      </c>
      <c r="Z130">
        <f>SUMIFS('Crosswalk AEO to EPS Summary'!AB:AB,'Crosswalk AEO to EPS Summary'!$D:$D,$B130)*Percent_rural*quadrillion</f>
        <v>22826632316036.59</v>
      </c>
      <c r="AA130">
        <f>SUMIFS('Crosswalk AEO to EPS Summary'!AC:AC,'Crosswalk AEO to EPS Summary'!$D:$D,$B130)*Percent_rural*quadrillion</f>
        <v>23303086699587.145</v>
      </c>
      <c r="AB130">
        <f>SUMIFS('Crosswalk AEO to EPS Summary'!AD:AD,'Crosswalk AEO to EPS Summary'!$D:$D,$B130)*Percent_rural*quadrillion</f>
        <v>23772625111308.992</v>
      </c>
      <c r="AC130">
        <f>SUMIFS('Crosswalk AEO to EPS Summary'!AE:AE,'Crosswalk AEO to EPS Summary'!$D:$D,$B130)*Percent_rural*quadrillion</f>
        <v>24233565287784.348</v>
      </c>
      <c r="AD130">
        <f>SUMIFS('Crosswalk AEO to EPS Summary'!AF:AF,'Crosswalk AEO to EPS Summary'!$D:$D,$B130)*Percent_rural*quadrillion</f>
        <v>24690767101109.039</v>
      </c>
      <c r="AE130">
        <f>SUMIFS('Crosswalk AEO to EPS Summary'!AG:AG,'Crosswalk AEO to EPS Summary'!$D:$D,$B130)*Percent_rural*quadrillion</f>
        <v>25150772686796.73</v>
      </c>
      <c r="AF130">
        <f>SUMIFS('Crosswalk AEO to EPS Summary'!AH:AH,'Crosswalk AEO to EPS Summary'!$D:$D,$B130)*Percent_rural*quadrillion</f>
        <v>25616946571682.992</v>
      </c>
    </row>
    <row r="131" spans="1:32" x14ac:dyDescent="0.25">
      <c r="B131" s="53" t="str">
        <f t="shared" si="9"/>
        <v>residential-other-hydrogen (BTU)</v>
      </c>
      <c r="C131" t="s">
        <v>8</v>
      </c>
      <c r="D131" t="s">
        <v>34</v>
      </c>
      <c r="E131" t="s">
        <v>936</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row>
    <row r="132" spans="1:32" s="12" customFormat="1" ht="18" customHeight="1" x14ac:dyDescent="0.3">
      <c r="A132" s="14" t="s">
        <v>946</v>
      </c>
    </row>
    <row r="133" spans="1:32" x14ac:dyDescent="0.25">
      <c r="B133" s="1" t="s">
        <v>947</v>
      </c>
    </row>
    <row r="134" spans="1:32" x14ac:dyDescent="0.25">
      <c r="E134" t="s">
        <v>915</v>
      </c>
      <c r="F134" s="1">
        <v>2024</v>
      </c>
      <c r="G134" s="1">
        <v>2025</v>
      </c>
      <c r="H134" s="1">
        <v>2026</v>
      </c>
      <c r="I134" s="1">
        <v>2027</v>
      </c>
      <c r="J134" s="1">
        <v>2028</v>
      </c>
      <c r="K134" s="1">
        <v>2029</v>
      </c>
      <c r="L134" s="1">
        <v>2030</v>
      </c>
      <c r="M134" s="1">
        <v>2031</v>
      </c>
      <c r="N134" s="1">
        <v>2032</v>
      </c>
      <c r="O134" s="1">
        <v>2033</v>
      </c>
      <c r="P134" s="1">
        <v>2034</v>
      </c>
      <c r="Q134" s="1">
        <v>2035</v>
      </c>
      <c r="R134" s="1">
        <v>2036</v>
      </c>
      <c r="S134" s="1">
        <v>2037</v>
      </c>
      <c r="T134" s="1">
        <v>2038</v>
      </c>
      <c r="U134" s="1">
        <v>2039</v>
      </c>
      <c r="V134" s="1">
        <v>2040</v>
      </c>
      <c r="W134" s="1">
        <v>2041</v>
      </c>
      <c r="X134" s="1">
        <v>2042</v>
      </c>
      <c r="Y134" s="1">
        <v>2043</v>
      </c>
      <c r="Z134" s="1">
        <v>2044</v>
      </c>
      <c r="AA134" s="1">
        <v>2045</v>
      </c>
      <c r="AB134" s="1">
        <v>2046</v>
      </c>
      <c r="AC134" s="1">
        <v>2047</v>
      </c>
      <c r="AD134" s="1">
        <v>2048</v>
      </c>
      <c r="AE134" s="1">
        <v>2049</v>
      </c>
      <c r="AF134" s="1">
        <v>2050</v>
      </c>
    </row>
    <row r="135" spans="1:32" x14ac:dyDescent="0.25">
      <c r="B135" s="53" t="str">
        <f t="shared" ref="B135:B144" si="10">C135&amp;"-"&amp;D135&amp;"-"&amp;E135</f>
        <v>commercial-heating-electricity (BTU)</v>
      </c>
      <c r="C135" t="s">
        <v>92</v>
      </c>
      <c r="D135" t="s">
        <v>9</v>
      </c>
      <c r="E135" t="s">
        <v>10</v>
      </c>
      <c r="F135">
        <f>SUMIFS('Crosswalk AEO to EPS Summary'!H:H,'Crosswalk AEO to EPS Summary'!$D:$D,$B135)*quadrillion</f>
        <v>186541000000000</v>
      </c>
      <c r="G135">
        <f>SUMIFS('Crosswalk AEO to EPS Summary'!I:I,'Crosswalk AEO to EPS Summary'!$D:$D,$B135)*quadrillion</f>
        <v>200860000000000</v>
      </c>
      <c r="H135">
        <f>SUMIFS('Crosswalk AEO to EPS Summary'!J:J,'Crosswalk AEO to EPS Summary'!$D:$D,$B135)*quadrillion</f>
        <v>193991000000000</v>
      </c>
      <c r="I135">
        <f>SUMIFS('Crosswalk AEO to EPS Summary'!K:K,'Crosswalk AEO to EPS Summary'!$D:$D,$B135)*quadrillion</f>
        <v>192330000000000</v>
      </c>
      <c r="J135">
        <f>SUMIFS('Crosswalk AEO to EPS Summary'!L:L,'Crosswalk AEO to EPS Summary'!$D:$D,$B135)*quadrillion</f>
        <v>191237000000000</v>
      </c>
      <c r="K135">
        <f>SUMIFS('Crosswalk AEO to EPS Summary'!M:M,'Crosswalk AEO to EPS Summary'!$D:$D,$B135)*quadrillion</f>
        <v>189690000000000</v>
      </c>
      <c r="L135">
        <f>SUMIFS('Crosswalk AEO to EPS Summary'!N:N,'Crosswalk AEO to EPS Summary'!$D:$D,$B135)*quadrillion</f>
        <v>187902000000000</v>
      </c>
      <c r="M135">
        <f>SUMIFS('Crosswalk AEO to EPS Summary'!O:O,'Crosswalk AEO to EPS Summary'!$D:$D,$B135)*quadrillion</f>
        <v>186031000000000</v>
      </c>
      <c r="N135">
        <f>SUMIFS('Crosswalk AEO to EPS Summary'!P:P,'Crosswalk AEO to EPS Summary'!$D:$D,$B135)*quadrillion</f>
        <v>184106000000000</v>
      </c>
      <c r="O135">
        <f>SUMIFS('Crosswalk AEO to EPS Summary'!Q:Q,'Crosswalk AEO to EPS Summary'!$D:$D,$B135)*quadrillion</f>
        <v>182230000000000</v>
      </c>
      <c r="P135">
        <f>SUMIFS('Crosswalk AEO to EPS Summary'!R:R,'Crosswalk AEO to EPS Summary'!$D:$D,$B135)*quadrillion</f>
        <v>180242000000000</v>
      </c>
      <c r="Q135">
        <f>SUMIFS('Crosswalk AEO to EPS Summary'!S:S,'Crosswalk AEO to EPS Summary'!$D:$D,$B135)*quadrillion</f>
        <v>178200000000000</v>
      </c>
      <c r="R135">
        <f>SUMIFS('Crosswalk AEO to EPS Summary'!T:T,'Crosswalk AEO to EPS Summary'!$D:$D,$B135)*quadrillion</f>
        <v>176227000000000</v>
      </c>
      <c r="S135">
        <f>SUMIFS('Crosswalk AEO to EPS Summary'!U:U,'Crosswalk AEO to EPS Summary'!$D:$D,$B135)*quadrillion</f>
        <v>174101000000000</v>
      </c>
      <c r="T135">
        <f>SUMIFS('Crosswalk AEO to EPS Summary'!V:V,'Crosswalk AEO to EPS Summary'!$D:$D,$B135)*quadrillion</f>
        <v>171933000000000</v>
      </c>
      <c r="U135">
        <f>SUMIFS('Crosswalk AEO to EPS Summary'!W:W,'Crosswalk AEO to EPS Summary'!$D:$D,$B135)*quadrillion</f>
        <v>169663000000000</v>
      </c>
      <c r="V135">
        <f>SUMIFS('Crosswalk AEO to EPS Summary'!X:X,'Crosswalk AEO to EPS Summary'!$D:$D,$B135)*quadrillion</f>
        <v>167366000000000</v>
      </c>
      <c r="W135">
        <f>SUMIFS('Crosswalk AEO to EPS Summary'!Y:Y,'Crosswalk AEO to EPS Summary'!$D:$D,$B135)*quadrillion</f>
        <v>165099000000000</v>
      </c>
      <c r="X135">
        <f>SUMIFS('Crosswalk AEO to EPS Summary'!Z:Z,'Crosswalk AEO to EPS Summary'!$D:$D,$B135)*quadrillion</f>
        <v>162808000000000</v>
      </c>
      <c r="Y135">
        <f>SUMIFS('Crosswalk AEO to EPS Summary'!AA:AA,'Crosswalk AEO to EPS Summary'!$D:$D,$B135)*quadrillion</f>
        <v>160509000000000</v>
      </c>
      <c r="Z135">
        <f>SUMIFS('Crosswalk AEO to EPS Summary'!AB:AB,'Crosswalk AEO to EPS Summary'!$D:$D,$B135)*quadrillion</f>
        <v>158156000000000</v>
      </c>
      <c r="AA135">
        <f>SUMIFS('Crosswalk AEO to EPS Summary'!AC:AC,'Crosswalk AEO to EPS Summary'!$D:$D,$B135)*quadrillion</f>
        <v>155824000000000</v>
      </c>
      <c r="AB135">
        <f>SUMIFS('Crosswalk AEO to EPS Summary'!AD:AD,'Crosswalk AEO to EPS Summary'!$D:$D,$B135)*quadrillion</f>
        <v>153355000000000</v>
      </c>
      <c r="AC135">
        <f>SUMIFS('Crosswalk AEO to EPS Summary'!AE:AE,'Crosswalk AEO to EPS Summary'!$D:$D,$B135)*quadrillion</f>
        <v>150715000000000</v>
      </c>
      <c r="AD135">
        <f>SUMIFS('Crosswalk AEO to EPS Summary'!AF:AF,'Crosswalk AEO to EPS Summary'!$D:$D,$B135)*quadrillion</f>
        <v>148032000000000</v>
      </c>
      <c r="AE135">
        <f>SUMIFS('Crosswalk AEO to EPS Summary'!AG:AG,'Crosswalk AEO to EPS Summary'!$D:$D,$B135)*quadrillion</f>
        <v>145385000000000</v>
      </c>
      <c r="AF135">
        <f>SUMIFS('Crosswalk AEO to EPS Summary'!AH:AH,'Crosswalk AEO to EPS Summary'!$D:$D,$B135)*quadrillion</f>
        <v>142671000000000</v>
      </c>
    </row>
    <row r="136" spans="1:32" x14ac:dyDescent="0.25">
      <c r="B136" s="53" t="str">
        <f t="shared" si="10"/>
        <v>commercial-heating-coal (BTU)</v>
      </c>
      <c r="C136" t="s">
        <v>92</v>
      </c>
      <c r="D136" t="s">
        <v>9</v>
      </c>
      <c r="E136" t="s">
        <v>932</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row>
    <row r="137" spans="1:32" x14ac:dyDescent="0.25">
      <c r="B137" s="53" t="str">
        <f t="shared" si="10"/>
        <v>commercial-heating-natural gas (BTU)</v>
      </c>
      <c r="C137" t="s">
        <v>92</v>
      </c>
      <c r="D137" t="s">
        <v>9</v>
      </c>
      <c r="E137" t="s">
        <v>53</v>
      </c>
      <c r="F137">
        <f>SUMIFS('Crosswalk AEO to EPS Summary'!H:H,'Crosswalk AEO to EPS Summary'!$D:$D,$B137)*quadrillion</f>
        <v>1537413000000000</v>
      </c>
      <c r="G137">
        <f>SUMIFS('Crosswalk AEO to EPS Summary'!I:I,'Crosswalk AEO to EPS Summary'!$D:$D,$B137)*quadrillion</f>
        <v>1677395000000000</v>
      </c>
      <c r="H137">
        <f>SUMIFS('Crosswalk AEO to EPS Summary'!J:J,'Crosswalk AEO to EPS Summary'!$D:$D,$B137)*quadrillion</f>
        <v>1658977000000000</v>
      </c>
      <c r="I137">
        <f>SUMIFS('Crosswalk AEO to EPS Summary'!K:K,'Crosswalk AEO to EPS Summary'!$D:$D,$B137)*quadrillion</f>
        <v>1655333000000000</v>
      </c>
      <c r="J137">
        <f>SUMIFS('Crosswalk AEO to EPS Summary'!L:L,'Crosswalk AEO to EPS Summary'!$D:$D,$B137)*quadrillion</f>
        <v>1640213000000000</v>
      </c>
      <c r="K137">
        <f>SUMIFS('Crosswalk AEO to EPS Summary'!M:M,'Crosswalk AEO to EPS Summary'!$D:$D,$B137)*quadrillion</f>
        <v>1614623000000000</v>
      </c>
      <c r="L137">
        <f>SUMIFS('Crosswalk AEO to EPS Summary'!N:N,'Crosswalk AEO to EPS Summary'!$D:$D,$B137)*quadrillion</f>
        <v>1585396000000000</v>
      </c>
      <c r="M137">
        <f>SUMIFS('Crosswalk AEO to EPS Summary'!O:O,'Crosswalk AEO to EPS Summary'!$D:$D,$B137)*quadrillion</f>
        <v>1558153000000000</v>
      </c>
      <c r="N137">
        <f>SUMIFS('Crosswalk AEO to EPS Summary'!P:P,'Crosswalk AEO to EPS Summary'!$D:$D,$B137)*quadrillion</f>
        <v>1539679000000000</v>
      </c>
      <c r="O137">
        <f>SUMIFS('Crosswalk AEO to EPS Summary'!Q:Q,'Crosswalk AEO to EPS Summary'!$D:$D,$B137)*quadrillion</f>
        <v>1525580000000000</v>
      </c>
      <c r="P137">
        <f>SUMIFS('Crosswalk AEO to EPS Summary'!R:R,'Crosswalk AEO to EPS Summary'!$D:$D,$B137)*quadrillion</f>
        <v>1514998000000000</v>
      </c>
      <c r="Q137">
        <f>SUMIFS('Crosswalk AEO to EPS Summary'!S:S,'Crosswalk AEO to EPS Summary'!$D:$D,$B137)*quadrillion</f>
        <v>1504151000000000</v>
      </c>
      <c r="R137">
        <f>SUMIFS('Crosswalk AEO to EPS Summary'!T:T,'Crosswalk AEO to EPS Summary'!$D:$D,$B137)*quadrillion</f>
        <v>1494749000000000</v>
      </c>
      <c r="S137">
        <f>SUMIFS('Crosswalk AEO to EPS Summary'!U:U,'Crosswalk AEO to EPS Summary'!$D:$D,$B137)*quadrillion</f>
        <v>1484763000000000</v>
      </c>
      <c r="T137">
        <f>SUMIFS('Crosswalk AEO to EPS Summary'!V:V,'Crosswalk AEO to EPS Summary'!$D:$D,$B137)*quadrillion</f>
        <v>1474809000000000</v>
      </c>
      <c r="U137">
        <f>SUMIFS('Crosswalk AEO to EPS Summary'!W:W,'Crosswalk AEO to EPS Summary'!$D:$D,$B137)*quadrillion</f>
        <v>1464232000000000</v>
      </c>
      <c r="V137">
        <f>SUMIFS('Crosswalk AEO to EPS Summary'!X:X,'Crosswalk AEO to EPS Summary'!$D:$D,$B137)*quadrillion</f>
        <v>1453817000000000</v>
      </c>
      <c r="W137">
        <f>SUMIFS('Crosswalk AEO to EPS Summary'!Y:Y,'Crosswalk AEO to EPS Summary'!$D:$D,$B137)*quadrillion</f>
        <v>1443761000000000</v>
      </c>
      <c r="X137">
        <f>SUMIFS('Crosswalk AEO to EPS Summary'!Z:Z,'Crosswalk AEO to EPS Summary'!$D:$D,$B137)*quadrillion</f>
        <v>1435541000000000</v>
      </c>
      <c r="Y137">
        <f>SUMIFS('Crosswalk AEO to EPS Summary'!AA:AA,'Crosswalk AEO to EPS Summary'!$D:$D,$B137)*quadrillion</f>
        <v>1427792000000000</v>
      </c>
      <c r="Z137">
        <f>SUMIFS('Crosswalk AEO to EPS Summary'!AB:AB,'Crosswalk AEO to EPS Summary'!$D:$D,$B137)*quadrillion</f>
        <v>1420772000000000</v>
      </c>
      <c r="AA137">
        <f>SUMIFS('Crosswalk AEO to EPS Summary'!AC:AC,'Crosswalk AEO to EPS Summary'!$D:$D,$B137)*quadrillion</f>
        <v>1413245000000000</v>
      </c>
      <c r="AB137">
        <f>SUMIFS('Crosswalk AEO to EPS Summary'!AD:AD,'Crosswalk AEO to EPS Summary'!$D:$D,$B137)*quadrillion</f>
        <v>1403235000000000</v>
      </c>
      <c r="AC137">
        <f>SUMIFS('Crosswalk AEO to EPS Summary'!AE:AE,'Crosswalk AEO to EPS Summary'!$D:$D,$B137)*quadrillion</f>
        <v>1391638000000000</v>
      </c>
      <c r="AD137">
        <f>SUMIFS('Crosswalk AEO to EPS Summary'!AF:AF,'Crosswalk AEO to EPS Summary'!$D:$D,$B137)*quadrillion</f>
        <v>1379734000000000</v>
      </c>
      <c r="AE137">
        <f>SUMIFS('Crosswalk AEO to EPS Summary'!AG:AG,'Crosswalk AEO to EPS Summary'!$D:$D,$B137)*quadrillion</f>
        <v>1367849000000000</v>
      </c>
      <c r="AF137">
        <f>SUMIFS('Crosswalk AEO to EPS Summary'!AH:AH,'Crosswalk AEO to EPS Summary'!$D:$D,$B137)*quadrillion</f>
        <v>1356255000000000</v>
      </c>
    </row>
    <row r="138" spans="1:32" x14ac:dyDescent="0.25">
      <c r="B138" s="53" t="str">
        <f t="shared" si="10"/>
        <v>commercial-heating-petroleum diesel (BTU)</v>
      </c>
      <c r="C138" t="s">
        <v>92</v>
      </c>
      <c r="D138" t="s">
        <v>9</v>
      </c>
      <c r="E138" t="s">
        <v>68</v>
      </c>
      <c r="F138">
        <f>SUMIFS('Crosswalk AEO to EPS Summary'!H:H,'Crosswalk AEO to EPS Summary'!$D:$D,$B138)*quadrillion</f>
        <v>69269000000000</v>
      </c>
      <c r="G138">
        <f>SUMIFS('Crosswalk AEO to EPS Summary'!I:I,'Crosswalk AEO to EPS Summary'!$D:$D,$B138)*quadrillion</f>
        <v>74528000000000</v>
      </c>
      <c r="H138">
        <f>SUMIFS('Crosswalk AEO to EPS Summary'!J:J,'Crosswalk AEO to EPS Summary'!$D:$D,$B138)*quadrillion</f>
        <v>72814000000000</v>
      </c>
      <c r="I138">
        <f>SUMIFS('Crosswalk AEO to EPS Summary'!K:K,'Crosswalk AEO to EPS Summary'!$D:$D,$B138)*quadrillion</f>
        <v>72147000000000</v>
      </c>
      <c r="J138">
        <f>SUMIFS('Crosswalk AEO to EPS Summary'!L:L,'Crosswalk AEO to EPS Summary'!$D:$D,$B138)*quadrillion</f>
        <v>71328000000000</v>
      </c>
      <c r="K138">
        <f>SUMIFS('Crosswalk AEO to EPS Summary'!M:M,'Crosswalk AEO to EPS Summary'!$D:$D,$B138)*quadrillion</f>
        <v>70240000000000</v>
      </c>
      <c r="L138">
        <f>SUMIFS('Crosswalk AEO to EPS Summary'!N:N,'Crosswalk AEO to EPS Summary'!$D:$D,$B138)*quadrillion</f>
        <v>69389999999999.992</v>
      </c>
      <c r="M138">
        <f>SUMIFS('Crosswalk AEO to EPS Summary'!O:O,'Crosswalk AEO to EPS Summary'!$D:$D,$B138)*quadrillion</f>
        <v>68552000000000</v>
      </c>
      <c r="N138">
        <f>SUMIFS('Crosswalk AEO to EPS Summary'!P:P,'Crosswalk AEO to EPS Summary'!$D:$D,$B138)*quadrillion</f>
        <v>67389000000000.008</v>
      </c>
      <c r="O138">
        <f>SUMIFS('Crosswalk AEO to EPS Summary'!Q:Q,'Crosswalk AEO to EPS Summary'!$D:$D,$B138)*quadrillion</f>
        <v>65912000000000</v>
      </c>
      <c r="P138">
        <f>SUMIFS('Crosswalk AEO to EPS Summary'!R:R,'Crosswalk AEO to EPS Summary'!$D:$D,$B138)*quadrillion</f>
        <v>64453000000000</v>
      </c>
      <c r="Q138">
        <f>SUMIFS('Crosswalk AEO to EPS Summary'!S:S,'Crosswalk AEO to EPS Summary'!$D:$D,$B138)*quadrillion</f>
        <v>63008999999999.992</v>
      </c>
      <c r="R138">
        <f>SUMIFS('Crosswalk AEO to EPS Summary'!T:T,'Crosswalk AEO to EPS Summary'!$D:$D,$B138)*quadrillion</f>
        <v>61670000000000</v>
      </c>
      <c r="S138">
        <f>SUMIFS('Crosswalk AEO to EPS Summary'!U:U,'Crosswalk AEO to EPS Summary'!$D:$D,$B138)*quadrillion</f>
        <v>60346000000000</v>
      </c>
      <c r="T138">
        <f>SUMIFS('Crosswalk AEO to EPS Summary'!V:V,'Crosswalk AEO to EPS Summary'!$D:$D,$B138)*quadrillion</f>
        <v>59039000000000</v>
      </c>
      <c r="U138">
        <f>SUMIFS('Crosswalk AEO to EPS Summary'!W:W,'Crosswalk AEO to EPS Summary'!$D:$D,$B138)*quadrillion</f>
        <v>57780000000000</v>
      </c>
      <c r="V138">
        <f>SUMIFS('Crosswalk AEO to EPS Summary'!X:X,'Crosswalk AEO to EPS Summary'!$D:$D,$B138)*quadrillion</f>
        <v>56542000000000</v>
      </c>
      <c r="W138">
        <f>SUMIFS('Crosswalk AEO to EPS Summary'!Y:Y,'Crosswalk AEO to EPS Summary'!$D:$D,$B138)*quadrillion</f>
        <v>55331000000000</v>
      </c>
      <c r="X138">
        <f>SUMIFS('Crosswalk AEO to EPS Summary'!Z:Z,'Crosswalk AEO to EPS Summary'!$D:$D,$B138)*quadrillion</f>
        <v>54154000000000</v>
      </c>
      <c r="Y138">
        <f>SUMIFS('Crosswalk AEO to EPS Summary'!AA:AA,'Crosswalk AEO to EPS Summary'!$D:$D,$B138)*quadrillion</f>
        <v>52975000000000</v>
      </c>
      <c r="Z138">
        <f>SUMIFS('Crosswalk AEO to EPS Summary'!AB:AB,'Crosswalk AEO to EPS Summary'!$D:$D,$B138)*quadrillion</f>
        <v>51814000000000</v>
      </c>
      <c r="AA138">
        <f>SUMIFS('Crosswalk AEO to EPS Summary'!AC:AC,'Crosswalk AEO to EPS Summary'!$D:$D,$B138)*quadrillion</f>
        <v>50657000000000</v>
      </c>
      <c r="AB138">
        <f>SUMIFS('Crosswalk AEO to EPS Summary'!AD:AD,'Crosswalk AEO to EPS Summary'!$D:$D,$B138)*quadrillion</f>
        <v>49516000000000</v>
      </c>
      <c r="AC138">
        <f>SUMIFS('Crosswalk AEO to EPS Summary'!AE:AE,'Crosswalk AEO to EPS Summary'!$D:$D,$B138)*quadrillion</f>
        <v>48376000000000</v>
      </c>
      <c r="AD138">
        <f>SUMIFS('Crosswalk AEO to EPS Summary'!AF:AF,'Crosswalk AEO to EPS Summary'!$D:$D,$B138)*quadrillion</f>
        <v>47276000000000</v>
      </c>
      <c r="AE138">
        <f>SUMIFS('Crosswalk AEO to EPS Summary'!AG:AG,'Crosswalk AEO to EPS Summary'!$D:$D,$B138)*quadrillion</f>
        <v>46179000000000</v>
      </c>
      <c r="AF138">
        <f>SUMIFS('Crosswalk AEO to EPS Summary'!AH:AH,'Crosswalk AEO to EPS Summary'!$D:$D,$B138)*quadrillion</f>
        <v>45136000000000</v>
      </c>
    </row>
    <row r="139" spans="1:32" x14ac:dyDescent="0.25">
      <c r="B139" s="53" t="str">
        <f t="shared" si="10"/>
        <v>commercial-heating-heat (BTU)</v>
      </c>
      <c r="C139" t="s">
        <v>92</v>
      </c>
      <c r="D139" t="s">
        <v>9</v>
      </c>
      <c r="E139" t="s">
        <v>933</v>
      </c>
      <c r="F139">
        <f>SUMIFS('Crosswalk AEO to EPS Summary'!H:H,'Crosswalk AEO to EPS Summary'!$D:$D,$B139)*quadrillion</f>
        <v>0</v>
      </c>
      <c r="G139">
        <f>SUMIFS('Crosswalk AEO to EPS Summary'!I:I,'Crosswalk AEO to EPS Summary'!$D:$D,$B139)*quadrillion</f>
        <v>0</v>
      </c>
      <c r="H139">
        <f>SUMIFS('Crosswalk AEO to EPS Summary'!J:J,'Crosswalk AEO to EPS Summary'!$D:$D,$B139)*quadrillion</f>
        <v>0</v>
      </c>
      <c r="I139">
        <f>SUMIFS('Crosswalk AEO to EPS Summary'!K:K,'Crosswalk AEO to EPS Summary'!$D:$D,$B139)*quadrillion</f>
        <v>0</v>
      </c>
      <c r="J139">
        <f>SUMIFS('Crosswalk AEO to EPS Summary'!L:L,'Crosswalk AEO to EPS Summary'!$D:$D,$B139)*quadrillion</f>
        <v>0</v>
      </c>
      <c r="K139">
        <f>SUMIFS('Crosswalk AEO to EPS Summary'!M:M,'Crosswalk AEO to EPS Summary'!$D:$D,$B139)*quadrillion</f>
        <v>0</v>
      </c>
      <c r="L139">
        <f>SUMIFS('Crosswalk AEO to EPS Summary'!N:N,'Crosswalk AEO to EPS Summary'!$D:$D,$B139)*quadrillion</f>
        <v>0</v>
      </c>
      <c r="M139">
        <f>SUMIFS('Crosswalk AEO to EPS Summary'!O:O,'Crosswalk AEO to EPS Summary'!$D:$D,$B139)*quadrillion</f>
        <v>0</v>
      </c>
      <c r="N139">
        <f>SUMIFS('Crosswalk AEO to EPS Summary'!P:P,'Crosswalk AEO to EPS Summary'!$D:$D,$B139)*quadrillion</f>
        <v>0</v>
      </c>
      <c r="O139">
        <f>SUMIFS('Crosswalk AEO to EPS Summary'!Q:Q,'Crosswalk AEO to EPS Summary'!$D:$D,$B139)*quadrillion</f>
        <v>0</v>
      </c>
      <c r="P139">
        <f>SUMIFS('Crosswalk AEO to EPS Summary'!R:R,'Crosswalk AEO to EPS Summary'!$D:$D,$B139)*quadrillion</f>
        <v>0</v>
      </c>
      <c r="Q139">
        <f>SUMIFS('Crosswalk AEO to EPS Summary'!S:S,'Crosswalk AEO to EPS Summary'!$D:$D,$B139)*quadrillion</f>
        <v>0</v>
      </c>
      <c r="R139">
        <f>SUMIFS('Crosswalk AEO to EPS Summary'!T:T,'Crosswalk AEO to EPS Summary'!$D:$D,$B139)*quadrillion</f>
        <v>0</v>
      </c>
      <c r="S139">
        <f>SUMIFS('Crosswalk AEO to EPS Summary'!U:U,'Crosswalk AEO to EPS Summary'!$D:$D,$B139)*quadrillion</f>
        <v>0</v>
      </c>
      <c r="T139">
        <f>SUMIFS('Crosswalk AEO to EPS Summary'!V:V,'Crosswalk AEO to EPS Summary'!$D:$D,$B139)*quadrillion</f>
        <v>0</v>
      </c>
      <c r="U139">
        <f>SUMIFS('Crosswalk AEO to EPS Summary'!W:W,'Crosswalk AEO to EPS Summary'!$D:$D,$B139)*quadrillion</f>
        <v>0</v>
      </c>
      <c r="V139">
        <f>SUMIFS('Crosswalk AEO to EPS Summary'!X:X,'Crosswalk AEO to EPS Summary'!$D:$D,$B139)*quadrillion</f>
        <v>0</v>
      </c>
      <c r="W139">
        <f>SUMIFS('Crosswalk AEO to EPS Summary'!Y:Y,'Crosswalk AEO to EPS Summary'!$D:$D,$B139)*quadrillion</f>
        <v>0</v>
      </c>
      <c r="X139">
        <f>SUMIFS('Crosswalk AEO to EPS Summary'!Z:Z,'Crosswalk AEO to EPS Summary'!$D:$D,$B139)*quadrillion</f>
        <v>0</v>
      </c>
      <c r="Y139">
        <f>SUMIFS('Crosswalk AEO to EPS Summary'!AA:AA,'Crosswalk AEO to EPS Summary'!$D:$D,$B139)*quadrillion</f>
        <v>0</v>
      </c>
      <c r="Z139">
        <f>SUMIFS('Crosswalk AEO to EPS Summary'!AB:AB,'Crosswalk AEO to EPS Summary'!$D:$D,$B139)*quadrillion</f>
        <v>0</v>
      </c>
      <c r="AA139">
        <f>SUMIFS('Crosswalk AEO to EPS Summary'!AC:AC,'Crosswalk AEO to EPS Summary'!$D:$D,$B139)*quadrillion</f>
        <v>0</v>
      </c>
      <c r="AB139">
        <f>SUMIFS('Crosswalk AEO to EPS Summary'!AD:AD,'Crosswalk AEO to EPS Summary'!$D:$D,$B139)*quadrillion</f>
        <v>0</v>
      </c>
      <c r="AC139">
        <f>SUMIFS('Crosswalk AEO to EPS Summary'!AE:AE,'Crosswalk AEO to EPS Summary'!$D:$D,$B139)*quadrillion</f>
        <v>0</v>
      </c>
      <c r="AD139">
        <f>SUMIFS('Crosswalk AEO to EPS Summary'!AF:AF,'Crosswalk AEO to EPS Summary'!$D:$D,$B139)*quadrillion</f>
        <v>0</v>
      </c>
      <c r="AE139">
        <f>SUMIFS('Crosswalk AEO to EPS Summary'!AG:AG,'Crosswalk AEO to EPS Summary'!$D:$D,$B139)*quadrillion</f>
        <v>0</v>
      </c>
      <c r="AF139">
        <f>SUMIFS('Crosswalk AEO to EPS Summary'!AH:AH,'Crosswalk AEO to EPS Summary'!$D:$D,$B139)*quadrillion</f>
        <v>0</v>
      </c>
    </row>
    <row r="140" spans="1:32" x14ac:dyDescent="0.25">
      <c r="B140" s="53" t="str">
        <f t="shared" si="10"/>
        <v>commercial-heating-biomass (BTU)</v>
      </c>
      <c r="C140" t="s">
        <v>92</v>
      </c>
      <c r="D140" t="s">
        <v>9</v>
      </c>
      <c r="E140" t="s">
        <v>88</v>
      </c>
      <c r="F140">
        <f>SUMIFS('Crosswalk AEO to EPS Summary'!H:H,'Crosswalk AEO to EPS Summary'!$D:$D,$B140)*quadrillion</f>
        <v>158104000000000</v>
      </c>
      <c r="G140">
        <f>SUMIFS('Crosswalk AEO to EPS Summary'!I:I,'Crosswalk AEO to EPS Summary'!$D:$D,$B140)*quadrillion</f>
        <v>143682000000000</v>
      </c>
      <c r="H140">
        <f>SUMIFS('Crosswalk AEO to EPS Summary'!J:J,'Crosswalk AEO to EPS Summary'!$D:$D,$B140)*quadrillion</f>
        <v>143682000000000</v>
      </c>
      <c r="I140">
        <f>SUMIFS('Crosswalk AEO to EPS Summary'!K:K,'Crosswalk AEO to EPS Summary'!$D:$D,$B140)*quadrillion</f>
        <v>143682000000000</v>
      </c>
      <c r="J140">
        <f>SUMIFS('Crosswalk AEO to EPS Summary'!L:L,'Crosswalk AEO to EPS Summary'!$D:$D,$B140)*quadrillion</f>
        <v>143682000000000</v>
      </c>
      <c r="K140">
        <f>SUMIFS('Crosswalk AEO to EPS Summary'!M:M,'Crosswalk AEO to EPS Summary'!$D:$D,$B140)*quadrillion</f>
        <v>143682000000000</v>
      </c>
      <c r="L140">
        <f>SUMIFS('Crosswalk AEO to EPS Summary'!N:N,'Crosswalk AEO to EPS Summary'!$D:$D,$B140)*quadrillion</f>
        <v>143682000000000</v>
      </c>
      <c r="M140">
        <f>SUMIFS('Crosswalk AEO to EPS Summary'!O:O,'Crosswalk AEO to EPS Summary'!$D:$D,$B140)*quadrillion</f>
        <v>143682000000000</v>
      </c>
      <c r="N140">
        <f>SUMIFS('Crosswalk AEO to EPS Summary'!P:P,'Crosswalk AEO to EPS Summary'!$D:$D,$B140)*quadrillion</f>
        <v>143682000000000</v>
      </c>
      <c r="O140">
        <f>SUMIFS('Crosswalk AEO to EPS Summary'!Q:Q,'Crosswalk AEO to EPS Summary'!$D:$D,$B140)*quadrillion</f>
        <v>143682000000000</v>
      </c>
      <c r="P140">
        <f>SUMIFS('Crosswalk AEO to EPS Summary'!R:R,'Crosswalk AEO to EPS Summary'!$D:$D,$B140)*quadrillion</f>
        <v>143682000000000</v>
      </c>
      <c r="Q140">
        <f>SUMIFS('Crosswalk AEO to EPS Summary'!S:S,'Crosswalk AEO to EPS Summary'!$D:$D,$B140)*quadrillion</f>
        <v>143682000000000</v>
      </c>
      <c r="R140">
        <f>SUMIFS('Crosswalk AEO to EPS Summary'!T:T,'Crosswalk AEO to EPS Summary'!$D:$D,$B140)*quadrillion</f>
        <v>143682000000000</v>
      </c>
      <c r="S140">
        <f>SUMIFS('Crosswalk AEO to EPS Summary'!U:U,'Crosswalk AEO to EPS Summary'!$D:$D,$B140)*quadrillion</f>
        <v>143682000000000</v>
      </c>
      <c r="T140">
        <f>SUMIFS('Crosswalk AEO to EPS Summary'!V:V,'Crosswalk AEO to EPS Summary'!$D:$D,$B140)*quadrillion</f>
        <v>143682000000000</v>
      </c>
      <c r="U140">
        <f>SUMIFS('Crosswalk AEO to EPS Summary'!W:W,'Crosswalk AEO to EPS Summary'!$D:$D,$B140)*quadrillion</f>
        <v>143682000000000</v>
      </c>
      <c r="V140">
        <f>SUMIFS('Crosswalk AEO to EPS Summary'!X:X,'Crosswalk AEO to EPS Summary'!$D:$D,$B140)*quadrillion</f>
        <v>143682000000000</v>
      </c>
      <c r="W140">
        <f>SUMIFS('Crosswalk AEO to EPS Summary'!Y:Y,'Crosswalk AEO to EPS Summary'!$D:$D,$B140)*quadrillion</f>
        <v>143682000000000</v>
      </c>
      <c r="X140">
        <f>SUMIFS('Crosswalk AEO to EPS Summary'!Z:Z,'Crosswalk AEO to EPS Summary'!$D:$D,$B140)*quadrillion</f>
        <v>143682000000000</v>
      </c>
      <c r="Y140">
        <f>SUMIFS('Crosswalk AEO to EPS Summary'!AA:AA,'Crosswalk AEO to EPS Summary'!$D:$D,$B140)*quadrillion</f>
        <v>143682000000000</v>
      </c>
      <c r="Z140">
        <f>SUMIFS('Crosswalk AEO to EPS Summary'!AB:AB,'Crosswalk AEO to EPS Summary'!$D:$D,$B140)*quadrillion</f>
        <v>143682000000000</v>
      </c>
      <c r="AA140">
        <f>SUMIFS('Crosswalk AEO to EPS Summary'!AC:AC,'Crosswalk AEO to EPS Summary'!$D:$D,$B140)*quadrillion</f>
        <v>143682000000000</v>
      </c>
      <c r="AB140">
        <f>SUMIFS('Crosswalk AEO to EPS Summary'!AD:AD,'Crosswalk AEO to EPS Summary'!$D:$D,$B140)*quadrillion</f>
        <v>143682000000000</v>
      </c>
      <c r="AC140">
        <f>SUMIFS('Crosswalk AEO to EPS Summary'!AE:AE,'Crosswalk AEO to EPS Summary'!$D:$D,$B140)*quadrillion</f>
        <v>143682000000000</v>
      </c>
      <c r="AD140">
        <f>SUMIFS('Crosswalk AEO to EPS Summary'!AF:AF,'Crosswalk AEO to EPS Summary'!$D:$D,$B140)*quadrillion</f>
        <v>143682000000000</v>
      </c>
      <c r="AE140">
        <f>SUMIFS('Crosswalk AEO to EPS Summary'!AG:AG,'Crosswalk AEO to EPS Summary'!$D:$D,$B140)*quadrillion</f>
        <v>143682000000000</v>
      </c>
      <c r="AF140">
        <f>SUMIFS('Crosswalk AEO to EPS Summary'!AH:AH,'Crosswalk AEO to EPS Summary'!$D:$D,$B140)*quadrillion</f>
        <v>143682000000000</v>
      </c>
    </row>
    <row r="141" spans="1:32" x14ac:dyDescent="0.25">
      <c r="B141" s="53" t="str">
        <f t="shared" si="10"/>
        <v>commercial-heating-kerosene (BTU)</v>
      </c>
      <c r="C141" t="s">
        <v>92</v>
      </c>
      <c r="D141" t="s">
        <v>9</v>
      </c>
      <c r="E141" t="s">
        <v>934</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row>
    <row r="142" spans="1:32" x14ac:dyDescent="0.25">
      <c r="B142" s="53" t="str">
        <f t="shared" si="10"/>
        <v>commercial-heating-heavy or residual fuel oil (BTU)</v>
      </c>
      <c r="C142" t="s">
        <v>92</v>
      </c>
      <c r="D142" t="s">
        <v>9</v>
      </c>
      <c r="E142" t="s">
        <v>935</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row>
    <row r="143" spans="1:32" x14ac:dyDescent="0.25">
      <c r="B143" s="53" t="str">
        <f t="shared" si="10"/>
        <v>commercial-other-LPG propane or butane (BTU)</v>
      </c>
      <c r="C143" t="s">
        <v>92</v>
      </c>
      <c r="D143" t="s">
        <v>34</v>
      </c>
      <c r="E143" t="s">
        <v>77</v>
      </c>
      <c r="F143" s="43">
        <f>SUMIFS('Crosswalk AEO to EPS Summary'!H:H,'Crosswalk AEO to EPS Summary'!$D:$D,$B143)*(1-Fraction_coal)*quadrillion*(F138/SUM(F$138,F$177,F$190))</f>
        <v>140943680167118.59</v>
      </c>
      <c r="G143" s="43">
        <f>SUMIFS('Crosswalk AEO to EPS Summary'!I:I,'Crosswalk AEO to EPS Summary'!$D:$D,$B143)*(1-Fraction_coal)*quadrillion*(G138/SUM(G$138,G$177,G$190))</f>
        <v>146997286275822.72</v>
      </c>
      <c r="H143" s="43">
        <f>SUMIFS('Crosswalk AEO to EPS Summary'!J:J,'Crosswalk AEO to EPS Summary'!$D:$D,$B143)*(1-Fraction_coal)*quadrillion*(H138/SUM(H$138,H$177,H$190))</f>
        <v>144868389114859.72</v>
      </c>
      <c r="I143" s="43">
        <f>SUMIFS('Crosswalk AEO to EPS Summary'!K:K,'Crosswalk AEO to EPS Summary'!$D:$D,$B143)*(1-Fraction_coal)*quadrillion*(I138/SUM(I$138,I$177,I$190))</f>
        <v>141761830256490.34</v>
      </c>
      <c r="J143" s="43">
        <f>SUMIFS('Crosswalk AEO to EPS Summary'!L:L,'Crosswalk AEO to EPS Summary'!$D:$D,$B143)*(1-Fraction_coal)*quadrillion*(J138/SUM(J$138,J$177,J$190))</f>
        <v>141198834826897.56</v>
      </c>
      <c r="K143" s="43">
        <f>SUMIFS('Crosswalk AEO to EPS Summary'!M:M,'Crosswalk AEO to EPS Summary'!$D:$D,$B143)*(1-Fraction_coal)*quadrillion*(K138/SUM(K$138,K$177,K$190))</f>
        <v>140346425355041.95</v>
      </c>
      <c r="L143" s="43">
        <f>SUMIFS('Crosswalk AEO to EPS Summary'!N:N,'Crosswalk AEO to EPS Summary'!$D:$D,$B143)*(1-Fraction_coal)*quadrillion*(L138/SUM(L$138,L$177,L$190))</f>
        <v>139621686212642.2</v>
      </c>
      <c r="M143" s="43">
        <f>SUMIFS('Crosswalk AEO to EPS Summary'!O:O,'Crosswalk AEO to EPS Summary'!$D:$D,$B143)*(1-Fraction_coal)*quadrillion*(M138/SUM(M$138,M$177,M$190))</f>
        <v>138865795726802.72</v>
      </c>
      <c r="N143" s="43">
        <f>SUMIFS('Crosswalk AEO to EPS Summary'!P:P,'Crosswalk AEO to EPS Summary'!$D:$D,$B143)*(1-Fraction_coal)*quadrillion*(N138/SUM(N$138,N$177,N$190))</f>
        <v>138261913251593.91</v>
      </c>
      <c r="O143" s="43">
        <f>SUMIFS('Crosswalk AEO to EPS Summary'!Q:Q,'Crosswalk AEO to EPS Summary'!$D:$D,$B143)*(1-Fraction_coal)*quadrillion*(O138/SUM(O$138,O$177,O$190))</f>
        <v>137840311122935.91</v>
      </c>
      <c r="P143" s="43">
        <f>SUMIFS('Crosswalk AEO to EPS Summary'!R:R,'Crosswalk AEO to EPS Summary'!$D:$D,$B143)*(1-Fraction_coal)*quadrillion*(P138/SUM(P$138,P$177,P$190))</f>
        <v>137478024873895.81</v>
      </c>
      <c r="Q143" s="43">
        <f>SUMIFS('Crosswalk AEO to EPS Summary'!S:S,'Crosswalk AEO to EPS Summary'!$D:$D,$B143)*(1-Fraction_coal)*quadrillion*(Q138/SUM(Q$138,Q$177,Q$190))</f>
        <v>137040300278806.94</v>
      </c>
      <c r="R143" s="43">
        <f>SUMIFS('Crosswalk AEO to EPS Summary'!T:T,'Crosswalk AEO to EPS Summary'!$D:$D,$B143)*(1-Fraction_coal)*quadrillion*(R138/SUM(R$138,R$177,R$190))</f>
        <v>136634904204194.84</v>
      </c>
      <c r="S143" s="43">
        <f>SUMIFS('Crosswalk AEO to EPS Summary'!U:U,'Crosswalk AEO to EPS Summary'!$D:$D,$B143)*(1-Fraction_coal)*quadrillion*(S138/SUM(S$138,S$177,S$190))</f>
        <v>136233918262784.02</v>
      </c>
      <c r="T143" s="43">
        <f>SUMIFS('Crosswalk AEO to EPS Summary'!V:V,'Crosswalk AEO to EPS Summary'!$D:$D,$B143)*(1-Fraction_coal)*quadrillion*(T138/SUM(T$138,T$177,T$190))</f>
        <v>135755205303370.78</v>
      </c>
      <c r="U143" s="43">
        <f>SUMIFS('Crosswalk AEO to EPS Summary'!W:W,'Crosswalk AEO to EPS Summary'!$D:$D,$B143)*(1-Fraction_coal)*quadrillion*(U138/SUM(U$138,U$177,U$190))</f>
        <v>135203439219868.97</v>
      </c>
      <c r="V143" s="43">
        <f>SUMIFS('Crosswalk AEO to EPS Summary'!X:X,'Crosswalk AEO to EPS Summary'!$D:$D,$B143)*(1-Fraction_coal)*quadrillion*(V138/SUM(V$138,V$177,V$190))</f>
        <v>134535421524594.39</v>
      </c>
      <c r="W143" s="43">
        <f>SUMIFS('Crosswalk AEO to EPS Summary'!Y:Y,'Crosswalk AEO to EPS Summary'!$D:$D,$B143)*(1-Fraction_coal)*quadrillion*(W138/SUM(W$138,W$177,W$190))</f>
        <v>133786738279683.78</v>
      </c>
      <c r="X143" s="43">
        <f>SUMIFS('Crosswalk AEO to EPS Summary'!Z:Z,'Crosswalk AEO to EPS Summary'!$D:$D,$B143)*(1-Fraction_coal)*quadrillion*(X138/SUM(X$138,X$177,X$190))</f>
        <v>132983339198409.7</v>
      </c>
      <c r="Y143" s="43">
        <f>SUMIFS('Crosswalk AEO to EPS Summary'!AA:AA,'Crosswalk AEO to EPS Summary'!$D:$D,$B143)*(1-Fraction_coal)*quadrillion*(Y138/SUM(Y$138,Y$177,Y$190))</f>
        <v>132083778670491.34</v>
      </c>
      <c r="Z143" s="43">
        <f>SUMIFS('Crosswalk AEO to EPS Summary'!AB:AB,'Crosswalk AEO to EPS Summary'!$D:$D,$B143)*(1-Fraction_coal)*quadrillion*(Z138/SUM(Z$138,Z$177,Z$190))</f>
        <v>131138338583870.39</v>
      </c>
      <c r="AA143" s="43">
        <f>SUMIFS('Crosswalk AEO to EPS Summary'!AC:AC,'Crosswalk AEO to EPS Summary'!$D:$D,$B143)*(1-Fraction_coal)*quadrillion*(AA138/SUM(AA$138,AA$177,AA$190))</f>
        <v>130152470695811.72</v>
      </c>
      <c r="AB143" s="43">
        <f>SUMIFS('Crosswalk AEO to EPS Summary'!AD:AD,'Crosswalk AEO to EPS Summary'!$D:$D,$B143)*(1-Fraction_coal)*quadrillion*(AB138/SUM(AB$138,AB$177,AB$190))</f>
        <v>129146503459290.2</v>
      </c>
      <c r="AC143" s="43">
        <f>SUMIFS('Crosswalk AEO to EPS Summary'!AE:AE,'Crosswalk AEO to EPS Summary'!$D:$D,$B143)*(1-Fraction_coal)*quadrillion*(AC138/SUM(AC$138,AC$177,AC$190))</f>
        <v>128100729778873.88</v>
      </c>
      <c r="AD143" s="43">
        <f>SUMIFS('Crosswalk AEO to EPS Summary'!AF:AF,'Crosswalk AEO to EPS Summary'!$D:$D,$B143)*(1-Fraction_coal)*quadrillion*(AD138/SUM(AD$138,AD$177,AD$190))</f>
        <v>127044560338408.31</v>
      </c>
      <c r="AE143" s="43">
        <f>SUMIFS('Crosswalk AEO to EPS Summary'!AG:AG,'Crosswalk AEO to EPS Summary'!$D:$D,$B143)*(1-Fraction_coal)*quadrillion*(AE138/SUM(AE$138,AE$177,AE$190))</f>
        <v>125972330735522.78</v>
      </c>
      <c r="AF143" s="43">
        <f>SUMIFS('Crosswalk AEO to EPS Summary'!AH:AH,'Crosswalk AEO to EPS Summary'!$D:$D,$B143)*(1-Fraction_coal)*quadrillion*(AF138/SUM(AF$138,AF$177,AF$190))</f>
        <v>124888678402079.66</v>
      </c>
    </row>
    <row r="144" spans="1:32" x14ac:dyDescent="0.25">
      <c r="B144" s="53" t="str">
        <f t="shared" si="10"/>
        <v>commercial-heating-hydrogen (BTU)</v>
      </c>
      <c r="C144" t="s">
        <v>92</v>
      </c>
      <c r="D144" t="s">
        <v>9</v>
      </c>
      <c r="E144" t="s">
        <v>936</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row>
    <row r="146" spans="2:32" x14ac:dyDescent="0.25">
      <c r="B146" s="1" t="s">
        <v>948</v>
      </c>
    </row>
    <row r="147" spans="2:32" x14ac:dyDescent="0.25">
      <c r="E147" t="s">
        <v>915</v>
      </c>
      <c r="F147" s="1">
        <v>2024</v>
      </c>
      <c r="G147" s="1">
        <v>2025</v>
      </c>
      <c r="H147" s="1">
        <v>2026</v>
      </c>
      <c r="I147" s="1">
        <v>2027</v>
      </c>
      <c r="J147" s="1">
        <v>2028</v>
      </c>
      <c r="K147" s="1">
        <v>2029</v>
      </c>
      <c r="L147" s="1">
        <v>2030</v>
      </c>
      <c r="M147" s="1">
        <v>2031</v>
      </c>
      <c r="N147" s="1">
        <v>2032</v>
      </c>
      <c r="O147" s="1">
        <v>2033</v>
      </c>
      <c r="P147" s="1">
        <v>2034</v>
      </c>
      <c r="Q147" s="1">
        <v>2035</v>
      </c>
      <c r="R147" s="1">
        <v>2036</v>
      </c>
      <c r="S147" s="1">
        <v>2037</v>
      </c>
      <c r="T147" s="1">
        <v>2038</v>
      </c>
      <c r="U147" s="1">
        <v>2039</v>
      </c>
      <c r="V147" s="1">
        <v>2040</v>
      </c>
      <c r="W147" s="1">
        <v>2041</v>
      </c>
      <c r="X147" s="1">
        <v>2042</v>
      </c>
      <c r="Y147" s="1">
        <v>2043</v>
      </c>
      <c r="Z147" s="1">
        <v>2044</v>
      </c>
      <c r="AA147" s="1">
        <v>2045</v>
      </c>
      <c r="AB147" s="1">
        <v>2046</v>
      </c>
      <c r="AC147" s="1">
        <v>2047</v>
      </c>
      <c r="AD147" s="1">
        <v>2048</v>
      </c>
      <c r="AE147" s="1">
        <v>2049</v>
      </c>
      <c r="AF147" s="1">
        <v>2050</v>
      </c>
    </row>
    <row r="148" spans="2:32" x14ac:dyDescent="0.25">
      <c r="B148" s="53" t="str">
        <f t="shared" ref="B148:B157" si="11">C148&amp;"-"&amp;D148&amp;"-"&amp;E148</f>
        <v>commercial-cooling-electricity (BTU)</v>
      </c>
      <c r="C148" t="s">
        <v>92</v>
      </c>
      <c r="D148" t="s">
        <v>13</v>
      </c>
      <c r="E148" s="57" t="s">
        <v>10</v>
      </c>
      <c r="F148">
        <f>SUMIFS('Crosswalk AEO to EPS Summary'!H:H,'Crosswalk AEO to EPS Summary'!$D:$D,$B148)*quadrillion</f>
        <v>1317524000000000.3</v>
      </c>
      <c r="G148">
        <f>SUMIFS('Crosswalk AEO to EPS Summary'!I:I,'Crosswalk AEO to EPS Summary'!$D:$D,$B148)*quadrillion</f>
        <v>1184062449717974.3</v>
      </c>
      <c r="H148">
        <f>SUMIFS('Crosswalk AEO to EPS Summary'!J:J,'Crosswalk AEO to EPS Summary'!$D:$D,$B148)*quadrillion</f>
        <v>1144009099654679.5</v>
      </c>
      <c r="I148">
        <f>SUMIFS('Crosswalk AEO to EPS Summary'!K:K,'Crosswalk AEO to EPS Summary'!$D:$D,$B148)*quadrillion</f>
        <v>1151724890523402</v>
      </c>
      <c r="J148">
        <f>SUMIFS('Crosswalk AEO to EPS Summary'!L:L,'Crosswalk AEO to EPS Summary'!$D:$D,$B148)*quadrillion</f>
        <v>1163588501209159</v>
      </c>
      <c r="K148">
        <f>SUMIFS('Crosswalk AEO to EPS Summary'!M:M,'Crosswalk AEO to EPS Summary'!$D:$D,$B148)*quadrillion</f>
        <v>1173713219844025.5</v>
      </c>
      <c r="L148">
        <f>SUMIFS('Crosswalk AEO to EPS Summary'!N:N,'Crosswalk AEO to EPS Summary'!$D:$D,$B148)*quadrillion</f>
        <v>1180089844474418</v>
      </c>
      <c r="M148">
        <f>SUMIFS('Crosswalk AEO to EPS Summary'!O:O,'Crosswalk AEO to EPS Summary'!$D:$D,$B148)*quadrillion</f>
        <v>1186732047086823.5</v>
      </c>
      <c r="N148">
        <f>SUMIFS('Crosswalk AEO to EPS Summary'!P:P,'Crosswalk AEO to EPS Summary'!$D:$D,$B148)*quadrillion</f>
        <v>1193630459362382.5</v>
      </c>
      <c r="O148">
        <f>SUMIFS('Crosswalk AEO to EPS Summary'!Q:Q,'Crosswalk AEO to EPS Summary'!$D:$D,$B148)*quadrillion</f>
        <v>1200415329954321.8</v>
      </c>
      <c r="P148">
        <f>SUMIFS('Crosswalk AEO to EPS Summary'!R:R,'Crosswalk AEO to EPS Summary'!$D:$D,$B148)*quadrillion</f>
        <v>1207075283290257.8</v>
      </c>
      <c r="Q148">
        <f>SUMIFS('Crosswalk AEO to EPS Summary'!S:S,'Crosswalk AEO to EPS Summary'!$D:$D,$B148)*quadrillion</f>
        <v>1213573824514396.5</v>
      </c>
      <c r="R148">
        <f>SUMIFS('Crosswalk AEO to EPS Summary'!T:T,'Crosswalk AEO to EPS Summary'!$D:$D,$B148)*quadrillion</f>
        <v>1220004291999773</v>
      </c>
      <c r="S148">
        <f>SUMIFS('Crosswalk AEO to EPS Summary'!U:U,'Crosswalk AEO to EPS Summary'!$D:$D,$B148)*quadrillion</f>
        <v>1226136829002436.8</v>
      </c>
      <c r="T148">
        <f>SUMIFS('Crosswalk AEO to EPS Summary'!V:V,'Crosswalk AEO to EPS Summary'!$D:$D,$B148)*quadrillion</f>
        <v>1232144653788799</v>
      </c>
      <c r="U148">
        <f>SUMIFS('Crosswalk AEO to EPS Summary'!W:W,'Crosswalk AEO to EPS Summary'!$D:$D,$B148)*quadrillion</f>
        <v>1237719752704869.5</v>
      </c>
      <c r="V148">
        <f>SUMIFS('Crosswalk AEO to EPS Summary'!X:X,'Crosswalk AEO to EPS Summary'!$D:$D,$B148)*quadrillion</f>
        <v>1243429930945435.8</v>
      </c>
      <c r="W148">
        <f>SUMIFS('Crosswalk AEO to EPS Summary'!Y:Y,'Crosswalk AEO to EPS Summary'!$D:$D,$B148)*quadrillion</f>
        <v>1249669433779761.3</v>
      </c>
      <c r="X148">
        <f>SUMIFS('Crosswalk AEO to EPS Summary'!Z:Z,'Crosswalk AEO to EPS Summary'!$D:$D,$B148)*quadrillion</f>
        <v>1255778219934627.5</v>
      </c>
      <c r="Y148">
        <f>SUMIFS('Crosswalk AEO to EPS Summary'!AA:AA,'Crosswalk AEO to EPS Summary'!$D:$D,$B148)*quadrillion</f>
        <v>1262414046742327.5</v>
      </c>
      <c r="Z148">
        <f>SUMIFS('Crosswalk AEO to EPS Summary'!AB:AB,'Crosswalk AEO to EPS Summary'!$D:$D,$B148)*quadrillion</f>
        <v>1269040145074845.3</v>
      </c>
      <c r="AA148">
        <f>SUMIFS('Crosswalk AEO to EPS Summary'!AC:AC,'Crosswalk AEO to EPS Summary'!$D:$D,$B148)*quadrillion</f>
        <v>1275642152311308.8</v>
      </c>
      <c r="AB148">
        <f>SUMIFS('Crosswalk AEO to EPS Summary'!AD:AD,'Crosswalk AEO to EPS Summary'!$D:$D,$B148)*quadrillion</f>
        <v>1281711710722970.8</v>
      </c>
      <c r="AC148">
        <f>SUMIFS('Crosswalk AEO to EPS Summary'!AE:AE,'Crosswalk AEO to EPS Summary'!$D:$D,$B148)*quadrillion</f>
        <v>1287419476586679</v>
      </c>
      <c r="AD148">
        <f>SUMIFS('Crosswalk AEO to EPS Summary'!AF:AF,'Crosswalk AEO to EPS Summary'!$D:$D,$B148)*quadrillion</f>
        <v>1292876812737433.8</v>
      </c>
      <c r="AE148">
        <f>SUMIFS('Crosswalk AEO to EPS Summary'!AG:AG,'Crosswalk AEO to EPS Summary'!$D:$D,$B148)*quadrillion</f>
        <v>1298583635772015.5</v>
      </c>
      <c r="AF148">
        <f>SUMIFS('Crosswalk AEO to EPS Summary'!AH:AH,'Crosswalk AEO to EPS Summary'!$D:$D,$B148)*quadrillion</f>
        <v>1304023307538892</v>
      </c>
    </row>
    <row r="149" spans="2:32" x14ac:dyDescent="0.25">
      <c r="B149" s="53" t="str">
        <f t="shared" si="11"/>
        <v>commercial-cooling-coal (BTU)</v>
      </c>
      <c r="C149" t="s">
        <v>92</v>
      </c>
      <c r="D149" t="s">
        <v>13</v>
      </c>
      <c r="E149" t="s">
        <v>932</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row>
    <row r="150" spans="2:32" x14ac:dyDescent="0.25">
      <c r="B150" s="53" t="str">
        <f t="shared" si="11"/>
        <v>commercial-cooling-natural gas (BTU)</v>
      </c>
      <c r="C150" t="s">
        <v>92</v>
      </c>
      <c r="D150" t="s">
        <v>13</v>
      </c>
      <c r="E150" t="s">
        <v>53</v>
      </c>
      <c r="F150">
        <f>SUMIFS('Crosswalk AEO to EPS Summary'!H:H,'Crosswalk AEO to EPS Summary'!$D:$D,$B150)*quadrillion</f>
        <v>18320000000000</v>
      </c>
      <c r="G150">
        <f>SUMIFS('Crosswalk AEO to EPS Summary'!I:I,'Crosswalk AEO to EPS Summary'!$D:$D,$B150)*quadrillion</f>
        <v>15692000000000.002</v>
      </c>
      <c r="H150">
        <f>SUMIFS('Crosswalk AEO to EPS Summary'!J:J,'Crosswalk AEO to EPS Summary'!$D:$D,$B150)*quadrillion</f>
        <v>17612000000000</v>
      </c>
      <c r="I150">
        <f>SUMIFS('Crosswalk AEO to EPS Summary'!K:K,'Crosswalk AEO to EPS Summary'!$D:$D,$B150)*quadrillion</f>
        <v>17945000000000</v>
      </c>
      <c r="J150">
        <f>SUMIFS('Crosswalk AEO to EPS Summary'!L:L,'Crosswalk AEO to EPS Summary'!$D:$D,$B150)*quadrillion</f>
        <v>18169000000000</v>
      </c>
      <c r="K150">
        <f>SUMIFS('Crosswalk AEO to EPS Summary'!M:M,'Crosswalk AEO to EPS Summary'!$D:$D,$B150)*quadrillion</f>
        <v>18287000000000</v>
      </c>
      <c r="L150">
        <f>SUMIFS('Crosswalk AEO to EPS Summary'!N:N,'Crosswalk AEO to EPS Summary'!$D:$D,$B150)*quadrillion</f>
        <v>18392000000000</v>
      </c>
      <c r="M150">
        <f>SUMIFS('Crosswalk AEO to EPS Summary'!O:O,'Crosswalk AEO to EPS Summary'!$D:$D,$B150)*quadrillion</f>
        <v>18555000000000</v>
      </c>
      <c r="N150">
        <f>SUMIFS('Crosswalk AEO to EPS Summary'!P:P,'Crosswalk AEO to EPS Summary'!$D:$D,$B150)*quadrillion</f>
        <v>18871000000000</v>
      </c>
      <c r="O150">
        <f>SUMIFS('Crosswalk AEO to EPS Summary'!Q:Q,'Crosswalk AEO to EPS Summary'!$D:$D,$B150)*quadrillion</f>
        <v>19280000000000</v>
      </c>
      <c r="P150">
        <f>SUMIFS('Crosswalk AEO to EPS Summary'!R:R,'Crosswalk AEO to EPS Summary'!$D:$D,$B150)*quadrillion</f>
        <v>19785000000000</v>
      </c>
      <c r="Q150">
        <f>SUMIFS('Crosswalk AEO to EPS Summary'!S:S,'Crosswalk AEO to EPS Summary'!$D:$D,$B150)*quadrillion</f>
        <v>20338000000000</v>
      </c>
      <c r="R150">
        <f>SUMIFS('Crosswalk AEO to EPS Summary'!T:T,'Crosswalk AEO to EPS Summary'!$D:$D,$B150)*quadrillion</f>
        <v>20947000000000</v>
      </c>
      <c r="S150">
        <f>SUMIFS('Crosswalk AEO to EPS Summary'!U:U,'Crosswalk AEO to EPS Summary'!$D:$D,$B150)*quadrillion</f>
        <v>21603000000000</v>
      </c>
      <c r="T150">
        <f>SUMIFS('Crosswalk AEO to EPS Summary'!V:V,'Crosswalk AEO to EPS Summary'!$D:$D,$B150)*quadrillion</f>
        <v>22292000000000</v>
      </c>
      <c r="U150">
        <f>SUMIFS('Crosswalk AEO to EPS Summary'!W:W,'Crosswalk AEO to EPS Summary'!$D:$D,$B150)*quadrillion</f>
        <v>23007000000000</v>
      </c>
      <c r="V150">
        <f>SUMIFS('Crosswalk AEO to EPS Summary'!X:X,'Crosswalk AEO to EPS Summary'!$D:$D,$B150)*quadrillion</f>
        <v>23771000000000</v>
      </c>
      <c r="W150">
        <f>SUMIFS('Crosswalk AEO to EPS Summary'!Y:Y,'Crosswalk AEO to EPS Summary'!$D:$D,$B150)*quadrillion</f>
        <v>24568000000000</v>
      </c>
      <c r="X150">
        <f>SUMIFS('Crosswalk AEO to EPS Summary'!Z:Z,'Crosswalk AEO to EPS Summary'!$D:$D,$B150)*quadrillion</f>
        <v>25421000000000</v>
      </c>
      <c r="Y150">
        <f>SUMIFS('Crosswalk AEO to EPS Summary'!AA:AA,'Crosswalk AEO to EPS Summary'!$D:$D,$B150)*quadrillion</f>
        <v>26326000000000</v>
      </c>
      <c r="Z150">
        <f>SUMIFS('Crosswalk AEO to EPS Summary'!AB:AB,'Crosswalk AEO to EPS Summary'!$D:$D,$B150)*quadrillion</f>
        <v>27285000000000</v>
      </c>
      <c r="AA150">
        <f>SUMIFS('Crosswalk AEO to EPS Summary'!AC:AC,'Crosswalk AEO to EPS Summary'!$D:$D,$B150)*quadrillion</f>
        <v>28298000000000</v>
      </c>
      <c r="AB150">
        <f>SUMIFS('Crosswalk AEO to EPS Summary'!AD:AD,'Crosswalk AEO to EPS Summary'!$D:$D,$B150)*quadrillion</f>
        <v>29311000000000</v>
      </c>
      <c r="AC150">
        <f>SUMIFS('Crosswalk AEO to EPS Summary'!AE:AE,'Crosswalk AEO to EPS Summary'!$D:$D,$B150)*quadrillion</f>
        <v>30356000000000</v>
      </c>
      <c r="AD150">
        <f>SUMIFS('Crosswalk AEO to EPS Summary'!AF:AF,'Crosswalk AEO to EPS Summary'!$D:$D,$B150)*quadrillion</f>
        <v>31434999999999.996</v>
      </c>
      <c r="AE150">
        <f>SUMIFS('Crosswalk AEO to EPS Summary'!AG:AG,'Crosswalk AEO to EPS Summary'!$D:$D,$B150)*quadrillion</f>
        <v>32570000000000</v>
      </c>
      <c r="AF150">
        <f>SUMIFS('Crosswalk AEO to EPS Summary'!AH:AH,'Crosswalk AEO to EPS Summary'!$D:$D,$B150)*quadrillion</f>
        <v>33763000000000</v>
      </c>
    </row>
    <row r="151" spans="2:32" x14ac:dyDescent="0.25">
      <c r="B151" s="53" t="str">
        <f t="shared" si="11"/>
        <v>commercial-cooling-petroleum diesel (BTU)</v>
      </c>
      <c r="C151" t="s">
        <v>92</v>
      </c>
      <c r="D151" t="s">
        <v>13</v>
      </c>
      <c r="E151" t="s">
        <v>68</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row>
    <row r="152" spans="2:32" x14ac:dyDescent="0.25">
      <c r="B152" s="53" t="str">
        <f t="shared" si="11"/>
        <v>commercial-cooling-heat (BTU)</v>
      </c>
      <c r="C152" t="s">
        <v>92</v>
      </c>
      <c r="D152" t="s">
        <v>13</v>
      </c>
      <c r="E152" t="s">
        <v>933</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row>
    <row r="153" spans="2:32" x14ac:dyDescent="0.25">
      <c r="B153" s="53" t="str">
        <f t="shared" si="11"/>
        <v>commercial-cooling-biomass (BTU)</v>
      </c>
      <c r="C153" t="s">
        <v>92</v>
      </c>
      <c r="D153" t="s">
        <v>13</v>
      </c>
      <c r="E153" t="s">
        <v>88</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row>
    <row r="154" spans="2:32" x14ac:dyDescent="0.25">
      <c r="B154" s="53" t="str">
        <f t="shared" si="11"/>
        <v>commercial-cooling-kerosene (BTU)</v>
      </c>
      <c r="C154" t="s">
        <v>92</v>
      </c>
      <c r="D154" t="s">
        <v>13</v>
      </c>
      <c r="E154" t="s">
        <v>934</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row>
    <row r="155" spans="2:32" x14ac:dyDescent="0.25">
      <c r="B155" s="53" t="str">
        <f t="shared" si="11"/>
        <v>commercial-cooling-heavy or residual fuel oil (BTU)</v>
      </c>
      <c r="C155" t="s">
        <v>92</v>
      </c>
      <c r="D155" t="s">
        <v>13</v>
      </c>
      <c r="E155" t="s">
        <v>935</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row>
    <row r="156" spans="2:32" x14ac:dyDescent="0.25">
      <c r="B156" s="53" t="str">
        <f t="shared" si="11"/>
        <v>commercial-cooling-LPG propane or butane (BTU)</v>
      </c>
      <c r="C156" t="s">
        <v>92</v>
      </c>
      <c r="D156" t="s">
        <v>13</v>
      </c>
      <c r="E156" t="s">
        <v>77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row>
    <row r="157" spans="2:32" x14ac:dyDescent="0.25">
      <c r="B157" s="53" t="str">
        <f t="shared" si="11"/>
        <v>commercial-cooling-hydrogen (BTU)</v>
      </c>
      <c r="C157" t="s">
        <v>92</v>
      </c>
      <c r="D157" t="s">
        <v>13</v>
      </c>
      <c r="E157" t="s">
        <v>936</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row>
    <row r="159" spans="2:32" x14ac:dyDescent="0.25">
      <c r="B159" s="1" t="s">
        <v>949</v>
      </c>
    </row>
    <row r="160" spans="2:32" x14ac:dyDescent="0.25">
      <c r="E160" t="s">
        <v>915</v>
      </c>
      <c r="F160" s="1">
        <v>2024</v>
      </c>
      <c r="G160" s="1">
        <v>2025</v>
      </c>
      <c r="H160" s="1">
        <v>2026</v>
      </c>
      <c r="I160" s="1">
        <v>2027</v>
      </c>
      <c r="J160" s="1">
        <v>2028</v>
      </c>
      <c r="K160" s="1">
        <v>2029</v>
      </c>
      <c r="L160" s="1">
        <v>2030</v>
      </c>
      <c r="M160" s="1">
        <v>2031</v>
      </c>
      <c r="N160" s="1">
        <v>2032</v>
      </c>
      <c r="O160" s="1">
        <v>2033</v>
      </c>
      <c r="P160" s="1">
        <v>2034</v>
      </c>
      <c r="Q160" s="1">
        <v>2035</v>
      </c>
      <c r="R160" s="1">
        <v>2036</v>
      </c>
      <c r="S160" s="1">
        <v>2037</v>
      </c>
      <c r="T160" s="1">
        <v>2038</v>
      </c>
      <c r="U160" s="1">
        <v>2039</v>
      </c>
      <c r="V160" s="1">
        <v>2040</v>
      </c>
      <c r="W160" s="1">
        <v>2041</v>
      </c>
      <c r="X160" s="1">
        <v>2042</v>
      </c>
      <c r="Y160" s="1">
        <v>2043</v>
      </c>
      <c r="Z160" s="1">
        <v>2044</v>
      </c>
      <c r="AA160" s="1">
        <v>2045</v>
      </c>
      <c r="AB160" s="1">
        <v>2046</v>
      </c>
      <c r="AC160" s="1">
        <v>2047</v>
      </c>
      <c r="AD160" s="1">
        <v>2048</v>
      </c>
      <c r="AE160" s="1">
        <v>2049</v>
      </c>
      <c r="AF160" s="1">
        <v>2050</v>
      </c>
    </row>
    <row r="161" spans="2:32" x14ac:dyDescent="0.25">
      <c r="B161" s="53" t="str">
        <f t="shared" ref="B161:B170" si="12">C161&amp;"-"&amp;D161&amp;"-"&amp;E161</f>
        <v>commercial-lighting-electricity (BTU)</v>
      </c>
      <c r="C161" t="s">
        <v>92</v>
      </c>
      <c r="D161" t="s">
        <v>27</v>
      </c>
      <c r="E161" t="s">
        <v>10</v>
      </c>
      <c r="F161">
        <f>SUMIFS('Crosswalk AEO to EPS Summary'!H:H,'Crosswalk AEO to EPS Summary'!$D:$D,$B161)*quadrillion</f>
        <v>575629000000000</v>
      </c>
      <c r="G161">
        <f>SUMIFS('Crosswalk AEO to EPS Summary'!I:I,'Crosswalk AEO to EPS Summary'!$D:$D,$B161)*quadrillion</f>
        <v>564649000000000</v>
      </c>
      <c r="H161">
        <f>SUMIFS('Crosswalk AEO to EPS Summary'!J:J,'Crosswalk AEO to EPS Summary'!$D:$D,$B161)*quadrillion</f>
        <v>553328000000000.06</v>
      </c>
      <c r="I161">
        <f>SUMIFS('Crosswalk AEO to EPS Summary'!K:K,'Crosswalk AEO to EPS Summary'!$D:$D,$B161)*quadrillion</f>
        <v>547328999999999.94</v>
      </c>
      <c r="J161">
        <f>SUMIFS('Crosswalk AEO to EPS Summary'!L:L,'Crosswalk AEO to EPS Summary'!$D:$D,$B161)*quadrillion</f>
        <v>545430000000000</v>
      </c>
      <c r="K161">
        <f>SUMIFS('Crosswalk AEO to EPS Summary'!M:M,'Crosswalk AEO to EPS Summary'!$D:$D,$B161)*quadrillion</f>
        <v>543587999999999.94</v>
      </c>
      <c r="L161">
        <f>SUMIFS('Crosswalk AEO to EPS Summary'!N:N,'Crosswalk AEO to EPS Summary'!$D:$D,$B161)*quadrillion</f>
        <v>532317999999999.94</v>
      </c>
      <c r="M161">
        <f>SUMIFS('Crosswalk AEO to EPS Summary'!O:O,'Crosswalk AEO to EPS Summary'!$D:$D,$B161)*quadrillion</f>
        <v>522622000000000</v>
      </c>
      <c r="N161">
        <f>SUMIFS('Crosswalk AEO to EPS Summary'!P:P,'Crosswalk AEO to EPS Summary'!$D:$D,$B161)*quadrillion</f>
        <v>514200000000000</v>
      </c>
      <c r="O161">
        <f>SUMIFS('Crosswalk AEO to EPS Summary'!Q:Q,'Crosswalk AEO to EPS Summary'!$D:$D,$B161)*quadrillion</f>
        <v>506779000000000</v>
      </c>
      <c r="P161">
        <f>SUMIFS('Crosswalk AEO to EPS Summary'!R:R,'Crosswalk AEO to EPS Summary'!$D:$D,$B161)*quadrillion</f>
        <v>499778000000000</v>
      </c>
      <c r="Q161">
        <f>SUMIFS('Crosswalk AEO to EPS Summary'!S:S,'Crosswalk AEO to EPS Summary'!$D:$D,$B161)*quadrillion</f>
        <v>492952000000000</v>
      </c>
      <c r="R161">
        <f>SUMIFS('Crosswalk AEO to EPS Summary'!T:T,'Crosswalk AEO to EPS Summary'!$D:$D,$B161)*quadrillion</f>
        <v>487289000000000</v>
      </c>
      <c r="S161">
        <f>SUMIFS('Crosswalk AEO to EPS Summary'!U:U,'Crosswalk AEO to EPS Summary'!$D:$D,$B161)*quadrillion</f>
        <v>482486000000000</v>
      </c>
      <c r="T161">
        <f>SUMIFS('Crosswalk AEO to EPS Summary'!V:V,'Crosswalk AEO to EPS Summary'!$D:$D,$B161)*quadrillion</f>
        <v>478498000000000</v>
      </c>
      <c r="U161">
        <f>SUMIFS('Crosswalk AEO to EPS Summary'!W:W,'Crosswalk AEO to EPS Summary'!$D:$D,$B161)*quadrillion</f>
        <v>475119000000000</v>
      </c>
      <c r="V161">
        <f>SUMIFS('Crosswalk AEO to EPS Summary'!X:X,'Crosswalk AEO to EPS Summary'!$D:$D,$B161)*quadrillion</f>
        <v>470122000000000</v>
      </c>
      <c r="W161">
        <f>SUMIFS('Crosswalk AEO to EPS Summary'!Y:Y,'Crosswalk AEO to EPS Summary'!$D:$D,$B161)*quadrillion</f>
        <v>466407000000000</v>
      </c>
      <c r="X161">
        <f>SUMIFS('Crosswalk AEO to EPS Summary'!Z:Z,'Crosswalk AEO to EPS Summary'!$D:$D,$B161)*quadrillion</f>
        <v>463482000000000</v>
      </c>
      <c r="Y161">
        <f>SUMIFS('Crosswalk AEO to EPS Summary'!AA:AA,'Crosswalk AEO to EPS Summary'!$D:$D,$B161)*quadrillion</f>
        <v>461297000000000</v>
      </c>
      <c r="Z161">
        <f>SUMIFS('Crosswalk AEO to EPS Summary'!AB:AB,'Crosswalk AEO to EPS Summary'!$D:$D,$B161)*quadrillion</f>
        <v>459643000000000</v>
      </c>
      <c r="AA161">
        <f>SUMIFS('Crosswalk AEO to EPS Summary'!AC:AC,'Crosswalk AEO to EPS Summary'!$D:$D,$B161)*quadrillion</f>
        <v>458401000000000</v>
      </c>
      <c r="AB161">
        <f>SUMIFS('Crosswalk AEO to EPS Summary'!AD:AD,'Crosswalk AEO to EPS Summary'!$D:$D,$B161)*quadrillion</f>
        <v>457258000000000</v>
      </c>
      <c r="AC161">
        <f>SUMIFS('Crosswalk AEO to EPS Summary'!AE:AE,'Crosswalk AEO to EPS Summary'!$D:$D,$B161)*quadrillion</f>
        <v>455994000000000</v>
      </c>
      <c r="AD161">
        <f>SUMIFS('Crosswalk AEO to EPS Summary'!AF:AF,'Crosswalk AEO to EPS Summary'!$D:$D,$B161)*quadrillion</f>
        <v>454706000000000</v>
      </c>
      <c r="AE161">
        <f>SUMIFS('Crosswalk AEO to EPS Summary'!AG:AG,'Crosswalk AEO to EPS Summary'!$D:$D,$B161)*quadrillion</f>
        <v>453692000000000</v>
      </c>
      <c r="AF161">
        <f>SUMIFS('Crosswalk AEO to EPS Summary'!AH:AH,'Crosswalk AEO to EPS Summary'!$D:$D,$B161)*quadrillion</f>
        <v>452695000000000</v>
      </c>
    </row>
    <row r="162" spans="2:32" x14ac:dyDescent="0.25">
      <c r="B162" s="53" t="str">
        <f t="shared" si="12"/>
        <v>commercial-lighting-coal (BTU)</v>
      </c>
      <c r="C162" t="s">
        <v>92</v>
      </c>
      <c r="D162" t="s">
        <v>27</v>
      </c>
      <c r="E162" t="s">
        <v>932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row>
    <row r="163" spans="2:32" x14ac:dyDescent="0.25">
      <c r="B163" s="53" t="str">
        <f t="shared" si="12"/>
        <v>commercial-lighting-natural gas (BTU)</v>
      </c>
      <c r="C163" t="s">
        <v>92</v>
      </c>
      <c r="D163" t="s">
        <v>27</v>
      </c>
      <c r="E163" t="s">
        <v>53</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row>
    <row r="164" spans="2:32" x14ac:dyDescent="0.25">
      <c r="B164" s="53" t="str">
        <f t="shared" si="12"/>
        <v>commercial-lighting-petroleum diesel (BTU)</v>
      </c>
      <c r="C164" t="s">
        <v>92</v>
      </c>
      <c r="D164" t="s">
        <v>27</v>
      </c>
      <c r="E164" t="s">
        <v>68</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row>
    <row r="165" spans="2:32" x14ac:dyDescent="0.25">
      <c r="B165" s="53" t="str">
        <f t="shared" si="12"/>
        <v>commercial-lighting-heat (BTU)</v>
      </c>
      <c r="C165" t="s">
        <v>92</v>
      </c>
      <c r="D165" t="s">
        <v>27</v>
      </c>
      <c r="E165" t="s">
        <v>933</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row>
    <row r="166" spans="2:32" x14ac:dyDescent="0.25">
      <c r="B166" s="53" t="str">
        <f t="shared" si="12"/>
        <v>commercial-lighting-biomass (BTU)</v>
      </c>
      <c r="C166" t="s">
        <v>92</v>
      </c>
      <c r="D166" t="s">
        <v>27</v>
      </c>
      <c r="E166" t="s">
        <v>88</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row>
    <row r="167" spans="2:32" x14ac:dyDescent="0.25">
      <c r="B167" s="53" t="str">
        <f t="shared" si="12"/>
        <v>commercial-lighting-kerosene (BTU)</v>
      </c>
      <c r="C167" t="s">
        <v>92</v>
      </c>
      <c r="D167" t="s">
        <v>27</v>
      </c>
      <c r="E167" t="s">
        <v>934</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row>
    <row r="168" spans="2:32" x14ac:dyDescent="0.25">
      <c r="B168" s="53" t="str">
        <f t="shared" si="12"/>
        <v>commercial-lighting-heavy or residual fuel oil (BTU)</v>
      </c>
      <c r="C168" t="s">
        <v>92</v>
      </c>
      <c r="D168" t="s">
        <v>27</v>
      </c>
      <c r="E168" t="s">
        <v>935</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row>
    <row r="169" spans="2:32" x14ac:dyDescent="0.25">
      <c r="B169" s="53" t="str">
        <f t="shared" si="12"/>
        <v>commercial-lighting-LPG propane or butane (BTU)</v>
      </c>
      <c r="C169" t="s">
        <v>92</v>
      </c>
      <c r="D169" t="s">
        <v>27</v>
      </c>
      <c r="E169" t="s">
        <v>77</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row>
    <row r="170" spans="2:32" x14ac:dyDescent="0.25">
      <c r="B170" s="53" t="str">
        <f t="shared" si="12"/>
        <v>commercial-lighting-hydrogen (BTU)</v>
      </c>
      <c r="C170" t="s">
        <v>92</v>
      </c>
      <c r="D170" t="s">
        <v>27</v>
      </c>
      <c r="E170" t="s">
        <v>936</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row>
    <row r="172" spans="2:32" x14ac:dyDescent="0.25">
      <c r="B172" s="1" t="s">
        <v>950</v>
      </c>
    </row>
    <row r="173" spans="2:32" x14ac:dyDescent="0.25">
      <c r="E173" t="s">
        <v>915</v>
      </c>
      <c r="F173" s="1">
        <v>2024</v>
      </c>
      <c r="G173" s="1">
        <v>2025</v>
      </c>
      <c r="H173" s="1">
        <v>2026</v>
      </c>
      <c r="I173" s="1">
        <v>2027</v>
      </c>
      <c r="J173" s="1">
        <v>2028</v>
      </c>
      <c r="K173" s="1">
        <v>2029</v>
      </c>
      <c r="L173" s="1">
        <v>2030</v>
      </c>
      <c r="M173" s="1">
        <v>2031</v>
      </c>
      <c r="N173" s="1">
        <v>2032</v>
      </c>
      <c r="O173" s="1">
        <v>2033</v>
      </c>
      <c r="P173" s="1">
        <v>2034</v>
      </c>
      <c r="Q173" s="1">
        <v>2035</v>
      </c>
      <c r="R173" s="1">
        <v>2036</v>
      </c>
      <c r="S173" s="1">
        <v>2037</v>
      </c>
      <c r="T173" s="1">
        <v>2038</v>
      </c>
      <c r="U173" s="1">
        <v>2039</v>
      </c>
      <c r="V173" s="1">
        <v>2040</v>
      </c>
      <c r="W173" s="1">
        <v>2041</v>
      </c>
      <c r="X173" s="1">
        <v>2042</v>
      </c>
      <c r="Y173" s="1">
        <v>2043</v>
      </c>
      <c r="Z173" s="1">
        <v>2044</v>
      </c>
      <c r="AA173" s="1">
        <v>2045</v>
      </c>
      <c r="AB173" s="1">
        <v>2046</v>
      </c>
      <c r="AC173" s="1">
        <v>2047</v>
      </c>
      <c r="AD173" s="1">
        <v>2048</v>
      </c>
      <c r="AE173" s="1">
        <v>2049</v>
      </c>
      <c r="AF173" s="1">
        <v>2050</v>
      </c>
    </row>
    <row r="174" spans="2:32" x14ac:dyDescent="0.25">
      <c r="B174" s="53" t="str">
        <f t="shared" ref="B174:B183" si="13">C174&amp;"-"&amp;D174&amp;"-"&amp;E174</f>
        <v>commercial-appliances-electricity (BTU)</v>
      </c>
      <c r="C174" t="s">
        <v>92</v>
      </c>
      <c r="D174" t="s">
        <v>16</v>
      </c>
      <c r="E174" t="s">
        <v>10</v>
      </c>
      <c r="F174">
        <f>SUMIFS('Crosswalk AEO to EPS Summary'!H:H,'Crosswalk AEO to EPS Summary'!$D:$D,$B174)*quadrillion</f>
        <v>526170000000000</v>
      </c>
      <c r="G174">
        <f>SUMIFS('Crosswalk AEO to EPS Summary'!I:I,'Crosswalk AEO to EPS Summary'!$D:$D,$B174)*quadrillion</f>
        <v>524521999999999.94</v>
      </c>
      <c r="H174">
        <f>SUMIFS('Crosswalk AEO to EPS Summary'!J:J,'Crosswalk AEO to EPS Summary'!$D:$D,$B174)*quadrillion</f>
        <v>521923999999999.94</v>
      </c>
      <c r="I174">
        <f>SUMIFS('Crosswalk AEO to EPS Summary'!K:K,'Crosswalk AEO to EPS Summary'!$D:$D,$B174)*quadrillion</f>
        <v>521108000000000</v>
      </c>
      <c r="J174">
        <f>SUMIFS('Crosswalk AEO to EPS Summary'!L:L,'Crosswalk AEO to EPS Summary'!$D:$D,$B174)*quadrillion</f>
        <v>521390000000000</v>
      </c>
      <c r="K174">
        <f>SUMIFS('Crosswalk AEO to EPS Summary'!M:M,'Crosswalk AEO to EPS Summary'!$D:$D,$B174)*quadrillion</f>
        <v>521030000000000</v>
      </c>
      <c r="L174">
        <f>SUMIFS('Crosswalk AEO to EPS Summary'!N:N,'Crosswalk AEO to EPS Summary'!$D:$D,$B174)*quadrillion</f>
        <v>518539000000000.06</v>
      </c>
      <c r="M174">
        <f>SUMIFS('Crosswalk AEO to EPS Summary'!O:O,'Crosswalk AEO to EPS Summary'!$D:$D,$B174)*quadrillion</f>
        <v>516486000000000</v>
      </c>
      <c r="N174">
        <f>SUMIFS('Crosswalk AEO to EPS Summary'!P:P,'Crosswalk AEO to EPS Summary'!$D:$D,$B174)*quadrillion</f>
        <v>514825000000000.06</v>
      </c>
      <c r="O174">
        <f>SUMIFS('Crosswalk AEO to EPS Summary'!Q:Q,'Crosswalk AEO to EPS Summary'!$D:$D,$B174)*quadrillion</f>
        <v>513660000000000</v>
      </c>
      <c r="P174">
        <f>SUMIFS('Crosswalk AEO to EPS Summary'!R:R,'Crosswalk AEO to EPS Summary'!$D:$D,$B174)*quadrillion</f>
        <v>512812000000000.06</v>
      </c>
      <c r="Q174">
        <f>SUMIFS('Crosswalk AEO to EPS Summary'!S:S,'Crosswalk AEO to EPS Summary'!$D:$D,$B174)*quadrillion</f>
        <v>512221000000000.06</v>
      </c>
      <c r="R174">
        <f>SUMIFS('Crosswalk AEO to EPS Summary'!T:T,'Crosswalk AEO to EPS Summary'!$D:$D,$B174)*quadrillion</f>
        <v>512030000000000</v>
      </c>
      <c r="S174">
        <f>SUMIFS('Crosswalk AEO to EPS Summary'!U:U,'Crosswalk AEO to EPS Summary'!$D:$D,$B174)*quadrillion</f>
        <v>511912999999999.94</v>
      </c>
      <c r="T174">
        <f>SUMIFS('Crosswalk AEO to EPS Summary'!V:V,'Crosswalk AEO to EPS Summary'!$D:$D,$B174)*quadrillion</f>
        <v>511792999999999.94</v>
      </c>
      <c r="U174">
        <f>SUMIFS('Crosswalk AEO to EPS Summary'!W:W,'Crosswalk AEO to EPS Summary'!$D:$D,$B174)*quadrillion</f>
        <v>511597000000000.06</v>
      </c>
      <c r="V174">
        <f>SUMIFS('Crosswalk AEO to EPS Summary'!X:X,'Crosswalk AEO to EPS Summary'!$D:$D,$B174)*quadrillion</f>
        <v>511340000000000</v>
      </c>
      <c r="W174">
        <f>SUMIFS('Crosswalk AEO to EPS Summary'!Y:Y,'Crosswalk AEO to EPS Summary'!$D:$D,$B174)*quadrillion</f>
        <v>511409999999999.94</v>
      </c>
      <c r="X174">
        <f>SUMIFS('Crosswalk AEO to EPS Summary'!Z:Z,'Crosswalk AEO to EPS Summary'!$D:$D,$B174)*quadrillion</f>
        <v>511414999999999.94</v>
      </c>
      <c r="Y174">
        <f>SUMIFS('Crosswalk AEO to EPS Summary'!AA:AA,'Crosswalk AEO to EPS Summary'!$D:$D,$B174)*quadrillion</f>
        <v>511489000000000</v>
      </c>
      <c r="Z174">
        <f>SUMIFS('Crosswalk AEO to EPS Summary'!AB:AB,'Crosswalk AEO to EPS Summary'!$D:$D,$B174)*quadrillion</f>
        <v>511565000000000.06</v>
      </c>
      <c r="AA174">
        <f>SUMIFS('Crosswalk AEO to EPS Summary'!AC:AC,'Crosswalk AEO to EPS Summary'!$D:$D,$B174)*quadrillion</f>
        <v>511598000000000</v>
      </c>
      <c r="AB174">
        <f>SUMIFS('Crosswalk AEO to EPS Summary'!AD:AD,'Crosswalk AEO to EPS Summary'!$D:$D,$B174)*quadrillion</f>
        <v>511433000000000</v>
      </c>
      <c r="AC174">
        <f>SUMIFS('Crosswalk AEO to EPS Summary'!AE:AE,'Crosswalk AEO to EPS Summary'!$D:$D,$B174)*quadrillion</f>
        <v>510976000000000</v>
      </c>
      <c r="AD174">
        <f>SUMIFS('Crosswalk AEO to EPS Summary'!AF:AF,'Crosswalk AEO to EPS Summary'!$D:$D,$B174)*quadrillion</f>
        <v>510391999999999.94</v>
      </c>
      <c r="AE174">
        <f>SUMIFS('Crosswalk AEO to EPS Summary'!AG:AG,'Crosswalk AEO to EPS Summary'!$D:$D,$B174)*quadrillion</f>
        <v>509833000000000</v>
      </c>
      <c r="AF174">
        <f>SUMIFS('Crosswalk AEO to EPS Summary'!AH:AH,'Crosswalk AEO to EPS Summary'!$D:$D,$B174)*quadrillion</f>
        <v>509147000000000</v>
      </c>
    </row>
    <row r="175" spans="2:32" x14ac:dyDescent="0.25">
      <c r="B175" s="53" t="str">
        <f t="shared" si="13"/>
        <v>commercial-appliances-coal (BTU)</v>
      </c>
      <c r="C175" t="s">
        <v>92</v>
      </c>
      <c r="D175" t="s">
        <v>16</v>
      </c>
      <c r="E175" t="s">
        <v>932</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row>
    <row r="176" spans="2:32" x14ac:dyDescent="0.25">
      <c r="B176" s="53" t="str">
        <f t="shared" si="13"/>
        <v>commercial-appliances-natural gas (BTU)</v>
      </c>
      <c r="C176" t="s">
        <v>92</v>
      </c>
      <c r="D176" t="s">
        <v>16</v>
      </c>
      <c r="E176" t="s">
        <v>53</v>
      </c>
      <c r="F176">
        <f>SUMIFS('Crosswalk AEO to EPS Summary'!H:H,'Crosswalk AEO to EPS Summary'!$D:$D,$B176)*quadrillion</f>
        <v>670828000000000</v>
      </c>
      <c r="G176">
        <f>SUMIFS('Crosswalk AEO to EPS Summary'!I:I,'Crosswalk AEO to EPS Summary'!$D:$D,$B176)*quadrillion</f>
        <v>679360000000000</v>
      </c>
      <c r="H176">
        <f>SUMIFS('Crosswalk AEO to EPS Summary'!J:J,'Crosswalk AEO to EPS Summary'!$D:$D,$B176)*quadrillion</f>
        <v>693039000000000</v>
      </c>
      <c r="I176">
        <f>SUMIFS('Crosswalk AEO to EPS Summary'!K:K,'Crosswalk AEO to EPS Summary'!$D:$D,$B176)*quadrillion</f>
        <v>699219000000000</v>
      </c>
      <c r="J176">
        <f>SUMIFS('Crosswalk AEO to EPS Summary'!L:L,'Crosswalk AEO to EPS Summary'!$D:$D,$B176)*quadrillion</f>
        <v>700469999999999.88</v>
      </c>
      <c r="K176">
        <f>SUMIFS('Crosswalk AEO to EPS Summary'!M:M,'Crosswalk AEO to EPS Summary'!$D:$D,$B176)*quadrillion</f>
        <v>697959999999999.88</v>
      </c>
      <c r="L176">
        <f>SUMIFS('Crosswalk AEO to EPS Summary'!N:N,'Crosswalk AEO to EPS Summary'!$D:$D,$B176)*quadrillion</f>
        <v>693926000000000</v>
      </c>
      <c r="M176">
        <f>SUMIFS('Crosswalk AEO to EPS Summary'!O:O,'Crosswalk AEO to EPS Summary'!$D:$D,$B176)*quadrillion</f>
        <v>690660000000000</v>
      </c>
      <c r="N176">
        <f>SUMIFS('Crosswalk AEO to EPS Summary'!P:P,'Crosswalk AEO to EPS Summary'!$D:$D,$B176)*quadrillion</f>
        <v>691472000000000</v>
      </c>
      <c r="O176">
        <f>SUMIFS('Crosswalk AEO to EPS Summary'!Q:Q,'Crosswalk AEO to EPS Summary'!$D:$D,$B176)*quadrillion</f>
        <v>693820000000000</v>
      </c>
      <c r="P176">
        <f>SUMIFS('Crosswalk AEO to EPS Summary'!R:R,'Crosswalk AEO to EPS Summary'!$D:$D,$B176)*quadrillion</f>
        <v>698375000000000</v>
      </c>
      <c r="Q176">
        <f>SUMIFS('Crosswalk AEO to EPS Summary'!S:S,'Crosswalk AEO to EPS Summary'!$D:$D,$B176)*quadrillion</f>
        <v>703303000000000</v>
      </c>
      <c r="R176">
        <f>SUMIFS('Crosswalk AEO to EPS Summary'!T:T,'Crosswalk AEO to EPS Summary'!$D:$D,$B176)*quadrillion</f>
        <v>709249000000000</v>
      </c>
      <c r="S176">
        <f>SUMIFS('Crosswalk AEO to EPS Summary'!U:U,'Crosswalk AEO to EPS Summary'!$D:$D,$B176)*quadrillion</f>
        <v>715122000000000</v>
      </c>
      <c r="T176">
        <f>SUMIFS('Crosswalk AEO to EPS Summary'!V:V,'Crosswalk AEO to EPS Summary'!$D:$D,$B176)*quadrillion</f>
        <v>720999000000000</v>
      </c>
      <c r="U176">
        <f>SUMIFS('Crosswalk AEO to EPS Summary'!W:W,'Crosswalk AEO to EPS Summary'!$D:$D,$B176)*quadrillion</f>
        <v>726628000000000</v>
      </c>
      <c r="V176">
        <f>SUMIFS('Crosswalk AEO to EPS Summary'!X:X,'Crosswalk AEO to EPS Summary'!$D:$D,$B176)*quadrillion</f>
        <v>732300000000000</v>
      </c>
      <c r="W176">
        <f>SUMIFS('Crosswalk AEO to EPS Summary'!Y:Y,'Crosswalk AEO to EPS Summary'!$D:$D,$B176)*quadrillion</f>
        <v>738409000000000</v>
      </c>
      <c r="X176">
        <f>SUMIFS('Crosswalk AEO to EPS Summary'!Z:Z,'Crosswalk AEO to EPS Summary'!$D:$D,$B176)*quadrillion</f>
        <v>745375000000000</v>
      </c>
      <c r="Y176">
        <f>SUMIFS('Crosswalk AEO to EPS Summary'!AA:AA,'Crosswalk AEO to EPS Summary'!$D:$D,$B176)*quadrillion</f>
        <v>752704000000000</v>
      </c>
      <c r="Z176">
        <f>SUMIFS('Crosswalk AEO to EPS Summary'!AB:AB,'Crosswalk AEO to EPS Summary'!$D:$D,$B176)*quadrillion</f>
        <v>760486000000000</v>
      </c>
      <c r="AA176">
        <f>SUMIFS('Crosswalk AEO to EPS Summary'!AC:AC,'Crosswalk AEO to EPS Summary'!$D:$D,$B176)*quadrillion</f>
        <v>767938000000000</v>
      </c>
      <c r="AB176">
        <f>SUMIFS('Crosswalk AEO to EPS Summary'!AD:AD,'Crosswalk AEO to EPS Summary'!$D:$D,$B176)*quadrillion</f>
        <v>774167000000000</v>
      </c>
      <c r="AC176">
        <f>SUMIFS('Crosswalk AEO to EPS Summary'!AE:AE,'Crosswalk AEO to EPS Summary'!$D:$D,$B176)*quadrillion</f>
        <v>779547000000000</v>
      </c>
      <c r="AD176">
        <f>SUMIFS('Crosswalk AEO to EPS Summary'!AF:AF,'Crosswalk AEO to EPS Summary'!$D:$D,$B176)*quadrillion</f>
        <v>784613000000000</v>
      </c>
      <c r="AE176">
        <f>SUMIFS('Crosswalk AEO to EPS Summary'!AG:AG,'Crosswalk AEO to EPS Summary'!$D:$D,$B176)*quadrillion</f>
        <v>789644000000000</v>
      </c>
      <c r="AF176">
        <f>SUMIFS('Crosswalk AEO to EPS Summary'!AH:AH,'Crosswalk AEO to EPS Summary'!$D:$D,$B176)*quadrillion</f>
        <v>794773000000000</v>
      </c>
    </row>
    <row r="177" spans="2:32" x14ac:dyDescent="0.25">
      <c r="B177" s="53" t="str">
        <f t="shared" si="13"/>
        <v>commercial-appliances-petroleum diesel (BTU)</v>
      </c>
      <c r="C177" t="s">
        <v>92</v>
      </c>
      <c r="D177" t="s">
        <v>16</v>
      </c>
      <c r="E177" t="s">
        <v>68</v>
      </c>
      <c r="F177">
        <f>SUMIFS('Crosswalk AEO to EPS Summary'!H:H,'Crosswalk AEO to EPS Summary'!$D:$D,$B177)*quadrillion</f>
        <v>3746000000000</v>
      </c>
      <c r="G177">
        <f>SUMIFS('Crosswalk AEO to EPS Summary'!I:I,'Crosswalk AEO to EPS Summary'!$D:$D,$B177)*quadrillion</f>
        <v>3768000000000</v>
      </c>
      <c r="H177">
        <f>SUMIFS('Crosswalk AEO to EPS Summary'!J:J,'Crosswalk AEO to EPS Summary'!$D:$D,$B177)*quadrillion</f>
        <v>3783000000000</v>
      </c>
      <c r="I177">
        <f>SUMIFS('Crosswalk AEO to EPS Summary'!K:K,'Crosswalk AEO to EPS Summary'!$D:$D,$B177)*quadrillion</f>
        <v>3772000000000</v>
      </c>
      <c r="J177">
        <f>SUMIFS('Crosswalk AEO to EPS Summary'!L:L,'Crosswalk AEO to EPS Summary'!$D:$D,$B177)*quadrillion</f>
        <v>3756000000000</v>
      </c>
      <c r="K177">
        <f>SUMIFS('Crosswalk AEO to EPS Summary'!M:M,'Crosswalk AEO to EPS Summary'!$D:$D,$B177)*quadrillion</f>
        <v>3738000000000</v>
      </c>
      <c r="L177">
        <f>SUMIFS('Crosswalk AEO to EPS Summary'!N:N,'Crosswalk AEO to EPS Summary'!$D:$D,$B177)*quadrillion</f>
        <v>3734000000000</v>
      </c>
      <c r="M177">
        <f>SUMIFS('Crosswalk AEO to EPS Summary'!O:O,'Crosswalk AEO to EPS Summary'!$D:$D,$B177)*quadrillion</f>
        <v>3730000000000</v>
      </c>
      <c r="N177">
        <f>SUMIFS('Crosswalk AEO to EPS Summary'!P:P,'Crosswalk AEO to EPS Summary'!$D:$D,$B177)*quadrillion</f>
        <v>3710000000000</v>
      </c>
      <c r="O177">
        <f>SUMIFS('Crosswalk AEO to EPS Summary'!Q:Q,'Crosswalk AEO to EPS Summary'!$D:$D,$B177)*quadrillion</f>
        <v>3672000000000</v>
      </c>
      <c r="P177">
        <f>SUMIFS('Crosswalk AEO to EPS Summary'!R:R,'Crosswalk AEO to EPS Summary'!$D:$D,$B177)*quadrillion</f>
        <v>3636000000000</v>
      </c>
      <c r="Q177">
        <f>SUMIFS('Crosswalk AEO to EPS Summary'!S:S,'Crosswalk AEO to EPS Summary'!$D:$D,$B177)*quadrillion</f>
        <v>3602000000000</v>
      </c>
      <c r="R177">
        <f>SUMIFS('Crosswalk AEO to EPS Summary'!T:T,'Crosswalk AEO to EPS Summary'!$D:$D,$B177)*quadrillion</f>
        <v>3574000000000</v>
      </c>
      <c r="S177">
        <f>SUMIFS('Crosswalk AEO to EPS Summary'!U:U,'Crosswalk AEO to EPS Summary'!$D:$D,$B177)*quadrillion</f>
        <v>3547000000000</v>
      </c>
      <c r="T177">
        <f>SUMIFS('Crosswalk AEO to EPS Summary'!V:V,'Crosswalk AEO to EPS Summary'!$D:$D,$B177)*quadrillion</f>
        <v>3521000000000</v>
      </c>
      <c r="U177">
        <f>SUMIFS('Crosswalk AEO to EPS Summary'!W:W,'Crosswalk AEO to EPS Summary'!$D:$D,$B177)*quadrillion</f>
        <v>3496000000000</v>
      </c>
      <c r="V177">
        <f>SUMIFS('Crosswalk AEO to EPS Summary'!X:X,'Crosswalk AEO to EPS Summary'!$D:$D,$B177)*quadrillion</f>
        <v>3472000000000</v>
      </c>
      <c r="W177">
        <f>SUMIFS('Crosswalk AEO to EPS Summary'!Y:Y,'Crosswalk AEO to EPS Summary'!$D:$D,$B177)*quadrillion</f>
        <v>3448000000000</v>
      </c>
      <c r="X177">
        <f>SUMIFS('Crosswalk AEO to EPS Summary'!Z:Z,'Crosswalk AEO to EPS Summary'!$D:$D,$B177)*quadrillion</f>
        <v>3424000000000</v>
      </c>
      <c r="Y177">
        <f>SUMIFS('Crosswalk AEO to EPS Summary'!AA:AA,'Crosswalk AEO to EPS Summary'!$D:$D,$B177)*quadrillion</f>
        <v>3400000000000</v>
      </c>
      <c r="Z177">
        <f>SUMIFS('Crosswalk AEO to EPS Summary'!AB:AB,'Crosswalk AEO to EPS Summary'!$D:$D,$B177)*quadrillion</f>
        <v>3376000000000</v>
      </c>
      <c r="AA177">
        <f>SUMIFS('Crosswalk AEO to EPS Summary'!AC:AC,'Crosswalk AEO to EPS Summary'!$D:$D,$B177)*quadrillion</f>
        <v>3350000000000</v>
      </c>
      <c r="AB177">
        <f>SUMIFS('Crosswalk AEO to EPS Summary'!AD:AD,'Crosswalk AEO to EPS Summary'!$D:$D,$B177)*quadrillion</f>
        <v>3324000000000</v>
      </c>
      <c r="AC177">
        <f>SUMIFS('Crosswalk AEO to EPS Summary'!AE:AE,'Crosswalk AEO to EPS Summary'!$D:$D,$B177)*quadrillion</f>
        <v>3298000000000</v>
      </c>
      <c r="AD177">
        <f>SUMIFS('Crosswalk AEO to EPS Summary'!AF:AF,'Crosswalk AEO to EPS Summary'!$D:$D,$B177)*quadrillion</f>
        <v>3273000000000</v>
      </c>
      <c r="AE177">
        <f>SUMIFS('Crosswalk AEO to EPS Summary'!AG:AG,'Crosswalk AEO to EPS Summary'!$D:$D,$B177)*quadrillion</f>
        <v>3246000000000</v>
      </c>
      <c r="AF177">
        <f>SUMIFS('Crosswalk AEO to EPS Summary'!AH:AH,'Crosswalk AEO to EPS Summary'!$D:$D,$B177)*quadrillion</f>
        <v>3222000000000</v>
      </c>
    </row>
    <row r="178" spans="2:32" x14ac:dyDescent="0.25">
      <c r="B178" s="53" t="str">
        <f t="shared" si="13"/>
        <v>commercial-appliances-heat (BTU)</v>
      </c>
      <c r="C178" t="s">
        <v>92</v>
      </c>
      <c r="D178" t="s">
        <v>16</v>
      </c>
      <c r="E178" t="s">
        <v>933</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row>
    <row r="179" spans="2:32" x14ac:dyDescent="0.25">
      <c r="B179" s="53" t="str">
        <f t="shared" si="13"/>
        <v>commercial-appliances-biomass (BTU)</v>
      </c>
      <c r="C179" t="s">
        <v>92</v>
      </c>
      <c r="D179" t="s">
        <v>16</v>
      </c>
      <c r="E179" t="s">
        <v>88</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row>
    <row r="180" spans="2:32" x14ac:dyDescent="0.25">
      <c r="B180" s="53" t="str">
        <f t="shared" si="13"/>
        <v>commercial-appliances-kerosene (BTU)</v>
      </c>
      <c r="C180" t="s">
        <v>92</v>
      </c>
      <c r="D180" t="s">
        <v>16</v>
      </c>
      <c r="E180" t="s">
        <v>934</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row>
    <row r="181" spans="2:32" x14ac:dyDescent="0.25">
      <c r="B181" s="53" t="str">
        <f t="shared" si="13"/>
        <v>commercial-appliances-heavy or residual fuel oil (BTU)</v>
      </c>
      <c r="C181" t="s">
        <v>92</v>
      </c>
      <c r="D181" t="s">
        <v>16</v>
      </c>
      <c r="E181" t="s">
        <v>935</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row>
    <row r="182" spans="2:32" x14ac:dyDescent="0.25">
      <c r="B182" s="53" t="str">
        <f t="shared" si="13"/>
        <v>commercial-other-LPG propane or butane (BTU)</v>
      </c>
      <c r="C182" t="s">
        <v>92</v>
      </c>
      <c r="D182" t="s">
        <v>34</v>
      </c>
      <c r="E182" t="s">
        <v>77</v>
      </c>
      <c r="F182" s="43">
        <f>SUMIFS('Crosswalk AEO to EPS Summary'!H:H,'Crosswalk AEO to EPS Summary'!$D:$D,$B182)*(1-Fraction_coal)*quadrillion*(F177/SUM(F$138,F$177,F$190))</f>
        <v>7622096838499.5635</v>
      </c>
      <c r="G182" s="43">
        <f>SUMIFS('Crosswalk AEO to EPS Summary'!I:I,'Crosswalk AEO to EPS Summary'!$D:$D,$B182)*(1-Fraction_coal)*quadrillion*(G177/SUM(G$138,G$177,G$190))</f>
        <v>7431915182042.9902</v>
      </c>
      <c r="H182" s="43">
        <f>SUMIFS('Crosswalk AEO to EPS Summary'!J:J,'Crosswalk AEO to EPS Summary'!$D:$D,$B182)*(1-Fraction_coal)*quadrillion*(H177/SUM(H$138,H$177,H$190))</f>
        <v>7526534952365.1279</v>
      </c>
      <c r="I182" s="43">
        <f>SUMIFS('Crosswalk AEO to EPS Summary'!K:K,'Crosswalk AEO to EPS Summary'!$D:$D,$B182)*(1-Fraction_coal)*quadrillion*(I177/SUM(I$138,I$177,I$190))</f>
        <v>7411612731332.9941</v>
      </c>
      <c r="J182" s="43">
        <f>SUMIFS('Crosswalk AEO to EPS Summary'!L:L,'Crosswalk AEO to EPS Summary'!$D:$D,$B182)*(1-Fraction_coal)*quadrillion*(J177/SUM(J$138,J$177,J$190))</f>
        <v>7435268388428.4893</v>
      </c>
      <c r="K182" s="43">
        <f>SUMIFS('Crosswalk AEO to EPS Summary'!M:M,'Crosswalk AEO to EPS Summary'!$D:$D,$B182)*(1-Fraction_coal)*quadrillion*(K177/SUM(K$138,K$177,K$190))</f>
        <v>7468891486007.2148</v>
      </c>
      <c r="L182" s="43">
        <f>SUMIFS('Crosswalk AEO to EPS Summary'!N:N,'Crosswalk AEO to EPS Summary'!$D:$D,$B182)*(1-Fraction_coal)*quadrillion*(L177/SUM(L$138,L$177,L$190))</f>
        <v>7513292640409.3682</v>
      </c>
      <c r="M182" s="43">
        <f>SUMIFS('Crosswalk AEO to EPS Summary'!O:O,'Crosswalk AEO to EPS Summary'!$D:$D,$B182)*(1-Fraction_coal)*quadrillion*(M177/SUM(M$138,M$177,M$190))</f>
        <v>7555861507482.9922</v>
      </c>
      <c r="N182" s="43">
        <f>SUMIFS('Crosswalk AEO to EPS Summary'!P:P,'Crosswalk AEO to EPS Summary'!$D:$D,$B182)*(1-Fraction_coal)*quadrillion*(N177/SUM(N$138,N$177,N$190))</f>
        <v>7611801602092.5283</v>
      </c>
      <c r="O182" s="43">
        <f>SUMIFS('Crosswalk AEO to EPS Summary'!Q:Q,'Crosswalk AEO to EPS Summary'!$D:$D,$B182)*(1-Fraction_coal)*quadrillion*(O177/SUM(O$138,O$177,O$190))</f>
        <v>7679172570145.3555</v>
      </c>
      <c r="P182" s="43">
        <f>SUMIFS('Crosswalk AEO to EPS Summary'!R:R,'Crosswalk AEO to EPS Summary'!$D:$D,$B182)*(1-Fraction_coal)*quadrillion*(P177/SUM(P$138,P$177,P$190))</f>
        <v>7755575356329.1885</v>
      </c>
      <c r="Q182" s="43">
        <f>SUMIFS('Crosswalk AEO to EPS Summary'!S:S,'Crosswalk AEO to EPS Summary'!$D:$D,$B182)*(1-Fraction_coal)*quadrillion*(Q177/SUM(Q$138,Q$177,Q$190))</f>
        <v>7834105629422.1875</v>
      </c>
      <c r="R182" s="43">
        <f>SUMIFS('Crosswalk AEO to EPS Summary'!T:T,'Crosswalk AEO to EPS Summary'!$D:$D,$B182)*(1-Fraction_coal)*quadrillion*(R177/SUM(R$138,R$177,R$190))</f>
        <v>7918487881073.332</v>
      </c>
      <c r="S182" s="43">
        <f>SUMIFS('Crosswalk AEO to EPS Summary'!U:U,'Crosswalk AEO to EPS Summary'!$D:$D,$B182)*(1-Fraction_coal)*quadrillion*(S177/SUM(S$138,S$177,S$190))</f>
        <v>8007518444935.7861</v>
      </c>
      <c r="T182" s="43">
        <f>SUMIFS('Crosswalk AEO to EPS Summary'!V:V,'Crosswalk AEO to EPS Summary'!$D:$D,$B182)*(1-Fraction_coal)*quadrillion*(T177/SUM(T$138,T$177,T$190))</f>
        <v>8096242786516.8545</v>
      </c>
      <c r="U182" s="43">
        <f>SUMIFS('Crosswalk AEO to EPS Summary'!W:W,'Crosswalk AEO to EPS Summary'!$D:$D,$B182)*(1-Fraction_coal)*quadrillion*(U177/SUM(U$138,U$177,U$190))</f>
        <v>8180533463355.1729</v>
      </c>
      <c r="V182" s="43">
        <f>SUMIFS('Crosswalk AEO to EPS Summary'!X:X,'Crosswalk AEO to EPS Summary'!$D:$D,$B182)*(1-Fraction_coal)*quadrillion*(V177/SUM(V$138,V$177,V$190))</f>
        <v>8261239141406.2432</v>
      </c>
      <c r="W182" s="43">
        <f>SUMIFS('Crosswalk AEO to EPS Summary'!Y:Y,'Crosswalk AEO to EPS Summary'!$D:$D,$B182)*(1-Fraction_coal)*quadrillion*(W177/SUM(W$138,W$177,W$190))</f>
        <v>8337038433940.2813</v>
      </c>
      <c r="X182" s="43">
        <f>SUMIFS('Crosswalk AEO to EPS Summary'!Z:Z,'Crosswalk AEO to EPS Summary'!$D:$D,$B182)*(1-Fraction_coal)*quadrillion*(X177/SUM(X$138,X$177,X$190))</f>
        <v>8408149968891.584</v>
      </c>
      <c r="Y182" s="43">
        <f>SUMIFS('Crosswalk AEO to EPS Summary'!AA:AA,'Crosswalk AEO to EPS Summary'!$D:$D,$B182)*(1-Fraction_coal)*quadrillion*(Y177/SUM(Y$138,Y$177,Y$190))</f>
        <v>8477297734396.8018</v>
      </c>
      <c r="Z182" s="43">
        <f>SUMIFS('Crosswalk AEO to EPS Summary'!AB:AB,'Crosswalk AEO to EPS Summary'!$D:$D,$B182)*(1-Fraction_coal)*quadrillion*(Z177/SUM(Z$138,Z$177,Z$190))</f>
        <v>8544467345874.5986</v>
      </c>
      <c r="AA182" s="43">
        <f>SUMIFS('Crosswalk AEO to EPS Summary'!AC:AC,'Crosswalk AEO to EPS Summary'!$D:$D,$B182)*(1-Fraction_coal)*quadrillion*(AA177/SUM(AA$138,AA$177,AA$190))</f>
        <v>8607118006020.2783</v>
      </c>
      <c r="AB182" s="43">
        <f>SUMIFS('Crosswalk AEO to EPS Summary'!AD:AD,'Crosswalk AEO to EPS Summary'!$D:$D,$B182)*(1-Fraction_coal)*quadrillion*(AB177/SUM(AB$138,AB$177,AB$190))</f>
        <v>8669581094972.9512</v>
      </c>
      <c r="AC182" s="43">
        <f>SUMIFS('Crosswalk AEO to EPS Summary'!AE:AE,'Crosswalk AEO to EPS Summary'!$D:$D,$B182)*(1-Fraction_coal)*quadrillion*(AC177/SUM(AC$138,AC$177,AC$190))</f>
        <v>8733177749518.8936</v>
      </c>
      <c r="AD182" s="43">
        <f>SUMIFS('Crosswalk AEO to EPS Summary'!AF:AF,'Crosswalk AEO to EPS Summary'!$D:$D,$B182)*(1-Fraction_coal)*quadrillion*(AD177/SUM(AD$138,AD$177,AD$190))</f>
        <v>8795516667814.7568</v>
      </c>
      <c r="AE182" s="43">
        <f>SUMIFS('Crosswalk AEO to EPS Summary'!AG:AG,'Crosswalk AEO to EPS Summary'!$D:$D,$B182)*(1-Fraction_coal)*quadrillion*(AE177/SUM(AE$138,AE$177,AE$190))</f>
        <v>8854808150187.4648</v>
      </c>
      <c r="AF182" s="43">
        <f>SUMIFS('Crosswalk AEO to EPS Summary'!AH:AH,'Crosswalk AEO to EPS Summary'!$D:$D,$B182)*(1-Fraction_coal)*quadrillion*(AF177/SUM(AF$138,AF$177,AF$190))</f>
        <v>8915086002558.9473</v>
      </c>
    </row>
    <row r="183" spans="2:32" x14ac:dyDescent="0.25">
      <c r="B183" s="53" t="str">
        <f t="shared" si="13"/>
        <v>commercial-appliances-hydrogen (BTU)</v>
      </c>
      <c r="C183" t="s">
        <v>92</v>
      </c>
      <c r="D183" t="s">
        <v>16</v>
      </c>
      <c r="E183" t="s">
        <v>936</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row>
    <row r="185" spans="2:32" x14ac:dyDescent="0.25">
      <c r="B185" s="1" t="s">
        <v>951</v>
      </c>
    </row>
    <row r="186" spans="2:32" x14ac:dyDescent="0.25">
      <c r="E186" t="s">
        <v>915</v>
      </c>
      <c r="F186" s="1">
        <v>2024</v>
      </c>
      <c r="G186" s="1">
        <v>2025</v>
      </c>
      <c r="H186" s="1">
        <v>2026</v>
      </c>
      <c r="I186" s="1">
        <v>2027</v>
      </c>
      <c r="J186" s="1">
        <v>2028</v>
      </c>
      <c r="K186" s="1">
        <v>2029</v>
      </c>
      <c r="L186" s="1">
        <v>2030</v>
      </c>
      <c r="M186" s="1">
        <v>2031</v>
      </c>
      <c r="N186" s="1">
        <v>2032</v>
      </c>
      <c r="O186" s="1">
        <v>2033</v>
      </c>
      <c r="P186" s="1">
        <v>2034</v>
      </c>
      <c r="Q186" s="1">
        <v>2035</v>
      </c>
      <c r="R186" s="1">
        <v>2036</v>
      </c>
      <c r="S186" s="1">
        <v>2037</v>
      </c>
      <c r="T186" s="1">
        <v>2038</v>
      </c>
      <c r="U186" s="1">
        <v>2039</v>
      </c>
      <c r="V186" s="1">
        <v>2040</v>
      </c>
      <c r="W186" s="1">
        <v>2041</v>
      </c>
      <c r="X186" s="1">
        <v>2042</v>
      </c>
      <c r="Y186" s="1">
        <v>2043</v>
      </c>
      <c r="Z186" s="1">
        <v>2044</v>
      </c>
      <c r="AA186" s="1">
        <v>2045</v>
      </c>
      <c r="AB186" s="1">
        <v>2046</v>
      </c>
      <c r="AC186" s="1">
        <v>2047</v>
      </c>
      <c r="AD186" s="1">
        <v>2048</v>
      </c>
      <c r="AE186" s="1">
        <v>2049</v>
      </c>
      <c r="AF186" s="1">
        <v>2050</v>
      </c>
    </row>
    <row r="187" spans="2:32" x14ac:dyDescent="0.25">
      <c r="B187" s="53" t="str">
        <f t="shared" ref="B187:B196" si="14">C187&amp;"-"&amp;D187&amp;"-"&amp;E187</f>
        <v>commercial-other-electricity (BTU)</v>
      </c>
      <c r="C187" t="s">
        <v>92</v>
      </c>
      <c r="D187" t="s">
        <v>34</v>
      </c>
      <c r="E187" s="57" t="s">
        <v>10</v>
      </c>
      <c r="F187">
        <f>SUMIFS('Crosswalk AEO to EPS Summary'!H:H,'Crosswalk AEO to EPS Summary'!$D:$D,$B187)*quadrillion</f>
        <v>2285216000000000</v>
      </c>
      <c r="G187">
        <f>SUMIFS('Crosswalk AEO to EPS Summary'!I:I,'Crosswalk AEO to EPS Summary'!$D:$D,$B187)*quadrillion</f>
        <v>1914873935793979.3</v>
      </c>
      <c r="H187">
        <f>SUMIFS('Crosswalk AEO to EPS Summary'!J:J,'Crosswalk AEO to EPS Summary'!$D:$D,$B187)*quadrillion</f>
        <v>1954927285857274.8</v>
      </c>
      <c r="I187">
        <f>SUMIFS('Crosswalk AEO to EPS Summary'!K:K,'Crosswalk AEO to EPS Summary'!$D:$D,$B187)*quadrillion</f>
        <v>1947211494988552.3</v>
      </c>
      <c r="J187">
        <f>SUMIFS('Crosswalk AEO to EPS Summary'!L:L,'Crosswalk AEO to EPS Summary'!$D:$D,$B187)*quadrillion</f>
        <v>1935347884302795.3</v>
      </c>
      <c r="K187">
        <f>SUMIFS('Crosswalk AEO to EPS Summary'!M:M,'Crosswalk AEO to EPS Summary'!$D:$D,$B187)*quadrillion</f>
        <v>1925223165667928.8</v>
      </c>
      <c r="L187">
        <f>SUMIFS('Crosswalk AEO to EPS Summary'!N:N,'Crosswalk AEO to EPS Summary'!$D:$D,$B187)*quadrillion</f>
        <v>1918846541037535.8</v>
      </c>
      <c r="M187">
        <f>SUMIFS('Crosswalk AEO to EPS Summary'!O:O,'Crosswalk AEO to EPS Summary'!$D:$D,$B187)*quadrillion</f>
        <v>1912204338425131.3</v>
      </c>
      <c r="N187">
        <f>SUMIFS('Crosswalk AEO to EPS Summary'!P:P,'Crosswalk AEO to EPS Summary'!$D:$D,$B187)*quadrillion</f>
        <v>1905305926149572</v>
      </c>
      <c r="O187">
        <f>SUMIFS('Crosswalk AEO to EPS Summary'!Q:Q,'Crosswalk AEO to EPS Summary'!$D:$D,$B187)*quadrillion</f>
        <v>1898521055557632.5</v>
      </c>
      <c r="P187">
        <f>SUMIFS('Crosswalk AEO to EPS Summary'!R:R,'Crosswalk AEO to EPS Summary'!$D:$D,$B187)*quadrillion</f>
        <v>1891861102221696.8</v>
      </c>
      <c r="Q187">
        <f>SUMIFS('Crosswalk AEO to EPS Summary'!S:S,'Crosswalk AEO to EPS Summary'!$D:$D,$B187)*quadrillion</f>
        <v>1885362560997558</v>
      </c>
      <c r="R187">
        <f>SUMIFS('Crosswalk AEO to EPS Summary'!T:T,'Crosswalk AEO to EPS Summary'!$D:$D,$B187)*quadrillion</f>
        <v>1878932093512181.5</v>
      </c>
      <c r="S187">
        <f>SUMIFS('Crosswalk AEO to EPS Summary'!U:U,'Crosswalk AEO to EPS Summary'!$D:$D,$B187)*quadrillion</f>
        <v>1872799556509517.8</v>
      </c>
      <c r="T187">
        <f>SUMIFS('Crosswalk AEO to EPS Summary'!V:V,'Crosswalk AEO to EPS Summary'!$D:$D,$B187)*quadrillion</f>
        <v>1866791731723155.3</v>
      </c>
      <c r="U187">
        <f>SUMIFS('Crosswalk AEO to EPS Summary'!W:W,'Crosswalk AEO to EPS Summary'!$D:$D,$B187)*quadrillion</f>
        <v>1861216632807084.8</v>
      </c>
      <c r="V187">
        <f>SUMIFS('Crosswalk AEO to EPS Summary'!X:X,'Crosswalk AEO to EPS Summary'!$D:$D,$B187)*quadrillion</f>
        <v>1855506454566518.5</v>
      </c>
      <c r="W187">
        <f>SUMIFS('Crosswalk AEO to EPS Summary'!Y:Y,'Crosswalk AEO to EPS Summary'!$D:$D,$B187)*quadrillion</f>
        <v>1849266951732193.3</v>
      </c>
      <c r="X187">
        <f>SUMIFS('Crosswalk AEO to EPS Summary'!Z:Z,'Crosswalk AEO to EPS Summary'!$D:$D,$B187)*quadrillion</f>
        <v>1843158165577327.3</v>
      </c>
      <c r="Y187">
        <f>SUMIFS('Crosswalk AEO to EPS Summary'!AA:AA,'Crosswalk AEO to EPS Summary'!$D:$D,$B187)*quadrillion</f>
        <v>1836522338769627</v>
      </c>
      <c r="Z187">
        <f>SUMIFS('Crosswalk AEO to EPS Summary'!AB:AB,'Crosswalk AEO to EPS Summary'!$D:$D,$B187)*quadrillion</f>
        <v>1829896240437108.8</v>
      </c>
      <c r="AA187">
        <f>SUMIFS('Crosswalk AEO to EPS Summary'!AC:AC,'Crosswalk AEO to EPS Summary'!$D:$D,$B187)*quadrillion</f>
        <v>1823294233200645</v>
      </c>
      <c r="AB187">
        <f>SUMIFS('Crosswalk AEO to EPS Summary'!AD:AD,'Crosswalk AEO to EPS Summary'!$D:$D,$B187)*quadrillion</f>
        <v>1817224674788984.3</v>
      </c>
      <c r="AC187">
        <f>SUMIFS('Crosswalk AEO to EPS Summary'!AE:AE,'Crosswalk AEO to EPS Summary'!$D:$D,$B187)*quadrillion</f>
        <v>1811516908925275.3</v>
      </c>
      <c r="AD187">
        <f>SUMIFS('Crosswalk AEO to EPS Summary'!AF:AF,'Crosswalk AEO to EPS Summary'!$D:$D,$B187)*quadrillion</f>
        <v>1806059572774520</v>
      </c>
      <c r="AE187">
        <f>SUMIFS('Crosswalk AEO to EPS Summary'!AG:AG,'Crosswalk AEO to EPS Summary'!$D:$D,$B187)*quadrillion</f>
        <v>1800352749739938.5</v>
      </c>
      <c r="AF187">
        <f>SUMIFS('Crosswalk AEO to EPS Summary'!AH:AH,'Crosswalk AEO to EPS Summary'!$D:$D,$B187)*quadrillion</f>
        <v>1794913077973062</v>
      </c>
    </row>
    <row r="188" spans="2:32" x14ac:dyDescent="0.25">
      <c r="B188" s="53" t="str">
        <f t="shared" si="14"/>
        <v>commercial-other-coal (BTU)</v>
      </c>
      <c r="C188" t="s">
        <v>92</v>
      </c>
      <c r="D188" t="s">
        <v>34</v>
      </c>
      <c r="E188" t="s">
        <v>932</v>
      </c>
      <c r="F188" s="43">
        <f>SUMIFS('Crosswalk AEO to EPS Summary'!H:H,'Crosswalk AEO to EPS Summary'!$D:$D,$B195)*(Fraction_coal)*quadrillion</f>
        <v>26136440000000</v>
      </c>
      <c r="G188" s="43">
        <f>SUMIFS('Crosswalk AEO to EPS Summary'!I:I,'Crosswalk AEO to EPS Summary'!$D:$D,$B195)*(Fraction_coal)*quadrillion</f>
        <v>25921960000000</v>
      </c>
      <c r="H188" s="43">
        <f>SUMIFS('Crosswalk AEO to EPS Summary'!J:J,'Crosswalk AEO to EPS Summary'!$D:$D,$B195)*(Fraction_coal)*quadrillion</f>
        <v>26443760000000</v>
      </c>
      <c r="I188" s="43">
        <f>SUMIFS('Crosswalk AEO to EPS Summary'!K:K,'Crosswalk AEO to EPS Summary'!$D:$D,$B195)*(Fraction_coal)*quadrillion</f>
        <v>26726359999999.996</v>
      </c>
      <c r="J188" s="43">
        <f>SUMIFS('Crosswalk AEO to EPS Summary'!L:L,'Crosswalk AEO to EPS Summary'!$D:$D,$B195)*(Fraction_coal)*quadrillion</f>
        <v>27012400000000</v>
      </c>
      <c r="K188" s="43">
        <f>SUMIFS('Crosswalk AEO to EPS Summary'!M:M,'Crosswalk AEO to EPS Summary'!$D:$D,$B195)*(Fraction_coal)*quadrillion</f>
        <v>27300600000000</v>
      </c>
      <c r="L188" s="43">
        <f>SUMIFS('Crosswalk AEO to EPS Summary'!N:N,'Crosswalk AEO to EPS Summary'!$D:$D,$B195)*(Fraction_coal)*quadrillion</f>
        <v>27623440000000.004</v>
      </c>
      <c r="M188" s="43">
        <f>SUMIFS('Crosswalk AEO to EPS Summary'!O:O,'Crosswalk AEO to EPS Summary'!$D:$D,$B195)*(Fraction_coal)*quadrillion</f>
        <v>27916680000000</v>
      </c>
      <c r="N188" s="43">
        <f>SUMIFS('Crosswalk AEO to EPS Summary'!P:P,'Crosswalk AEO to EPS Summary'!$D:$D,$B195)*(Fraction_coal)*quadrillion</f>
        <v>28238040000000</v>
      </c>
      <c r="O188" s="43">
        <f>SUMIFS('Crosswalk AEO to EPS Summary'!Q:Q,'Crosswalk AEO to EPS Summary'!$D:$D,$B195)*(Fraction_coal)*quadrillion</f>
        <v>28558840000000.004</v>
      </c>
      <c r="P188" s="43">
        <f>SUMIFS('Crosswalk AEO to EPS Summary'!R:R,'Crosswalk AEO to EPS Summary'!$D:$D,$B195)*(Fraction_coal)*quadrillion</f>
        <v>28906280000000</v>
      </c>
      <c r="Q188" s="43">
        <f>SUMIFS('Crosswalk AEO to EPS Summary'!S:S,'Crosswalk AEO to EPS Summary'!$D:$D,$B195)*(Fraction_coal)*quadrillion</f>
        <v>29253200000000.004</v>
      </c>
      <c r="R188" s="43">
        <f>SUMIFS('Crosswalk AEO to EPS Summary'!T:T,'Crosswalk AEO to EPS Summary'!$D:$D,$B195)*(Fraction_coal)*quadrillion</f>
        <v>29621400000000.004</v>
      </c>
      <c r="S188" s="43">
        <f>SUMIFS('Crosswalk AEO to EPS Summary'!U:U,'Crosswalk AEO to EPS Summary'!$D:$D,$B195)*(Fraction_coal)*quadrillion</f>
        <v>29992920000000.004</v>
      </c>
      <c r="T188" s="43">
        <f>SUMIFS('Crosswalk AEO to EPS Summary'!V:V,'Crosswalk AEO to EPS Summary'!$D:$D,$B195)*(Fraction_coal)*quadrillion</f>
        <v>30356120000000</v>
      </c>
      <c r="U188" s="43">
        <f>SUMIFS('Crosswalk AEO to EPS Summary'!W:W,'Crosswalk AEO to EPS Summary'!$D:$D,$B195)*(Fraction_coal)*quadrillion</f>
        <v>30714440000000.004</v>
      </c>
      <c r="V188" s="43">
        <f>SUMIFS('Crosswalk AEO to EPS Summary'!X:X,'Crosswalk AEO to EPS Summary'!$D:$D,$B195)*(Fraction_coal)*quadrillion</f>
        <v>31061240000000</v>
      </c>
      <c r="W188" s="43">
        <f>SUMIFS('Crosswalk AEO to EPS Summary'!Y:Y,'Crosswalk AEO to EPS Summary'!$D:$D,$B195)*(Fraction_coal)*quadrillion</f>
        <v>31388720000000</v>
      </c>
      <c r="X188" s="43">
        <f>SUMIFS('Crosswalk AEO to EPS Summary'!Z:Z,'Crosswalk AEO to EPS Summary'!$D:$D,$B195)*(Fraction_coal)*quadrillion</f>
        <v>31706960000000</v>
      </c>
      <c r="Y188" s="43">
        <f>SUMIFS('Crosswalk AEO to EPS Summary'!AA:AA,'Crosswalk AEO to EPS Summary'!$D:$D,$B195)*(Fraction_coal)*quadrillion</f>
        <v>32015720000000.004</v>
      </c>
      <c r="Z188" s="43">
        <f>SUMIFS('Crosswalk AEO to EPS Summary'!AB:AB,'Crosswalk AEO to EPS Summary'!$D:$D,$B195)*(Fraction_coal)*quadrillion</f>
        <v>32317520000000.004</v>
      </c>
      <c r="AA188" s="43">
        <f>SUMIFS('Crosswalk AEO to EPS Summary'!AC:AC,'Crosswalk AEO to EPS Summary'!$D:$D,$B195)*(Fraction_coal)*quadrillion</f>
        <v>32612520000000</v>
      </c>
      <c r="AB188" s="43">
        <f>SUMIFS('Crosswalk AEO to EPS Summary'!AD:AD,'Crosswalk AEO to EPS Summary'!$D:$D,$B195)*(Fraction_coal)*quadrillion</f>
        <v>32906720000000</v>
      </c>
      <c r="AC188" s="43">
        <f>SUMIFS('Crosswalk AEO to EPS Summary'!AE:AE,'Crosswalk AEO to EPS Summary'!$D:$D,$B195)*(Fraction_coal)*quadrillion</f>
        <v>33196160000000.004</v>
      </c>
      <c r="AD188" s="43">
        <f>SUMIFS('Crosswalk AEO to EPS Summary'!AF:AF,'Crosswalk AEO to EPS Summary'!$D:$D,$B195)*(Fraction_coal)*quadrillion</f>
        <v>33484479999999.996</v>
      </c>
      <c r="AE188" s="43">
        <f>SUMIFS('Crosswalk AEO to EPS Summary'!AG:AG,'Crosswalk AEO to EPS Summary'!$D:$D,$B195)*(Fraction_coal)*quadrillion</f>
        <v>33771800000000.004</v>
      </c>
      <c r="AF188" s="43">
        <f>SUMIFS('Crosswalk AEO to EPS Summary'!AH:AH,'Crosswalk AEO to EPS Summary'!$D:$D,$B195)*(Fraction_coal)*quadrillion</f>
        <v>34060359999999.996</v>
      </c>
    </row>
    <row r="189" spans="2:32" x14ac:dyDescent="0.25">
      <c r="B189" s="53" t="str">
        <f t="shared" si="14"/>
        <v>commercial-other-natural gas (BTU)</v>
      </c>
      <c r="C189" t="s">
        <v>92</v>
      </c>
      <c r="D189" t="s">
        <v>34</v>
      </c>
      <c r="E189" t="s">
        <v>53</v>
      </c>
      <c r="F189">
        <f>SUMIFS('Crosswalk AEO to EPS Summary'!H:H,'Crosswalk AEO to EPS Summary'!$D:$D,$B189)*quadrillion</f>
        <v>1200143000000000</v>
      </c>
      <c r="G189">
        <f>SUMIFS('Crosswalk AEO to EPS Summary'!I:I,'Crosswalk AEO to EPS Summary'!$D:$D,$B189)*quadrillion</f>
        <v>1267356000000000</v>
      </c>
      <c r="H189">
        <f>SUMIFS('Crosswalk AEO to EPS Summary'!J:J,'Crosswalk AEO to EPS Summary'!$D:$D,$B189)*quadrillion</f>
        <v>1194333000000000</v>
      </c>
      <c r="I189">
        <f>SUMIFS('Crosswalk AEO to EPS Summary'!K:K,'Crosswalk AEO to EPS Summary'!$D:$D,$B189)*quadrillion</f>
        <v>1199043000000000</v>
      </c>
      <c r="J189">
        <f>SUMIFS('Crosswalk AEO to EPS Summary'!L:L,'Crosswalk AEO to EPS Summary'!$D:$D,$B189)*quadrillion</f>
        <v>1197086000000000</v>
      </c>
      <c r="K189">
        <f>SUMIFS('Crosswalk AEO to EPS Summary'!M:M,'Crosswalk AEO to EPS Summary'!$D:$D,$B189)*quadrillion</f>
        <v>1188333000000000</v>
      </c>
      <c r="L189">
        <f>SUMIFS('Crosswalk AEO to EPS Summary'!N:N,'Crosswalk AEO to EPS Summary'!$D:$D,$B189)*quadrillion</f>
        <v>1177144000000000</v>
      </c>
      <c r="M189">
        <f>SUMIFS('Crosswalk AEO to EPS Summary'!O:O,'Crosswalk AEO to EPS Summary'!$D:$D,$B189)*quadrillion</f>
        <v>1166085000000000</v>
      </c>
      <c r="N189">
        <f>SUMIFS('Crosswalk AEO to EPS Summary'!P:P,'Crosswalk AEO to EPS Summary'!$D:$D,$B189)*quadrillion</f>
        <v>1160668000000000</v>
      </c>
      <c r="O189">
        <f>SUMIFS('Crosswalk AEO to EPS Summary'!Q:Q,'Crosswalk AEO to EPS Summary'!$D:$D,$B189)*quadrillion</f>
        <v>1157207000000000</v>
      </c>
      <c r="P189">
        <f>SUMIFS('Crosswalk AEO to EPS Summary'!R:R,'Crosswalk AEO to EPS Summary'!$D:$D,$B189)*quadrillion</f>
        <v>1156334000000000</v>
      </c>
      <c r="Q189">
        <f>SUMIFS('Crosswalk AEO to EPS Summary'!S:S,'Crosswalk AEO to EPS Summary'!$D:$D,$B189)*quadrillion</f>
        <v>1155312000000000</v>
      </c>
      <c r="R189">
        <f>SUMIFS('Crosswalk AEO to EPS Summary'!T:T,'Crosswalk AEO to EPS Summary'!$D:$D,$B189)*quadrillion</f>
        <v>1155334000000000</v>
      </c>
      <c r="S189">
        <f>SUMIFS('Crosswalk AEO to EPS Summary'!U:U,'Crosswalk AEO to EPS Summary'!$D:$D,$B189)*quadrillion</f>
        <v>1155167000000000</v>
      </c>
      <c r="T189">
        <f>SUMIFS('Crosswalk AEO to EPS Summary'!V:V,'Crosswalk AEO to EPS Summary'!$D:$D,$B189)*quadrillion</f>
        <v>1155125000000000</v>
      </c>
      <c r="U189">
        <f>SUMIFS('Crosswalk AEO to EPS Summary'!W:W,'Crosswalk AEO to EPS Summary'!$D:$D,$B189)*quadrillion</f>
        <v>1154979000000000</v>
      </c>
      <c r="V189">
        <f>SUMIFS('Crosswalk AEO to EPS Summary'!X:X,'Crosswalk AEO to EPS Summary'!$D:$D,$B189)*quadrillion</f>
        <v>1155163000000000</v>
      </c>
      <c r="W189">
        <f>SUMIFS('Crosswalk AEO to EPS Summary'!Y:Y,'Crosswalk AEO to EPS Summary'!$D:$D,$B189)*quadrillion</f>
        <v>1155525000000000</v>
      </c>
      <c r="X189">
        <f>SUMIFS('Crosswalk AEO to EPS Summary'!Z:Z,'Crosswalk AEO to EPS Summary'!$D:$D,$B189)*quadrillion</f>
        <v>1157366000000000</v>
      </c>
      <c r="Y189">
        <f>SUMIFS('Crosswalk AEO to EPS Summary'!AA:AA,'Crosswalk AEO to EPS Summary'!$D:$D,$B189)*quadrillion</f>
        <v>1159725000000000</v>
      </c>
      <c r="Z189">
        <f>SUMIFS('Crosswalk AEO to EPS Summary'!AB:AB,'Crosswalk AEO to EPS Summary'!$D:$D,$B189)*quadrillion</f>
        <v>1162961000000000</v>
      </c>
      <c r="AA189">
        <f>SUMIFS('Crosswalk AEO to EPS Summary'!AC:AC,'Crosswalk AEO to EPS Summary'!$D:$D,$B189)*quadrillion</f>
        <v>1165869000000000</v>
      </c>
      <c r="AB189">
        <f>SUMIFS('Crosswalk AEO to EPS Summary'!AD:AD,'Crosswalk AEO to EPS Summary'!$D:$D,$B189)*quadrillion</f>
        <v>1167382000000000</v>
      </c>
      <c r="AC189">
        <f>SUMIFS('Crosswalk AEO to EPS Summary'!AE:AE,'Crosswalk AEO to EPS Summary'!$D:$D,$B189)*quadrillion</f>
        <v>1168018000000000</v>
      </c>
      <c r="AD189">
        <f>SUMIFS('Crosswalk AEO to EPS Summary'!AF:AF,'Crosswalk AEO to EPS Summary'!$D:$D,$B189)*quadrillion</f>
        <v>1168420000000000</v>
      </c>
      <c r="AE189">
        <f>SUMIFS('Crosswalk AEO to EPS Summary'!AG:AG,'Crosswalk AEO to EPS Summary'!$D:$D,$B189)*quadrillion</f>
        <v>1168869000000000</v>
      </c>
      <c r="AF189">
        <f>SUMIFS('Crosswalk AEO to EPS Summary'!AH:AH,'Crosswalk AEO to EPS Summary'!$D:$D,$B189)*quadrillion</f>
        <v>1169652000000000</v>
      </c>
    </row>
    <row r="190" spans="2:32" x14ac:dyDescent="0.25">
      <c r="B190" s="53" t="str">
        <f t="shared" si="14"/>
        <v>commercial-other-petroleum diesel (BTU)</v>
      </c>
      <c r="C190" t="s">
        <v>92</v>
      </c>
      <c r="D190" t="s">
        <v>34</v>
      </c>
      <c r="E190" t="s">
        <v>68</v>
      </c>
      <c r="F190">
        <f>SUMIFS('Crosswalk AEO to EPS Summary'!H:H,'Crosswalk AEO to EPS Summary'!$D:$D,$B190)*quadrillion</f>
        <v>235269000000000</v>
      </c>
      <c r="G190">
        <f>SUMIFS('Crosswalk AEO to EPS Summary'!I:I,'Crosswalk AEO to EPS Summary'!$D:$D,$B190)*quadrillion</f>
        <v>237124000000000</v>
      </c>
      <c r="H190">
        <f>SUMIFS('Crosswalk AEO to EPS Summary'!J:J,'Crosswalk AEO to EPS Summary'!$D:$D,$B190)*quadrillion</f>
        <v>242392000000000</v>
      </c>
      <c r="I190">
        <f>SUMIFS('Crosswalk AEO to EPS Summary'!K:K,'Crosswalk AEO to EPS Summary'!$D:$D,$B190)*quadrillion</f>
        <v>250526000000000.03</v>
      </c>
      <c r="J190">
        <f>SUMIFS('Crosswalk AEO to EPS Summary'!L:L,'Crosswalk AEO to EPS Summary'!$D:$D,$B190)*quadrillion</f>
        <v>252410000000000.03</v>
      </c>
      <c r="K190">
        <f>SUMIFS('Crosswalk AEO to EPS Summary'!M:M,'Crosswalk AEO to EPS Summary'!$D:$D,$B190)*quadrillion</f>
        <v>253940999999999.97</v>
      </c>
      <c r="L190">
        <f>SUMIFS('Crosswalk AEO to EPS Summary'!N:N,'Crosswalk AEO to EPS Summary'!$D:$D,$B190)*quadrillion</f>
        <v>256359000000000</v>
      </c>
      <c r="M190">
        <f>SUMIFS('Crosswalk AEO to EPS Summary'!O:O,'Crosswalk AEO to EPS Summary'!$D:$D,$B190)*quadrillion</f>
        <v>258467999999999.97</v>
      </c>
      <c r="N190">
        <f>SUMIFS('Crosswalk AEO to EPS Summary'!P:P,'Crosswalk AEO to EPS Summary'!$D:$D,$B190)*quadrillion</f>
        <v>259218999999999.97</v>
      </c>
      <c r="O190">
        <f>SUMIFS('Crosswalk AEO to EPS Summary'!Q:Q,'Crosswalk AEO to EPS Summary'!$D:$D,$B190)*quadrillion</f>
        <v>258164000000000</v>
      </c>
      <c r="P190">
        <f>SUMIFS('Crosswalk AEO to EPS Summary'!R:R,'Crosswalk AEO to EPS Summary'!$D:$D,$B190)*quadrillion</f>
        <v>257158000000000</v>
      </c>
      <c r="Q190">
        <f>SUMIFS('Crosswalk AEO to EPS Summary'!S:S,'Crosswalk AEO to EPS Summary'!$D:$D,$B190)*quadrillion</f>
        <v>256193000000000</v>
      </c>
      <c r="R190">
        <f>SUMIFS('Crosswalk AEO to EPS Summary'!T:T,'Crosswalk AEO to EPS Summary'!$D:$D,$B190)*quadrillion</f>
        <v>255626000000000.03</v>
      </c>
      <c r="S190">
        <f>SUMIFS('Crosswalk AEO to EPS Summary'!U:U,'Crosswalk AEO to EPS Summary'!$D:$D,$B190)*quadrillion</f>
        <v>254962000000000.03</v>
      </c>
      <c r="T190">
        <f>SUMIFS('Crosswalk AEO to EPS Summary'!V:V,'Crosswalk AEO to EPS Summary'!$D:$D,$B190)*quadrillion</f>
        <v>254280000000000</v>
      </c>
      <c r="U190">
        <f>SUMIFS('Crosswalk AEO to EPS Summary'!W:W,'Crosswalk AEO to EPS Summary'!$D:$D,$B190)*quadrillion</f>
        <v>253747999999999.97</v>
      </c>
      <c r="V190">
        <f>SUMIFS('Crosswalk AEO to EPS Summary'!X:X,'Crosswalk AEO to EPS Summary'!$D:$D,$B190)*quadrillion</f>
        <v>253289000000000</v>
      </c>
      <c r="W190">
        <f>SUMIFS('Crosswalk AEO to EPS Summary'!Y:Y,'Crosswalk AEO to EPS Summary'!$D:$D,$B190)*quadrillion</f>
        <v>252780000000000</v>
      </c>
      <c r="X190">
        <f>SUMIFS('Crosswalk AEO to EPS Summary'!Z:Z,'Crosswalk AEO to EPS Summary'!$D:$D,$B190)*quadrillion</f>
        <v>252305999999999.97</v>
      </c>
      <c r="Y190">
        <f>SUMIFS('Crosswalk AEO to EPS Summary'!AA:AA,'Crosswalk AEO to EPS Summary'!$D:$D,$B190)*quadrillion</f>
        <v>251799000000000</v>
      </c>
      <c r="Z190">
        <f>SUMIFS('Crosswalk AEO to EPS Summary'!AB:AB,'Crosswalk AEO to EPS Summary'!$D:$D,$B190)*quadrillion</f>
        <v>251265000000000.03</v>
      </c>
      <c r="AA190">
        <f>SUMIFS('Crosswalk AEO to EPS Summary'!AC:AC,'Crosswalk AEO to EPS Summary'!$D:$D,$B190)*quadrillion</f>
        <v>250630000000000.03</v>
      </c>
      <c r="AB190">
        <f>SUMIFS('Crosswalk AEO to EPS Summary'!AD:AD,'Crosswalk AEO to EPS Summary'!$D:$D,$B190)*quadrillion</f>
        <v>249962000000000</v>
      </c>
      <c r="AC190">
        <f>SUMIFS('Crosswalk AEO to EPS Summary'!AE:AE,'Crosswalk AEO to EPS Summary'!$D:$D,$B190)*quadrillion</f>
        <v>249195000000000</v>
      </c>
      <c r="AD190">
        <f>SUMIFS('Crosswalk AEO to EPS Summary'!AF:AF,'Crosswalk AEO to EPS Summary'!$D:$D,$B190)*quadrillion</f>
        <v>248498000000000</v>
      </c>
      <c r="AE190">
        <f>SUMIFS('Crosswalk AEO to EPS Summary'!AG:AG,'Crosswalk AEO to EPS Summary'!$D:$D,$B190)*quadrillion</f>
        <v>247697000000000</v>
      </c>
      <c r="AF190">
        <f>SUMIFS('Crosswalk AEO to EPS Summary'!AH:AH,'Crosswalk AEO to EPS Summary'!$D:$D,$B190)*quadrillion</f>
        <v>247076000000000</v>
      </c>
    </row>
    <row r="191" spans="2:32" x14ac:dyDescent="0.25">
      <c r="B191" s="53" t="str">
        <f t="shared" si="14"/>
        <v>commercial-other-heat (BTU)</v>
      </c>
      <c r="C191" t="s">
        <v>92</v>
      </c>
      <c r="D191" t="s">
        <v>34</v>
      </c>
      <c r="E191" t="s">
        <v>933</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row>
    <row r="192" spans="2:32" x14ac:dyDescent="0.25">
      <c r="B192" s="53" t="str">
        <f t="shared" si="14"/>
        <v>commercial-other-biomass (BTU)</v>
      </c>
      <c r="C192" t="s">
        <v>92</v>
      </c>
      <c r="D192" t="s">
        <v>34</v>
      </c>
      <c r="E192" t="s">
        <v>88</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row>
    <row r="193" spans="2:32" x14ac:dyDescent="0.25">
      <c r="B193" s="53" t="str">
        <f t="shared" si="14"/>
        <v>commercial-other-kerosene (BTU)</v>
      </c>
      <c r="C193" t="s">
        <v>92</v>
      </c>
      <c r="D193" t="s">
        <v>34</v>
      </c>
      <c r="E193" t="s">
        <v>934</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row>
    <row r="194" spans="2:32" x14ac:dyDescent="0.25">
      <c r="B194" s="53" t="str">
        <f t="shared" si="14"/>
        <v>commercial-other-heavy or residual fuel oil (BTU)</v>
      </c>
      <c r="C194" t="s">
        <v>92</v>
      </c>
      <c r="D194" t="s">
        <v>34</v>
      </c>
      <c r="E194" t="s">
        <v>935</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row>
    <row r="195" spans="2:32" x14ac:dyDescent="0.25">
      <c r="B195" s="53" t="str">
        <f t="shared" si="14"/>
        <v>commercial-other-LPG propane or butane (BTU)</v>
      </c>
      <c r="C195" t="s">
        <v>92</v>
      </c>
      <c r="D195" t="s">
        <v>34</v>
      </c>
      <c r="E195" t="s">
        <v>77</v>
      </c>
      <c r="F195" s="43">
        <f>SUMIFS('Crosswalk AEO to EPS Summary'!H:H,'Crosswalk AEO to EPS Summary'!$D:$D,$B195)*(1-Fraction_coal)*quadrillion*(F190/SUM(F$138,F$177,F$190))</f>
        <v>478708782994381.69</v>
      </c>
      <c r="G195" s="43">
        <f>SUMIFS('Crosswalk AEO to EPS Summary'!I:I,'Crosswalk AEO to EPS Summary'!$D:$D,$B195)*(1-Fraction_coal)*quadrillion*(G190/SUM(G$138,G$177,G$190))</f>
        <v>467697838542134.31</v>
      </c>
      <c r="H195" s="43">
        <f>SUMIFS('Crosswalk AEO to EPS Summary'!J:J,'Crosswalk AEO to EPS Summary'!$D:$D,$B195)*(1-Fraction_coal)*quadrillion*(H190/SUM(H$138,H$177,H$190))</f>
        <v>482255315932775.06</v>
      </c>
      <c r="I195" s="43">
        <f>SUMIFS('Crosswalk AEO to EPS Summary'!K:K,'Crosswalk AEO to EPS Summary'!$D:$D,$B195)*(1-Fraction_coal)*quadrillion*(I190/SUM(I$138,I$177,I$190))</f>
        <v>492259197012176.56</v>
      </c>
      <c r="J195" s="43">
        <f>SUMIFS('Crosswalk AEO to EPS Summary'!L:L,'Crosswalk AEO to EPS Summary'!$D:$D,$B195)*(1-Fraction_coal)*quadrillion*(J190/SUM(J$138,J$177,J$190))</f>
        <v>499663496784673.88</v>
      </c>
      <c r="K195" s="43">
        <f>SUMIFS('Crosswalk AEO to EPS Summary'!M:M,'Crosswalk AEO to EPS Summary'!$D:$D,$B195)*(1-Fraction_coal)*quadrillion*(K190/SUM(K$138,K$177,K$190))</f>
        <v>507399083158950.81</v>
      </c>
      <c r="L195" s="43">
        <f>SUMIFS('Crosswalk AEO to EPS Summary'!N:N,'Crosswalk AEO to EPS Summary'!$D:$D,$B195)*(1-Fraction_coal)*quadrillion*(L190/SUM(L$138,L$177,L$190))</f>
        <v>515827581146948.44</v>
      </c>
      <c r="M195" s="43">
        <f>SUMIFS('Crosswalk AEO to EPS Summary'!O:O,'Crosswalk AEO to EPS Summary'!$D:$D,$B195)*(1-Fraction_coal)*quadrillion*(M190/SUM(M$138,M$177,M$190))</f>
        <v>523578662765714.25</v>
      </c>
      <c r="N195" s="43">
        <f>SUMIFS('Crosswalk AEO to EPS Summary'!P:P,'Crosswalk AEO to EPS Summary'!$D:$D,$B195)*(1-Fraction_coal)*quadrillion*(N190/SUM(N$138,N$177,N$190))</f>
        <v>531839245146313.38</v>
      </c>
      <c r="O195" s="43">
        <f>SUMIFS('Crosswalk AEO to EPS Summary'!Q:Q,'Crosswalk AEO to EPS Summary'!$D:$D,$B195)*(1-Fraction_coal)*quadrillion*(O190/SUM(O$138,O$177,O$190))</f>
        <v>539892676306918.75</v>
      </c>
      <c r="P195" s="43">
        <f>SUMIFS('Crosswalk AEO to EPS Summary'!R:R,'Crosswalk AEO to EPS Summary'!$D:$D,$B195)*(1-Fraction_coal)*quadrillion*(P190/SUM(P$138,P$177,P$190))</f>
        <v>548517119769774.88</v>
      </c>
      <c r="Q195" s="43">
        <f>SUMIFS('Crosswalk AEO to EPS Summary'!S:S,'Crosswalk AEO to EPS Summary'!$D:$D,$B195)*(1-Fraction_coal)*quadrillion*(Q190/SUM(Q$138,Q$177,Q$190))</f>
        <v>557202394091770.88</v>
      </c>
      <c r="R195" s="43">
        <f>SUMIFS('Crosswalk AEO to EPS Summary'!T:T,'Crosswalk AEO to EPS Summary'!$D:$D,$B195)*(1-Fraction_coal)*quadrillion*(R190/SUM(R$138,R$177,R$190))</f>
        <v>566360207914731.88</v>
      </c>
      <c r="S195" s="43">
        <f>SUMIFS('Crosswalk AEO to EPS Summary'!U:U,'Crosswalk AEO to EPS Summary'!$D:$D,$B195)*(1-Fraction_coal)*quadrillion*(S190/SUM(S$138,S$177,S$190))</f>
        <v>575588643292280.25</v>
      </c>
      <c r="T195" s="43">
        <f>SUMIFS('Crosswalk AEO to EPS Summary'!V:V,'Crosswalk AEO to EPS Summary'!$D:$D,$B195)*(1-Fraction_coal)*quadrillion*(T190/SUM(T$138,T$177,T$190))</f>
        <v>584695431910112.38</v>
      </c>
      <c r="U195" s="43">
        <f>SUMIFS('Crosswalk AEO to EPS Summary'!W:W,'Crosswalk AEO to EPS Summary'!$D:$D,$B195)*(1-Fraction_coal)*quadrillion*(U190/SUM(U$138,U$177,U$190))</f>
        <v>593762587316775.88</v>
      </c>
      <c r="V195" s="43">
        <f>SUMIFS('Crosswalk AEO to EPS Summary'!X:X,'Crosswalk AEO to EPS Summary'!$D:$D,$B195)*(1-Fraction_coal)*quadrillion*(V190/SUM(V$138,V$177,V$190))</f>
        <v>602673099333999.38</v>
      </c>
      <c r="W195" s="43">
        <f>SUMIFS('Crosswalk AEO to EPS Summary'!Y:Y,'Crosswalk AEO to EPS Summary'!$D:$D,$B195)*(1-Fraction_coal)*quadrillion*(W190/SUM(W$138,W$177,W$190))</f>
        <v>611205503286375.88</v>
      </c>
      <c r="X195" s="43">
        <f>SUMIFS('Crosswalk AEO to EPS Summary'!Z:Z,'Crosswalk AEO to EPS Summary'!$D:$D,$B195)*(1-Fraction_coal)*quadrillion*(X190/SUM(X$138,X$177,X$190))</f>
        <v>619575550832698.5</v>
      </c>
      <c r="Y195" s="43">
        <f>SUMIFS('Crosswalk AEO to EPS Summary'!AA:AA,'Crosswalk AEO to EPS Summary'!$D:$D,$B195)*(1-Fraction_coal)*quadrillion*(Y190/SUM(Y$138,Y$177,Y$190))</f>
        <v>627816203595111.88</v>
      </c>
      <c r="Z195" s="43">
        <f>SUMIFS('Crosswalk AEO to EPS Summary'!AB:AB,'Crosswalk AEO to EPS Summary'!$D:$D,$B195)*(1-Fraction_coal)*quadrillion*(Z190/SUM(Z$138,Z$177,Z$190))</f>
        <v>635937674070255.13</v>
      </c>
      <c r="AA195" s="43">
        <f>SUMIFS('Crosswalk AEO to EPS Summary'!AC:AC,'Crosswalk AEO to EPS Summary'!$D:$D,$B195)*(1-Fraction_coal)*quadrillion*(AA190/SUM(AA$138,AA$177,AA$190))</f>
        <v>643940891298167.88</v>
      </c>
      <c r="AB195" s="43">
        <f>SUMIFS('Crosswalk AEO to EPS Summary'!AD:AD,'Crosswalk AEO to EPS Summary'!$D:$D,$B195)*(1-Fraction_coal)*quadrillion*(AB190/SUM(AB$138,AB$177,AB$190))</f>
        <v>651945195445736.75</v>
      </c>
      <c r="AC195" s="43">
        <f>SUMIFS('Crosswalk AEO to EPS Summary'!AE:AE,'Crosswalk AEO to EPS Summary'!$D:$D,$B195)*(1-Fraction_coal)*quadrillion*(AC190/SUM(AC$138,AC$177,AC$190))</f>
        <v>659873932471607.25</v>
      </c>
      <c r="AD195" s="43">
        <f>SUMIFS('Crosswalk AEO to EPS Summary'!AF:AF,'Crosswalk AEO to EPS Summary'!$D:$D,$B195)*(1-Fraction_coal)*quadrillion*(AD190/SUM(AD$138,AD$177,AD$190))</f>
        <v>667787442993776.88</v>
      </c>
      <c r="AE195" s="43">
        <f>SUMIFS('Crosswalk AEO to EPS Summary'!AG:AG,'Crosswalk AEO to EPS Summary'!$D:$D,$B195)*(1-Fraction_coal)*quadrillion*(AE190/SUM(AE$138,AE$177,AE$190))</f>
        <v>675696061114289.75</v>
      </c>
      <c r="AF195" s="43">
        <f>SUMIFS('Crosswalk AEO to EPS Summary'!AH:AH,'Crosswalk AEO to EPS Summary'!$D:$D,$B195)*(1-Fraction_coal)*quadrillion*(AF190/SUM(AF$138,AF$177,AF$190))</f>
        <v>683644875595361.38</v>
      </c>
    </row>
    <row r="196" spans="2:32" x14ac:dyDescent="0.25">
      <c r="B196" s="53" t="str">
        <f t="shared" si="14"/>
        <v>commercial-other-hydrogen (BTU)</v>
      </c>
      <c r="C196" t="s">
        <v>92</v>
      </c>
      <c r="D196" t="s">
        <v>34</v>
      </c>
      <c r="E196" t="s">
        <v>936</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row>
    <row r="198" spans="2:32" s="50" customFormat="1" x14ac:dyDescent="0.25">
      <c r="B198" s="50" t="s">
        <v>952</v>
      </c>
      <c r="C198" s="52"/>
      <c r="D198" s="52"/>
      <c r="E198" s="52"/>
      <c r="F198" s="50">
        <f t="shared" ref="F198:AF198" si="15">F186</f>
        <v>2024</v>
      </c>
      <c r="G198" s="50">
        <f t="shared" si="15"/>
        <v>2025</v>
      </c>
      <c r="H198" s="50">
        <f t="shared" si="15"/>
        <v>2026</v>
      </c>
      <c r="I198" s="50">
        <f t="shared" si="15"/>
        <v>2027</v>
      </c>
      <c r="J198" s="50">
        <f t="shared" si="15"/>
        <v>2028</v>
      </c>
      <c r="K198" s="50">
        <f t="shared" si="15"/>
        <v>2029</v>
      </c>
      <c r="L198" s="50">
        <f t="shared" si="15"/>
        <v>2030</v>
      </c>
      <c r="M198" s="50">
        <f t="shared" si="15"/>
        <v>2031</v>
      </c>
      <c r="N198" s="50">
        <f t="shared" si="15"/>
        <v>2032</v>
      </c>
      <c r="O198" s="50">
        <f t="shared" si="15"/>
        <v>2033</v>
      </c>
      <c r="P198" s="50">
        <f t="shared" si="15"/>
        <v>2034</v>
      </c>
      <c r="Q198" s="50">
        <f t="shared" si="15"/>
        <v>2035</v>
      </c>
      <c r="R198" s="50">
        <f t="shared" si="15"/>
        <v>2036</v>
      </c>
      <c r="S198" s="50">
        <f t="shared" si="15"/>
        <v>2037</v>
      </c>
      <c r="T198" s="50">
        <f t="shared" si="15"/>
        <v>2038</v>
      </c>
      <c r="U198" s="50">
        <f t="shared" si="15"/>
        <v>2039</v>
      </c>
      <c r="V198" s="50">
        <f t="shared" si="15"/>
        <v>2040</v>
      </c>
      <c r="W198" s="50">
        <f t="shared" si="15"/>
        <v>2041</v>
      </c>
      <c r="X198" s="50">
        <f t="shared" si="15"/>
        <v>2042</v>
      </c>
      <c r="Y198" s="50">
        <f t="shared" si="15"/>
        <v>2043</v>
      </c>
      <c r="Z198" s="50">
        <f t="shared" si="15"/>
        <v>2044</v>
      </c>
      <c r="AA198" s="50">
        <f t="shared" si="15"/>
        <v>2045</v>
      </c>
      <c r="AB198" s="50">
        <f t="shared" si="15"/>
        <v>2046</v>
      </c>
      <c r="AC198" s="50">
        <f t="shared" si="15"/>
        <v>2047</v>
      </c>
      <c r="AD198" s="50">
        <f t="shared" si="15"/>
        <v>2048</v>
      </c>
      <c r="AE198" s="50">
        <f t="shared" si="15"/>
        <v>2049</v>
      </c>
      <c r="AF198" s="50">
        <f t="shared" si="15"/>
        <v>2050</v>
      </c>
    </row>
    <row r="199" spans="2:32" s="48" customFormat="1" x14ac:dyDescent="0.25">
      <c r="C199" s="49"/>
      <c r="D199" s="49" t="s">
        <v>953</v>
      </c>
      <c r="E199" s="49"/>
    </row>
    <row r="200" spans="2:32" x14ac:dyDescent="0.25">
      <c r="C200" t="s">
        <v>954</v>
      </c>
      <c r="E200" t="s">
        <v>955</v>
      </c>
      <c r="F200">
        <f>Table_4._Residential_Sector_Key!F36*quadrillion</f>
        <v>5273498000000000</v>
      </c>
      <c r="G200">
        <f>'AEO 2026 Table 4'!E36*quadrillion</f>
        <v>5331621000000000</v>
      </c>
      <c r="H200">
        <f>'AEO 2026 Table 4'!F36*quadrillion</f>
        <v>5362367000000000</v>
      </c>
      <c r="I200">
        <f>'AEO 2026 Table 4'!G36*quadrillion</f>
        <v>5271737000000000</v>
      </c>
      <c r="J200">
        <f>'AEO 2026 Table 4'!H36*quadrillion</f>
        <v>5317738000000000</v>
      </c>
      <c r="K200">
        <f>'AEO 2026 Table 4'!I36*quadrillion</f>
        <v>5342727000000000</v>
      </c>
      <c r="L200">
        <f>'AEO 2026 Table 4'!J36*quadrillion</f>
        <v>5345149000000000</v>
      </c>
      <c r="M200">
        <f>'AEO 2026 Table 4'!K36*quadrillion</f>
        <v>5341567000000000</v>
      </c>
      <c r="N200">
        <f>'AEO 2026 Table 4'!L36*quadrillion</f>
        <v>5341836000000000</v>
      </c>
      <c r="O200">
        <f>'AEO 2026 Table 4'!M36*quadrillion</f>
        <v>5347222000000000</v>
      </c>
      <c r="P200">
        <f>'AEO 2026 Table 4'!N36*quadrillion</f>
        <v>5359948000000000</v>
      </c>
      <c r="Q200">
        <f>'AEO 2026 Table 4'!O36*quadrillion</f>
        <v>5378004000000000</v>
      </c>
      <c r="R200">
        <f>'AEO 2026 Table 4'!P36*quadrillion</f>
        <v>5401054000000000</v>
      </c>
      <c r="S200">
        <f>'AEO 2026 Table 4'!Q36*quadrillion</f>
        <v>5428228000000000</v>
      </c>
      <c r="T200">
        <f>'AEO 2026 Table 4'!R36*quadrillion</f>
        <v>5459923000000000</v>
      </c>
      <c r="U200">
        <f>'AEO 2026 Table 4'!S36*quadrillion</f>
        <v>5494439000000000</v>
      </c>
      <c r="V200">
        <f>'AEO 2026 Table 4'!T36*quadrillion</f>
        <v>5525149000000000</v>
      </c>
      <c r="W200">
        <f>'AEO 2026 Table 4'!U36*quadrillion</f>
        <v>5561899000000000</v>
      </c>
      <c r="X200">
        <f>'AEO 2026 Table 4'!V36*quadrillion</f>
        <v>5605565000000000</v>
      </c>
      <c r="Y200">
        <f>'AEO 2026 Table 4'!W36*quadrillion</f>
        <v>5655558000000000</v>
      </c>
      <c r="Z200">
        <f>'AEO 2026 Table 4'!X36*quadrillion</f>
        <v>5707485000000000</v>
      </c>
      <c r="AA200">
        <f>'AEO 2026 Table 4'!Y36*quadrillion</f>
        <v>5757674000000000</v>
      </c>
      <c r="AB200">
        <f>'AEO 2026 Table 4'!Z36*quadrillion</f>
        <v>5810945000000000</v>
      </c>
      <c r="AC200">
        <f>'AEO 2026 Table 4'!AA36*quadrillion</f>
        <v>5862835000000000</v>
      </c>
      <c r="AD200">
        <f>'AEO 2026 Table 4'!AB36*quadrillion</f>
        <v>5914823000000000</v>
      </c>
      <c r="AE200">
        <f>'AEO 2026 Table 4'!AC36*quadrillion</f>
        <v>5969890000000000</v>
      </c>
      <c r="AF200">
        <f>'AEO 2026 Table 4'!AD36*quadrillion</f>
        <v>6025979000000000</v>
      </c>
    </row>
    <row r="201" spans="2:32" x14ac:dyDescent="0.25">
      <c r="C201" t="s">
        <v>956</v>
      </c>
      <c r="D201" t="s">
        <v>8</v>
      </c>
      <c r="E201" t="s">
        <v>10</v>
      </c>
      <c r="F201">
        <f t="shared" ref="F201:AF201" si="16">SUMIFS(F$5:F$196,$C$5:$C$196,$D201,$E$5:$E$196,$E201)</f>
        <v>5273497000000000</v>
      </c>
      <c r="G201">
        <f t="shared" si="16"/>
        <v>5331620999999999</v>
      </c>
      <c r="H201">
        <f t="shared" si="16"/>
        <v>5362368000000000</v>
      </c>
      <c r="I201">
        <f t="shared" si="16"/>
        <v>5271736999999999</v>
      </c>
      <c r="J201">
        <f t="shared" si="16"/>
        <v>5317739999999999</v>
      </c>
      <c r="K201">
        <f t="shared" si="16"/>
        <v>5342724999999999</v>
      </c>
      <c r="L201">
        <f t="shared" si="16"/>
        <v>5345148999999999</v>
      </c>
      <c r="M201">
        <f t="shared" si="16"/>
        <v>5341567999999999</v>
      </c>
      <c r="N201">
        <f t="shared" si="16"/>
        <v>5341835999999999</v>
      </c>
      <c r="O201">
        <f t="shared" si="16"/>
        <v>5347219999999999</v>
      </c>
      <c r="P201">
        <f t="shared" si="16"/>
        <v>5359947000000000</v>
      </c>
      <c r="Q201">
        <f t="shared" si="16"/>
        <v>5378003000000001</v>
      </c>
      <c r="R201">
        <f t="shared" si="16"/>
        <v>5401054000000000</v>
      </c>
      <c r="S201">
        <f t="shared" si="16"/>
        <v>5428227999999999</v>
      </c>
      <c r="T201">
        <f t="shared" si="16"/>
        <v>5459923999999999</v>
      </c>
      <c r="U201">
        <f t="shared" si="16"/>
        <v>5494437999999999</v>
      </c>
      <c r="V201">
        <f t="shared" si="16"/>
        <v>5525150000000000</v>
      </c>
      <c r="W201">
        <f t="shared" si="16"/>
        <v>5561900999999999</v>
      </c>
      <c r="X201">
        <f t="shared" si="16"/>
        <v>5605562999999999</v>
      </c>
      <c r="Y201">
        <f t="shared" si="16"/>
        <v>5655559000000002</v>
      </c>
      <c r="Z201">
        <f t="shared" si="16"/>
        <v>5707483999999999</v>
      </c>
      <c r="AA201">
        <f t="shared" si="16"/>
        <v>5757674000000000</v>
      </c>
      <c r="AB201">
        <f t="shared" si="16"/>
        <v>5810943999999999</v>
      </c>
      <c r="AC201">
        <f t="shared" si="16"/>
        <v>5862833999999999</v>
      </c>
      <c r="AD201">
        <f t="shared" si="16"/>
        <v>5914822000000000</v>
      </c>
      <c r="AE201">
        <f t="shared" si="16"/>
        <v>5969888999999999</v>
      </c>
      <c r="AF201">
        <f t="shared" si="16"/>
        <v>6025979000000000</v>
      </c>
    </row>
    <row r="202" spans="2:32" x14ac:dyDescent="0.25">
      <c r="F202" s="47">
        <f t="shared" ref="F202:AF202" si="17">F201/SUM(F200:F200)</f>
        <v>0.99999981037254593</v>
      </c>
      <c r="G202" s="47">
        <f t="shared" si="17"/>
        <v>0.99999999999999978</v>
      </c>
      <c r="H202" s="47">
        <f t="shared" si="17"/>
        <v>1.0000001864848116</v>
      </c>
      <c r="I202" s="47">
        <f t="shared" si="17"/>
        <v>0.99999999999999978</v>
      </c>
      <c r="J202" s="47">
        <f t="shared" si="17"/>
        <v>1.0000003760997624</v>
      </c>
      <c r="K202" s="47">
        <f t="shared" si="17"/>
        <v>0.99999962565933076</v>
      </c>
      <c r="L202" s="47">
        <f t="shared" si="17"/>
        <v>0.99999999999999978</v>
      </c>
      <c r="M202" s="47">
        <f t="shared" si="17"/>
        <v>1.0000001872109812</v>
      </c>
      <c r="N202" s="47">
        <f t="shared" si="17"/>
        <v>0.99999999999999978</v>
      </c>
      <c r="O202" s="47">
        <f t="shared" si="17"/>
        <v>0.99999962597401026</v>
      </c>
      <c r="P202" s="47">
        <f t="shared" si="17"/>
        <v>0.99999981343102584</v>
      </c>
      <c r="Q202" s="47">
        <f t="shared" si="17"/>
        <v>0.9999998140574089</v>
      </c>
      <c r="R202" s="47">
        <f t="shared" si="17"/>
        <v>1</v>
      </c>
      <c r="S202" s="47">
        <f t="shared" si="17"/>
        <v>0.99999999999999978</v>
      </c>
      <c r="T202" s="47">
        <f t="shared" si="17"/>
        <v>1.0000001831527658</v>
      </c>
      <c r="U202" s="47">
        <f t="shared" si="17"/>
        <v>0.99999981799779725</v>
      </c>
      <c r="V202" s="47">
        <f t="shared" si="17"/>
        <v>1.0000001809905941</v>
      </c>
      <c r="W202" s="47">
        <f t="shared" si="17"/>
        <v>1.0000003595894134</v>
      </c>
      <c r="X202" s="47">
        <f t="shared" si="17"/>
        <v>0.99999964321170109</v>
      </c>
      <c r="Y202" s="47">
        <f t="shared" si="17"/>
        <v>1.0000001768172126</v>
      </c>
      <c r="Z202" s="47">
        <f t="shared" si="17"/>
        <v>0.99999982479147975</v>
      </c>
      <c r="AA202" s="47">
        <f t="shared" si="17"/>
        <v>1</v>
      </c>
      <c r="AB202" s="47">
        <f t="shared" si="17"/>
        <v>0.99999982791095066</v>
      </c>
      <c r="AC202" s="47">
        <f t="shared" si="17"/>
        <v>0.99999982943405352</v>
      </c>
      <c r="AD202" s="47">
        <f t="shared" si="17"/>
        <v>0.9999998309332333</v>
      </c>
      <c r="AE202" s="47">
        <f t="shared" si="17"/>
        <v>0.99999983249272584</v>
      </c>
      <c r="AF202" s="47">
        <f t="shared" si="17"/>
        <v>1</v>
      </c>
    </row>
    <row r="203" spans="2:32" x14ac:dyDescent="0.25">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row>
    <row r="204" spans="2:32" x14ac:dyDescent="0.25">
      <c r="C204" t="s">
        <v>954</v>
      </c>
      <c r="E204" t="s">
        <v>53</v>
      </c>
      <c r="F204">
        <f>Table_4._Residential_Sector_Key!F47*quadrillion</f>
        <v>4603440000000000</v>
      </c>
      <c r="G204">
        <f>'AEO 2026 Table 4'!E47*quadrillion</f>
        <v>4926080000000000</v>
      </c>
      <c r="H204">
        <f>'AEO 2026 Table 4'!F47*quadrillion</f>
        <v>4756272000000000</v>
      </c>
      <c r="I204">
        <f>'AEO 2026 Table 4'!G47*quadrillion</f>
        <v>4887193000000000</v>
      </c>
      <c r="J204">
        <f>'AEO 2026 Table 4'!H47*quadrillion</f>
        <v>4880057000000000</v>
      </c>
      <c r="K204">
        <f>'AEO 2026 Table 4'!I47*quadrillion</f>
        <v>4841941000000000</v>
      </c>
      <c r="L204">
        <f>'AEO 2026 Table 4'!J47*quadrillion</f>
        <v>4792875000000000</v>
      </c>
      <c r="M204">
        <f>'AEO 2026 Table 4'!K47*quadrillion</f>
        <v>4741629000000000</v>
      </c>
      <c r="N204">
        <f>'AEO 2026 Table 4'!L47*quadrillion</f>
        <v>4695206000000000</v>
      </c>
      <c r="O204">
        <f>'AEO 2026 Table 4'!M47*quadrillion</f>
        <v>4647789000000000</v>
      </c>
      <c r="P204">
        <f>'AEO 2026 Table 4'!N47*quadrillion</f>
        <v>4605699000000000</v>
      </c>
      <c r="Q204">
        <f>'AEO 2026 Table 4'!O47*quadrillion</f>
        <v>4566593000000000</v>
      </c>
      <c r="R204">
        <f>'AEO 2026 Table 4'!P47*quadrillion</f>
        <v>4529979000000000</v>
      </c>
      <c r="S204">
        <f>'AEO 2026 Table 4'!Q47*quadrillion</f>
        <v>4491732000000000</v>
      </c>
      <c r="T204">
        <f>'AEO 2026 Table 4'!R47*quadrillion</f>
        <v>4455280000000000</v>
      </c>
      <c r="U204">
        <f>'AEO 2026 Table 4'!S47*quadrillion</f>
        <v>4419171000000000.5</v>
      </c>
      <c r="V204">
        <f>'AEO 2026 Table 4'!T47*quadrillion</f>
        <v>4384261000000000.5</v>
      </c>
      <c r="W204">
        <f>'AEO 2026 Table 4'!U47*quadrillion</f>
        <v>4349348000000000</v>
      </c>
      <c r="X204">
        <f>'AEO 2026 Table 4'!V47*quadrillion</f>
        <v>4318778000000000</v>
      </c>
      <c r="Y204">
        <f>'AEO 2026 Table 4'!W47*quadrillion</f>
        <v>4290054999999999.5</v>
      </c>
      <c r="Z204">
        <f>'AEO 2026 Table 4'!X47*quadrillion</f>
        <v>4262946000000000.5</v>
      </c>
      <c r="AA204">
        <f>'AEO 2026 Table 4'!Y47*quadrillion</f>
        <v>4236480000000000</v>
      </c>
      <c r="AB204">
        <f>'AEO 2026 Table 4'!Z47*quadrillion</f>
        <v>4207667000000000</v>
      </c>
      <c r="AC204">
        <f>'AEO 2026 Table 4'!AA47*quadrillion</f>
        <v>4176516999999999.5</v>
      </c>
      <c r="AD204">
        <f>'AEO 2026 Table 4'!AB47*quadrillion</f>
        <v>4145389000000000</v>
      </c>
      <c r="AE204">
        <f>'AEO 2026 Table 4'!AC47*quadrillion</f>
        <v>4115045000000000.5</v>
      </c>
      <c r="AF204">
        <f>'AEO 2026 Table 4'!AD47*quadrillion</f>
        <v>4086372000000000</v>
      </c>
    </row>
    <row r="205" spans="2:32" x14ac:dyDescent="0.25">
      <c r="C205" t="s">
        <v>956</v>
      </c>
      <c r="D205" t="s">
        <v>8</v>
      </c>
      <c r="E205" t="s">
        <v>53</v>
      </c>
      <c r="F205">
        <f t="shared" ref="F205:AF205" si="18">SUMIFS(F$5:F$196,$C$5:$C$196,$D205,$E$5:$E$196,$E205)</f>
        <v>4603440000000000</v>
      </c>
      <c r="G205">
        <f t="shared" si="18"/>
        <v>4926080999999999</v>
      </c>
      <c r="H205">
        <f>SUMIFS(H$5:H$196,$C$5:$C$196,$D205,$E$5:$E$196,$E205)</f>
        <v>4756272000000000</v>
      </c>
      <c r="I205">
        <f t="shared" si="18"/>
        <v>4887191999999998</v>
      </c>
      <c r="J205">
        <f t="shared" si="18"/>
        <v>4880057000000000</v>
      </c>
      <c r="K205">
        <f t="shared" si="18"/>
        <v>4841940000000000</v>
      </c>
      <c r="L205">
        <f t="shared" si="18"/>
        <v>4792875000000000</v>
      </c>
      <c r="M205">
        <f t="shared" si="18"/>
        <v>4741629000000000</v>
      </c>
      <c r="N205">
        <f t="shared" si="18"/>
        <v>4695206000000000</v>
      </c>
      <c r="O205">
        <f t="shared" si="18"/>
        <v>4647787999999999</v>
      </c>
      <c r="P205">
        <f t="shared" si="18"/>
        <v>4605697000000000</v>
      </c>
      <c r="Q205">
        <f t="shared" si="18"/>
        <v>4566593000000001</v>
      </c>
      <c r="R205">
        <f t="shared" si="18"/>
        <v>4529979000000000</v>
      </c>
      <c r="S205">
        <f t="shared" si="18"/>
        <v>4491731999999999.5</v>
      </c>
      <c r="T205">
        <f t="shared" si="18"/>
        <v>4455279000000000.5</v>
      </c>
      <c r="U205">
        <f t="shared" si="18"/>
        <v>4419170000000000</v>
      </c>
      <c r="V205">
        <f t="shared" si="18"/>
        <v>4384262000000000</v>
      </c>
      <c r="W205">
        <f t="shared" si="18"/>
        <v>4349348000000000</v>
      </c>
      <c r="X205">
        <f t="shared" si="18"/>
        <v>4318776999999999.5</v>
      </c>
      <c r="Y205">
        <f t="shared" si="18"/>
        <v>4290054999999999.5</v>
      </c>
      <c r="Z205">
        <f t="shared" si="18"/>
        <v>4262946999999999.5</v>
      </c>
      <c r="AA205">
        <f t="shared" si="18"/>
        <v>4236480000000000</v>
      </c>
      <c r="AB205">
        <f t="shared" si="18"/>
        <v>4207665999999999.5</v>
      </c>
      <c r="AC205">
        <f t="shared" si="18"/>
        <v>4176516000000000</v>
      </c>
      <c r="AD205">
        <f t="shared" si="18"/>
        <v>4145388999999999.5</v>
      </c>
      <c r="AE205">
        <f t="shared" si="18"/>
        <v>4115044000000000</v>
      </c>
      <c r="AF205">
        <f t="shared" si="18"/>
        <v>4086372000000000</v>
      </c>
    </row>
    <row r="206" spans="2:32" x14ac:dyDescent="0.25">
      <c r="F206" s="47">
        <f t="shared" ref="F206:AF206" si="19">F205/SUM(F204:F204)</f>
        <v>1</v>
      </c>
      <c r="G206" s="47">
        <f t="shared" si="19"/>
        <v>1.000000203001169</v>
      </c>
      <c r="H206" s="47">
        <f>H205/SUM(H204:H204)</f>
        <v>1</v>
      </c>
      <c r="I206" s="47">
        <f t="shared" si="19"/>
        <v>0.99999979538356643</v>
      </c>
      <c r="J206" s="47">
        <f t="shared" si="19"/>
        <v>1</v>
      </c>
      <c r="K206" s="47">
        <f t="shared" si="19"/>
        <v>0.99999979347125456</v>
      </c>
      <c r="L206" s="47">
        <f t="shared" si="19"/>
        <v>1</v>
      </c>
      <c r="M206" s="47">
        <f t="shared" si="19"/>
        <v>1</v>
      </c>
      <c r="N206" s="47">
        <f t="shared" si="19"/>
        <v>1</v>
      </c>
      <c r="O206" s="47">
        <f t="shared" si="19"/>
        <v>0.99999978484393315</v>
      </c>
      <c r="P206" s="47">
        <f t="shared" si="19"/>
        <v>0.99999956575538262</v>
      </c>
      <c r="Q206" s="47">
        <f t="shared" si="19"/>
        <v>1.0000000000000002</v>
      </c>
      <c r="R206" s="47">
        <f t="shared" si="19"/>
        <v>1</v>
      </c>
      <c r="S206" s="47">
        <f t="shared" si="19"/>
        <v>0.99999999999999989</v>
      </c>
      <c r="T206" s="47">
        <f t="shared" si="19"/>
        <v>0.99999977554721597</v>
      </c>
      <c r="U206" s="47">
        <f t="shared" si="19"/>
        <v>0.99999977371321447</v>
      </c>
      <c r="V206" s="47">
        <f t="shared" si="19"/>
        <v>1.0000002280886104</v>
      </c>
      <c r="W206" s="47">
        <f t="shared" si="19"/>
        <v>1</v>
      </c>
      <c r="X206" s="47">
        <f t="shared" si="19"/>
        <v>0.99999976845302063</v>
      </c>
      <c r="Y206" s="47">
        <f t="shared" si="19"/>
        <v>1</v>
      </c>
      <c r="Z206" s="47">
        <f t="shared" si="19"/>
        <v>1.0000002345795604</v>
      </c>
      <c r="AA206" s="47">
        <f t="shared" si="19"/>
        <v>1</v>
      </c>
      <c r="AB206" s="47">
        <f t="shared" si="19"/>
        <v>0.99999976233860699</v>
      </c>
      <c r="AC206" s="47">
        <f t="shared" si="19"/>
        <v>0.99999976056604112</v>
      </c>
      <c r="AD206" s="47">
        <f t="shared" si="19"/>
        <v>0.99999999999999989</v>
      </c>
      <c r="AE206" s="47">
        <f t="shared" si="19"/>
        <v>0.99999975698929167</v>
      </c>
      <c r="AF206" s="47">
        <f t="shared" si="19"/>
        <v>1</v>
      </c>
    </row>
    <row r="208" spans="2:32" x14ac:dyDescent="0.25">
      <c r="C208" t="s">
        <v>954</v>
      </c>
      <c r="E208" t="s">
        <v>68</v>
      </c>
      <c r="F208">
        <f>Table_4._Residential_Sector_Key!F52*quadrillion</f>
        <v>445877000000000</v>
      </c>
      <c r="G208">
        <f>'AEO 2026 Table 4'!E52*quadrillion</f>
        <v>489280000000000</v>
      </c>
      <c r="H208">
        <f>'AEO 2026 Table 4'!F52*quadrillion</f>
        <v>471360000000000</v>
      </c>
      <c r="I208">
        <f>'AEO 2026 Table 4'!G52*quadrillion</f>
        <v>464952000000000</v>
      </c>
      <c r="J208">
        <f>'AEO 2026 Table 4'!H52*quadrillion</f>
        <v>456500000000000</v>
      </c>
      <c r="K208">
        <f>'AEO 2026 Table 4'!I52*quadrillion</f>
        <v>447624000000000</v>
      </c>
      <c r="L208">
        <f>'AEO 2026 Table 4'!J52*quadrillion</f>
        <v>439746000000000</v>
      </c>
      <c r="M208">
        <f>'AEO 2026 Table 4'!K52*quadrillion</f>
        <v>431983000000000</v>
      </c>
      <c r="N208">
        <f>'AEO 2026 Table 4'!L52*quadrillion</f>
        <v>424812000000000</v>
      </c>
      <c r="O208">
        <f>'AEO 2026 Table 4'!M52*quadrillion</f>
        <v>417945000000000</v>
      </c>
      <c r="P208">
        <f>'AEO 2026 Table 4'!N52*quadrillion</f>
        <v>411851000000000</v>
      </c>
      <c r="Q208">
        <f>'AEO 2026 Table 4'!O52*quadrillion</f>
        <v>406073000000000</v>
      </c>
      <c r="R208">
        <f>'AEO 2026 Table 4'!P52*quadrillion</f>
        <v>400473000000000</v>
      </c>
      <c r="S208">
        <f>'AEO 2026 Table 4'!Q52*quadrillion</f>
        <v>395019000000000</v>
      </c>
      <c r="T208">
        <f>'AEO 2026 Table 4'!R52*quadrillion</f>
        <v>389742000000000</v>
      </c>
      <c r="U208">
        <f>'AEO 2026 Table 4'!S52*quadrillion</f>
        <v>384640000000000</v>
      </c>
      <c r="V208">
        <f>'AEO 2026 Table 4'!T52*quadrillion</f>
        <v>379595000000000</v>
      </c>
      <c r="W208">
        <f>'AEO 2026 Table 4'!U52*quadrillion</f>
        <v>374572000000000</v>
      </c>
      <c r="X208">
        <f>'AEO 2026 Table 4'!V52*quadrillion</f>
        <v>369741000000000</v>
      </c>
      <c r="Y208">
        <f>'AEO 2026 Table 4'!W52*quadrillion</f>
        <v>364969000000000</v>
      </c>
      <c r="Z208">
        <f>'AEO 2026 Table 4'!X52*quadrillion</f>
        <v>360335000000000</v>
      </c>
      <c r="AA208">
        <f>'AEO 2026 Table 4'!Y52*quadrillion</f>
        <v>355740000000000</v>
      </c>
      <c r="AB208">
        <f>'AEO 2026 Table 4'!Z52*quadrillion</f>
        <v>351238000000000</v>
      </c>
      <c r="AC208">
        <f>'AEO 2026 Table 4'!AA52*quadrillion</f>
        <v>346724000000000</v>
      </c>
      <c r="AD208">
        <f>'AEO 2026 Table 4'!AB52*quadrillion</f>
        <v>342244000000000</v>
      </c>
      <c r="AE208">
        <f>'AEO 2026 Table 4'!AC52*quadrillion</f>
        <v>337805000000000</v>
      </c>
      <c r="AF208">
        <f>'AEO 2026 Table 4'!AD52*quadrillion</f>
        <v>333547000000000</v>
      </c>
    </row>
    <row r="209" spans="3:32" x14ac:dyDescent="0.25">
      <c r="C209" t="s">
        <v>956</v>
      </c>
      <c r="D209" t="s">
        <v>8</v>
      </c>
      <c r="E209" t="s">
        <v>68</v>
      </c>
      <c r="F209">
        <f t="shared" ref="F209:AF209" si="20">SUMIFS(F$5:F$196,$C$5:$C$196,$D209,$E$5:$E$196,$E209)</f>
        <v>445876999999999.94</v>
      </c>
      <c r="G209">
        <f t="shared" si="20"/>
        <v>489280000000000.06</v>
      </c>
      <c r="H209">
        <f t="shared" si="20"/>
        <v>471359999999999.88</v>
      </c>
      <c r="I209">
        <f t="shared" si="20"/>
        <v>464952000000000</v>
      </c>
      <c r="J209">
        <f t="shared" si="20"/>
        <v>456498999999999.88</v>
      </c>
      <c r="K209">
        <f t="shared" si="20"/>
        <v>447623999999999.94</v>
      </c>
      <c r="L209">
        <f t="shared" si="20"/>
        <v>439745999999999.94</v>
      </c>
      <c r="M209">
        <f t="shared" si="20"/>
        <v>431981999999999.94</v>
      </c>
      <c r="N209">
        <f t="shared" si="20"/>
        <v>424811000000000</v>
      </c>
      <c r="O209">
        <f t="shared" si="20"/>
        <v>417945000000000</v>
      </c>
      <c r="P209">
        <f t="shared" si="20"/>
        <v>411851000000000</v>
      </c>
      <c r="Q209">
        <f t="shared" si="20"/>
        <v>406072999999999.94</v>
      </c>
      <c r="R209">
        <f t="shared" si="20"/>
        <v>400472999999999.94</v>
      </c>
      <c r="S209">
        <f t="shared" si="20"/>
        <v>395018000000000</v>
      </c>
      <c r="T209">
        <f t="shared" si="20"/>
        <v>389739000000000</v>
      </c>
      <c r="U209">
        <f t="shared" si="20"/>
        <v>384634999999999.94</v>
      </c>
      <c r="V209">
        <f t="shared" si="20"/>
        <v>379587000000000</v>
      </c>
      <c r="W209">
        <f t="shared" si="20"/>
        <v>374561000000000</v>
      </c>
      <c r="X209">
        <f t="shared" si="20"/>
        <v>369727999999999.94</v>
      </c>
      <c r="Y209">
        <f t="shared" si="20"/>
        <v>364952999999999.94</v>
      </c>
      <c r="Z209">
        <f t="shared" si="20"/>
        <v>360315000000000</v>
      </c>
      <c r="AA209">
        <f t="shared" si="20"/>
        <v>355718000000000</v>
      </c>
      <c r="AB209">
        <f t="shared" si="20"/>
        <v>351212000000000</v>
      </c>
      <c r="AC209">
        <f t="shared" si="20"/>
        <v>346695000000000</v>
      </c>
      <c r="AD209">
        <f t="shared" si="20"/>
        <v>342211000000000</v>
      </c>
      <c r="AE209">
        <f t="shared" si="20"/>
        <v>337768999999999.94</v>
      </c>
      <c r="AF209">
        <f t="shared" si="20"/>
        <v>333509000000000.06</v>
      </c>
    </row>
    <row r="210" spans="3:32" x14ac:dyDescent="0.25">
      <c r="F210" s="47">
        <f t="shared" ref="F210:AF210" si="21">F209/SUM(F208:F208)</f>
        <v>0.99999999999999989</v>
      </c>
      <c r="G210" s="47">
        <f t="shared" si="21"/>
        <v>1.0000000000000002</v>
      </c>
      <c r="H210" s="47">
        <f t="shared" si="21"/>
        <v>0.99999999999999978</v>
      </c>
      <c r="I210" s="47">
        <f t="shared" si="21"/>
        <v>1</v>
      </c>
      <c r="J210" s="47">
        <f t="shared" si="21"/>
        <v>0.9999978094194959</v>
      </c>
      <c r="K210" s="47">
        <f t="shared" si="21"/>
        <v>0.99999999999999989</v>
      </c>
      <c r="L210" s="47">
        <f t="shared" si="21"/>
        <v>0.99999999999999989</v>
      </c>
      <c r="M210" s="47">
        <f t="shared" si="21"/>
        <v>0.99999768509408926</v>
      </c>
      <c r="N210" s="47">
        <f t="shared" si="21"/>
        <v>0.99999764601753249</v>
      </c>
      <c r="O210" s="47">
        <f t="shared" si="21"/>
        <v>1</v>
      </c>
      <c r="P210" s="47">
        <f t="shared" si="21"/>
        <v>1</v>
      </c>
      <c r="Q210" s="47">
        <f t="shared" si="21"/>
        <v>0.99999999999999989</v>
      </c>
      <c r="R210" s="47">
        <f t="shared" si="21"/>
        <v>0.99999999999999989</v>
      </c>
      <c r="S210" s="47">
        <f t="shared" si="21"/>
        <v>0.99999746847619986</v>
      </c>
      <c r="T210" s="47">
        <f t="shared" si="21"/>
        <v>0.99999230260018168</v>
      </c>
      <c r="U210" s="47">
        <f t="shared" si="21"/>
        <v>0.99998700083194658</v>
      </c>
      <c r="V210" s="47">
        <f t="shared" si="21"/>
        <v>0.99997892490680862</v>
      </c>
      <c r="W210" s="47">
        <f t="shared" si="21"/>
        <v>0.99997063314930101</v>
      </c>
      <c r="X210" s="47">
        <f t="shared" si="21"/>
        <v>0.99996484025304178</v>
      </c>
      <c r="Y210" s="47">
        <f t="shared" si="21"/>
        <v>0.99995616066022031</v>
      </c>
      <c r="Z210" s="47">
        <f t="shared" si="21"/>
        <v>0.99994449609391256</v>
      </c>
      <c r="AA210" s="47">
        <f t="shared" si="21"/>
        <v>0.99993815708101419</v>
      </c>
      <c r="AB210" s="47">
        <f t="shared" si="21"/>
        <v>0.99992597611875711</v>
      </c>
      <c r="AC210" s="47">
        <f t="shared" si="21"/>
        <v>0.99991635998661765</v>
      </c>
      <c r="AD210" s="47">
        <f t="shared" si="21"/>
        <v>0.99990357756454462</v>
      </c>
      <c r="AE210" s="47">
        <f t="shared" si="21"/>
        <v>0.99989342964136096</v>
      </c>
      <c r="AF210" s="47">
        <f t="shared" si="21"/>
        <v>0.99988607302718979</v>
      </c>
    </row>
    <row r="212" spans="3:32" x14ac:dyDescent="0.25">
      <c r="C212" t="s">
        <v>954</v>
      </c>
      <c r="E212" t="s">
        <v>77</v>
      </c>
      <c r="F212">
        <f>Table_4._Residential_Sector_Key!F58*quadrillion</f>
        <v>445585000000000</v>
      </c>
      <c r="G212">
        <f>'AEO 2026 Table 4'!E58*quadrillion</f>
        <v>524499999999999.94</v>
      </c>
      <c r="H212">
        <f>'AEO 2026 Table 4'!F58*quadrillion</f>
        <v>513719999999999.94</v>
      </c>
      <c r="I212">
        <f>'AEO 2026 Table 4'!G58*quadrillion</f>
        <v>495541000000000</v>
      </c>
      <c r="J212">
        <f>'AEO 2026 Table 4'!H58*quadrillion</f>
        <v>496211000000000</v>
      </c>
      <c r="K212">
        <f>'AEO 2026 Table 4'!I58*quadrillion</f>
        <v>493311000000000</v>
      </c>
      <c r="L212">
        <f>'AEO 2026 Table 4'!J58*quadrillion</f>
        <v>488928000000000</v>
      </c>
      <c r="M212">
        <f>'AEO 2026 Table 4'!K58*quadrillion</f>
        <v>483486000000000</v>
      </c>
      <c r="N212">
        <f>'AEO 2026 Table 4'!L58*quadrillion</f>
        <v>478163000000000</v>
      </c>
      <c r="O212">
        <f>'AEO 2026 Table 4'!M58*quadrillion</f>
        <v>473203000000000</v>
      </c>
      <c r="P212">
        <f>'AEO 2026 Table 4'!N58*quadrillion</f>
        <v>469062000000000</v>
      </c>
      <c r="Q212">
        <f>'AEO 2026 Table 4'!O58*quadrillion</f>
        <v>465621000000000</v>
      </c>
      <c r="R212">
        <f>'AEO 2026 Table 4'!P58*quadrillion</f>
        <v>462483000000000</v>
      </c>
      <c r="S212">
        <f>'AEO 2026 Table 4'!Q58*quadrillion</f>
        <v>459429000000000</v>
      </c>
      <c r="T212">
        <f>'AEO 2026 Table 4'!R58*quadrillion</f>
        <v>456475000000000</v>
      </c>
      <c r="U212">
        <f>'AEO 2026 Table 4'!S58*quadrillion</f>
        <v>453566000000000</v>
      </c>
      <c r="V212">
        <f>'AEO 2026 Table 4'!T58*quadrillion</f>
        <v>450898000000000</v>
      </c>
      <c r="W212">
        <f>'AEO 2026 Table 4'!U58*quadrillion</f>
        <v>448539000000000</v>
      </c>
      <c r="X212">
        <f>'AEO 2026 Table 4'!V58*quadrillion</f>
        <v>446738000000000</v>
      </c>
      <c r="Y212">
        <f>'AEO 2026 Table 4'!W58*quadrillion</f>
        <v>445416000000000</v>
      </c>
      <c r="Z212">
        <f>'AEO 2026 Table 4'!X58*quadrillion</f>
        <v>444479000000000</v>
      </c>
      <c r="AA212">
        <f>'AEO 2026 Table 4'!Y58*quadrillion</f>
        <v>443746000000000</v>
      </c>
      <c r="AB212">
        <f>'AEO 2026 Table 4'!Z58*quadrillion</f>
        <v>442976000000000</v>
      </c>
      <c r="AC212">
        <f>'AEO 2026 Table 4'!AA58*quadrillion</f>
        <v>442012000000000</v>
      </c>
      <c r="AD212">
        <f>'AEO 2026 Table 4'!AB58*quadrillion</f>
        <v>440991000000000</v>
      </c>
      <c r="AE212">
        <f>'AEO 2026 Table 4'!AC58*quadrillion</f>
        <v>440020000000000</v>
      </c>
      <c r="AF212">
        <f>'AEO 2026 Table 4'!AD58*quadrillion</f>
        <v>439191000000000</v>
      </c>
    </row>
    <row r="213" spans="3:32" x14ac:dyDescent="0.25">
      <c r="C213" t="s">
        <v>956</v>
      </c>
      <c r="D213" t="s">
        <v>8</v>
      </c>
      <c r="E213" t="s">
        <v>77</v>
      </c>
      <c r="F213">
        <f t="shared" ref="F213:AF213" si="22">SUMIFS(F$5:F$196,$C$5:$C$196,$D213,$E$5:$E$196,$E213)</f>
        <v>445584000000000</v>
      </c>
      <c r="G213">
        <f t="shared" si="22"/>
        <v>524499999999999.94</v>
      </c>
      <c r="H213">
        <f t="shared" si="22"/>
        <v>513720000000000</v>
      </c>
      <c r="I213">
        <f t="shared" si="22"/>
        <v>495540000000000</v>
      </c>
      <c r="J213">
        <f t="shared" si="22"/>
        <v>496211000000000</v>
      </c>
      <c r="K213">
        <f t="shared" si="22"/>
        <v>493311000000000</v>
      </c>
      <c r="L213">
        <f t="shared" si="22"/>
        <v>488927999999999.94</v>
      </c>
      <c r="M213">
        <f t="shared" si="22"/>
        <v>483486999999999.88</v>
      </c>
      <c r="N213">
        <f t="shared" si="22"/>
        <v>478164000000000</v>
      </c>
      <c r="O213">
        <f t="shared" si="22"/>
        <v>473203000000000.06</v>
      </c>
      <c r="P213">
        <f t="shared" si="22"/>
        <v>469063000000000</v>
      </c>
      <c r="Q213">
        <f t="shared" si="22"/>
        <v>465621000000000</v>
      </c>
      <c r="R213">
        <f t="shared" si="22"/>
        <v>462483000000000</v>
      </c>
      <c r="S213">
        <f t="shared" si="22"/>
        <v>459430000000000</v>
      </c>
      <c r="T213">
        <f t="shared" si="22"/>
        <v>456475000000000</v>
      </c>
      <c r="U213">
        <f t="shared" si="22"/>
        <v>453566000000000</v>
      </c>
      <c r="V213">
        <f t="shared" si="22"/>
        <v>450899000000000</v>
      </c>
      <c r="W213">
        <f t="shared" si="22"/>
        <v>448538999999999.94</v>
      </c>
      <c r="X213">
        <f t="shared" si="22"/>
        <v>446738000000000</v>
      </c>
      <c r="Y213">
        <f t="shared" si="22"/>
        <v>445415999999999.94</v>
      </c>
      <c r="Z213">
        <f t="shared" si="22"/>
        <v>444477999999999.94</v>
      </c>
      <c r="AA213">
        <f t="shared" si="22"/>
        <v>443745000000000</v>
      </c>
      <c r="AB213">
        <f t="shared" si="22"/>
        <v>442976000000000</v>
      </c>
      <c r="AC213">
        <f t="shared" si="22"/>
        <v>442011000000000.06</v>
      </c>
      <c r="AD213">
        <f t="shared" si="22"/>
        <v>440990999999999.94</v>
      </c>
      <c r="AE213">
        <f t="shared" si="22"/>
        <v>440019000000000</v>
      </c>
      <c r="AF213">
        <f t="shared" si="22"/>
        <v>439192000000000</v>
      </c>
    </row>
    <row r="214" spans="3:32" x14ac:dyDescent="0.25">
      <c r="F214" s="47">
        <f t="shared" ref="F214:AF214" si="23">F213/SUM(F212:F212)</f>
        <v>0.99999775575928274</v>
      </c>
      <c r="G214" s="47">
        <f t="shared" si="23"/>
        <v>1</v>
      </c>
      <c r="H214" s="47">
        <f t="shared" si="23"/>
        <v>1.0000000000000002</v>
      </c>
      <c r="I214" s="47">
        <f t="shared" si="23"/>
        <v>0.99999798200350731</v>
      </c>
      <c r="J214" s="47">
        <f t="shared" si="23"/>
        <v>1</v>
      </c>
      <c r="K214" s="47">
        <f t="shared" si="23"/>
        <v>1</v>
      </c>
      <c r="L214" s="47">
        <f t="shared" si="23"/>
        <v>0.99999999999999989</v>
      </c>
      <c r="M214" s="47">
        <f t="shared" si="23"/>
        <v>1.0000020683122155</v>
      </c>
      <c r="N214" s="47">
        <f t="shared" si="23"/>
        <v>1.0000020913370544</v>
      </c>
      <c r="O214" s="47">
        <f t="shared" si="23"/>
        <v>1.0000000000000002</v>
      </c>
      <c r="P214" s="47">
        <f t="shared" si="23"/>
        <v>1.0000021319143311</v>
      </c>
      <c r="Q214" s="47">
        <f t="shared" si="23"/>
        <v>1</v>
      </c>
      <c r="R214" s="47">
        <f t="shared" si="23"/>
        <v>1</v>
      </c>
      <c r="S214" s="47">
        <f t="shared" si="23"/>
        <v>1.000002176614885</v>
      </c>
      <c r="T214" s="47">
        <f t="shared" si="23"/>
        <v>1</v>
      </c>
      <c r="U214" s="47">
        <f t="shared" si="23"/>
        <v>1</v>
      </c>
      <c r="V214" s="47">
        <f t="shared" si="23"/>
        <v>1.000002217796486</v>
      </c>
      <c r="W214" s="47">
        <f t="shared" si="23"/>
        <v>0.99999999999999989</v>
      </c>
      <c r="X214" s="47">
        <f t="shared" si="23"/>
        <v>1</v>
      </c>
      <c r="Y214" s="47">
        <f t="shared" si="23"/>
        <v>0.99999999999999989</v>
      </c>
      <c r="Z214" s="47">
        <f t="shared" si="23"/>
        <v>0.99999775017492376</v>
      </c>
      <c r="AA214" s="47">
        <f t="shared" si="23"/>
        <v>0.99999774645855966</v>
      </c>
      <c r="AB214" s="47">
        <f t="shared" si="23"/>
        <v>1</v>
      </c>
      <c r="AC214" s="47">
        <f t="shared" si="23"/>
        <v>0.99999773761798338</v>
      </c>
      <c r="AD214" s="47">
        <f t="shared" si="23"/>
        <v>0.99999999999999989</v>
      </c>
      <c r="AE214" s="47">
        <f t="shared" si="23"/>
        <v>0.99999772737602832</v>
      </c>
      <c r="AF214" s="47">
        <f t="shared" si="23"/>
        <v>1.0000022769136889</v>
      </c>
    </row>
    <row r="216" spans="3:32" x14ac:dyDescent="0.25">
      <c r="C216" t="s">
        <v>954</v>
      </c>
      <c r="E216" t="s">
        <v>88</v>
      </c>
      <c r="F216">
        <f>Table_4._Residential_Sector_Key!F59*quadrillion</f>
        <v>357583000000000</v>
      </c>
      <c r="G216">
        <f>'AEO 2026 Table 4'!E59*quadrillion</f>
        <v>371387000000000</v>
      </c>
      <c r="H216">
        <f>'AEO 2026 Table 4'!F59*quadrillion</f>
        <v>342901000000000</v>
      </c>
      <c r="I216">
        <f>'AEO 2026 Table 4'!G59*quadrillion</f>
        <v>334990000000000</v>
      </c>
      <c r="J216">
        <f>'AEO 2026 Table 4'!H59*quadrillion</f>
        <v>331205000000000</v>
      </c>
      <c r="K216">
        <f>'AEO 2026 Table 4'!I59*quadrillion</f>
        <v>328954000000000</v>
      </c>
      <c r="L216">
        <f>'AEO 2026 Table 4'!J59*quadrillion</f>
        <v>323627000000000</v>
      </c>
      <c r="M216">
        <f>'AEO 2026 Table 4'!K59*quadrillion</f>
        <v>319369000000000</v>
      </c>
      <c r="N216">
        <f>'AEO 2026 Table 4'!L59*quadrillion</f>
        <v>315643000000000</v>
      </c>
      <c r="O216">
        <f>'AEO 2026 Table 4'!M59*quadrillion</f>
        <v>312812000000000</v>
      </c>
      <c r="P216">
        <f>'AEO 2026 Table 4'!N59*quadrillion</f>
        <v>309126000000000</v>
      </c>
      <c r="Q216">
        <f>'AEO 2026 Table 4'!O59*quadrillion</f>
        <v>305829000000000</v>
      </c>
      <c r="R216">
        <f>'AEO 2026 Table 4'!P59*quadrillion</f>
        <v>302008000000000</v>
      </c>
      <c r="S216">
        <f>'AEO 2026 Table 4'!Q59*quadrillion</f>
        <v>298094000000000</v>
      </c>
      <c r="T216">
        <f>'AEO 2026 Table 4'!R59*quadrillion</f>
        <v>294199000000000</v>
      </c>
      <c r="U216">
        <f>'AEO 2026 Table 4'!S59*quadrillion</f>
        <v>289954000000000</v>
      </c>
      <c r="V216">
        <f>'AEO 2026 Table 4'!T59*quadrillion</f>
        <v>285538000000000</v>
      </c>
      <c r="W216">
        <f>'AEO 2026 Table 4'!U59*quadrillion</f>
        <v>281270000000000.03</v>
      </c>
      <c r="X216">
        <f>'AEO 2026 Table 4'!V59*quadrillion</f>
        <v>277378000000000</v>
      </c>
      <c r="Y216">
        <f>'AEO 2026 Table 4'!W59*quadrillion</f>
        <v>273631000000000</v>
      </c>
      <c r="Z216">
        <f>'AEO 2026 Table 4'!X59*quadrillion</f>
        <v>270078000000000</v>
      </c>
      <c r="AA216">
        <f>'AEO 2026 Table 4'!Y59*quadrillion</f>
        <v>266974000000000</v>
      </c>
      <c r="AB216">
        <f>'AEO 2026 Table 4'!Z59*quadrillion</f>
        <v>263978000000000</v>
      </c>
      <c r="AC216">
        <f>'AEO 2026 Table 4'!AA59*quadrillion</f>
        <v>261290000000000.03</v>
      </c>
      <c r="AD216">
        <f>'AEO 2026 Table 4'!AB59*quadrillion</f>
        <v>258824000000000</v>
      </c>
      <c r="AE216">
        <f>'AEO 2026 Table 4'!AC59*quadrillion</f>
        <v>256576000000000.03</v>
      </c>
      <c r="AF216">
        <f>'AEO 2026 Table 4'!AD59*quadrillion</f>
        <v>254137000000000</v>
      </c>
    </row>
    <row r="217" spans="3:32" x14ac:dyDescent="0.25">
      <c r="C217" t="s">
        <v>956</v>
      </c>
      <c r="D217" t="s">
        <v>8</v>
      </c>
      <c r="E217" t="s">
        <v>88</v>
      </c>
      <c r="F217">
        <f t="shared" ref="F217:AF217" si="24">SUMIFS(F$5:F$196,$C$5:$C$196,$D217,$E$5:$E$196,$E217)</f>
        <v>357582999999999.94</v>
      </c>
      <c r="G217">
        <f t="shared" si="24"/>
        <v>371387000000000</v>
      </c>
      <c r="H217">
        <f t="shared" si="24"/>
        <v>342901000000000</v>
      </c>
      <c r="I217">
        <f t="shared" si="24"/>
        <v>334990000000000</v>
      </c>
      <c r="J217">
        <f t="shared" si="24"/>
        <v>331205000000000</v>
      </c>
      <c r="K217">
        <f t="shared" si="24"/>
        <v>328954000000000</v>
      </c>
      <c r="L217">
        <f t="shared" si="24"/>
        <v>323627000000000</v>
      </c>
      <c r="M217">
        <f t="shared" si="24"/>
        <v>319368999999999.94</v>
      </c>
      <c r="N217">
        <f t="shared" si="24"/>
        <v>315643000000000</v>
      </c>
      <c r="O217">
        <f t="shared" si="24"/>
        <v>312811999999999.94</v>
      </c>
      <c r="P217">
        <f t="shared" si="24"/>
        <v>309126000000000</v>
      </c>
      <c r="Q217">
        <f t="shared" si="24"/>
        <v>305829000000000</v>
      </c>
      <c r="R217">
        <f t="shared" si="24"/>
        <v>302008000000000</v>
      </c>
      <c r="S217">
        <f t="shared" si="24"/>
        <v>298094000000000</v>
      </c>
      <c r="T217">
        <f t="shared" si="24"/>
        <v>294199000000000</v>
      </c>
      <c r="U217">
        <f t="shared" si="24"/>
        <v>289954000000000</v>
      </c>
      <c r="V217">
        <f t="shared" si="24"/>
        <v>285538000000000</v>
      </c>
      <c r="W217">
        <f t="shared" si="24"/>
        <v>281270000000000</v>
      </c>
      <c r="X217">
        <f t="shared" si="24"/>
        <v>277378000000000</v>
      </c>
      <c r="Y217">
        <f t="shared" si="24"/>
        <v>273631000000000</v>
      </c>
      <c r="Z217">
        <f t="shared" si="24"/>
        <v>270077999999999.97</v>
      </c>
      <c r="AA217">
        <f t="shared" si="24"/>
        <v>266974000000000</v>
      </c>
      <c r="AB217">
        <f t="shared" si="24"/>
        <v>263977999999999.97</v>
      </c>
      <c r="AC217">
        <f t="shared" si="24"/>
        <v>261290000000000</v>
      </c>
      <c r="AD217">
        <f t="shared" si="24"/>
        <v>258824000000000</v>
      </c>
      <c r="AE217">
        <f t="shared" si="24"/>
        <v>256576000000000</v>
      </c>
      <c r="AF217">
        <f t="shared" si="24"/>
        <v>254137000000000</v>
      </c>
    </row>
    <row r="218" spans="3:32" x14ac:dyDescent="0.25">
      <c r="F218" s="47">
        <f t="shared" ref="F218:AF218" si="25">F217/SUM(F216:F216)</f>
        <v>0.99999999999999978</v>
      </c>
      <c r="G218" s="47">
        <f t="shared" si="25"/>
        <v>1</v>
      </c>
      <c r="H218" s="47">
        <f t="shared" si="25"/>
        <v>1</v>
      </c>
      <c r="I218" s="47">
        <f t="shared" si="25"/>
        <v>1</v>
      </c>
      <c r="J218" s="47">
        <f t="shared" si="25"/>
        <v>1</v>
      </c>
      <c r="K218" s="47">
        <f t="shared" si="25"/>
        <v>1</v>
      </c>
      <c r="L218" s="47">
        <f t="shared" si="25"/>
        <v>1</v>
      </c>
      <c r="M218" s="47">
        <f t="shared" si="25"/>
        <v>0.99999999999999978</v>
      </c>
      <c r="N218" s="47">
        <f t="shared" si="25"/>
        <v>1</v>
      </c>
      <c r="O218" s="47">
        <f t="shared" si="25"/>
        <v>0.99999999999999978</v>
      </c>
      <c r="P218" s="47">
        <f t="shared" si="25"/>
        <v>1</v>
      </c>
      <c r="Q218" s="47">
        <f t="shared" si="25"/>
        <v>1</v>
      </c>
      <c r="R218" s="47">
        <f t="shared" si="25"/>
        <v>1</v>
      </c>
      <c r="S218" s="47">
        <f t="shared" si="25"/>
        <v>1</v>
      </c>
      <c r="T218" s="47">
        <f t="shared" si="25"/>
        <v>1</v>
      </c>
      <c r="U218" s="47">
        <f t="shared" si="25"/>
        <v>1</v>
      </c>
      <c r="V218" s="47">
        <f t="shared" si="25"/>
        <v>1</v>
      </c>
      <c r="W218" s="47">
        <f t="shared" si="25"/>
        <v>0.99999999999999989</v>
      </c>
      <c r="X218" s="47">
        <f t="shared" si="25"/>
        <v>1</v>
      </c>
      <c r="Y218" s="47">
        <f t="shared" si="25"/>
        <v>1</v>
      </c>
      <c r="Z218" s="47">
        <f t="shared" si="25"/>
        <v>0.99999999999999989</v>
      </c>
      <c r="AA218" s="47">
        <f t="shared" si="25"/>
        <v>1</v>
      </c>
      <c r="AB218" s="47">
        <f t="shared" si="25"/>
        <v>0.99999999999999989</v>
      </c>
      <c r="AC218" s="47">
        <f t="shared" si="25"/>
        <v>0.99999999999999989</v>
      </c>
      <c r="AD218" s="47">
        <f t="shared" si="25"/>
        <v>1</v>
      </c>
      <c r="AE218" s="47">
        <f t="shared" si="25"/>
        <v>0.99999999999999989</v>
      </c>
      <c r="AF218" s="47">
        <f t="shared" si="25"/>
        <v>1</v>
      </c>
    </row>
    <row r="220" spans="3:32" s="49" customFormat="1" x14ac:dyDescent="0.25">
      <c r="D220" s="49" t="s">
        <v>957</v>
      </c>
    </row>
    <row r="221" spans="3:32" x14ac:dyDescent="0.25">
      <c r="C221" t="s">
        <v>954</v>
      </c>
      <c r="E221" t="s">
        <v>955</v>
      </c>
      <c r="F221">
        <f>'AEO 2025 Table 5'!F27*quadrillion</f>
        <v>4891081000000000</v>
      </c>
      <c r="G221">
        <f>('AEO 2026 Table 5'!E27-'AEO 2026 Table 5'!E24)*quadrillion</f>
        <v>4795564000000000</v>
      </c>
      <c r="H221">
        <f>('AEO 2026 Table 5'!F27-'AEO 2026 Table 5'!F24)*quadrillion</f>
        <v>4987267999999999</v>
      </c>
      <c r="I221">
        <f>('AEO 2026 Table 5'!G27-'AEO 2026 Table 5'!G24)*quadrillion</f>
        <v>4995655000000000</v>
      </c>
      <c r="J221">
        <f>('AEO 2026 Table 5'!H27-'AEO 2026 Table 5'!H24)*quadrillion</f>
        <v>5007871000000000</v>
      </c>
      <c r="K221">
        <f>('AEO 2026 Table 5'!I27-'AEO 2026 Table 5'!I24)*quadrillion</f>
        <v>5015202000000000</v>
      </c>
      <c r="L221">
        <f>('AEO 2026 Table 5'!J27-'AEO 2026 Table 5'!J24)*quadrillion</f>
        <v>5001615999999999</v>
      </c>
      <c r="M221">
        <f>('AEO 2026 Table 5'!K27-'AEO 2026 Table 5'!K24)*quadrillion</f>
        <v>4991600000000000</v>
      </c>
      <c r="N221">
        <f>('AEO 2026 Table 5'!L27-'AEO 2026 Table 5'!L24)*quadrillion</f>
        <v>4985282000000000</v>
      </c>
      <c r="O221">
        <f>('AEO 2026 Table 5'!M27-'AEO 2026 Table 5'!M24)*quadrillion</f>
        <v>4984207000000000</v>
      </c>
      <c r="P221">
        <f>('AEO 2026 Table 5'!N27-'AEO 2026 Table 5'!N24)*quadrillion</f>
        <v>4986492000000000</v>
      </c>
      <c r="Q221">
        <f>('AEO 2026 Table 5'!O27-'AEO 2026 Table 5'!O24)*quadrillion</f>
        <v>4991263000000000</v>
      </c>
      <c r="R221">
        <f>('AEO 2026 Table 5'!P27-'AEO 2026 Table 5'!P24)*quadrillion</f>
        <v>5001929000000000</v>
      </c>
      <c r="S221">
        <f>('AEO 2026 Table 5'!Q27-'AEO 2026 Table 5'!Q24)*quadrillion</f>
        <v>5014599000000000</v>
      </c>
      <c r="T221">
        <f>('AEO 2026 Table 5'!R27-'AEO 2026 Table 5'!R24)*quadrillion</f>
        <v>5028981000000000</v>
      </c>
      <c r="U221">
        <f>('AEO 2026 Table 5'!S27-'AEO 2026 Table 5'!S24)*quadrillion</f>
        <v>5044582000000000</v>
      </c>
      <c r="V221">
        <f>('AEO 2026 Table 5'!T27-'AEO 2026 Table 5'!T24)*quadrillion</f>
        <v>5058975000000000</v>
      </c>
      <c r="W221">
        <f>('AEO 2026 Table 5'!U27-'AEO 2026 Table 5'!U24)*quadrillion</f>
        <v>5075527000000000</v>
      </c>
      <c r="X221">
        <f>('AEO 2026 Table 5'!V27-'AEO 2026 Table 5'!V24)*quadrillion</f>
        <v>5094383000000000</v>
      </c>
      <c r="Y221">
        <f>('AEO 2026 Table 5'!W27-'AEO 2026 Table 5'!W24)*quadrillion</f>
        <v>5114973000000000</v>
      </c>
      <c r="Z221">
        <f>('AEO 2026 Table 5'!X27-'AEO 2026 Table 5'!X24)*quadrillion</f>
        <v>5137022000000000</v>
      </c>
      <c r="AA221">
        <f>('AEO 2026 Table 5'!Y27-'AEO 2026 Table 5'!Y24)*quadrillion</f>
        <v>5160724000000000</v>
      </c>
      <c r="AB221">
        <f>('AEO 2026 Table 5'!Z27-'AEO 2026 Table 5'!Z24)*quadrillion</f>
        <v>5183575000000000</v>
      </c>
      <c r="AC221">
        <f>('AEO 2026 Table 5'!AA27-'AEO 2026 Table 5'!AA24)*quadrillion</f>
        <v>5203962000000001</v>
      </c>
      <c r="AD221">
        <f>('AEO 2026 Table 5'!AB27-'AEO 2026 Table 5'!AB24)*quadrillion</f>
        <v>5224100000000000</v>
      </c>
      <c r="AE221">
        <f>('AEO 2026 Table 5'!AC27-'AEO 2026 Table 5'!AC24)*quadrillion</f>
        <v>5245762000000000</v>
      </c>
      <c r="AF221">
        <f>('AEO 2026 Table 5'!AD27-'AEO 2026 Table 5'!AD24)*quadrillion</f>
        <v>5267459000000000</v>
      </c>
    </row>
    <row r="222" spans="3:32" x14ac:dyDescent="0.25">
      <c r="C222" t="s">
        <v>958</v>
      </c>
      <c r="E222" t="s">
        <v>955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row>
    <row r="223" spans="3:32" x14ac:dyDescent="0.25">
      <c r="C223" t="s">
        <v>956</v>
      </c>
      <c r="D223" t="s">
        <v>92</v>
      </c>
      <c r="E223" t="s">
        <v>10</v>
      </c>
      <c r="F223">
        <f t="shared" ref="F223:AF223" si="26">SUMIFS(F$5:F$196,$C$5:$C$196,$D223,$E$5:$E$196,$E223)</f>
        <v>4891080000000000</v>
      </c>
      <c r="G223">
        <f t="shared" si="26"/>
        <v>4388967385511953</v>
      </c>
      <c r="H223">
        <f t="shared" si="26"/>
        <v>4368179385511954</v>
      </c>
      <c r="I223">
        <f t="shared" si="26"/>
        <v>4359703385511954</v>
      </c>
      <c r="J223">
        <f t="shared" si="26"/>
        <v>4356993385511954</v>
      </c>
      <c r="K223">
        <f t="shared" si="26"/>
        <v>4353244385511954</v>
      </c>
      <c r="L223">
        <f t="shared" si="26"/>
        <v>4337695385511954</v>
      </c>
      <c r="M223">
        <f t="shared" si="26"/>
        <v>4324075385511955</v>
      </c>
      <c r="N223">
        <f t="shared" si="26"/>
        <v>4312067385511954.5</v>
      </c>
      <c r="O223">
        <f t="shared" si="26"/>
        <v>4301605385511954.5</v>
      </c>
      <c r="P223">
        <f t="shared" si="26"/>
        <v>4291768385511955</v>
      </c>
      <c r="Q223">
        <f t="shared" si="26"/>
        <v>4282309385511954.5</v>
      </c>
      <c r="R223">
        <f t="shared" si="26"/>
        <v>4274482385511954.5</v>
      </c>
      <c r="S223">
        <f t="shared" si="26"/>
        <v>4267436385511954</v>
      </c>
      <c r="T223">
        <f t="shared" si="26"/>
        <v>4261160385511954</v>
      </c>
      <c r="U223">
        <f t="shared" si="26"/>
        <v>4255315385511954</v>
      </c>
      <c r="V223">
        <f t="shared" si="26"/>
        <v>4247764385511954.5</v>
      </c>
      <c r="W223">
        <f t="shared" si="26"/>
        <v>4241852385511954</v>
      </c>
      <c r="X223">
        <f t="shared" si="26"/>
        <v>4236641385511955</v>
      </c>
      <c r="Y223">
        <f t="shared" si="26"/>
        <v>4232231385511954.5</v>
      </c>
      <c r="Z223">
        <f t="shared" si="26"/>
        <v>4228300385511954</v>
      </c>
      <c r="AA223">
        <f t="shared" si="26"/>
        <v>4224759385511954</v>
      </c>
      <c r="AB223">
        <f t="shared" si="26"/>
        <v>4220982385511955</v>
      </c>
      <c r="AC223">
        <f t="shared" si="26"/>
        <v>4216621385511954</v>
      </c>
      <c r="AD223">
        <f t="shared" si="26"/>
        <v>4212066385511953.5</v>
      </c>
      <c r="AE223">
        <f t="shared" si="26"/>
        <v>4207846385511954</v>
      </c>
      <c r="AF223">
        <f t="shared" si="26"/>
        <v>4203449385511954</v>
      </c>
    </row>
    <row r="224" spans="3:32" x14ac:dyDescent="0.25">
      <c r="F224" s="47">
        <f t="shared" ref="F224:AF224" si="27">F223/SUM(F221:F222)</f>
        <v>0.99999979554621976</v>
      </c>
      <c r="G224" s="47">
        <f t="shared" si="27"/>
        <v>0.91521401560107485</v>
      </c>
      <c r="H224" s="47">
        <f t="shared" si="27"/>
        <v>0.87586618275014594</v>
      </c>
      <c r="I224" s="47">
        <f t="shared" si="27"/>
        <v>0.87269905257908198</v>
      </c>
      <c r="J224" s="47">
        <f t="shared" si="27"/>
        <v>0.8700290773288597</v>
      </c>
      <c r="K224" s="47">
        <f t="shared" si="27"/>
        <v>0.86800978016677177</v>
      </c>
      <c r="L224" s="47">
        <f t="shared" si="27"/>
        <v>0.86725877906499715</v>
      </c>
      <c r="M224" s="47">
        <f t="shared" si="27"/>
        <v>0.86627041139353211</v>
      </c>
      <c r="N224" s="47">
        <f t="shared" si="27"/>
        <v>0.86495957209882102</v>
      </c>
      <c r="O224" s="47">
        <f t="shared" si="27"/>
        <v>0.86304709766507581</v>
      </c>
      <c r="P224" s="47">
        <f t="shared" si="27"/>
        <v>0.86067888718400731</v>
      </c>
      <c r="Q224" s="47">
        <f t="shared" si="27"/>
        <v>0.85796107829059587</v>
      </c>
      <c r="R224" s="47">
        <f t="shared" si="27"/>
        <v>0.85456678523664664</v>
      </c>
      <c r="S224" s="47">
        <f t="shared" si="27"/>
        <v>0.85100251994465637</v>
      </c>
      <c r="T224" s="47">
        <f t="shared" si="27"/>
        <v>0.8473208360723482</v>
      </c>
      <c r="U224" s="47">
        <f t="shared" si="27"/>
        <v>0.84354172169506891</v>
      </c>
      <c r="V224" s="47">
        <f t="shared" si="27"/>
        <v>0.83964921461599529</v>
      </c>
      <c r="W224" s="47">
        <f t="shared" si="27"/>
        <v>0.83574619650569371</v>
      </c>
      <c r="X224" s="47">
        <f t="shared" si="27"/>
        <v>0.83162993153674447</v>
      </c>
      <c r="Y224" s="47">
        <f t="shared" si="27"/>
        <v>0.82742008325595351</v>
      </c>
      <c r="Z224" s="47">
        <f t="shared" si="27"/>
        <v>0.82310342169294859</v>
      </c>
      <c r="AA224" s="47">
        <f t="shared" si="27"/>
        <v>0.81863695588292529</v>
      </c>
      <c r="AB224" s="47">
        <f t="shared" si="27"/>
        <v>0.81429947198833907</v>
      </c>
      <c r="AC224" s="47">
        <f t="shared" si="27"/>
        <v>0.81027136353262252</v>
      </c>
      <c r="AD224" s="47">
        <f t="shared" si="27"/>
        <v>0.80627598734939099</v>
      </c>
      <c r="AE224" s="47">
        <f t="shared" si="27"/>
        <v>0.80214206925742226</v>
      </c>
      <c r="AF224" s="47">
        <f t="shared" si="27"/>
        <v>0.79800324701377912</v>
      </c>
    </row>
    <row r="225" spans="3:32" x14ac:dyDescent="0.25">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row>
    <row r="226" spans="3:32" x14ac:dyDescent="0.25">
      <c r="C226" t="s">
        <v>954</v>
      </c>
      <c r="E226" t="s">
        <v>53</v>
      </c>
      <c r="F226">
        <f>'AEO 2025 Table 5'!F37*quadrillion</f>
        <v>3426704000000000</v>
      </c>
      <c r="G226">
        <f>'AEO 2026 Table 5'!E37*quadrillion</f>
        <v>3639804000000000</v>
      </c>
      <c r="H226">
        <f>'AEO 2026 Table 5'!F37*quadrillion</f>
        <v>3563961000000000</v>
      </c>
      <c r="I226">
        <f>'AEO 2026 Table 5'!G37*quadrillion</f>
        <v>3571540000000000</v>
      </c>
      <c r="J226">
        <f>'AEO 2026 Table 5'!H37*quadrillion</f>
        <v>3555938000000000</v>
      </c>
      <c r="K226">
        <f>'AEO 2026 Table 5'!I37*quadrillion</f>
        <v>3519203000000000</v>
      </c>
      <c r="L226">
        <f>'AEO 2026 Table 5'!J37*quadrillion</f>
        <v>3474857000000000</v>
      </c>
      <c r="M226">
        <f>'AEO 2026 Table 5'!K37*quadrillion</f>
        <v>3433453000000000</v>
      </c>
      <c r="N226">
        <f>'AEO 2026 Table 5'!L37*quadrillion</f>
        <v>3410690000000000</v>
      </c>
      <c r="O226">
        <f>'AEO 2026 Table 5'!M37*quadrillion</f>
        <v>3395886000000000</v>
      </c>
      <c r="P226">
        <f>'AEO 2026 Table 5'!N37*quadrillion</f>
        <v>3389492000000000</v>
      </c>
      <c r="Q226">
        <f>'AEO 2026 Table 5'!O37*quadrillion</f>
        <v>3383103000000000</v>
      </c>
      <c r="R226">
        <f>'AEO 2026 Table 5'!P37*quadrillion</f>
        <v>3380279000000000</v>
      </c>
      <c r="S226">
        <f>'AEO 2026 Table 5'!Q37*quadrillion</f>
        <v>3376655000000000</v>
      </c>
      <c r="T226">
        <f>'AEO 2026 Table 5'!R37*quadrillion</f>
        <v>3373224000000000</v>
      </c>
      <c r="U226">
        <f>'AEO 2026 Table 5'!S37*quadrillion</f>
        <v>3368847000000000</v>
      </c>
      <c r="V226">
        <f>'AEO 2026 Table 5'!T37*quadrillion</f>
        <v>3365051000000000</v>
      </c>
      <c r="W226">
        <f>'AEO 2026 Table 5'!U37*quadrillion</f>
        <v>3362263000000000</v>
      </c>
      <c r="X226">
        <f>'AEO 2026 Table 5'!V37*quadrillion</f>
        <v>3363703000000000</v>
      </c>
      <c r="Y226">
        <f>'AEO 2026 Table 5'!W37*quadrillion</f>
        <v>3366547000000000</v>
      </c>
      <c r="Z226">
        <f>'AEO 2026 Table 5'!X37*quadrillion</f>
        <v>3371504000000000</v>
      </c>
      <c r="AA226">
        <f>'AEO 2026 Table 5'!Y37*quadrillion</f>
        <v>3375350000000000</v>
      </c>
      <c r="AB226">
        <f>'AEO 2026 Table 5'!Z37*quadrillion</f>
        <v>3374094000000000</v>
      </c>
      <c r="AC226">
        <f>'AEO 2026 Table 5'!AA37*quadrillion</f>
        <v>3369559000000000</v>
      </c>
      <c r="AD226">
        <f>'AEO 2026 Table 5'!AB37*quadrillion</f>
        <v>3364201000000000</v>
      </c>
      <c r="AE226">
        <f>'AEO 2026 Table 5'!AC37*quadrillion</f>
        <v>3358932000000000</v>
      </c>
      <c r="AF226">
        <f>'AEO 2026 Table 5'!AD37*quadrillion</f>
        <v>3354442000000000</v>
      </c>
    </row>
    <row r="227" spans="3:32" x14ac:dyDescent="0.25">
      <c r="C227" t="s">
        <v>956</v>
      </c>
      <c r="D227" t="s">
        <v>92</v>
      </c>
      <c r="E227" t="s">
        <v>53</v>
      </c>
      <c r="F227">
        <f t="shared" ref="F227:AF227" si="28">SUMIFS(F$5:F$196,$C$5:$C$196,$D227,$E$5:$E$196,$E227)</f>
        <v>3426704000000000</v>
      </c>
      <c r="G227">
        <f t="shared" si="28"/>
        <v>3639803000000000</v>
      </c>
      <c r="H227">
        <f t="shared" si="28"/>
        <v>3563961000000000</v>
      </c>
      <c r="I227">
        <f t="shared" si="28"/>
        <v>3571540000000000</v>
      </c>
      <c r="J227">
        <f t="shared" si="28"/>
        <v>3555938000000000</v>
      </c>
      <c r="K227">
        <f t="shared" si="28"/>
        <v>3519203000000000</v>
      </c>
      <c r="L227">
        <f t="shared" si="28"/>
        <v>3474858000000000</v>
      </c>
      <c r="M227">
        <f t="shared" si="28"/>
        <v>3433453000000000</v>
      </c>
      <c r="N227">
        <f t="shared" si="28"/>
        <v>3410690000000000</v>
      </c>
      <c r="O227">
        <f t="shared" si="28"/>
        <v>3395887000000000</v>
      </c>
      <c r="P227">
        <f t="shared" si="28"/>
        <v>3389492000000000</v>
      </c>
      <c r="Q227">
        <f t="shared" si="28"/>
        <v>3383104000000000</v>
      </c>
      <c r="R227">
        <f t="shared" si="28"/>
        <v>3380279000000000</v>
      </c>
      <c r="S227">
        <f t="shared" si="28"/>
        <v>3376655000000000</v>
      </c>
      <c r="T227">
        <f t="shared" si="28"/>
        <v>3373225000000000</v>
      </c>
      <c r="U227">
        <f t="shared" si="28"/>
        <v>3368846000000000</v>
      </c>
      <c r="V227">
        <f t="shared" si="28"/>
        <v>3365051000000000</v>
      </c>
      <c r="W227">
        <f t="shared" si="28"/>
        <v>3362263000000000</v>
      </c>
      <c r="X227">
        <f t="shared" si="28"/>
        <v>3363703000000000</v>
      </c>
      <c r="Y227">
        <f t="shared" si="28"/>
        <v>3366547000000000</v>
      </c>
      <c r="Z227">
        <f t="shared" si="28"/>
        <v>3371504000000000</v>
      </c>
      <c r="AA227">
        <f t="shared" si="28"/>
        <v>3375350000000000</v>
      </c>
      <c r="AB227">
        <f t="shared" si="28"/>
        <v>3374095000000000</v>
      </c>
      <c r="AC227">
        <f t="shared" si="28"/>
        <v>3369559000000000</v>
      </c>
      <c r="AD227">
        <f t="shared" si="28"/>
        <v>3364202000000000</v>
      </c>
      <c r="AE227">
        <f t="shared" si="28"/>
        <v>3358932000000000</v>
      </c>
      <c r="AF227">
        <f t="shared" si="28"/>
        <v>3354443000000000</v>
      </c>
    </row>
    <row r="228" spans="3:32" x14ac:dyDescent="0.25">
      <c r="F228" s="47">
        <f t="shared" ref="F228:AF228" si="29">F227/SUM(F226:F226)</f>
        <v>1</v>
      </c>
      <c r="G228" s="47">
        <f t="shared" si="29"/>
        <v>0.99999972525993153</v>
      </c>
      <c r="H228" s="47">
        <f t="shared" si="29"/>
        <v>1</v>
      </c>
      <c r="I228" s="47">
        <f t="shared" si="29"/>
        <v>1</v>
      </c>
      <c r="J228" s="47">
        <f t="shared" si="29"/>
        <v>1</v>
      </c>
      <c r="K228" s="47">
        <f t="shared" si="29"/>
        <v>1</v>
      </c>
      <c r="L228" s="47">
        <f t="shared" si="29"/>
        <v>1.0000002877816268</v>
      </c>
      <c r="M228" s="47">
        <f t="shared" si="29"/>
        <v>1</v>
      </c>
      <c r="N228" s="47">
        <f t="shared" si="29"/>
        <v>1</v>
      </c>
      <c r="O228" s="47">
        <f t="shared" si="29"/>
        <v>1.0000002944739605</v>
      </c>
      <c r="P228" s="47">
        <f t="shared" si="29"/>
        <v>1</v>
      </c>
      <c r="Q228" s="47">
        <f t="shared" si="29"/>
        <v>1.0000002955866256</v>
      </c>
      <c r="R228" s="47">
        <f t="shared" si="29"/>
        <v>1</v>
      </c>
      <c r="S228" s="47">
        <f t="shared" si="29"/>
        <v>1</v>
      </c>
      <c r="T228" s="47">
        <f t="shared" si="29"/>
        <v>1.000000296452296</v>
      </c>
      <c r="U228" s="47">
        <f t="shared" si="29"/>
        <v>0.99999970316253606</v>
      </c>
      <c r="V228" s="47">
        <f t="shared" si="29"/>
        <v>1</v>
      </c>
      <c r="W228" s="47">
        <f t="shared" si="29"/>
        <v>1</v>
      </c>
      <c r="X228" s="47">
        <f t="shared" si="29"/>
        <v>1</v>
      </c>
      <c r="Y228" s="47">
        <f t="shared" si="29"/>
        <v>1</v>
      </c>
      <c r="Z228" s="47">
        <f t="shared" si="29"/>
        <v>1</v>
      </c>
      <c r="AA228" s="47">
        <f t="shared" si="29"/>
        <v>1</v>
      </c>
      <c r="AB228" s="47">
        <f t="shared" si="29"/>
        <v>1.0000002963758567</v>
      </c>
      <c r="AC228" s="47">
        <f t="shared" si="29"/>
        <v>1</v>
      </c>
      <c r="AD228" s="47">
        <f t="shared" si="29"/>
        <v>1.0000002972473998</v>
      </c>
      <c r="AE228" s="47">
        <f t="shared" si="29"/>
        <v>1</v>
      </c>
      <c r="AF228" s="47">
        <f t="shared" si="29"/>
        <v>1.0000002981121749</v>
      </c>
    </row>
    <row r="230" spans="3:32" x14ac:dyDescent="0.25">
      <c r="C230" t="s">
        <v>954</v>
      </c>
      <c r="E230" t="s">
        <v>68</v>
      </c>
      <c r="F230">
        <f>'AEO 2025 Table 5'!F42*quadrillion</f>
        <v>308284000000000</v>
      </c>
      <c r="G230">
        <f>'AEO 2026 Table 5'!E42*quadrillion</f>
        <v>315420000000000</v>
      </c>
      <c r="H230">
        <f>'AEO 2026 Table 5'!F42*quadrillion</f>
        <v>318988000000000</v>
      </c>
      <c r="I230">
        <f>'AEO 2026 Table 5'!G42*quadrillion</f>
        <v>326446000000000</v>
      </c>
      <c r="J230">
        <f>'AEO 2026 Table 5'!H42*quadrillion</f>
        <v>327495000000000</v>
      </c>
      <c r="K230">
        <f>'AEO 2026 Table 5'!I42*quadrillion</f>
        <v>327918000000000</v>
      </c>
      <c r="L230">
        <f>'AEO 2026 Table 5'!J42*quadrillion</f>
        <v>329482000000000</v>
      </c>
      <c r="M230">
        <f>'AEO 2026 Table 5'!K42*quadrillion</f>
        <v>330749000000000</v>
      </c>
      <c r="N230">
        <f>'AEO 2026 Table 5'!L42*quadrillion</f>
        <v>330317000000000</v>
      </c>
      <c r="O230">
        <f>'AEO 2026 Table 5'!M42*quadrillion</f>
        <v>327748000000000</v>
      </c>
      <c r="P230">
        <f>'AEO 2026 Table 5'!N42*quadrillion</f>
        <v>325246000000000</v>
      </c>
      <c r="Q230">
        <f>'AEO 2026 Table 5'!O42*quadrillion</f>
        <v>322803000000000</v>
      </c>
      <c r="R230">
        <f>'AEO 2026 Table 5'!P42*quadrillion</f>
        <v>320870000000000</v>
      </c>
      <c r="S230">
        <f>'AEO 2026 Table 5'!Q42*quadrillion</f>
        <v>318856000000000</v>
      </c>
      <c r="T230">
        <f>'AEO 2026 Table 5'!R42*quadrillion</f>
        <v>316839000000000</v>
      </c>
      <c r="U230">
        <f>'AEO 2026 Table 5'!S42*quadrillion</f>
        <v>315024000000000</v>
      </c>
      <c r="V230">
        <f>'AEO 2026 Table 5'!T42*quadrillion</f>
        <v>313302000000000</v>
      </c>
      <c r="W230">
        <f>'AEO 2026 Table 5'!U42*quadrillion</f>
        <v>311560000000000</v>
      </c>
      <c r="X230">
        <f>'AEO 2026 Table 5'!V42*quadrillion</f>
        <v>309885000000000</v>
      </c>
      <c r="Y230">
        <f>'AEO 2026 Table 5'!W42*quadrillion</f>
        <v>308174000000000</v>
      </c>
      <c r="Z230">
        <f>'AEO 2026 Table 5'!X42*quadrillion</f>
        <v>306455000000000</v>
      </c>
      <c r="AA230">
        <f>'AEO 2026 Table 5'!Y42*quadrillion</f>
        <v>304637000000000</v>
      </c>
      <c r="AB230">
        <f>'AEO 2026 Table 5'!Z42*quadrillion</f>
        <v>302802000000000</v>
      </c>
      <c r="AC230">
        <f>'AEO 2026 Table 5'!AA42*quadrillion</f>
        <v>300869000000000</v>
      </c>
      <c r="AD230">
        <f>'AEO 2026 Table 5'!AB42*quadrillion</f>
        <v>299047000000000</v>
      </c>
      <c r="AE230">
        <f>'AEO 2026 Table 5'!AC42*quadrillion</f>
        <v>297122000000000</v>
      </c>
      <c r="AF230">
        <f>'AEO 2026 Table 5'!AD42*quadrillion</f>
        <v>295435000000000</v>
      </c>
    </row>
    <row r="231" spans="3:32" x14ac:dyDescent="0.25">
      <c r="C231" t="s">
        <v>956</v>
      </c>
      <c r="D231" t="s">
        <v>92</v>
      </c>
      <c r="E231" t="s">
        <v>68</v>
      </c>
      <c r="F231">
        <f t="shared" ref="F231:AF231" si="30">SUMIFS(F$5:F$196,$C$5:$C$196,$D231,$E$5:$E$196,$E231)</f>
        <v>308284000000000</v>
      </c>
      <c r="G231">
        <f t="shared" si="30"/>
        <v>315420000000000</v>
      </c>
      <c r="H231">
        <f t="shared" si="30"/>
        <v>318989000000000</v>
      </c>
      <c r="I231">
        <f t="shared" si="30"/>
        <v>326445000000000</v>
      </c>
      <c r="J231">
        <f t="shared" si="30"/>
        <v>327494000000000</v>
      </c>
      <c r="K231">
        <f t="shared" si="30"/>
        <v>327919000000000</v>
      </c>
      <c r="L231">
        <f t="shared" si="30"/>
        <v>329483000000000</v>
      </c>
      <c r="M231">
        <f t="shared" si="30"/>
        <v>330750000000000</v>
      </c>
      <c r="N231">
        <f t="shared" si="30"/>
        <v>330318000000000</v>
      </c>
      <c r="O231">
        <f t="shared" si="30"/>
        <v>327748000000000</v>
      </c>
      <c r="P231">
        <f t="shared" si="30"/>
        <v>325247000000000</v>
      </c>
      <c r="Q231">
        <f t="shared" si="30"/>
        <v>322804000000000</v>
      </c>
      <c r="R231">
        <f t="shared" si="30"/>
        <v>320870000000000</v>
      </c>
      <c r="S231">
        <f t="shared" si="30"/>
        <v>318855000000000</v>
      </c>
      <c r="T231">
        <f t="shared" si="30"/>
        <v>316840000000000</v>
      </c>
      <c r="U231">
        <f t="shared" si="30"/>
        <v>315024000000000</v>
      </c>
      <c r="V231">
        <f t="shared" si="30"/>
        <v>313303000000000</v>
      </c>
      <c r="W231">
        <f t="shared" si="30"/>
        <v>311559000000000</v>
      </c>
      <c r="X231">
        <f t="shared" si="30"/>
        <v>309884000000000</v>
      </c>
      <c r="Y231">
        <f t="shared" si="30"/>
        <v>308174000000000</v>
      </c>
      <c r="Z231">
        <f t="shared" si="30"/>
        <v>306455000000000</v>
      </c>
      <c r="AA231">
        <f t="shared" si="30"/>
        <v>304637000000000</v>
      </c>
      <c r="AB231">
        <f t="shared" si="30"/>
        <v>302802000000000</v>
      </c>
      <c r="AC231">
        <f t="shared" si="30"/>
        <v>300869000000000</v>
      </c>
      <c r="AD231">
        <f t="shared" si="30"/>
        <v>299047000000000</v>
      </c>
      <c r="AE231">
        <f t="shared" si="30"/>
        <v>297122000000000</v>
      </c>
      <c r="AF231">
        <f t="shared" si="30"/>
        <v>295434000000000</v>
      </c>
    </row>
    <row r="232" spans="3:32" x14ac:dyDescent="0.25">
      <c r="F232" s="47">
        <f t="shared" ref="F232:AF232" si="31">F231/SUM(F230:F230)</f>
        <v>1</v>
      </c>
      <c r="G232" s="47">
        <f t="shared" si="31"/>
        <v>1</v>
      </c>
      <c r="H232" s="47">
        <f t="shared" si="31"/>
        <v>1.000003134914166</v>
      </c>
      <c r="I232" s="47">
        <f t="shared" si="31"/>
        <v>0.99999693670622403</v>
      </c>
      <c r="J232" s="47">
        <f t="shared" si="31"/>
        <v>0.99999694651826743</v>
      </c>
      <c r="K232" s="47">
        <f t="shared" si="31"/>
        <v>1.0000030495428736</v>
      </c>
      <c r="L232" s="47">
        <f t="shared" si="31"/>
        <v>1.000003035067166</v>
      </c>
      <c r="M232" s="47">
        <f t="shared" si="31"/>
        <v>1.000003023440736</v>
      </c>
      <c r="N232" s="47">
        <f t="shared" si="31"/>
        <v>1.0000030273948963</v>
      </c>
      <c r="O232" s="47">
        <f t="shared" si="31"/>
        <v>1</v>
      </c>
      <c r="P232" s="47">
        <f t="shared" si="31"/>
        <v>1.0000030745958444</v>
      </c>
      <c r="Q232" s="47">
        <f t="shared" si="31"/>
        <v>1.0000030978646419</v>
      </c>
      <c r="R232" s="47">
        <f t="shared" si="31"/>
        <v>1</v>
      </c>
      <c r="S232" s="47">
        <f t="shared" si="31"/>
        <v>0.9999968637880422</v>
      </c>
      <c r="T232" s="47">
        <f t="shared" si="31"/>
        <v>1.0000031561771121</v>
      </c>
      <c r="U232" s="47">
        <f t="shared" si="31"/>
        <v>1</v>
      </c>
      <c r="V232" s="47">
        <f t="shared" si="31"/>
        <v>1.0000031918085426</v>
      </c>
      <c r="W232" s="47">
        <f t="shared" si="31"/>
        <v>0.99999679034535882</v>
      </c>
      <c r="X232" s="47">
        <f t="shared" si="31"/>
        <v>0.99999677299643419</v>
      </c>
      <c r="Y232" s="47">
        <f t="shared" si="31"/>
        <v>1</v>
      </c>
      <c r="Z232" s="47">
        <f t="shared" si="31"/>
        <v>1</v>
      </c>
      <c r="AA232" s="47">
        <f t="shared" si="31"/>
        <v>1</v>
      </c>
      <c r="AB232" s="47">
        <f t="shared" si="31"/>
        <v>1</v>
      </c>
      <c r="AC232" s="47">
        <f t="shared" si="31"/>
        <v>1</v>
      </c>
      <c r="AD232" s="47">
        <f t="shared" si="31"/>
        <v>1</v>
      </c>
      <c r="AE232" s="47">
        <f t="shared" si="31"/>
        <v>1</v>
      </c>
      <c r="AF232" s="47">
        <f t="shared" si="31"/>
        <v>0.99999661516069527</v>
      </c>
    </row>
    <row r="234" spans="3:32" x14ac:dyDescent="0.25">
      <c r="C234" t="s">
        <v>954</v>
      </c>
      <c r="E234" t="s">
        <v>77</v>
      </c>
      <c r="F234">
        <f>'AEO 2025 Table 5'!F44*(1-Fraction_coal)*quadrillion</f>
        <v>627274559999999.88</v>
      </c>
      <c r="G234">
        <f>'AEO 2026 Table 5'!E44*(1-Fraction_coal)*quadrillion</f>
        <v>622127040000000</v>
      </c>
      <c r="H234">
        <f>'AEO 2026 Table 5'!F44*(1-Fraction_coal)*quadrillion</f>
        <v>634650239999999.88</v>
      </c>
      <c r="I234">
        <f>'AEO 2026 Table 5'!G44*(1-Fraction_coal)*quadrillion</f>
        <v>641432639999999.88</v>
      </c>
      <c r="J234">
        <f>'AEO 2026 Table 5'!H44*(1-Fraction_coal)*quadrillion</f>
        <v>648297599999999.88</v>
      </c>
      <c r="K234">
        <f>'AEO 2026 Table 5'!I44*(1-Fraction_coal)*quadrillion</f>
        <v>655214400000000</v>
      </c>
      <c r="L234">
        <f>'AEO 2026 Table 5'!J44*(1-Fraction_coal)*quadrillion</f>
        <v>662962560000000</v>
      </c>
      <c r="M234">
        <f>'AEO 2026 Table 5'!K44*(1-Fraction_coal)*quadrillion</f>
        <v>670000320000000</v>
      </c>
      <c r="N234">
        <f>'AEO 2026 Table 5'!L44*(1-Fraction_coal)*quadrillion</f>
        <v>677712959999999.88</v>
      </c>
      <c r="O234">
        <f>'AEO 2026 Table 5'!M44*(1-Fraction_coal)*quadrillion</f>
        <v>685412160000000</v>
      </c>
      <c r="P234">
        <f>'AEO 2026 Table 5'!N44*(1-Fraction_coal)*quadrillion</f>
        <v>693750719999999.88</v>
      </c>
      <c r="Q234">
        <f>'AEO 2026 Table 5'!O44*(1-Fraction_coal)*quadrillion</f>
        <v>702076800000000</v>
      </c>
      <c r="R234">
        <f>'AEO 2026 Table 5'!P44*(1-Fraction_coal)*quadrillion</f>
        <v>710913600000000</v>
      </c>
      <c r="S234">
        <f>'AEO 2026 Table 5'!Q44*(1-Fraction_coal)*quadrillion</f>
        <v>719830080000000</v>
      </c>
      <c r="T234">
        <f>'AEO 2026 Table 5'!R44*(1-Fraction_coal)*quadrillion</f>
        <v>728546880000000</v>
      </c>
      <c r="U234">
        <f>'AEO 2026 Table 5'!S44*(1-Fraction_coal)*quadrillion</f>
        <v>737146560000000</v>
      </c>
      <c r="V234">
        <f>'AEO 2026 Table 5'!T44*(1-Fraction_coal)*quadrillion</f>
        <v>745469760000000</v>
      </c>
      <c r="W234">
        <f>'AEO 2026 Table 5'!U44*(1-Fraction_coal)*quadrillion</f>
        <v>753329280000000</v>
      </c>
      <c r="X234">
        <f>'AEO 2026 Table 5'!V44*(1-Fraction_coal)*quadrillion</f>
        <v>760967039999999.88</v>
      </c>
      <c r="Y234">
        <f>'AEO 2026 Table 5'!W44*(1-Fraction_coal)*quadrillion</f>
        <v>768377280000000</v>
      </c>
      <c r="Z234">
        <f>'AEO 2026 Table 5'!X44*(1-Fraction_coal)*quadrillion</f>
        <v>775620480000000</v>
      </c>
      <c r="AA234">
        <f>'AEO 2026 Table 5'!Y44*(1-Fraction_coal)*quadrillion</f>
        <v>782700479999999.88</v>
      </c>
      <c r="AB234">
        <f>'AEO 2026 Table 5'!Z44*(1-Fraction_coal)*quadrillion</f>
        <v>789761279999999.88</v>
      </c>
      <c r="AC234">
        <f>'AEO 2026 Table 5'!AA44*(1-Fraction_coal)*quadrillion</f>
        <v>796707840000000</v>
      </c>
      <c r="AD234">
        <f>'AEO 2026 Table 5'!AB44*(1-Fraction_coal)*quadrillion</f>
        <v>803627519999999.88</v>
      </c>
      <c r="AE234">
        <f>'AEO 2026 Table 5'!AC44*(1-Fraction_coal)*quadrillion</f>
        <v>810523200000000</v>
      </c>
      <c r="AF234">
        <f>'AEO 2026 Table 5'!AD44*(1-Fraction_coal)*quadrillion</f>
        <v>817448640000000</v>
      </c>
    </row>
    <row r="235" spans="3:32" x14ac:dyDescent="0.25">
      <c r="C235" t="s">
        <v>956</v>
      </c>
      <c r="D235" t="s">
        <v>92</v>
      </c>
      <c r="E235" t="s">
        <v>77</v>
      </c>
      <c r="F235">
        <f t="shared" ref="F235:AF235" si="32">SUMIFS(F$5:F$196,$C$5:$C$196,$D235,$E$5:$E$196,$E235)</f>
        <v>627274559999999.88</v>
      </c>
      <c r="G235">
        <f t="shared" si="32"/>
        <v>622127040000000</v>
      </c>
      <c r="H235">
        <f t="shared" si="32"/>
        <v>634650239999999.88</v>
      </c>
      <c r="I235">
        <f t="shared" si="32"/>
        <v>641432639999999.88</v>
      </c>
      <c r="J235">
        <f t="shared" si="32"/>
        <v>648297600000000</v>
      </c>
      <c r="K235">
        <f t="shared" si="32"/>
        <v>655214400000000</v>
      </c>
      <c r="L235">
        <f t="shared" si="32"/>
        <v>662962560000000</v>
      </c>
      <c r="M235">
        <f t="shared" si="32"/>
        <v>670000320000000</v>
      </c>
      <c r="N235">
        <f t="shared" si="32"/>
        <v>677712959999999.75</v>
      </c>
      <c r="O235">
        <f t="shared" si="32"/>
        <v>685412160000000</v>
      </c>
      <c r="P235">
        <f t="shared" si="32"/>
        <v>693750719999999.88</v>
      </c>
      <c r="Q235">
        <f t="shared" si="32"/>
        <v>702076800000000</v>
      </c>
      <c r="R235">
        <f t="shared" si="32"/>
        <v>710913600000000</v>
      </c>
      <c r="S235">
        <f t="shared" si="32"/>
        <v>719830080000000</v>
      </c>
      <c r="T235">
        <f t="shared" si="32"/>
        <v>728546880000000</v>
      </c>
      <c r="U235">
        <f t="shared" si="32"/>
        <v>737146560000000</v>
      </c>
      <c r="V235">
        <f t="shared" si="32"/>
        <v>745469760000000</v>
      </c>
      <c r="W235">
        <f t="shared" si="32"/>
        <v>753329280000000</v>
      </c>
      <c r="X235">
        <f t="shared" si="32"/>
        <v>760967039999999.75</v>
      </c>
      <c r="Y235">
        <f t="shared" si="32"/>
        <v>768377280000000</v>
      </c>
      <c r="Z235">
        <f t="shared" si="32"/>
        <v>775620480000000.13</v>
      </c>
      <c r="AA235">
        <f t="shared" si="32"/>
        <v>782700479999999.88</v>
      </c>
      <c r="AB235">
        <f t="shared" si="32"/>
        <v>789761279999999.88</v>
      </c>
      <c r="AC235">
        <f t="shared" si="32"/>
        <v>796707840000000</v>
      </c>
      <c r="AD235">
        <f t="shared" si="32"/>
        <v>803627520000000</v>
      </c>
      <c r="AE235">
        <f t="shared" si="32"/>
        <v>810523200000000</v>
      </c>
      <c r="AF235">
        <f t="shared" si="32"/>
        <v>817448640000000</v>
      </c>
    </row>
    <row r="236" spans="3:32" x14ac:dyDescent="0.25">
      <c r="F236" s="47">
        <f t="shared" ref="F236:AF236" si="33">F235/SUM(F234:F234)</f>
        <v>1</v>
      </c>
      <c r="G236" s="47">
        <f t="shared" si="33"/>
        <v>1</v>
      </c>
      <c r="H236" s="47">
        <f t="shared" si="33"/>
        <v>1</v>
      </c>
      <c r="I236" s="47">
        <f t="shared" si="33"/>
        <v>1</v>
      </c>
      <c r="J236" s="47">
        <f t="shared" si="33"/>
        <v>1.0000000000000002</v>
      </c>
      <c r="K236" s="47">
        <f t="shared" si="33"/>
        <v>1</v>
      </c>
      <c r="L236" s="47">
        <f t="shared" si="33"/>
        <v>1</v>
      </c>
      <c r="M236" s="47">
        <f t="shared" si="33"/>
        <v>1</v>
      </c>
      <c r="N236" s="47">
        <f t="shared" si="33"/>
        <v>0.99999999999999978</v>
      </c>
      <c r="O236" s="47">
        <f t="shared" si="33"/>
        <v>1</v>
      </c>
      <c r="P236" s="47">
        <f t="shared" si="33"/>
        <v>1</v>
      </c>
      <c r="Q236" s="47">
        <f t="shared" si="33"/>
        <v>1</v>
      </c>
      <c r="R236" s="47">
        <f t="shared" si="33"/>
        <v>1</v>
      </c>
      <c r="S236" s="47">
        <f t="shared" si="33"/>
        <v>1</v>
      </c>
      <c r="T236" s="47">
        <f t="shared" si="33"/>
        <v>1</v>
      </c>
      <c r="U236" s="47">
        <f t="shared" si="33"/>
        <v>1</v>
      </c>
      <c r="V236" s="47">
        <f t="shared" si="33"/>
        <v>1</v>
      </c>
      <c r="W236" s="47">
        <f t="shared" si="33"/>
        <v>1</v>
      </c>
      <c r="X236" s="47">
        <f t="shared" si="33"/>
        <v>0.99999999999999989</v>
      </c>
      <c r="Y236" s="47">
        <f t="shared" si="33"/>
        <v>1</v>
      </c>
      <c r="Z236" s="47">
        <f t="shared" si="33"/>
        <v>1.0000000000000002</v>
      </c>
      <c r="AA236" s="47">
        <f t="shared" si="33"/>
        <v>1</v>
      </c>
      <c r="AB236" s="47">
        <f t="shared" si="33"/>
        <v>1</v>
      </c>
      <c r="AC236" s="47">
        <f t="shared" si="33"/>
        <v>1</v>
      </c>
      <c r="AD236" s="47">
        <f t="shared" si="33"/>
        <v>1.0000000000000002</v>
      </c>
      <c r="AE236" s="47">
        <f t="shared" si="33"/>
        <v>1</v>
      </c>
      <c r="AF236" s="47">
        <f t="shared" si="33"/>
        <v>1</v>
      </c>
    </row>
    <row r="238" spans="3:32" x14ac:dyDescent="0.25">
      <c r="C238" t="s">
        <v>954</v>
      </c>
      <c r="E238" t="s">
        <v>88</v>
      </c>
      <c r="F238">
        <f>'AEO 2025 Table 5'!F43*quadrillion</f>
        <v>158104000000000</v>
      </c>
      <c r="G238">
        <f>'AEO 2026 Table 5'!E43*quadrillion</f>
        <v>143682000000000</v>
      </c>
      <c r="H238">
        <f>'AEO 2026 Table 5'!F43*quadrillion</f>
        <v>143682000000000</v>
      </c>
      <c r="I238">
        <f>'AEO 2026 Table 5'!G43*quadrillion</f>
        <v>143682000000000</v>
      </c>
      <c r="J238">
        <f>'AEO 2026 Table 5'!H43*quadrillion</f>
        <v>143682000000000</v>
      </c>
      <c r="K238">
        <f>'AEO 2026 Table 5'!I43*quadrillion</f>
        <v>143682000000000</v>
      </c>
      <c r="L238">
        <f>'AEO 2026 Table 5'!J43*quadrillion</f>
        <v>143682000000000</v>
      </c>
      <c r="M238">
        <f>'AEO 2026 Table 5'!K43*quadrillion</f>
        <v>143682000000000</v>
      </c>
      <c r="N238">
        <f>'AEO 2026 Table 5'!L43*quadrillion</f>
        <v>143682000000000</v>
      </c>
      <c r="O238">
        <f>'AEO 2026 Table 5'!M43*quadrillion</f>
        <v>143682000000000</v>
      </c>
      <c r="P238">
        <f>'AEO 2026 Table 5'!N43*quadrillion</f>
        <v>143682000000000</v>
      </c>
      <c r="Q238">
        <f>'AEO 2026 Table 5'!O43*quadrillion</f>
        <v>143682000000000</v>
      </c>
      <c r="R238">
        <f>'AEO 2026 Table 5'!P43*quadrillion</f>
        <v>143682000000000</v>
      </c>
      <c r="S238">
        <f>'AEO 2026 Table 5'!Q43*quadrillion</f>
        <v>143682000000000</v>
      </c>
      <c r="T238">
        <f>'AEO 2026 Table 5'!R43*quadrillion</f>
        <v>143682000000000</v>
      </c>
      <c r="U238">
        <f>'AEO 2026 Table 5'!S43*quadrillion</f>
        <v>143682000000000</v>
      </c>
      <c r="V238">
        <f>'AEO 2026 Table 5'!T43*quadrillion</f>
        <v>143682000000000</v>
      </c>
      <c r="W238">
        <f>'AEO 2026 Table 5'!U43*quadrillion</f>
        <v>143682000000000</v>
      </c>
      <c r="X238">
        <f>'AEO 2026 Table 5'!V43*quadrillion</f>
        <v>143682000000000</v>
      </c>
      <c r="Y238">
        <f>'AEO 2026 Table 5'!W43*quadrillion</f>
        <v>143682000000000</v>
      </c>
      <c r="Z238">
        <f>'AEO 2026 Table 5'!X43*quadrillion</f>
        <v>143682000000000</v>
      </c>
      <c r="AA238">
        <f>'AEO 2026 Table 5'!Y43*quadrillion</f>
        <v>143682000000000</v>
      </c>
      <c r="AB238">
        <f>'AEO 2026 Table 5'!Z43*quadrillion</f>
        <v>143682000000000</v>
      </c>
      <c r="AC238">
        <f>'AEO 2026 Table 5'!AA43*quadrillion</f>
        <v>143682000000000</v>
      </c>
      <c r="AD238">
        <f>'AEO 2026 Table 5'!AB43*quadrillion</f>
        <v>143682000000000</v>
      </c>
      <c r="AE238">
        <f>'AEO 2026 Table 5'!AC43*quadrillion</f>
        <v>143682000000000</v>
      </c>
      <c r="AF238">
        <f>'AEO 2026 Table 5'!AD43*quadrillion</f>
        <v>143682000000000</v>
      </c>
    </row>
    <row r="239" spans="3:32" x14ac:dyDescent="0.25">
      <c r="C239" t="s">
        <v>956</v>
      </c>
      <c r="D239" t="s">
        <v>92</v>
      </c>
      <c r="E239" t="s">
        <v>88</v>
      </c>
      <c r="F239">
        <f t="shared" ref="F239:AF239" si="34">SUMIFS(F$5:F$196,$C$5:$C$196,$D239,$E$5:$E$196,$E239)</f>
        <v>158104000000000</v>
      </c>
      <c r="G239">
        <f t="shared" si="34"/>
        <v>143682000000000</v>
      </c>
      <c r="H239">
        <f t="shared" si="34"/>
        <v>143682000000000</v>
      </c>
      <c r="I239">
        <f t="shared" si="34"/>
        <v>143682000000000</v>
      </c>
      <c r="J239">
        <f t="shared" si="34"/>
        <v>143682000000000</v>
      </c>
      <c r="K239">
        <f t="shared" si="34"/>
        <v>143682000000000</v>
      </c>
      <c r="L239">
        <f t="shared" si="34"/>
        <v>143682000000000</v>
      </c>
      <c r="M239">
        <f t="shared" si="34"/>
        <v>143682000000000</v>
      </c>
      <c r="N239">
        <f t="shared" si="34"/>
        <v>143682000000000</v>
      </c>
      <c r="O239">
        <f t="shared" si="34"/>
        <v>143682000000000</v>
      </c>
      <c r="P239">
        <f t="shared" si="34"/>
        <v>143682000000000</v>
      </c>
      <c r="Q239">
        <f t="shared" si="34"/>
        <v>143682000000000</v>
      </c>
      <c r="R239">
        <f t="shared" si="34"/>
        <v>143682000000000</v>
      </c>
      <c r="S239">
        <f t="shared" si="34"/>
        <v>143682000000000</v>
      </c>
      <c r="T239">
        <f t="shared" si="34"/>
        <v>143682000000000</v>
      </c>
      <c r="U239">
        <f t="shared" si="34"/>
        <v>143682000000000</v>
      </c>
      <c r="V239">
        <f t="shared" si="34"/>
        <v>143682000000000</v>
      </c>
      <c r="W239">
        <f t="shared" si="34"/>
        <v>143682000000000</v>
      </c>
      <c r="X239">
        <f t="shared" si="34"/>
        <v>143682000000000</v>
      </c>
      <c r="Y239">
        <f t="shared" si="34"/>
        <v>143682000000000</v>
      </c>
      <c r="Z239">
        <f t="shared" si="34"/>
        <v>143682000000000</v>
      </c>
      <c r="AA239">
        <f t="shared" si="34"/>
        <v>143682000000000</v>
      </c>
      <c r="AB239">
        <f t="shared" si="34"/>
        <v>143682000000000</v>
      </c>
      <c r="AC239">
        <f t="shared" si="34"/>
        <v>143682000000000</v>
      </c>
      <c r="AD239">
        <f t="shared" si="34"/>
        <v>143682000000000</v>
      </c>
      <c r="AE239">
        <f t="shared" si="34"/>
        <v>143682000000000</v>
      </c>
      <c r="AF239">
        <f t="shared" si="34"/>
        <v>143682000000000</v>
      </c>
    </row>
    <row r="240" spans="3:32" x14ac:dyDescent="0.25">
      <c r="F240" s="47">
        <f t="shared" ref="F240:AF240" si="35">F239/SUM(F238:F238)</f>
        <v>1</v>
      </c>
      <c r="G240" s="47">
        <f t="shared" si="35"/>
        <v>1</v>
      </c>
      <c r="H240" s="47">
        <f t="shared" si="35"/>
        <v>1</v>
      </c>
      <c r="I240" s="47">
        <f t="shared" si="35"/>
        <v>1</v>
      </c>
      <c r="J240" s="47">
        <f t="shared" si="35"/>
        <v>1</v>
      </c>
      <c r="K240" s="47">
        <f t="shared" si="35"/>
        <v>1</v>
      </c>
      <c r="L240" s="47">
        <f t="shared" si="35"/>
        <v>1</v>
      </c>
      <c r="M240" s="47">
        <f t="shared" si="35"/>
        <v>1</v>
      </c>
      <c r="N240" s="47">
        <f t="shared" si="35"/>
        <v>1</v>
      </c>
      <c r="O240" s="47">
        <f t="shared" si="35"/>
        <v>1</v>
      </c>
      <c r="P240" s="47">
        <f t="shared" si="35"/>
        <v>1</v>
      </c>
      <c r="Q240" s="47">
        <f t="shared" si="35"/>
        <v>1</v>
      </c>
      <c r="R240" s="47">
        <f t="shared" si="35"/>
        <v>1</v>
      </c>
      <c r="S240" s="47">
        <f t="shared" si="35"/>
        <v>1</v>
      </c>
      <c r="T240" s="47">
        <f t="shared" si="35"/>
        <v>1</v>
      </c>
      <c r="U240" s="47">
        <f t="shared" si="35"/>
        <v>1</v>
      </c>
      <c r="V240" s="47">
        <f t="shared" si="35"/>
        <v>1</v>
      </c>
      <c r="W240" s="47">
        <f t="shared" si="35"/>
        <v>1</v>
      </c>
      <c r="X240" s="47">
        <f t="shared" si="35"/>
        <v>1</v>
      </c>
      <c r="Y240" s="47">
        <f t="shared" si="35"/>
        <v>1</v>
      </c>
      <c r="Z240" s="47">
        <f t="shared" si="35"/>
        <v>1</v>
      </c>
      <c r="AA240" s="47">
        <f t="shared" si="35"/>
        <v>1</v>
      </c>
      <c r="AB240" s="47">
        <f t="shared" si="35"/>
        <v>1</v>
      </c>
      <c r="AC240" s="47">
        <f t="shared" si="35"/>
        <v>1</v>
      </c>
      <c r="AD240" s="47">
        <f t="shared" si="35"/>
        <v>1</v>
      </c>
      <c r="AE240" s="47">
        <f t="shared" si="35"/>
        <v>1</v>
      </c>
      <c r="AF240" s="47">
        <f t="shared" si="35"/>
        <v>1</v>
      </c>
    </row>
  </sheetData>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D36"/>
  <sheetViews>
    <sheetView workbookViewId="0"/>
  </sheetViews>
  <sheetFormatPr defaultRowHeight="15" x14ac:dyDescent="0.25"/>
  <cols>
    <col min="1" max="1" width="29.85546875" customWidth="1"/>
    <col min="2" max="28" width="15" customWidth="1"/>
  </cols>
  <sheetData>
    <row r="1" spans="1:30" x14ac:dyDescent="0.25">
      <c r="A1" s="1" t="s">
        <v>915</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v>
      </c>
      <c r="B2">
        <f>Calculations!F5</f>
        <v>429356810815186.56</v>
      </c>
      <c r="C2">
        <f>Calculations!G5</f>
        <v>483773126204160.94</v>
      </c>
      <c r="D2">
        <f>Calculations!H5</f>
        <v>459871772362988.69</v>
      </c>
      <c r="E2">
        <f>Calculations!I5</f>
        <v>460342546749777.31</v>
      </c>
      <c r="F2">
        <f>Calculations!J5</f>
        <v>460976750586901.94</v>
      </c>
      <c r="G2">
        <f>Calculations!K5</f>
        <v>460055528859386.38</v>
      </c>
      <c r="H2">
        <f>Calculations!L5</f>
        <v>457175592973366.75</v>
      </c>
      <c r="I2">
        <f>Calculations!M5</f>
        <v>453407771715372.75</v>
      </c>
      <c r="J2">
        <f>Calculations!N5</f>
        <v>449649707439488.38</v>
      </c>
      <c r="K2">
        <f>Calculations!O5</f>
        <v>446109549097385.19</v>
      </c>
      <c r="L2">
        <f>Calculations!P5</f>
        <v>442398643568363.88</v>
      </c>
      <c r="M2">
        <f>Calculations!Q5</f>
        <v>438760915405164.69</v>
      </c>
      <c r="N2">
        <f>Calculations!R5</f>
        <v>435310196065733</v>
      </c>
      <c r="O2">
        <f>Calculations!S5</f>
        <v>431623682991985.75</v>
      </c>
      <c r="P2">
        <f>Calculations!T5</f>
        <v>428109543268841.56</v>
      </c>
      <c r="Q2">
        <f>Calculations!U5</f>
        <v>424465310450902.56</v>
      </c>
      <c r="R2">
        <f>Calculations!V5</f>
        <v>420783675868210.13</v>
      </c>
      <c r="S2">
        <f>Calculations!W5</f>
        <v>416933733344126.88</v>
      </c>
      <c r="T2">
        <f>Calculations!X5</f>
        <v>413457808467578.75</v>
      </c>
      <c r="U2">
        <f>Calculations!Y5</f>
        <v>410108724358455.38</v>
      </c>
      <c r="V2">
        <f>Calculations!Z5</f>
        <v>406562061361612.5</v>
      </c>
      <c r="W2">
        <f>Calculations!AA5</f>
        <v>403255257508297.56</v>
      </c>
      <c r="X2">
        <f>Calculations!AB5</f>
        <v>399661435764591.56</v>
      </c>
      <c r="Y2">
        <f>Calculations!AC5</f>
        <v>395694409455193</v>
      </c>
      <c r="Z2">
        <f>Calculations!AD5</f>
        <v>391768037237917.94</v>
      </c>
      <c r="AA2">
        <f>Calculations!AE5</f>
        <v>387996963652554</v>
      </c>
      <c r="AB2">
        <f>Calculations!AF5</f>
        <v>384147834210313.31</v>
      </c>
      <c r="AD2" s="9"/>
    </row>
    <row r="3" spans="1:30" x14ac:dyDescent="0.25">
      <c r="A3" s="1" t="s">
        <v>932</v>
      </c>
      <c r="B3">
        <f>Calculations!F6</f>
        <v>0</v>
      </c>
      <c r="C3">
        <f>Calculations!G6</f>
        <v>0</v>
      </c>
      <c r="D3">
        <f>Calculations!H6</f>
        <v>0</v>
      </c>
      <c r="E3">
        <f>Calculations!I6</f>
        <v>0</v>
      </c>
      <c r="F3">
        <f>Calculations!J6</f>
        <v>0</v>
      </c>
      <c r="G3">
        <f>Calculations!K6</f>
        <v>0</v>
      </c>
      <c r="H3">
        <f>Calculations!L6</f>
        <v>0</v>
      </c>
      <c r="I3">
        <f>Calculations!M6</f>
        <v>0</v>
      </c>
      <c r="J3">
        <f>Calculations!N6</f>
        <v>0</v>
      </c>
      <c r="K3">
        <f>Calculations!O6</f>
        <v>0</v>
      </c>
      <c r="L3">
        <f>Calculations!P6</f>
        <v>0</v>
      </c>
      <c r="M3">
        <f>Calculations!Q6</f>
        <v>0</v>
      </c>
      <c r="N3">
        <f>Calculations!R6</f>
        <v>0</v>
      </c>
      <c r="O3">
        <f>Calculations!S6</f>
        <v>0</v>
      </c>
      <c r="P3">
        <f>Calculations!T6</f>
        <v>0</v>
      </c>
      <c r="Q3">
        <f>Calculations!U6</f>
        <v>0</v>
      </c>
      <c r="R3">
        <f>Calculations!V6</f>
        <v>0</v>
      </c>
      <c r="S3">
        <f>Calculations!W6</f>
        <v>0</v>
      </c>
      <c r="T3">
        <f>Calculations!X6</f>
        <v>0</v>
      </c>
      <c r="U3">
        <f>Calculations!Y6</f>
        <v>0</v>
      </c>
      <c r="V3">
        <f>Calculations!Z6</f>
        <v>0</v>
      </c>
      <c r="W3">
        <f>Calculations!AA6</f>
        <v>0</v>
      </c>
      <c r="X3">
        <f>Calculations!AB6</f>
        <v>0</v>
      </c>
      <c r="Y3">
        <f>Calculations!AC6</f>
        <v>0</v>
      </c>
      <c r="Z3">
        <f>Calculations!AD6</f>
        <v>0</v>
      </c>
      <c r="AA3">
        <f>Calculations!AE6</f>
        <v>0</v>
      </c>
      <c r="AB3">
        <f>Calculations!AF6</f>
        <v>0</v>
      </c>
    </row>
    <row r="4" spans="1:30" x14ac:dyDescent="0.25">
      <c r="A4" s="1" t="s">
        <v>53</v>
      </c>
      <c r="B4">
        <f>Calculations!F7</f>
        <v>2258669807172347</v>
      </c>
      <c r="C4">
        <f>Calculations!G7</f>
        <v>2535212764186837</v>
      </c>
      <c r="D4">
        <f>Calculations!H7</f>
        <v>2382111892495750</v>
      </c>
      <c r="E4">
        <f>Calculations!I7</f>
        <v>2477515663563506.5</v>
      </c>
      <c r="F4">
        <f>Calculations!J7</f>
        <v>2462287453735934.5</v>
      </c>
      <c r="G4">
        <f>Calculations!K7</f>
        <v>2432709162470654.5</v>
      </c>
      <c r="H4">
        <f>Calculations!L7</f>
        <v>2396569300736663</v>
      </c>
      <c r="I4">
        <f>Calculations!M7</f>
        <v>2358254445074070.5</v>
      </c>
      <c r="J4">
        <f>Calculations!N7</f>
        <v>2322569909171861</v>
      </c>
      <c r="K4">
        <f>Calculations!O7</f>
        <v>2287303297336679</v>
      </c>
      <c r="L4">
        <f>Calculations!P7</f>
        <v>2254183221565611.5</v>
      </c>
      <c r="M4">
        <f>Calculations!Q7</f>
        <v>2222005507649963.8</v>
      </c>
      <c r="N4">
        <f>Calculations!R7</f>
        <v>2191835292803367.5</v>
      </c>
      <c r="O4">
        <f>Calculations!S7</f>
        <v>2161213004452359.5</v>
      </c>
      <c r="P4">
        <f>Calculations!T7</f>
        <v>2132095730591759.3</v>
      </c>
      <c r="Q4">
        <f>Calculations!U7</f>
        <v>2103555744839310.3</v>
      </c>
      <c r="R4">
        <f>Calculations!V7</f>
        <v>2076052438436007.3</v>
      </c>
      <c r="S4">
        <f>Calculations!W7</f>
        <v>2048916645025499.8</v>
      </c>
      <c r="T4">
        <f>Calculations!X7</f>
        <v>2024848609406621.5</v>
      </c>
      <c r="U4">
        <f>Calculations!Y7</f>
        <v>2002300223751315.3</v>
      </c>
      <c r="V4">
        <f>Calculations!Z7</f>
        <v>1981190992957176</v>
      </c>
      <c r="W4">
        <f>Calculations!AA7</f>
        <v>1961229020642758.8</v>
      </c>
      <c r="X4">
        <f>Calculations!AB7</f>
        <v>1940545031652230.3</v>
      </c>
      <c r="Y4">
        <f>Calculations!AC7</f>
        <v>1918843877276774.8</v>
      </c>
      <c r="Z4">
        <f>Calculations!AD7</f>
        <v>1897409413745648.8</v>
      </c>
      <c r="AA4">
        <f>Calculations!AE7</f>
        <v>1876330266979680.8</v>
      </c>
      <c r="AB4">
        <f>Calculations!AF7</f>
        <v>1855965006071399.8</v>
      </c>
    </row>
    <row r="5" spans="1:30" x14ac:dyDescent="0.25">
      <c r="A5" s="1" t="s">
        <v>68</v>
      </c>
      <c r="B5">
        <f>Calculations!F8</f>
        <v>308793848295960.44</v>
      </c>
      <c r="C5">
        <f>Calculations!G8</f>
        <v>345858997166680.19</v>
      </c>
      <c r="D5">
        <f>Calculations!H8</f>
        <v>332681379745810.69</v>
      </c>
      <c r="E5">
        <f>Calculations!I8</f>
        <v>329150165303974.75</v>
      </c>
      <c r="F5">
        <f>Calculations!J8</f>
        <v>323955385412450.38</v>
      </c>
      <c r="G5">
        <f>Calculations!K8</f>
        <v>318399597182870.5</v>
      </c>
      <c r="H5">
        <f>Calculations!L8</f>
        <v>313376377560106.81</v>
      </c>
      <c r="I5">
        <f>Calculations!M8</f>
        <v>308271849753096.38</v>
      </c>
      <c r="J5">
        <f>Calculations!N8</f>
        <v>303424255808305.69</v>
      </c>
      <c r="K5">
        <f>Calculations!O8</f>
        <v>298636829919857.5</v>
      </c>
      <c r="L5">
        <f>Calculations!P8</f>
        <v>294235617906581.38</v>
      </c>
      <c r="M5">
        <f>Calculations!Q8</f>
        <v>289902704768072.5</v>
      </c>
      <c r="N5">
        <f>Calculations!R8</f>
        <v>285746230389379.06</v>
      </c>
      <c r="O5">
        <f>Calculations!S8</f>
        <v>281714970614425.63</v>
      </c>
      <c r="P5">
        <f>Calculations!T8</f>
        <v>277834944062171.13</v>
      </c>
      <c r="Q5">
        <f>Calculations!U8</f>
        <v>274098832996033.31</v>
      </c>
      <c r="R5">
        <f>Calculations!V8</f>
        <v>270411506840443.56</v>
      </c>
      <c r="S5">
        <f>Calculations!W8</f>
        <v>266756703958552.56</v>
      </c>
      <c r="T5">
        <f>Calculations!X8</f>
        <v>263258012790415.28</v>
      </c>
      <c r="U5">
        <f>Calculations!Y8</f>
        <v>259807293450983.53</v>
      </c>
      <c r="V5">
        <f>Calculations!Z8</f>
        <v>256467966323969.91</v>
      </c>
      <c r="W5">
        <f>Calculations!AA8</f>
        <v>253170106370922.03</v>
      </c>
      <c r="X5">
        <f>Calculations!AB8</f>
        <v>249942984538168.84</v>
      </c>
      <c r="Y5">
        <f>Calculations!AC8</f>
        <v>246703666477778.66</v>
      </c>
      <c r="Z5">
        <f>Calculations!AD8</f>
        <v>243484675463450.16</v>
      </c>
      <c r="AA5">
        <f>Calculations!AE8</f>
        <v>240284385331498.41</v>
      </c>
      <c r="AB5">
        <f>Calculations!AF8</f>
        <v>237199552821177.06</v>
      </c>
    </row>
    <row r="6" spans="1:30" x14ac:dyDescent="0.25">
      <c r="A6" s="1" t="s">
        <v>933</v>
      </c>
      <c r="B6">
        <f>Calculations!F9</f>
        <v>0</v>
      </c>
      <c r="C6">
        <f>Calculations!G9</f>
        <v>0</v>
      </c>
      <c r="D6">
        <f>Calculations!H9</f>
        <v>0</v>
      </c>
      <c r="E6">
        <f>Calculations!I9</f>
        <v>0</v>
      </c>
      <c r="F6">
        <f>Calculations!J9</f>
        <v>0</v>
      </c>
      <c r="G6">
        <f>Calculations!K9</f>
        <v>0</v>
      </c>
      <c r="H6">
        <f>Calculations!L9</f>
        <v>0</v>
      </c>
      <c r="I6">
        <f>Calculations!M9</f>
        <v>0</v>
      </c>
      <c r="J6">
        <f>Calculations!N9</f>
        <v>0</v>
      </c>
      <c r="K6">
        <f>Calculations!O9</f>
        <v>0</v>
      </c>
      <c r="L6">
        <f>Calculations!P9</f>
        <v>0</v>
      </c>
      <c r="M6">
        <f>Calculations!Q9</f>
        <v>0</v>
      </c>
      <c r="N6">
        <f>Calculations!R9</f>
        <v>0</v>
      </c>
      <c r="O6">
        <f>Calculations!S9</f>
        <v>0</v>
      </c>
      <c r="P6">
        <f>Calculations!T9</f>
        <v>0</v>
      </c>
      <c r="Q6">
        <f>Calculations!U9</f>
        <v>0</v>
      </c>
      <c r="R6">
        <f>Calculations!V9</f>
        <v>0</v>
      </c>
      <c r="S6">
        <f>Calculations!W9</f>
        <v>0</v>
      </c>
      <c r="T6">
        <f>Calculations!X9</f>
        <v>0</v>
      </c>
      <c r="U6">
        <f>Calculations!Y9</f>
        <v>0</v>
      </c>
      <c r="V6">
        <f>Calculations!Z9</f>
        <v>0</v>
      </c>
      <c r="W6">
        <f>Calculations!AA9</f>
        <v>0</v>
      </c>
      <c r="X6">
        <f>Calculations!AB9</f>
        <v>0</v>
      </c>
      <c r="Y6">
        <f>Calculations!AC9</f>
        <v>0</v>
      </c>
      <c r="Z6">
        <f>Calculations!AD9</f>
        <v>0</v>
      </c>
      <c r="AA6">
        <f>Calculations!AE9</f>
        <v>0</v>
      </c>
      <c r="AB6">
        <f>Calculations!AF9</f>
        <v>0</v>
      </c>
    </row>
    <row r="7" spans="1:30" x14ac:dyDescent="0.25">
      <c r="A7" s="1" t="s">
        <v>88</v>
      </c>
      <c r="B7">
        <f>Calculations!F10</f>
        <v>290744244475026.25</v>
      </c>
      <c r="C7">
        <f>Calculations!G10</f>
        <v>301968026228446.56</v>
      </c>
      <c r="D7">
        <f>Calculations!H10</f>
        <v>278806576863919.69</v>
      </c>
      <c r="E7">
        <f>Calculations!I10</f>
        <v>272374286408159.97</v>
      </c>
      <c r="F7">
        <f>Calculations!J10</f>
        <v>269296771634420.78</v>
      </c>
      <c r="G7">
        <f>Calculations!K10</f>
        <v>267466524407026.63</v>
      </c>
      <c r="H7">
        <f>Calculations!L10</f>
        <v>263135237432202.69</v>
      </c>
      <c r="I7">
        <f>Calculations!M10</f>
        <v>259673134946976.41</v>
      </c>
      <c r="J7">
        <f>Calculations!N10</f>
        <v>256643592001942.81</v>
      </c>
      <c r="K7">
        <f>Calculations!O10</f>
        <v>254341757305917.56</v>
      </c>
      <c r="L7">
        <f>Calculations!P10</f>
        <v>251344737634582.72</v>
      </c>
      <c r="M7">
        <f>Calculations!Q10</f>
        <v>248664006799967.63</v>
      </c>
      <c r="N7">
        <f>Calculations!R10</f>
        <v>245557221079899.59</v>
      </c>
      <c r="O7">
        <f>Calculations!S10</f>
        <v>242374818748482.16</v>
      </c>
      <c r="P7">
        <f>Calculations!T10</f>
        <v>239207864972071.53</v>
      </c>
      <c r="Q7">
        <f>Calculations!U10</f>
        <v>235756332550797.38</v>
      </c>
      <c r="R7">
        <f>Calculations!V10</f>
        <v>232165763134461.28</v>
      </c>
      <c r="S7">
        <f>Calculations!W10</f>
        <v>228695529830810.31</v>
      </c>
      <c r="T7">
        <f>Calculations!X10</f>
        <v>225531015299927.13</v>
      </c>
      <c r="U7">
        <f>Calculations!Y10</f>
        <v>222484397636201.72</v>
      </c>
      <c r="V7">
        <f>Calculations!Z10</f>
        <v>219595517849914.97</v>
      </c>
      <c r="W7">
        <f>Calculations!AA10</f>
        <v>217071711810896.13</v>
      </c>
      <c r="X7">
        <f>Calculations!AB10</f>
        <v>214635718610863.72</v>
      </c>
      <c r="Y7">
        <f>Calculations!AC10</f>
        <v>212450154618311.34</v>
      </c>
      <c r="Z7">
        <f>Calculations!AD10</f>
        <v>210445094794786.69</v>
      </c>
      <c r="AA7">
        <f>Calculations!AE10</f>
        <v>208617286812919.94</v>
      </c>
      <c r="AB7">
        <f>Calculations!AF10</f>
        <v>206634180199141.91</v>
      </c>
    </row>
    <row r="8" spans="1:30" x14ac:dyDescent="0.25">
      <c r="A8" s="1" t="s">
        <v>934</v>
      </c>
      <c r="B8">
        <f>Calculations!F11</f>
        <v>0</v>
      </c>
      <c r="C8">
        <f>Calculations!G11</f>
        <v>0</v>
      </c>
      <c r="D8">
        <f>Calculations!H11</f>
        <v>0</v>
      </c>
      <c r="E8">
        <f>Calculations!I11</f>
        <v>0</v>
      </c>
      <c r="F8">
        <f>Calculations!J11</f>
        <v>0</v>
      </c>
      <c r="G8">
        <f>Calculations!K11</f>
        <v>0</v>
      </c>
      <c r="H8">
        <f>Calculations!L11</f>
        <v>0</v>
      </c>
      <c r="I8">
        <f>Calculations!M11</f>
        <v>0</v>
      </c>
      <c r="J8">
        <f>Calculations!N11</f>
        <v>0</v>
      </c>
      <c r="K8">
        <f>Calculations!O11</f>
        <v>0</v>
      </c>
      <c r="L8">
        <f>Calculations!P11</f>
        <v>0</v>
      </c>
      <c r="M8">
        <f>Calculations!Q11</f>
        <v>0</v>
      </c>
      <c r="N8">
        <f>Calculations!R11</f>
        <v>0</v>
      </c>
      <c r="O8">
        <f>Calculations!S11</f>
        <v>0</v>
      </c>
      <c r="P8">
        <f>Calculations!T11</f>
        <v>0</v>
      </c>
      <c r="Q8">
        <f>Calculations!U11</f>
        <v>0</v>
      </c>
      <c r="R8">
        <f>Calculations!V11</f>
        <v>0</v>
      </c>
      <c r="S8">
        <f>Calculations!W11</f>
        <v>0</v>
      </c>
      <c r="T8">
        <f>Calculations!X11</f>
        <v>0</v>
      </c>
      <c r="U8">
        <f>Calculations!Y11</f>
        <v>0</v>
      </c>
      <c r="V8">
        <f>Calculations!Z11</f>
        <v>0</v>
      </c>
      <c r="W8">
        <f>Calculations!AA11</f>
        <v>0</v>
      </c>
      <c r="X8">
        <f>Calculations!AB11</f>
        <v>0</v>
      </c>
      <c r="Y8">
        <f>Calculations!AC11</f>
        <v>0</v>
      </c>
      <c r="Z8">
        <f>Calculations!AD11</f>
        <v>0</v>
      </c>
      <c r="AA8">
        <f>Calculations!AE11</f>
        <v>0</v>
      </c>
      <c r="AB8">
        <f>Calculations!AF11</f>
        <v>0</v>
      </c>
    </row>
    <row r="9" spans="1:30" x14ac:dyDescent="0.25">
      <c r="A9" s="1" t="s">
        <v>935</v>
      </c>
      <c r="B9">
        <f>Calculations!F12</f>
        <v>0</v>
      </c>
      <c r="C9">
        <f>Calculations!G12</f>
        <v>0</v>
      </c>
      <c r="D9">
        <f>Calculations!H12</f>
        <v>0</v>
      </c>
      <c r="E9">
        <f>Calculations!I12</f>
        <v>0</v>
      </c>
      <c r="F9">
        <f>Calculations!J12</f>
        <v>0</v>
      </c>
      <c r="G9">
        <f>Calculations!K12</f>
        <v>0</v>
      </c>
      <c r="H9">
        <f>Calculations!L12</f>
        <v>0</v>
      </c>
      <c r="I9">
        <f>Calculations!M12</f>
        <v>0</v>
      </c>
      <c r="J9">
        <f>Calculations!N12</f>
        <v>0</v>
      </c>
      <c r="K9">
        <f>Calculations!O12</f>
        <v>0</v>
      </c>
      <c r="L9">
        <f>Calculations!P12</f>
        <v>0</v>
      </c>
      <c r="M9">
        <f>Calculations!Q12</f>
        <v>0</v>
      </c>
      <c r="N9">
        <f>Calculations!R12</f>
        <v>0</v>
      </c>
      <c r="O9">
        <f>Calculations!S12</f>
        <v>0</v>
      </c>
      <c r="P9">
        <f>Calculations!T12</f>
        <v>0</v>
      </c>
      <c r="Q9">
        <f>Calculations!U12</f>
        <v>0</v>
      </c>
      <c r="R9">
        <f>Calculations!V12</f>
        <v>0</v>
      </c>
      <c r="S9">
        <f>Calculations!W12</f>
        <v>0</v>
      </c>
      <c r="T9">
        <f>Calculations!X12</f>
        <v>0</v>
      </c>
      <c r="U9">
        <f>Calculations!Y12</f>
        <v>0</v>
      </c>
      <c r="V9">
        <f>Calculations!Z12</f>
        <v>0</v>
      </c>
      <c r="W9">
        <f>Calculations!AA12</f>
        <v>0</v>
      </c>
      <c r="X9">
        <f>Calculations!AB12</f>
        <v>0</v>
      </c>
      <c r="Y9">
        <f>Calculations!AC12</f>
        <v>0</v>
      </c>
      <c r="Z9">
        <f>Calculations!AD12</f>
        <v>0</v>
      </c>
      <c r="AA9">
        <f>Calculations!AE12</f>
        <v>0</v>
      </c>
      <c r="AB9">
        <f>Calculations!AF12</f>
        <v>0</v>
      </c>
    </row>
    <row r="10" spans="1:30" x14ac:dyDescent="0.25">
      <c r="A10" s="1" t="s">
        <v>77</v>
      </c>
      <c r="B10">
        <f>Calculations!F13</f>
        <v>246564629482716.75</v>
      </c>
      <c r="C10">
        <f>Calculations!G13</f>
        <v>306955470250141.63</v>
      </c>
      <c r="D10">
        <f>Calculations!H13</f>
        <v>295248717882295.81</v>
      </c>
      <c r="E10">
        <f>Calculations!I13</f>
        <v>277425150813567.56</v>
      </c>
      <c r="F10">
        <f>Calculations!J13</f>
        <v>275294063304460.44</v>
      </c>
      <c r="G10">
        <f>Calculations!K13</f>
        <v>271649017404679</v>
      </c>
      <c r="H10">
        <f>Calculations!L13</f>
        <v>267154300979519.09</v>
      </c>
      <c r="I10">
        <f>Calculations!M13</f>
        <v>261992044361693.5</v>
      </c>
      <c r="J10">
        <f>Calculations!N13</f>
        <v>256891581963895.38</v>
      </c>
      <c r="K10">
        <f>Calculations!O13</f>
        <v>252039922609892.34</v>
      </c>
      <c r="L10">
        <f>Calculations!P13</f>
        <v>247601308831862.72</v>
      </c>
      <c r="M10">
        <f>Calculations!Q13</f>
        <v>243499310936614.56</v>
      </c>
      <c r="N10">
        <f>Calculations!R13</f>
        <v>239671321622277.97</v>
      </c>
      <c r="O10">
        <f>Calculations!S13</f>
        <v>235983995466688.25</v>
      </c>
      <c r="P10">
        <f>Calculations!T13</f>
        <v>232430827815105.63</v>
      </c>
      <c r="Q10">
        <f>Calculations!U13</f>
        <v>228974416902776.66</v>
      </c>
      <c r="R10">
        <f>Calculations!V13</f>
        <v>225713958714482.31</v>
      </c>
      <c r="S10">
        <f>Calculations!W13</f>
        <v>222660836396017.13</v>
      </c>
      <c r="T10">
        <f>Calculations!X13</f>
        <v>219954900024285.59</v>
      </c>
      <c r="U10">
        <f>Calculations!Y13</f>
        <v>217537607706629.94</v>
      </c>
      <c r="V10">
        <f>Calculations!Z13</f>
        <v>215351230632235.03</v>
      </c>
      <c r="W10">
        <f>Calculations!AA13</f>
        <v>213317712944224.09</v>
      </c>
      <c r="X10">
        <f>Calculations!AB13</f>
        <v>211303709220432.25</v>
      </c>
      <c r="Y10">
        <f>Calculations!AC13</f>
        <v>209181565611592.31</v>
      </c>
      <c r="Z10">
        <f>Calculations!AD13</f>
        <v>207026898729053.66</v>
      </c>
      <c r="AA10">
        <f>Calculations!AE13</f>
        <v>204873044928357.47</v>
      </c>
      <c r="AB10">
        <f>Calculations!AF13</f>
        <v>202765536792681.91</v>
      </c>
    </row>
    <row r="11" spans="1:30" x14ac:dyDescent="0.25">
      <c r="A11" s="1" t="s">
        <v>936</v>
      </c>
      <c r="B11">
        <f>Calculations!F14</f>
        <v>0</v>
      </c>
      <c r="C11">
        <f>Calculations!G14</f>
        <v>0</v>
      </c>
      <c r="D11">
        <f>Calculations!H14</f>
        <v>0</v>
      </c>
      <c r="E11">
        <f>Calculations!I14</f>
        <v>0</v>
      </c>
      <c r="F11">
        <f>Calculations!J14</f>
        <v>0</v>
      </c>
      <c r="G11">
        <f>Calculations!K14</f>
        <v>0</v>
      </c>
      <c r="H11">
        <f>Calculations!L14</f>
        <v>0</v>
      </c>
      <c r="I11">
        <f>Calculations!M14</f>
        <v>0</v>
      </c>
      <c r="J11">
        <f>Calculations!N14</f>
        <v>0</v>
      </c>
      <c r="K11">
        <f>Calculations!O14</f>
        <v>0</v>
      </c>
      <c r="L11">
        <f>Calculations!P14</f>
        <v>0</v>
      </c>
      <c r="M11">
        <f>Calculations!Q14</f>
        <v>0</v>
      </c>
      <c r="N11">
        <f>Calculations!R14</f>
        <v>0</v>
      </c>
      <c r="O11">
        <f>Calculations!S14</f>
        <v>0</v>
      </c>
      <c r="P11">
        <f>Calculations!T14</f>
        <v>0</v>
      </c>
      <c r="Q11">
        <f>Calculations!U14</f>
        <v>0</v>
      </c>
      <c r="R11">
        <f>Calculations!V14</f>
        <v>0</v>
      </c>
      <c r="S11">
        <f>Calculations!W14</f>
        <v>0</v>
      </c>
      <c r="T11">
        <f>Calculations!X14</f>
        <v>0</v>
      </c>
      <c r="U11">
        <f>Calculations!Y14</f>
        <v>0</v>
      </c>
      <c r="V11">
        <f>Calculations!Z14</f>
        <v>0</v>
      </c>
      <c r="W11">
        <f>Calculations!AA14</f>
        <v>0</v>
      </c>
      <c r="X11">
        <f>Calculations!AB14</f>
        <v>0</v>
      </c>
      <c r="Y11">
        <f>Calculations!AC14</f>
        <v>0</v>
      </c>
      <c r="Z11">
        <f>Calculations!AD14</f>
        <v>0</v>
      </c>
      <c r="AA11">
        <f>Calculations!AE14</f>
        <v>0</v>
      </c>
      <c r="AB11">
        <f>Calculations!AF14</f>
        <v>0</v>
      </c>
    </row>
    <row r="27" spans="2:2" x14ac:dyDescent="0.25">
      <c r="B27" s="13"/>
    </row>
    <row r="28" spans="2:2" x14ac:dyDescent="0.25">
      <c r="B28" s="13"/>
    </row>
    <row r="29" spans="2:2" x14ac:dyDescent="0.25">
      <c r="B29" s="13"/>
    </row>
    <row r="30" spans="2:2" x14ac:dyDescent="0.25">
      <c r="B30" s="13"/>
    </row>
    <row r="31" spans="2:2" x14ac:dyDescent="0.25">
      <c r="B31" s="13"/>
    </row>
    <row r="32" spans="2:2" x14ac:dyDescent="0.25">
      <c r="B32" s="13"/>
    </row>
    <row r="33" spans="2:2" x14ac:dyDescent="0.25">
      <c r="B33" s="13"/>
    </row>
    <row r="34" spans="2:2" x14ac:dyDescent="0.25">
      <c r="B34" s="13"/>
    </row>
    <row r="35" spans="2:2" x14ac:dyDescent="0.25">
      <c r="B35" s="13"/>
    </row>
    <row r="36" spans="2:2" x14ac:dyDescent="0.25">
      <c r="B36" s="13"/>
    </row>
  </sheetData>
  <pageMargins left="0.7" right="0.7" top="0.75" bottom="0.75" header="0.3" footer="0.3"/>
  <pageSetup orientation="portrait" horizontalDpi="1200" verticalDpi="12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3"/>
  </sheetPr>
  <dimension ref="A1:AD11"/>
  <sheetViews>
    <sheetView workbookViewId="0"/>
  </sheetViews>
  <sheetFormatPr defaultRowHeight="15" x14ac:dyDescent="0.25"/>
  <cols>
    <col min="1" max="1" width="29.85546875" customWidth="1"/>
    <col min="2" max="28" width="11.85546875" customWidth="1"/>
  </cols>
  <sheetData>
    <row r="1" spans="1:30" x14ac:dyDescent="0.25">
      <c r="A1" s="1" t="s">
        <v>915</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v>
      </c>
      <c r="B2">
        <f>Calculations!F18</f>
        <v>922563312555654.38</v>
      </c>
      <c r="C2">
        <f>Calculations!G18</f>
        <v>879762684368169.5</v>
      </c>
      <c r="D2">
        <f>Calculations!H18</f>
        <v>924297616125637.5</v>
      </c>
      <c r="E2">
        <f>Calculations!I18</f>
        <v>936312526511778.38</v>
      </c>
      <c r="F2">
        <f>Calculations!J18</f>
        <v>947796494454788.38</v>
      </c>
      <c r="G2">
        <f>Calculations!K18</f>
        <v>956801375860114.88</v>
      </c>
      <c r="H2">
        <f>Calculations!L18</f>
        <v>962400257427345.63</v>
      </c>
      <c r="I2">
        <f>Calculations!M18</f>
        <v>967295010118999.38</v>
      </c>
      <c r="J2">
        <f>Calculations!N18</f>
        <v>973087405164737.13</v>
      </c>
      <c r="K2">
        <f>Calculations!O18</f>
        <v>979406677244394</v>
      </c>
      <c r="L2">
        <f>Calculations!P18</f>
        <v>986794338865053.13</v>
      </c>
      <c r="M2">
        <f>Calculations!Q18</f>
        <v>994882877033918.88</v>
      </c>
      <c r="N2">
        <f>Calculations!R18</f>
        <v>1003856861329231.8</v>
      </c>
      <c r="O2">
        <f>Calculations!S18</f>
        <v>1013187788553387.8</v>
      </c>
      <c r="P2">
        <f>Calculations!T18</f>
        <v>1022699219946571.6</v>
      </c>
      <c r="Q2">
        <f>Calculations!U18</f>
        <v>1032209025176070.5</v>
      </c>
      <c r="R2">
        <f>Calculations!V18</f>
        <v>1042195296365255.4</v>
      </c>
      <c r="S2">
        <f>Calculations!W18</f>
        <v>1052601930866995.6</v>
      </c>
      <c r="T2">
        <f>Calculations!X18</f>
        <v>1064472112685177.8</v>
      </c>
      <c r="U2">
        <f>Calculations!Y18</f>
        <v>1077104152189751.5</v>
      </c>
      <c r="V2">
        <f>Calculations!Z18</f>
        <v>1089750014085647.1</v>
      </c>
      <c r="W2">
        <f>Calculations!AA18</f>
        <v>1102973164089694.8</v>
      </c>
      <c r="X2">
        <f>Calculations!AB18</f>
        <v>1115401933133651.8</v>
      </c>
      <c r="Y2">
        <f>Calculations!AC18</f>
        <v>1127255853314984</v>
      </c>
      <c r="Z2">
        <f>Calculations!AD18</f>
        <v>1138829260260665.3</v>
      </c>
      <c r="AA2">
        <f>Calculations!AE18</f>
        <v>1151140132437464.5</v>
      </c>
      <c r="AB2">
        <f>Calculations!AF18</f>
        <v>1163438808386626.8</v>
      </c>
    </row>
    <row r="3" spans="1:30" x14ac:dyDescent="0.25">
      <c r="A3" s="1" t="s">
        <v>932</v>
      </c>
      <c r="B3">
        <f>Calculations!F19</f>
        <v>0</v>
      </c>
      <c r="C3">
        <f>Calculations!G19</f>
        <v>0</v>
      </c>
      <c r="D3">
        <f>Calculations!H19</f>
        <v>0</v>
      </c>
      <c r="E3">
        <f>Calculations!I19</f>
        <v>0</v>
      </c>
      <c r="F3">
        <f>Calculations!J19</f>
        <v>0</v>
      </c>
      <c r="G3">
        <f>Calculations!K19</f>
        <v>0</v>
      </c>
      <c r="H3">
        <f>Calculations!L19</f>
        <v>0</v>
      </c>
      <c r="I3">
        <f>Calculations!M19</f>
        <v>0</v>
      </c>
      <c r="J3">
        <f>Calculations!N19</f>
        <v>0</v>
      </c>
      <c r="K3">
        <f>Calculations!O19</f>
        <v>0</v>
      </c>
      <c r="L3">
        <f>Calculations!P19</f>
        <v>0</v>
      </c>
      <c r="M3">
        <f>Calculations!Q19</f>
        <v>0</v>
      </c>
      <c r="N3">
        <f>Calculations!R19</f>
        <v>0</v>
      </c>
      <c r="O3">
        <f>Calculations!S19</f>
        <v>0</v>
      </c>
      <c r="P3">
        <f>Calculations!T19</f>
        <v>0</v>
      </c>
      <c r="Q3">
        <f>Calculations!U19</f>
        <v>0</v>
      </c>
      <c r="R3">
        <f>Calculations!V19</f>
        <v>0</v>
      </c>
      <c r="S3">
        <f>Calculations!W19</f>
        <v>0</v>
      </c>
      <c r="T3">
        <f>Calculations!X19</f>
        <v>0</v>
      </c>
      <c r="U3">
        <f>Calculations!Y19</f>
        <v>0</v>
      </c>
      <c r="V3">
        <f>Calculations!Z19</f>
        <v>0</v>
      </c>
      <c r="W3">
        <f>Calculations!AA19</f>
        <v>0</v>
      </c>
      <c r="X3">
        <f>Calculations!AB19</f>
        <v>0</v>
      </c>
      <c r="Y3">
        <f>Calculations!AC19</f>
        <v>0</v>
      </c>
      <c r="Z3">
        <f>Calculations!AD19</f>
        <v>0</v>
      </c>
      <c r="AA3">
        <f>Calculations!AE19</f>
        <v>0</v>
      </c>
      <c r="AB3">
        <f>Calculations!AF19</f>
        <v>0</v>
      </c>
    </row>
    <row r="4" spans="1:30" x14ac:dyDescent="0.25">
      <c r="A4" s="1" t="s">
        <v>53</v>
      </c>
      <c r="B4">
        <f>Calculations!F20</f>
        <v>51629883914838.5</v>
      </c>
      <c r="C4">
        <f>Calculations!G20</f>
        <v>47644969804905.688</v>
      </c>
      <c r="D4">
        <f>Calculations!H20</f>
        <v>50537101918562.289</v>
      </c>
      <c r="E4">
        <f>Calculations!I20</f>
        <v>50890792520035.625</v>
      </c>
      <c r="F4">
        <f>Calculations!J20</f>
        <v>51022511778515.344</v>
      </c>
      <c r="G4">
        <f>Calculations!K20</f>
        <v>50989175422974.172</v>
      </c>
      <c r="H4">
        <f>Calculations!L20</f>
        <v>50879409374241.078</v>
      </c>
      <c r="I4">
        <f>Calculations!M20</f>
        <v>50779400307617.578</v>
      </c>
      <c r="J4">
        <f>Calculations!N20</f>
        <v>50760699425240.828</v>
      </c>
      <c r="K4">
        <f>Calculations!O20</f>
        <v>50773708734720.305</v>
      </c>
      <c r="L4">
        <f>Calculations!P20</f>
        <v>50854203837124.586</v>
      </c>
      <c r="M4">
        <f>Calculations!Q20</f>
        <v>50953399821905.609</v>
      </c>
      <c r="N4">
        <f>Calculations!R20</f>
        <v>51104633044604.555</v>
      </c>
      <c r="O4">
        <f>Calculations!S20</f>
        <v>51281071804419.977</v>
      </c>
      <c r="P4">
        <f>Calculations!T20</f>
        <v>51474585282927.227</v>
      </c>
      <c r="Q4">
        <f>Calculations!U20</f>
        <v>51689238889338.625</v>
      </c>
      <c r="R4">
        <f>Calculations!V20</f>
        <v>51951051242613.133</v>
      </c>
      <c r="S4">
        <f>Calculations!W20</f>
        <v>52247826115113.727</v>
      </c>
      <c r="T4">
        <f>Calculations!X20</f>
        <v>52626722253703.555</v>
      </c>
      <c r="U4">
        <f>Calculations!Y20</f>
        <v>53021880029142.719</v>
      </c>
      <c r="V4">
        <f>Calculations!Z20</f>
        <v>53404028495102.406</v>
      </c>
      <c r="W4">
        <f>Calculations!AA20</f>
        <v>53795120861329.227</v>
      </c>
      <c r="X4">
        <f>Calculations!AB20</f>
        <v>54140680644377.875</v>
      </c>
      <c r="Y4">
        <f>Calculations!AC20</f>
        <v>54470791872419.648</v>
      </c>
      <c r="Z4">
        <f>Calculations!AD20</f>
        <v>54773258317817.531</v>
      </c>
      <c r="AA4">
        <f>Calculations!AE20</f>
        <v>55093612563749.695</v>
      </c>
      <c r="AB4">
        <f>Calculations!AF20</f>
        <v>55407462154942.109</v>
      </c>
    </row>
    <row r="5" spans="1:30" x14ac:dyDescent="0.25">
      <c r="A5" s="1" t="s">
        <v>68</v>
      </c>
      <c r="B5">
        <f>Calculations!F21</f>
        <v>0</v>
      </c>
      <c r="C5">
        <f>Calculations!G21</f>
        <v>0</v>
      </c>
      <c r="D5">
        <f>Calculations!H21</f>
        <v>0</v>
      </c>
      <c r="E5">
        <f>Calculations!I21</f>
        <v>0</v>
      </c>
      <c r="F5">
        <f>Calculations!J21</f>
        <v>0</v>
      </c>
      <c r="G5">
        <f>Calculations!K21</f>
        <v>0</v>
      </c>
      <c r="H5">
        <f>Calculations!L21</f>
        <v>0</v>
      </c>
      <c r="I5">
        <f>Calculations!M21</f>
        <v>0</v>
      </c>
      <c r="J5">
        <f>Calculations!N21</f>
        <v>0</v>
      </c>
      <c r="K5">
        <f>Calculations!O21</f>
        <v>0</v>
      </c>
      <c r="L5">
        <f>Calculations!P21</f>
        <v>0</v>
      </c>
      <c r="M5">
        <f>Calculations!Q21</f>
        <v>0</v>
      </c>
      <c r="N5">
        <f>Calculations!R21</f>
        <v>0</v>
      </c>
      <c r="O5">
        <f>Calculations!S21</f>
        <v>0</v>
      </c>
      <c r="P5">
        <f>Calculations!T21</f>
        <v>0</v>
      </c>
      <c r="Q5">
        <f>Calculations!U21</f>
        <v>0</v>
      </c>
      <c r="R5">
        <f>Calculations!V21</f>
        <v>0</v>
      </c>
      <c r="S5">
        <f>Calculations!W21</f>
        <v>0</v>
      </c>
      <c r="T5">
        <f>Calculations!X21</f>
        <v>0</v>
      </c>
      <c r="U5">
        <f>Calculations!Y21</f>
        <v>0</v>
      </c>
      <c r="V5">
        <f>Calculations!Z21</f>
        <v>0</v>
      </c>
      <c r="W5">
        <f>Calculations!AA21</f>
        <v>0</v>
      </c>
      <c r="X5">
        <f>Calculations!AB21</f>
        <v>0</v>
      </c>
      <c r="Y5">
        <f>Calculations!AC21</f>
        <v>0</v>
      </c>
      <c r="Z5">
        <f>Calculations!AD21</f>
        <v>0</v>
      </c>
      <c r="AA5">
        <f>Calculations!AE21</f>
        <v>0</v>
      </c>
      <c r="AB5">
        <f>Calculations!AF21</f>
        <v>0</v>
      </c>
    </row>
    <row r="6" spans="1:30" x14ac:dyDescent="0.25">
      <c r="A6" s="1" t="s">
        <v>933</v>
      </c>
      <c r="B6">
        <f>Calculations!F22</f>
        <v>0</v>
      </c>
      <c r="C6">
        <f>Calculations!G22</f>
        <v>0</v>
      </c>
      <c r="D6">
        <f>Calculations!H22</f>
        <v>0</v>
      </c>
      <c r="E6">
        <f>Calculations!I22</f>
        <v>0</v>
      </c>
      <c r="F6">
        <f>Calculations!J22</f>
        <v>0</v>
      </c>
      <c r="G6">
        <f>Calculations!K22</f>
        <v>0</v>
      </c>
      <c r="H6">
        <f>Calculations!L22</f>
        <v>0</v>
      </c>
      <c r="I6">
        <f>Calculations!M22</f>
        <v>0</v>
      </c>
      <c r="J6">
        <f>Calculations!N22</f>
        <v>0</v>
      </c>
      <c r="K6">
        <f>Calculations!O22</f>
        <v>0</v>
      </c>
      <c r="L6">
        <f>Calculations!P22</f>
        <v>0</v>
      </c>
      <c r="M6">
        <f>Calculations!Q22</f>
        <v>0</v>
      </c>
      <c r="N6">
        <f>Calculations!R22</f>
        <v>0</v>
      </c>
      <c r="O6">
        <f>Calculations!S22</f>
        <v>0</v>
      </c>
      <c r="P6">
        <f>Calculations!T22</f>
        <v>0</v>
      </c>
      <c r="Q6">
        <f>Calculations!U22</f>
        <v>0</v>
      </c>
      <c r="R6">
        <f>Calculations!V22</f>
        <v>0</v>
      </c>
      <c r="S6">
        <f>Calculations!W22</f>
        <v>0</v>
      </c>
      <c r="T6">
        <f>Calculations!X22</f>
        <v>0</v>
      </c>
      <c r="U6">
        <f>Calculations!Y22</f>
        <v>0</v>
      </c>
      <c r="V6">
        <f>Calculations!Z22</f>
        <v>0</v>
      </c>
      <c r="W6">
        <f>Calculations!AA22</f>
        <v>0</v>
      </c>
      <c r="X6">
        <f>Calculations!AB22</f>
        <v>0</v>
      </c>
      <c r="Y6">
        <f>Calculations!AC22</f>
        <v>0</v>
      </c>
      <c r="Z6">
        <f>Calculations!AD22</f>
        <v>0</v>
      </c>
      <c r="AA6">
        <f>Calculations!AE22</f>
        <v>0</v>
      </c>
      <c r="AB6">
        <f>Calculations!AF22</f>
        <v>0</v>
      </c>
    </row>
    <row r="7" spans="1:30" x14ac:dyDescent="0.25">
      <c r="A7" s="1" t="s">
        <v>88</v>
      </c>
      <c r="B7">
        <f>Calculations!F23</f>
        <v>0</v>
      </c>
      <c r="C7">
        <f>Calculations!G23</f>
        <v>0</v>
      </c>
      <c r="D7">
        <f>Calculations!H23</f>
        <v>0</v>
      </c>
      <c r="E7">
        <f>Calculations!I23</f>
        <v>0</v>
      </c>
      <c r="F7">
        <f>Calculations!J23</f>
        <v>0</v>
      </c>
      <c r="G7">
        <f>Calculations!K23</f>
        <v>0</v>
      </c>
      <c r="H7">
        <f>Calculations!L23</f>
        <v>0</v>
      </c>
      <c r="I7">
        <f>Calculations!M23</f>
        <v>0</v>
      </c>
      <c r="J7">
        <f>Calculations!N23</f>
        <v>0</v>
      </c>
      <c r="K7">
        <f>Calculations!O23</f>
        <v>0</v>
      </c>
      <c r="L7">
        <f>Calculations!P23</f>
        <v>0</v>
      </c>
      <c r="M7">
        <f>Calculations!Q23</f>
        <v>0</v>
      </c>
      <c r="N7">
        <f>Calculations!R23</f>
        <v>0</v>
      </c>
      <c r="O7">
        <f>Calculations!S23</f>
        <v>0</v>
      </c>
      <c r="P7">
        <f>Calculations!T23</f>
        <v>0</v>
      </c>
      <c r="Q7">
        <f>Calculations!U23</f>
        <v>0</v>
      </c>
      <c r="R7">
        <f>Calculations!V23</f>
        <v>0</v>
      </c>
      <c r="S7">
        <f>Calculations!W23</f>
        <v>0</v>
      </c>
      <c r="T7">
        <f>Calculations!X23</f>
        <v>0</v>
      </c>
      <c r="U7">
        <f>Calculations!Y23</f>
        <v>0</v>
      </c>
      <c r="V7">
        <f>Calculations!Z23</f>
        <v>0</v>
      </c>
      <c r="W7">
        <f>Calculations!AA23</f>
        <v>0</v>
      </c>
      <c r="X7">
        <f>Calculations!AB23</f>
        <v>0</v>
      </c>
      <c r="Y7">
        <f>Calculations!AC23</f>
        <v>0</v>
      </c>
      <c r="Z7">
        <f>Calculations!AD23</f>
        <v>0</v>
      </c>
      <c r="AA7">
        <f>Calculations!AE23</f>
        <v>0</v>
      </c>
      <c r="AB7">
        <f>Calculations!AF23</f>
        <v>0</v>
      </c>
    </row>
    <row r="8" spans="1:30" x14ac:dyDescent="0.25">
      <c r="A8" s="1" t="s">
        <v>934</v>
      </c>
      <c r="B8">
        <f>Calculations!F24</f>
        <v>0</v>
      </c>
      <c r="C8">
        <f>Calculations!G24</f>
        <v>0</v>
      </c>
      <c r="D8">
        <f>Calculations!H24</f>
        <v>0</v>
      </c>
      <c r="E8">
        <f>Calculations!I24</f>
        <v>0</v>
      </c>
      <c r="F8">
        <f>Calculations!J24</f>
        <v>0</v>
      </c>
      <c r="G8">
        <f>Calculations!K24</f>
        <v>0</v>
      </c>
      <c r="H8">
        <f>Calculations!L24</f>
        <v>0</v>
      </c>
      <c r="I8">
        <f>Calculations!M24</f>
        <v>0</v>
      </c>
      <c r="J8">
        <f>Calculations!N24</f>
        <v>0</v>
      </c>
      <c r="K8">
        <f>Calculations!O24</f>
        <v>0</v>
      </c>
      <c r="L8">
        <f>Calculations!P24</f>
        <v>0</v>
      </c>
      <c r="M8">
        <f>Calculations!Q24</f>
        <v>0</v>
      </c>
      <c r="N8">
        <f>Calculations!R24</f>
        <v>0</v>
      </c>
      <c r="O8">
        <f>Calculations!S24</f>
        <v>0</v>
      </c>
      <c r="P8">
        <f>Calculations!T24</f>
        <v>0</v>
      </c>
      <c r="Q8">
        <f>Calculations!U24</f>
        <v>0</v>
      </c>
      <c r="R8">
        <f>Calculations!V24</f>
        <v>0</v>
      </c>
      <c r="S8">
        <f>Calculations!W24</f>
        <v>0</v>
      </c>
      <c r="T8">
        <f>Calculations!X24</f>
        <v>0</v>
      </c>
      <c r="U8">
        <f>Calculations!Y24</f>
        <v>0</v>
      </c>
      <c r="V8">
        <f>Calculations!Z24</f>
        <v>0</v>
      </c>
      <c r="W8">
        <f>Calculations!AA24</f>
        <v>0</v>
      </c>
      <c r="X8">
        <f>Calculations!AB24</f>
        <v>0</v>
      </c>
      <c r="Y8">
        <f>Calculations!AC24</f>
        <v>0</v>
      </c>
      <c r="Z8">
        <f>Calculations!AD24</f>
        <v>0</v>
      </c>
      <c r="AA8">
        <f>Calculations!AE24</f>
        <v>0</v>
      </c>
      <c r="AB8">
        <f>Calculations!AF24</f>
        <v>0</v>
      </c>
    </row>
    <row r="9" spans="1:30" x14ac:dyDescent="0.25">
      <c r="A9" s="1" t="s">
        <v>935</v>
      </c>
      <c r="B9">
        <f>Calculations!F25</f>
        <v>0</v>
      </c>
      <c r="C9">
        <f>Calculations!G25</f>
        <v>0</v>
      </c>
      <c r="D9">
        <f>Calculations!H25</f>
        <v>0</v>
      </c>
      <c r="E9">
        <f>Calculations!I25</f>
        <v>0</v>
      </c>
      <c r="F9">
        <f>Calculations!J25</f>
        <v>0</v>
      </c>
      <c r="G9">
        <f>Calculations!K25</f>
        <v>0</v>
      </c>
      <c r="H9">
        <f>Calculations!L25</f>
        <v>0</v>
      </c>
      <c r="I9">
        <f>Calculations!M25</f>
        <v>0</v>
      </c>
      <c r="J9">
        <f>Calculations!N25</f>
        <v>0</v>
      </c>
      <c r="K9">
        <f>Calculations!O25</f>
        <v>0</v>
      </c>
      <c r="L9">
        <f>Calculations!P25</f>
        <v>0</v>
      </c>
      <c r="M9">
        <f>Calculations!Q25</f>
        <v>0</v>
      </c>
      <c r="N9">
        <f>Calculations!R25</f>
        <v>0</v>
      </c>
      <c r="O9">
        <f>Calculations!S25</f>
        <v>0</v>
      </c>
      <c r="P9">
        <f>Calculations!T25</f>
        <v>0</v>
      </c>
      <c r="Q9">
        <f>Calculations!U25</f>
        <v>0</v>
      </c>
      <c r="R9">
        <f>Calculations!V25</f>
        <v>0</v>
      </c>
      <c r="S9">
        <f>Calculations!W25</f>
        <v>0</v>
      </c>
      <c r="T9">
        <f>Calculations!X25</f>
        <v>0</v>
      </c>
      <c r="U9">
        <f>Calculations!Y25</f>
        <v>0</v>
      </c>
      <c r="V9">
        <f>Calculations!Z25</f>
        <v>0</v>
      </c>
      <c r="W9">
        <f>Calculations!AA25</f>
        <v>0</v>
      </c>
      <c r="X9">
        <f>Calculations!AB25</f>
        <v>0</v>
      </c>
      <c r="Y9">
        <f>Calculations!AC25</f>
        <v>0</v>
      </c>
      <c r="Z9">
        <f>Calculations!AD25</f>
        <v>0</v>
      </c>
      <c r="AA9">
        <f>Calculations!AE25</f>
        <v>0</v>
      </c>
      <c r="AB9">
        <f>Calculations!AF25</f>
        <v>0</v>
      </c>
    </row>
    <row r="10" spans="1:30" x14ac:dyDescent="0.25">
      <c r="A10" s="1" t="s">
        <v>77</v>
      </c>
      <c r="B10">
        <f>Calculations!F26</f>
        <v>0</v>
      </c>
      <c r="C10">
        <f>Calculations!G26</f>
        <v>0</v>
      </c>
      <c r="D10">
        <f>Calculations!H26</f>
        <v>0</v>
      </c>
      <c r="E10">
        <f>Calculations!I26</f>
        <v>0</v>
      </c>
      <c r="F10">
        <f>Calculations!J26</f>
        <v>0</v>
      </c>
      <c r="G10">
        <f>Calculations!K26</f>
        <v>0</v>
      </c>
      <c r="H10">
        <f>Calculations!L26</f>
        <v>0</v>
      </c>
      <c r="I10">
        <f>Calculations!M26</f>
        <v>0</v>
      </c>
      <c r="J10">
        <f>Calculations!N26</f>
        <v>0</v>
      </c>
      <c r="K10">
        <f>Calculations!O26</f>
        <v>0</v>
      </c>
      <c r="L10">
        <f>Calculations!P26</f>
        <v>0</v>
      </c>
      <c r="M10">
        <f>Calculations!Q26</f>
        <v>0</v>
      </c>
      <c r="N10">
        <f>Calculations!R26</f>
        <v>0</v>
      </c>
      <c r="O10">
        <f>Calculations!S26</f>
        <v>0</v>
      </c>
      <c r="P10">
        <f>Calculations!T26</f>
        <v>0</v>
      </c>
      <c r="Q10">
        <f>Calculations!U26</f>
        <v>0</v>
      </c>
      <c r="R10">
        <f>Calculations!V26</f>
        <v>0</v>
      </c>
      <c r="S10">
        <f>Calculations!W26</f>
        <v>0</v>
      </c>
      <c r="T10">
        <f>Calculations!X26</f>
        <v>0</v>
      </c>
      <c r="U10">
        <f>Calculations!Y26</f>
        <v>0</v>
      </c>
      <c r="V10">
        <f>Calculations!Z26</f>
        <v>0</v>
      </c>
      <c r="W10">
        <f>Calculations!AA26</f>
        <v>0</v>
      </c>
      <c r="X10">
        <f>Calculations!AB26</f>
        <v>0</v>
      </c>
      <c r="Y10">
        <f>Calculations!AC26</f>
        <v>0</v>
      </c>
      <c r="Z10">
        <f>Calculations!AD26</f>
        <v>0</v>
      </c>
      <c r="AA10">
        <f>Calculations!AE26</f>
        <v>0</v>
      </c>
      <c r="AB10">
        <f>Calculations!AF26</f>
        <v>0</v>
      </c>
    </row>
    <row r="11" spans="1:30" x14ac:dyDescent="0.25">
      <c r="A11" s="1" t="s">
        <v>936</v>
      </c>
      <c r="B11">
        <f>Calculations!F27</f>
        <v>0</v>
      </c>
      <c r="C11">
        <f>Calculations!G27</f>
        <v>0</v>
      </c>
      <c r="D11">
        <f>Calculations!H27</f>
        <v>0</v>
      </c>
      <c r="E11">
        <f>Calculations!I27</f>
        <v>0</v>
      </c>
      <c r="F11">
        <f>Calculations!J27</f>
        <v>0</v>
      </c>
      <c r="G11">
        <f>Calculations!K27</f>
        <v>0</v>
      </c>
      <c r="H11">
        <f>Calculations!L27</f>
        <v>0</v>
      </c>
      <c r="I11">
        <f>Calculations!M27</f>
        <v>0</v>
      </c>
      <c r="J11">
        <f>Calculations!N27</f>
        <v>0</v>
      </c>
      <c r="K11">
        <f>Calculations!O27</f>
        <v>0</v>
      </c>
      <c r="L11">
        <f>Calculations!P27</f>
        <v>0</v>
      </c>
      <c r="M11">
        <f>Calculations!Q27</f>
        <v>0</v>
      </c>
      <c r="N11">
        <f>Calculations!R27</f>
        <v>0</v>
      </c>
      <c r="O11">
        <f>Calculations!S27</f>
        <v>0</v>
      </c>
      <c r="P11">
        <f>Calculations!T27</f>
        <v>0</v>
      </c>
      <c r="Q11">
        <f>Calculations!U27</f>
        <v>0</v>
      </c>
      <c r="R11">
        <f>Calculations!V27</f>
        <v>0</v>
      </c>
      <c r="S11">
        <f>Calculations!W27</f>
        <v>0</v>
      </c>
      <c r="T11">
        <f>Calculations!X27</f>
        <v>0</v>
      </c>
      <c r="U11">
        <f>Calculations!Y27</f>
        <v>0</v>
      </c>
      <c r="V11">
        <f>Calculations!Z27</f>
        <v>0</v>
      </c>
      <c r="W11">
        <f>Calculations!AA27</f>
        <v>0</v>
      </c>
      <c r="X11">
        <f>Calculations!AB27</f>
        <v>0</v>
      </c>
      <c r="Y11">
        <f>Calculations!AC27</f>
        <v>0</v>
      </c>
      <c r="Z11">
        <f>Calculations!AD27</f>
        <v>0</v>
      </c>
      <c r="AA11">
        <f>Calculations!AE27</f>
        <v>0</v>
      </c>
      <c r="AB11">
        <f>Calculations!AF27</f>
        <v>0</v>
      </c>
    </row>
  </sheetData>
  <pageMargins left="0.7" right="0.7" top="0.75" bottom="0.75" header="0.3" footer="0.3"/>
  <pageSetup orientation="portrait" horizontalDpi="1200" verticalDpi="12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D11"/>
  <sheetViews>
    <sheetView workbookViewId="0"/>
  </sheetViews>
  <sheetFormatPr defaultRowHeight="15" x14ac:dyDescent="0.25"/>
  <cols>
    <col min="1" max="1" width="29.85546875" customWidth="1"/>
    <col min="2" max="28" width="10.5703125" bestFit="1" customWidth="1"/>
  </cols>
  <sheetData>
    <row r="1" spans="1:30" x14ac:dyDescent="0.25">
      <c r="A1" s="1" t="s">
        <v>915</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v>
      </c>
      <c r="B2" s="7">
        <f>Calculations!F31</f>
        <v>152347957904962.38</v>
      </c>
      <c r="C2" s="7">
        <f>Calculations!G31</f>
        <v>148669575649639.75</v>
      </c>
      <c r="D2" s="7">
        <f>Calculations!H31</f>
        <v>148156521007042.78</v>
      </c>
      <c r="E2" s="7">
        <f>Calculations!I31</f>
        <v>149256620739901.22</v>
      </c>
      <c r="F2" s="7">
        <f>Calculations!J31</f>
        <v>150940513235651.25</v>
      </c>
      <c r="G2" s="7">
        <f>Calculations!K31</f>
        <v>152403247470250.13</v>
      </c>
      <c r="H2" s="7">
        <f>Calculations!L31</f>
        <v>152041426050352.13</v>
      </c>
      <c r="I2" s="7">
        <f>Calculations!M31</f>
        <v>151577969400145.69</v>
      </c>
      <c r="J2" s="7">
        <f>Calculations!N31</f>
        <v>151445437059823.53</v>
      </c>
      <c r="K2" s="7">
        <f>Calculations!O31</f>
        <v>151561707763296.34</v>
      </c>
      <c r="L2" s="7">
        <f>Calculations!P31</f>
        <v>151836529426050.34</v>
      </c>
      <c r="M2" s="7">
        <f>Calculations!Q31</f>
        <v>152221117137537.41</v>
      </c>
      <c r="N2" s="7">
        <f>Calculations!R31</f>
        <v>152659368250627.38</v>
      </c>
      <c r="O2" s="7">
        <f>Calculations!S31</f>
        <v>153043142880272</v>
      </c>
      <c r="P2" s="7">
        <f>Calculations!T31</f>
        <v>153447244555978.31</v>
      </c>
      <c r="Q2" s="7">
        <f>Calculations!U31</f>
        <v>153997700963328.75</v>
      </c>
      <c r="R2" s="7">
        <f>Calculations!V31</f>
        <v>152074762405893.28</v>
      </c>
      <c r="S2" s="7">
        <f>Calculations!W31</f>
        <v>150492505140451.72</v>
      </c>
      <c r="T2" s="7">
        <f>Calculations!X31</f>
        <v>149355816724682.25</v>
      </c>
      <c r="U2" s="7">
        <f>Calculations!Y31</f>
        <v>148668762567797.28</v>
      </c>
      <c r="V2" s="7">
        <f>Calculations!Z31</f>
        <v>148368735367926.81</v>
      </c>
      <c r="W2" s="7">
        <f>Calculations!AA31</f>
        <v>148293118756577.34</v>
      </c>
      <c r="X2" s="7">
        <f>Calculations!AB31</f>
        <v>148232950700234.75</v>
      </c>
      <c r="Y2" s="7">
        <f>Calculations!AC31</f>
        <v>148145137861248.28</v>
      </c>
      <c r="Z2" s="7">
        <f>Calculations!AD31</f>
        <v>148137007042823.59</v>
      </c>
      <c r="AA2" s="7">
        <f>Calculations!AE31</f>
        <v>148285801019995.13</v>
      </c>
      <c r="AB2" s="7">
        <f>Calculations!AF31</f>
        <v>148458987452440.69</v>
      </c>
    </row>
    <row r="3" spans="1:30" x14ac:dyDescent="0.25">
      <c r="A3" s="1" t="s">
        <v>932</v>
      </c>
      <c r="B3" s="7">
        <f>Calculations!F32</f>
        <v>0</v>
      </c>
      <c r="C3" s="7">
        <f>Calculations!G32</f>
        <v>0</v>
      </c>
      <c r="D3" s="7">
        <f>Calculations!H32</f>
        <v>0</v>
      </c>
      <c r="E3" s="7">
        <f>Calculations!I32</f>
        <v>0</v>
      </c>
      <c r="F3" s="7">
        <f>Calculations!J32</f>
        <v>0</v>
      </c>
      <c r="G3" s="7">
        <f>Calculations!K32</f>
        <v>0</v>
      </c>
      <c r="H3" s="7">
        <f>Calculations!L32</f>
        <v>0</v>
      </c>
      <c r="I3" s="7">
        <f>Calculations!M32</f>
        <v>0</v>
      </c>
      <c r="J3" s="7">
        <f>Calculations!N32</f>
        <v>0</v>
      </c>
      <c r="K3" s="7">
        <f>Calculations!O32</f>
        <v>0</v>
      </c>
      <c r="L3" s="7">
        <f>Calculations!P32</f>
        <v>0</v>
      </c>
      <c r="M3" s="7">
        <f>Calculations!Q32</f>
        <v>0</v>
      </c>
      <c r="N3" s="7">
        <f>Calculations!R32</f>
        <v>0</v>
      </c>
      <c r="O3" s="7">
        <f>Calculations!S32</f>
        <v>0</v>
      </c>
      <c r="P3" s="7">
        <f>Calculations!T32</f>
        <v>0</v>
      </c>
      <c r="Q3" s="7">
        <f>Calculations!U32</f>
        <v>0</v>
      </c>
      <c r="R3" s="7">
        <f>Calculations!V32</f>
        <v>0</v>
      </c>
      <c r="S3" s="7">
        <f>Calculations!W32</f>
        <v>0</v>
      </c>
      <c r="T3" s="7">
        <f>Calculations!X32</f>
        <v>0</v>
      </c>
      <c r="U3" s="7">
        <f>Calculations!Y32</f>
        <v>0</v>
      </c>
      <c r="V3" s="7">
        <f>Calculations!Z32</f>
        <v>0</v>
      </c>
      <c r="W3" s="7">
        <f>Calculations!AA32</f>
        <v>0</v>
      </c>
      <c r="X3" s="7">
        <f>Calculations!AB32</f>
        <v>0</v>
      </c>
      <c r="Y3" s="7">
        <f>Calculations!AC32</f>
        <v>0</v>
      </c>
      <c r="Z3" s="7">
        <f>Calculations!AD32</f>
        <v>0</v>
      </c>
      <c r="AA3" s="7">
        <f>Calculations!AE32</f>
        <v>0</v>
      </c>
      <c r="AB3" s="7">
        <f>Calculations!AF32</f>
        <v>0</v>
      </c>
    </row>
    <row r="4" spans="1:30" x14ac:dyDescent="0.25">
      <c r="A4" s="1" t="s">
        <v>53</v>
      </c>
      <c r="B4" s="7">
        <f>Calculations!F33</f>
        <v>0</v>
      </c>
      <c r="C4" s="7">
        <f>Calculations!G33</f>
        <v>0</v>
      </c>
      <c r="D4" s="7">
        <f>Calculations!H33</f>
        <v>0</v>
      </c>
      <c r="E4" s="7">
        <f>Calculations!I33</f>
        <v>0</v>
      </c>
      <c r="F4" s="7">
        <f>Calculations!J33</f>
        <v>0</v>
      </c>
      <c r="G4" s="7">
        <f>Calculations!K33</f>
        <v>0</v>
      </c>
      <c r="H4" s="7">
        <f>Calculations!L33</f>
        <v>0</v>
      </c>
      <c r="I4" s="7">
        <f>Calculations!M33</f>
        <v>0</v>
      </c>
      <c r="J4" s="7">
        <f>Calculations!N33</f>
        <v>0</v>
      </c>
      <c r="K4" s="7">
        <f>Calculations!O33</f>
        <v>0</v>
      </c>
      <c r="L4" s="7">
        <f>Calculations!P33</f>
        <v>0</v>
      </c>
      <c r="M4" s="7">
        <f>Calculations!Q33</f>
        <v>0</v>
      </c>
      <c r="N4" s="7">
        <f>Calculations!R33</f>
        <v>0</v>
      </c>
      <c r="O4" s="7">
        <f>Calculations!S33</f>
        <v>0</v>
      </c>
      <c r="P4" s="7">
        <f>Calculations!T33</f>
        <v>0</v>
      </c>
      <c r="Q4" s="7">
        <f>Calculations!U33</f>
        <v>0</v>
      </c>
      <c r="R4" s="7">
        <f>Calculations!V33</f>
        <v>0</v>
      </c>
      <c r="S4" s="7">
        <f>Calculations!W33</f>
        <v>0</v>
      </c>
      <c r="T4" s="7">
        <f>Calculations!X33</f>
        <v>0</v>
      </c>
      <c r="U4" s="7">
        <f>Calculations!Y33</f>
        <v>0</v>
      </c>
      <c r="V4" s="7">
        <f>Calculations!Z33</f>
        <v>0</v>
      </c>
      <c r="W4" s="7">
        <f>Calculations!AA33</f>
        <v>0</v>
      </c>
      <c r="X4" s="7">
        <f>Calculations!AB33</f>
        <v>0</v>
      </c>
      <c r="Y4" s="7">
        <f>Calculations!AC33</f>
        <v>0</v>
      </c>
      <c r="Z4" s="7">
        <f>Calculations!AD33</f>
        <v>0</v>
      </c>
      <c r="AA4" s="7">
        <f>Calculations!AE33</f>
        <v>0</v>
      </c>
      <c r="AB4" s="7">
        <f>Calculations!AF33</f>
        <v>0</v>
      </c>
    </row>
    <row r="5" spans="1:30" x14ac:dyDescent="0.25">
      <c r="A5" s="1" t="s">
        <v>68</v>
      </c>
      <c r="B5" s="7">
        <f>Calculations!F34</f>
        <v>0</v>
      </c>
      <c r="C5" s="7">
        <f>Calculations!G34</f>
        <v>0</v>
      </c>
      <c r="D5" s="7">
        <f>Calculations!H34</f>
        <v>0</v>
      </c>
      <c r="E5" s="7">
        <f>Calculations!I34</f>
        <v>0</v>
      </c>
      <c r="F5" s="7">
        <f>Calculations!J34</f>
        <v>0</v>
      </c>
      <c r="G5" s="7">
        <f>Calculations!K34</f>
        <v>0</v>
      </c>
      <c r="H5" s="7">
        <f>Calculations!L34</f>
        <v>0</v>
      </c>
      <c r="I5" s="7">
        <f>Calculations!M34</f>
        <v>0</v>
      </c>
      <c r="J5" s="7">
        <f>Calculations!N34</f>
        <v>0</v>
      </c>
      <c r="K5" s="7">
        <f>Calculations!O34</f>
        <v>0</v>
      </c>
      <c r="L5" s="7">
        <f>Calculations!P34</f>
        <v>0</v>
      </c>
      <c r="M5" s="7">
        <f>Calculations!Q34</f>
        <v>0</v>
      </c>
      <c r="N5" s="7">
        <f>Calculations!R34</f>
        <v>0</v>
      </c>
      <c r="O5" s="7">
        <f>Calculations!S34</f>
        <v>0</v>
      </c>
      <c r="P5" s="7">
        <f>Calculations!T34</f>
        <v>0</v>
      </c>
      <c r="Q5" s="7">
        <f>Calculations!U34</f>
        <v>0</v>
      </c>
      <c r="R5" s="7">
        <f>Calculations!V34</f>
        <v>0</v>
      </c>
      <c r="S5" s="7">
        <f>Calculations!W34</f>
        <v>0</v>
      </c>
      <c r="T5" s="7">
        <f>Calculations!X34</f>
        <v>0</v>
      </c>
      <c r="U5" s="7">
        <f>Calculations!Y34</f>
        <v>0</v>
      </c>
      <c r="V5" s="7">
        <f>Calculations!Z34</f>
        <v>0</v>
      </c>
      <c r="W5" s="7">
        <f>Calculations!AA34</f>
        <v>0</v>
      </c>
      <c r="X5" s="7">
        <f>Calculations!AB34</f>
        <v>0</v>
      </c>
      <c r="Y5" s="7">
        <f>Calculations!AC34</f>
        <v>0</v>
      </c>
      <c r="Z5" s="7">
        <f>Calculations!AD34</f>
        <v>0</v>
      </c>
      <c r="AA5" s="7">
        <f>Calculations!AE34</f>
        <v>0</v>
      </c>
      <c r="AB5" s="7">
        <f>Calculations!AF34</f>
        <v>0</v>
      </c>
    </row>
    <row r="6" spans="1:30" x14ac:dyDescent="0.25">
      <c r="A6" s="1" t="s">
        <v>933</v>
      </c>
      <c r="B6" s="7">
        <f>Calculations!F35</f>
        <v>0</v>
      </c>
      <c r="C6" s="7">
        <f>Calculations!G35</f>
        <v>0</v>
      </c>
      <c r="D6" s="7">
        <f>Calculations!H35</f>
        <v>0</v>
      </c>
      <c r="E6" s="7">
        <f>Calculations!I35</f>
        <v>0</v>
      </c>
      <c r="F6" s="7">
        <f>Calculations!J35</f>
        <v>0</v>
      </c>
      <c r="G6" s="7">
        <f>Calculations!K35</f>
        <v>0</v>
      </c>
      <c r="H6" s="7">
        <f>Calculations!L35</f>
        <v>0</v>
      </c>
      <c r="I6" s="7">
        <f>Calculations!M35</f>
        <v>0</v>
      </c>
      <c r="J6" s="7">
        <f>Calculations!N35</f>
        <v>0</v>
      </c>
      <c r="K6" s="7">
        <f>Calculations!O35</f>
        <v>0</v>
      </c>
      <c r="L6" s="7">
        <f>Calculations!P35</f>
        <v>0</v>
      </c>
      <c r="M6" s="7">
        <f>Calculations!Q35</f>
        <v>0</v>
      </c>
      <c r="N6" s="7">
        <f>Calculations!R35</f>
        <v>0</v>
      </c>
      <c r="O6" s="7">
        <f>Calculations!S35</f>
        <v>0</v>
      </c>
      <c r="P6" s="7">
        <f>Calculations!T35</f>
        <v>0</v>
      </c>
      <c r="Q6" s="7">
        <f>Calculations!U35</f>
        <v>0</v>
      </c>
      <c r="R6" s="7">
        <f>Calculations!V35</f>
        <v>0</v>
      </c>
      <c r="S6" s="7">
        <f>Calculations!W35</f>
        <v>0</v>
      </c>
      <c r="T6" s="7">
        <f>Calculations!X35</f>
        <v>0</v>
      </c>
      <c r="U6" s="7">
        <f>Calculations!Y35</f>
        <v>0</v>
      </c>
      <c r="V6" s="7">
        <f>Calculations!Z35</f>
        <v>0</v>
      </c>
      <c r="W6" s="7">
        <f>Calculations!AA35</f>
        <v>0</v>
      </c>
      <c r="X6" s="7">
        <f>Calculations!AB35</f>
        <v>0</v>
      </c>
      <c r="Y6" s="7">
        <f>Calculations!AC35</f>
        <v>0</v>
      </c>
      <c r="Z6" s="7">
        <f>Calculations!AD35</f>
        <v>0</v>
      </c>
      <c r="AA6" s="7">
        <f>Calculations!AE35</f>
        <v>0</v>
      </c>
      <c r="AB6" s="7">
        <f>Calculations!AF35</f>
        <v>0</v>
      </c>
    </row>
    <row r="7" spans="1:30" x14ac:dyDescent="0.25">
      <c r="A7" s="1" t="s">
        <v>88</v>
      </c>
      <c r="B7" s="7">
        <f>Calculations!F36</f>
        <v>0</v>
      </c>
      <c r="C7" s="7">
        <f>Calculations!G36</f>
        <v>0</v>
      </c>
      <c r="D7" s="7">
        <f>Calculations!H36</f>
        <v>0</v>
      </c>
      <c r="E7" s="7">
        <f>Calculations!I36</f>
        <v>0</v>
      </c>
      <c r="F7" s="7">
        <f>Calculations!J36</f>
        <v>0</v>
      </c>
      <c r="G7" s="7">
        <f>Calculations!K36</f>
        <v>0</v>
      </c>
      <c r="H7" s="7">
        <f>Calculations!L36</f>
        <v>0</v>
      </c>
      <c r="I7" s="7">
        <f>Calculations!M36</f>
        <v>0</v>
      </c>
      <c r="J7" s="7">
        <f>Calculations!N36</f>
        <v>0</v>
      </c>
      <c r="K7" s="7">
        <f>Calculations!O36</f>
        <v>0</v>
      </c>
      <c r="L7" s="7">
        <f>Calculations!P36</f>
        <v>0</v>
      </c>
      <c r="M7" s="7">
        <f>Calculations!Q36</f>
        <v>0</v>
      </c>
      <c r="N7" s="7">
        <f>Calculations!R36</f>
        <v>0</v>
      </c>
      <c r="O7" s="7">
        <f>Calculations!S36</f>
        <v>0</v>
      </c>
      <c r="P7" s="7">
        <f>Calculations!T36</f>
        <v>0</v>
      </c>
      <c r="Q7" s="7">
        <f>Calculations!U36</f>
        <v>0</v>
      </c>
      <c r="R7" s="7">
        <f>Calculations!V36</f>
        <v>0</v>
      </c>
      <c r="S7" s="7">
        <f>Calculations!W36</f>
        <v>0</v>
      </c>
      <c r="T7" s="7">
        <f>Calculations!X36</f>
        <v>0</v>
      </c>
      <c r="U7" s="7">
        <f>Calculations!Y36</f>
        <v>0</v>
      </c>
      <c r="V7" s="7">
        <f>Calculations!Z36</f>
        <v>0</v>
      </c>
      <c r="W7" s="7">
        <f>Calculations!AA36</f>
        <v>0</v>
      </c>
      <c r="X7" s="7">
        <f>Calculations!AB36</f>
        <v>0</v>
      </c>
      <c r="Y7" s="7">
        <f>Calculations!AC36</f>
        <v>0</v>
      </c>
      <c r="Z7" s="7">
        <f>Calculations!AD36</f>
        <v>0</v>
      </c>
      <c r="AA7" s="7">
        <f>Calculations!AE36</f>
        <v>0</v>
      </c>
      <c r="AB7" s="7">
        <f>Calculations!AF36</f>
        <v>0</v>
      </c>
    </row>
    <row r="8" spans="1:30" x14ac:dyDescent="0.25">
      <c r="A8" s="1" t="s">
        <v>934</v>
      </c>
      <c r="B8" s="7">
        <f>Calculations!F37</f>
        <v>0</v>
      </c>
      <c r="C8" s="7">
        <f>Calculations!G37</f>
        <v>0</v>
      </c>
      <c r="D8" s="7">
        <f>Calculations!H37</f>
        <v>0</v>
      </c>
      <c r="E8" s="7">
        <f>Calculations!I37</f>
        <v>0</v>
      </c>
      <c r="F8" s="7">
        <f>Calculations!J37</f>
        <v>0</v>
      </c>
      <c r="G8" s="7">
        <f>Calculations!K37</f>
        <v>0</v>
      </c>
      <c r="H8" s="7">
        <f>Calculations!L37</f>
        <v>0</v>
      </c>
      <c r="I8" s="7">
        <f>Calculations!M37</f>
        <v>0</v>
      </c>
      <c r="J8" s="7">
        <f>Calculations!N37</f>
        <v>0</v>
      </c>
      <c r="K8" s="7">
        <f>Calculations!O37</f>
        <v>0</v>
      </c>
      <c r="L8" s="7">
        <f>Calculations!P37</f>
        <v>0</v>
      </c>
      <c r="M8" s="7">
        <f>Calculations!Q37</f>
        <v>0</v>
      </c>
      <c r="N8" s="7">
        <f>Calculations!R37</f>
        <v>0</v>
      </c>
      <c r="O8" s="7">
        <f>Calculations!S37</f>
        <v>0</v>
      </c>
      <c r="P8" s="7">
        <f>Calculations!T37</f>
        <v>0</v>
      </c>
      <c r="Q8" s="7">
        <f>Calculations!U37</f>
        <v>0</v>
      </c>
      <c r="R8" s="7">
        <f>Calculations!V37</f>
        <v>0</v>
      </c>
      <c r="S8" s="7">
        <f>Calculations!W37</f>
        <v>0</v>
      </c>
      <c r="T8" s="7">
        <f>Calculations!X37</f>
        <v>0</v>
      </c>
      <c r="U8" s="7">
        <f>Calculations!Y37</f>
        <v>0</v>
      </c>
      <c r="V8" s="7">
        <f>Calculations!Z37</f>
        <v>0</v>
      </c>
      <c r="W8" s="7">
        <f>Calculations!AA37</f>
        <v>0</v>
      </c>
      <c r="X8" s="7">
        <f>Calculations!AB37</f>
        <v>0</v>
      </c>
      <c r="Y8" s="7">
        <f>Calculations!AC37</f>
        <v>0</v>
      </c>
      <c r="Z8" s="7">
        <f>Calculations!AD37</f>
        <v>0</v>
      </c>
      <c r="AA8" s="7">
        <f>Calculations!AE37</f>
        <v>0</v>
      </c>
      <c r="AB8" s="7">
        <f>Calculations!AF37</f>
        <v>0</v>
      </c>
    </row>
    <row r="9" spans="1:30" x14ac:dyDescent="0.25">
      <c r="A9" s="1" t="s">
        <v>935</v>
      </c>
      <c r="B9" s="7">
        <f>Calculations!F38</f>
        <v>0</v>
      </c>
      <c r="C9" s="7">
        <f>Calculations!G38</f>
        <v>0</v>
      </c>
      <c r="D9" s="7">
        <f>Calculations!H38</f>
        <v>0</v>
      </c>
      <c r="E9" s="7">
        <f>Calculations!I38</f>
        <v>0</v>
      </c>
      <c r="F9" s="7">
        <f>Calculations!J38</f>
        <v>0</v>
      </c>
      <c r="G9" s="7">
        <f>Calculations!K38</f>
        <v>0</v>
      </c>
      <c r="H9" s="7">
        <f>Calculations!L38</f>
        <v>0</v>
      </c>
      <c r="I9" s="7">
        <f>Calculations!M38</f>
        <v>0</v>
      </c>
      <c r="J9" s="7">
        <f>Calculations!N38</f>
        <v>0</v>
      </c>
      <c r="K9" s="7">
        <f>Calculations!O38</f>
        <v>0</v>
      </c>
      <c r="L9" s="7">
        <f>Calculations!P38</f>
        <v>0</v>
      </c>
      <c r="M9" s="7">
        <f>Calculations!Q38</f>
        <v>0</v>
      </c>
      <c r="N9" s="7">
        <f>Calculations!R38</f>
        <v>0</v>
      </c>
      <c r="O9" s="7">
        <f>Calculations!S38</f>
        <v>0</v>
      </c>
      <c r="P9" s="7">
        <f>Calculations!T38</f>
        <v>0</v>
      </c>
      <c r="Q9" s="7">
        <f>Calculations!U38</f>
        <v>0</v>
      </c>
      <c r="R9" s="7">
        <f>Calculations!V38</f>
        <v>0</v>
      </c>
      <c r="S9" s="7">
        <f>Calculations!W38</f>
        <v>0</v>
      </c>
      <c r="T9" s="7">
        <f>Calculations!X38</f>
        <v>0</v>
      </c>
      <c r="U9" s="7">
        <f>Calculations!Y38</f>
        <v>0</v>
      </c>
      <c r="V9" s="7">
        <f>Calculations!Z38</f>
        <v>0</v>
      </c>
      <c r="W9" s="7">
        <f>Calculations!AA38</f>
        <v>0</v>
      </c>
      <c r="X9" s="7">
        <f>Calculations!AB38</f>
        <v>0</v>
      </c>
      <c r="Y9" s="7">
        <f>Calculations!AC38</f>
        <v>0</v>
      </c>
      <c r="Z9" s="7">
        <f>Calculations!AD38</f>
        <v>0</v>
      </c>
      <c r="AA9" s="7">
        <f>Calculations!AE38</f>
        <v>0</v>
      </c>
      <c r="AB9" s="7">
        <f>Calculations!AF38</f>
        <v>0</v>
      </c>
    </row>
    <row r="10" spans="1:30" x14ac:dyDescent="0.25">
      <c r="A10" s="1" t="s">
        <v>77</v>
      </c>
      <c r="B10" s="7">
        <f>Calculations!F39</f>
        <v>0</v>
      </c>
      <c r="C10" s="7">
        <f>Calculations!G39</f>
        <v>0</v>
      </c>
      <c r="D10" s="7">
        <f>Calculations!H39</f>
        <v>0</v>
      </c>
      <c r="E10" s="7">
        <f>Calculations!I39</f>
        <v>0</v>
      </c>
      <c r="F10" s="7">
        <f>Calculations!J39</f>
        <v>0</v>
      </c>
      <c r="G10" s="7">
        <f>Calculations!K39</f>
        <v>0</v>
      </c>
      <c r="H10" s="7">
        <f>Calculations!L39</f>
        <v>0</v>
      </c>
      <c r="I10" s="7">
        <f>Calculations!M39</f>
        <v>0</v>
      </c>
      <c r="J10" s="7">
        <f>Calculations!N39</f>
        <v>0</v>
      </c>
      <c r="K10" s="7">
        <f>Calculations!O39</f>
        <v>0</v>
      </c>
      <c r="L10" s="7">
        <f>Calculations!P39</f>
        <v>0</v>
      </c>
      <c r="M10" s="7">
        <f>Calculations!Q39</f>
        <v>0</v>
      </c>
      <c r="N10" s="7">
        <f>Calculations!R39</f>
        <v>0</v>
      </c>
      <c r="O10" s="7">
        <f>Calculations!S39</f>
        <v>0</v>
      </c>
      <c r="P10" s="7">
        <f>Calculations!T39</f>
        <v>0</v>
      </c>
      <c r="Q10" s="7">
        <f>Calculations!U39</f>
        <v>0</v>
      </c>
      <c r="R10" s="7">
        <f>Calculations!V39</f>
        <v>0</v>
      </c>
      <c r="S10" s="7">
        <f>Calculations!W39</f>
        <v>0</v>
      </c>
      <c r="T10" s="7">
        <f>Calculations!X39</f>
        <v>0</v>
      </c>
      <c r="U10" s="7">
        <f>Calculations!Y39</f>
        <v>0</v>
      </c>
      <c r="V10" s="7">
        <f>Calculations!Z39</f>
        <v>0</v>
      </c>
      <c r="W10" s="7">
        <f>Calculations!AA39</f>
        <v>0</v>
      </c>
      <c r="X10" s="7">
        <f>Calculations!AB39</f>
        <v>0</v>
      </c>
      <c r="Y10" s="7">
        <f>Calculations!AC39</f>
        <v>0</v>
      </c>
      <c r="Z10" s="7">
        <f>Calculations!AD39</f>
        <v>0</v>
      </c>
      <c r="AA10" s="7">
        <f>Calculations!AE39</f>
        <v>0</v>
      </c>
      <c r="AB10" s="7">
        <f>Calculations!AF39</f>
        <v>0</v>
      </c>
    </row>
    <row r="11" spans="1:30" x14ac:dyDescent="0.25">
      <c r="A11" s="1" t="s">
        <v>936</v>
      </c>
      <c r="B11" s="7">
        <f>Calculations!F40</f>
        <v>0</v>
      </c>
      <c r="C11" s="7">
        <f>Calculations!G40</f>
        <v>0</v>
      </c>
      <c r="D11" s="7">
        <f>Calculations!H40</f>
        <v>0</v>
      </c>
      <c r="E11" s="7">
        <f>Calculations!I40</f>
        <v>0</v>
      </c>
      <c r="F11" s="7">
        <f>Calculations!J40</f>
        <v>0</v>
      </c>
      <c r="G11" s="7">
        <f>Calculations!K40</f>
        <v>0</v>
      </c>
      <c r="H11" s="7">
        <f>Calculations!L40</f>
        <v>0</v>
      </c>
      <c r="I11" s="7">
        <f>Calculations!M40</f>
        <v>0</v>
      </c>
      <c r="J11" s="7">
        <f>Calculations!N40</f>
        <v>0</v>
      </c>
      <c r="K11" s="7">
        <f>Calculations!O40</f>
        <v>0</v>
      </c>
      <c r="L11" s="7">
        <f>Calculations!P40</f>
        <v>0</v>
      </c>
      <c r="M11" s="7">
        <f>Calculations!Q40</f>
        <v>0</v>
      </c>
      <c r="N11" s="7">
        <f>Calculations!R40</f>
        <v>0</v>
      </c>
      <c r="O11" s="7">
        <f>Calculations!S40</f>
        <v>0</v>
      </c>
      <c r="P11" s="7">
        <f>Calculations!T40</f>
        <v>0</v>
      </c>
      <c r="Q11" s="7">
        <f>Calculations!U40</f>
        <v>0</v>
      </c>
      <c r="R11" s="7">
        <f>Calculations!V40</f>
        <v>0</v>
      </c>
      <c r="S11" s="7">
        <f>Calculations!W40</f>
        <v>0</v>
      </c>
      <c r="T11" s="7">
        <f>Calculations!X40</f>
        <v>0</v>
      </c>
      <c r="U11" s="7">
        <f>Calculations!Y40</f>
        <v>0</v>
      </c>
      <c r="V11" s="7">
        <f>Calculations!Z40</f>
        <v>0</v>
      </c>
      <c r="W11" s="7">
        <f>Calculations!AA40</f>
        <v>0</v>
      </c>
      <c r="X11" s="7">
        <f>Calculations!AB40</f>
        <v>0</v>
      </c>
      <c r="Y11" s="7">
        <f>Calculations!AC40</f>
        <v>0</v>
      </c>
      <c r="Z11" s="7">
        <f>Calculations!AD40</f>
        <v>0</v>
      </c>
      <c r="AA11" s="7">
        <f>Calculations!AE40</f>
        <v>0</v>
      </c>
      <c r="AB11" s="7">
        <f>Calculations!AF40</f>
        <v>0</v>
      </c>
    </row>
  </sheetData>
  <pageMargins left="0.7" right="0.7" top="0.75" bottom="0.75" header="0.3" footer="0.3"/>
  <pageSetup orientation="portrait" horizontalDpi="1200" verticalDpi="12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D11"/>
  <sheetViews>
    <sheetView workbookViewId="0"/>
  </sheetViews>
  <sheetFormatPr defaultRowHeight="15" x14ac:dyDescent="0.25"/>
  <cols>
    <col min="1" max="1" width="29.85546875" customWidth="1"/>
    <col min="2" max="28" width="13.5703125" customWidth="1"/>
  </cols>
  <sheetData>
    <row r="1" spans="1:30" x14ac:dyDescent="0.25">
      <c r="A1" s="1" t="s">
        <v>915</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v>
      </c>
      <c r="B2" s="7">
        <f>Calculations!F44</f>
        <v>1009091482231036.9</v>
      </c>
      <c r="C2" s="7">
        <f>Calculations!G44</f>
        <v>990293030033190.38</v>
      </c>
      <c r="D2" s="7">
        <f>Calculations!H44</f>
        <v>984233131061280.75</v>
      </c>
      <c r="E2" s="7">
        <f>Calculations!I44</f>
        <v>979726218408483.75</v>
      </c>
      <c r="F2" s="7">
        <f>Calculations!J44</f>
        <v>975920182303893.63</v>
      </c>
      <c r="G2" s="7">
        <f>Calculations!K44</f>
        <v>961864436493159.5</v>
      </c>
      <c r="H2" s="7">
        <f>Calculations!L44</f>
        <v>940998317169918.13</v>
      </c>
      <c r="I2" s="7">
        <f>Calculations!M44</f>
        <v>918764594187646.5</v>
      </c>
      <c r="J2" s="7">
        <f>Calculations!N44</f>
        <v>897643167165870.5</v>
      </c>
      <c r="K2" s="7">
        <f>Calculations!O44</f>
        <v>878612173561078.25</v>
      </c>
      <c r="L2" s="7">
        <f>Calculations!P44</f>
        <v>861681370355379.13</v>
      </c>
      <c r="M2" s="7">
        <f>Calculations!Q44</f>
        <v>846862140694568.13</v>
      </c>
      <c r="N2" s="7">
        <f>Calculations!R44</f>
        <v>834497605116166.13</v>
      </c>
      <c r="O2" s="7">
        <f>Calculations!S44</f>
        <v>824457670525378.38</v>
      </c>
      <c r="P2" s="7">
        <f>Calculations!T44</f>
        <v>816866738444102.5</v>
      </c>
      <c r="Q2" s="7">
        <f>Calculations!U44</f>
        <v>811643500688091.75</v>
      </c>
      <c r="R2" s="7">
        <f>Calculations!V44</f>
        <v>808531836476969</v>
      </c>
      <c r="S2" s="7">
        <f>Calculations!W44</f>
        <v>807555325184165.88</v>
      </c>
      <c r="T2" s="7">
        <f>Calculations!X44</f>
        <v>808347266898728.88</v>
      </c>
      <c r="U2" s="7">
        <f>Calculations!Y44</f>
        <v>811013362260179.63</v>
      </c>
      <c r="V2" s="7">
        <f>Calculations!Z44</f>
        <v>813998998785720</v>
      </c>
      <c r="W2" s="7">
        <f>Calculations!AA44</f>
        <v>817457848943576.38</v>
      </c>
      <c r="X2" s="7">
        <f>Calculations!AB44</f>
        <v>821224044037885.38</v>
      </c>
      <c r="Y2" s="7">
        <f>Calculations!AC44</f>
        <v>825217088966243</v>
      </c>
      <c r="Z2" s="7">
        <f>Calculations!AD44</f>
        <v>829171105966162</v>
      </c>
      <c r="AA2" s="7">
        <f>Calculations!AE44</f>
        <v>833404823119890</v>
      </c>
      <c r="AB2" s="7">
        <f>Calculations!AF44</f>
        <v>837770259532097.5</v>
      </c>
    </row>
    <row r="3" spans="1:30" x14ac:dyDescent="0.25">
      <c r="A3" s="1" t="s">
        <v>932</v>
      </c>
      <c r="B3" s="7">
        <f>Calculations!F45</f>
        <v>0</v>
      </c>
      <c r="C3" s="7">
        <f>Calculations!G45</f>
        <v>0</v>
      </c>
      <c r="D3" s="7">
        <f>Calculations!H45</f>
        <v>0</v>
      </c>
      <c r="E3" s="7">
        <f>Calculations!I45</f>
        <v>0</v>
      </c>
      <c r="F3" s="7">
        <f>Calculations!J45</f>
        <v>0</v>
      </c>
      <c r="G3" s="7">
        <f>Calculations!K45</f>
        <v>0</v>
      </c>
      <c r="H3" s="7">
        <f>Calculations!L45</f>
        <v>0</v>
      </c>
      <c r="I3" s="7">
        <f>Calculations!M45</f>
        <v>0</v>
      </c>
      <c r="J3" s="7">
        <f>Calculations!N45</f>
        <v>0</v>
      </c>
      <c r="K3" s="7">
        <f>Calculations!O45</f>
        <v>0</v>
      </c>
      <c r="L3" s="7">
        <f>Calculations!P45</f>
        <v>0</v>
      </c>
      <c r="M3" s="7">
        <f>Calculations!Q45</f>
        <v>0</v>
      </c>
      <c r="N3" s="7">
        <f>Calculations!R45</f>
        <v>0</v>
      </c>
      <c r="O3" s="7">
        <f>Calculations!S45</f>
        <v>0</v>
      </c>
      <c r="P3" s="7">
        <f>Calculations!T45</f>
        <v>0</v>
      </c>
      <c r="Q3" s="7">
        <f>Calculations!U45</f>
        <v>0</v>
      </c>
      <c r="R3" s="7">
        <f>Calculations!V45</f>
        <v>0</v>
      </c>
      <c r="S3" s="7">
        <f>Calculations!W45</f>
        <v>0</v>
      </c>
      <c r="T3" s="7">
        <f>Calculations!X45</f>
        <v>0</v>
      </c>
      <c r="U3" s="7">
        <f>Calculations!Y45</f>
        <v>0</v>
      </c>
      <c r="V3" s="7">
        <f>Calculations!Z45</f>
        <v>0</v>
      </c>
      <c r="W3" s="7">
        <f>Calculations!AA45</f>
        <v>0</v>
      </c>
      <c r="X3" s="7">
        <f>Calculations!AB45</f>
        <v>0</v>
      </c>
      <c r="Y3" s="7">
        <f>Calculations!AC45</f>
        <v>0</v>
      </c>
      <c r="Z3" s="7">
        <f>Calculations!AD45</f>
        <v>0</v>
      </c>
      <c r="AA3" s="7">
        <f>Calculations!AE45</f>
        <v>0</v>
      </c>
      <c r="AB3" s="7">
        <f>Calculations!AF45</f>
        <v>0</v>
      </c>
    </row>
    <row r="4" spans="1:30" x14ac:dyDescent="0.25">
      <c r="A4" s="1" t="s">
        <v>53</v>
      </c>
      <c r="B4" s="7">
        <f>Calculations!F46</f>
        <v>937723223508459.38</v>
      </c>
      <c r="C4" s="7">
        <f>Calculations!G46</f>
        <v>927814195094309.13</v>
      </c>
      <c r="D4" s="7">
        <f>Calculations!H46</f>
        <v>937254888367198.25</v>
      </c>
      <c r="E4" s="7">
        <f>Calculations!I46</f>
        <v>946092274912976.63</v>
      </c>
      <c r="F4" s="7">
        <f>Calculations!J46</f>
        <v>954519055128308.88</v>
      </c>
      <c r="G4" s="7">
        <f>Calculations!K46</f>
        <v>953458796405731.25</v>
      </c>
      <c r="H4" s="7">
        <f>Calculations!L46</f>
        <v>950956943576459</v>
      </c>
      <c r="I4" s="7">
        <f>Calculations!M46</f>
        <v>949038070428236</v>
      </c>
      <c r="J4" s="7">
        <f>Calculations!N46</f>
        <v>948072942281227.13</v>
      </c>
      <c r="K4" s="7">
        <f>Calculations!O46</f>
        <v>946249199708572.63</v>
      </c>
      <c r="L4" s="7">
        <f>Calculations!P46</f>
        <v>946158947624058.88</v>
      </c>
      <c r="M4" s="7">
        <f>Calculations!Q46</f>
        <v>947408654415931.38</v>
      </c>
      <c r="N4" s="7">
        <f>Calculations!R46</f>
        <v>948315240670282.38</v>
      </c>
      <c r="O4" s="7">
        <f>Calculations!S46</f>
        <v>948441268355865</v>
      </c>
      <c r="P4" s="7">
        <f>Calculations!T46</f>
        <v>948386791872419.63</v>
      </c>
      <c r="Q4" s="7">
        <f>Calculations!U46</f>
        <v>947974559378288.5</v>
      </c>
      <c r="R4" s="7">
        <f>Calculations!V46</f>
        <v>947359869505383.25</v>
      </c>
      <c r="S4" s="7">
        <f>Calculations!W46</f>
        <v>946252452035942.5</v>
      </c>
      <c r="T4" s="7">
        <f>Calculations!X46</f>
        <v>945211707277584.38</v>
      </c>
      <c r="U4" s="7">
        <f>Calculations!Y46</f>
        <v>943940860357807.63</v>
      </c>
      <c r="V4" s="7">
        <f>Calculations!Z46</f>
        <v>942393565611592.25</v>
      </c>
      <c r="W4" s="7">
        <f>Calculations!AA46</f>
        <v>940275487411964.63</v>
      </c>
      <c r="X4" s="7">
        <f>Calculations!AB46</f>
        <v>937293103213794.13</v>
      </c>
      <c r="Y4" s="7">
        <f>Calculations!AC46</f>
        <v>933669197441916.88</v>
      </c>
      <c r="Z4" s="7">
        <f>Calculations!AD46</f>
        <v>929891619201813.13</v>
      </c>
      <c r="AA4" s="7">
        <f>Calculations!AE46</f>
        <v>926354713187080.13</v>
      </c>
      <c r="AB4" s="7">
        <f>Calculations!AF46</f>
        <v>923400786853395.88</v>
      </c>
    </row>
    <row r="5" spans="1:30" x14ac:dyDescent="0.25">
      <c r="A5" s="1" t="s">
        <v>68</v>
      </c>
      <c r="B5" s="7">
        <f>Calculations!F47</f>
        <v>32750936614587.551</v>
      </c>
      <c r="C5" s="7">
        <f>Calculations!G47</f>
        <v>30780839310288.996</v>
      </c>
      <c r="D5" s="7">
        <f>Calculations!H47</f>
        <v>29169311098518.574</v>
      </c>
      <c r="E5" s="7">
        <f>Calculations!I47</f>
        <v>27453708410912.328</v>
      </c>
      <c r="F5" s="7">
        <f>Calculations!J47</f>
        <v>25823479316765.152</v>
      </c>
      <c r="G5" s="7">
        <f>Calculations!K47</f>
        <v>24247726706063.301</v>
      </c>
      <c r="H5" s="7">
        <f>Calculations!L47</f>
        <v>22915085566259.207</v>
      </c>
      <c r="I5" s="7">
        <f>Calculations!M47</f>
        <v>21767014004695.215</v>
      </c>
      <c r="J5" s="7">
        <f>Calculations!N47</f>
        <v>20833596049542.621</v>
      </c>
      <c r="K5" s="7">
        <f>Calculations!O47</f>
        <v>20092878491054.805</v>
      </c>
      <c r="L5" s="7">
        <f>Calculations!P47</f>
        <v>19574945357403.059</v>
      </c>
      <c r="M5" s="7">
        <f>Calculations!Q47</f>
        <v>19250525702258.559</v>
      </c>
      <c r="N5" s="7">
        <f>Calculations!R47</f>
        <v>18891143527887.961</v>
      </c>
      <c r="O5" s="7">
        <f>Calculations!S47</f>
        <v>18520378207722.82</v>
      </c>
      <c r="P5" s="7">
        <f>Calculations!T47</f>
        <v>18139042823605.602</v>
      </c>
      <c r="Q5" s="7">
        <f>Calculations!U47</f>
        <v>17752828948433.578</v>
      </c>
      <c r="R5" s="7">
        <f>Calculations!V47</f>
        <v>17362549664049.221</v>
      </c>
      <c r="S5" s="7">
        <f>Calculations!W47</f>
        <v>16962513397555.248</v>
      </c>
      <c r="T5" s="7">
        <f>Calculations!X47</f>
        <v>16560037885533.879</v>
      </c>
      <c r="U5" s="7">
        <f>Calculations!Y47</f>
        <v>16155936209827.57</v>
      </c>
      <c r="V5" s="7">
        <f>Calculations!Z47</f>
        <v>15751021452278.799</v>
      </c>
      <c r="W5" s="7">
        <f>Calculations!AA47</f>
        <v>15342854367360.156</v>
      </c>
      <c r="X5" s="7">
        <f>Calculations!AB47</f>
        <v>14937939609811.381</v>
      </c>
      <c r="Y5" s="7">
        <f>Calculations!AC47</f>
        <v>14538716425159.879</v>
      </c>
      <c r="Z5" s="7">
        <f>Calculations!AD47</f>
        <v>14148437140775.52</v>
      </c>
      <c r="AA5" s="7">
        <f>Calculations!AE47</f>
        <v>13773606411398.039</v>
      </c>
      <c r="AB5" s="7">
        <f>Calculations!AF47</f>
        <v>13423168137294.582</v>
      </c>
    </row>
    <row r="6" spans="1:30" x14ac:dyDescent="0.25">
      <c r="A6" s="1" t="s">
        <v>933</v>
      </c>
      <c r="B6" s="7">
        <f>Calculations!F48</f>
        <v>0</v>
      </c>
      <c r="C6" s="7">
        <f>Calculations!G48</f>
        <v>0</v>
      </c>
      <c r="D6" s="7">
        <f>Calculations!H48</f>
        <v>0</v>
      </c>
      <c r="E6" s="7">
        <f>Calculations!I48</f>
        <v>0</v>
      </c>
      <c r="F6" s="7">
        <f>Calculations!J48</f>
        <v>0</v>
      </c>
      <c r="G6" s="7">
        <f>Calculations!K48</f>
        <v>0</v>
      </c>
      <c r="H6" s="7">
        <f>Calculations!L48</f>
        <v>0</v>
      </c>
      <c r="I6" s="7">
        <f>Calculations!M48</f>
        <v>0</v>
      </c>
      <c r="J6" s="7">
        <f>Calculations!N48</f>
        <v>0</v>
      </c>
      <c r="K6" s="7">
        <f>Calculations!O48</f>
        <v>0</v>
      </c>
      <c r="L6" s="7">
        <f>Calculations!P48</f>
        <v>0</v>
      </c>
      <c r="M6" s="7">
        <f>Calculations!Q48</f>
        <v>0</v>
      </c>
      <c r="N6" s="7">
        <f>Calculations!R48</f>
        <v>0</v>
      </c>
      <c r="O6" s="7">
        <f>Calculations!S48</f>
        <v>0</v>
      </c>
      <c r="P6" s="7">
        <f>Calculations!T48</f>
        <v>0</v>
      </c>
      <c r="Q6" s="7">
        <f>Calculations!U48</f>
        <v>0</v>
      </c>
      <c r="R6" s="7">
        <f>Calculations!V48</f>
        <v>0</v>
      </c>
      <c r="S6" s="7">
        <f>Calculations!W48</f>
        <v>0</v>
      </c>
      <c r="T6" s="7">
        <f>Calculations!X48</f>
        <v>0</v>
      </c>
      <c r="U6" s="7">
        <f>Calculations!Y48</f>
        <v>0</v>
      </c>
      <c r="V6" s="7">
        <f>Calculations!Z48</f>
        <v>0</v>
      </c>
      <c r="W6" s="7">
        <f>Calculations!AA48</f>
        <v>0</v>
      </c>
      <c r="X6" s="7">
        <f>Calculations!AB48</f>
        <v>0</v>
      </c>
      <c r="Y6" s="7">
        <f>Calculations!AC48</f>
        <v>0</v>
      </c>
      <c r="Z6" s="7">
        <f>Calculations!AD48</f>
        <v>0</v>
      </c>
      <c r="AA6" s="7">
        <f>Calculations!AE48</f>
        <v>0</v>
      </c>
      <c r="AB6" s="7">
        <f>Calculations!AF48</f>
        <v>0</v>
      </c>
    </row>
    <row r="7" spans="1:30" x14ac:dyDescent="0.25">
      <c r="A7" s="1" t="s">
        <v>88</v>
      </c>
      <c r="B7" s="7">
        <f>Calculations!F49</f>
        <v>0</v>
      </c>
      <c r="C7" s="7">
        <f>Calculations!G49</f>
        <v>0</v>
      </c>
      <c r="D7" s="7">
        <f>Calculations!H49</f>
        <v>0</v>
      </c>
      <c r="E7" s="7">
        <f>Calculations!I49</f>
        <v>0</v>
      </c>
      <c r="F7" s="7">
        <f>Calculations!J49</f>
        <v>0</v>
      </c>
      <c r="G7" s="7">
        <f>Calculations!K49</f>
        <v>0</v>
      </c>
      <c r="H7" s="7">
        <f>Calculations!L49</f>
        <v>0</v>
      </c>
      <c r="I7" s="7">
        <f>Calculations!M49</f>
        <v>0</v>
      </c>
      <c r="J7" s="7">
        <f>Calculations!N49</f>
        <v>0</v>
      </c>
      <c r="K7" s="7">
        <f>Calculations!O49</f>
        <v>0</v>
      </c>
      <c r="L7" s="7">
        <f>Calculations!P49</f>
        <v>0</v>
      </c>
      <c r="M7" s="7">
        <f>Calculations!Q49</f>
        <v>0</v>
      </c>
      <c r="N7" s="7">
        <f>Calculations!R49</f>
        <v>0</v>
      </c>
      <c r="O7" s="7">
        <f>Calculations!S49</f>
        <v>0</v>
      </c>
      <c r="P7" s="7">
        <f>Calculations!T49</f>
        <v>0</v>
      </c>
      <c r="Q7" s="7">
        <f>Calculations!U49</f>
        <v>0</v>
      </c>
      <c r="R7" s="7">
        <f>Calculations!V49</f>
        <v>0</v>
      </c>
      <c r="S7" s="7">
        <f>Calculations!W49</f>
        <v>0</v>
      </c>
      <c r="T7" s="7">
        <f>Calculations!X49</f>
        <v>0</v>
      </c>
      <c r="U7" s="7">
        <f>Calculations!Y49</f>
        <v>0</v>
      </c>
      <c r="V7" s="7">
        <f>Calculations!Z49</f>
        <v>0</v>
      </c>
      <c r="W7" s="7">
        <f>Calculations!AA49</f>
        <v>0</v>
      </c>
      <c r="X7" s="7">
        <f>Calculations!AB49</f>
        <v>0</v>
      </c>
      <c r="Y7" s="7">
        <f>Calculations!AC49</f>
        <v>0</v>
      </c>
      <c r="Z7" s="7">
        <f>Calculations!AD49</f>
        <v>0</v>
      </c>
      <c r="AA7" s="7">
        <f>Calculations!AE49</f>
        <v>0</v>
      </c>
      <c r="AB7" s="7">
        <f>Calculations!AF49</f>
        <v>0</v>
      </c>
    </row>
    <row r="8" spans="1:30" x14ac:dyDescent="0.25">
      <c r="A8" s="1" t="s">
        <v>934</v>
      </c>
      <c r="B8" s="7">
        <f>Calculations!F50</f>
        <v>0</v>
      </c>
      <c r="C8" s="7">
        <f>Calculations!G50</f>
        <v>0</v>
      </c>
      <c r="D8" s="7">
        <f>Calculations!H50</f>
        <v>0</v>
      </c>
      <c r="E8" s="7">
        <f>Calculations!I50</f>
        <v>0</v>
      </c>
      <c r="F8" s="7">
        <f>Calculations!J50</f>
        <v>0</v>
      </c>
      <c r="G8" s="7">
        <f>Calculations!K50</f>
        <v>0</v>
      </c>
      <c r="H8" s="7">
        <f>Calculations!L50</f>
        <v>0</v>
      </c>
      <c r="I8" s="7">
        <f>Calculations!M50</f>
        <v>0</v>
      </c>
      <c r="J8" s="7">
        <f>Calculations!N50</f>
        <v>0</v>
      </c>
      <c r="K8" s="7">
        <f>Calculations!O50</f>
        <v>0</v>
      </c>
      <c r="L8" s="7">
        <f>Calculations!P50</f>
        <v>0</v>
      </c>
      <c r="M8" s="7">
        <f>Calculations!Q50</f>
        <v>0</v>
      </c>
      <c r="N8" s="7">
        <f>Calculations!R50</f>
        <v>0</v>
      </c>
      <c r="O8" s="7">
        <f>Calculations!S50</f>
        <v>0</v>
      </c>
      <c r="P8" s="7">
        <f>Calculations!T50</f>
        <v>0</v>
      </c>
      <c r="Q8" s="7">
        <f>Calculations!U50</f>
        <v>0</v>
      </c>
      <c r="R8" s="7">
        <f>Calculations!V50</f>
        <v>0</v>
      </c>
      <c r="S8" s="7">
        <f>Calculations!W50</f>
        <v>0</v>
      </c>
      <c r="T8" s="7">
        <f>Calculations!X50</f>
        <v>0</v>
      </c>
      <c r="U8" s="7">
        <f>Calculations!Y50</f>
        <v>0</v>
      </c>
      <c r="V8" s="7">
        <f>Calculations!Z50</f>
        <v>0</v>
      </c>
      <c r="W8" s="7">
        <f>Calculations!AA50</f>
        <v>0</v>
      </c>
      <c r="X8" s="7">
        <f>Calculations!AB50</f>
        <v>0</v>
      </c>
      <c r="Y8" s="7">
        <f>Calculations!AC50</f>
        <v>0</v>
      </c>
      <c r="Z8" s="7">
        <f>Calculations!AD50</f>
        <v>0</v>
      </c>
      <c r="AA8" s="7">
        <f>Calculations!AE50</f>
        <v>0</v>
      </c>
      <c r="AB8" s="7">
        <f>Calculations!AF50</f>
        <v>0</v>
      </c>
    </row>
    <row r="9" spans="1:30" x14ac:dyDescent="0.25">
      <c r="A9" s="1" t="s">
        <v>935</v>
      </c>
      <c r="B9" s="7">
        <f>Calculations!F51</f>
        <v>0</v>
      </c>
      <c r="C9" s="7">
        <f>Calculations!G51</f>
        <v>0</v>
      </c>
      <c r="D9" s="7">
        <f>Calculations!H51</f>
        <v>0</v>
      </c>
      <c r="E9" s="7">
        <f>Calculations!I51</f>
        <v>0</v>
      </c>
      <c r="F9" s="7">
        <f>Calculations!J51</f>
        <v>0</v>
      </c>
      <c r="G9" s="7">
        <f>Calculations!K51</f>
        <v>0</v>
      </c>
      <c r="H9" s="7">
        <f>Calculations!L51</f>
        <v>0</v>
      </c>
      <c r="I9" s="7">
        <f>Calculations!M51</f>
        <v>0</v>
      </c>
      <c r="J9" s="7">
        <f>Calculations!N51</f>
        <v>0</v>
      </c>
      <c r="K9" s="7">
        <f>Calculations!O51</f>
        <v>0</v>
      </c>
      <c r="L9" s="7">
        <f>Calculations!P51</f>
        <v>0</v>
      </c>
      <c r="M9" s="7">
        <f>Calculations!Q51</f>
        <v>0</v>
      </c>
      <c r="N9" s="7">
        <f>Calculations!R51</f>
        <v>0</v>
      </c>
      <c r="O9" s="7">
        <f>Calculations!S51</f>
        <v>0</v>
      </c>
      <c r="P9" s="7">
        <f>Calculations!T51</f>
        <v>0</v>
      </c>
      <c r="Q9" s="7">
        <f>Calculations!U51</f>
        <v>0</v>
      </c>
      <c r="R9" s="7">
        <f>Calculations!V51</f>
        <v>0</v>
      </c>
      <c r="S9" s="7">
        <f>Calculations!W51</f>
        <v>0</v>
      </c>
      <c r="T9" s="7">
        <f>Calculations!X51</f>
        <v>0</v>
      </c>
      <c r="U9" s="7">
        <f>Calculations!Y51</f>
        <v>0</v>
      </c>
      <c r="V9" s="7">
        <f>Calculations!Z51</f>
        <v>0</v>
      </c>
      <c r="W9" s="7">
        <f>Calculations!AA51</f>
        <v>0</v>
      </c>
      <c r="X9" s="7">
        <f>Calculations!AB51</f>
        <v>0</v>
      </c>
      <c r="Y9" s="7">
        <f>Calculations!AC51</f>
        <v>0</v>
      </c>
      <c r="Z9" s="7">
        <f>Calculations!AD51</f>
        <v>0</v>
      </c>
      <c r="AA9" s="7">
        <f>Calculations!AE51</f>
        <v>0</v>
      </c>
      <c r="AB9" s="7">
        <f>Calculations!AF51</f>
        <v>0</v>
      </c>
    </row>
    <row r="10" spans="1:30" x14ac:dyDescent="0.25">
      <c r="A10" s="1" t="s">
        <v>77</v>
      </c>
      <c r="B10" s="7">
        <f>Calculations!F52</f>
        <v>54522016028495.102</v>
      </c>
      <c r="C10" s="7">
        <f>Calculations!G52</f>
        <v>56055488383388.648</v>
      </c>
      <c r="D10" s="7">
        <f>Calculations!H52</f>
        <v>56450646158827.813</v>
      </c>
      <c r="E10" s="7">
        <f>Calculations!I52</f>
        <v>57030373512507.07</v>
      </c>
      <c r="F10" s="7">
        <f>Calculations!J52</f>
        <v>57493830162713.508</v>
      </c>
      <c r="G10" s="7">
        <f>Calculations!K52</f>
        <v>56827103051890.234</v>
      </c>
      <c r="H10" s="7">
        <f>Calculations!L52</f>
        <v>55984750263093.984</v>
      </c>
      <c r="I10" s="7">
        <f>Calculations!M52</f>
        <v>55099304136646.961</v>
      </c>
      <c r="J10" s="7">
        <f>Calculations!N52</f>
        <v>54269147575487.734</v>
      </c>
      <c r="K10" s="7">
        <f>Calculations!O52</f>
        <v>53510542216465.633</v>
      </c>
      <c r="L10" s="7">
        <f>Calculations!P52</f>
        <v>52912113980409.609</v>
      </c>
      <c r="M10" s="7">
        <f>Calculations!Q52</f>
        <v>52468171294422.406</v>
      </c>
      <c r="N10" s="7">
        <f>Calculations!R52</f>
        <v>51949425078928.195</v>
      </c>
      <c r="O10" s="7">
        <f>Calculations!S52</f>
        <v>51364006152351.656</v>
      </c>
      <c r="P10" s="7">
        <f>Calculations!T52</f>
        <v>50732241560754.469</v>
      </c>
      <c r="Q10" s="7">
        <f>Calculations!U52</f>
        <v>50058196713348.984</v>
      </c>
      <c r="R10" s="7">
        <f>Calculations!V52</f>
        <v>49371142556464.016</v>
      </c>
      <c r="S10" s="7">
        <f>Calculations!W52</f>
        <v>48684901481421.516</v>
      </c>
      <c r="T10" s="7">
        <f>Calculations!X52</f>
        <v>48025492107180.445</v>
      </c>
      <c r="U10" s="7">
        <f>Calculations!Y52</f>
        <v>47382344369788.711</v>
      </c>
      <c r="V10" s="7">
        <f>Calculations!Z52</f>
        <v>46751392860033.992</v>
      </c>
      <c r="W10" s="7">
        <f>Calculations!AA52</f>
        <v>46116375941066.938</v>
      </c>
      <c r="X10" s="7">
        <f>Calculations!AB52</f>
        <v>45462658139723.141</v>
      </c>
      <c r="Y10" s="7">
        <f>Calculations!AC52</f>
        <v>44795117947057.383</v>
      </c>
      <c r="Z10" s="7">
        <f>Calculations!AD52</f>
        <v>44131643163603.977</v>
      </c>
      <c r="AA10" s="7">
        <f>Calculations!AE52</f>
        <v>43494186999109.523</v>
      </c>
      <c r="AB10" s="7">
        <f>Calculations!AF52</f>
        <v>42901450335950.773</v>
      </c>
    </row>
    <row r="11" spans="1:30" x14ac:dyDescent="0.25">
      <c r="A11" s="1" t="s">
        <v>936</v>
      </c>
      <c r="B11" s="7">
        <f>Calculations!F53</f>
        <v>0</v>
      </c>
      <c r="C11" s="7">
        <f>Calculations!G53</f>
        <v>0</v>
      </c>
      <c r="D11" s="7">
        <f>Calculations!H53</f>
        <v>0</v>
      </c>
      <c r="E11" s="7">
        <f>Calculations!I53</f>
        <v>0</v>
      </c>
      <c r="F11" s="7">
        <f>Calculations!J53</f>
        <v>0</v>
      </c>
      <c r="G11" s="7">
        <f>Calculations!K53</f>
        <v>0</v>
      </c>
      <c r="H11" s="7">
        <f>Calculations!L53</f>
        <v>0</v>
      </c>
      <c r="I11" s="7">
        <f>Calculations!M53</f>
        <v>0</v>
      </c>
      <c r="J11" s="7">
        <f>Calculations!N53</f>
        <v>0</v>
      </c>
      <c r="K11" s="7">
        <f>Calculations!O53</f>
        <v>0</v>
      </c>
      <c r="L11" s="7">
        <f>Calculations!P53</f>
        <v>0</v>
      </c>
      <c r="M11" s="7">
        <f>Calculations!Q53</f>
        <v>0</v>
      </c>
      <c r="N11" s="7">
        <f>Calculations!R53</f>
        <v>0</v>
      </c>
      <c r="O11" s="7">
        <f>Calculations!S53</f>
        <v>0</v>
      </c>
      <c r="P11" s="7">
        <f>Calculations!T53</f>
        <v>0</v>
      </c>
      <c r="Q11" s="7">
        <f>Calculations!U53</f>
        <v>0</v>
      </c>
      <c r="R11" s="7">
        <f>Calculations!V53</f>
        <v>0</v>
      </c>
      <c r="S11" s="7">
        <f>Calculations!W53</f>
        <v>0</v>
      </c>
      <c r="T11" s="7">
        <f>Calculations!X53</f>
        <v>0</v>
      </c>
      <c r="U11" s="7">
        <f>Calculations!Y53</f>
        <v>0</v>
      </c>
      <c r="V11" s="7">
        <f>Calculations!Z53</f>
        <v>0</v>
      </c>
      <c r="W11" s="7">
        <f>Calculations!AA53</f>
        <v>0</v>
      </c>
      <c r="X11" s="7">
        <f>Calculations!AB53</f>
        <v>0</v>
      </c>
      <c r="Y11" s="7">
        <f>Calculations!AC53</f>
        <v>0</v>
      </c>
      <c r="Z11" s="7">
        <f>Calculations!AD53</f>
        <v>0</v>
      </c>
      <c r="AA11" s="7">
        <f>Calculations!AE53</f>
        <v>0</v>
      </c>
      <c r="AB11" s="7">
        <f>Calculations!AF53</f>
        <v>0</v>
      </c>
    </row>
  </sheetData>
  <pageMargins left="0.7" right="0.7" top="0.75" bottom="0.75" header="0.3" footer="0.3"/>
  <pageSetup orientation="portrait" horizontalDpi="1200" verticalDpi="12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D11"/>
  <sheetViews>
    <sheetView workbookViewId="0"/>
  </sheetViews>
  <sheetFormatPr defaultRowHeight="15" x14ac:dyDescent="0.25"/>
  <cols>
    <col min="1" max="1" width="29.85546875" customWidth="1"/>
    <col min="2" max="28" width="13.140625" customWidth="1"/>
  </cols>
  <sheetData>
    <row r="1" spans="1:30" x14ac:dyDescent="0.25">
      <c r="A1" s="1" t="s">
        <v>915</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v>
      </c>
      <c r="B2" s="7">
        <f>Calculations!F57</f>
        <v>1774425093499554.5</v>
      </c>
      <c r="C2" s="7">
        <f>Calculations!G57</f>
        <v>1832545809762810.5</v>
      </c>
      <c r="D2" s="7">
        <f>Calculations!H57</f>
        <v>1843485012871367.3</v>
      </c>
      <c r="E2" s="7">
        <f>Calculations!I57</f>
        <v>1760715720553711.5</v>
      </c>
      <c r="F2" s="7">
        <f>Calculations!J57</f>
        <v>1788123896381445.5</v>
      </c>
      <c r="G2" s="7">
        <f>Calculations!K57</f>
        <v>1812948098113818.5</v>
      </c>
      <c r="H2" s="7">
        <f>Calculations!L57</f>
        <v>1833428003561887.8</v>
      </c>
      <c r="I2" s="7">
        <f>Calculations!M57</f>
        <v>1852086605682830</v>
      </c>
      <c r="J2" s="7">
        <f>Calculations!N57</f>
        <v>1871524140208856.3</v>
      </c>
      <c r="K2" s="7">
        <f>Calculations!O57</f>
        <v>1892037382012466.3</v>
      </c>
      <c r="L2" s="7">
        <f>Calculations!P57</f>
        <v>1915364700072856.8</v>
      </c>
      <c r="M2" s="7">
        <f>Calculations!Q57</f>
        <v>1940029537764106</v>
      </c>
      <c r="N2" s="7">
        <f>Calculations!R57</f>
        <v>1965174906824253</v>
      </c>
      <c r="O2" s="7">
        <f>Calculations!S57</f>
        <v>1991281338622196.8</v>
      </c>
      <c r="P2" s="7">
        <f>Calculations!T57</f>
        <v>2018242319436574</v>
      </c>
      <c r="Q2" s="7">
        <f>Calculations!U57</f>
        <v>2045112235084595</v>
      </c>
      <c r="R2" s="7">
        <f>Calculations!V57</f>
        <v>2068813570792519.5</v>
      </c>
      <c r="S2" s="7">
        <f>Calculations!W57</f>
        <v>2094697218165627.8</v>
      </c>
      <c r="T2" s="7">
        <f>Calculations!X57</f>
        <v>2122148487331012.5</v>
      </c>
      <c r="U2" s="7">
        <f>Calculations!Y57</f>
        <v>2151537330526997.5</v>
      </c>
      <c r="V2" s="7">
        <f>Calculations!Z57</f>
        <v>2181971796972395</v>
      </c>
      <c r="W2" s="7">
        <f>Calculations!AA57</f>
        <v>2209480794948595</v>
      </c>
      <c r="X2" s="7">
        <f>Calculations!AB57</f>
        <v>2240252690358617.3</v>
      </c>
      <c r="Y2" s="7">
        <f>Calculations!AC57</f>
        <v>2270651381202946.5</v>
      </c>
      <c r="Z2" s="7">
        <f>Calculations!AD57</f>
        <v>2301328959119242</v>
      </c>
      <c r="AA2" s="7">
        <f>Calculations!AE57</f>
        <v>2333180627216061</v>
      </c>
      <c r="AB2" s="7">
        <f>Calculations!AF57</f>
        <v>2365798218408483.5</v>
      </c>
    </row>
    <row r="3" spans="1:30" x14ac:dyDescent="0.25">
      <c r="A3" s="1" t="s">
        <v>932</v>
      </c>
      <c r="B3" s="7">
        <f>Calculations!F58</f>
        <v>0</v>
      </c>
      <c r="C3" s="7">
        <f>Calculations!G58</f>
        <v>0</v>
      </c>
      <c r="D3" s="7">
        <f>Calculations!H58</f>
        <v>0</v>
      </c>
      <c r="E3" s="7">
        <f>Calculations!I58</f>
        <v>0</v>
      </c>
      <c r="F3" s="7">
        <f>Calculations!J58</f>
        <v>0</v>
      </c>
      <c r="G3" s="7">
        <f>Calculations!K58</f>
        <v>0</v>
      </c>
      <c r="H3" s="7">
        <f>Calculations!L58</f>
        <v>0</v>
      </c>
      <c r="I3" s="7">
        <f>Calculations!M58</f>
        <v>0</v>
      </c>
      <c r="J3" s="7">
        <f>Calculations!N58</f>
        <v>0</v>
      </c>
      <c r="K3" s="7">
        <f>Calculations!O58</f>
        <v>0</v>
      </c>
      <c r="L3" s="7">
        <f>Calculations!P58</f>
        <v>0</v>
      </c>
      <c r="M3" s="7">
        <f>Calculations!Q58</f>
        <v>0</v>
      </c>
      <c r="N3" s="7">
        <f>Calculations!R58</f>
        <v>0</v>
      </c>
      <c r="O3" s="7">
        <f>Calculations!S58</f>
        <v>0</v>
      </c>
      <c r="P3" s="7">
        <f>Calculations!T58</f>
        <v>0</v>
      </c>
      <c r="Q3" s="7">
        <f>Calculations!U58</f>
        <v>0</v>
      </c>
      <c r="R3" s="7">
        <f>Calculations!V58</f>
        <v>0</v>
      </c>
      <c r="S3" s="7">
        <f>Calculations!W58</f>
        <v>0</v>
      </c>
      <c r="T3" s="7">
        <f>Calculations!X58</f>
        <v>0</v>
      </c>
      <c r="U3" s="7">
        <f>Calculations!Y58</f>
        <v>0</v>
      </c>
      <c r="V3" s="7">
        <f>Calculations!Z58</f>
        <v>0</v>
      </c>
      <c r="W3" s="7">
        <f>Calculations!AA58</f>
        <v>0</v>
      </c>
      <c r="X3" s="7">
        <f>Calculations!AB58</f>
        <v>0</v>
      </c>
      <c r="Y3" s="7">
        <f>Calculations!AC58</f>
        <v>0</v>
      </c>
      <c r="Z3" s="7">
        <f>Calculations!AD58</f>
        <v>0</v>
      </c>
      <c r="AA3" s="7">
        <f>Calculations!AE58</f>
        <v>0</v>
      </c>
      <c r="AB3" s="7">
        <f>Calculations!AF58</f>
        <v>0</v>
      </c>
    </row>
    <row r="4" spans="1:30" x14ac:dyDescent="0.25">
      <c r="A4" s="1" t="s">
        <v>53</v>
      </c>
      <c r="B4" s="7">
        <f>Calculations!F59</f>
        <v>494950562292560.44</v>
      </c>
      <c r="C4" s="7">
        <f>Calculations!G59</f>
        <v>494635086537683.19</v>
      </c>
      <c r="D4" s="7">
        <f>Calculations!H59</f>
        <v>497334518254675</v>
      </c>
      <c r="E4" s="7">
        <f>Calculations!I59</f>
        <v>499188344855500.69</v>
      </c>
      <c r="F4" s="7">
        <f>Calculations!J59</f>
        <v>500056716263255.75</v>
      </c>
      <c r="G4" s="7">
        <f>Calculations!K59</f>
        <v>499736362017323.75</v>
      </c>
      <c r="H4" s="7">
        <f>Calculations!L59</f>
        <v>498593982028656.94</v>
      </c>
      <c r="I4" s="7">
        <f>Calculations!M59</f>
        <v>497260527807010.44</v>
      </c>
      <c r="J4" s="7">
        <f>Calculations!N59</f>
        <v>496183194365741.06</v>
      </c>
      <c r="K4" s="7">
        <f>Calculations!O59</f>
        <v>494705824657977.81</v>
      </c>
      <c r="L4" s="7">
        <f>Calculations!P59</f>
        <v>493612229579859.06</v>
      </c>
      <c r="M4" s="7">
        <f>Calculations!Q59</f>
        <v>492646288351007.81</v>
      </c>
      <c r="N4" s="7">
        <f>Calculations!R59</f>
        <v>491988505140451.75</v>
      </c>
      <c r="O4" s="7">
        <f>Calculations!S59</f>
        <v>491210385817210.31</v>
      </c>
      <c r="P4" s="7">
        <f>Calculations!T59</f>
        <v>490549350279284.38</v>
      </c>
      <c r="Q4" s="7">
        <f>Calculations!U59</f>
        <v>489927342669796.75</v>
      </c>
      <c r="R4" s="7">
        <f>Calculations!V59</f>
        <v>489400465635877.94</v>
      </c>
      <c r="S4" s="7">
        <f>Calculations!W59</f>
        <v>488958962195418.13</v>
      </c>
      <c r="T4" s="7">
        <f>Calculations!X59</f>
        <v>488832121427993.13</v>
      </c>
      <c r="U4" s="7">
        <f>Calculations!Y59</f>
        <v>488902859548287.88</v>
      </c>
      <c r="V4" s="7">
        <f>Calculations!Z59</f>
        <v>489136214037075.94</v>
      </c>
      <c r="W4" s="7">
        <f>Calculations!AA59</f>
        <v>489305335060309.13</v>
      </c>
      <c r="X4" s="7">
        <f>Calculations!AB59</f>
        <v>489198008257103.56</v>
      </c>
      <c r="Y4" s="7">
        <f>Calculations!AC59</f>
        <v>488865457783534.31</v>
      </c>
      <c r="Z4" s="7">
        <f>Calculations!AD59</f>
        <v>488466234598882.88</v>
      </c>
      <c r="AA4" s="7">
        <f>Calculations!AE59</f>
        <v>488088964623978</v>
      </c>
      <c r="AB4" s="7">
        <f>Calculations!AF59</f>
        <v>487781619687525.31</v>
      </c>
    </row>
    <row r="5" spans="1:30" x14ac:dyDescent="0.25">
      <c r="A5" s="1" t="s">
        <v>68</v>
      </c>
      <c r="B5" s="7">
        <f>Calculations!F60</f>
        <v>20989707763296.363</v>
      </c>
      <c r="C5" s="7">
        <f>Calculations!G60</f>
        <v>21184847405488.543</v>
      </c>
      <c r="D5" s="7">
        <f>Calculations!H60</f>
        <v>21403566421112.281</v>
      </c>
      <c r="E5" s="7">
        <f>Calculations!I60</f>
        <v>21440155104023.313</v>
      </c>
      <c r="F5" s="7">
        <f>Calculations!J60</f>
        <v>21392183275317.734</v>
      </c>
      <c r="G5" s="7">
        <f>Calculations!K60</f>
        <v>21307622763701.125</v>
      </c>
      <c r="H5" s="7">
        <f>Calculations!L60</f>
        <v>21258024771310.613</v>
      </c>
      <c r="I5" s="7">
        <f>Calculations!M60</f>
        <v>21197856714968.023</v>
      </c>
      <c r="J5" s="7">
        <f>Calculations!N60</f>
        <v>21148258722577.508</v>
      </c>
      <c r="K5" s="7">
        <f>Calculations!O60</f>
        <v>21093782239132.195</v>
      </c>
      <c r="L5" s="7">
        <f>Calculations!P60</f>
        <v>21058006638063.625</v>
      </c>
      <c r="M5" s="7">
        <f>Calculations!Q60</f>
        <v>21017352545940.258</v>
      </c>
      <c r="N5" s="7">
        <f>Calculations!R60</f>
        <v>20979950781186.754</v>
      </c>
      <c r="O5" s="7">
        <f>Calculations!S60</f>
        <v>20946614425645.59</v>
      </c>
      <c r="P5" s="7">
        <f>Calculations!T60</f>
        <v>20915717315631.828</v>
      </c>
      <c r="Q5" s="7">
        <f>Calculations!U60</f>
        <v>20888072532987.938</v>
      </c>
      <c r="R5" s="7">
        <f>Calculations!V60</f>
        <v>20861240832186.512</v>
      </c>
      <c r="S5" s="7">
        <f>Calculations!W60</f>
        <v>20829530640330.281</v>
      </c>
      <c r="T5" s="7">
        <f>Calculations!X60</f>
        <v>20801072775843.926</v>
      </c>
      <c r="U5" s="7">
        <f>Calculations!Y60</f>
        <v>20773427993200.031</v>
      </c>
      <c r="V5" s="7">
        <f>Calculations!Z60</f>
        <v>20746596292398.609</v>
      </c>
      <c r="W5" s="7">
        <f>Calculations!AA60</f>
        <v>20714886100542.379</v>
      </c>
      <c r="X5" s="7">
        <f>Calculations!AB60</f>
        <v>20683175908686.145</v>
      </c>
      <c r="Y5" s="7">
        <f>Calculations!AC60</f>
        <v>20649026471302.516</v>
      </c>
      <c r="Z5" s="7">
        <f>Calculations!AD60</f>
        <v>20612437788391.48</v>
      </c>
      <c r="AA5" s="7">
        <f>Calculations!AE60</f>
        <v>20575849105480.449</v>
      </c>
      <c r="AB5" s="7">
        <f>Calculations!AF60</f>
        <v>20547391240994.086</v>
      </c>
    </row>
    <row r="6" spans="1:30" x14ac:dyDescent="0.25">
      <c r="A6" s="1" t="s">
        <v>933</v>
      </c>
      <c r="B6" s="7">
        <f>Calculations!F61</f>
        <v>0</v>
      </c>
      <c r="C6" s="7">
        <f>Calculations!G61</f>
        <v>0</v>
      </c>
      <c r="D6" s="7">
        <f>Calculations!H61</f>
        <v>0</v>
      </c>
      <c r="E6" s="7">
        <f>Calculations!I61</f>
        <v>0</v>
      </c>
      <c r="F6" s="7">
        <f>Calculations!J61</f>
        <v>0</v>
      </c>
      <c r="G6" s="7">
        <f>Calculations!K61</f>
        <v>0</v>
      </c>
      <c r="H6" s="7">
        <f>Calculations!L61</f>
        <v>0</v>
      </c>
      <c r="I6" s="7">
        <f>Calculations!M61</f>
        <v>0</v>
      </c>
      <c r="J6" s="7">
        <f>Calculations!N61</f>
        <v>0</v>
      </c>
      <c r="K6" s="7">
        <f>Calculations!O61</f>
        <v>0</v>
      </c>
      <c r="L6" s="7">
        <f>Calculations!P61</f>
        <v>0</v>
      </c>
      <c r="M6" s="7">
        <f>Calculations!Q61</f>
        <v>0</v>
      </c>
      <c r="N6" s="7">
        <f>Calculations!R61</f>
        <v>0</v>
      </c>
      <c r="O6" s="7">
        <f>Calculations!S61</f>
        <v>0</v>
      </c>
      <c r="P6" s="7">
        <f>Calculations!T61</f>
        <v>0</v>
      </c>
      <c r="Q6" s="7">
        <f>Calculations!U61</f>
        <v>0</v>
      </c>
      <c r="R6" s="7">
        <f>Calculations!V61</f>
        <v>0</v>
      </c>
      <c r="S6" s="7">
        <f>Calculations!W61</f>
        <v>0</v>
      </c>
      <c r="T6" s="7">
        <f>Calculations!X61</f>
        <v>0</v>
      </c>
      <c r="U6" s="7">
        <f>Calculations!Y61</f>
        <v>0</v>
      </c>
      <c r="V6" s="7">
        <f>Calculations!Z61</f>
        <v>0</v>
      </c>
      <c r="W6" s="7">
        <f>Calculations!AA61</f>
        <v>0</v>
      </c>
      <c r="X6" s="7">
        <f>Calculations!AB61</f>
        <v>0</v>
      </c>
      <c r="Y6" s="7">
        <f>Calculations!AC61</f>
        <v>0</v>
      </c>
      <c r="Z6" s="7">
        <f>Calculations!AD61</f>
        <v>0</v>
      </c>
      <c r="AA6" s="7">
        <f>Calculations!AE61</f>
        <v>0</v>
      </c>
      <c r="AB6" s="7">
        <f>Calculations!AF61</f>
        <v>0</v>
      </c>
    </row>
    <row r="7" spans="1:30" x14ac:dyDescent="0.25">
      <c r="A7" s="1" t="s">
        <v>88</v>
      </c>
      <c r="B7" s="7">
        <f>Calculations!F62</f>
        <v>0</v>
      </c>
      <c r="C7" s="7">
        <f>Calculations!G62</f>
        <v>0</v>
      </c>
      <c r="D7" s="7">
        <f>Calculations!H62</f>
        <v>0</v>
      </c>
      <c r="E7" s="7">
        <f>Calculations!I62</f>
        <v>0</v>
      </c>
      <c r="F7" s="7">
        <f>Calculations!J62</f>
        <v>0</v>
      </c>
      <c r="G7" s="7">
        <f>Calculations!K62</f>
        <v>0</v>
      </c>
      <c r="H7" s="7">
        <f>Calculations!L62</f>
        <v>0</v>
      </c>
      <c r="I7" s="7">
        <f>Calculations!M62</f>
        <v>0</v>
      </c>
      <c r="J7" s="7">
        <f>Calculations!N62</f>
        <v>0</v>
      </c>
      <c r="K7" s="7">
        <f>Calculations!O62</f>
        <v>0</v>
      </c>
      <c r="L7" s="7">
        <f>Calculations!P62</f>
        <v>0</v>
      </c>
      <c r="M7" s="7">
        <f>Calculations!Q62</f>
        <v>0</v>
      </c>
      <c r="N7" s="7">
        <f>Calculations!R62</f>
        <v>0</v>
      </c>
      <c r="O7" s="7">
        <f>Calculations!S62</f>
        <v>0</v>
      </c>
      <c r="P7" s="7">
        <f>Calculations!T62</f>
        <v>0</v>
      </c>
      <c r="Q7" s="7">
        <f>Calculations!U62</f>
        <v>0</v>
      </c>
      <c r="R7" s="7">
        <f>Calculations!V62</f>
        <v>0</v>
      </c>
      <c r="S7" s="7">
        <f>Calculations!W62</f>
        <v>0</v>
      </c>
      <c r="T7" s="7">
        <f>Calculations!X62</f>
        <v>0</v>
      </c>
      <c r="U7" s="7">
        <f>Calculations!Y62</f>
        <v>0</v>
      </c>
      <c r="V7" s="7">
        <f>Calculations!Z62</f>
        <v>0</v>
      </c>
      <c r="W7" s="7">
        <f>Calculations!AA62</f>
        <v>0</v>
      </c>
      <c r="X7" s="7">
        <f>Calculations!AB62</f>
        <v>0</v>
      </c>
      <c r="Y7" s="7">
        <f>Calculations!AC62</f>
        <v>0</v>
      </c>
      <c r="Z7" s="7">
        <f>Calculations!AD62</f>
        <v>0</v>
      </c>
      <c r="AA7" s="7">
        <f>Calculations!AE62</f>
        <v>0</v>
      </c>
      <c r="AB7" s="7">
        <f>Calculations!AF62</f>
        <v>0</v>
      </c>
    </row>
    <row r="8" spans="1:30" x14ac:dyDescent="0.25">
      <c r="A8" s="1" t="s">
        <v>934</v>
      </c>
      <c r="B8" s="7">
        <f>Calculations!F63</f>
        <v>0</v>
      </c>
      <c r="C8" s="7">
        <f>Calculations!G63</f>
        <v>0</v>
      </c>
      <c r="D8" s="7">
        <f>Calculations!H63</f>
        <v>0</v>
      </c>
      <c r="E8" s="7">
        <f>Calculations!I63</f>
        <v>0</v>
      </c>
      <c r="F8" s="7">
        <f>Calculations!J63</f>
        <v>0</v>
      </c>
      <c r="G8" s="7">
        <f>Calculations!K63</f>
        <v>0</v>
      </c>
      <c r="H8" s="7">
        <f>Calculations!L63</f>
        <v>0</v>
      </c>
      <c r="I8" s="7">
        <f>Calculations!M63</f>
        <v>0</v>
      </c>
      <c r="J8" s="7">
        <f>Calculations!N63</f>
        <v>0</v>
      </c>
      <c r="K8" s="7">
        <f>Calculations!O63</f>
        <v>0</v>
      </c>
      <c r="L8" s="7">
        <f>Calculations!P63</f>
        <v>0</v>
      </c>
      <c r="M8" s="7">
        <f>Calculations!Q63</f>
        <v>0</v>
      </c>
      <c r="N8" s="7">
        <f>Calculations!R63</f>
        <v>0</v>
      </c>
      <c r="O8" s="7">
        <f>Calculations!S63</f>
        <v>0</v>
      </c>
      <c r="P8" s="7">
        <f>Calculations!T63</f>
        <v>0</v>
      </c>
      <c r="Q8" s="7">
        <f>Calculations!U63</f>
        <v>0</v>
      </c>
      <c r="R8" s="7">
        <f>Calculations!V63</f>
        <v>0</v>
      </c>
      <c r="S8" s="7">
        <f>Calculations!W63</f>
        <v>0</v>
      </c>
      <c r="T8" s="7">
        <f>Calculations!X63</f>
        <v>0</v>
      </c>
      <c r="U8" s="7">
        <f>Calculations!Y63</f>
        <v>0</v>
      </c>
      <c r="V8" s="7">
        <f>Calculations!Z63</f>
        <v>0</v>
      </c>
      <c r="W8" s="7">
        <f>Calculations!AA63</f>
        <v>0</v>
      </c>
      <c r="X8" s="7">
        <f>Calculations!AB63</f>
        <v>0</v>
      </c>
      <c r="Y8" s="7">
        <f>Calculations!AC63</f>
        <v>0</v>
      </c>
      <c r="Z8" s="7">
        <f>Calculations!AD63</f>
        <v>0</v>
      </c>
      <c r="AA8" s="7">
        <f>Calculations!AE63</f>
        <v>0</v>
      </c>
      <c r="AB8" s="7">
        <f>Calculations!AF63</f>
        <v>0</v>
      </c>
    </row>
    <row r="9" spans="1:30" x14ac:dyDescent="0.25">
      <c r="A9" s="1" t="s">
        <v>935</v>
      </c>
      <c r="B9" s="7">
        <f>Calculations!F64</f>
        <v>0</v>
      </c>
      <c r="C9" s="7">
        <f>Calculations!G64</f>
        <v>0</v>
      </c>
      <c r="D9" s="7">
        <f>Calculations!H64</f>
        <v>0</v>
      </c>
      <c r="E9" s="7">
        <f>Calculations!I64</f>
        <v>0</v>
      </c>
      <c r="F9" s="7">
        <f>Calculations!J64</f>
        <v>0</v>
      </c>
      <c r="G9" s="7">
        <f>Calculations!K64</f>
        <v>0</v>
      </c>
      <c r="H9" s="7">
        <f>Calculations!L64</f>
        <v>0</v>
      </c>
      <c r="I9" s="7">
        <f>Calculations!M64</f>
        <v>0</v>
      </c>
      <c r="J9" s="7">
        <f>Calculations!N64</f>
        <v>0</v>
      </c>
      <c r="K9" s="7">
        <f>Calculations!O64</f>
        <v>0</v>
      </c>
      <c r="L9" s="7">
        <f>Calculations!P64</f>
        <v>0</v>
      </c>
      <c r="M9" s="7">
        <f>Calculations!Q64</f>
        <v>0</v>
      </c>
      <c r="N9" s="7">
        <f>Calculations!R64</f>
        <v>0</v>
      </c>
      <c r="O9" s="7">
        <f>Calculations!S64</f>
        <v>0</v>
      </c>
      <c r="P9" s="7">
        <f>Calculations!T64</f>
        <v>0</v>
      </c>
      <c r="Q9" s="7">
        <f>Calculations!U64</f>
        <v>0</v>
      </c>
      <c r="R9" s="7">
        <f>Calculations!V64</f>
        <v>0</v>
      </c>
      <c r="S9" s="7">
        <f>Calculations!W64</f>
        <v>0</v>
      </c>
      <c r="T9" s="7">
        <f>Calculations!X64</f>
        <v>0</v>
      </c>
      <c r="U9" s="7">
        <f>Calculations!Y64</f>
        <v>0</v>
      </c>
      <c r="V9" s="7">
        <f>Calculations!Z64</f>
        <v>0</v>
      </c>
      <c r="W9" s="7">
        <f>Calculations!AA64</f>
        <v>0</v>
      </c>
      <c r="X9" s="7">
        <f>Calculations!AB64</f>
        <v>0</v>
      </c>
      <c r="Y9" s="7">
        <f>Calculations!AC64</f>
        <v>0</v>
      </c>
      <c r="Z9" s="7">
        <f>Calculations!AD64</f>
        <v>0</v>
      </c>
      <c r="AA9" s="7">
        <f>Calculations!AE64</f>
        <v>0</v>
      </c>
      <c r="AB9" s="7">
        <f>Calculations!AF64</f>
        <v>0</v>
      </c>
    </row>
    <row r="10" spans="1:30" x14ac:dyDescent="0.25">
      <c r="A10" s="1" t="s">
        <v>77</v>
      </c>
      <c r="B10" s="7">
        <f>Calculations!F65</f>
        <v>61209614182789.602</v>
      </c>
      <c r="C10" s="7">
        <f>Calculations!G65</f>
        <v>63450467740629.805</v>
      </c>
      <c r="D10" s="7">
        <f>Calculations!H65</f>
        <v>65997040071237.758</v>
      </c>
      <c r="E10" s="7">
        <f>Calculations!I65</f>
        <v>68459051890229.094</v>
      </c>
      <c r="F10" s="7">
        <f>Calculations!J65</f>
        <v>70672260665425.391</v>
      </c>
      <c r="G10" s="7">
        <f>Calculations!K65</f>
        <v>72626096332874.609</v>
      </c>
      <c r="H10" s="7">
        <f>Calculations!L65</f>
        <v>74399427831296.031</v>
      </c>
      <c r="I10" s="7">
        <f>Calculations!M65</f>
        <v>76023152270703.469</v>
      </c>
      <c r="J10" s="7">
        <f>Calculations!N65</f>
        <v>77625736582206.734</v>
      </c>
      <c r="K10" s="7">
        <f>Calculations!O65</f>
        <v>79202302274751.078</v>
      </c>
      <c r="L10" s="7">
        <f>Calculations!P65</f>
        <v>80873185461021.609</v>
      </c>
      <c r="M10" s="7">
        <f>Calculations!Q65</f>
        <v>82620498340484.078</v>
      </c>
      <c r="N10" s="7">
        <f>Calculations!R65</f>
        <v>84415783048652.141</v>
      </c>
      <c r="O10" s="7">
        <f>Calculations!S65</f>
        <v>86206189265765.391</v>
      </c>
      <c r="P10" s="7">
        <f>Calculations!T65</f>
        <v>87988464664453.984</v>
      </c>
      <c r="Q10" s="7">
        <f>Calculations!U65</f>
        <v>89753665344450.734</v>
      </c>
      <c r="R10" s="7">
        <f>Calculations!V65</f>
        <v>91532688415769.438</v>
      </c>
      <c r="S10" s="7">
        <f>Calculations!W65</f>
        <v>93353178661053.984</v>
      </c>
      <c r="T10" s="7">
        <f>Calculations!X65</f>
        <v>95254164008742.813</v>
      </c>
      <c r="U10" s="7">
        <f>Calculations!Y65</f>
        <v>97239709868048.25</v>
      </c>
      <c r="V10" s="7">
        <f>Calculations!Z65</f>
        <v>99294367683963.391</v>
      </c>
      <c r="W10" s="7">
        <f>Calculations!AA65</f>
        <v>101366913300412.84</v>
      </c>
      <c r="X10" s="7">
        <f>Calculations!AB65</f>
        <v>103409374888691</v>
      </c>
      <c r="Y10" s="7">
        <f>Calculations!AC65</f>
        <v>105414434712215.66</v>
      </c>
      <c r="Z10" s="7">
        <f>Calculations!AD65</f>
        <v>107403232898890.95</v>
      </c>
      <c r="AA10" s="7">
        <f>Calculations!AE65</f>
        <v>109404227313203.28</v>
      </c>
      <c r="AB10" s="7">
        <f>Calculations!AF65</f>
        <v>111432053428317.02</v>
      </c>
    </row>
    <row r="11" spans="1:30" x14ac:dyDescent="0.25">
      <c r="A11" s="1" t="s">
        <v>936</v>
      </c>
      <c r="B11" s="7">
        <f>Calculations!F66</f>
        <v>0</v>
      </c>
      <c r="C11" s="7">
        <f>Calculations!G66</f>
        <v>0</v>
      </c>
      <c r="D11" s="7">
        <f>Calculations!H66</f>
        <v>0</v>
      </c>
      <c r="E11" s="7">
        <f>Calculations!I66</f>
        <v>0</v>
      </c>
      <c r="F11" s="7">
        <f>Calculations!J66</f>
        <v>0</v>
      </c>
      <c r="G11" s="7">
        <f>Calculations!K66</f>
        <v>0</v>
      </c>
      <c r="H11" s="7">
        <f>Calculations!L66</f>
        <v>0</v>
      </c>
      <c r="I11" s="7">
        <f>Calculations!M66</f>
        <v>0</v>
      </c>
      <c r="J11" s="7">
        <f>Calculations!N66</f>
        <v>0</v>
      </c>
      <c r="K11" s="7">
        <f>Calculations!O66</f>
        <v>0</v>
      </c>
      <c r="L11" s="7">
        <f>Calculations!P66</f>
        <v>0</v>
      </c>
      <c r="M11" s="7">
        <f>Calculations!Q66</f>
        <v>0</v>
      </c>
      <c r="N11" s="7">
        <f>Calculations!R66</f>
        <v>0</v>
      </c>
      <c r="O11" s="7">
        <f>Calculations!S66</f>
        <v>0</v>
      </c>
      <c r="P11" s="7">
        <f>Calculations!T66</f>
        <v>0</v>
      </c>
      <c r="Q11" s="7">
        <f>Calculations!U66</f>
        <v>0</v>
      </c>
      <c r="R11" s="7">
        <f>Calculations!V66</f>
        <v>0</v>
      </c>
      <c r="S11" s="7">
        <f>Calculations!W66</f>
        <v>0</v>
      </c>
      <c r="T11" s="7">
        <f>Calculations!X66</f>
        <v>0</v>
      </c>
      <c r="U11" s="7">
        <f>Calculations!Y66</f>
        <v>0</v>
      </c>
      <c r="V11" s="7">
        <f>Calculations!Z66</f>
        <v>0</v>
      </c>
      <c r="W11" s="7">
        <f>Calculations!AA66</f>
        <v>0</v>
      </c>
      <c r="X11" s="7">
        <f>Calculations!AB66</f>
        <v>0</v>
      </c>
      <c r="Y11" s="7">
        <f>Calculations!AC66</f>
        <v>0</v>
      </c>
      <c r="Z11" s="7">
        <f>Calculations!AD66</f>
        <v>0</v>
      </c>
      <c r="AA11" s="7">
        <f>Calculations!AE66</f>
        <v>0</v>
      </c>
      <c r="AB11" s="7">
        <f>Calculations!AF66</f>
        <v>0</v>
      </c>
    </row>
  </sheetData>
  <pageMargins left="0.7" right="0.7" top="0.75" bottom="0.75" header="0.3" footer="0.3"/>
  <pageSetup orientation="portrait" horizontalDpi="1200" verticalDpi="12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D11"/>
  <sheetViews>
    <sheetView workbookViewId="0"/>
  </sheetViews>
  <sheetFormatPr defaultRowHeight="15" x14ac:dyDescent="0.25"/>
  <cols>
    <col min="1" max="1" width="29.85546875" customWidth="1"/>
    <col min="2" max="28" width="10.28515625" customWidth="1"/>
  </cols>
  <sheetData>
    <row r="1" spans="1:30" x14ac:dyDescent="0.25">
      <c r="A1" s="1" t="s">
        <v>915</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v>
      </c>
      <c r="B2" s="7">
        <f>Calculations!F70</f>
        <v>98704189184813.391</v>
      </c>
      <c r="C2" s="7">
        <f>Calculations!G70</f>
        <v>111213873795839.06</v>
      </c>
      <c r="D2" s="7">
        <f>Calculations!H70</f>
        <v>105719227637011.23</v>
      </c>
      <c r="E2" s="7">
        <f>Calculations!I70</f>
        <v>105827453250222.61</v>
      </c>
      <c r="F2" s="7">
        <f>Calculations!J70</f>
        <v>105973249413098.02</v>
      </c>
      <c r="G2" s="7">
        <f>Calculations!K70</f>
        <v>105761471140613.61</v>
      </c>
      <c r="H2" s="7">
        <f>Calculations!L70</f>
        <v>105099407026633.2</v>
      </c>
      <c r="I2" s="7">
        <f>Calculations!M70</f>
        <v>104233228284627.22</v>
      </c>
      <c r="J2" s="7">
        <f>Calculations!N70</f>
        <v>103369292560511.63</v>
      </c>
      <c r="K2" s="7">
        <f>Calculations!O70</f>
        <v>102555450902614.73</v>
      </c>
      <c r="L2" s="7">
        <f>Calculations!P70</f>
        <v>101702356431636.03</v>
      </c>
      <c r="M2" s="7">
        <f>Calculations!Q70</f>
        <v>100866084594835.27</v>
      </c>
      <c r="N2" s="7">
        <f>Calculations!R70</f>
        <v>100072803934266.98</v>
      </c>
      <c r="O2" s="7">
        <f>Calculations!S70</f>
        <v>99225317008014.25</v>
      </c>
      <c r="P2" s="7">
        <f>Calculations!T70</f>
        <v>98417456731158.406</v>
      </c>
      <c r="Q2" s="7">
        <f>Calculations!U70</f>
        <v>97579689549097.375</v>
      </c>
      <c r="R2" s="7">
        <f>Calculations!V70</f>
        <v>96733324131789.859</v>
      </c>
      <c r="S2" s="7">
        <f>Calculations!W70</f>
        <v>95848266655873.047</v>
      </c>
      <c r="T2" s="7">
        <f>Calculations!X70</f>
        <v>95049191532421.281</v>
      </c>
      <c r="U2" s="7">
        <f>Calculations!Y70</f>
        <v>94279275641544.547</v>
      </c>
      <c r="V2" s="7">
        <f>Calculations!Z70</f>
        <v>93463938638387.422</v>
      </c>
      <c r="W2" s="7">
        <f>Calculations!AA70</f>
        <v>92703742491702.422</v>
      </c>
      <c r="X2" s="7">
        <f>Calculations!AB70</f>
        <v>91877564235408.391</v>
      </c>
      <c r="Y2" s="7">
        <f>Calculations!AC70</f>
        <v>90965590544806.922</v>
      </c>
      <c r="Z2" s="7">
        <f>Calculations!AD70</f>
        <v>90062962762082.094</v>
      </c>
      <c r="AA2" s="7">
        <f>Calculations!AE70</f>
        <v>89196036347445.953</v>
      </c>
      <c r="AB2" s="7">
        <f>Calculations!AF70</f>
        <v>88311165789686.719</v>
      </c>
    </row>
    <row r="3" spans="1:30" x14ac:dyDescent="0.25">
      <c r="A3" s="1" t="s">
        <v>932</v>
      </c>
      <c r="B3" s="7">
        <f>Calculations!F71</f>
        <v>0</v>
      </c>
      <c r="C3" s="7">
        <f>Calculations!G71</f>
        <v>0</v>
      </c>
      <c r="D3" s="7">
        <f>Calculations!H71</f>
        <v>0</v>
      </c>
      <c r="E3" s="7">
        <f>Calculations!I71</f>
        <v>0</v>
      </c>
      <c r="F3" s="7">
        <f>Calculations!J71</f>
        <v>0</v>
      </c>
      <c r="G3" s="7">
        <f>Calculations!K71</f>
        <v>0</v>
      </c>
      <c r="H3" s="7">
        <f>Calculations!L71</f>
        <v>0</v>
      </c>
      <c r="I3" s="7">
        <f>Calculations!M71</f>
        <v>0</v>
      </c>
      <c r="J3" s="7">
        <f>Calculations!N71</f>
        <v>0</v>
      </c>
      <c r="K3" s="7">
        <f>Calculations!O71</f>
        <v>0</v>
      </c>
      <c r="L3" s="7">
        <f>Calculations!P71</f>
        <v>0</v>
      </c>
      <c r="M3" s="7">
        <f>Calculations!Q71</f>
        <v>0</v>
      </c>
      <c r="N3" s="7">
        <f>Calculations!R71</f>
        <v>0</v>
      </c>
      <c r="O3" s="7">
        <f>Calculations!S71</f>
        <v>0</v>
      </c>
      <c r="P3" s="7">
        <f>Calculations!T71</f>
        <v>0</v>
      </c>
      <c r="Q3" s="7">
        <f>Calculations!U71</f>
        <v>0</v>
      </c>
      <c r="R3" s="7">
        <f>Calculations!V71</f>
        <v>0</v>
      </c>
      <c r="S3" s="7">
        <f>Calculations!W71</f>
        <v>0</v>
      </c>
      <c r="T3" s="7">
        <f>Calculations!X71</f>
        <v>0</v>
      </c>
      <c r="U3" s="7">
        <f>Calculations!Y71</f>
        <v>0</v>
      </c>
      <c r="V3" s="7">
        <f>Calculations!Z71</f>
        <v>0</v>
      </c>
      <c r="W3" s="7">
        <f>Calculations!AA71</f>
        <v>0</v>
      </c>
      <c r="X3" s="7">
        <f>Calculations!AB71</f>
        <v>0</v>
      </c>
      <c r="Y3" s="7">
        <f>Calculations!AC71</f>
        <v>0</v>
      </c>
      <c r="Z3" s="7">
        <f>Calculations!AD71</f>
        <v>0</v>
      </c>
      <c r="AA3" s="7">
        <f>Calculations!AE71</f>
        <v>0</v>
      </c>
      <c r="AB3" s="7">
        <f>Calculations!AF71</f>
        <v>0</v>
      </c>
    </row>
    <row r="4" spans="1:30" x14ac:dyDescent="0.25">
      <c r="A4" s="1" t="s">
        <v>53</v>
      </c>
      <c r="B4" s="7">
        <f>Calculations!F72</f>
        <v>519242192827653.25</v>
      </c>
      <c r="C4" s="7">
        <f>Calculations!G72</f>
        <v>582816235813162.75</v>
      </c>
      <c r="D4" s="7">
        <f>Calculations!H72</f>
        <v>547620107504249.94</v>
      </c>
      <c r="E4" s="7">
        <f>Calculations!I72</f>
        <v>569552336436493.13</v>
      </c>
      <c r="F4" s="7">
        <f>Calculations!J72</f>
        <v>566051546264065.38</v>
      </c>
      <c r="G4" s="7">
        <f>Calculations!K72</f>
        <v>559251837529345.06</v>
      </c>
      <c r="H4" s="7">
        <f>Calculations!L72</f>
        <v>550943699263336.75</v>
      </c>
      <c r="I4" s="7">
        <f>Calculations!M72</f>
        <v>542135554925928.94</v>
      </c>
      <c r="J4" s="7">
        <f>Calculations!N72</f>
        <v>533932090828138.88</v>
      </c>
      <c r="K4" s="7">
        <f>Calculations!O72</f>
        <v>525824702663320.63</v>
      </c>
      <c r="L4" s="7">
        <f>Calculations!P72</f>
        <v>518210778434388.31</v>
      </c>
      <c r="M4" s="7">
        <f>Calculations!Q72</f>
        <v>510813492350036.5</v>
      </c>
      <c r="N4" s="7">
        <f>Calculations!R72</f>
        <v>503877707196632.38</v>
      </c>
      <c r="O4" s="7">
        <f>Calculations!S72</f>
        <v>496837995547640.25</v>
      </c>
      <c r="P4" s="7">
        <f>Calculations!T72</f>
        <v>490144269408240.94</v>
      </c>
      <c r="Q4" s="7">
        <f>Calculations!U72</f>
        <v>483583255160689.75</v>
      </c>
      <c r="R4" s="7">
        <f>Calculations!V72</f>
        <v>477260561563992.56</v>
      </c>
      <c r="S4" s="7">
        <f>Calculations!W72</f>
        <v>471022354974500.13</v>
      </c>
      <c r="T4" s="7">
        <f>Calculations!X72</f>
        <v>465489390593378.13</v>
      </c>
      <c r="U4" s="7">
        <f>Calculations!Y72</f>
        <v>460305776248684.5</v>
      </c>
      <c r="V4" s="7">
        <f>Calculations!Z72</f>
        <v>455453007042823.56</v>
      </c>
      <c r="W4" s="7">
        <f>Calculations!AA72</f>
        <v>450863979357241.13</v>
      </c>
      <c r="X4" s="7">
        <f>Calculations!AB72</f>
        <v>446108968347769.75</v>
      </c>
      <c r="Y4" s="7">
        <f>Calculations!AC72</f>
        <v>441120122723225.13</v>
      </c>
      <c r="Z4" s="7">
        <f>Calculations!AD72</f>
        <v>436192586254351.13</v>
      </c>
      <c r="AA4" s="7">
        <f>Calculations!AE72</f>
        <v>431346733020318.94</v>
      </c>
      <c r="AB4" s="7">
        <f>Calculations!AF72</f>
        <v>426664993928600.38</v>
      </c>
    </row>
    <row r="5" spans="1:30" x14ac:dyDescent="0.25">
      <c r="A5" s="1" t="s">
        <v>68</v>
      </c>
      <c r="B5" s="7">
        <f>Calculations!F73</f>
        <v>70988151704039.5</v>
      </c>
      <c r="C5" s="7">
        <f>Calculations!G73</f>
        <v>79509002833319.844</v>
      </c>
      <c r="D5" s="7">
        <f>Calculations!H73</f>
        <v>76479620254189.266</v>
      </c>
      <c r="E5" s="7">
        <f>Calculations!I73</f>
        <v>75667834696025.25</v>
      </c>
      <c r="F5" s="7">
        <f>Calculations!J73</f>
        <v>74473614587549.578</v>
      </c>
      <c r="G5" s="7">
        <f>Calculations!K73</f>
        <v>73196402817129.438</v>
      </c>
      <c r="H5" s="7">
        <f>Calculations!L73</f>
        <v>72041622439893.141</v>
      </c>
      <c r="I5" s="7">
        <f>Calculations!M73</f>
        <v>70868150246903.578</v>
      </c>
      <c r="J5" s="7">
        <f>Calculations!N73</f>
        <v>69753744191694.32</v>
      </c>
      <c r="K5" s="7">
        <f>Calculations!O73</f>
        <v>68653170080142.477</v>
      </c>
      <c r="L5" s="7">
        <f>Calculations!P73</f>
        <v>67641382093418.609</v>
      </c>
      <c r="M5" s="7">
        <f>Calculations!Q73</f>
        <v>66645295231927.453</v>
      </c>
      <c r="N5" s="7">
        <f>Calculations!R73</f>
        <v>65689769610620.906</v>
      </c>
      <c r="O5" s="7">
        <f>Calculations!S73</f>
        <v>64763029385574.352</v>
      </c>
      <c r="P5" s="7">
        <f>Calculations!T73</f>
        <v>63871055937828.867</v>
      </c>
      <c r="Q5" s="7">
        <f>Calculations!U73</f>
        <v>63012167003966.641</v>
      </c>
      <c r="R5" s="7">
        <f>Calculations!V73</f>
        <v>62164493159556.375</v>
      </c>
      <c r="S5" s="7">
        <f>Calculations!W73</f>
        <v>61324296041447.422</v>
      </c>
      <c r="T5" s="7">
        <f>Calculations!X73</f>
        <v>60519987209584.719</v>
      </c>
      <c r="U5" s="7">
        <f>Calculations!Y73</f>
        <v>59726706549016.43</v>
      </c>
      <c r="V5" s="7">
        <f>Calculations!Z73</f>
        <v>58959033676030.117</v>
      </c>
      <c r="W5" s="7">
        <f>Calculations!AA73</f>
        <v>58200893629077.961</v>
      </c>
      <c r="X5" s="7">
        <f>Calculations!AB73</f>
        <v>57459015461831.133</v>
      </c>
      <c r="Y5" s="7">
        <f>Calculations!AC73</f>
        <v>56714333522221.328</v>
      </c>
      <c r="Z5" s="7">
        <f>Calculations!AD73</f>
        <v>55974324536549.82</v>
      </c>
      <c r="AA5" s="7">
        <f>Calculations!AE73</f>
        <v>55238614668501.57</v>
      </c>
      <c r="AB5" s="7">
        <f>Calculations!AF73</f>
        <v>54529447178822.961</v>
      </c>
    </row>
    <row r="6" spans="1:30" x14ac:dyDescent="0.25">
      <c r="A6" s="1" t="s">
        <v>933</v>
      </c>
      <c r="B6" s="7">
        <f>Calculations!F74</f>
        <v>0</v>
      </c>
      <c r="C6" s="7">
        <f>Calculations!G74</f>
        <v>0</v>
      </c>
      <c r="D6" s="7">
        <f>Calculations!H74</f>
        <v>0</v>
      </c>
      <c r="E6" s="7">
        <f>Calculations!I74</f>
        <v>0</v>
      </c>
      <c r="F6" s="7">
        <f>Calculations!J74</f>
        <v>0</v>
      </c>
      <c r="G6" s="7">
        <f>Calculations!K74</f>
        <v>0</v>
      </c>
      <c r="H6" s="7">
        <f>Calculations!L74</f>
        <v>0</v>
      </c>
      <c r="I6" s="7">
        <f>Calculations!M74</f>
        <v>0</v>
      </c>
      <c r="J6" s="7">
        <f>Calculations!N74</f>
        <v>0</v>
      </c>
      <c r="K6" s="7">
        <f>Calculations!O74</f>
        <v>0</v>
      </c>
      <c r="L6" s="7">
        <f>Calculations!P74</f>
        <v>0</v>
      </c>
      <c r="M6" s="7">
        <f>Calculations!Q74</f>
        <v>0</v>
      </c>
      <c r="N6" s="7">
        <f>Calculations!R74</f>
        <v>0</v>
      </c>
      <c r="O6" s="7">
        <f>Calculations!S74</f>
        <v>0</v>
      </c>
      <c r="P6" s="7">
        <f>Calculations!T74</f>
        <v>0</v>
      </c>
      <c r="Q6" s="7">
        <f>Calculations!U74</f>
        <v>0</v>
      </c>
      <c r="R6" s="7">
        <f>Calculations!V74</f>
        <v>0</v>
      </c>
      <c r="S6" s="7">
        <f>Calculations!W74</f>
        <v>0</v>
      </c>
      <c r="T6" s="7">
        <f>Calculations!X74</f>
        <v>0</v>
      </c>
      <c r="U6" s="7">
        <f>Calculations!Y74</f>
        <v>0</v>
      </c>
      <c r="V6" s="7">
        <f>Calculations!Z74</f>
        <v>0</v>
      </c>
      <c r="W6" s="7">
        <f>Calculations!AA74</f>
        <v>0</v>
      </c>
      <c r="X6" s="7">
        <f>Calculations!AB74</f>
        <v>0</v>
      </c>
      <c r="Y6" s="7">
        <f>Calculations!AC74</f>
        <v>0</v>
      </c>
      <c r="Z6" s="7">
        <f>Calculations!AD74</f>
        <v>0</v>
      </c>
      <c r="AA6" s="7">
        <f>Calculations!AE74</f>
        <v>0</v>
      </c>
      <c r="AB6" s="7">
        <f>Calculations!AF74</f>
        <v>0</v>
      </c>
    </row>
    <row r="7" spans="1:30" x14ac:dyDescent="0.25">
      <c r="A7" s="1" t="s">
        <v>88</v>
      </c>
      <c r="B7" s="7">
        <f>Calculations!F75</f>
        <v>66838755524973.688</v>
      </c>
      <c r="C7" s="7">
        <f>Calculations!G75</f>
        <v>69418973771553.469</v>
      </c>
      <c r="D7" s="7">
        <f>Calculations!H75</f>
        <v>64094423136080.313</v>
      </c>
      <c r="E7" s="7">
        <f>Calculations!I75</f>
        <v>62615713591840.039</v>
      </c>
      <c r="F7" s="7">
        <f>Calculations!J75</f>
        <v>61908228365579.219</v>
      </c>
      <c r="G7" s="7">
        <f>Calculations!K75</f>
        <v>61487475592973.375</v>
      </c>
      <c r="H7" s="7">
        <f>Calculations!L75</f>
        <v>60491762567797.289</v>
      </c>
      <c r="I7" s="7">
        <f>Calculations!M75</f>
        <v>59695865053023.555</v>
      </c>
      <c r="J7" s="7">
        <f>Calculations!N75</f>
        <v>58999407998057.156</v>
      </c>
      <c r="K7" s="7">
        <f>Calculations!O75</f>
        <v>58470242694082.398</v>
      </c>
      <c r="L7" s="7">
        <f>Calculations!P75</f>
        <v>57781262365417.305</v>
      </c>
      <c r="M7" s="7">
        <f>Calculations!Q75</f>
        <v>57164993200032.383</v>
      </c>
      <c r="N7" s="7">
        <f>Calculations!R75</f>
        <v>56450778920100.375</v>
      </c>
      <c r="O7" s="7">
        <f>Calculations!S75</f>
        <v>55719181251517.852</v>
      </c>
      <c r="P7" s="7">
        <f>Calculations!T75</f>
        <v>54991135027928.438</v>
      </c>
      <c r="Q7" s="7">
        <f>Calculations!U75</f>
        <v>54197667449202.617</v>
      </c>
      <c r="R7" s="7">
        <f>Calculations!V75</f>
        <v>53372236865538.734</v>
      </c>
      <c r="S7" s="7">
        <f>Calculations!W75</f>
        <v>52574470169189.672</v>
      </c>
      <c r="T7" s="7">
        <f>Calculations!X75</f>
        <v>51846984700072.859</v>
      </c>
      <c r="U7" s="7">
        <f>Calculations!Y75</f>
        <v>51146602363798.266</v>
      </c>
      <c r="V7" s="7">
        <f>Calculations!Z75</f>
        <v>50482482150084.992</v>
      </c>
      <c r="W7" s="7">
        <f>Calculations!AA75</f>
        <v>49902288189103.859</v>
      </c>
      <c r="X7" s="7">
        <f>Calculations!AB75</f>
        <v>49342281389136.242</v>
      </c>
      <c r="Y7" s="7">
        <f>Calculations!AC75</f>
        <v>48839845381688.656</v>
      </c>
      <c r="Z7" s="7">
        <f>Calculations!AD75</f>
        <v>48378905205213.305</v>
      </c>
      <c r="AA7" s="7">
        <f>Calculations!AE75</f>
        <v>47958713187080.07</v>
      </c>
      <c r="AB7" s="7">
        <f>Calculations!AF75</f>
        <v>47502819800858.094</v>
      </c>
    </row>
    <row r="8" spans="1:30" x14ac:dyDescent="0.25">
      <c r="A8" s="1" t="s">
        <v>934</v>
      </c>
      <c r="B8" s="7">
        <f>Calculations!F76</f>
        <v>0</v>
      </c>
      <c r="C8" s="7">
        <f>Calculations!G76</f>
        <v>0</v>
      </c>
      <c r="D8" s="7">
        <f>Calculations!H76</f>
        <v>0</v>
      </c>
      <c r="E8" s="7">
        <f>Calculations!I76</f>
        <v>0</v>
      </c>
      <c r="F8" s="7">
        <f>Calculations!J76</f>
        <v>0</v>
      </c>
      <c r="G8" s="7">
        <f>Calculations!K76</f>
        <v>0</v>
      </c>
      <c r="H8" s="7">
        <f>Calculations!L76</f>
        <v>0</v>
      </c>
      <c r="I8" s="7">
        <f>Calculations!M76</f>
        <v>0</v>
      </c>
      <c r="J8" s="7">
        <f>Calculations!N76</f>
        <v>0</v>
      </c>
      <c r="K8" s="7">
        <f>Calculations!O76</f>
        <v>0</v>
      </c>
      <c r="L8" s="7">
        <f>Calculations!P76</f>
        <v>0</v>
      </c>
      <c r="M8" s="7">
        <f>Calculations!Q76</f>
        <v>0</v>
      </c>
      <c r="N8" s="7">
        <f>Calculations!R76</f>
        <v>0</v>
      </c>
      <c r="O8" s="7">
        <f>Calculations!S76</f>
        <v>0</v>
      </c>
      <c r="P8" s="7">
        <f>Calculations!T76</f>
        <v>0</v>
      </c>
      <c r="Q8" s="7">
        <f>Calculations!U76</f>
        <v>0</v>
      </c>
      <c r="R8" s="7">
        <f>Calculations!V76</f>
        <v>0</v>
      </c>
      <c r="S8" s="7">
        <f>Calculations!W76</f>
        <v>0</v>
      </c>
      <c r="T8" s="7">
        <f>Calculations!X76</f>
        <v>0</v>
      </c>
      <c r="U8" s="7">
        <f>Calculations!Y76</f>
        <v>0</v>
      </c>
      <c r="V8" s="7">
        <f>Calculations!Z76</f>
        <v>0</v>
      </c>
      <c r="W8" s="7">
        <f>Calculations!AA76</f>
        <v>0</v>
      </c>
      <c r="X8" s="7">
        <f>Calculations!AB76</f>
        <v>0</v>
      </c>
      <c r="Y8" s="7">
        <f>Calculations!AC76</f>
        <v>0</v>
      </c>
      <c r="Z8" s="7">
        <f>Calculations!AD76</f>
        <v>0</v>
      </c>
      <c r="AA8" s="7">
        <f>Calculations!AE76</f>
        <v>0</v>
      </c>
      <c r="AB8" s="7">
        <f>Calculations!AF76</f>
        <v>0</v>
      </c>
    </row>
    <row r="9" spans="1:30" x14ac:dyDescent="0.25">
      <c r="A9" s="1" t="s">
        <v>935</v>
      </c>
      <c r="B9" s="7">
        <f>Calculations!F77</f>
        <v>0</v>
      </c>
      <c r="C9" s="7">
        <f>Calculations!G77</f>
        <v>0</v>
      </c>
      <c r="D9" s="7">
        <f>Calculations!H77</f>
        <v>0</v>
      </c>
      <c r="E9" s="7">
        <f>Calculations!I77</f>
        <v>0</v>
      </c>
      <c r="F9" s="7">
        <f>Calculations!J77</f>
        <v>0</v>
      </c>
      <c r="G9" s="7">
        <f>Calculations!K77</f>
        <v>0</v>
      </c>
      <c r="H9" s="7">
        <f>Calculations!L77</f>
        <v>0</v>
      </c>
      <c r="I9" s="7">
        <f>Calculations!M77</f>
        <v>0</v>
      </c>
      <c r="J9" s="7">
        <f>Calculations!N77</f>
        <v>0</v>
      </c>
      <c r="K9" s="7">
        <f>Calculations!O77</f>
        <v>0</v>
      </c>
      <c r="L9" s="7">
        <f>Calculations!P77</f>
        <v>0</v>
      </c>
      <c r="M9" s="7">
        <f>Calculations!Q77</f>
        <v>0</v>
      </c>
      <c r="N9" s="7">
        <f>Calculations!R77</f>
        <v>0</v>
      </c>
      <c r="O9" s="7">
        <f>Calculations!S77</f>
        <v>0</v>
      </c>
      <c r="P9" s="7">
        <f>Calculations!T77</f>
        <v>0</v>
      </c>
      <c r="Q9" s="7">
        <f>Calculations!U77</f>
        <v>0</v>
      </c>
      <c r="R9" s="7">
        <f>Calculations!V77</f>
        <v>0</v>
      </c>
      <c r="S9" s="7">
        <f>Calculations!W77</f>
        <v>0</v>
      </c>
      <c r="T9" s="7">
        <f>Calculations!X77</f>
        <v>0</v>
      </c>
      <c r="U9" s="7">
        <f>Calculations!Y77</f>
        <v>0</v>
      </c>
      <c r="V9" s="7">
        <f>Calculations!Z77</f>
        <v>0</v>
      </c>
      <c r="W9" s="7">
        <f>Calculations!AA77</f>
        <v>0</v>
      </c>
      <c r="X9" s="7">
        <f>Calculations!AB77</f>
        <v>0</v>
      </c>
      <c r="Y9" s="7">
        <f>Calculations!AC77</f>
        <v>0</v>
      </c>
      <c r="Z9" s="7">
        <f>Calculations!AD77</f>
        <v>0</v>
      </c>
      <c r="AA9" s="7">
        <f>Calculations!AE77</f>
        <v>0</v>
      </c>
      <c r="AB9" s="7">
        <f>Calculations!AF77</f>
        <v>0</v>
      </c>
    </row>
    <row r="10" spans="1:30" x14ac:dyDescent="0.25">
      <c r="A10" s="1" t="s">
        <v>77</v>
      </c>
      <c r="B10" s="7">
        <f>Calculations!F78</f>
        <v>56682370517283.25</v>
      </c>
      <c r="C10" s="7">
        <f>Calculations!G78</f>
        <v>70565529749858.328</v>
      </c>
      <c r="D10" s="7">
        <f>Calculations!H78</f>
        <v>67874282117704.203</v>
      </c>
      <c r="E10" s="7">
        <f>Calculations!I78</f>
        <v>63776849186432.453</v>
      </c>
      <c r="F10" s="7">
        <f>Calculations!J78</f>
        <v>63286936695539.547</v>
      </c>
      <c r="G10" s="7">
        <f>Calculations!K78</f>
        <v>62448982595320.977</v>
      </c>
      <c r="H10" s="7">
        <f>Calculations!L78</f>
        <v>61415699020480.852</v>
      </c>
      <c r="I10" s="7">
        <f>Calculations!M78</f>
        <v>60228955638306.477</v>
      </c>
      <c r="J10" s="7">
        <f>Calculations!N78</f>
        <v>59056418036104.594</v>
      </c>
      <c r="K10" s="7">
        <f>Calculations!O78</f>
        <v>57941077390107.672</v>
      </c>
      <c r="L10" s="7">
        <f>Calculations!P78</f>
        <v>56920691168137.297</v>
      </c>
      <c r="M10" s="7">
        <f>Calculations!Q78</f>
        <v>55977689063385.414</v>
      </c>
      <c r="N10" s="7">
        <f>Calculations!R78</f>
        <v>55097678377722.008</v>
      </c>
      <c r="O10" s="7">
        <f>Calculations!S78</f>
        <v>54250004533311.75</v>
      </c>
      <c r="P10" s="7">
        <f>Calculations!T78</f>
        <v>53433172184894.359</v>
      </c>
      <c r="Q10" s="7">
        <f>Calculations!U78</f>
        <v>52638583097223.344</v>
      </c>
      <c r="R10" s="7">
        <f>Calculations!V78</f>
        <v>51889041285517.68</v>
      </c>
      <c r="S10" s="7">
        <f>Calculations!W78</f>
        <v>51187163603982.828</v>
      </c>
      <c r="T10" s="7">
        <f>Calculations!X78</f>
        <v>50565099975714.391</v>
      </c>
      <c r="U10" s="7">
        <f>Calculations!Y78</f>
        <v>50009392293370.031</v>
      </c>
      <c r="V10" s="7">
        <f>Calculations!Z78</f>
        <v>49506769367764.906</v>
      </c>
      <c r="W10" s="7">
        <f>Calculations!AA78</f>
        <v>49039287055775.93</v>
      </c>
      <c r="X10" s="7">
        <f>Calculations!AB78</f>
        <v>48576290779567.719</v>
      </c>
      <c r="Y10" s="7">
        <f>Calculations!AC78</f>
        <v>48088434388407.672</v>
      </c>
      <c r="Z10" s="7">
        <f>Calculations!AD78</f>
        <v>47593101270946.328</v>
      </c>
      <c r="AA10" s="7">
        <f>Calculations!AE78</f>
        <v>47097955071642.516</v>
      </c>
      <c r="AB10" s="7">
        <f>Calculations!AF78</f>
        <v>46613463207318.063</v>
      </c>
    </row>
    <row r="11" spans="1:30" x14ac:dyDescent="0.25">
      <c r="A11" s="1" t="s">
        <v>936</v>
      </c>
      <c r="B11" s="7">
        <f>Calculations!F79</f>
        <v>0</v>
      </c>
      <c r="C11" s="7">
        <f>Calculations!G79</f>
        <v>0</v>
      </c>
      <c r="D11" s="7">
        <f>Calculations!H79</f>
        <v>0</v>
      </c>
      <c r="E11" s="7">
        <f>Calculations!I79</f>
        <v>0</v>
      </c>
      <c r="F11" s="7">
        <f>Calculations!J79</f>
        <v>0</v>
      </c>
      <c r="G11" s="7">
        <f>Calculations!K79</f>
        <v>0</v>
      </c>
      <c r="H11" s="7">
        <f>Calculations!L79</f>
        <v>0</v>
      </c>
      <c r="I11" s="7">
        <f>Calculations!M79</f>
        <v>0</v>
      </c>
      <c r="J11" s="7">
        <f>Calculations!N79</f>
        <v>0</v>
      </c>
      <c r="K11" s="7">
        <f>Calculations!O79</f>
        <v>0</v>
      </c>
      <c r="L11" s="7">
        <f>Calculations!P79</f>
        <v>0</v>
      </c>
      <c r="M11" s="7">
        <f>Calculations!Q79</f>
        <v>0</v>
      </c>
      <c r="N11" s="7">
        <f>Calculations!R79</f>
        <v>0</v>
      </c>
      <c r="O11" s="7">
        <f>Calculations!S79</f>
        <v>0</v>
      </c>
      <c r="P11" s="7">
        <f>Calculations!T79</f>
        <v>0</v>
      </c>
      <c r="Q11" s="7">
        <f>Calculations!U79</f>
        <v>0</v>
      </c>
      <c r="R11" s="7">
        <f>Calculations!V79</f>
        <v>0</v>
      </c>
      <c r="S11" s="7">
        <f>Calculations!W79</f>
        <v>0</v>
      </c>
      <c r="T11" s="7">
        <f>Calculations!X79</f>
        <v>0</v>
      </c>
      <c r="U11" s="7">
        <f>Calculations!Y79</f>
        <v>0</v>
      </c>
      <c r="V11" s="7">
        <f>Calculations!Z79</f>
        <v>0</v>
      </c>
      <c r="W11" s="7">
        <f>Calculations!AA79</f>
        <v>0</v>
      </c>
      <c r="X11" s="7">
        <f>Calculations!AB79</f>
        <v>0</v>
      </c>
      <c r="Y11" s="7">
        <f>Calculations!AC79</f>
        <v>0</v>
      </c>
      <c r="Z11" s="7">
        <f>Calculations!AD79</f>
        <v>0</v>
      </c>
      <c r="AA11" s="7">
        <f>Calculations!AE79</f>
        <v>0</v>
      </c>
      <c r="AB11" s="7">
        <f>Calculations!AF79</f>
        <v>0</v>
      </c>
    </row>
  </sheetData>
  <pageMargins left="0.7" right="0.7" top="0.75" bottom="0.75" header="0.3" footer="0.3"/>
  <pageSetup orientation="portrait" horizontalDpi="1200" verticalDpi="12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D11"/>
  <sheetViews>
    <sheetView workbookViewId="0"/>
  </sheetViews>
  <sheetFormatPr defaultRowHeight="15" x14ac:dyDescent="0.25"/>
  <cols>
    <col min="1" max="1" width="29.85546875" customWidth="1"/>
    <col min="2" max="28" width="12.28515625" customWidth="1"/>
  </cols>
  <sheetData>
    <row r="1" spans="1:30" x14ac:dyDescent="0.25">
      <c r="A1" s="1" t="s">
        <v>915</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v>
      </c>
      <c r="B2" s="7">
        <f>Calculations!F83</f>
        <v>212086687444345.47</v>
      </c>
      <c r="C2" s="7">
        <f>Calculations!G83</f>
        <v>202247315631830.28</v>
      </c>
      <c r="D2" s="7">
        <f>Calculations!H83</f>
        <v>212485383874362.53</v>
      </c>
      <c r="E2" s="7">
        <f>Calculations!I83</f>
        <v>215247473488221.47</v>
      </c>
      <c r="F2" s="7">
        <f>Calculations!J83</f>
        <v>217887505545211.72</v>
      </c>
      <c r="G2" s="7">
        <f>Calculations!K83</f>
        <v>219957624139885.06</v>
      </c>
      <c r="H2" s="7">
        <f>Calculations!L83</f>
        <v>221244742572654.41</v>
      </c>
      <c r="I2" s="7">
        <f>Calculations!M83</f>
        <v>222369989881000.56</v>
      </c>
      <c r="J2" s="7">
        <f>Calculations!N83</f>
        <v>223701594835262.66</v>
      </c>
      <c r="K2" s="7">
        <f>Calculations!O83</f>
        <v>225154322755605.94</v>
      </c>
      <c r="L2" s="7">
        <f>Calculations!P83</f>
        <v>226852661134947</v>
      </c>
      <c r="M2" s="7">
        <f>Calculations!Q83</f>
        <v>228712122966081.09</v>
      </c>
      <c r="N2" s="7">
        <f>Calculations!R83</f>
        <v>230775138670768.25</v>
      </c>
      <c r="O2" s="7">
        <f>Calculations!S83</f>
        <v>232920211446612.16</v>
      </c>
      <c r="P2" s="7">
        <f>Calculations!T83</f>
        <v>235106780053428.31</v>
      </c>
      <c r="Q2" s="7">
        <f>Calculations!U83</f>
        <v>237292974823929.38</v>
      </c>
      <c r="R2" s="7">
        <f>Calculations!V83</f>
        <v>239588703634744.59</v>
      </c>
      <c r="S2" s="7">
        <f>Calculations!W83</f>
        <v>241981069133004.09</v>
      </c>
      <c r="T2" s="7">
        <f>Calculations!X83</f>
        <v>244709887314822.31</v>
      </c>
      <c r="U2" s="7">
        <f>Calculations!Y83</f>
        <v>247613847810248.53</v>
      </c>
      <c r="V2" s="7">
        <f>Calculations!Z83</f>
        <v>250520985914352.78</v>
      </c>
      <c r="W2" s="7">
        <f>Calculations!AA83</f>
        <v>253560835910305.16</v>
      </c>
      <c r="X2" s="7">
        <f>Calculations!AB83</f>
        <v>256418066866348.28</v>
      </c>
      <c r="Y2" s="7">
        <f>Calculations!AC83</f>
        <v>259143146685015.75</v>
      </c>
      <c r="Z2" s="7">
        <f>Calculations!AD83</f>
        <v>261803739739334.56</v>
      </c>
      <c r="AA2" s="7">
        <f>Calculations!AE83</f>
        <v>264633867562535.38</v>
      </c>
      <c r="AB2" s="7">
        <f>Calculations!AF83</f>
        <v>267461191613373.28</v>
      </c>
    </row>
    <row r="3" spans="1:30" x14ac:dyDescent="0.25">
      <c r="A3" s="1" t="s">
        <v>932</v>
      </c>
      <c r="B3" s="7">
        <f>Calculations!F84</f>
        <v>0</v>
      </c>
      <c r="C3" s="7">
        <f>Calculations!G84</f>
        <v>0</v>
      </c>
      <c r="D3" s="7">
        <f>Calculations!H84</f>
        <v>0</v>
      </c>
      <c r="E3" s="7">
        <f>Calculations!I84</f>
        <v>0</v>
      </c>
      <c r="F3" s="7">
        <f>Calculations!J84</f>
        <v>0</v>
      </c>
      <c r="G3" s="7">
        <f>Calculations!K84</f>
        <v>0</v>
      </c>
      <c r="H3" s="7">
        <f>Calculations!L84</f>
        <v>0</v>
      </c>
      <c r="I3" s="7">
        <f>Calculations!M84</f>
        <v>0</v>
      </c>
      <c r="J3" s="7">
        <f>Calculations!N84</f>
        <v>0</v>
      </c>
      <c r="K3" s="7">
        <f>Calculations!O84</f>
        <v>0</v>
      </c>
      <c r="L3" s="7">
        <f>Calculations!P84</f>
        <v>0</v>
      </c>
      <c r="M3" s="7">
        <f>Calculations!Q84</f>
        <v>0</v>
      </c>
      <c r="N3" s="7">
        <f>Calculations!R84</f>
        <v>0</v>
      </c>
      <c r="O3" s="7">
        <f>Calculations!S84</f>
        <v>0</v>
      </c>
      <c r="P3" s="7">
        <f>Calculations!T84</f>
        <v>0</v>
      </c>
      <c r="Q3" s="7">
        <f>Calculations!U84</f>
        <v>0</v>
      </c>
      <c r="R3" s="7">
        <f>Calculations!V84</f>
        <v>0</v>
      </c>
      <c r="S3" s="7">
        <f>Calculations!W84</f>
        <v>0</v>
      </c>
      <c r="T3" s="7">
        <f>Calculations!X84</f>
        <v>0</v>
      </c>
      <c r="U3" s="7">
        <f>Calculations!Y84</f>
        <v>0</v>
      </c>
      <c r="V3" s="7">
        <f>Calculations!Z84</f>
        <v>0</v>
      </c>
      <c r="W3" s="7">
        <f>Calculations!AA84</f>
        <v>0</v>
      </c>
      <c r="X3" s="7">
        <f>Calculations!AB84</f>
        <v>0</v>
      </c>
      <c r="Y3" s="7">
        <f>Calculations!AC84</f>
        <v>0</v>
      </c>
      <c r="Z3" s="7">
        <f>Calculations!AD84</f>
        <v>0</v>
      </c>
      <c r="AA3" s="7">
        <f>Calculations!AE84</f>
        <v>0</v>
      </c>
      <c r="AB3" s="7">
        <f>Calculations!AF84</f>
        <v>0</v>
      </c>
    </row>
    <row r="4" spans="1:30" x14ac:dyDescent="0.25">
      <c r="A4" s="1" t="s">
        <v>53</v>
      </c>
      <c r="B4" s="7">
        <f>Calculations!F85</f>
        <v>11869116085161.498</v>
      </c>
      <c r="C4" s="7">
        <f>Calculations!G85</f>
        <v>10953030195094.309</v>
      </c>
      <c r="D4" s="7">
        <f>Calculations!H85</f>
        <v>11617898081437.707</v>
      </c>
      <c r="E4" s="7">
        <f>Calculations!I85</f>
        <v>11699207479964.383</v>
      </c>
      <c r="F4" s="7">
        <f>Calculations!J85</f>
        <v>11729488221484.66</v>
      </c>
      <c r="G4" s="7">
        <f>Calculations!K85</f>
        <v>11721824577025.824</v>
      </c>
      <c r="H4" s="7">
        <f>Calculations!L85</f>
        <v>11696590625758.926</v>
      </c>
      <c r="I4" s="7">
        <f>Calculations!M85</f>
        <v>11673599692382.416</v>
      </c>
      <c r="J4" s="7">
        <f>Calculations!N85</f>
        <v>11669300574759.168</v>
      </c>
      <c r="K4" s="7">
        <f>Calculations!O85</f>
        <v>11672291265279.688</v>
      </c>
      <c r="L4" s="7">
        <f>Calculations!P85</f>
        <v>11690796162875.414</v>
      </c>
      <c r="M4" s="7">
        <f>Calculations!Q85</f>
        <v>11713600178094.389</v>
      </c>
      <c r="N4" s="7">
        <f>Calculations!R85</f>
        <v>11748366955395.451</v>
      </c>
      <c r="O4" s="7">
        <f>Calculations!S85</f>
        <v>11788928195580.021</v>
      </c>
      <c r="P4" s="7">
        <f>Calculations!T85</f>
        <v>11833414717072.777</v>
      </c>
      <c r="Q4" s="7">
        <f>Calculations!U85</f>
        <v>11882761110661.379</v>
      </c>
      <c r="R4" s="7">
        <f>Calculations!V85</f>
        <v>11942948757386.871</v>
      </c>
      <c r="S4" s="7">
        <f>Calculations!W85</f>
        <v>12011173884886.262</v>
      </c>
      <c r="T4" s="7">
        <f>Calculations!X85</f>
        <v>12098277746296.447</v>
      </c>
      <c r="U4" s="7">
        <f>Calculations!Y85</f>
        <v>12189119970857.281</v>
      </c>
      <c r="V4" s="7">
        <f>Calculations!Z85</f>
        <v>12276971504897.596</v>
      </c>
      <c r="W4" s="7">
        <f>Calculations!AA85</f>
        <v>12366879138670.768</v>
      </c>
      <c r="X4" s="7">
        <f>Calculations!AB85</f>
        <v>12446319355622.113</v>
      </c>
      <c r="Y4" s="7">
        <f>Calculations!AC85</f>
        <v>12522208127580.344</v>
      </c>
      <c r="Z4" s="7">
        <f>Calculations!AD85</f>
        <v>12591741682182.465</v>
      </c>
      <c r="AA4" s="7">
        <f>Calculations!AE85</f>
        <v>12665387436250.303</v>
      </c>
      <c r="AB4" s="7">
        <f>Calculations!AF85</f>
        <v>12737537845057.879</v>
      </c>
    </row>
    <row r="5" spans="1:30" x14ac:dyDescent="0.25">
      <c r="A5" s="1" t="s">
        <v>68</v>
      </c>
      <c r="B5" s="7">
        <f>Calculations!F86</f>
        <v>0</v>
      </c>
      <c r="C5" s="7">
        <f>Calculations!G86</f>
        <v>0</v>
      </c>
      <c r="D5" s="7">
        <f>Calculations!H86</f>
        <v>0</v>
      </c>
      <c r="E5" s="7">
        <f>Calculations!I86</f>
        <v>0</v>
      </c>
      <c r="F5" s="7">
        <f>Calculations!J86</f>
        <v>0</v>
      </c>
      <c r="G5" s="7">
        <f>Calculations!K86</f>
        <v>0</v>
      </c>
      <c r="H5" s="7">
        <f>Calculations!L86</f>
        <v>0</v>
      </c>
      <c r="I5" s="7">
        <f>Calculations!M86</f>
        <v>0</v>
      </c>
      <c r="J5" s="7">
        <f>Calculations!N86</f>
        <v>0</v>
      </c>
      <c r="K5" s="7">
        <f>Calculations!O86</f>
        <v>0</v>
      </c>
      <c r="L5" s="7">
        <f>Calculations!P86</f>
        <v>0</v>
      </c>
      <c r="M5" s="7">
        <f>Calculations!Q86</f>
        <v>0</v>
      </c>
      <c r="N5" s="7">
        <f>Calculations!R86</f>
        <v>0</v>
      </c>
      <c r="O5" s="7">
        <f>Calculations!S86</f>
        <v>0</v>
      </c>
      <c r="P5" s="7">
        <f>Calculations!T86</f>
        <v>0</v>
      </c>
      <c r="Q5" s="7">
        <f>Calculations!U86</f>
        <v>0</v>
      </c>
      <c r="R5" s="7">
        <f>Calculations!V86</f>
        <v>0</v>
      </c>
      <c r="S5" s="7">
        <f>Calculations!W86</f>
        <v>0</v>
      </c>
      <c r="T5" s="7">
        <f>Calculations!X86</f>
        <v>0</v>
      </c>
      <c r="U5" s="7">
        <f>Calculations!Y86</f>
        <v>0</v>
      </c>
      <c r="V5" s="7">
        <f>Calculations!Z86</f>
        <v>0</v>
      </c>
      <c r="W5" s="7">
        <f>Calculations!AA86</f>
        <v>0</v>
      </c>
      <c r="X5" s="7">
        <f>Calculations!AB86</f>
        <v>0</v>
      </c>
      <c r="Y5" s="7">
        <f>Calculations!AC86</f>
        <v>0</v>
      </c>
      <c r="Z5" s="7">
        <f>Calculations!AD86</f>
        <v>0</v>
      </c>
      <c r="AA5" s="7">
        <f>Calculations!AE86</f>
        <v>0</v>
      </c>
      <c r="AB5" s="7">
        <f>Calculations!AF86</f>
        <v>0</v>
      </c>
    </row>
    <row r="6" spans="1:30" x14ac:dyDescent="0.25">
      <c r="A6" s="1" t="s">
        <v>933</v>
      </c>
      <c r="B6" s="7">
        <f>Calculations!F87</f>
        <v>0</v>
      </c>
      <c r="C6" s="7">
        <f>Calculations!G87</f>
        <v>0</v>
      </c>
      <c r="D6" s="7">
        <f>Calculations!H87</f>
        <v>0</v>
      </c>
      <c r="E6" s="7">
        <f>Calculations!I87</f>
        <v>0</v>
      </c>
      <c r="F6" s="7">
        <f>Calculations!J87</f>
        <v>0</v>
      </c>
      <c r="G6" s="7">
        <f>Calculations!K87</f>
        <v>0</v>
      </c>
      <c r="H6" s="7">
        <f>Calculations!L87</f>
        <v>0</v>
      </c>
      <c r="I6" s="7">
        <f>Calculations!M87</f>
        <v>0</v>
      </c>
      <c r="J6" s="7">
        <f>Calculations!N87</f>
        <v>0</v>
      </c>
      <c r="K6" s="7">
        <f>Calculations!O87</f>
        <v>0</v>
      </c>
      <c r="L6" s="7">
        <f>Calculations!P87</f>
        <v>0</v>
      </c>
      <c r="M6" s="7">
        <f>Calculations!Q87</f>
        <v>0</v>
      </c>
      <c r="N6" s="7">
        <f>Calculations!R87</f>
        <v>0</v>
      </c>
      <c r="O6" s="7">
        <f>Calculations!S87</f>
        <v>0</v>
      </c>
      <c r="P6" s="7">
        <f>Calculations!T87</f>
        <v>0</v>
      </c>
      <c r="Q6" s="7">
        <f>Calculations!U87</f>
        <v>0</v>
      </c>
      <c r="R6" s="7">
        <f>Calculations!V87</f>
        <v>0</v>
      </c>
      <c r="S6" s="7">
        <f>Calculations!W87</f>
        <v>0</v>
      </c>
      <c r="T6" s="7">
        <f>Calculations!X87</f>
        <v>0</v>
      </c>
      <c r="U6" s="7">
        <f>Calculations!Y87</f>
        <v>0</v>
      </c>
      <c r="V6" s="7">
        <f>Calculations!Z87</f>
        <v>0</v>
      </c>
      <c r="W6" s="7">
        <f>Calculations!AA87</f>
        <v>0</v>
      </c>
      <c r="X6" s="7">
        <f>Calculations!AB87</f>
        <v>0</v>
      </c>
      <c r="Y6" s="7">
        <f>Calculations!AC87</f>
        <v>0</v>
      </c>
      <c r="Z6" s="7">
        <f>Calculations!AD87</f>
        <v>0</v>
      </c>
      <c r="AA6" s="7">
        <f>Calculations!AE87</f>
        <v>0</v>
      </c>
      <c r="AB6" s="7">
        <f>Calculations!AF87</f>
        <v>0</v>
      </c>
    </row>
    <row r="7" spans="1:30" x14ac:dyDescent="0.25">
      <c r="A7" s="1" t="s">
        <v>88</v>
      </c>
      <c r="B7" s="7">
        <f>Calculations!F88</f>
        <v>0</v>
      </c>
      <c r="C7" s="7">
        <f>Calculations!G88</f>
        <v>0</v>
      </c>
      <c r="D7" s="7">
        <f>Calculations!H88</f>
        <v>0</v>
      </c>
      <c r="E7" s="7">
        <f>Calculations!I88</f>
        <v>0</v>
      </c>
      <c r="F7" s="7">
        <f>Calculations!J88</f>
        <v>0</v>
      </c>
      <c r="G7" s="7">
        <f>Calculations!K88</f>
        <v>0</v>
      </c>
      <c r="H7" s="7">
        <f>Calculations!L88</f>
        <v>0</v>
      </c>
      <c r="I7" s="7">
        <f>Calculations!M88</f>
        <v>0</v>
      </c>
      <c r="J7" s="7">
        <f>Calculations!N88</f>
        <v>0</v>
      </c>
      <c r="K7" s="7">
        <f>Calculations!O88</f>
        <v>0</v>
      </c>
      <c r="L7" s="7">
        <f>Calculations!P88</f>
        <v>0</v>
      </c>
      <c r="M7" s="7">
        <f>Calculations!Q88</f>
        <v>0</v>
      </c>
      <c r="N7" s="7">
        <f>Calculations!R88</f>
        <v>0</v>
      </c>
      <c r="O7" s="7">
        <f>Calculations!S88</f>
        <v>0</v>
      </c>
      <c r="P7" s="7">
        <f>Calculations!T88</f>
        <v>0</v>
      </c>
      <c r="Q7" s="7">
        <f>Calculations!U88</f>
        <v>0</v>
      </c>
      <c r="R7" s="7">
        <f>Calculations!V88</f>
        <v>0</v>
      </c>
      <c r="S7" s="7">
        <f>Calculations!W88</f>
        <v>0</v>
      </c>
      <c r="T7" s="7">
        <f>Calculations!X88</f>
        <v>0</v>
      </c>
      <c r="U7" s="7">
        <f>Calculations!Y88</f>
        <v>0</v>
      </c>
      <c r="V7" s="7">
        <f>Calculations!Z88</f>
        <v>0</v>
      </c>
      <c r="W7" s="7">
        <f>Calculations!AA88</f>
        <v>0</v>
      </c>
      <c r="X7" s="7">
        <f>Calculations!AB88</f>
        <v>0</v>
      </c>
      <c r="Y7" s="7">
        <f>Calculations!AC88</f>
        <v>0</v>
      </c>
      <c r="Z7" s="7">
        <f>Calculations!AD88</f>
        <v>0</v>
      </c>
      <c r="AA7" s="7">
        <f>Calculations!AE88</f>
        <v>0</v>
      </c>
      <c r="AB7" s="7">
        <f>Calculations!AF88</f>
        <v>0</v>
      </c>
    </row>
    <row r="8" spans="1:30" x14ac:dyDescent="0.25">
      <c r="A8" s="1" t="s">
        <v>934</v>
      </c>
      <c r="B8" s="7">
        <f>Calculations!F89</f>
        <v>0</v>
      </c>
      <c r="C8" s="7">
        <f>Calculations!G89</f>
        <v>0</v>
      </c>
      <c r="D8" s="7">
        <f>Calculations!H89</f>
        <v>0</v>
      </c>
      <c r="E8" s="7">
        <f>Calculations!I89</f>
        <v>0</v>
      </c>
      <c r="F8" s="7">
        <f>Calculations!J89</f>
        <v>0</v>
      </c>
      <c r="G8" s="7">
        <f>Calculations!K89</f>
        <v>0</v>
      </c>
      <c r="H8" s="7">
        <f>Calculations!L89</f>
        <v>0</v>
      </c>
      <c r="I8" s="7">
        <f>Calculations!M89</f>
        <v>0</v>
      </c>
      <c r="J8" s="7">
        <f>Calculations!N89</f>
        <v>0</v>
      </c>
      <c r="K8" s="7">
        <f>Calculations!O89</f>
        <v>0</v>
      </c>
      <c r="L8" s="7">
        <f>Calculations!P89</f>
        <v>0</v>
      </c>
      <c r="M8" s="7">
        <f>Calculations!Q89</f>
        <v>0</v>
      </c>
      <c r="N8" s="7">
        <f>Calculations!R89</f>
        <v>0</v>
      </c>
      <c r="O8" s="7">
        <f>Calculations!S89</f>
        <v>0</v>
      </c>
      <c r="P8" s="7">
        <f>Calculations!T89</f>
        <v>0</v>
      </c>
      <c r="Q8" s="7">
        <f>Calculations!U89</f>
        <v>0</v>
      </c>
      <c r="R8" s="7">
        <f>Calculations!V89</f>
        <v>0</v>
      </c>
      <c r="S8" s="7">
        <f>Calculations!W89</f>
        <v>0</v>
      </c>
      <c r="T8" s="7">
        <f>Calculations!X89</f>
        <v>0</v>
      </c>
      <c r="U8" s="7">
        <f>Calculations!Y89</f>
        <v>0</v>
      </c>
      <c r="V8" s="7">
        <f>Calculations!Z89</f>
        <v>0</v>
      </c>
      <c r="W8" s="7">
        <f>Calculations!AA89</f>
        <v>0</v>
      </c>
      <c r="X8" s="7">
        <f>Calculations!AB89</f>
        <v>0</v>
      </c>
      <c r="Y8" s="7">
        <f>Calculations!AC89</f>
        <v>0</v>
      </c>
      <c r="Z8" s="7">
        <f>Calculations!AD89</f>
        <v>0</v>
      </c>
      <c r="AA8" s="7">
        <f>Calculations!AE89</f>
        <v>0</v>
      </c>
      <c r="AB8" s="7">
        <f>Calculations!AF89</f>
        <v>0</v>
      </c>
    </row>
    <row r="9" spans="1:30" x14ac:dyDescent="0.25">
      <c r="A9" s="1" t="s">
        <v>935</v>
      </c>
      <c r="B9" s="7">
        <f>Calculations!F90</f>
        <v>0</v>
      </c>
      <c r="C9" s="7">
        <f>Calculations!G90</f>
        <v>0</v>
      </c>
      <c r="D9" s="7">
        <f>Calculations!H90</f>
        <v>0</v>
      </c>
      <c r="E9" s="7">
        <f>Calculations!I90</f>
        <v>0</v>
      </c>
      <c r="F9" s="7">
        <f>Calculations!J90</f>
        <v>0</v>
      </c>
      <c r="G9" s="7">
        <f>Calculations!K90</f>
        <v>0</v>
      </c>
      <c r="H9" s="7">
        <f>Calculations!L90</f>
        <v>0</v>
      </c>
      <c r="I9" s="7">
        <f>Calculations!M90</f>
        <v>0</v>
      </c>
      <c r="J9" s="7">
        <f>Calculations!N90</f>
        <v>0</v>
      </c>
      <c r="K9" s="7">
        <f>Calculations!O90</f>
        <v>0</v>
      </c>
      <c r="L9" s="7">
        <f>Calculations!P90</f>
        <v>0</v>
      </c>
      <c r="M9" s="7">
        <f>Calculations!Q90</f>
        <v>0</v>
      </c>
      <c r="N9" s="7">
        <f>Calculations!R90</f>
        <v>0</v>
      </c>
      <c r="O9" s="7">
        <f>Calculations!S90</f>
        <v>0</v>
      </c>
      <c r="P9" s="7">
        <f>Calculations!T90</f>
        <v>0</v>
      </c>
      <c r="Q9" s="7">
        <f>Calculations!U90</f>
        <v>0</v>
      </c>
      <c r="R9" s="7">
        <f>Calculations!V90</f>
        <v>0</v>
      </c>
      <c r="S9" s="7">
        <f>Calculations!W90</f>
        <v>0</v>
      </c>
      <c r="T9" s="7">
        <f>Calculations!X90</f>
        <v>0</v>
      </c>
      <c r="U9" s="7">
        <f>Calculations!Y90</f>
        <v>0</v>
      </c>
      <c r="V9" s="7">
        <f>Calculations!Z90</f>
        <v>0</v>
      </c>
      <c r="W9" s="7">
        <f>Calculations!AA90</f>
        <v>0</v>
      </c>
      <c r="X9" s="7">
        <f>Calculations!AB90</f>
        <v>0</v>
      </c>
      <c r="Y9" s="7">
        <f>Calculations!AC90</f>
        <v>0</v>
      </c>
      <c r="Z9" s="7">
        <f>Calculations!AD90</f>
        <v>0</v>
      </c>
      <c r="AA9" s="7">
        <f>Calculations!AE90</f>
        <v>0</v>
      </c>
      <c r="AB9" s="7">
        <f>Calculations!AF90</f>
        <v>0</v>
      </c>
    </row>
    <row r="10" spans="1:30" x14ac:dyDescent="0.25">
      <c r="A10" s="1" t="s">
        <v>77</v>
      </c>
      <c r="B10" s="7">
        <f>Calculations!F91</f>
        <v>0</v>
      </c>
      <c r="C10" s="7">
        <f>Calculations!G91</f>
        <v>0</v>
      </c>
      <c r="D10" s="7">
        <f>Calculations!H91</f>
        <v>0</v>
      </c>
      <c r="E10" s="7">
        <f>Calculations!I91</f>
        <v>0</v>
      </c>
      <c r="F10" s="7">
        <f>Calculations!J91</f>
        <v>0</v>
      </c>
      <c r="G10" s="7">
        <f>Calculations!K91</f>
        <v>0</v>
      </c>
      <c r="H10" s="7">
        <f>Calculations!L91</f>
        <v>0</v>
      </c>
      <c r="I10" s="7">
        <f>Calculations!M91</f>
        <v>0</v>
      </c>
      <c r="J10" s="7">
        <f>Calculations!N91</f>
        <v>0</v>
      </c>
      <c r="K10" s="7">
        <f>Calculations!O91</f>
        <v>0</v>
      </c>
      <c r="L10" s="7">
        <f>Calculations!P91</f>
        <v>0</v>
      </c>
      <c r="M10" s="7">
        <f>Calculations!Q91</f>
        <v>0</v>
      </c>
      <c r="N10" s="7">
        <f>Calculations!R91</f>
        <v>0</v>
      </c>
      <c r="O10" s="7">
        <f>Calculations!S91</f>
        <v>0</v>
      </c>
      <c r="P10" s="7">
        <f>Calculations!T91</f>
        <v>0</v>
      </c>
      <c r="Q10" s="7">
        <f>Calculations!U91</f>
        <v>0</v>
      </c>
      <c r="R10" s="7">
        <f>Calculations!V91</f>
        <v>0</v>
      </c>
      <c r="S10" s="7">
        <f>Calculations!W91</f>
        <v>0</v>
      </c>
      <c r="T10" s="7">
        <f>Calculations!X91</f>
        <v>0</v>
      </c>
      <c r="U10" s="7">
        <f>Calculations!Y91</f>
        <v>0</v>
      </c>
      <c r="V10" s="7">
        <f>Calculations!Z91</f>
        <v>0</v>
      </c>
      <c r="W10" s="7">
        <f>Calculations!AA91</f>
        <v>0</v>
      </c>
      <c r="X10" s="7">
        <f>Calculations!AB91</f>
        <v>0</v>
      </c>
      <c r="Y10" s="7">
        <f>Calculations!AC91</f>
        <v>0</v>
      </c>
      <c r="Z10" s="7">
        <f>Calculations!AD91</f>
        <v>0</v>
      </c>
      <c r="AA10" s="7">
        <f>Calculations!AE91</f>
        <v>0</v>
      </c>
      <c r="AB10" s="7">
        <f>Calculations!AF91</f>
        <v>0</v>
      </c>
    </row>
    <row r="11" spans="1:30" x14ac:dyDescent="0.25">
      <c r="A11" s="1" t="s">
        <v>936</v>
      </c>
      <c r="B11" s="7">
        <f>Calculations!F92</f>
        <v>0</v>
      </c>
      <c r="C11" s="7">
        <f>Calculations!G92</f>
        <v>0</v>
      </c>
      <c r="D11" s="7">
        <f>Calculations!H92</f>
        <v>0</v>
      </c>
      <c r="E11" s="7">
        <f>Calculations!I92</f>
        <v>0</v>
      </c>
      <c r="F11" s="7">
        <f>Calculations!J92</f>
        <v>0</v>
      </c>
      <c r="G11" s="7">
        <f>Calculations!K92</f>
        <v>0</v>
      </c>
      <c r="H11" s="7">
        <f>Calculations!L92</f>
        <v>0</v>
      </c>
      <c r="I11" s="7">
        <f>Calculations!M92</f>
        <v>0</v>
      </c>
      <c r="J11" s="7">
        <f>Calculations!N92</f>
        <v>0</v>
      </c>
      <c r="K11" s="7">
        <f>Calculations!O92</f>
        <v>0</v>
      </c>
      <c r="L11" s="7">
        <f>Calculations!P92</f>
        <v>0</v>
      </c>
      <c r="M11" s="7">
        <f>Calculations!Q92</f>
        <v>0</v>
      </c>
      <c r="N11" s="7">
        <f>Calculations!R92</f>
        <v>0</v>
      </c>
      <c r="O11" s="7">
        <f>Calculations!S92</f>
        <v>0</v>
      </c>
      <c r="P11" s="7">
        <f>Calculations!T92</f>
        <v>0</v>
      </c>
      <c r="Q11" s="7">
        <f>Calculations!U92</f>
        <v>0</v>
      </c>
      <c r="R11" s="7">
        <f>Calculations!V92</f>
        <v>0</v>
      </c>
      <c r="S11" s="7">
        <f>Calculations!W92</f>
        <v>0</v>
      </c>
      <c r="T11" s="7">
        <f>Calculations!X92</f>
        <v>0</v>
      </c>
      <c r="U11" s="7">
        <f>Calculations!Y92</f>
        <v>0</v>
      </c>
      <c r="V11" s="7">
        <f>Calculations!Z92</f>
        <v>0</v>
      </c>
      <c r="W11" s="7">
        <f>Calculations!AA92</f>
        <v>0</v>
      </c>
      <c r="X11" s="7">
        <f>Calculations!AB92</f>
        <v>0</v>
      </c>
      <c r="Y11" s="7">
        <f>Calculations!AC92</f>
        <v>0</v>
      </c>
      <c r="Z11" s="7">
        <f>Calculations!AD92</f>
        <v>0</v>
      </c>
      <c r="AA11" s="7">
        <f>Calculations!AE92</f>
        <v>0</v>
      </c>
      <c r="AB11" s="7">
        <f>Calculations!AF92</f>
        <v>0</v>
      </c>
    </row>
  </sheetData>
  <pageMargins left="0.7" right="0.7" top="0.75" bottom="0.75" header="0.3" footer="0.3"/>
  <pageSetup orientation="portrait" horizontalDpi="1200" verticalDpi="12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D11"/>
  <sheetViews>
    <sheetView workbookViewId="0"/>
  </sheetViews>
  <sheetFormatPr defaultRowHeight="15" x14ac:dyDescent="0.25"/>
  <cols>
    <col min="1" max="1" width="29.85546875" customWidth="1"/>
    <col min="2" max="28" width="9.5703125" bestFit="1" customWidth="1"/>
  </cols>
  <sheetData>
    <row r="1" spans="1:30" x14ac:dyDescent="0.25">
      <c r="A1" s="1" t="s">
        <v>915</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v>
      </c>
      <c r="B2" s="7">
        <f>Calculations!F96</f>
        <v>35023042095037.641</v>
      </c>
      <c r="C2" s="7">
        <f>Calculations!G96</f>
        <v>34177424350360.238</v>
      </c>
      <c r="D2" s="7">
        <f>Calculations!H96</f>
        <v>34059478992957.172</v>
      </c>
      <c r="E2" s="7">
        <f>Calculations!I96</f>
        <v>34312379260098.758</v>
      </c>
      <c r="F2" s="7">
        <f>Calculations!J96</f>
        <v>34699486764348.738</v>
      </c>
      <c r="G2" s="7">
        <f>Calculations!K96</f>
        <v>35035752529749.859</v>
      </c>
      <c r="H2" s="7">
        <f>Calculations!L96</f>
        <v>34952573949647.855</v>
      </c>
      <c r="I2" s="7">
        <f>Calculations!M96</f>
        <v>34846030599854.285</v>
      </c>
      <c r="J2" s="7">
        <f>Calculations!N96</f>
        <v>34815562940176.48</v>
      </c>
      <c r="K2" s="7">
        <f>Calculations!O96</f>
        <v>34842292236703.633</v>
      </c>
      <c r="L2" s="7">
        <f>Calculations!P96</f>
        <v>34905470573949.645</v>
      </c>
      <c r="M2" s="7">
        <f>Calculations!Q96</f>
        <v>34993882862462.559</v>
      </c>
      <c r="N2" s="7">
        <f>Calculations!R96</f>
        <v>35094631749372.621</v>
      </c>
      <c r="O2" s="7">
        <f>Calculations!S96</f>
        <v>35182857119728.004</v>
      </c>
      <c r="P2" s="7">
        <f>Calculations!T96</f>
        <v>35275755444021.695</v>
      </c>
      <c r="Q2" s="7">
        <f>Calculations!U96</f>
        <v>35402299036671.258</v>
      </c>
      <c r="R2" s="7">
        <f>Calculations!V96</f>
        <v>34960237594106.691</v>
      </c>
      <c r="S2" s="7">
        <f>Calculations!W96</f>
        <v>34596494859548.285</v>
      </c>
      <c r="T2" s="7">
        <f>Calculations!X96</f>
        <v>34335183275317.73</v>
      </c>
      <c r="U2" s="7">
        <f>Calculations!Y96</f>
        <v>34177237432202.703</v>
      </c>
      <c r="V2" s="7">
        <f>Calculations!Z96</f>
        <v>34108264632073.18</v>
      </c>
      <c r="W2" s="7">
        <f>Calculations!AA96</f>
        <v>34090881243422.648</v>
      </c>
      <c r="X2" s="7">
        <f>Calculations!AB96</f>
        <v>34077049299765.238</v>
      </c>
      <c r="Y2" s="7">
        <f>Calculations!AC96</f>
        <v>34056862138751.719</v>
      </c>
      <c r="Z2" s="7">
        <f>Calculations!AD96</f>
        <v>34054992957176.395</v>
      </c>
      <c r="AA2" s="7">
        <f>Calculations!AE96</f>
        <v>34089198980004.855</v>
      </c>
      <c r="AB2" s="7">
        <f>Calculations!AF96</f>
        <v>34129012547559.297</v>
      </c>
    </row>
    <row r="3" spans="1:30" x14ac:dyDescent="0.25">
      <c r="A3" s="1" t="s">
        <v>932</v>
      </c>
      <c r="B3" s="7">
        <f>Calculations!F97</f>
        <v>0</v>
      </c>
      <c r="C3" s="7">
        <f>Calculations!G97</f>
        <v>0</v>
      </c>
      <c r="D3" s="7">
        <f>Calculations!H97</f>
        <v>0</v>
      </c>
      <c r="E3" s="7">
        <f>Calculations!I97</f>
        <v>0</v>
      </c>
      <c r="F3" s="7">
        <f>Calculations!J97</f>
        <v>0</v>
      </c>
      <c r="G3" s="7">
        <f>Calculations!K97</f>
        <v>0</v>
      </c>
      <c r="H3" s="7">
        <f>Calculations!L97</f>
        <v>0</v>
      </c>
      <c r="I3" s="7">
        <f>Calculations!M97</f>
        <v>0</v>
      </c>
      <c r="J3" s="7">
        <f>Calculations!N97</f>
        <v>0</v>
      </c>
      <c r="K3" s="7">
        <f>Calculations!O97</f>
        <v>0</v>
      </c>
      <c r="L3" s="7">
        <f>Calculations!P97</f>
        <v>0</v>
      </c>
      <c r="M3" s="7">
        <f>Calculations!Q97</f>
        <v>0</v>
      </c>
      <c r="N3" s="7">
        <f>Calculations!R97</f>
        <v>0</v>
      </c>
      <c r="O3" s="7">
        <f>Calculations!S97</f>
        <v>0</v>
      </c>
      <c r="P3" s="7">
        <f>Calculations!T97</f>
        <v>0</v>
      </c>
      <c r="Q3" s="7">
        <f>Calculations!U97</f>
        <v>0</v>
      </c>
      <c r="R3" s="7">
        <f>Calculations!V97</f>
        <v>0</v>
      </c>
      <c r="S3" s="7">
        <f>Calculations!W97</f>
        <v>0</v>
      </c>
      <c r="T3" s="7">
        <f>Calculations!X97</f>
        <v>0</v>
      </c>
      <c r="U3" s="7">
        <f>Calculations!Y97</f>
        <v>0</v>
      </c>
      <c r="V3" s="7">
        <f>Calculations!Z97</f>
        <v>0</v>
      </c>
      <c r="W3" s="7">
        <f>Calculations!AA97</f>
        <v>0</v>
      </c>
      <c r="X3" s="7">
        <f>Calculations!AB97</f>
        <v>0</v>
      </c>
      <c r="Y3" s="7">
        <f>Calculations!AC97</f>
        <v>0</v>
      </c>
      <c r="Z3" s="7">
        <f>Calculations!AD97</f>
        <v>0</v>
      </c>
      <c r="AA3" s="7">
        <f>Calculations!AE97</f>
        <v>0</v>
      </c>
      <c r="AB3" s="7">
        <f>Calculations!AF97</f>
        <v>0</v>
      </c>
    </row>
    <row r="4" spans="1:30" x14ac:dyDescent="0.25">
      <c r="A4" s="1" t="s">
        <v>53</v>
      </c>
      <c r="B4" s="7">
        <f>Calculations!F98</f>
        <v>0</v>
      </c>
      <c r="C4" s="7">
        <f>Calculations!G98</f>
        <v>0</v>
      </c>
      <c r="D4" s="7">
        <f>Calculations!H98</f>
        <v>0</v>
      </c>
      <c r="E4" s="7">
        <f>Calculations!I98</f>
        <v>0</v>
      </c>
      <c r="F4" s="7">
        <f>Calculations!J98</f>
        <v>0</v>
      </c>
      <c r="G4" s="7">
        <f>Calculations!K98</f>
        <v>0</v>
      </c>
      <c r="H4" s="7">
        <f>Calculations!L98</f>
        <v>0</v>
      </c>
      <c r="I4" s="7">
        <f>Calculations!M98</f>
        <v>0</v>
      </c>
      <c r="J4" s="7">
        <f>Calculations!N98</f>
        <v>0</v>
      </c>
      <c r="K4" s="7">
        <f>Calculations!O98</f>
        <v>0</v>
      </c>
      <c r="L4" s="7">
        <f>Calculations!P98</f>
        <v>0</v>
      </c>
      <c r="M4" s="7">
        <f>Calculations!Q98</f>
        <v>0</v>
      </c>
      <c r="N4" s="7">
        <f>Calculations!R98</f>
        <v>0</v>
      </c>
      <c r="O4" s="7">
        <f>Calculations!S98</f>
        <v>0</v>
      </c>
      <c r="P4" s="7">
        <f>Calculations!T98</f>
        <v>0</v>
      </c>
      <c r="Q4" s="7">
        <f>Calculations!U98</f>
        <v>0</v>
      </c>
      <c r="R4" s="7">
        <f>Calculations!V98</f>
        <v>0</v>
      </c>
      <c r="S4" s="7">
        <f>Calculations!W98</f>
        <v>0</v>
      </c>
      <c r="T4" s="7">
        <f>Calculations!X98</f>
        <v>0</v>
      </c>
      <c r="U4" s="7">
        <f>Calculations!Y98</f>
        <v>0</v>
      </c>
      <c r="V4" s="7">
        <f>Calculations!Z98</f>
        <v>0</v>
      </c>
      <c r="W4" s="7">
        <f>Calculations!AA98</f>
        <v>0</v>
      </c>
      <c r="X4" s="7">
        <f>Calculations!AB98</f>
        <v>0</v>
      </c>
      <c r="Y4" s="7">
        <f>Calculations!AC98</f>
        <v>0</v>
      </c>
      <c r="Z4" s="7">
        <f>Calculations!AD98</f>
        <v>0</v>
      </c>
      <c r="AA4" s="7">
        <f>Calculations!AE98</f>
        <v>0</v>
      </c>
      <c r="AB4" s="7">
        <f>Calculations!AF98</f>
        <v>0</v>
      </c>
    </row>
    <row r="5" spans="1:30" x14ac:dyDescent="0.25">
      <c r="A5" s="1" t="s">
        <v>68</v>
      </c>
      <c r="B5" s="7">
        <f>Calculations!F99</f>
        <v>0</v>
      </c>
      <c r="C5" s="7">
        <f>Calculations!G99</f>
        <v>0</v>
      </c>
      <c r="D5" s="7">
        <f>Calculations!H99</f>
        <v>0</v>
      </c>
      <c r="E5" s="7">
        <f>Calculations!I99</f>
        <v>0</v>
      </c>
      <c r="F5" s="7">
        <f>Calculations!J99</f>
        <v>0</v>
      </c>
      <c r="G5" s="7">
        <f>Calculations!K99</f>
        <v>0</v>
      </c>
      <c r="H5" s="7">
        <f>Calculations!L99</f>
        <v>0</v>
      </c>
      <c r="I5" s="7">
        <f>Calculations!M99</f>
        <v>0</v>
      </c>
      <c r="J5" s="7">
        <f>Calculations!N99</f>
        <v>0</v>
      </c>
      <c r="K5" s="7">
        <f>Calculations!O99</f>
        <v>0</v>
      </c>
      <c r="L5" s="7">
        <f>Calculations!P99</f>
        <v>0</v>
      </c>
      <c r="M5" s="7">
        <f>Calculations!Q99</f>
        <v>0</v>
      </c>
      <c r="N5" s="7">
        <f>Calculations!R99</f>
        <v>0</v>
      </c>
      <c r="O5" s="7">
        <f>Calculations!S99</f>
        <v>0</v>
      </c>
      <c r="P5" s="7">
        <f>Calculations!T99</f>
        <v>0</v>
      </c>
      <c r="Q5" s="7">
        <f>Calculations!U99</f>
        <v>0</v>
      </c>
      <c r="R5" s="7">
        <f>Calculations!V99</f>
        <v>0</v>
      </c>
      <c r="S5" s="7">
        <f>Calculations!W99</f>
        <v>0</v>
      </c>
      <c r="T5" s="7">
        <f>Calculations!X99</f>
        <v>0</v>
      </c>
      <c r="U5" s="7">
        <f>Calculations!Y99</f>
        <v>0</v>
      </c>
      <c r="V5" s="7">
        <f>Calculations!Z99</f>
        <v>0</v>
      </c>
      <c r="W5" s="7">
        <f>Calculations!AA99</f>
        <v>0</v>
      </c>
      <c r="X5" s="7">
        <f>Calculations!AB99</f>
        <v>0</v>
      </c>
      <c r="Y5" s="7">
        <f>Calculations!AC99</f>
        <v>0</v>
      </c>
      <c r="Z5" s="7">
        <f>Calculations!AD99</f>
        <v>0</v>
      </c>
      <c r="AA5" s="7">
        <f>Calculations!AE99</f>
        <v>0</v>
      </c>
      <c r="AB5" s="7">
        <f>Calculations!AF99</f>
        <v>0</v>
      </c>
    </row>
    <row r="6" spans="1:30" x14ac:dyDescent="0.25">
      <c r="A6" s="1" t="s">
        <v>933</v>
      </c>
      <c r="B6" s="7">
        <f>Calculations!F100</f>
        <v>0</v>
      </c>
      <c r="C6" s="7">
        <f>Calculations!G100</f>
        <v>0</v>
      </c>
      <c r="D6" s="7">
        <f>Calculations!H100</f>
        <v>0</v>
      </c>
      <c r="E6" s="7">
        <f>Calculations!I100</f>
        <v>0</v>
      </c>
      <c r="F6" s="7">
        <f>Calculations!J100</f>
        <v>0</v>
      </c>
      <c r="G6" s="7">
        <f>Calculations!K100</f>
        <v>0</v>
      </c>
      <c r="H6" s="7">
        <f>Calculations!L100</f>
        <v>0</v>
      </c>
      <c r="I6" s="7">
        <f>Calculations!M100</f>
        <v>0</v>
      </c>
      <c r="J6" s="7">
        <f>Calculations!N100</f>
        <v>0</v>
      </c>
      <c r="K6" s="7">
        <f>Calculations!O100</f>
        <v>0</v>
      </c>
      <c r="L6" s="7">
        <f>Calculations!P100</f>
        <v>0</v>
      </c>
      <c r="M6" s="7">
        <f>Calculations!Q100</f>
        <v>0</v>
      </c>
      <c r="N6" s="7">
        <f>Calculations!R100</f>
        <v>0</v>
      </c>
      <c r="O6" s="7">
        <f>Calculations!S100</f>
        <v>0</v>
      </c>
      <c r="P6" s="7">
        <f>Calculations!T100</f>
        <v>0</v>
      </c>
      <c r="Q6" s="7">
        <f>Calculations!U100</f>
        <v>0</v>
      </c>
      <c r="R6" s="7">
        <f>Calculations!V100</f>
        <v>0</v>
      </c>
      <c r="S6" s="7">
        <f>Calculations!W100</f>
        <v>0</v>
      </c>
      <c r="T6" s="7">
        <f>Calculations!X100</f>
        <v>0</v>
      </c>
      <c r="U6" s="7">
        <f>Calculations!Y100</f>
        <v>0</v>
      </c>
      <c r="V6" s="7">
        <f>Calculations!Z100</f>
        <v>0</v>
      </c>
      <c r="W6" s="7">
        <f>Calculations!AA100</f>
        <v>0</v>
      </c>
      <c r="X6" s="7">
        <f>Calculations!AB100</f>
        <v>0</v>
      </c>
      <c r="Y6" s="7">
        <f>Calculations!AC100</f>
        <v>0</v>
      </c>
      <c r="Z6" s="7">
        <f>Calculations!AD100</f>
        <v>0</v>
      </c>
      <c r="AA6" s="7">
        <f>Calculations!AE100</f>
        <v>0</v>
      </c>
      <c r="AB6" s="7">
        <f>Calculations!AF100</f>
        <v>0</v>
      </c>
    </row>
    <row r="7" spans="1:30" x14ac:dyDescent="0.25">
      <c r="A7" s="1" t="s">
        <v>88</v>
      </c>
      <c r="B7" s="7">
        <f>Calculations!F101</f>
        <v>0</v>
      </c>
      <c r="C7" s="7">
        <f>Calculations!G101</f>
        <v>0</v>
      </c>
      <c r="D7" s="7">
        <f>Calculations!H101</f>
        <v>0</v>
      </c>
      <c r="E7" s="7">
        <f>Calculations!I101</f>
        <v>0</v>
      </c>
      <c r="F7" s="7">
        <f>Calculations!J101</f>
        <v>0</v>
      </c>
      <c r="G7" s="7">
        <f>Calculations!K101</f>
        <v>0</v>
      </c>
      <c r="H7" s="7">
        <f>Calculations!L101</f>
        <v>0</v>
      </c>
      <c r="I7" s="7">
        <f>Calculations!M101</f>
        <v>0</v>
      </c>
      <c r="J7" s="7">
        <f>Calculations!N101</f>
        <v>0</v>
      </c>
      <c r="K7" s="7">
        <f>Calculations!O101</f>
        <v>0</v>
      </c>
      <c r="L7" s="7">
        <f>Calculations!P101</f>
        <v>0</v>
      </c>
      <c r="M7" s="7">
        <f>Calculations!Q101</f>
        <v>0</v>
      </c>
      <c r="N7" s="7">
        <f>Calculations!R101</f>
        <v>0</v>
      </c>
      <c r="O7" s="7">
        <f>Calculations!S101</f>
        <v>0</v>
      </c>
      <c r="P7" s="7">
        <f>Calculations!T101</f>
        <v>0</v>
      </c>
      <c r="Q7" s="7">
        <f>Calculations!U101</f>
        <v>0</v>
      </c>
      <c r="R7" s="7">
        <f>Calculations!V101</f>
        <v>0</v>
      </c>
      <c r="S7" s="7">
        <f>Calculations!W101</f>
        <v>0</v>
      </c>
      <c r="T7" s="7">
        <f>Calculations!X101</f>
        <v>0</v>
      </c>
      <c r="U7" s="7">
        <f>Calculations!Y101</f>
        <v>0</v>
      </c>
      <c r="V7" s="7">
        <f>Calculations!Z101</f>
        <v>0</v>
      </c>
      <c r="W7" s="7">
        <f>Calculations!AA101</f>
        <v>0</v>
      </c>
      <c r="X7" s="7">
        <f>Calculations!AB101</f>
        <v>0</v>
      </c>
      <c r="Y7" s="7">
        <f>Calculations!AC101</f>
        <v>0</v>
      </c>
      <c r="Z7" s="7">
        <f>Calculations!AD101</f>
        <v>0</v>
      </c>
      <c r="AA7" s="7">
        <f>Calculations!AE101</f>
        <v>0</v>
      </c>
      <c r="AB7" s="7">
        <f>Calculations!AF101</f>
        <v>0</v>
      </c>
    </row>
    <row r="8" spans="1:30" x14ac:dyDescent="0.25">
      <c r="A8" s="1" t="s">
        <v>934</v>
      </c>
      <c r="B8" s="7">
        <f>Calculations!F102</f>
        <v>0</v>
      </c>
      <c r="C8" s="7">
        <f>Calculations!G102</f>
        <v>0</v>
      </c>
      <c r="D8" s="7">
        <f>Calculations!H102</f>
        <v>0</v>
      </c>
      <c r="E8" s="7">
        <f>Calculations!I102</f>
        <v>0</v>
      </c>
      <c r="F8" s="7">
        <f>Calculations!J102</f>
        <v>0</v>
      </c>
      <c r="G8" s="7">
        <f>Calculations!K102</f>
        <v>0</v>
      </c>
      <c r="H8" s="7">
        <f>Calculations!L102</f>
        <v>0</v>
      </c>
      <c r="I8" s="7">
        <f>Calculations!M102</f>
        <v>0</v>
      </c>
      <c r="J8" s="7">
        <f>Calculations!N102</f>
        <v>0</v>
      </c>
      <c r="K8" s="7">
        <f>Calculations!O102</f>
        <v>0</v>
      </c>
      <c r="L8" s="7">
        <f>Calculations!P102</f>
        <v>0</v>
      </c>
      <c r="M8" s="7">
        <f>Calculations!Q102</f>
        <v>0</v>
      </c>
      <c r="N8" s="7">
        <f>Calculations!R102</f>
        <v>0</v>
      </c>
      <c r="O8" s="7">
        <f>Calculations!S102</f>
        <v>0</v>
      </c>
      <c r="P8" s="7">
        <f>Calculations!T102</f>
        <v>0</v>
      </c>
      <c r="Q8" s="7">
        <f>Calculations!U102</f>
        <v>0</v>
      </c>
      <c r="R8" s="7">
        <f>Calculations!V102</f>
        <v>0</v>
      </c>
      <c r="S8" s="7">
        <f>Calculations!W102</f>
        <v>0</v>
      </c>
      <c r="T8" s="7">
        <f>Calculations!X102</f>
        <v>0</v>
      </c>
      <c r="U8" s="7">
        <f>Calculations!Y102</f>
        <v>0</v>
      </c>
      <c r="V8" s="7">
        <f>Calculations!Z102</f>
        <v>0</v>
      </c>
      <c r="W8" s="7">
        <f>Calculations!AA102</f>
        <v>0</v>
      </c>
      <c r="X8" s="7">
        <f>Calculations!AB102</f>
        <v>0</v>
      </c>
      <c r="Y8" s="7">
        <f>Calculations!AC102</f>
        <v>0</v>
      </c>
      <c r="Z8" s="7">
        <f>Calculations!AD102</f>
        <v>0</v>
      </c>
      <c r="AA8" s="7">
        <f>Calculations!AE102</f>
        <v>0</v>
      </c>
      <c r="AB8" s="7">
        <f>Calculations!AF102</f>
        <v>0</v>
      </c>
    </row>
    <row r="9" spans="1:30" x14ac:dyDescent="0.25">
      <c r="A9" s="1" t="s">
        <v>935</v>
      </c>
      <c r="B9" s="7">
        <f>Calculations!F103</f>
        <v>0</v>
      </c>
      <c r="C9" s="7">
        <f>Calculations!G103</f>
        <v>0</v>
      </c>
      <c r="D9" s="7">
        <f>Calculations!H103</f>
        <v>0</v>
      </c>
      <c r="E9" s="7">
        <f>Calculations!I103</f>
        <v>0</v>
      </c>
      <c r="F9" s="7">
        <f>Calculations!J103</f>
        <v>0</v>
      </c>
      <c r="G9" s="7">
        <f>Calculations!K103</f>
        <v>0</v>
      </c>
      <c r="H9" s="7">
        <f>Calculations!L103</f>
        <v>0</v>
      </c>
      <c r="I9" s="7">
        <f>Calculations!M103</f>
        <v>0</v>
      </c>
      <c r="J9" s="7">
        <f>Calculations!N103</f>
        <v>0</v>
      </c>
      <c r="K9" s="7">
        <f>Calculations!O103</f>
        <v>0</v>
      </c>
      <c r="L9" s="7">
        <f>Calculations!P103</f>
        <v>0</v>
      </c>
      <c r="M9" s="7">
        <f>Calculations!Q103</f>
        <v>0</v>
      </c>
      <c r="N9" s="7">
        <f>Calculations!R103</f>
        <v>0</v>
      </c>
      <c r="O9" s="7">
        <f>Calculations!S103</f>
        <v>0</v>
      </c>
      <c r="P9" s="7">
        <f>Calculations!T103</f>
        <v>0</v>
      </c>
      <c r="Q9" s="7">
        <f>Calculations!U103</f>
        <v>0</v>
      </c>
      <c r="R9" s="7">
        <f>Calculations!V103</f>
        <v>0</v>
      </c>
      <c r="S9" s="7">
        <f>Calculations!W103</f>
        <v>0</v>
      </c>
      <c r="T9" s="7">
        <f>Calculations!X103</f>
        <v>0</v>
      </c>
      <c r="U9" s="7">
        <f>Calculations!Y103</f>
        <v>0</v>
      </c>
      <c r="V9" s="7">
        <f>Calculations!Z103</f>
        <v>0</v>
      </c>
      <c r="W9" s="7">
        <f>Calculations!AA103</f>
        <v>0</v>
      </c>
      <c r="X9" s="7">
        <f>Calculations!AB103</f>
        <v>0</v>
      </c>
      <c r="Y9" s="7">
        <f>Calculations!AC103</f>
        <v>0</v>
      </c>
      <c r="Z9" s="7">
        <f>Calculations!AD103</f>
        <v>0</v>
      </c>
      <c r="AA9" s="7">
        <f>Calculations!AE103</f>
        <v>0</v>
      </c>
      <c r="AB9" s="7">
        <f>Calculations!AF103</f>
        <v>0</v>
      </c>
    </row>
    <row r="10" spans="1:30" x14ac:dyDescent="0.25">
      <c r="A10" s="1" t="s">
        <v>77</v>
      </c>
      <c r="B10" s="7">
        <f>Calculations!F104</f>
        <v>0</v>
      </c>
      <c r="C10" s="7">
        <f>Calculations!G104</f>
        <v>0</v>
      </c>
      <c r="D10" s="7">
        <f>Calculations!H104</f>
        <v>0</v>
      </c>
      <c r="E10" s="7">
        <f>Calculations!I104</f>
        <v>0</v>
      </c>
      <c r="F10" s="7">
        <f>Calculations!J104</f>
        <v>0</v>
      </c>
      <c r="G10" s="7">
        <f>Calculations!K104</f>
        <v>0</v>
      </c>
      <c r="H10" s="7">
        <f>Calculations!L104</f>
        <v>0</v>
      </c>
      <c r="I10" s="7">
        <f>Calculations!M104</f>
        <v>0</v>
      </c>
      <c r="J10" s="7">
        <f>Calculations!N104</f>
        <v>0</v>
      </c>
      <c r="K10" s="7">
        <f>Calculations!O104</f>
        <v>0</v>
      </c>
      <c r="L10" s="7">
        <f>Calculations!P104</f>
        <v>0</v>
      </c>
      <c r="M10" s="7">
        <f>Calculations!Q104</f>
        <v>0</v>
      </c>
      <c r="N10" s="7">
        <f>Calculations!R104</f>
        <v>0</v>
      </c>
      <c r="O10" s="7">
        <f>Calculations!S104</f>
        <v>0</v>
      </c>
      <c r="P10" s="7">
        <f>Calculations!T104</f>
        <v>0</v>
      </c>
      <c r="Q10" s="7">
        <f>Calculations!U104</f>
        <v>0</v>
      </c>
      <c r="R10" s="7">
        <f>Calculations!V104</f>
        <v>0</v>
      </c>
      <c r="S10" s="7">
        <f>Calculations!W104</f>
        <v>0</v>
      </c>
      <c r="T10" s="7">
        <f>Calculations!X104</f>
        <v>0</v>
      </c>
      <c r="U10" s="7">
        <f>Calculations!Y104</f>
        <v>0</v>
      </c>
      <c r="V10" s="7">
        <f>Calculations!Z104</f>
        <v>0</v>
      </c>
      <c r="W10" s="7">
        <f>Calculations!AA104</f>
        <v>0</v>
      </c>
      <c r="X10" s="7">
        <f>Calculations!AB104</f>
        <v>0</v>
      </c>
      <c r="Y10" s="7">
        <f>Calculations!AC104</f>
        <v>0</v>
      </c>
      <c r="Z10" s="7">
        <f>Calculations!AD104</f>
        <v>0</v>
      </c>
      <c r="AA10" s="7">
        <f>Calculations!AE104</f>
        <v>0</v>
      </c>
      <c r="AB10" s="7">
        <f>Calculations!AF104</f>
        <v>0</v>
      </c>
    </row>
    <row r="11" spans="1:30" x14ac:dyDescent="0.25">
      <c r="A11" s="1" t="s">
        <v>936</v>
      </c>
      <c r="B11" s="7">
        <f>Calculations!F105</f>
        <v>0</v>
      </c>
      <c r="C11" s="7">
        <f>Calculations!G105</f>
        <v>0</v>
      </c>
      <c r="D11" s="7">
        <f>Calculations!H105</f>
        <v>0</v>
      </c>
      <c r="E11" s="7">
        <f>Calculations!I105</f>
        <v>0</v>
      </c>
      <c r="F11" s="7">
        <f>Calculations!J105</f>
        <v>0</v>
      </c>
      <c r="G11" s="7">
        <f>Calculations!K105</f>
        <v>0</v>
      </c>
      <c r="H11" s="7">
        <f>Calculations!L105</f>
        <v>0</v>
      </c>
      <c r="I11" s="7">
        <f>Calculations!M105</f>
        <v>0</v>
      </c>
      <c r="J11" s="7">
        <f>Calculations!N105</f>
        <v>0</v>
      </c>
      <c r="K11" s="7">
        <f>Calculations!O105</f>
        <v>0</v>
      </c>
      <c r="L11" s="7">
        <f>Calculations!P105</f>
        <v>0</v>
      </c>
      <c r="M11" s="7">
        <f>Calculations!Q105</f>
        <v>0</v>
      </c>
      <c r="N11" s="7">
        <f>Calculations!R105</f>
        <v>0</v>
      </c>
      <c r="O11" s="7">
        <f>Calculations!S105</f>
        <v>0</v>
      </c>
      <c r="P11" s="7">
        <f>Calculations!T105</f>
        <v>0</v>
      </c>
      <c r="Q11" s="7">
        <f>Calculations!U105</f>
        <v>0</v>
      </c>
      <c r="R11" s="7">
        <f>Calculations!V105</f>
        <v>0</v>
      </c>
      <c r="S11" s="7">
        <f>Calculations!W105</f>
        <v>0</v>
      </c>
      <c r="T11" s="7">
        <f>Calculations!X105</f>
        <v>0</v>
      </c>
      <c r="U11" s="7">
        <f>Calculations!Y105</f>
        <v>0</v>
      </c>
      <c r="V11" s="7">
        <f>Calculations!Z105</f>
        <v>0</v>
      </c>
      <c r="W11" s="7">
        <f>Calculations!AA105</f>
        <v>0</v>
      </c>
      <c r="X11" s="7">
        <f>Calculations!AB105</f>
        <v>0</v>
      </c>
      <c r="Y11" s="7">
        <f>Calculations!AC105</f>
        <v>0</v>
      </c>
      <c r="Z11" s="7">
        <f>Calculations!AD105</f>
        <v>0</v>
      </c>
      <c r="AA11" s="7">
        <f>Calculations!AE105</f>
        <v>0</v>
      </c>
      <c r="AB11" s="7">
        <f>Calculations!AF105</f>
        <v>0</v>
      </c>
    </row>
  </sheetData>
  <pageMargins left="0.7" right="0.7" top="0.75" bottom="0.75" header="0.3" footer="0.3"/>
  <pageSetup orientation="portrait" horizontalDpi="1200" verticalDpi="12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D11"/>
  <sheetViews>
    <sheetView workbookViewId="0"/>
  </sheetViews>
  <sheetFormatPr defaultRowHeight="15" x14ac:dyDescent="0.25"/>
  <cols>
    <col min="1" max="1" width="29.85546875" customWidth="1"/>
    <col min="2" max="26" width="9.5703125" bestFit="1" customWidth="1"/>
    <col min="27" max="27" width="10.28515625" bestFit="1" customWidth="1"/>
    <col min="28" max="28" width="9.5703125" bestFit="1" customWidth="1"/>
  </cols>
  <sheetData>
    <row r="1" spans="1:30" x14ac:dyDescent="0.25">
      <c r="A1" s="1" t="s">
        <v>915</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v>
      </c>
      <c r="B2" s="7">
        <f>Calculations!F109</f>
        <v>231978517768962.97</v>
      </c>
      <c r="C2" s="7">
        <f>Calculations!G109</f>
        <v>227656969966809.69</v>
      </c>
      <c r="D2" s="7">
        <f>Calculations!H109</f>
        <v>226263868938719.34</v>
      </c>
      <c r="E2" s="7">
        <f>Calculations!I109</f>
        <v>225227781591516.25</v>
      </c>
      <c r="F2" s="7">
        <f>Calculations!J109</f>
        <v>224352817696106.19</v>
      </c>
      <c r="G2" s="7">
        <f>Calculations!K109</f>
        <v>221121563506840.44</v>
      </c>
      <c r="H2" s="7">
        <f>Calculations!L109</f>
        <v>216324682830081.75</v>
      </c>
      <c r="I2" s="7">
        <f>Calculations!M109</f>
        <v>211213405812353.25</v>
      </c>
      <c r="J2" s="7">
        <f>Calculations!N109</f>
        <v>206357832834129.38</v>
      </c>
      <c r="K2" s="7">
        <f>Calculations!O109</f>
        <v>201982826438921.72</v>
      </c>
      <c r="L2" s="7">
        <f>Calculations!P109</f>
        <v>198090629644620.75</v>
      </c>
      <c r="M2" s="7">
        <f>Calculations!Q109</f>
        <v>194683859305431.88</v>
      </c>
      <c r="N2" s="7">
        <f>Calculations!R109</f>
        <v>191841394883833.91</v>
      </c>
      <c r="O2" s="7">
        <f>Calculations!S109</f>
        <v>189533329474621.5</v>
      </c>
      <c r="P2" s="7">
        <f>Calculations!T109</f>
        <v>187788261555897.31</v>
      </c>
      <c r="Q2" s="7">
        <f>Calculations!U109</f>
        <v>186587499311908.03</v>
      </c>
      <c r="R2" s="7">
        <f>Calculations!V109</f>
        <v>185872163523030.81</v>
      </c>
      <c r="S2" s="7">
        <f>Calculations!W109</f>
        <v>185647674815834.22</v>
      </c>
      <c r="T2" s="7">
        <f>Calculations!X109</f>
        <v>185829733101270.91</v>
      </c>
      <c r="U2" s="7">
        <f>Calculations!Y109</f>
        <v>186442637739820.28</v>
      </c>
      <c r="V2" s="7">
        <f>Calculations!Z109</f>
        <v>187129001214279.94</v>
      </c>
      <c r="W2" s="7">
        <f>Calculations!AA109</f>
        <v>187924151056423.53</v>
      </c>
      <c r="X2" s="7">
        <f>Calculations!AB109</f>
        <v>188789955962114.44</v>
      </c>
      <c r="Y2" s="7">
        <f>Calculations!AC109</f>
        <v>189707911033757</v>
      </c>
      <c r="Z2" s="7">
        <f>Calculations!AD109</f>
        <v>190616894033837.91</v>
      </c>
      <c r="AA2" s="7">
        <f>Calculations!AE109</f>
        <v>191590176880110.09</v>
      </c>
      <c r="AB2" s="7">
        <f>Calculations!AF109</f>
        <v>192593740467902.53</v>
      </c>
    </row>
    <row r="3" spans="1:30" x14ac:dyDescent="0.25">
      <c r="A3" s="1" t="s">
        <v>932</v>
      </c>
      <c r="B3" s="7">
        <f>Calculations!F110</f>
        <v>0</v>
      </c>
      <c r="C3" s="7">
        <f>Calculations!G110</f>
        <v>0</v>
      </c>
      <c r="D3" s="7">
        <f>Calculations!H110</f>
        <v>0</v>
      </c>
      <c r="E3" s="7">
        <f>Calculations!I110</f>
        <v>0</v>
      </c>
      <c r="F3" s="7">
        <f>Calculations!J110</f>
        <v>0</v>
      </c>
      <c r="G3" s="7">
        <f>Calculations!K110</f>
        <v>0</v>
      </c>
      <c r="H3" s="7">
        <f>Calculations!L110</f>
        <v>0</v>
      </c>
      <c r="I3" s="7">
        <f>Calculations!M110</f>
        <v>0</v>
      </c>
      <c r="J3" s="7">
        <f>Calculations!N110</f>
        <v>0</v>
      </c>
      <c r="K3" s="7">
        <f>Calculations!O110</f>
        <v>0</v>
      </c>
      <c r="L3" s="7">
        <f>Calculations!P110</f>
        <v>0</v>
      </c>
      <c r="M3" s="7">
        <f>Calculations!Q110</f>
        <v>0</v>
      </c>
      <c r="N3" s="7">
        <f>Calculations!R110</f>
        <v>0</v>
      </c>
      <c r="O3" s="7">
        <f>Calculations!S110</f>
        <v>0</v>
      </c>
      <c r="P3" s="7">
        <f>Calculations!T110</f>
        <v>0</v>
      </c>
      <c r="Q3" s="7">
        <f>Calculations!U110</f>
        <v>0</v>
      </c>
      <c r="R3" s="7">
        <f>Calculations!V110</f>
        <v>0</v>
      </c>
      <c r="S3" s="7">
        <f>Calculations!W110</f>
        <v>0</v>
      </c>
      <c r="T3" s="7">
        <f>Calculations!X110</f>
        <v>0</v>
      </c>
      <c r="U3" s="7">
        <f>Calculations!Y110</f>
        <v>0</v>
      </c>
      <c r="V3" s="7">
        <f>Calculations!Z110</f>
        <v>0</v>
      </c>
      <c r="W3" s="7">
        <f>Calculations!AA110</f>
        <v>0</v>
      </c>
      <c r="X3" s="7">
        <f>Calculations!AB110</f>
        <v>0</v>
      </c>
      <c r="Y3" s="7">
        <f>Calculations!AC110</f>
        <v>0</v>
      </c>
      <c r="Z3" s="7">
        <f>Calculations!AD110</f>
        <v>0</v>
      </c>
      <c r="AA3" s="7">
        <f>Calculations!AE110</f>
        <v>0</v>
      </c>
      <c r="AB3" s="7">
        <f>Calculations!AF110</f>
        <v>0</v>
      </c>
    </row>
    <row r="4" spans="1:30" x14ac:dyDescent="0.25">
      <c r="A4" s="1" t="s">
        <v>53</v>
      </c>
      <c r="B4" s="7">
        <f>Calculations!F111</f>
        <v>215571776491540.5</v>
      </c>
      <c r="C4" s="7">
        <f>Calculations!G111</f>
        <v>213293804905690.91</v>
      </c>
      <c r="D4" s="7">
        <f>Calculations!H111</f>
        <v>215464111632801.75</v>
      </c>
      <c r="E4" s="7">
        <f>Calculations!I111</f>
        <v>217495725087023.38</v>
      </c>
      <c r="F4" s="7">
        <f>Calculations!J111</f>
        <v>219432944871691.06</v>
      </c>
      <c r="G4" s="7">
        <f>Calculations!K111</f>
        <v>219189203594268.56</v>
      </c>
      <c r="H4" s="7">
        <f>Calculations!L111</f>
        <v>218614056423540.81</v>
      </c>
      <c r="I4" s="7">
        <f>Calculations!M111</f>
        <v>218172929571763.94</v>
      </c>
      <c r="J4" s="7">
        <f>Calculations!N111</f>
        <v>217951057718772.75</v>
      </c>
      <c r="K4" s="7">
        <f>Calculations!O111</f>
        <v>217531800291427.16</v>
      </c>
      <c r="L4" s="7">
        <f>Calculations!P111</f>
        <v>217511052375941.06</v>
      </c>
      <c r="M4" s="7">
        <f>Calculations!Q111</f>
        <v>217798345584068.66</v>
      </c>
      <c r="N4" s="7">
        <f>Calculations!R111</f>
        <v>218006759329717.44</v>
      </c>
      <c r="O4" s="7">
        <f>Calculations!S111</f>
        <v>218035731644135.03</v>
      </c>
      <c r="P4" s="7">
        <f>Calculations!T111</f>
        <v>218023208127580.34</v>
      </c>
      <c r="Q4" s="7">
        <f>Calculations!U111</f>
        <v>217928440621711.28</v>
      </c>
      <c r="R4" s="7">
        <f>Calculations!V111</f>
        <v>217787130494616.69</v>
      </c>
      <c r="S4" s="7">
        <f>Calculations!W111</f>
        <v>217532547964057.28</v>
      </c>
      <c r="T4" s="7">
        <f>Calculations!X111</f>
        <v>217293292722415.63</v>
      </c>
      <c r="U4" s="7">
        <f>Calculations!Y111</f>
        <v>217001139642192.16</v>
      </c>
      <c r="V4" s="7">
        <f>Calculations!Z111</f>
        <v>216645434388407.66</v>
      </c>
      <c r="W4" s="7">
        <f>Calculations!AA111</f>
        <v>216158512588035.28</v>
      </c>
      <c r="X4" s="7">
        <f>Calculations!AB111</f>
        <v>215472896786205.75</v>
      </c>
      <c r="Y4" s="7">
        <f>Calculations!AC111</f>
        <v>214639802558083.03</v>
      </c>
      <c r="Z4" s="7">
        <f>Calculations!AD111</f>
        <v>213771380798186.63</v>
      </c>
      <c r="AA4" s="7">
        <f>Calculations!AE111</f>
        <v>212958286812919.94</v>
      </c>
      <c r="AB4" s="7">
        <f>Calculations!AF111</f>
        <v>212279213146604.06</v>
      </c>
    </row>
    <row r="5" spans="1:30" x14ac:dyDescent="0.25">
      <c r="A5" s="1" t="s">
        <v>68</v>
      </c>
      <c r="B5" s="7">
        <f>Calculations!F112</f>
        <v>7529063385412.4512</v>
      </c>
      <c r="C5" s="7">
        <f>Calculations!G112</f>
        <v>7076160689711.002</v>
      </c>
      <c r="D5" s="7">
        <f>Calculations!H112</f>
        <v>6705688901481.4209</v>
      </c>
      <c r="E5" s="7">
        <f>Calculations!I112</f>
        <v>6311291589087.6709</v>
      </c>
      <c r="F5" s="7">
        <f>Calculations!J112</f>
        <v>5936520683234.8408</v>
      </c>
      <c r="G5" s="7">
        <f>Calculations!K112</f>
        <v>5574273293936.6953</v>
      </c>
      <c r="H5" s="7">
        <f>Calculations!L112</f>
        <v>5267914433740.792</v>
      </c>
      <c r="I5" s="7">
        <f>Calculations!M112</f>
        <v>5003985995304.7842</v>
      </c>
      <c r="J5" s="7">
        <f>Calculations!N112</f>
        <v>4789403950457.3789</v>
      </c>
      <c r="K5" s="7">
        <f>Calculations!O112</f>
        <v>4619121508945.1953</v>
      </c>
      <c r="L5" s="7">
        <f>Calculations!P112</f>
        <v>4500054642596.9395</v>
      </c>
      <c r="M5" s="7">
        <f>Calculations!Q112</f>
        <v>4425474297741.4385</v>
      </c>
      <c r="N5" s="7">
        <f>Calculations!R112</f>
        <v>4342856472112.0376</v>
      </c>
      <c r="O5" s="7">
        <f>Calculations!S112</f>
        <v>4257621792277.1792</v>
      </c>
      <c r="P5" s="7">
        <f>Calculations!T112</f>
        <v>4169957176394.3975</v>
      </c>
      <c r="Q5" s="7">
        <f>Calculations!U112</f>
        <v>4081171051566.4209</v>
      </c>
      <c r="R5" s="7">
        <f>Calculations!V112</f>
        <v>3991450335950.7817</v>
      </c>
      <c r="S5" s="7">
        <f>Calculations!W112</f>
        <v>3899486602444.75</v>
      </c>
      <c r="T5" s="7">
        <f>Calculations!X112</f>
        <v>3806962114466.1216</v>
      </c>
      <c r="U5" s="7">
        <f>Calculations!Y112</f>
        <v>3714063790172.4277</v>
      </c>
      <c r="V5" s="7">
        <f>Calculations!Z112</f>
        <v>3620978547721.2012</v>
      </c>
      <c r="W5" s="7">
        <f>Calculations!AA112</f>
        <v>3527145632639.8447</v>
      </c>
      <c r="X5" s="7">
        <f>Calculations!AB112</f>
        <v>3434060390188.6182</v>
      </c>
      <c r="Y5" s="7">
        <f>Calculations!AC112</f>
        <v>3342283574840.1201</v>
      </c>
      <c r="Z5" s="7">
        <f>Calculations!AD112</f>
        <v>3252562859224.48</v>
      </c>
      <c r="AA5" s="7">
        <f>Calculations!AE112</f>
        <v>3166393588601.959</v>
      </c>
      <c r="AB5" s="7">
        <f>Calculations!AF112</f>
        <v>3085831862705.4155</v>
      </c>
    </row>
    <row r="6" spans="1:30" x14ac:dyDescent="0.25">
      <c r="A6" s="1" t="s">
        <v>933</v>
      </c>
      <c r="B6" s="7">
        <f>Calculations!F113</f>
        <v>0</v>
      </c>
      <c r="C6" s="7">
        <f>Calculations!G113</f>
        <v>0</v>
      </c>
      <c r="D6" s="7">
        <f>Calculations!H113</f>
        <v>0</v>
      </c>
      <c r="E6" s="7">
        <f>Calculations!I113</f>
        <v>0</v>
      </c>
      <c r="F6" s="7">
        <f>Calculations!J113</f>
        <v>0</v>
      </c>
      <c r="G6" s="7">
        <f>Calculations!K113</f>
        <v>0</v>
      </c>
      <c r="H6" s="7">
        <f>Calculations!L113</f>
        <v>0</v>
      </c>
      <c r="I6" s="7">
        <f>Calculations!M113</f>
        <v>0</v>
      </c>
      <c r="J6" s="7">
        <f>Calculations!N113</f>
        <v>0</v>
      </c>
      <c r="K6" s="7">
        <f>Calculations!O113</f>
        <v>0</v>
      </c>
      <c r="L6" s="7">
        <f>Calculations!P113</f>
        <v>0</v>
      </c>
      <c r="M6" s="7">
        <f>Calculations!Q113</f>
        <v>0</v>
      </c>
      <c r="N6" s="7">
        <f>Calculations!R113</f>
        <v>0</v>
      </c>
      <c r="O6" s="7">
        <f>Calculations!S113</f>
        <v>0</v>
      </c>
      <c r="P6" s="7">
        <f>Calculations!T113</f>
        <v>0</v>
      </c>
      <c r="Q6" s="7">
        <f>Calculations!U113</f>
        <v>0</v>
      </c>
      <c r="R6" s="7">
        <f>Calculations!V113</f>
        <v>0</v>
      </c>
      <c r="S6" s="7">
        <f>Calculations!W113</f>
        <v>0</v>
      </c>
      <c r="T6" s="7">
        <f>Calculations!X113</f>
        <v>0</v>
      </c>
      <c r="U6" s="7">
        <f>Calculations!Y113</f>
        <v>0</v>
      </c>
      <c r="V6" s="7">
        <f>Calculations!Z113</f>
        <v>0</v>
      </c>
      <c r="W6" s="7">
        <f>Calculations!AA113</f>
        <v>0</v>
      </c>
      <c r="X6" s="7">
        <f>Calculations!AB113</f>
        <v>0</v>
      </c>
      <c r="Y6" s="7">
        <f>Calculations!AC113</f>
        <v>0</v>
      </c>
      <c r="Z6" s="7">
        <f>Calculations!AD113</f>
        <v>0</v>
      </c>
      <c r="AA6" s="7">
        <f>Calculations!AE113</f>
        <v>0</v>
      </c>
      <c r="AB6" s="7">
        <f>Calculations!AF113</f>
        <v>0</v>
      </c>
    </row>
    <row r="7" spans="1:30" x14ac:dyDescent="0.25">
      <c r="A7" s="1" t="s">
        <v>88</v>
      </c>
      <c r="B7" s="7">
        <f>Calculations!F114</f>
        <v>0</v>
      </c>
      <c r="C7" s="7">
        <f>Calculations!G114</f>
        <v>0</v>
      </c>
      <c r="D7" s="7">
        <f>Calculations!H114</f>
        <v>0</v>
      </c>
      <c r="E7" s="7">
        <f>Calculations!I114</f>
        <v>0</v>
      </c>
      <c r="F7" s="7">
        <f>Calculations!J114</f>
        <v>0</v>
      </c>
      <c r="G7" s="7">
        <f>Calculations!K114</f>
        <v>0</v>
      </c>
      <c r="H7" s="7">
        <f>Calculations!L114</f>
        <v>0</v>
      </c>
      <c r="I7" s="7">
        <f>Calculations!M114</f>
        <v>0</v>
      </c>
      <c r="J7" s="7">
        <f>Calculations!N114</f>
        <v>0</v>
      </c>
      <c r="K7" s="7">
        <f>Calculations!O114</f>
        <v>0</v>
      </c>
      <c r="L7" s="7">
        <f>Calculations!P114</f>
        <v>0</v>
      </c>
      <c r="M7" s="7">
        <f>Calculations!Q114</f>
        <v>0</v>
      </c>
      <c r="N7" s="7">
        <f>Calculations!R114</f>
        <v>0</v>
      </c>
      <c r="O7" s="7">
        <f>Calculations!S114</f>
        <v>0</v>
      </c>
      <c r="P7" s="7">
        <f>Calculations!T114</f>
        <v>0</v>
      </c>
      <c r="Q7" s="7">
        <f>Calculations!U114</f>
        <v>0</v>
      </c>
      <c r="R7" s="7">
        <f>Calculations!V114</f>
        <v>0</v>
      </c>
      <c r="S7" s="7">
        <f>Calculations!W114</f>
        <v>0</v>
      </c>
      <c r="T7" s="7">
        <f>Calculations!X114</f>
        <v>0</v>
      </c>
      <c r="U7" s="7">
        <f>Calculations!Y114</f>
        <v>0</v>
      </c>
      <c r="V7" s="7">
        <f>Calculations!Z114</f>
        <v>0</v>
      </c>
      <c r="W7" s="7">
        <f>Calculations!AA114</f>
        <v>0</v>
      </c>
      <c r="X7" s="7">
        <f>Calculations!AB114</f>
        <v>0</v>
      </c>
      <c r="Y7" s="7">
        <f>Calculations!AC114</f>
        <v>0</v>
      </c>
      <c r="Z7" s="7">
        <f>Calculations!AD114</f>
        <v>0</v>
      </c>
      <c r="AA7" s="7">
        <f>Calculations!AE114</f>
        <v>0</v>
      </c>
      <c r="AB7" s="7">
        <f>Calculations!AF114</f>
        <v>0</v>
      </c>
    </row>
    <row r="8" spans="1:30" x14ac:dyDescent="0.25">
      <c r="A8" s="1" t="s">
        <v>934</v>
      </c>
      <c r="B8" s="7">
        <f>Calculations!F115</f>
        <v>0</v>
      </c>
      <c r="C8" s="7">
        <f>Calculations!G115</f>
        <v>0</v>
      </c>
      <c r="D8" s="7">
        <f>Calculations!H115</f>
        <v>0</v>
      </c>
      <c r="E8" s="7">
        <f>Calculations!I115</f>
        <v>0</v>
      </c>
      <c r="F8" s="7">
        <f>Calculations!J115</f>
        <v>0</v>
      </c>
      <c r="G8" s="7">
        <f>Calculations!K115</f>
        <v>0</v>
      </c>
      <c r="H8" s="7">
        <f>Calculations!L115</f>
        <v>0</v>
      </c>
      <c r="I8" s="7">
        <f>Calculations!M115</f>
        <v>0</v>
      </c>
      <c r="J8" s="7">
        <f>Calculations!N115</f>
        <v>0</v>
      </c>
      <c r="K8" s="7">
        <f>Calculations!O115</f>
        <v>0</v>
      </c>
      <c r="L8" s="7">
        <f>Calculations!P115</f>
        <v>0</v>
      </c>
      <c r="M8" s="7">
        <f>Calculations!Q115</f>
        <v>0</v>
      </c>
      <c r="N8" s="7">
        <f>Calculations!R115</f>
        <v>0</v>
      </c>
      <c r="O8" s="7">
        <f>Calculations!S115</f>
        <v>0</v>
      </c>
      <c r="P8" s="7">
        <f>Calculations!T115</f>
        <v>0</v>
      </c>
      <c r="Q8" s="7">
        <f>Calculations!U115</f>
        <v>0</v>
      </c>
      <c r="R8" s="7">
        <f>Calculations!V115</f>
        <v>0</v>
      </c>
      <c r="S8" s="7">
        <f>Calculations!W115</f>
        <v>0</v>
      </c>
      <c r="T8" s="7">
        <f>Calculations!X115</f>
        <v>0</v>
      </c>
      <c r="U8" s="7">
        <f>Calculations!Y115</f>
        <v>0</v>
      </c>
      <c r="V8" s="7">
        <f>Calculations!Z115</f>
        <v>0</v>
      </c>
      <c r="W8" s="7">
        <f>Calculations!AA115</f>
        <v>0</v>
      </c>
      <c r="X8" s="7">
        <f>Calculations!AB115</f>
        <v>0</v>
      </c>
      <c r="Y8" s="7">
        <f>Calculations!AC115</f>
        <v>0</v>
      </c>
      <c r="Z8" s="7">
        <f>Calculations!AD115</f>
        <v>0</v>
      </c>
      <c r="AA8" s="7">
        <f>Calculations!AE115</f>
        <v>0</v>
      </c>
      <c r="AB8" s="7">
        <f>Calculations!AF115</f>
        <v>0</v>
      </c>
    </row>
    <row r="9" spans="1:30" x14ac:dyDescent="0.25">
      <c r="A9" s="1" t="s">
        <v>935</v>
      </c>
      <c r="B9" s="7">
        <f>Calculations!F116</f>
        <v>0</v>
      </c>
      <c r="C9" s="7">
        <f>Calculations!G116</f>
        <v>0</v>
      </c>
      <c r="D9" s="7">
        <f>Calculations!H116</f>
        <v>0</v>
      </c>
      <c r="E9" s="7">
        <f>Calculations!I116</f>
        <v>0</v>
      </c>
      <c r="F9" s="7">
        <f>Calculations!J116</f>
        <v>0</v>
      </c>
      <c r="G9" s="7">
        <f>Calculations!K116</f>
        <v>0</v>
      </c>
      <c r="H9" s="7">
        <f>Calculations!L116</f>
        <v>0</v>
      </c>
      <c r="I9" s="7">
        <f>Calculations!M116</f>
        <v>0</v>
      </c>
      <c r="J9" s="7">
        <f>Calculations!N116</f>
        <v>0</v>
      </c>
      <c r="K9" s="7">
        <f>Calculations!O116</f>
        <v>0</v>
      </c>
      <c r="L9" s="7">
        <f>Calculations!P116</f>
        <v>0</v>
      </c>
      <c r="M9" s="7">
        <f>Calculations!Q116</f>
        <v>0</v>
      </c>
      <c r="N9" s="7">
        <f>Calculations!R116</f>
        <v>0</v>
      </c>
      <c r="O9" s="7">
        <f>Calculations!S116</f>
        <v>0</v>
      </c>
      <c r="P9" s="7">
        <f>Calculations!T116</f>
        <v>0</v>
      </c>
      <c r="Q9" s="7">
        <f>Calculations!U116</f>
        <v>0</v>
      </c>
      <c r="R9" s="7">
        <f>Calculations!V116</f>
        <v>0</v>
      </c>
      <c r="S9" s="7">
        <f>Calculations!W116</f>
        <v>0</v>
      </c>
      <c r="T9" s="7">
        <f>Calculations!X116</f>
        <v>0</v>
      </c>
      <c r="U9" s="7">
        <f>Calculations!Y116</f>
        <v>0</v>
      </c>
      <c r="V9" s="7">
        <f>Calculations!Z116</f>
        <v>0</v>
      </c>
      <c r="W9" s="7">
        <f>Calculations!AA116</f>
        <v>0</v>
      </c>
      <c r="X9" s="7">
        <f>Calculations!AB116</f>
        <v>0</v>
      </c>
      <c r="Y9" s="7">
        <f>Calculations!AC116</f>
        <v>0</v>
      </c>
      <c r="Z9" s="7">
        <f>Calculations!AD116</f>
        <v>0</v>
      </c>
      <c r="AA9" s="7">
        <f>Calculations!AE116</f>
        <v>0</v>
      </c>
      <c r="AB9" s="7">
        <f>Calculations!AF116</f>
        <v>0</v>
      </c>
    </row>
    <row r="10" spans="1:30" x14ac:dyDescent="0.25">
      <c r="A10" s="1" t="s">
        <v>77</v>
      </c>
      <c r="B10" s="7">
        <f>Calculations!F117</f>
        <v>12533983971504.898</v>
      </c>
      <c r="C10" s="7">
        <f>Calculations!G117</f>
        <v>12886511616611.35</v>
      </c>
      <c r="D10" s="7">
        <f>Calculations!H117</f>
        <v>12977353841172.184</v>
      </c>
      <c r="E10" s="7">
        <f>Calculations!I117</f>
        <v>13110626487492.916</v>
      </c>
      <c r="F10" s="7">
        <f>Calculations!J117</f>
        <v>13217169837286.488</v>
      </c>
      <c r="G10" s="7">
        <f>Calculations!K117</f>
        <v>13063896948109.771</v>
      </c>
      <c r="H10" s="7">
        <f>Calculations!L117</f>
        <v>12870249736906.014</v>
      </c>
      <c r="I10" s="7">
        <f>Calculations!M117</f>
        <v>12666695863353.029</v>
      </c>
      <c r="J10" s="7">
        <f>Calculations!N117</f>
        <v>12475852424512.264</v>
      </c>
      <c r="K10" s="7">
        <f>Calculations!O117</f>
        <v>12301457783534.363</v>
      </c>
      <c r="L10" s="7">
        <f>Calculations!P117</f>
        <v>12163886019590.383</v>
      </c>
      <c r="M10" s="7">
        <f>Calculations!Q117</f>
        <v>12061828705577.594</v>
      </c>
      <c r="N10" s="7">
        <f>Calculations!R117</f>
        <v>11942574921071.805</v>
      </c>
      <c r="O10" s="7">
        <f>Calculations!S117</f>
        <v>11807993847648.346</v>
      </c>
      <c r="P10" s="7">
        <f>Calculations!T117</f>
        <v>11662758439245.527</v>
      </c>
      <c r="Q10" s="7">
        <f>Calculations!U117</f>
        <v>11507803286651.016</v>
      </c>
      <c r="R10" s="7">
        <f>Calculations!V117</f>
        <v>11349857443535.982</v>
      </c>
      <c r="S10" s="7">
        <f>Calculations!W117</f>
        <v>11192098518578.482</v>
      </c>
      <c r="T10" s="7">
        <f>Calculations!X117</f>
        <v>11040507892819.559</v>
      </c>
      <c r="U10" s="7">
        <f>Calculations!Y117</f>
        <v>10892655630211.285</v>
      </c>
      <c r="V10" s="7">
        <f>Calculations!Z117</f>
        <v>10747607139965.998</v>
      </c>
      <c r="W10" s="7">
        <f>Calculations!AA117</f>
        <v>10601624058933.051</v>
      </c>
      <c r="X10" s="7">
        <f>Calculations!AB117</f>
        <v>10451341860276.855</v>
      </c>
      <c r="Y10" s="7">
        <f>Calculations!AC117</f>
        <v>10297882052942.605</v>
      </c>
      <c r="Z10" s="7">
        <f>Calculations!AD117</f>
        <v>10145356836396.016</v>
      </c>
      <c r="AA10" s="7">
        <f>Calculations!AE117</f>
        <v>9998813000890.4727</v>
      </c>
      <c r="AB10" s="7">
        <f>Calculations!AF117</f>
        <v>9862549664049.2188</v>
      </c>
    </row>
    <row r="11" spans="1:30" x14ac:dyDescent="0.25">
      <c r="A11" s="1" t="s">
        <v>936</v>
      </c>
      <c r="B11" s="7">
        <f>Calculations!F118</f>
        <v>0</v>
      </c>
      <c r="C11" s="7">
        <f>Calculations!G118</f>
        <v>0</v>
      </c>
      <c r="D11" s="7">
        <f>Calculations!H118</f>
        <v>0</v>
      </c>
      <c r="E11" s="7">
        <f>Calculations!I118</f>
        <v>0</v>
      </c>
      <c r="F11" s="7">
        <f>Calculations!J118</f>
        <v>0</v>
      </c>
      <c r="G11" s="7">
        <f>Calculations!K118</f>
        <v>0</v>
      </c>
      <c r="H11" s="7">
        <f>Calculations!L118</f>
        <v>0</v>
      </c>
      <c r="I11" s="7">
        <f>Calculations!M118</f>
        <v>0</v>
      </c>
      <c r="J11" s="7">
        <f>Calculations!N118</f>
        <v>0</v>
      </c>
      <c r="K11" s="7">
        <f>Calculations!O118</f>
        <v>0</v>
      </c>
      <c r="L11" s="7">
        <f>Calculations!P118</f>
        <v>0</v>
      </c>
      <c r="M11" s="7">
        <f>Calculations!Q118</f>
        <v>0</v>
      </c>
      <c r="N11" s="7">
        <f>Calculations!R118</f>
        <v>0</v>
      </c>
      <c r="O11" s="7">
        <f>Calculations!S118</f>
        <v>0</v>
      </c>
      <c r="P11" s="7">
        <f>Calculations!T118</f>
        <v>0</v>
      </c>
      <c r="Q11" s="7">
        <f>Calculations!U118</f>
        <v>0</v>
      </c>
      <c r="R11" s="7">
        <f>Calculations!V118</f>
        <v>0</v>
      </c>
      <c r="S11" s="7">
        <f>Calculations!W118</f>
        <v>0</v>
      </c>
      <c r="T11" s="7">
        <f>Calculations!X118</f>
        <v>0</v>
      </c>
      <c r="U11" s="7">
        <f>Calculations!Y118</f>
        <v>0</v>
      </c>
      <c r="V11" s="7">
        <f>Calculations!Z118</f>
        <v>0</v>
      </c>
      <c r="W11" s="7">
        <f>Calculations!AA118</f>
        <v>0</v>
      </c>
      <c r="X11" s="7">
        <f>Calculations!AB118</f>
        <v>0</v>
      </c>
      <c r="Y11" s="7">
        <f>Calculations!AC118</f>
        <v>0</v>
      </c>
      <c r="Z11" s="7">
        <f>Calculations!AD118</f>
        <v>0</v>
      </c>
      <c r="AA11" s="7">
        <f>Calculations!AE118</f>
        <v>0</v>
      </c>
      <c r="AB11" s="7">
        <f>Calculations!AF118</f>
        <v>0</v>
      </c>
    </row>
  </sheetData>
  <pageMargins left="0.7" right="0.7" top="0.75" bottom="0.75" header="0.3" footer="0.3"/>
  <pageSetup orientation="portrait" horizontalDpi="1200" verticalDpi="12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3"/>
  </sheetPr>
  <dimension ref="A1:AD11"/>
  <sheetViews>
    <sheetView workbookViewId="0"/>
  </sheetViews>
  <sheetFormatPr defaultRowHeight="15" x14ac:dyDescent="0.25"/>
  <cols>
    <col min="1" max="1" width="29.85546875" customWidth="1"/>
    <col min="2" max="28" width="9.5703125" bestFit="1" customWidth="1"/>
  </cols>
  <sheetData>
    <row r="1" spans="1:30" x14ac:dyDescent="0.25">
      <c r="A1" s="1" t="s">
        <v>915</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v>
      </c>
      <c r="B2" s="7">
        <f>Calculations!F122</f>
        <v>407919906500445.19</v>
      </c>
      <c r="C2" s="7">
        <f>Calculations!G122</f>
        <v>421281190237189.31</v>
      </c>
      <c r="D2" s="7">
        <f>Calculations!H122</f>
        <v>423795987128632.75</v>
      </c>
      <c r="E2" s="7">
        <f>Calculations!I122</f>
        <v>404768279446288.38</v>
      </c>
      <c r="F2" s="7">
        <f>Calculations!J122</f>
        <v>411069103618554.13</v>
      </c>
      <c r="G2" s="7">
        <f>Calculations!K122</f>
        <v>416775901886181.44</v>
      </c>
      <c r="H2" s="7">
        <f>Calculations!L122</f>
        <v>421483996438112.19</v>
      </c>
      <c r="I2" s="7">
        <f>Calculations!M122</f>
        <v>425773394317169.94</v>
      </c>
      <c r="J2" s="7">
        <f>Calculations!N122</f>
        <v>430241859791143.88</v>
      </c>
      <c r="K2" s="7">
        <f>Calculations!O122</f>
        <v>434957617987533.38</v>
      </c>
      <c r="L2" s="7">
        <f>Calculations!P122</f>
        <v>440320299927143.25</v>
      </c>
      <c r="M2" s="7">
        <f>Calculations!Q122</f>
        <v>445990462235894.19</v>
      </c>
      <c r="N2" s="7">
        <f>Calculations!R122</f>
        <v>451771093175746.75</v>
      </c>
      <c r="O2" s="7">
        <f>Calculations!S122</f>
        <v>457772661377802.94</v>
      </c>
      <c r="P2" s="7">
        <f>Calculations!T122</f>
        <v>463970680563425.81</v>
      </c>
      <c r="Q2" s="7">
        <f>Calculations!U122</f>
        <v>470147764915405.19</v>
      </c>
      <c r="R2" s="7">
        <f>Calculations!V122</f>
        <v>475596429207479.88</v>
      </c>
      <c r="S2" s="7">
        <f>Calculations!W122</f>
        <v>481546781834372.19</v>
      </c>
      <c r="T2" s="7">
        <f>Calculations!X122</f>
        <v>487857512668987.31</v>
      </c>
      <c r="U2" s="7">
        <f>Calculations!Y122</f>
        <v>494613669473002.5</v>
      </c>
      <c r="V2" s="7">
        <f>Calculations!Z122</f>
        <v>501610203027604.63</v>
      </c>
      <c r="W2" s="7">
        <f>Calculations!AA122</f>
        <v>507934205051404.5</v>
      </c>
      <c r="X2" s="7">
        <f>Calculations!AB122</f>
        <v>515008309641382.69</v>
      </c>
      <c r="Y2" s="7">
        <f>Calculations!AC122</f>
        <v>521996618797053.25</v>
      </c>
      <c r="Z2" s="7">
        <f>Calculations!AD122</f>
        <v>529049040880757.69</v>
      </c>
      <c r="AA2" s="7">
        <f>Calculations!AE122</f>
        <v>536371372783939.06</v>
      </c>
      <c r="AB2" s="7">
        <f>Calculations!AF122</f>
        <v>543869781591516.25</v>
      </c>
    </row>
    <row r="3" spans="1:30" x14ac:dyDescent="0.25">
      <c r="A3" s="1" t="s">
        <v>932</v>
      </c>
      <c r="B3" s="7">
        <f>Calculations!F123</f>
        <v>0</v>
      </c>
      <c r="C3" s="7">
        <f>Calculations!G123</f>
        <v>0</v>
      </c>
      <c r="D3" s="7">
        <f>Calculations!H123</f>
        <v>0</v>
      </c>
      <c r="E3" s="7">
        <f>Calculations!I123</f>
        <v>0</v>
      </c>
      <c r="F3" s="7">
        <f>Calculations!J123</f>
        <v>0</v>
      </c>
      <c r="G3" s="7">
        <f>Calculations!K123</f>
        <v>0</v>
      </c>
      <c r="H3" s="7">
        <f>Calculations!L123</f>
        <v>0</v>
      </c>
      <c r="I3" s="7">
        <f>Calculations!M123</f>
        <v>0</v>
      </c>
      <c r="J3" s="7">
        <f>Calculations!N123</f>
        <v>0</v>
      </c>
      <c r="K3" s="7">
        <f>Calculations!O123</f>
        <v>0</v>
      </c>
      <c r="L3" s="7">
        <f>Calculations!P123</f>
        <v>0</v>
      </c>
      <c r="M3" s="7">
        <f>Calculations!Q123</f>
        <v>0</v>
      </c>
      <c r="N3" s="7">
        <f>Calculations!R123</f>
        <v>0</v>
      </c>
      <c r="O3" s="7">
        <f>Calculations!S123</f>
        <v>0</v>
      </c>
      <c r="P3" s="7">
        <f>Calculations!T123</f>
        <v>0</v>
      </c>
      <c r="Q3" s="7">
        <f>Calculations!U123</f>
        <v>0</v>
      </c>
      <c r="R3" s="7">
        <f>Calculations!V123</f>
        <v>0</v>
      </c>
      <c r="S3" s="7">
        <f>Calculations!W123</f>
        <v>0</v>
      </c>
      <c r="T3" s="7">
        <f>Calculations!X123</f>
        <v>0</v>
      </c>
      <c r="U3" s="7">
        <f>Calculations!Y123</f>
        <v>0</v>
      </c>
      <c r="V3" s="7">
        <f>Calculations!Z123</f>
        <v>0</v>
      </c>
      <c r="W3" s="7">
        <f>Calculations!AA123</f>
        <v>0</v>
      </c>
      <c r="X3" s="7">
        <f>Calculations!AB123</f>
        <v>0</v>
      </c>
      <c r="Y3" s="7">
        <f>Calculations!AC123</f>
        <v>0</v>
      </c>
      <c r="Z3" s="7">
        <f>Calculations!AD123</f>
        <v>0</v>
      </c>
      <c r="AA3" s="7">
        <f>Calculations!AE123</f>
        <v>0</v>
      </c>
      <c r="AB3" s="7">
        <f>Calculations!AF123</f>
        <v>0</v>
      </c>
    </row>
    <row r="4" spans="1:30" x14ac:dyDescent="0.25">
      <c r="A4" s="1" t="s">
        <v>53</v>
      </c>
      <c r="B4" s="7">
        <f>Calculations!F124</f>
        <v>113783437707439.48</v>
      </c>
      <c r="C4" s="7">
        <f>Calculations!G124</f>
        <v>113710913462316.84</v>
      </c>
      <c r="D4" s="7">
        <f>Calculations!H124</f>
        <v>114331481745325.02</v>
      </c>
      <c r="E4" s="7">
        <f>Calculations!I124</f>
        <v>114757655144499.3</v>
      </c>
      <c r="F4" s="7">
        <f>Calculations!J124</f>
        <v>114957283736744.11</v>
      </c>
      <c r="G4" s="7">
        <f>Calculations!K124</f>
        <v>114883637982676.28</v>
      </c>
      <c r="H4" s="7">
        <f>Calculations!L124</f>
        <v>114621017971342.98</v>
      </c>
      <c r="I4" s="7">
        <f>Calculations!M124</f>
        <v>114314472192989.56</v>
      </c>
      <c r="J4" s="7">
        <f>Calculations!N124</f>
        <v>114066805634258.88</v>
      </c>
      <c r="K4" s="7">
        <f>Calculations!O124</f>
        <v>113727175342022.17</v>
      </c>
      <c r="L4" s="7">
        <f>Calculations!P124</f>
        <v>113475770420140.84</v>
      </c>
      <c r="M4" s="7">
        <f>Calculations!Q124</f>
        <v>113253711648992.14</v>
      </c>
      <c r="N4" s="7">
        <f>Calculations!R124</f>
        <v>113102494859548.3</v>
      </c>
      <c r="O4" s="7">
        <f>Calculations!S124</f>
        <v>112923614182789.59</v>
      </c>
      <c r="P4" s="7">
        <f>Calculations!T124</f>
        <v>112771649720715.61</v>
      </c>
      <c r="Q4" s="7">
        <f>Calculations!U124</f>
        <v>112628657330203.17</v>
      </c>
      <c r="R4" s="7">
        <f>Calculations!V124</f>
        <v>112507534364122.08</v>
      </c>
      <c r="S4" s="7">
        <f>Calculations!W124</f>
        <v>112406037804581.89</v>
      </c>
      <c r="T4" s="7">
        <f>Calculations!X124</f>
        <v>112376878572006.8</v>
      </c>
      <c r="U4" s="7">
        <f>Calculations!Y124</f>
        <v>112393140451712.14</v>
      </c>
      <c r="V4" s="7">
        <f>Calculations!Z124</f>
        <v>112446785962923.98</v>
      </c>
      <c r="W4" s="7">
        <f>Calculations!AA124</f>
        <v>112485664939690.75</v>
      </c>
      <c r="X4" s="7">
        <f>Calculations!AB124</f>
        <v>112460991742896.48</v>
      </c>
      <c r="Y4" s="7">
        <f>Calculations!AC124</f>
        <v>112384542216465.63</v>
      </c>
      <c r="Z4" s="7">
        <f>Calculations!AD124</f>
        <v>112292765401117.14</v>
      </c>
      <c r="AA4" s="7">
        <f>Calculations!AE124</f>
        <v>112206035376022.02</v>
      </c>
      <c r="AB4" s="7">
        <f>Calculations!AF124</f>
        <v>112135380312474.7</v>
      </c>
    </row>
    <row r="5" spans="1:30" x14ac:dyDescent="0.25">
      <c r="A5" s="1" t="s">
        <v>68</v>
      </c>
      <c r="B5" s="7">
        <f>Calculations!F125</f>
        <v>4825292236703.6348</v>
      </c>
      <c r="C5" s="7">
        <f>Calculations!G125</f>
        <v>4870152594511.4541</v>
      </c>
      <c r="D5" s="7">
        <f>Calculations!H125</f>
        <v>4920433578887.7188</v>
      </c>
      <c r="E5" s="7">
        <f>Calculations!I125</f>
        <v>4928844895976.6855</v>
      </c>
      <c r="F5" s="7">
        <f>Calculations!J125</f>
        <v>4917816724682.2637</v>
      </c>
      <c r="G5" s="7">
        <f>Calculations!K125</f>
        <v>4898377236298.874</v>
      </c>
      <c r="H5" s="7">
        <f>Calculations!L125</f>
        <v>4886975228689.3877</v>
      </c>
      <c r="I5" s="7">
        <f>Calculations!M125</f>
        <v>4873143285031.9766</v>
      </c>
      <c r="J5" s="7">
        <f>Calculations!N125</f>
        <v>4861741277422.4883</v>
      </c>
      <c r="K5" s="7">
        <f>Calculations!O125</f>
        <v>4849217760867.8057</v>
      </c>
      <c r="L5" s="7">
        <f>Calculations!P125</f>
        <v>4840993361936.3711</v>
      </c>
      <c r="M5" s="7">
        <f>Calculations!Q125</f>
        <v>4831647454059.7422</v>
      </c>
      <c r="N5" s="7">
        <f>Calculations!R125</f>
        <v>4823049218813.2441</v>
      </c>
      <c r="O5" s="7">
        <f>Calculations!S125</f>
        <v>4815385574354.4082</v>
      </c>
      <c r="P5" s="7">
        <f>Calculations!T125</f>
        <v>4808282684368.1699</v>
      </c>
      <c r="Q5" s="7">
        <f>Calculations!U125</f>
        <v>4801927467012.0615</v>
      </c>
      <c r="R5" s="7">
        <f>Calculations!V125</f>
        <v>4795759167813.4863</v>
      </c>
      <c r="S5" s="7">
        <f>Calculations!W125</f>
        <v>4788469359669.7148</v>
      </c>
      <c r="T5" s="7">
        <f>Calculations!X125</f>
        <v>4781927224156.0762</v>
      </c>
      <c r="U5" s="7">
        <f>Calculations!Y125</f>
        <v>4775572006799.9678</v>
      </c>
      <c r="V5" s="7">
        <f>Calculations!Z125</f>
        <v>4769403707601.3926</v>
      </c>
      <c r="W5" s="7">
        <f>Calculations!AA125</f>
        <v>4762113899457.6211</v>
      </c>
      <c r="X5" s="7">
        <f>Calculations!AB125</f>
        <v>4754824091313.8506</v>
      </c>
      <c r="Y5" s="7">
        <f>Calculations!AC125</f>
        <v>4746973528697.4824</v>
      </c>
      <c r="Z5" s="7">
        <f>Calculations!AD125</f>
        <v>4738562211608.5156</v>
      </c>
      <c r="AA5" s="7">
        <f>Calculations!AE125</f>
        <v>4730150894519.5498</v>
      </c>
      <c r="AB5" s="7">
        <f>Calculations!AF125</f>
        <v>4723608759005.9092</v>
      </c>
    </row>
    <row r="6" spans="1:30" x14ac:dyDescent="0.25">
      <c r="A6" s="1" t="s">
        <v>933</v>
      </c>
      <c r="B6" s="7">
        <f>Calculations!F126</f>
        <v>0</v>
      </c>
      <c r="C6" s="7">
        <f>Calculations!G126</f>
        <v>0</v>
      </c>
      <c r="D6" s="7">
        <f>Calculations!H126</f>
        <v>0</v>
      </c>
      <c r="E6" s="7">
        <f>Calculations!I126</f>
        <v>0</v>
      </c>
      <c r="F6" s="7">
        <f>Calculations!J126</f>
        <v>0</v>
      </c>
      <c r="G6" s="7">
        <f>Calculations!K126</f>
        <v>0</v>
      </c>
      <c r="H6" s="7">
        <f>Calculations!L126</f>
        <v>0</v>
      </c>
      <c r="I6" s="7">
        <f>Calculations!M126</f>
        <v>0</v>
      </c>
      <c r="J6" s="7">
        <f>Calculations!N126</f>
        <v>0</v>
      </c>
      <c r="K6" s="7">
        <f>Calculations!O126</f>
        <v>0</v>
      </c>
      <c r="L6" s="7">
        <f>Calculations!P126</f>
        <v>0</v>
      </c>
      <c r="M6" s="7">
        <f>Calculations!Q126</f>
        <v>0</v>
      </c>
      <c r="N6" s="7">
        <f>Calculations!R126</f>
        <v>0</v>
      </c>
      <c r="O6" s="7">
        <f>Calculations!S126</f>
        <v>0</v>
      </c>
      <c r="P6" s="7">
        <f>Calculations!T126</f>
        <v>0</v>
      </c>
      <c r="Q6" s="7">
        <f>Calculations!U126</f>
        <v>0</v>
      </c>
      <c r="R6" s="7">
        <f>Calculations!V126</f>
        <v>0</v>
      </c>
      <c r="S6" s="7">
        <f>Calculations!W126</f>
        <v>0</v>
      </c>
      <c r="T6" s="7">
        <f>Calculations!X126</f>
        <v>0</v>
      </c>
      <c r="U6" s="7">
        <f>Calculations!Y126</f>
        <v>0</v>
      </c>
      <c r="V6" s="7">
        <f>Calculations!Z126</f>
        <v>0</v>
      </c>
      <c r="W6" s="7">
        <f>Calculations!AA126</f>
        <v>0</v>
      </c>
      <c r="X6" s="7">
        <f>Calculations!AB126</f>
        <v>0</v>
      </c>
      <c r="Y6" s="7">
        <f>Calculations!AC126</f>
        <v>0</v>
      </c>
      <c r="Z6" s="7">
        <f>Calculations!AD126</f>
        <v>0</v>
      </c>
      <c r="AA6" s="7">
        <f>Calculations!AE126</f>
        <v>0</v>
      </c>
      <c r="AB6" s="7">
        <f>Calculations!AF126</f>
        <v>0</v>
      </c>
    </row>
    <row r="7" spans="1:30" x14ac:dyDescent="0.25">
      <c r="A7" s="1" t="s">
        <v>88</v>
      </c>
      <c r="B7" s="7">
        <f>Calculations!F127</f>
        <v>0</v>
      </c>
      <c r="C7" s="7">
        <f>Calculations!G127</f>
        <v>0</v>
      </c>
      <c r="D7" s="7">
        <f>Calculations!H127</f>
        <v>0</v>
      </c>
      <c r="E7" s="7">
        <f>Calculations!I127</f>
        <v>0</v>
      </c>
      <c r="F7" s="7">
        <f>Calculations!J127</f>
        <v>0</v>
      </c>
      <c r="G7" s="7">
        <f>Calculations!K127</f>
        <v>0</v>
      </c>
      <c r="H7" s="7">
        <f>Calculations!L127</f>
        <v>0</v>
      </c>
      <c r="I7" s="7">
        <f>Calculations!M127</f>
        <v>0</v>
      </c>
      <c r="J7" s="7">
        <f>Calculations!N127</f>
        <v>0</v>
      </c>
      <c r="K7" s="7">
        <f>Calculations!O127</f>
        <v>0</v>
      </c>
      <c r="L7" s="7">
        <f>Calculations!P127</f>
        <v>0</v>
      </c>
      <c r="M7" s="7">
        <f>Calculations!Q127</f>
        <v>0</v>
      </c>
      <c r="N7" s="7">
        <f>Calculations!R127</f>
        <v>0</v>
      </c>
      <c r="O7" s="7">
        <f>Calculations!S127</f>
        <v>0</v>
      </c>
      <c r="P7" s="7">
        <f>Calculations!T127</f>
        <v>0</v>
      </c>
      <c r="Q7" s="7">
        <f>Calculations!U127</f>
        <v>0</v>
      </c>
      <c r="R7" s="7">
        <f>Calculations!V127</f>
        <v>0</v>
      </c>
      <c r="S7" s="7">
        <f>Calculations!W127</f>
        <v>0</v>
      </c>
      <c r="T7" s="7">
        <f>Calculations!X127</f>
        <v>0</v>
      </c>
      <c r="U7" s="7">
        <f>Calculations!Y127</f>
        <v>0</v>
      </c>
      <c r="V7" s="7">
        <f>Calculations!Z127</f>
        <v>0</v>
      </c>
      <c r="W7" s="7">
        <f>Calculations!AA127</f>
        <v>0</v>
      </c>
      <c r="X7" s="7">
        <f>Calculations!AB127</f>
        <v>0</v>
      </c>
      <c r="Y7" s="7">
        <f>Calculations!AC127</f>
        <v>0</v>
      </c>
      <c r="Z7" s="7">
        <f>Calculations!AD127</f>
        <v>0</v>
      </c>
      <c r="AA7" s="7">
        <f>Calculations!AE127</f>
        <v>0</v>
      </c>
      <c r="AB7" s="7">
        <f>Calculations!AF127</f>
        <v>0</v>
      </c>
    </row>
    <row r="8" spans="1:30" x14ac:dyDescent="0.25">
      <c r="A8" s="1" t="s">
        <v>934</v>
      </c>
      <c r="B8" s="7">
        <f>Calculations!F128</f>
        <v>0</v>
      </c>
      <c r="C8" s="7">
        <f>Calculations!G128</f>
        <v>0</v>
      </c>
      <c r="D8" s="7">
        <f>Calculations!H128</f>
        <v>0</v>
      </c>
      <c r="E8" s="7">
        <f>Calculations!I128</f>
        <v>0</v>
      </c>
      <c r="F8" s="7">
        <f>Calculations!J128</f>
        <v>0</v>
      </c>
      <c r="G8" s="7">
        <f>Calculations!K128</f>
        <v>0</v>
      </c>
      <c r="H8" s="7">
        <f>Calculations!L128</f>
        <v>0</v>
      </c>
      <c r="I8" s="7">
        <f>Calculations!M128</f>
        <v>0</v>
      </c>
      <c r="J8" s="7">
        <f>Calculations!N128</f>
        <v>0</v>
      </c>
      <c r="K8" s="7">
        <f>Calculations!O128</f>
        <v>0</v>
      </c>
      <c r="L8" s="7">
        <f>Calculations!P128</f>
        <v>0</v>
      </c>
      <c r="M8" s="7">
        <f>Calculations!Q128</f>
        <v>0</v>
      </c>
      <c r="N8" s="7">
        <f>Calculations!R128</f>
        <v>0</v>
      </c>
      <c r="O8" s="7">
        <f>Calculations!S128</f>
        <v>0</v>
      </c>
      <c r="P8" s="7">
        <f>Calculations!T128</f>
        <v>0</v>
      </c>
      <c r="Q8" s="7">
        <f>Calculations!U128</f>
        <v>0</v>
      </c>
      <c r="R8" s="7">
        <f>Calculations!V128</f>
        <v>0</v>
      </c>
      <c r="S8" s="7">
        <f>Calculations!W128</f>
        <v>0</v>
      </c>
      <c r="T8" s="7">
        <f>Calculations!X128</f>
        <v>0</v>
      </c>
      <c r="U8" s="7">
        <f>Calculations!Y128</f>
        <v>0</v>
      </c>
      <c r="V8" s="7">
        <f>Calculations!Z128</f>
        <v>0</v>
      </c>
      <c r="W8" s="7">
        <f>Calculations!AA128</f>
        <v>0</v>
      </c>
      <c r="X8" s="7">
        <f>Calculations!AB128</f>
        <v>0</v>
      </c>
      <c r="Y8" s="7">
        <f>Calculations!AC128</f>
        <v>0</v>
      </c>
      <c r="Z8" s="7">
        <f>Calculations!AD128</f>
        <v>0</v>
      </c>
      <c r="AA8" s="7">
        <f>Calculations!AE128</f>
        <v>0</v>
      </c>
      <c r="AB8" s="7">
        <f>Calculations!AF128</f>
        <v>0</v>
      </c>
    </row>
    <row r="9" spans="1:30" x14ac:dyDescent="0.25">
      <c r="A9" s="1" t="s">
        <v>935</v>
      </c>
      <c r="B9" s="7">
        <f>Calculations!F129</f>
        <v>0</v>
      </c>
      <c r="C9" s="7">
        <f>Calculations!G129</f>
        <v>0</v>
      </c>
      <c r="D9" s="7">
        <f>Calculations!H129</f>
        <v>0</v>
      </c>
      <c r="E9" s="7">
        <f>Calculations!I129</f>
        <v>0</v>
      </c>
      <c r="F9" s="7">
        <f>Calculations!J129</f>
        <v>0</v>
      </c>
      <c r="G9" s="7">
        <f>Calculations!K129</f>
        <v>0</v>
      </c>
      <c r="H9" s="7">
        <f>Calculations!L129</f>
        <v>0</v>
      </c>
      <c r="I9" s="7">
        <f>Calculations!M129</f>
        <v>0</v>
      </c>
      <c r="J9" s="7">
        <f>Calculations!N129</f>
        <v>0</v>
      </c>
      <c r="K9" s="7">
        <f>Calculations!O129</f>
        <v>0</v>
      </c>
      <c r="L9" s="7">
        <f>Calculations!P129</f>
        <v>0</v>
      </c>
      <c r="M9" s="7">
        <f>Calculations!Q129</f>
        <v>0</v>
      </c>
      <c r="N9" s="7">
        <f>Calculations!R129</f>
        <v>0</v>
      </c>
      <c r="O9" s="7">
        <f>Calculations!S129</f>
        <v>0</v>
      </c>
      <c r="P9" s="7">
        <f>Calculations!T129</f>
        <v>0</v>
      </c>
      <c r="Q9" s="7">
        <f>Calculations!U129</f>
        <v>0</v>
      </c>
      <c r="R9" s="7">
        <f>Calculations!V129</f>
        <v>0</v>
      </c>
      <c r="S9" s="7">
        <f>Calculations!W129</f>
        <v>0</v>
      </c>
      <c r="T9" s="7">
        <f>Calculations!X129</f>
        <v>0</v>
      </c>
      <c r="U9" s="7">
        <f>Calculations!Y129</f>
        <v>0</v>
      </c>
      <c r="V9" s="7">
        <f>Calculations!Z129</f>
        <v>0</v>
      </c>
      <c r="W9" s="7">
        <f>Calculations!AA129</f>
        <v>0</v>
      </c>
      <c r="X9" s="7">
        <f>Calculations!AB129</f>
        <v>0</v>
      </c>
      <c r="Y9" s="7">
        <f>Calculations!AC129</f>
        <v>0</v>
      </c>
      <c r="Z9" s="7">
        <f>Calculations!AD129</f>
        <v>0</v>
      </c>
      <c r="AA9" s="7">
        <f>Calculations!AE129</f>
        <v>0</v>
      </c>
      <c r="AB9" s="7">
        <f>Calculations!AF129</f>
        <v>0</v>
      </c>
    </row>
    <row r="10" spans="1:30" x14ac:dyDescent="0.25">
      <c r="A10" s="1" t="s">
        <v>77</v>
      </c>
      <c r="B10" s="7">
        <f>Calculations!F130</f>
        <v>14071385817210.395</v>
      </c>
      <c r="C10" s="7">
        <f>Calculations!G130</f>
        <v>14586532259370.193</v>
      </c>
      <c r="D10" s="7">
        <f>Calculations!H130</f>
        <v>15171959928762.244</v>
      </c>
      <c r="E10" s="7">
        <f>Calculations!I130</f>
        <v>15737948109770.906</v>
      </c>
      <c r="F10" s="7">
        <f>Calculations!J130</f>
        <v>16246739334574.598</v>
      </c>
      <c r="G10" s="7">
        <f>Calculations!K130</f>
        <v>16695903667125.395</v>
      </c>
      <c r="H10" s="7">
        <f>Calculations!L130</f>
        <v>17103572168703.957</v>
      </c>
      <c r="I10" s="7">
        <f>Calculations!M130</f>
        <v>17476847729296.525</v>
      </c>
      <c r="J10" s="7">
        <f>Calculations!N130</f>
        <v>17845263417793.246</v>
      </c>
      <c r="K10" s="7">
        <f>Calculations!O130</f>
        <v>18207697725248.926</v>
      </c>
      <c r="L10" s="7">
        <f>Calculations!P130</f>
        <v>18591814538978.383</v>
      </c>
      <c r="M10" s="7">
        <f>Calculations!Q130</f>
        <v>18993501659515.906</v>
      </c>
      <c r="N10" s="7">
        <f>Calculations!R130</f>
        <v>19406216951347.848</v>
      </c>
      <c r="O10" s="7">
        <f>Calculations!S130</f>
        <v>19817810734234.598</v>
      </c>
      <c r="P10" s="7">
        <f>Calculations!T130</f>
        <v>20227535335546.023</v>
      </c>
      <c r="Q10" s="7">
        <f>Calculations!U130</f>
        <v>20633334655549.258</v>
      </c>
      <c r="R10" s="7">
        <f>Calculations!V130</f>
        <v>21042311584230.551</v>
      </c>
      <c r="S10" s="7">
        <f>Calculations!W130</f>
        <v>21460821338946.004</v>
      </c>
      <c r="T10" s="7">
        <f>Calculations!X130</f>
        <v>21897835991257.184</v>
      </c>
      <c r="U10" s="7">
        <f>Calculations!Y130</f>
        <v>22354290131951.754</v>
      </c>
      <c r="V10" s="7">
        <f>Calculations!Z130</f>
        <v>22826632316036.59</v>
      </c>
      <c r="W10" s="7">
        <f>Calculations!AA130</f>
        <v>23303086699587.145</v>
      </c>
      <c r="X10" s="7">
        <f>Calculations!AB130</f>
        <v>23772625111308.992</v>
      </c>
      <c r="Y10" s="7">
        <f>Calculations!AC130</f>
        <v>24233565287784.348</v>
      </c>
      <c r="Z10" s="7">
        <f>Calculations!AD130</f>
        <v>24690767101109.039</v>
      </c>
      <c r="AA10" s="7">
        <f>Calculations!AE130</f>
        <v>25150772686796.73</v>
      </c>
      <c r="AB10" s="7">
        <f>Calculations!AF130</f>
        <v>25616946571682.992</v>
      </c>
    </row>
    <row r="11" spans="1:30" x14ac:dyDescent="0.25">
      <c r="A11" s="1" t="s">
        <v>936</v>
      </c>
      <c r="B11" s="7">
        <f>Calculations!F131</f>
        <v>0</v>
      </c>
      <c r="C11" s="7">
        <f>Calculations!G131</f>
        <v>0</v>
      </c>
      <c r="D11" s="7">
        <f>Calculations!H131</f>
        <v>0</v>
      </c>
      <c r="E11" s="7">
        <f>Calculations!I131</f>
        <v>0</v>
      </c>
      <c r="F11" s="7">
        <f>Calculations!J131</f>
        <v>0</v>
      </c>
      <c r="G11" s="7">
        <f>Calculations!K131</f>
        <v>0</v>
      </c>
      <c r="H11" s="7">
        <f>Calculations!L131</f>
        <v>0</v>
      </c>
      <c r="I11" s="7">
        <f>Calculations!M131</f>
        <v>0</v>
      </c>
      <c r="J11" s="7">
        <f>Calculations!N131</f>
        <v>0</v>
      </c>
      <c r="K11" s="7">
        <f>Calculations!O131</f>
        <v>0</v>
      </c>
      <c r="L11" s="7">
        <f>Calculations!P131</f>
        <v>0</v>
      </c>
      <c r="M11" s="7">
        <f>Calculations!Q131</f>
        <v>0</v>
      </c>
      <c r="N11" s="7">
        <f>Calculations!R131</f>
        <v>0</v>
      </c>
      <c r="O11" s="7">
        <f>Calculations!S131</f>
        <v>0</v>
      </c>
      <c r="P11" s="7">
        <f>Calculations!T131</f>
        <v>0</v>
      </c>
      <c r="Q11" s="7">
        <f>Calculations!U131</f>
        <v>0</v>
      </c>
      <c r="R11" s="7">
        <f>Calculations!V131</f>
        <v>0</v>
      </c>
      <c r="S11" s="7">
        <f>Calculations!W131</f>
        <v>0</v>
      </c>
      <c r="T11" s="7">
        <f>Calculations!X131</f>
        <v>0</v>
      </c>
      <c r="U11" s="7">
        <f>Calculations!Y131</f>
        <v>0</v>
      </c>
      <c r="V11" s="7">
        <f>Calculations!Z131</f>
        <v>0</v>
      </c>
      <c r="W11" s="7">
        <f>Calculations!AA131</f>
        <v>0</v>
      </c>
      <c r="X11" s="7">
        <f>Calculations!AB131</f>
        <v>0</v>
      </c>
      <c r="Y11" s="7">
        <f>Calculations!AC131</f>
        <v>0</v>
      </c>
      <c r="Z11" s="7">
        <f>Calculations!AD131</f>
        <v>0</v>
      </c>
      <c r="AA11" s="7">
        <f>Calculations!AE131</f>
        <v>0</v>
      </c>
      <c r="AB11" s="7">
        <f>Calculations!AF131</f>
        <v>0</v>
      </c>
    </row>
  </sheetData>
  <pageMargins left="0.7" right="0.7" top="0.75" bottom="0.75" header="0.3" footer="0.3"/>
  <pageSetup orientation="portrait" horizontalDpi="1200" verticalDpi="12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D11"/>
  <sheetViews>
    <sheetView workbookViewId="0"/>
  </sheetViews>
  <sheetFormatPr defaultRowHeight="15" x14ac:dyDescent="0.25"/>
  <cols>
    <col min="1" max="1" width="29.85546875" customWidth="1"/>
    <col min="2" max="27" width="9.5703125" bestFit="1" customWidth="1"/>
    <col min="28" max="28" width="11.85546875" customWidth="1"/>
  </cols>
  <sheetData>
    <row r="1" spans="1:30" x14ac:dyDescent="0.25">
      <c r="A1" s="1" t="s">
        <v>915</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v>
      </c>
      <c r="B2" s="7">
        <f>Calculations!F135</f>
        <v>186541000000000</v>
      </c>
      <c r="C2" s="7">
        <f>Calculations!G135</f>
        <v>200860000000000</v>
      </c>
      <c r="D2" s="7">
        <f>Calculations!H135</f>
        <v>193991000000000</v>
      </c>
      <c r="E2" s="7">
        <f>Calculations!I135</f>
        <v>192330000000000</v>
      </c>
      <c r="F2" s="7">
        <f>Calculations!J135</f>
        <v>191237000000000</v>
      </c>
      <c r="G2" s="7">
        <f>Calculations!K135</f>
        <v>189690000000000</v>
      </c>
      <c r="H2" s="7">
        <f>Calculations!L135</f>
        <v>187902000000000</v>
      </c>
      <c r="I2" s="7">
        <f>Calculations!M135</f>
        <v>186031000000000</v>
      </c>
      <c r="J2" s="7">
        <f>Calculations!N135</f>
        <v>184106000000000</v>
      </c>
      <c r="K2" s="7">
        <f>Calculations!O135</f>
        <v>182230000000000</v>
      </c>
      <c r="L2" s="7">
        <f>Calculations!P135</f>
        <v>180242000000000</v>
      </c>
      <c r="M2" s="7">
        <f>Calculations!Q135</f>
        <v>178200000000000</v>
      </c>
      <c r="N2" s="7">
        <f>Calculations!R135</f>
        <v>176227000000000</v>
      </c>
      <c r="O2" s="7">
        <f>Calculations!S135</f>
        <v>174101000000000</v>
      </c>
      <c r="P2" s="7">
        <f>Calculations!T135</f>
        <v>171933000000000</v>
      </c>
      <c r="Q2" s="7">
        <f>Calculations!U135</f>
        <v>169663000000000</v>
      </c>
      <c r="R2" s="7">
        <f>Calculations!V135</f>
        <v>167366000000000</v>
      </c>
      <c r="S2" s="7">
        <f>Calculations!W135</f>
        <v>165099000000000</v>
      </c>
      <c r="T2" s="7">
        <f>Calculations!X135</f>
        <v>162808000000000</v>
      </c>
      <c r="U2" s="7">
        <f>Calculations!Y135</f>
        <v>160509000000000</v>
      </c>
      <c r="V2" s="7">
        <f>Calculations!Z135</f>
        <v>158156000000000</v>
      </c>
      <c r="W2" s="7">
        <f>Calculations!AA135</f>
        <v>155824000000000</v>
      </c>
      <c r="X2" s="7">
        <f>Calculations!AB135</f>
        <v>153355000000000</v>
      </c>
      <c r="Y2" s="7">
        <f>Calculations!AC135</f>
        <v>150715000000000</v>
      </c>
      <c r="Z2" s="7">
        <f>Calculations!AD135</f>
        <v>148032000000000</v>
      </c>
      <c r="AA2" s="7">
        <f>Calculations!AE135</f>
        <v>145385000000000</v>
      </c>
      <c r="AB2" s="7">
        <f>Calculations!AF135</f>
        <v>142671000000000</v>
      </c>
    </row>
    <row r="3" spans="1:30" x14ac:dyDescent="0.25">
      <c r="A3" s="1" t="s">
        <v>932</v>
      </c>
      <c r="B3" s="7">
        <f>Calculations!F136</f>
        <v>0</v>
      </c>
      <c r="C3" s="7">
        <f>Calculations!G136</f>
        <v>0</v>
      </c>
      <c r="D3" s="7">
        <f>Calculations!H136</f>
        <v>0</v>
      </c>
      <c r="E3" s="7">
        <f>Calculations!I136</f>
        <v>0</v>
      </c>
      <c r="F3" s="7">
        <f>Calculations!J136</f>
        <v>0</v>
      </c>
      <c r="G3" s="7">
        <f>Calculations!K136</f>
        <v>0</v>
      </c>
      <c r="H3" s="7">
        <f>Calculations!L136</f>
        <v>0</v>
      </c>
      <c r="I3" s="7">
        <f>Calculations!M136</f>
        <v>0</v>
      </c>
      <c r="J3" s="7">
        <f>Calculations!N136</f>
        <v>0</v>
      </c>
      <c r="K3" s="7">
        <f>Calculations!O136</f>
        <v>0</v>
      </c>
      <c r="L3" s="7">
        <f>Calculations!P136</f>
        <v>0</v>
      </c>
      <c r="M3" s="7">
        <f>Calculations!Q136</f>
        <v>0</v>
      </c>
      <c r="N3" s="7">
        <f>Calculations!R136</f>
        <v>0</v>
      </c>
      <c r="O3" s="7">
        <f>Calculations!S136</f>
        <v>0</v>
      </c>
      <c r="P3" s="7">
        <f>Calculations!T136</f>
        <v>0</v>
      </c>
      <c r="Q3" s="7">
        <f>Calculations!U136</f>
        <v>0</v>
      </c>
      <c r="R3" s="7">
        <f>Calculations!V136</f>
        <v>0</v>
      </c>
      <c r="S3" s="7">
        <f>Calculations!W136</f>
        <v>0</v>
      </c>
      <c r="T3" s="7">
        <f>Calculations!X136</f>
        <v>0</v>
      </c>
      <c r="U3" s="7">
        <f>Calculations!Y136</f>
        <v>0</v>
      </c>
      <c r="V3" s="7">
        <f>Calculations!Z136</f>
        <v>0</v>
      </c>
      <c r="W3" s="7">
        <f>Calculations!AA136</f>
        <v>0</v>
      </c>
      <c r="X3" s="7">
        <f>Calculations!AB136</f>
        <v>0</v>
      </c>
      <c r="Y3" s="7">
        <f>Calculations!AC136</f>
        <v>0</v>
      </c>
      <c r="Z3" s="7">
        <f>Calculations!AD136</f>
        <v>0</v>
      </c>
      <c r="AA3" s="7">
        <f>Calculations!AE136</f>
        <v>0</v>
      </c>
      <c r="AB3" s="7">
        <f>Calculations!AF136</f>
        <v>0</v>
      </c>
    </row>
    <row r="4" spans="1:30" x14ac:dyDescent="0.25">
      <c r="A4" s="1" t="s">
        <v>53</v>
      </c>
      <c r="B4" s="7">
        <f>Calculations!F137</f>
        <v>1537413000000000</v>
      </c>
      <c r="C4" s="7">
        <f>Calculations!G137</f>
        <v>1677395000000000</v>
      </c>
      <c r="D4" s="7">
        <f>Calculations!H137</f>
        <v>1658977000000000</v>
      </c>
      <c r="E4" s="7">
        <f>Calculations!I137</f>
        <v>1655333000000000</v>
      </c>
      <c r="F4" s="7">
        <f>Calculations!J137</f>
        <v>1640213000000000</v>
      </c>
      <c r="G4" s="7">
        <f>Calculations!K137</f>
        <v>1614623000000000</v>
      </c>
      <c r="H4" s="7">
        <f>Calculations!L137</f>
        <v>1585396000000000</v>
      </c>
      <c r="I4" s="7">
        <f>Calculations!M137</f>
        <v>1558153000000000</v>
      </c>
      <c r="J4" s="7">
        <f>Calculations!N137</f>
        <v>1539679000000000</v>
      </c>
      <c r="K4" s="7">
        <f>Calculations!O137</f>
        <v>1525580000000000</v>
      </c>
      <c r="L4" s="7">
        <f>Calculations!P137</f>
        <v>1514998000000000</v>
      </c>
      <c r="M4" s="7">
        <f>Calculations!Q137</f>
        <v>1504151000000000</v>
      </c>
      <c r="N4" s="7">
        <f>Calculations!R137</f>
        <v>1494749000000000</v>
      </c>
      <c r="O4" s="7">
        <f>Calculations!S137</f>
        <v>1484763000000000</v>
      </c>
      <c r="P4" s="7">
        <f>Calculations!T137</f>
        <v>1474809000000000</v>
      </c>
      <c r="Q4" s="7">
        <f>Calculations!U137</f>
        <v>1464232000000000</v>
      </c>
      <c r="R4" s="7">
        <f>Calculations!V137</f>
        <v>1453817000000000</v>
      </c>
      <c r="S4" s="7">
        <f>Calculations!W137</f>
        <v>1443761000000000</v>
      </c>
      <c r="T4" s="7">
        <f>Calculations!X137</f>
        <v>1435541000000000</v>
      </c>
      <c r="U4" s="7">
        <f>Calculations!Y137</f>
        <v>1427792000000000</v>
      </c>
      <c r="V4" s="7">
        <f>Calculations!Z137</f>
        <v>1420772000000000</v>
      </c>
      <c r="W4" s="7">
        <f>Calculations!AA137</f>
        <v>1413245000000000</v>
      </c>
      <c r="X4" s="7">
        <f>Calculations!AB137</f>
        <v>1403235000000000</v>
      </c>
      <c r="Y4" s="7">
        <f>Calculations!AC137</f>
        <v>1391638000000000</v>
      </c>
      <c r="Z4" s="7">
        <f>Calculations!AD137</f>
        <v>1379734000000000</v>
      </c>
      <c r="AA4" s="7">
        <f>Calculations!AE137</f>
        <v>1367849000000000</v>
      </c>
      <c r="AB4" s="7">
        <f>Calculations!AF137</f>
        <v>1356255000000000</v>
      </c>
    </row>
    <row r="5" spans="1:30" x14ac:dyDescent="0.25">
      <c r="A5" s="1" t="s">
        <v>68</v>
      </c>
      <c r="B5" s="7">
        <f>Calculations!F138</f>
        <v>69269000000000</v>
      </c>
      <c r="C5" s="7">
        <f>Calculations!G138</f>
        <v>74528000000000</v>
      </c>
      <c r="D5" s="7">
        <f>Calculations!H138</f>
        <v>72814000000000</v>
      </c>
      <c r="E5" s="7">
        <f>Calculations!I138</f>
        <v>72147000000000</v>
      </c>
      <c r="F5" s="7">
        <f>Calculations!J138</f>
        <v>71328000000000</v>
      </c>
      <c r="G5" s="7">
        <f>Calculations!K138</f>
        <v>70240000000000</v>
      </c>
      <c r="H5" s="7">
        <f>Calculations!L138</f>
        <v>69389999999999.992</v>
      </c>
      <c r="I5" s="7">
        <f>Calculations!M138</f>
        <v>68552000000000</v>
      </c>
      <c r="J5" s="7">
        <f>Calculations!N138</f>
        <v>67389000000000.008</v>
      </c>
      <c r="K5" s="7">
        <f>Calculations!O138</f>
        <v>65912000000000</v>
      </c>
      <c r="L5" s="7">
        <f>Calculations!P138</f>
        <v>64453000000000</v>
      </c>
      <c r="M5" s="7">
        <f>Calculations!Q138</f>
        <v>63008999999999.992</v>
      </c>
      <c r="N5" s="7">
        <f>Calculations!R138</f>
        <v>61670000000000</v>
      </c>
      <c r="O5" s="7">
        <f>Calculations!S138</f>
        <v>60346000000000</v>
      </c>
      <c r="P5" s="7">
        <f>Calculations!T138</f>
        <v>59039000000000</v>
      </c>
      <c r="Q5" s="7">
        <f>Calculations!U138</f>
        <v>57780000000000</v>
      </c>
      <c r="R5" s="7">
        <f>Calculations!V138</f>
        <v>56542000000000</v>
      </c>
      <c r="S5" s="7">
        <f>Calculations!W138</f>
        <v>55331000000000</v>
      </c>
      <c r="T5" s="7">
        <f>Calculations!X138</f>
        <v>54154000000000</v>
      </c>
      <c r="U5" s="7">
        <f>Calculations!Y138</f>
        <v>52975000000000</v>
      </c>
      <c r="V5" s="7">
        <f>Calculations!Z138</f>
        <v>51814000000000</v>
      </c>
      <c r="W5" s="7">
        <f>Calculations!AA138</f>
        <v>50657000000000</v>
      </c>
      <c r="X5" s="7">
        <f>Calculations!AB138</f>
        <v>49516000000000</v>
      </c>
      <c r="Y5" s="7">
        <f>Calculations!AC138</f>
        <v>48376000000000</v>
      </c>
      <c r="Z5" s="7">
        <f>Calculations!AD138</f>
        <v>47276000000000</v>
      </c>
      <c r="AA5" s="7">
        <f>Calculations!AE138</f>
        <v>46179000000000</v>
      </c>
      <c r="AB5" s="7">
        <f>Calculations!AF138</f>
        <v>45136000000000</v>
      </c>
    </row>
    <row r="6" spans="1:30" x14ac:dyDescent="0.25">
      <c r="A6" s="1" t="s">
        <v>933</v>
      </c>
      <c r="B6" s="7">
        <f>Calculations!F139</f>
        <v>0</v>
      </c>
      <c r="C6" s="7">
        <f>Calculations!G139</f>
        <v>0</v>
      </c>
      <c r="D6" s="7">
        <f>Calculations!H139</f>
        <v>0</v>
      </c>
      <c r="E6" s="7">
        <f>Calculations!I139</f>
        <v>0</v>
      </c>
      <c r="F6" s="7">
        <f>Calculations!J139</f>
        <v>0</v>
      </c>
      <c r="G6" s="7">
        <f>Calculations!K139</f>
        <v>0</v>
      </c>
      <c r="H6" s="7">
        <f>Calculations!L139</f>
        <v>0</v>
      </c>
      <c r="I6" s="7">
        <f>Calculations!M139</f>
        <v>0</v>
      </c>
      <c r="J6" s="7">
        <f>Calculations!N139</f>
        <v>0</v>
      </c>
      <c r="K6" s="7">
        <f>Calculations!O139</f>
        <v>0</v>
      </c>
      <c r="L6" s="7">
        <f>Calculations!P139</f>
        <v>0</v>
      </c>
      <c r="M6" s="7">
        <f>Calculations!Q139</f>
        <v>0</v>
      </c>
      <c r="N6" s="7">
        <f>Calculations!R139</f>
        <v>0</v>
      </c>
      <c r="O6" s="7">
        <f>Calculations!S139</f>
        <v>0</v>
      </c>
      <c r="P6" s="7">
        <f>Calculations!T139</f>
        <v>0</v>
      </c>
      <c r="Q6" s="7">
        <f>Calculations!U139</f>
        <v>0</v>
      </c>
      <c r="R6" s="7">
        <f>Calculations!V139</f>
        <v>0</v>
      </c>
      <c r="S6" s="7">
        <f>Calculations!W139</f>
        <v>0</v>
      </c>
      <c r="T6" s="7">
        <f>Calculations!X139</f>
        <v>0</v>
      </c>
      <c r="U6" s="7">
        <f>Calculations!Y139</f>
        <v>0</v>
      </c>
      <c r="V6" s="7">
        <f>Calculations!Z139</f>
        <v>0</v>
      </c>
      <c r="W6" s="7">
        <f>Calculations!AA139</f>
        <v>0</v>
      </c>
      <c r="X6" s="7">
        <f>Calculations!AB139</f>
        <v>0</v>
      </c>
      <c r="Y6" s="7">
        <f>Calculations!AC139</f>
        <v>0</v>
      </c>
      <c r="Z6" s="7">
        <f>Calculations!AD139</f>
        <v>0</v>
      </c>
      <c r="AA6" s="7">
        <f>Calculations!AE139</f>
        <v>0</v>
      </c>
      <c r="AB6" s="7">
        <f>Calculations!AF139</f>
        <v>0</v>
      </c>
    </row>
    <row r="7" spans="1:30" x14ac:dyDescent="0.25">
      <c r="A7" s="1" t="s">
        <v>88</v>
      </c>
      <c r="B7" s="7">
        <f>Calculations!F140</f>
        <v>158104000000000</v>
      </c>
      <c r="C7" s="7">
        <f>Calculations!G140</f>
        <v>143682000000000</v>
      </c>
      <c r="D7" s="7">
        <f>Calculations!H140</f>
        <v>143682000000000</v>
      </c>
      <c r="E7" s="7">
        <f>Calculations!I140</f>
        <v>143682000000000</v>
      </c>
      <c r="F7" s="7">
        <f>Calculations!J140</f>
        <v>143682000000000</v>
      </c>
      <c r="G7" s="7">
        <f>Calculations!K140</f>
        <v>143682000000000</v>
      </c>
      <c r="H7" s="7">
        <f>Calculations!L140</f>
        <v>143682000000000</v>
      </c>
      <c r="I7" s="7">
        <f>Calculations!M140</f>
        <v>143682000000000</v>
      </c>
      <c r="J7" s="7">
        <f>Calculations!N140</f>
        <v>143682000000000</v>
      </c>
      <c r="K7" s="7">
        <f>Calculations!O140</f>
        <v>143682000000000</v>
      </c>
      <c r="L7" s="7">
        <f>Calculations!P140</f>
        <v>143682000000000</v>
      </c>
      <c r="M7" s="7">
        <f>Calculations!Q140</f>
        <v>143682000000000</v>
      </c>
      <c r="N7" s="7">
        <f>Calculations!R140</f>
        <v>143682000000000</v>
      </c>
      <c r="O7" s="7">
        <f>Calculations!S140</f>
        <v>143682000000000</v>
      </c>
      <c r="P7" s="7">
        <f>Calculations!T140</f>
        <v>143682000000000</v>
      </c>
      <c r="Q7" s="7">
        <f>Calculations!U140</f>
        <v>143682000000000</v>
      </c>
      <c r="R7" s="7">
        <f>Calculations!V140</f>
        <v>143682000000000</v>
      </c>
      <c r="S7" s="7">
        <f>Calculations!W140</f>
        <v>143682000000000</v>
      </c>
      <c r="T7" s="7">
        <f>Calculations!X140</f>
        <v>143682000000000</v>
      </c>
      <c r="U7" s="7">
        <f>Calculations!Y140</f>
        <v>143682000000000</v>
      </c>
      <c r="V7" s="7">
        <f>Calculations!Z140</f>
        <v>143682000000000</v>
      </c>
      <c r="W7" s="7">
        <f>Calculations!AA140</f>
        <v>143682000000000</v>
      </c>
      <c r="X7" s="7">
        <f>Calculations!AB140</f>
        <v>143682000000000</v>
      </c>
      <c r="Y7" s="7">
        <f>Calculations!AC140</f>
        <v>143682000000000</v>
      </c>
      <c r="Z7" s="7">
        <f>Calculations!AD140</f>
        <v>143682000000000</v>
      </c>
      <c r="AA7" s="7">
        <f>Calculations!AE140</f>
        <v>143682000000000</v>
      </c>
      <c r="AB7" s="7">
        <f>Calculations!AF140</f>
        <v>143682000000000</v>
      </c>
    </row>
    <row r="8" spans="1:30" x14ac:dyDescent="0.25">
      <c r="A8" s="1" t="s">
        <v>934</v>
      </c>
      <c r="B8" s="7">
        <f>Calculations!F141</f>
        <v>0</v>
      </c>
      <c r="C8" s="7">
        <f>Calculations!G141</f>
        <v>0</v>
      </c>
      <c r="D8" s="7">
        <f>Calculations!H141</f>
        <v>0</v>
      </c>
      <c r="E8" s="7">
        <f>Calculations!I141</f>
        <v>0</v>
      </c>
      <c r="F8" s="7">
        <f>Calculations!J141</f>
        <v>0</v>
      </c>
      <c r="G8" s="7">
        <f>Calculations!K141</f>
        <v>0</v>
      </c>
      <c r="H8" s="7">
        <f>Calculations!L141</f>
        <v>0</v>
      </c>
      <c r="I8" s="7">
        <f>Calculations!M141</f>
        <v>0</v>
      </c>
      <c r="J8" s="7">
        <f>Calculations!N141</f>
        <v>0</v>
      </c>
      <c r="K8" s="7">
        <f>Calculations!O141</f>
        <v>0</v>
      </c>
      <c r="L8" s="7">
        <f>Calculations!P141</f>
        <v>0</v>
      </c>
      <c r="M8" s="7">
        <f>Calculations!Q141</f>
        <v>0</v>
      </c>
      <c r="N8" s="7">
        <f>Calculations!R141</f>
        <v>0</v>
      </c>
      <c r="O8" s="7">
        <f>Calculations!S141</f>
        <v>0</v>
      </c>
      <c r="P8" s="7">
        <f>Calculations!T141</f>
        <v>0</v>
      </c>
      <c r="Q8" s="7">
        <f>Calculations!U141</f>
        <v>0</v>
      </c>
      <c r="R8" s="7">
        <f>Calculations!V141</f>
        <v>0</v>
      </c>
      <c r="S8" s="7">
        <f>Calculations!W141</f>
        <v>0</v>
      </c>
      <c r="T8" s="7">
        <f>Calculations!X141</f>
        <v>0</v>
      </c>
      <c r="U8" s="7">
        <f>Calculations!Y141</f>
        <v>0</v>
      </c>
      <c r="V8" s="7">
        <f>Calculations!Z141</f>
        <v>0</v>
      </c>
      <c r="W8" s="7">
        <f>Calculations!AA141</f>
        <v>0</v>
      </c>
      <c r="X8" s="7">
        <f>Calculations!AB141</f>
        <v>0</v>
      </c>
      <c r="Y8" s="7">
        <f>Calculations!AC141</f>
        <v>0</v>
      </c>
      <c r="Z8" s="7">
        <f>Calculations!AD141</f>
        <v>0</v>
      </c>
      <c r="AA8" s="7">
        <f>Calculations!AE141</f>
        <v>0</v>
      </c>
      <c r="AB8" s="7">
        <f>Calculations!AF141</f>
        <v>0</v>
      </c>
    </row>
    <row r="9" spans="1:30" x14ac:dyDescent="0.25">
      <c r="A9" s="1" t="s">
        <v>935</v>
      </c>
      <c r="B9" s="7">
        <f>Calculations!F142</f>
        <v>0</v>
      </c>
      <c r="C9" s="7">
        <f>Calculations!G142</f>
        <v>0</v>
      </c>
      <c r="D9" s="7">
        <f>Calculations!H142</f>
        <v>0</v>
      </c>
      <c r="E9" s="7">
        <f>Calculations!I142</f>
        <v>0</v>
      </c>
      <c r="F9" s="7">
        <f>Calculations!J142</f>
        <v>0</v>
      </c>
      <c r="G9" s="7">
        <f>Calculations!K142</f>
        <v>0</v>
      </c>
      <c r="H9" s="7">
        <f>Calculations!L142</f>
        <v>0</v>
      </c>
      <c r="I9" s="7">
        <f>Calculations!M142</f>
        <v>0</v>
      </c>
      <c r="J9" s="7">
        <f>Calculations!N142</f>
        <v>0</v>
      </c>
      <c r="K9" s="7">
        <f>Calculations!O142</f>
        <v>0</v>
      </c>
      <c r="L9" s="7">
        <f>Calculations!P142</f>
        <v>0</v>
      </c>
      <c r="M9" s="7">
        <f>Calculations!Q142</f>
        <v>0</v>
      </c>
      <c r="N9" s="7">
        <f>Calculations!R142</f>
        <v>0</v>
      </c>
      <c r="O9" s="7">
        <f>Calculations!S142</f>
        <v>0</v>
      </c>
      <c r="P9" s="7">
        <f>Calculations!T142</f>
        <v>0</v>
      </c>
      <c r="Q9" s="7">
        <f>Calculations!U142</f>
        <v>0</v>
      </c>
      <c r="R9" s="7">
        <f>Calculations!V142</f>
        <v>0</v>
      </c>
      <c r="S9" s="7">
        <f>Calculations!W142</f>
        <v>0</v>
      </c>
      <c r="T9" s="7">
        <f>Calculations!X142</f>
        <v>0</v>
      </c>
      <c r="U9" s="7">
        <f>Calculations!Y142</f>
        <v>0</v>
      </c>
      <c r="V9" s="7">
        <f>Calculations!Z142</f>
        <v>0</v>
      </c>
      <c r="W9" s="7">
        <f>Calculations!AA142</f>
        <v>0</v>
      </c>
      <c r="X9" s="7">
        <f>Calculations!AB142</f>
        <v>0</v>
      </c>
      <c r="Y9" s="7">
        <f>Calculations!AC142</f>
        <v>0</v>
      </c>
      <c r="Z9" s="7">
        <f>Calculations!AD142</f>
        <v>0</v>
      </c>
      <c r="AA9" s="7">
        <f>Calculations!AE142</f>
        <v>0</v>
      </c>
      <c r="AB9" s="7">
        <f>Calculations!AF142</f>
        <v>0</v>
      </c>
    </row>
    <row r="10" spans="1:30" x14ac:dyDescent="0.25">
      <c r="A10" s="1" t="s">
        <v>77</v>
      </c>
      <c r="B10" s="7">
        <f>Calculations!F143</f>
        <v>140943680167118.59</v>
      </c>
      <c r="C10" s="7">
        <f>Calculations!G143</f>
        <v>146997286275822.72</v>
      </c>
      <c r="D10" s="7">
        <f>Calculations!H143</f>
        <v>144868389114859.72</v>
      </c>
      <c r="E10" s="7">
        <f>Calculations!I143</f>
        <v>141761830256490.34</v>
      </c>
      <c r="F10" s="7">
        <f>Calculations!J143</f>
        <v>141198834826897.56</v>
      </c>
      <c r="G10" s="7">
        <f>Calculations!K143</f>
        <v>140346425355041.95</v>
      </c>
      <c r="H10" s="7">
        <f>Calculations!L143</f>
        <v>139621686212642.2</v>
      </c>
      <c r="I10" s="7">
        <f>Calculations!M143</f>
        <v>138865795726802.72</v>
      </c>
      <c r="J10" s="7">
        <f>Calculations!N143</f>
        <v>138261913251593.91</v>
      </c>
      <c r="K10" s="7">
        <f>Calculations!O143</f>
        <v>137840311122935.91</v>
      </c>
      <c r="L10" s="7">
        <f>Calculations!P143</f>
        <v>137478024873895.81</v>
      </c>
      <c r="M10" s="7">
        <f>Calculations!Q143</f>
        <v>137040300278806.94</v>
      </c>
      <c r="N10" s="7">
        <f>Calculations!R143</f>
        <v>136634904204194.84</v>
      </c>
      <c r="O10" s="7">
        <f>Calculations!S143</f>
        <v>136233918262784.02</v>
      </c>
      <c r="P10" s="7">
        <f>Calculations!T143</f>
        <v>135755205303370.78</v>
      </c>
      <c r="Q10" s="7">
        <f>Calculations!U143</f>
        <v>135203439219868.97</v>
      </c>
      <c r="R10" s="7">
        <f>Calculations!V143</f>
        <v>134535421524594.39</v>
      </c>
      <c r="S10" s="7">
        <f>Calculations!W143</f>
        <v>133786738279683.78</v>
      </c>
      <c r="T10" s="7">
        <f>Calculations!X143</f>
        <v>132983339198409.7</v>
      </c>
      <c r="U10" s="7">
        <f>Calculations!Y143</f>
        <v>132083778670491.34</v>
      </c>
      <c r="V10" s="7">
        <f>Calculations!Z143</f>
        <v>131138338583870.39</v>
      </c>
      <c r="W10" s="7">
        <f>Calculations!AA143</f>
        <v>130152470695811.72</v>
      </c>
      <c r="X10" s="7">
        <f>Calculations!AB143</f>
        <v>129146503459290.2</v>
      </c>
      <c r="Y10" s="7">
        <f>Calculations!AC143</f>
        <v>128100729778873.88</v>
      </c>
      <c r="Z10" s="7">
        <f>Calculations!AD143</f>
        <v>127044560338408.31</v>
      </c>
      <c r="AA10" s="7">
        <f>Calculations!AE143</f>
        <v>125972330735522.78</v>
      </c>
      <c r="AB10" s="7">
        <f>Calculations!AF143</f>
        <v>124888678402079.66</v>
      </c>
    </row>
    <row r="11" spans="1:30" x14ac:dyDescent="0.25">
      <c r="A11" s="1" t="s">
        <v>936</v>
      </c>
      <c r="B11" s="7">
        <f>Calculations!F144</f>
        <v>0</v>
      </c>
      <c r="C11" s="7">
        <f>Calculations!G144</f>
        <v>0</v>
      </c>
      <c r="D11" s="7">
        <f>Calculations!H144</f>
        <v>0</v>
      </c>
      <c r="E11" s="7">
        <f>Calculations!I144</f>
        <v>0</v>
      </c>
      <c r="F11" s="7">
        <f>Calculations!J144</f>
        <v>0</v>
      </c>
      <c r="G11" s="7">
        <f>Calculations!K144</f>
        <v>0</v>
      </c>
      <c r="H11" s="7">
        <f>Calculations!L144</f>
        <v>0</v>
      </c>
      <c r="I11" s="7">
        <f>Calculations!M144</f>
        <v>0</v>
      </c>
      <c r="J11" s="7">
        <f>Calculations!N144</f>
        <v>0</v>
      </c>
      <c r="K11" s="7">
        <f>Calculations!O144</f>
        <v>0</v>
      </c>
      <c r="L11" s="7">
        <f>Calculations!P144</f>
        <v>0</v>
      </c>
      <c r="M11" s="7">
        <f>Calculations!Q144</f>
        <v>0</v>
      </c>
      <c r="N11" s="7">
        <f>Calculations!R144</f>
        <v>0</v>
      </c>
      <c r="O11" s="7">
        <f>Calculations!S144</f>
        <v>0</v>
      </c>
      <c r="P11" s="7">
        <f>Calculations!T144</f>
        <v>0</v>
      </c>
      <c r="Q11" s="7">
        <f>Calculations!U144</f>
        <v>0</v>
      </c>
      <c r="R11" s="7">
        <f>Calculations!V144</f>
        <v>0</v>
      </c>
      <c r="S11" s="7">
        <f>Calculations!W144</f>
        <v>0</v>
      </c>
      <c r="T11" s="7">
        <f>Calculations!X144</f>
        <v>0</v>
      </c>
      <c r="U11" s="7">
        <f>Calculations!Y144</f>
        <v>0</v>
      </c>
      <c r="V11" s="7">
        <f>Calculations!Z144</f>
        <v>0</v>
      </c>
      <c r="W11" s="7">
        <f>Calculations!AA144</f>
        <v>0</v>
      </c>
      <c r="X11" s="7">
        <f>Calculations!AB144</f>
        <v>0</v>
      </c>
      <c r="Y11" s="7">
        <f>Calculations!AC144</f>
        <v>0</v>
      </c>
      <c r="Z11" s="7">
        <f>Calculations!AD144</f>
        <v>0</v>
      </c>
      <c r="AA11" s="7">
        <f>Calculations!AE144</f>
        <v>0</v>
      </c>
      <c r="AB11" s="7">
        <f>Calculations!AF144</f>
        <v>0</v>
      </c>
    </row>
  </sheetData>
  <pageMargins left="0.7" right="0.7" top="0.75" bottom="0.75" header="0.3" footer="0.3"/>
  <pageSetup orientation="portrait" horizontalDpi="1200" verticalDpi="12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D11"/>
  <sheetViews>
    <sheetView workbookViewId="0">
      <selection activeCell="D2" sqref="D2"/>
    </sheetView>
  </sheetViews>
  <sheetFormatPr defaultRowHeight="15" x14ac:dyDescent="0.25"/>
  <cols>
    <col min="1" max="1" width="29.85546875" customWidth="1"/>
    <col min="2" max="28" width="9.5703125" bestFit="1" customWidth="1"/>
  </cols>
  <sheetData>
    <row r="1" spans="1:30" x14ac:dyDescent="0.25">
      <c r="A1" s="1" t="s">
        <v>915</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v>
      </c>
      <c r="B2" s="7">
        <f>Calculations!F148</f>
        <v>1317524000000000.3</v>
      </c>
      <c r="C2" s="7">
        <f>Calculations!G148</f>
        <v>1184062449717974.3</v>
      </c>
      <c r="D2" s="7">
        <f>Calculations!H148</f>
        <v>1144009099654679.5</v>
      </c>
      <c r="E2" s="7">
        <f>Calculations!I148</f>
        <v>1151724890523402</v>
      </c>
      <c r="F2" s="7">
        <f>Calculations!J148</f>
        <v>1163588501209159</v>
      </c>
      <c r="G2" s="7">
        <f>Calculations!K148</f>
        <v>1173713219844025.5</v>
      </c>
      <c r="H2" s="7">
        <f>Calculations!L148</f>
        <v>1180089844474418</v>
      </c>
      <c r="I2" s="7">
        <f>Calculations!M148</f>
        <v>1186732047086823.5</v>
      </c>
      <c r="J2" s="7">
        <f>Calculations!N148</f>
        <v>1193630459362382.5</v>
      </c>
      <c r="K2" s="7">
        <f>Calculations!O148</f>
        <v>1200415329954321.8</v>
      </c>
      <c r="L2" s="7">
        <f>Calculations!P148</f>
        <v>1207075283290257.8</v>
      </c>
      <c r="M2" s="7">
        <f>Calculations!Q148</f>
        <v>1213573824514396.5</v>
      </c>
      <c r="N2" s="7">
        <f>Calculations!R148</f>
        <v>1220004291999773</v>
      </c>
      <c r="O2" s="7">
        <f>Calculations!S148</f>
        <v>1226136829002436.8</v>
      </c>
      <c r="P2" s="7">
        <f>Calculations!T148</f>
        <v>1232144653788799</v>
      </c>
      <c r="Q2" s="7">
        <f>Calculations!U148</f>
        <v>1237719752704869.5</v>
      </c>
      <c r="R2" s="7">
        <f>Calculations!V148</f>
        <v>1243429930945435.8</v>
      </c>
      <c r="S2" s="7">
        <f>Calculations!W148</f>
        <v>1249669433779761.3</v>
      </c>
      <c r="T2" s="7">
        <f>Calculations!X148</f>
        <v>1255778219934627.5</v>
      </c>
      <c r="U2" s="7">
        <f>Calculations!Y148</f>
        <v>1262414046742327.5</v>
      </c>
      <c r="V2" s="7">
        <f>Calculations!Z148</f>
        <v>1269040145074845.3</v>
      </c>
      <c r="W2" s="7">
        <f>Calculations!AA148</f>
        <v>1275642152311308.8</v>
      </c>
      <c r="X2" s="7">
        <f>Calculations!AB148</f>
        <v>1281711710722970.8</v>
      </c>
      <c r="Y2" s="7">
        <f>Calculations!AC148</f>
        <v>1287419476586679</v>
      </c>
      <c r="Z2" s="7">
        <f>Calculations!AD148</f>
        <v>1292876812737433.8</v>
      </c>
      <c r="AA2" s="7">
        <f>Calculations!AE148</f>
        <v>1298583635772015.5</v>
      </c>
      <c r="AB2" s="7">
        <f>Calculations!AF148</f>
        <v>1304023307538892</v>
      </c>
    </row>
    <row r="3" spans="1:30" x14ac:dyDescent="0.25">
      <c r="A3" s="1" t="s">
        <v>932</v>
      </c>
      <c r="B3" s="7">
        <f>Calculations!F149</f>
        <v>0</v>
      </c>
      <c r="C3" s="7">
        <f>Calculations!G149</f>
        <v>0</v>
      </c>
      <c r="D3" s="7">
        <f>Calculations!H149</f>
        <v>0</v>
      </c>
      <c r="E3" s="7">
        <f>Calculations!I149</f>
        <v>0</v>
      </c>
      <c r="F3" s="7">
        <f>Calculations!J149</f>
        <v>0</v>
      </c>
      <c r="G3" s="7">
        <f>Calculations!K149</f>
        <v>0</v>
      </c>
      <c r="H3" s="7">
        <f>Calculations!L149</f>
        <v>0</v>
      </c>
      <c r="I3" s="7">
        <f>Calculations!M149</f>
        <v>0</v>
      </c>
      <c r="J3" s="7">
        <f>Calculations!N149</f>
        <v>0</v>
      </c>
      <c r="K3" s="7">
        <f>Calculations!O149</f>
        <v>0</v>
      </c>
      <c r="L3" s="7">
        <f>Calculations!P149</f>
        <v>0</v>
      </c>
      <c r="M3" s="7">
        <f>Calculations!Q149</f>
        <v>0</v>
      </c>
      <c r="N3" s="7">
        <f>Calculations!R149</f>
        <v>0</v>
      </c>
      <c r="O3" s="7">
        <f>Calculations!S149</f>
        <v>0</v>
      </c>
      <c r="P3" s="7">
        <f>Calculations!T149</f>
        <v>0</v>
      </c>
      <c r="Q3" s="7">
        <f>Calculations!U149</f>
        <v>0</v>
      </c>
      <c r="R3" s="7">
        <f>Calculations!V149</f>
        <v>0</v>
      </c>
      <c r="S3" s="7">
        <f>Calculations!W149</f>
        <v>0</v>
      </c>
      <c r="T3" s="7">
        <f>Calculations!X149</f>
        <v>0</v>
      </c>
      <c r="U3" s="7">
        <f>Calculations!Y149</f>
        <v>0</v>
      </c>
      <c r="V3" s="7">
        <f>Calculations!Z149</f>
        <v>0</v>
      </c>
      <c r="W3" s="7">
        <f>Calculations!AA149</f>
        <v>0</v>
      </c>
      <c r="X3" s="7">
        <f>Calculations!AB149</f>
        <v>0</v>
      </c>
      <c r="Y3" s="7">
        <f>Calculations!AC149</f>
        <v>0</v>
      </c>
      <c r="Z3" s="7">
        <f>Calculations!AD149</f>
        <v>0</v>
      </c>
      <c r="AA3" s="7">
        <f>Calculations!AE149</f>
        <v>0</v>
      </c>
      <c r="AB3" s="7">
        <f>Calculations!AF149</f>
        <v>0</v>
      </c>
    </row>
    <row r="4" spans="1:30" x14ac:dyDescent="0.25">
      <c r="A4" s="1" t="s">
        <v>53</v>
      </c>
      <c r="B4" s="7">
        <f>Calculations!F150</f>
        <v>18320000000000</v>
      </c>
      <c r="C4" s="7">
        <f>Calculations!G150</f>
        <v>15692000000000.002</v>
      </c>
      <c r="D4" s="7">
        <f>Calculations!H150</f>
        <v>17612000000000</v>
      </c>
      <c r="E4" s="7">
        <f>Calculations!I150</f>
        <v>17945000000000</v>
      </c>
      <c r="F4" s="7">
        <f>Calculations!J150</f>
        <v>18169000000000</v>
      </c>
      <c r="G4" s="7">
        <f>Calculations!K150</f>
        <v>18287000000000</v>
      </c>
      <c r="H4" s="7">
        <f>Calculations!L150</f>
        <v>18392000000000</v>
      </c>
      <c r="I4" s="7">
        <f>Calculations!M150</f>
        <v>18555000000000</v>
      </c>
      <c r="J4" s="7">
        <f>Calculations!N150</f>
        <v>18871000000000</v>
      </c>
      <c r="K4" s="7">
        <f>Calculations!O150</f>
        <v>19280000000000</v>
      </c>
      <c r="L4" s="7">
        <f>Calculations!P150</f>
        <v>19785000000000</v>
      </c>
      <c r="M4" s="7">
        <f>Calculations!Q150</f>
        <v>20338000000000</v>
      </c>
      <c r="N4" s="7">
        <f>Calculations!R150</f>
        <v>20947000000000</v>
      </c>
      <c r="O4" s="7">
        <f>Calculations!S150</f>
        <v>21603000000000</v>
      </c>
      <c r="P4" s="7">
        <f>Calculations!T150</f>
        <v>22292000000000</v>
      </c>
      <c r="Q4" s="7">
        <f>Calculations!U150</f>
        <v>23007000000000</v>
      </c>
      <c r="R4" s="7">
        <f>Calculations!V150</f>
        <v>23771000000000</v>
      </c>
      <c r="S4" s="7">
        <f>Calculations!W150</f>
        <v>24568000000000</v>
      </c>
      <c r="T4" s="7">
        <f>Calculations!X150</f>
        <v>25421000000000</v>
      </c>
      <c r="U4" s="7">
        <f>Calculations!Y150</f>
        <v>26326000000000</v>
      </c>
      <c r="V4" s="7">
        <f>Calculations!Z150</f>
        <v>27285000000000</v>
      </c>
      <c r="W4" s="7">
        <f>Calculations!AA150</f>
        <v>28298000000000</v>
      </c>
      <c r="X4" s="7">
        <f>Calculations!AB150</f>
        <v>29311000000000</v>
      </c>
      <c r="Y4" s="7">
        <f>Calculations!AC150</f>
        <v>30356000000000</v>
      </c>
      <c r="Z4" s="7">
        <f>Calculations!AD150</f>
        <v>31434999999999.996</v>
      </c>
      <c r="AA4" s="7">
        <f>Calculations!AE150</f>
        <v>32570000000000</v>
      </c>
      <c r="AB4" s="7">
        <f>Calculations!AF150</f>
        <v>33763000000000</v>
      </c>
    </row>
    <row r="5" spans="1:30" x14ac:dyDescent="0.25">
      <c r="A5" s="1" t="s">
        <v>68</v>
      </c>
      <c r="B5" s="7">
        <f>Calculations!F151</f>
        <v>0</v>
      </c>
      <c r="C5" s="7">
        <f>Calculations!G151</f>
        <v>0</v>
      </c>
      <c r="D5" s="7">
        <f>Calculations!H151</f>
        <v>0</v>
      </c>
      <c r="E5" s="7">
        <f>Calculations!I151</f>
        <v>0</v>
      </c>
      <c r="F5" s="7">
        <f>Calculations!J151</f>
        <v>0</v>
      </c>
      <c r="G5" s="7">
        <f>Calculations!K151</f>
        <v>0</v>
      </c>
      <c r="H5" s="7">
        <f>Calculations!L151</f>
        <v>0</v>
      </c>
      <c r="I5" s="7">
        <f>Calculations!M151</f>
        <v>0</v>
      </c>
      <c r="J5" s="7">
        <f>Calculations!N151</f>
        <v>0</v>
      </c>
      <c r="K5" s="7">
        <f>Calculations!O151</f>
        <v>0</v>
      </c>
      <c r="L5" s="7">
        <f>Calculations!P151</f>
        <v>0</v>
      </c>
      <c r="M5" s="7">
        <f>Calculations!Q151</f>
        <v>0</v>
      </c>
      <c r="N5" s="7">
        <f>Calculations!R151</f>
        <v>0</v>
      </c>
      <c r="O5" s="7">
        <f>Calculations!S151</f>
        <v>0</v>
      </c>
      <c r="P5" s="7">
        <f>Calculations!T151</f>
        <v>0</v>
      </c>
      <c r="Q5" s="7">
        <f>Calculations!U151</f>
        <v>0</v>
      </c>
      <c r="R5" s="7">
        <f>Calculations!V151</f>
        <v>0</v>
      </c>
      <c r="S5" s="7">
        <f>Calculations!W151</f>
        <v>0</v>
      </c>
      <c r="T5" s="7">
        <f>Calculations!X151</f>
        <v>0</v>
      </c>
      <c r="U5" s="7">
        <f>Calculations!Y151</f>
        <v>0</v>
      </c>
      <c r="V5" s="7">
        <f>Calculations!Z151</f>
        <v>0</v>
      </c>
      <c r="W5" s="7">
        <f>Calculations!AA151</f>
        <v>0</v>
      </c>
      <c r="X5" s="7">
        <f>Calculations!AB151</f>
        <v>0</v>
      </c>
      <c r="Y5" s="7">
        <f>Calculations!AC151</f>
        <v>0</v>
      </c>
      <c r="Z5" s="7">
        <f>Calculations!AD151</f>
        <v>0</v>
      </c>
      <c r="AA5" s="7">
        <f>Calculations!AE151</f>
        <v>0</v>
      </c>
      <c r="AB5" s="7">
        <f>Calculations!AF151</f>
        <v>0</v>
      </c>
    </row>
    <row r="6" spans="1:30" x14ac:dyDescent="0.25">
      <c r="A6" s="1" t="s">
        <v>933</v>
      </c>
      <c r="B6" s="7">
        <f>Calculations!F152</f>
        <v>0</v>
      </c>
      <c r="C6" s="7">
        <f>Calculations!G152</f>
        <v>0</v>
      </c>
      <c r="D6" s="7">
        <f>Calculations!H152</f>
        <v>0</v>
      </c>
      <c r="E6" s="7">
        <f>Calculations!I152</f>
        <v>0</v>
      </c>
      <c r="F6" s="7">
        <f>Calculations!J152</f>
        <v>0</v>
      </c>
      <c r="G6" s="7">
        <f>Calculations!K152</f>
        <v>0</v>
      </c>
      <c r="H6" s="7">
        <f>Calculations!L152</f>
        <v>0</v>
      </c>
      <c r="I6" s="7">
        <f>Calculations!M152</f>
        <v>0</v>
      </c>
      <c r="J6" s="7">
        <f>Calculations!N152</f>
        <v>0</v>
      </c>
      <c r="K6" s="7">
        <f>Calculations!O152</f>
        <v>0</v>
      </c>
      <c r="L6" s="7">
        <f>Calculations!P152</f>
        <v>0</v>
      </c>
      <c r="M6" s="7">
        <f>Calculations!Q152</f>
        <v>0</v>
      </c>
      <c r="N6" s="7">
        <f>Calculations!R152</f>
        <v>0</v>
      </c>
      <c r="O6" s="7">
        <f>Calculations!S152</f>
        <v>0</v>
      </c>
      <c r="P6" s="7">
        <f>Calculations!T152</f>
        <v>0</v>
      </c>
      <c r="Q6" s="7">
        <f>Calculations!U152</f>
        <v>0</v>
      </c>
      <c r="R6" s="7">
        <f>Calculations!V152</f>
        <v>0</v>
      </c>
      <c r="S6" s="7">
        <f>Calculations!W152</f>
        <v>0</v>
      </c>
      <c r="T6" s="7">
        <f>Calculations!X152</f>
        <v>0</v>
      </c>
      <c r="U6" s="7">
        <f>Calculations!Y152</f>
        <v>0</v>
      </c>
      <c r="V6" s="7">
        <f>Calculations!Z152</f>
        <v>0</v>
      </c>
      <c r="W6" s="7">
        <f>Calculations!AA152</f>
        <v>0</v>
      </c>
      <c r="X6" s="7">
        <f>Calculations!AB152</f>
        <v>0</v>
      </c>
      <c r="Y6" s="7">
        <f>Calculations!AC152</f>
        <v>0</v>
      </c>
      <c r="Z6" s="7">
        <f>Calculations!AD152</f>
        <v>0</v>
      </c>
      <c r="AA6" s="7">
        <f>Calculations!AE152</f>
        <v>0</v>
      </c>
      <c r="AB6" s="7">
        <f>Calculations!AF152</f>
        <v>0</v>
      </c>
    </row>
    <row r="7" spans="1:30" x14ac:dyDescent="0.25">
      <c r="A7" s="1" t="s">
        <v>88</v>
      </c>
      <c r="B7" s="7">
        <f>Calculations!F153</f>
        <v>0</v>
      </c>
      <c r="C7" s="7">
        <f>Calculations!G153</f>
        <v>0</v>
      </c>
      <c r="D7" s="7">
        <f>Calculations!H153</f>
        <v>0</v>
      </c>
      <c r="E7" s="7">
        <f>Calculations!I153</f>
        <v>0</v>
      </c>
      <c r="F7" s="7">
        <f>Calculations!J153</f>
        <v>0</v>
      </c>
      <c r="G7" s="7">
        <f>Calculations!K153</f>
        <v>0</v>
      </c>
      <c r="H7" s="7">
        <f>Calculations!L153</f>
        <v>0</v>
      </c>
      <c r="I7" s="7">
        <f>Calculations!M153</f>
        <v>0</v>
      </c>
      <c r="J7" s="7">
        <f>Calculations!N153</f>
        <v>0</v>
      </c>
      <c r="K7" s="7">
        <f>Calculations!O153</f>
        <v>0</v>
      </c>
      <c r="L7" s="7">
        <f>Calculations!P153</f>
        <v>0</v>
      </c>
      <c r="M7" s="7">
        <f>Calculations!Q153</f>
        <v>0</v>
      </c>
      <c r="N7" s="7">
        <f>Calculations!R153</f>
        <v>0</v>
      </c>
      <c r="O7" s="7">
        <f>Calculations!S153</f>
        <v>0</v>
      </c>
      <c r="P7" s="7">
        <f>Calculations!T153</f>
        <v>0</v>
      </c>
      <c r="Q7" s="7">
        <f>Calculations!U153</f>
        <v>0</v>
      </c>
      <c r="R7" s="7">
        <f>Calculations!V153</f>
        <v>0</v>
      </c>
      <c r="S7" s="7">
        <f>Calculations!W153</f>
        <v>0</v>
      </c>
      <c r="T7" s="7">
        <f>Calculations!X153</f>
        <v>0</v>
      </c>
      <c r="U7" s="7">
        <f>Calculations!Y153</f>
        <v>0</v>
      </c>
      <c r="V7" s="7">
        <f>Calculations!Z153</f>
        <v>0</v>
      </c>
      <c r="W7" s="7">
        <f>Calculations!AA153</f>
        <v>0</v>
      </c>
      <c r="X7" s="7">
        <f>Calculations!AB153</f>
        <v>0</v>
      </c>
      <c r="Y7" s="7">
        <f>Calculations!AC153</f>
        <v>0</v>
      </c>
      <c r="Z7" s="7">
        <f>Calculations!AD153</f>
        <v>0</v>
      </c>
      <c r="AA7" s="7">
        <f>Calculations!AE153</f>
        <v>0</v>
      </c>
      <c r="AB7" s="7">
        <f>Calculations!AF153</f>
        <v>0</v>
      </c>
    </row>
    <row r="8" spans="1:30" x14ac:dyDescent="0.25">
      <c r="A8" s="1" t="s">
        <v>934</v>
      </c>
      <c r="B8" s="7">
        <f>Calculations!F154</f>
        <v>0</v>
      </c>
      <c r="C8" s="7">
        <f>Calculations!G154</f>
        <v>0</v>
      </c>
      <c r="D8" s="7">
        <f>Calculations!H154</f>
        <v>0</v>
      </c>
      <c r="E8" s="7">
        <f>Calculations!I154</f>
        <v>0</v>
      </c>
      <c r="F8" s="7">
        <f>Calculations!J154</f>
        <v>0</v>
      </c>
      <c r="G8" s="7">
        <f>Calculations!K154</f>
        <v>0</v>
      </c>
      <c r="H8" s="7">
        <f>Calculations!L154</f>
        <v>0</v>
      </c>
      <c r="I8" s="7">
        <f>Calculations!M154</f>
        <v>0</v>
      </c>
      <c r="J8" s="7">
        <f>Calculations!N154</f>
        <v>0</v>
      </c>
      <c r="K8" s="7">
        <f>Calculations!O154</f>
        <v>0</v>
      </c>
      <c r="L8" s="7">
        <f>Calculations!P154</f>
        <v>0</v>
      </c>
      <c r="M8" s="7">
        <f>Calculations!Q154</f>
        <v>0</v>
      </c>
      <c r="N8" s="7">
        <f>Calculations!R154</f>
        <v>0</v>
      </c>
      <c r="O8" s="7">
        <f>Calculations!S154</f>
        <v>0</v>
      </c>
      <c r="P8" s="7">
        <f>Calculations!T154</f>
        <v>0</v>
      </c>
      <c r="Q8" s="7">
        <f>Calculations!U154</f>
        <v>0</v>
      </c>
      <c r="R8" s="7">
        <f>Calculations!V154</f>
        <v>0</v>
      </c>
      <c r="S8" s="7">
        <f>Calculations!W154</f>
        <v>0</v>
      </c>
      <c r="T8" s="7">
        <f>Calculations!X154</f>
        <v>0</v>
      </c>
      <c r="U8" s="7">
        <f>Calculations!Y154</f>
        <v>0</v>
      </c>
      <c r="V8" s="7">
        <f>Calculations!Z154</f>
        <v>0</v>
      </c>
      <c r="W8" s="7">
        <f>Calculations!AA154</f>
        <v>0</v>
      </c>
      <c r="X8" s="7">
        <f>Calculations!AB154</f>
        <v>0</v>
      </c>
      <c r="Y8" s="7">
        <f>Calculations!AC154</f>
        <v>0</v>
      </c>
      <c r="Z8" s="7">
        <f>Calculations!AD154</f>
        <v>0</v>
      </c>
      <c r="AA8" s="7">
        <f>Calculations!AE154</f>
        <v>0</v>
      </c>
      <c r="AB8" s="7">
        <f>Calculations!AF154</f>
        <v>0</v>
      </c>
    </row>
    <row r="9" spans="1:30" x14ac:dyDescent="0.25">
      <c r="A9" s="1" t="s">
        <v>935</v>
      </c>
      <c r="B9" s="7">
        <f>Calculations!F155</f>
        <v>0</v>
      </c>
      <c r="C9" s="7">
        <f>Calculations!G155</f>
        <v>0</v>
      </c>
      <c r="D9" s="7">
        <f>Calculations!H155</f>
        <v>0</v>
      </c>
      <c r="E9" s="7">
        <f>Calculations!I155</f>
        <v>0</v>
      </c>
      <c r="F9" s="7">
        <f>Calculations!J155</f>
        <v>0</v>
      </c>
      <c r="G9" s="7">
        <f>Calculations!K155</f>
        <v>0</v>
      </c>
      <c r="H9" s="7">
        <f>Calculations!L155</f>
        <v>0</v>
      </c>
      <c r="I9" s="7">
        <f>Calculations!M155</f>
        <v>0</v>
      </c>
      <c r="J9" s="7">
        <f>Calculations!N155</f>
        <v>0</v>
      </c>
      <c r="K9" s="7">
        <f>Calculations!O155</f>
        <v>0</v>
      </c>
      <c r="L9" s="7">
        <f>Calculations!P155</f>
        <v>0</v>
      </c>
      <c r="M9" s="7">
        <f>Calculations!Q155</f>
        <v>0</v>
      </c>
      <c r="N9" s="7">
        <f>Calculations!R155</f>
        <v>0</v>
      </c>
      <c r="O9" s="7">
        <f>Calculations!S155</f>
        <v>0</v>
      </c>
      <c r="P9" s="7">
        <f>Calculations!T155</f>
        <v>0</v>
      </c>
      <c r="Q9" s="7">
        <f>Calculations!U155</f>
        <v>0</v>
      </c>
      <c r="R9" s="7">
        <f>Calculations!V155</f>
        <v>0</v>
      </c>
      <c r="S9" s="7">
        <f>Calculations!W155</f>
        <v>0</v>
      </c>
      <c r="T9" s="7">
        <f>Calculations!X155</f>
        <v>0</v>
      </c>
      <c r="U9" s="7">
        <f>Calculations!Y155</f>
        <v>0</v>
      </c>
      <c r="V9" s="7">
        <f>Calculations!Z155</f>
        <v>0</v>
      </c>
      <c r="W9" s="7">
        <f>Calculations!AA155</f>
        <v>0</v>
      </c>
      <c r="X9" s="7">
        <f>Calculations!AB155</f>
        <v>0</v>
      </c>
      <c r="Y9" s="7">
        <f>Calculations!AC155</f>
        <v>0</v>
      </c>
      <c r="Z9" s="7">
        <f>Calculations!AD155</f>
        <v>0</v>
      </c>
      <c r="AA9" s="7">
        <f>Calculations!AE155</f>
        <v>0</v>
      </c>
      <c r="AB9" s="7">
        <f>Calculations!AF155</f>
        <v>0</v>
      </c>
    </row>
    <row r="10" spans="1:30" x14ac:dyDescent="0.25">
      <c r="A10" s="1" t="s">
        <v>77</v>
      </c>
      <c r="B10" s="7">
        <f>Calculations!F156</f>
        <v>0</v>
      </c>
      <c r="C10" s="7">
        <f>Calculations!G156</f>
        <v>0</v>
      </c>
      <c r="D10" s="7">
        <f>Calculations!H156</f>
        <v>0</v>
      </c>
      <c r="E10" s="7">
        <f>Calculations!I156</f>
        <v>0</v>
      </c>
      <c r="F10" s="7">
        <f>Calculations!J156</f>
        <v>0</v>
      </c>
      <c r="G10" s="7">
        <f>Calculations!K156</f>
        <v>0</v>
      </c>
      <c r="H10" s="7">
        <f>Calculations!L156</f>
        <v>0</v>
      </c>
      <c r="I10" s="7">
        <f>Calculations!M156</f>
        <v>0</v>
      </c>
      <c r="J10" s="7">
        <f>Calculations!N156</f>
        <v>0</v>
      </c>
      <c r="K10" s="7">
        <f>Calculations!O156</f>
        <v>0</v>
      </c>
      <c r="L10" s="7">
        <f>Calculations!P156</f>
        <v>0</v>
      </c>
      <c r="M10" s="7">
        <f>Calculations!Q156</f>
        <v>0</v>
      </c>
      <c r="N10" s="7">
        <f>Calculations!R156</f>
        <v>0</v>
      </c>
      <c r="O10" s="7">
        <f>Calculations!S156</f>
        <v>0</v>
      </c>
      <c r="P10" s="7">
        <f>Calculations!T156</f>
        <v>0</v>
      </c>
      <c r="Q10" s="7">
        <f>Calculations!U156</f>
        <v>0</v>
      </c>
      <c r="R10" s="7">
        <f>Calculations!V156</f>
        <v>0</v>
      </c>
      <c r="S10" s="7">
        <f>Calculations!W156</f>
        <v>0</v>
      </c>
      <c r="T10" s="7">
        <f>Calculations!X156</f>
        <v>0</v>
      </c>
      <c r="U10" s="7">
        <f>Calculations!Y156</f>
        <v>0</v>
      </c>
      <c r="V10" s="7">
        <f>Calculations!Z156</f>
        <v>0</v>
      </c>
      <c r="W10" s="7">
        <f>Calculations!AA156</f>
        <v>0</v>
      </c>
      <c r="X10" s="7">
        <f>Calculations!AB156</f>
        <v>0</v>
      </c>
      <c r="Y10" s="7">
        <f>Calculations!AC156</f>
        <v>0</v>
      </c>
      <c r="Z10" s="7">
        <f>Calculations!AD156</f>
        <v>0</v>
      </c>
      <c r="AA10" s="7">
        <f>Calculations!AE156</f>
        <v>0</v>
      </c>
      <c r="AB10" s="7">
        <f>Calculations!AF156</f>
        <v>0</v>
      </c>
    </row>
    <row r="11" spans="1:30" x14ac:dyDescent="0.25">
      <c r="A11" s="1" t="s">
        <v>936</v>
      </c>
      <c r="B11" s="7">
        <f>Calculations!F157</f>
        <v>0</v>
      </c>
      <c r="C11" s="7">
        <f>Calculations!G157</f>
        <v>0</v>
      </c>
      <c r="D11" s="7">
        <f>Calculations!H157</f>
        <v>0</v>
      </c>
      <c r="E11" s="7">
        <f>Calculations!I157</f>
        <v>0</v>
      </c>
      <c r="F11" s="7">
        <f>Calculations!J157</f>
        <v>0</v>
      </c>
      <c r="G11" s="7">
        <f>Calculations!K157</f>
        <v>0</v>
      </c>
      <c r="H11" s="7">
        <f>Calculations!L157</f>
        <v>0</v>
      </c>
      <c r="I11" s="7">
        <f>Calculations!M157</f>
        <v>0</v>
      </c>
      <c r="J11" s="7">
        <f>Calculations!N157</f>
        <v>0</v>
      </c>
      <c r="K11" s="7">
        <f>Calculations!O157</f>
        <v>0</v>
      </c>
      <c r="L11" s="7">
        <f>Calculations!P157</f>
        <v>0</v>
      </c>
      <c r="M11" s="7">
        <f>Calculations!Q157</f>
        <v>0</v>
      </c>
      <c r="N11" s="7">
        <f>Calculations!R157</f>
        <v>0</v>
      </c>
      <c r="O11" s="7">
        <f>Calculations!S157</f>
        <v>0</v>
      </c>
      <c r="P11" s="7">
        <f>Calculations!T157</f>
        <v>0</v>
      </c>
      <c r="Q11" s="7">
        <f>Calculations!U157</f>
        <v>0</v>
      </c>
      <c r="R11" s="7">
        <f>Calculations!V157</f>
        <v>0</v>
      </c>
      <c r="S11" s="7">
        <f>Calculations!W157</f>
        <v>0</v>
      </c>
      <c r="T11" s="7">
        <f>Calculations!X157</f>
        <v>0</v>
      </c>
      <c r="U11" s="7">
        <f>Calculations!Y157</f>
        <v>0</v>
      </c>
      <c r="V11" s="7">
        <f>Calculations!Z157</f>
        <v>0</v>
      </c>
      <c r="W11" s="7">
        <f>Calculations!AA157</f>
        <v>0</v>
      </c>
      <c r="X11" s="7">
        <f>Calculations!AB157</f>
        <v>0</v>
      </c>
      <c r="Y11" s="7">
        <f>Calculations!AC157</f>
        <v>0</v>
      </c>
      <c r="Z11" s="7">
        <f>Calculations!AD157</f>
        <v>0</v>
      </c>
      <c r="AA11" s="7">
        <f>Calculations!AE157</f>
        <v>0</v>
      </c>
      <c r="AB11" s="7">
        <f>Calculations!AF157</f>
        <v>0</v>
      </c>
    </row>
  </sheetData>
  <pageMargins left="0.7" right="0.7" top="0.75" bottom="0.75" header="0.3" footer="0.3"/>
  <pageSetup orientation="portrait" horizontalDpi="1200" verticalDpi="12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D11"/>
  <sheetViews>
    <sheetView workbookViewId="0"/>
  </sheetViews>
  <sheetFormatPr defaultRowHeight="15" x14ac:dyDescent="0.25"/>
  <cols>
    <col min="1" max="1" width="29.85546875" customWidth="1"/>
    <col min="2" max="28" width="9.5703125" bestFit="1" customWidth="1"/>
  </cols>
  <sheetData>
    <row r="1" spans="1:30" x14ac:dyDescent="0.25">
      <c r="A1" s="1" t="s">
        <v>915</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v>
      </c>
      <c r="B2" s="7">
        <f>Calculations!F161</f>
        <v>575629000000000</v>
      </c>
      <c r="C2" s="7">
        <f>Calculations!G161</f>
        <v>564649000000000</v>
      </c>
      <c r="D2" s="7">
        <f>Calculations!H161</f>
        <v>553328000000000.06</v>
      </c>
      <c r="E2" s="7">
        <f>Calculations!I161</f>
        <v>547328999999999.94</v>
      </c>
      <c r="F2" s="7">
        <f>Calculations!J161</f>
        <v>545430000000000</v>
      </c>
      <c r="G2" s="7">
        <f>Calculations!K161</f>
        <v>543587999999999.94</v>
      </c>
      <c r="H2" s="7">
        <f>Calculations!L161</f>
        <v>532317999999999.94</v>
      </c>
      <c r="I2" s="7">
        <f>Calculations!M161</f>
        <v>522622000000000</v>
      </c>
      <c r="J2" s="7">
        <f>Calculations!N161</f>
        <v>514200000000000</v>
      </c>
      <c r="K2" s="7">
        <f>Calculations!O161</f>
        <v>506779000000000</v>
      </c>
      <c r="L2" s="7">
        <f>Calculations!P161</f>
        <v>499778000000000</v>
      </c>
      <c r="M2" s="7">
        <f>Calculations!Q161</f>
        <v>492952000000000</v>
      </c>
      <c r="N2" s="7">
        <f>Calculations!R161</f>
        <v>487289000000000</v>
      </c>
      <c r="O2" s="7">
        <f>Calculations!S161</f>
        <v>482486000000000</v>
      </c>
      <c r="P2" s="7">
        <f>Calculations!T161</f>
        <v>478498000000000</v>
      </c>
      <c r="Q2" s="7">
        <f>Calculations!U161</f>
        <v>475119000000000</v>
      </c>
      <c r="R2" s="7">
        <f>Calculations!V161</f>
        <v>470122000000000</v>
      </c>
      <c r="S2" s="7">
        <f>Calculations!W161</f>
        <v>466407000000000</v>
      </c>
      <c r="T2" s="7">
        <f>Calculations!X161</f>
        <v>463482000000000</v>
      </c>
      <c r="U2" s="7">
        <f>Calculations!Y161</f>
        <v>461297000000000</v>
      </c>
      <c r="V2" s="7">
        <f>Calculations!Z161</f>
        <v>459643000000000</v>
      </c>
      <c r="W2" s="7">
        <f>Calculations!AA161</f>
        <v>458401000000000</v>
      </c>
      <c r="X2" s="7">
        <f>Calculations!AB161</f>
        <v>457258000000000</v>
      </c>
      <c r="Y2" s="7">
        <f>Calculations!AC161</f>
        <v>455994000000000</v>
      </c>
      <c r="Z2" s="7">
        <f>Calculations!AD161</f>
        <v>454706000000000</v>
      </c>
      <c r="AA2" s="7">
        <f>Calculations!AE161</f>
        <v>453692000000000</v>
      </c>
      <c r="AB2" s="7">
        <f>Calculations!AF161</f>
        <v>452695000000000</v>
      </c>
    </row>
    <row r="3" spans="1:30" x14ac:dyDescent="0.25">
      <c r="A3" s="1" t="s">
        <v>932</v>
      </c>
      <c r="B3" s="7">
        <f>Calculations!F162</f>
        <v>0</v>
      </c>
      <c r="C3" s="7">
        <f>Calculations!G162</f>
        <v>0</v>
      </c>
      <c r="D3" s="7">
        <f>Calculations!H162</f>
        <v>0</v>
      </c>
      <c r="E3" s="7">
        <f>Calculations!I162</f>
        <v>0</v>
      </c>
      <c r="F3" s="7">
        <f>Calculations!J162</f>
        <v>0</v>
      </c>
      <c r="G3" s="7">
        <f>Calculations!K162</f>
        <v>0</v>
      </c>
      <c r="H3" s="7">
        <f>Calculations!L162</f>
        <v>0</v>
      </c>
      <c r="I3" s="7">
        <f>Calculations!M162</f>
        <v>0</v>
      </c>
      <c r="J3" s="7">
        <f>Calculations!N162</f>
        <v>0</v>
      </c>
      <c r="K3" s="7">
        <f>Calculations!O162</f>
        <v>0</v>
      </c>
      <c r="L3" s="7">
        <f>Calculations!P162</f>
        <v>0</v>
      </c>
      <c r="M3" s="7">
        <f>Calculations!Q162</f>
        <v>0</v>
      </c>
      <c r="N3" s="7">
        <f>Calculations!R162</f>
        <v>0</v>
      </c>
      <c r="O3" s="7">
        <f>Calculations!S162</f>
        <v>0</v>
      </c>
      <c r="P3" s="7">
        <f>Calculations!T162</f>
        <v>0</v>
      </c>
      <c r="Q3" s="7">
        <f>Calculations!U162</f>
        <v>0</v>
      </c>
      <c r="R3" s="7">
        <f>Calculations!V162</f>
        <v>0</v>
      </c>
      <c r="S3" s="7">
        <f>Calculations!W162</f>
        <v>0</v>
      </c>
      <c r="T3" s="7">
        <f>Calculations!X162</f>
        <v>0</v>
      </c>
      <c r="U3" s="7">
        <f>Calculations!Y162</f>
        <v>0</v>
      </c>
      <c r="V3" s="7">
        <f>Calculations!Z162</f>
        <v>0</v>
      </c>
      <c r="W3" s="7">
        <f>Calculations!AA162</f>
        <v>0</v>
      </c>
      <c r="X3" s="7">
        <f>Calculations!AB162</f>
        <v>0</v>
      </c>
      <c r="Y3" s="7">
        <f>Calculations!AC162</f>
        <v>0</v>
      </c>
      <c r="Z3" s="7">
        <f>Calculations!AD162</f>
        <v>0</v>
      </c>
      <c r="AA3" s="7">
        <f>Calculations!AE162</f>
        <v>0</v>
      </c>
      <c r="AB3" s="7">
        <f>Calculations!AF162</f>
        <v>0</v>
      </c>
    </row>
    <row r="4" spans="1:30" x14ac:dyDescent="0.25">
      <c r="A4" s="1" t="s">
        <v>53</v>
      </c>
      <c r="B4" s="7">
        <f>Calculations!F163</f>
        <v>0</v>
      </c>
      <c r="C4" s="7">
        <f>Calculations!G163</f>
        <v>0</v>
      </c>
      <c r="D4" s="7">
        <f>Calculations!H163</f>
        <v>0</v>
      </c>
      <c r="E4" s="7">
        <f>Calculations!I163</f>
        <v>0</v>
      </c>
      <c r="F4" s="7">
        <f>Calculations!J163</f>
        <v>0</v>
      </c>
      <c r="G4" s="7">
        <f>Calculations!K163</f>
        <v>0</v>
      </c>
      <c r="H4" s="7">
        <f>Calculations!L163</f>
        <v>0</v>
      </c>
      <c r="I4" s="7">
        <f>Calculations!M163</f>
        <v>0</v>
      </c>
      <c r="J4" s="7">
        <f>Calculations!N163</f>
        <v>0</v>
      </c>
      <c r="K4" s="7">
        <f>Calculations!O163</f>
        <v>0</v>
      </c>
      <c r="L4" s="7">
        <f>Calculations!P163</f>
        <v>0</v>
      </c>
      <c r="M4" s="7">
        <f>Calculations!Q163</f>
        <v>0</v>
      </c>
      <c r="N4" s="7">
        <f>Calculations!R163</f>
        <v>0</v>
      </c>
      <c r="O4" s="7">
        <f>Calculations!S163</f>
        <v>0</v>
      </c>
      <c r="P4" s="7">
        <f>Calculations!T163</f>
        <v>0</v>
      </c>
      <c r="Q4" s="7">
        <f>Calculations!U163</f>
        <v>0</v>
      </c>
      <c r="R4" s="7">
        <f>Calculations!V163</f>
        <v>0</v>
      </c>
      <c r="S4" s="7">
        <f>Calculations!W163</f>
        <v>0</v>
      </c>
      <c r="T4" s="7">
        <f>Calculations!X163</f>
        <v>0</v>
      </c>
      <c r="U4" s="7">
        <f>Calculations!Y163</f>
        <v>0</v>
      </c>
      <c r="V4" s="7">
        <f>Calculations!Z163</f>
        <v>0</v>
      </c>
      <c r="W4" s="7">
        <f>Calculations!AA163</f>
        <v>0</v>
      </c>
      <c r="X4" s="7">
        <f>Calculations!AB163</f>
        <v>0</v>
      </c>
      <c r="Y4" s="7">
        <f>Calculations!AC163</f>
        <v>0</v>
      </c>
      <c r="Z4" s="7">
        <f>Calculations!AD163</f>
        <v>0</v>
      </c>
      <c r="AA4" s="7">
        <f>Calculations!AE163</f>
        <v>0</v>
      </c>
      <c r="AB4" s="7">
        <f>Calculations!AF163</f>
        <v>0</v>
      </c>
    </row>
    <row r="5" spans="1:30" x14ac:dyDescent="0.25">
      <c r="A5" s="1" t="s">
        <v>68</v>
      </c>
      <c r="B5" s="7">
        <f>Calculations!F164</f>
        <v>0</v>
      </c>
      <c r="C5" s="7">
        <f>Calculations!G164</f>
        <v>0</v>
      </c>
      <c r="D5" s="7">
        <f>Calculations!H164</f>
        <v>0</v>
      </c>
      <c r="E5" s="7">
        <f>Calculations!I164</f>
        <v>0</v>
      </c>
      <c r="F5" s="7">
        <f>Calculations!J164</f>
        <v>0</v>
      </c>
      <c r="G5" s="7">
        <f>Calculations!K164</f>
        <v>0</v>
      </c>
      <c r="H5" s="7">
        <f>Calculations!L164</f>
        <v>0</v>
      </c>
      <c r="I5" s="7">
        <f>Calculations!M164</f>
        <v>0</v>
      </c>
      <c r="J5" s="7">
        <f>Calculations!N164</f>
        <v>0</v>
      </c>
      <c r="K5" s="7">
        <f>Calculations!O164</f>
        <v>0</v>
      </c>
      <c r="L5" s="7">
        <f>Calculations!P164</f>
        <v>0</v>
      </c>
      <c r="M5" s="7">
        <f>Calculations!Q164</f>
        <v>0</v>
      </c>
      <c r="N5" s="7">
        <f>Calculations!R164</f>
        <v>0</v>
      </c>
      <c r="O5" s="7">
        <f>Calculations!S164</f>
        <v>0</v>
      </c>
      <c r="P5" s="7">
        <f>Calculations!T164</f>
        <v>0</v>
      </c>
      <c r="Q5" s="7">
        <f>Calculations!U164</f>
        <v>0</v>
      </c>
      <c r="R5" s="7">
        <f>Calculations!V164</f>
        <v>0</v>
      </c>
      <c r="S5" s="7">
        <f>Calculations!W164</f>
        <v>0</v>
      </c>
      <c r="T5" s="7">
        <f>Calculations!X164</f>
        <v>0</v>
      </c>
      <c r="U5" s="7">
        <f>Calculations!Y164</f>
        <v>0</v>
      </c>
      <c r="V5" s="7">
        <f>Calculations!Z164</f>
        <v>0</v>
      </c>
      <c r="W5" s="7">
        <f>Calculations!AA164</f>
        <v>0</v>
      </c>
      <c r="X5" s="7">
        <f>Calculations!AB164</f>
        <v>0</v>
      </c>
      <c r="Y5" s="7">
        <f>Calculations!AC164</f>
        <v>0</v>
      </c>
      <c r="Z5" s="7">
        <f>Calculations!AD164</f>
        <v>0</v>
      </c>
      <c r="AA5" s="7">
        <f>Calculations!AE164</f>
        <v>0</v>
      </c>
      <c r="AB5" s="7">
        <f>Calculations!AF164</f>
        <v>0</v>
      </c>
    </row>
    <row r="6" spans="1:30" x14ac:dyDescent="0.25">
      <c r="A6" s="1" t="s">
        <v>933</v>
      </c>
      <c r="B6" s="7">
        <f>Calculations!F165</f>
        <v>0</v>
      </c>
      <c r="C6" s="7">
        <f>Calculations!G165</f>
        <v>0</v>
      </c>
      <c r="D6" s="7">
        <f>Calculations!H165</f>
        <v>0</v>
      </c>
      <c r="E6" s="7">
        <f>Calculations!I165</f>
        <v>0</v>
      </c>
      <c r="F6" s="7">
        <f>Calculations!J165</f>
        <v>0</v>
      </c>
      <c r="G6" s="7">
        <f>Calculations!K165</f>
        <v>0</v>
      </c>
      <c r="H6" s="7">
        <f>Calculations!L165</f>
        <v>0</v>
      </c>
      <c r="I6" s="7">
        <f>Calculations!M165</f>
        <v>0</v>
      </c>
      <c r="J6" s="7">
        <f>Calculations!N165</f>
        <v>0</v>
      </c>
      <c r="K6" s="7">
        <f>Calculations!O165</f>
        <v>0</v>
      </c>
      <c r="L6" s="7">
        <f>Calculations!P165</f>
        <v>0</v>
      </c>
      <c r="M6" s="7">
        <f>Calculations!Q165</f>
        <v>0</v>
      </c>
      <c r="N6" s="7">
        <f>Calculations!R165</f>
        <v>0</v>
      </c>
      <c r="O6" s="7">
        <f>Calculations!S165</f>
        <v>0</v>
      </c>
      <c r="P6" s="7">
        <f>Calculations!T165</f>
        <v>0</v>
      </c>
      <c r="Q6" s="7">
        <f>Calculations!U165</f>
        <v>0</v>
      </c>
      <c r="R6" s="7">
        <f>Calculations!V165</f>
        <v>0</v>
      </c>
      <c r="S6" s="7">
        <f>Calculations!W165</f>
        <v>0</v>
      </c>
      <c r="T6" s="7">
        <f>Calculations!X165</f>
        <v>0</v>
      </c>
      <c r="U6" s="7">
        <f>Calculations!Y165</f>
        <v>0</v>
      </c>
      <c r="V6" s="7">
        <f>Calculations!Z165</f>
        <v>0</v>
      </c>
      <c r="W6" s="7">
        <f>Calculations!AA165</f>
        <v>0</v>
      </c>
      <c r="X6" s="7">
        <f>Calculations!AB165</f>
        <v>0</v>
      </c>
      <c r="Y6" s="7">
        <f>Calculations!AC165</f>
        <v>0</v>
      </c>
      <c r="Z6" s="7">
        <f>Calculations!AD165</f>
        <v>0</v>
      </c>
      <c r="AA6" s="7">
        <f>Calculations!AE165</f>
        <v>0</v>
      </c>
      <c r="AB6" s="7">
        <f>Calculations!AF165</f>
        <v>0</v>
      </c>
    </row>
    <row r="7" spans="1:30" x14ac:dyDescent="0.25">
      <c r="A7" s="1" t="s">
        <v>88</v>
      </c>
      <c r="B7" s="7">
        <f>Calculations!F166</f>
        <v>0</v>
      </c>
      <c r="C7" s="7">
        <f>Calculations!G166</f>
        <v>0</v>
      </c>
      <c r="D7" s="7">
        <f>Calculations!H166</f>
        <v>0</v>
      </c>
      <c r="E7" s="7">
        <f>Calculations!I166</f>
        <v>0</v>
      </c>
      <c r="F7" s="7">
        <f>Calculations!J166</f>
        <v>0</v>
      </c>
      <c r="G7" s="7">
        <f>Calculations!K166</f>
        <v>0</v>
      </c>
      <c r="H7" s="7">
        <f>Calculations!L166</f>
        <v>0</v>
      </c>
      <c r="I7" s="7">
        <f>Calculations!M166</f>
        <v>0</v>
      </c>
      <c r="J7" s="7">
        <f>Calculations!N166</f>
        <v>0</v>
      </c>
      <c r="K7" s="7">
        <f>Calculations!O166</f>
        <v>0</v>
      </c>
      <c r="L7" s="7">
        <f>Calculations!P166</f>
        <v>0</v>
      </c>
      <c r="M7" s="7">
        <f>Calculations!Q166</f>
        <v>0</v>
      </c>
      <c r="N7" s="7">
        <f>Calculations!R166</f>
        <v>0</v>
      </c>
      <c r="O7" s="7">
        <f>Calculations!S166</f>
        <v>0</v>
      </c>
      <c r="P7" s="7">
        <f>Calculations!T166</f>
        <v>0</v>
      </c>
      <c r="Q7" s="7">
        <f>Calculations!U166</f>
        <v>0</v>
      </c>
      <c r="R7" s="7">
        <f>Calculations!V166</f>
        <v>0</v>
      </c>
      <c r="S7" s="7">
        <f>Calculations!W166</f>
        <v>0</v>
      </c>
      <c r="T7" s="7">
        <f>Calculations!X166</f>
        <v>0</v>
      </c>
      <c r="U7" s="7">
        <f>Calculations!Y166</f>
        <v>0</v>
      </c>
      <c r="V7" s="7">
        <f>Calculations!Z166</f>
        <v>0</v>
      </c>
      <c r="W7" s="7">
        <f>Calculations!AA166</f>
        <v>0</v>
      </c>
      <c r="X7" s="7">
        <f>Calculations!AB166</f>
        <v>0</v>
      </c>
      <c r="Y7" s="7">
        <f>Calculations!AC166</f>
        <v>0</v>
      </c>
      <c r="Z7" s="7">
        <f>Calculations!AD166</f>
        <v>0</v>
      </c>
      <c r="AA7" s="7">
        <f>Calculations!AE166</f>
        <v>0</v>
      </c>
      <c r="AB7" s="7">
        <f>Calculations!AF166</f>
        <v>0</v>
      </c>
    </row>
    <row r="8" spans="1:30" x14ac:dyDescent="0.25">
      <c r="A8" s="1" t="s">
        <v>934</v>
      </c>
      <c r="B8" s="7">
        <f>Calculations!F167</f>
        <v>0</v>
      </c>
      <c r="C8" s="7">
        <f>Calculations!G167</f>
        <v>0</v>
      </c>
      <c r="D8" s="7">
        <f>Calculations!H167</f>
        <v>0</v>
      </c>
      <c r="E8" s="7">
        <f>Calculations!I167</f>
        <v>0</v>
      </c>
      <c r="F8" s="7">
        <f>Calculations!J167</f>
        <v>0</v>
      </c>
      <c r="G8" s="7">
        <f>Calculations!K167</f>
        <v>0</v>
      </c>
      <c r="H8" s="7">
        <f>Calculations!L167</f>
        <v>0</v>
      </c>
      <c r="I8" s="7">
        <f>Calculations!M167</f>
        <v>0</v>
      </c>
      <c r="J8" s="7">
        <f>Calculations!N167</f>
        <v>0</v>
      </c>
      <c r="K8" s="7">
        <f>Calculations!O167</f>
        <v>0</v>
      </c>
      <c r="L8" s="7">
        <f>Calculations!P167</f>
        <v>0</v>
      </c>
      <c r="M8" s="7">
        <f>Calculations!Q167</f>
        <v>0</v>
      </c>
      <c r="N8" s="7">
        <f>Calculations!R167</f>
        <v>0</v>
      </c>
      <c r="O8" s="7">
        <f>Calculations!S167</f>
        <v>0</v>
      </c>
      <c r="P8" s="7">
        <f>Calculations!T167</f>
        <v>0</v>
      </c>
      <c r="Q8" s="7">
        <f>Calculations!U167</f>
        <v>0</v>
      </c>
      <c r="R8" s="7">
        <f>Calculations!V167</f>
        <v>0</v>
      </c>
      <c r="S8" s="7">
        <f>Calculations!W167</f>
        <v>0</v>
      </c>
      <c r="T8" s="7">
        <f>Calculations!X167</f>
        <v>0</v>
      </c>
      <c r="U8" s="7">
        <f>Calculations!Y167</f>
        <v>0</v>
      </c>
      <c r="V8" s="7">
        <f>Calculations!Z167</f>
        <v>0</v>
      </c>
      <c r="W8" s="7">
        <f>Calculations!AA167</f>
        <v>0</v>
      </c>
      <c r="X8" s="7">
        <f>Calculations!AB167</f>
        <v>0</v>
      </c>
      <c r="Y8" s="7">
        <f>Calculations!AC167</f>
        <v>0</v>
      </c>
      <c r="Z8" s="7">
        <f>Calculations!AD167</f>
        <v>0</v>
      </c>
      <c r="AA8" s="7">
        <f>Calculations!AE167</f>
        <v>0</v>
      </c>
      <c r="AB8" s="7">
        <f>Calculations!AF167</f>
        <v>0</v>
      </c>
    </row>
    <row r="9" spans="1:30" x14ac:dyDescent="0.25">
      <c r="A9" s="1" t="s">
        <v>935</v>
      </c>
      <c r="B9" s="7">
        <f>Calculations!F168</f>
        <v>0</v>
      </c>
      <c r="C9" s="7">
        <f>Calculations!G168</f>
        <v>0</v>
      </c>
      <c r="D9" s="7">
        <f>Calculations!H168</f>
        <v>0</v>
      </c>
      <c r="E9" s="7">
        <f>Calculations!I168</f>
        <v>0</v>
      </c>
      <c r="F9" s="7">
        <f>Calculations!J168</f>
        <v>0</v>
      </c>
      <c r="G9" s="7">
        <f>Calculations!K168</f>
        <v>0</v>
      </c>
      <c r="H9" s="7">
        <f>Calculations!L168</f>
        <v>0</v>
      </c>
      <c r="I9" s="7">
        <f>Calculations!M168</f>
        <v>0</v>
      </c>
      <c r="J9" s="7">
        <f>Calculations!N168</f>
        <v>0</v>
      </c>
      <c r="K9" s="7">
        <f>Calculations!O168</f>
        <v>0</v>
      </c>
      <c r="L9" s="7">
        <f>Calculations!P168</f>
        <v>0</v>
      </c>
      <c r="M9" s="7">
        <f>Calculations!Q168</f>
        <v>0</v>
      </c>
      <c r="N9" s="7">
        <f>Calculations!R168</f>
        <v>0</v>
      </c>
      <c r="O9" s="7">
        <f>Calculations!S168</f>
        <v>0</v>
      </c>
      <c r="P9" s="7">
        <f>Calculations!T168</f>
        <v>0</v>
      </c>
      <c r="Q9" s="7">
        <f>Calculations!U168</f>
        <v>0</v>
      </c>
      <c r="R9" s="7">
        <f>Calculations!V168</f>
        <v>0</v>
      </c>
      <c r="S9" s="7">
        <f>Calculations!W168</f>
        <v>0</v>
      </c>
      <c r="T9" s="7">
        <f>Calculations!X168</f>
        <v>0</v>
      </c>
      <c r="U9" s="7">
        <f>Calculations!Y168</f>
        <v>0</v>
      </c>
      <c r="V9" s="7">
        <f>Calculations!Z168</f>
        <v>0</v>
      </c>
      <c r="W9" s="7">
        <f>Calculations!AA168</f>
        <v>0</v>
      </c>
      <c r="X9" s="7">
        <f>Calculations!AB168</f>
        <v>0</v>
      </c>
      <c r="Y9" s="7">
        <f>Calculations!AC168</f>
        <v>0</v>
      </c>
      <c r="Z9" s="7">
        <f>Calculations!AD168</f>
        <v>0</v>
      </c>
      <c r="AA9" s="7">
        <f>Calculations!AE168</f>
        <v>0</v>
      </c>
      <c r="AB9" s="7">
        <f>Calculations!AF168</f>
        <v>0</v>
      </c>
    </row>
    <row r="10" spans="1:30" x14ac:dyDescent="0.25">
      <c r="A10" s="1" t="s">
        <v>77</v>
      </c>
      <c r="B10" s="7">
        <f>Calculations!F169</f>
        <v>0</v>
      </c>
      <c r="C10" s="7">
        <f>Calculations!G169</f>
        <v>0</v>
      </c>
      <c r="D10" s="7">
        <f>Calculations!H169</f>
        <v>0</v>
      </c>
      <c r="E10" s="7">
        <f>Calculations!I169</f>
        <v>0</v>
      </c>
      <c r="F10" s="7">
        <f>Calculations!J169</f>
        <v>0</v>
      </c>
      <c r="G10" s="7">
        <f>Calculations!K169</f>
        <v>0</v>
      </c>
      <c r="H10" s="7">
        <f>Calculations!L169</f>
        <v>0</v>
      </c>
      <c r="I10" s="7">
        <f>Calculations!M169</f>
        <v>0</v>
      </c>
      <c r="J10" s="7">
        <f>Calculations!N169</f>
        <v>0</v>
      </c>
      <c r="K10" s="7">
        <f>Calculations!O169</f>
        <v>0</v>
      </c>
      <c r="L10" s="7">
        <f>Calculations!P169</f>
        <v>0</v>
      </c>
      <c r="M10" s="7">
        <f>Calculations!Q169</f>
        <v>0</v>
      </c>
      <c r="N10" s="7">
        <f>Calculations!R169</f>
        <v>0</v>
      </c>
      <c r="O10" s="7">
        <f>Calculations!S169</f>
        <v>0</v>
      </c>
      <c r="P10" s="7">
        <f>Calculations!T169</f>
        <v>0</v>
      </c>
      <c r="Q10" s="7">
        <f>Calculations!U169</f>
        <v>0</v>
      </c>
      <c r="R10" s="7">
        <f>Calculations!V169</f>
        <v>0</v>
      </c>
      <c r="S10" s="7">
        <f>Calculations!W169</f>
        <v>0</v>
      </c>
      <c r="T10" s="7">
        <f>Calculations!X169</f>
        <v>0</v>
      </c>
      <c r="U10" s="7">
        <f>Calculations!Y169</f>
        <v>0</v>
      </c>
      <c r="V10" s="7">
        <f>Calculations!Z169</f>
        <v>0</v>
      </c>
      <c r="W10" s="7">
        <f>Calculations!AA169</f>
        <v>0</v>
      </c>
      <c r="X10" s="7">
        <f>Calculations!AB169</f>
        <v>0</v>
      </c>
      <c r="Y10" s="7">
        <f>Calculations!AC169</f>
        <v>0</v>
      </c>
      <c r="Z10" s="7">
        <f>Calculations!AD169</f>
        <v>0</v>
      </c>
      <c r="AA10" s="7">
        <f>Calculations!AE169</f>
        <v>0</v>
      </c>
      <c r="AB10" s="7">
        <f>Calculations!AF169</f>
        <v>0</v>
      </c>
    </row>
    <row r="11" spans="1:30" x14ac:dyDescent="0.25">
      <c r="A11" s="1" t="s">
        <v>936</v>
      </c>
      <c r="B11" s="7">
        <f>Calculations!F170</f>
        <v>0</v>
      </c>
      <c r="C11" s="7">
        <f>Calculations!G170</f>
        <v>0</v>
      </c>
      <c r="D11" s="7">
        <f>Calculations!H170</f>
        <v>0</v>
      </c>
      <c r="E11" s="7">
        <f>Calculations!I170</f>
        <v>0</v>
      </c>
      <c r="F11" s="7">
        <f>Calculations!J170</f>
        <v>0</v>
      </c>
      <c r="G11" s="7">
        <f>Calculations!K170</f>
        <v>0</v>
      </c>
      <c r="H11" s="7">
        <f>Calculations!L170</f>
        <v>0</v>
      </c>
      <c r="I11" s="7">
        <f>Calculations!M170</f>
        <v>0</v>
      </c>
      <c r="J11" s="7">
        <f>Calculations!N170</f>
        <v>0</v>
      </c>
      <c r="K11" s="7">
        <f>Calculations!O170</f>
        <v>0</v>
      </c>
      <c r="L11" s="7">
        <f>Calculations!P170</f>
        <v>0</v>
      </c>
      <c r="M11" s="7">
        <f>Calculations!Q170</f>
        <v>0</v>
      </c>
      <c r="N11" s="7">
        <f>Calculations!R170</f>
        <v>0</v>
      </c>
      <c r="O11" s="7">
        <f>Calculations!S170</f>
        <v>0</v>
      </c>
      <c r="P11" s="7">
        <f>Calculations!T170</f>
        <v>0</v>
      </c>
      <c r="Q11" s="7">
        <f>Calculations!U170</f>
        <v>0</v>
      </c>
      <c r="R11" s="7">
        <f>Calculations!V170</f>
        <v>0</v>
      </c>
      <c r="S11" s="7">
        <f>Calculations!W170</f>
        <v>0</v>
      </c>
      <c r="T11" s="7">
        <f>Calculations!X170</f>
        <v>0</v>
      </c>
      <c r="U11" s="7">
        <f>Calculations!Y170</f>
        <v>0</v>
      </c>
      <c r="V11" s="7">
        <f>Calculations!Z170</f>
        <v>0</v>
      </c>
      <c r="W11" s="7">
        <f>Calculations!AA170</f>
        <v>0</v>
      </c>
      <c r="X11" s="7">
        <f>Calculations!AB170</f>
        <v>0</v>
      </c>
      <c r="Y11" s="7">
        <f>Calculations!AC170</f>
        <v>0</v>
      </c>
      <c r="Z11" s="7">
        <f>Calculations!AD170</f>
        <v>0</v>
      </c>
      <c r="AA11" s="7">
        <f>Calculations!AE170</f>
        <v>0</v>
      </c>
      <c r="AB11" s="7">
        <f>Calculations!AF170</f>
        <v>0</v>
      </c>
    </row>
  </sheetData>
  <pageMargins left="0.7" right="0.7" top="0.75" bottom="0.75" header="0.3" footer="0.3"/>
  <pageSetup orientation="portrait" horizontalDpi="1200" verticalDpi="12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D11"/>
  <sheetViews>
    <sheetView workbookViewId="0"/>
  </sheetViews>
  <sheetFormatPr defaultRowHeight="15" x14ac:dyDescent="0.25"/>
  <cols>
    <col min="1" max="1" width="29.85546875" customWidth="1"/>
    <col min="2" max="28" width="10.140625" customWidth="1"/>
  </cols>
  <sheetData>
    <row r="1" spans="1:30" x14ac:dyDescent="0.25">
      <c r="A1" s="1" t="s">
        <v>915</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v>
      </c>
      <c r="B2" s="7">
        <f>Calculations!F174</f>
        <v>526170000000000</v>
      </c>
      <c r="C2" s="7">
        <f>Calculations!G174</f>
        <v>524521999999999.94</v>
      </c>
      <c r="D2" s="7">
        <f>Calculations!H174</f>
        <v>521923999999999.94</v>
      </c>
      <c r="E2" s="7">
        <f>Calculations!I174</f>
        <v>521108000000000</v>
      </c>
      <c r="F2" s="7">
        <f>Calculations!J174</f>
        <v>521390000000000</v>
      </c>
      <c r="G2" s="7">
        <f>Calculations!K174</f>
        <v>521030000000000</v>
      </c>
      <c r="H2" s="7">
        <f>Calculations!L174</f>
        <v>518539000000000.06</v>
      </c>
      <c r="I2" s="7">
        <f>Calculations!M174</f>
        <v>516486000000000</v>
      </c>
      <c r="J2" s="7">
        <f>Calculations!N174</f>
        <v>514825000000000.06</v>
      </c>
      <c r="K2" s="7">
        <f>Calculations!O174</f>
        <v>513660000000000</v>
      </c>
      <c r="L2" s="7">
        <f>Calculations!P174</f>
        <v>512812000000000.06</v>
      </c>
      <c r="M2" s="7">
        <f>Calculations!Q174</f>
        <v>512221000000000.06</v>
      </c>
      <c r="N2" s="7">
        <f>Calculations!R174</f>
        <v>512030000000000</v>
      </c>
      <c r="O2" s="7">
        <f>Calculations!S174</f>
        <v>511912999999999.94</v>
      </c>
      <c r="P2" s="7">
        <f>Calculations!T174</f>
        <v>511792999999999.94</v>
      </c>
      <c r="Q2" s="7">
        <f>Calculations!U174</f>
        <v>511597000000000.06</v>
      </c>
      <c r="R2" s="7">
        <f>Calculations!V174</f>
        <v>511340000000000</v>
      </c>
      <c r="S2" s="7">
        <f>Calculations!W174</f>
        <v>511409999999999.94</v>
      </c>
      <c r="T2" s="7">
        <f>Calculations!X174</f>
        <v>511414999999999.94</v>
      </c>
      <c r="U2" s="7">
        <f>Calculations!Y174</f>
        <v>511489000000000</v>
      </c>
      <c r="V2" s="7">
        <f>Calculations!Z174</f>
        <v>511565000000000.06</v>
      </c>
      <c r="W2" s="7">
        <f>Calculations!AA174</f>
        <v>511598000000000</v>
      </c>
      <c r="X2" s="7">
        <f>Calculations!AB174</f>
        <v>511433000000000</v>
      </c>
      <c r="Y2" s="7">
        <f>Calculations!AC174</f>
        <v>510976000000000</v>
      </c>
      <c r="Z2" s="7">
        <f>Calculations!AD174</f>
        <v>510391999999999.94</v>
      </c>
      <c r="AA2" s="7">
        <f>Calculations!AE174</f>
        <v>509833000000000</v>
      </c>
      <c r="AB2" s="7">
        <f>Calculations!AF174</f>
        <v>509147000000000</v>
      </c>
    </row>
    <row r="3" spans="1:30" x14ac:dyDescent="0.25">
      <c r="A3" s="1" t="s">
        <v>932</v>
      </c>
      <c r="B3" s="7">
        <f>Calculations!F175</f>
        <v>0</v>
      </c>
      <c r="C3" s="7">
        <f>Calculations!G175</f>
        <v>0</v>
      </c>
      <c r="D3" s="7">
        <f>Calculations!H175</f>
        <v>0</v>
      </c>
      <c r="E3" s="7">
        <f>Calculations!I175</f>
        <v>0</v>
      </c>
      <c r="F3" s="7">
        <f>Calculations!J175</f>
        <v>0</v>
      </c>
      <c r="G3" s="7">
        <f>Calculations!K175</f>
        <v>0</v>
      </c>
      <c r="H3" s="7">
        <f>Calculations!L175</f>
        <v>0</v>
      </c>
      <c r="I3" s="7">
        <f>Calculations!M175</f>
        <v>0</v>
      </c>
      <c r="J3" s="7">
        <f>Calculations!N175</f>
        <v>0</v>
      </c>
      <c r="K3" s="7">
        <f>Calculations!O175</f>
        <v>0</v>
      </c>
      <c r="L3" s="7">
        <f>Calculations!P175</f>
        <v>0</v>
      </c>
      <c r="M3" s="7">
        <f>Calculations!Q175</f>
        <v>0</v>
      </c>
      <c r="N3" s="7">
        <f>Calculations!R175</f>
        <v>0</v>
      </c>
      <c r="O3" s="7">
        <f>Calculations!S175</f>
        <v>0</v>
      </c>
      <c r="P3" s="7">
        <f>Calculations!T175</f>
        <v>0</v>
      </c>
      <c r="Q3" s="7">
        <f>Calculations!U175</f>
        <v>0</v>
      </c>
      <c r="R3" s="7">
        <f>Calculations!V175</f>
        <v>0</v>
      </c>
      <c r="S3" s="7">
        <f>Calculations!W175</f>
        <v>0</v>
      </c>
      <c r="T3" s="7">
        <f>Calculations!X175</f>
        <v>0</v>
      </c>
      <c r="U3" s="7">
        <f>Calculations!Y175</f>
        <v>0</v>
      </c>
      <c r="V3" s="7">
        <f>Calculations!Z175</f>
        <v>0</v>
      </c>
      <c r="W3" s="7">
        <f>Calculations!AA175</f>
        <v>0</v>
      </c>
      <c r="X3" s="7">
        <f>Calculations!AB175</f>
        <v>0</v>
      </c>
      <c r="Y3" s="7">
        <f>Calculations!AC175</f>
        <v>0</v>
      </c>
      <c r="Z3" s="7">
        <f>Calculations!AD175</f>
        <v>0</v>
      </c>
      <c r="AA3" s="7">
        <f>Calculations!AE175</f>
        <v>0</v>
      </c>
      <c r="AB3" s="7">
        <f>Calculations!AF175</f>
        <v>0</v>
      </c>
    </row>
    <row r="4" spans="1:30" x14ac:dyDescent="0.25">
      <c r="A4" s="1" t="s">
        <v>53</v>
      </c>
      <c r="B4" s="7">
        <f>Calculations!F176</f>
        <v>670828000000000</v>
      </c>
      <c r="C4" s="7">
        <f>Calculations!G176</f>
        <v>679360000000000</v>
      </c>
      <c r="D4" s="7">
        <f>Calculations!H176</f>
        <v>693039000000000</v>
      </c>
      <c r="E4" s="7">
        <f>Calculations!I176</f>
        <v>699219000000000</v>
      </c>
      <c r="F4" s="7">
        <f>Calculations!J176</f>
        <v>700469999999999.88</v>
      </c>
      <c r="G4" s="7">
        <f>Calculations!K176</f>
        <v>697959999999999.88</v>
      </c>
      <c r="H4" s="7">
        <f>Calculations!L176</f>
        <v>693926000000000</v>
      </c>
      <c r="I4" s="7">
        <f>Calculations!M176</f>
        <v>690660000000000</v>
      </c>
      <c r="J4" s="7">
        <f>Calculations!N176</f>
        <v>691472000000000</v>
      </c>
      <c r="K4" s="7">
        <f>Calculations!O176</f>
        <v>693820000000000</v>
      </c>
      <c r="L4" s="7">
        <f>Calculations!P176</f>
        <v>698375000000000</v>
      </c>
      <c r="M4" s="7">
        <f>Calculations!Q176</f>
        <v>703303000000000</v>
      </c>
      <c r="N4" s="7">
        <f>Calculations!R176</f>
        <v>709249000000000</v>
      </c>
      <c r="O4" s="7">
        <f>Calculations!S176</f>
        <v>715122000000000</v>
      </c>
      <c r="P4" s="7">
        <f>Calculations!T176</f>
        <v>720999000000000</v>
      </c>
      <c r="Q4" s="7">
        <f>Calculations!U176</f>
        <v>726628000000000</v>
      </c>
      <c r="R4" s="7">
        <f>Calculations!V176</f>
        <v>732300000000000</v>
      </c>
      <c r="S4" s="7">
        <f>Calculations!W176</f>
        <v>738409000000000</v>
      </c>
      <c r="T4" s="7">
        <f>Calculations!X176</f>
        <v>745375000000000</v>
      </c>
      <c r="U4" s="7">
        <f>Calculations!Y176</f>
        <v>752704000000000</v>
      </c>
      <c r="V4" s="7">
        <f>Calculations!Z176</f>
        <v>760486000000000</v>
      </c>
      <c r="W4" s="7">
        <f>Calculations!AA176</f>
        <v>767938000000000</v>
      </c>
      <c r="X4" s="7">
        <f>Calculations!AB176</f>
        <v>774167000000000</v>
      </c>
      <c r="Y4" s="7">
        <f>Calculations!AC176</f>
        <v>779547000000000</v>
      </c>
      <c r="Z4" s="7">
        <f>Calculations!AD176</f>
        <v>784613000000000</v>
      </c>
      <c r="AA4" s="7">
        <f>Calculations!AE176</f>
        <v>789644000000000</v>
      </c>
      <c r="AB4" s="7">
        <f>Calculations!AF176</f>
        <v>794773000000000</v>
      </c>
    </row>
    <row r="5" spans="1:30" x14ac:dyDescent="0.25">
      <c r="A5" s="1" t="s">
        <v>68</v>
      </c>
      <c r="B5" s="7">
        <f>Calculations!F177</f>
        <v>3746000000000</v>
      </c>
      <c r="C5" s="7">
        <f>Calculations!G177</f>
        <v>3768000000000</v>
      </c>
      <c r="D5" s="7">
        <f>Calculations!H177</f>
        <v>3783000000000</v>
      </c>
      <c r="E5" s="7">
        <f>Calculations!I177</f>
        <v>3772000000000</v>
      </c>
      <c r="F5" s="7">
        <f>Calculations!J177</f>
        <v>3756000000000</v>
      </c>
      <c r="G5" s="7">
        <f>Calculations!K177</f>
        <v>3738000000000</v>
      </c>
      <c r="H5" s="7">
        <f>Calculations!L177</f>
        <v>3734000000000</v>
      </c>
      <c r="I5" s="7">
        <f>Calculations!M177</f>
        <v>3730000000000</v>
      </c>
      <c r="J5" s="7">
        <f>Calculations!N177</f>
        <v>3710000000000</v>
      </c>
      <c r="K5" s="7">
        <f>Calculations!O177</f>
        <v>3672000000000</v>
      </c>
      <c r="L5" s="7">
        <f>Calculations!P177</f>
        <v>3636000000000</v>
      </c>
      <c r="M5" s="7">
        <f>Calculations!Q177</f>
        <v>3602000000000</v>
      </c>
      <c r="N5" s="7">
        <f>Calculations!R177</f>
        <v>3574000000000</v>
      </c>
      <c r="O5" s="7">
        <f>Calculations!S177</f>
        <v>3547000000000</v>
      </c>
      <c r="P5" s="7">
        <f>Calculations!T177</f>
        <v>3521000000000</v>
      </c>
      <c r="Q5" s="7">
        <f>Calculations!U177</f>
        <v>3496000000000</v>
      </c>
      <c r="R5" s="7">
        <f>Calculations!V177</f>
        <v>3472000000000</v>
      </c>
      <c r="S5" s="7">
        <f>Calculations!W177</f>
        <v>3448000000000</v>
      </c>
      <c r="T5" s="7">
        <f>Calculations!X177</f>
        <v>3424000000000</v>
      </c>
      <c r="U5" s="7">
        <f>Calculations!Y177</f>
        <v>3400000000000</v>
      </c>
      <c r="V5" s="7">
        <f>Calculations!Z177</f>
        <v>3376000000000</v>
      </c>
      <c r="W5" s="7">
        <f>Calculations!AA177</f>
        <v>3350000000000</v>
      </c>
      <c r="X5" s="7">
        <f>Calculations!AB177</f>
        <v>3324000000000</v>
      </c>
      <c r="Y5" s="7">
        <f>Calculations!AC177</f>
        <v>3298000000000</v>
      </c>
      <c r="Z5" s="7">
        <f>Calculations!AD177</f>
        <v>3273000000000</v>
      </c>
      <c r="AA5" s="7">
        <f>Calculations!AE177</f>
        <v>3246000000000</v>
      </c>
      <c r="AB5" s="7">
        <f>Calculations!AF177</f>
        <v>3222000000000</v>
      </c>
    </row>
    <row r="6" spans="1:30" x14ac:dyDescent="0.25">
      <c r="A6" s="1" t="s">
        <v>933</v>
      </c>
      <c r="B6" s="7">
        <f>Calculations!F178</f>
        <v>0</v>
      </c>
      <c r="C6" s="7">
        <f>Calculations!G178</f>
        <v>0</v>
      </c>
      <c r="D6" s="7">
        <f>Calculations!H178</f>
        <v>0</v>
      </c>
      <c r="E6" s="7">
        <f>Calculations!I178</f>
        <v>0</v>
      </c>
      <c r="F6" s="7">
        <f>Calculations!J178</f>
        <v>0</v>
      </c>
      <c r="G6" s="7">
        <f>Calculations!K178</f>
        <v>0</v>
      </c>
      <c r="H6" s="7">
        <f>Calculations!L178</f>
        <v>0</v>
      </c>
      <c r="I6" s="7">
        <f>Calculations!M178</f>
        <v>0</v>
      </c>
      <c r="J6" s="7">
        <f>Calculations!N178</f>
        <v>0</v>
      </c>
      <c r="K6" s="7">
        <f>Calculations!O178</f>
        <v>0</v>
      </c>
      <c r="L6" s="7">
        <f>Calculations!P178</f>
        <v>0</v>
      </c>
      <c r="M6" s="7">
        <f>Calculations!Q178</f>
        <v>0</v>
      </c>
      <c r="N6" s="7">
        <f>Calculations!R178</f>
        <v>0</v>
      </c>
      <c r="O6" s="7">
        <f>Calculations!S178</f>
        <v>0</v>
      </c>
      <c r="P6" s="7">
        <f>Calculations!T178</f>
        <v>0</v>
      </c>
      <c r="Q6" s="7">
        <f>Calculations!U178</f>
        <v>0</v>
      </c>
      <c r="R6" s="7">
        <f>Calculations!V178</f>
        <v>0</v>
      </c>
      <c r="S6" s="7">
        <f>Calculations!W178</f>
        <v>0</v>
      </c>
      <c r="T6" s="7">
        <f>Calculations!X178</f>
        <v>0</v>
      </c>
      <c r="U6" s="7">
        <f>Calculations!Y178</f>
        <v>0</v>
      </c>
      <c r="V6" s="7">
        <f>Calculations!Z178</f>
        <v>0</v>
      </c>
      <c r="W6" s="7">
        <f>Calculations!AA178</f>
        <v>0</v>
      </c>
      <c r="X6" s="7">
        <f>Calculations!AB178</f>
        <v>0</v>
      </c>
      <c r="Y6" s="7">
        <f>Calculations!AC178</f>
        <v>0</v>
      </c>
      <c r="Z6" s="7">
        <f>Calculations!AD178</f>
        <v>0</v>
      </c>
      <c r="AA6" s="7">
        <f>Calculations!AE178</f>
        <v>0</v>
      </c>
      <c r="AB6" s="7">
        <f>Calculations!AF178</f>
        <v>0</v>
      </c>
    </row>
    <row r="7" spans="1:30" x14ac:dyDescent="0.25">
      <c r="A7" s="1" t="s">
        <v>88</v>
      </c>
      <c r="B7" s="7">
        <f>Calculations!F179</f>
        <v>0</v>
      </c>
      <c r="C7" s="7">
        <f>Calculations!G179</f>
        <v>0</v>
      </c>
      <c r="D7" s="7">
        <f>Calculations!H179</f>
        <v>0</v>
      </c>
      <c r="E7" s="7">
        <f>Calculations!I179</f>
        <v>0</v>
      </c>
      <c r="F7" s="7">
        <f>Calculations!J179</f>
        <v>0</v>
      </c>
      <c r="G7" s="7">
        <f>Calculations!K179</f>
        <v>0</v>
      </c>
      <c r="H7" s="7">
        <f>Calculations!L179</f>
        <v>0</v>
      </c>
      <c r="I7" s="7">
        <f>Calculations!M179</f>
        <v>0</v>
      </c>
      <c r="J7" s="7">
        <f>Calculations!N179</f>
        <v>0</v>
      </c>
      <c r="K7" s="7">
        <f>Calculations!O179</f>
        <v>0</v>
      </c>
      <c r="L7" s="7">
        <f>Calculations!P179</f>
        <v>0</v>
      </c>
      <c r="M7" s="7">
        <f>Calculations!Q179</f>
        <v>0</v>
      </c>
      <c r="N7" s="7">
        <f>Calculations!R179</f>
        <v>0</v>
      </c>
      <c r="O7" s="7">
        <f>Calculations!S179</f>
        <v>0</v>
      </c>
      <c r="P7" s="7">
        <f>Calculations!T179</f>
        <v>0</v>
      </c>
      <c r="Q7" s="7">
        <f>Calculations!U179</f>
        <v>0</v>
      </c>
      <c r="R7" s="7">
        <f>Calculations!V179</f>
        <v>0</v>
      </c>
      <c r="S7" s="7">
        <f>Calculations!W179</f>
        <v>0</v>
      </c>
      <c r="T7" s="7">
        <f>Calculations!X179</f>
        <v>0</v>
      </c>
      <c r="U7" s="7">
        <f>Calculations!Y179</f>
        <v>0</v>
      </c>
      <c r="V7" s="7">
        <f>Calculations!Z179</f>
        <v>0</v>
      </c>
      <c r="W7" s="7">
        <f>Calculations!AA179</f>
        <v>0</v>
      </c>
      <c r="X7" s="7">
        <f>Calculations!AB179</f>
        <v>0</v>
      </c>
      <c r="Y7" s="7">
        <f>Calculations!AC179</f>
        <v>0</v>
      </c>
      <c r="Z7" s="7">
        <f>Calculations!AD179</f>
        <v>0</v>
      </c>
      <c r="AA7" s="7">
        <f>Calculations!AE179</f>
        <v>0</v>
      </c>
      <c r="AB7" s="7">
        <f>Calculations!AF179</f>
        <v>0</v>
      </c>
    </row>
    <row r="8" spans="1:30" x14ac:dyDescent="0.25">
      <c r="A8" s="1" t="s">
        <v>934</v>
      </c>
      <c r="B8" s="7">
        <f>Calculations!F180</f>
        <v>0</v>
      </c>
      <c r="C8" s="7">
        <f>Calculations!G180</f>
        <v>0</v>
      </c>
      <c r="D8" s="7">
        <f>Calculations!H180</f>
        <v>0</v>
      </c>
      <c r="E8" s="7">
        <f>Calculations!I180</f>
        <v>0</v>
      </c>
      <c r="F8" s="7">
        <f>Calculations!J180</f>
        <v>0</v>
      </c>
      <c r="G8" s="7">
        <f>Calculations!K180</f>
        <v>0</v>
      </c>
      <c r="H8" s="7">
        <f>Calculations!L180</f>
        <v>0</v>
      </c>
      <c r="I8" s="7">
        <f>Calculations!M180</f>
        <v>0</v>
      </c>
      <c r="J8" s="7">
        <f>Calculations!N180</f>
        <v>0</v>
      </c>
      <c r="K8" s="7">
        <f>Calculations!O180</f>
        <v>0</v>
      </c>
      <c r="L8" s="7">
        <f>Calculations!P180</f>
        <v>0</v>
      </c>
      <c r="M8" s="7">
        <f>Calculations!Q180</f>
        <v>0</v>
      </c>
      <c r="N8" s="7">
        <f>Calculations!R180</f>
        <v>0</v>
      </c>
      <c r="O8" s="7">
        <f>Calculations!S180</f>
        <v>0</v>
      </c>
      <c r="P8" s="7">
        <f>Calculations!T180</f>
        <v>0</v>
      </c>
      <c r="Q8" s="7">
        <f>Calculations!U180</f>
        <v>0</v>
      </c>
      <c r="R8" s="7">
        <f>Calculations!V180</f>
        <v>0</v>
      </c>
      <c r="S8" s="7">
        <f>Calculations!W180</f>
        <v>0</v>
      </c>
      <c r="T8" s="7">
        <f>Calculations!X180</f>
        <v>0</v>
      </c>
      <c r="U8" s="7">
        <f>Calculations!Y180</f>
        <v>0</v>
      </c>
      <c r="V8" s="7">
        <f>Calculations!Z180</f>
        <v>0</v>
      </c>
      <c r="W8" s="7">
        <f>Calculations!AA180</f>
        <v>0</v>
      </c>
      <c r="X8" s="7">
        <f>Calculations!AB180</f>
        <v>0</v>
      </c>
      <c r="Y8" s="7">
        <f>Calculations!AC180</f>
        <v>0</v>
      </c>
      <c r="Z8" s="7">
        <f>Calculations!AD180</f>
        <v>0</v>
      </c>
      <c r="AA8" s="7">
        <f>Calculations!AE180</f>
        <v>0</v>
      </c>
      <c r="AB8" s="7">
        <f>Calculations!AF180</f>
        <v>0</v>
      </c>
    </row>
    <row r="9" spans="1:30" x14ac:dyDescent="0.25">
      <c r="A9" s="1" t="s">
        <v>935</v>
      </c>
      <c r="B9" s="7">
        <f>Calculations!F181</f>
        <v>0</v>
      </c>
      <c r="C9" s="7">
        <f>Calculations!G181</f>
        <v>0</v>
      </c>
      <c r="D9" s="7">
        <f>Calculations!H181</f>
        <v>0</v>
      </c>
      <c r="E9" s="7">
        <f>Calculations!I181</f>
        <v>0</v>
      </c>
      <c r="F9" s="7">
        <f>Calculations!J181</f>
        <v>0</v>
      </c>
      <c r="G9" s="7">
        <f>Calculations!K181</f>
        <v>0</v>
      </c>
      <c r="H9" s="7">
        <f>Calculations!L181</f>
        <v>0</v>
      </c>
      <c r="I9" s="7">
        <f>Calculations!M181</f>
        <v>0</v>
      </c>
      <c r="J9" s="7">
        <f>Calculations!N181</f>
        <v>0</v>
      </c>
      <c r="K9" s="7">
        <f>Calculations!O181</f>
        <v>0</v>
      </c>
      <c r="L9" s="7">
        <f>Calculations!P181</f>
        <v>0</v>
      </c>
      <c r="M9" s="7">
        <f>Calculations!Q181</f>
        <v>0</v>
      </c>
      <c r="N9" s="7">
        <f>Calculations!R181</f>
        <v>0</v>
      </c>
      <c r="O9" s="7">
        <f>Calculations!S181</f>
        <v>0</v>
      </c>
      <c r="P9" s="7">
        <f>Calculations!T181</f>
        <v>0</v>
      </c>
      <c r="Q9" s="7">
        <f>Calculations!U181</f>
        <v>0</v>
      </c>
      <c r="R9" s="7">
        <f>Calculations!V181</f>
        <v>0</v>
      </c>
      <c r="S9" s="7">
        <f>Calculations!W181</f>
        <v>0</v>
      </c>
      <c r="T9" s="7">
        <f>Calculations!X181</f>
        <v>0</v>
      </c>
      <c r="U9" s="7">
        <f>Calculations!Y181</f>
        <v>0</v>
      </c>
      <c r="V9" s="7">
        <f>Calculations!Z181</f>
        <v>0</v>
      </c>
      <c r="W9" s="7">
        <f>Calculations!AA181</f>
        <v>0</v>
      </c>
      <c r="X9" s="7">
        <f>Calculations!AB181</f>
        <v>0</v>
      </c>
      <c r="Y9" s="7">
        <f>Calculations!AC181</f>
        <v>0</v>
      </c>
      <c r="Z9" s="7">
        <f>Calculations!AD181</f>
        <v>0</v>
      </c>
      <c r="AA9" s="7">
        <f>Calculations!AE181</f>
        <v>0</v>
      </c>
      <c r="AB9" s="7">
        <f>Calculations!AF181</f>
        <v>0</v>
      </c>
    </row>
    <row r="10" spans="1:30" x14ac:dyDescent="0.25">
      <c r="A10" s="1" t="s">
        <v>77</v>
      </c>
      <c r="B10" s="7">
        <f>Calculations!F182</f>
        <v>7622096838499.5635</v>
      </c>
      <c r="C10" s="7">
        <f>Calculations!G182</f>
        <v>7431915182042.9902</v>
      </c>
      <c r="D10" s="7">
        <f>Calculations!H182</f>
        <v>7526534952365.1279</v>
      </c>
      <c r="E10" s="7">
        <f>Calculations!I182</f>
        <v>7411612731332.9941</v>
      </c>
      <c r="F10" s="7">
        <f>Calculations!J182</f>
        <v>7435268388428.4893</v>
      </c>
      <c r="G10" s="7">
        <f>Calculations!K182</f>
        <v>7468891486007.2148</v>
      </c>
      <c r="H10" s="7">
        <f>Calculations!L182</f>
        <v>7513292640409.3682</v>
      </c>
      <c r="I10" s="7">
        <f>Calculations!M182</f>
        <v>7555861507482.9922</v>
      </c>
      <c r="J10" s="7">
        <f>Calculations!N182</f>
        <v>7611801602092.5283</v>
      </c>
      <c r="K10" s="7">
        <f>Calculations!O182</f>
        <v>7679172570145.3555</v>
      </c>
      <c r="L10" s="7">
        <f>Calculations!P182</f>
        <v>7755575356329.1885</v>
      </c>
      <c r="M10" s="7">
        <f>Calculations!Q182</f>
        <v>7834105629422.1875</v>
      </c>
      <c r="N10" s="7">
        <f>Calculations!R182</f>
        <v>7918487881073.332</v>
      </c>
      <c r="O10" s="7">
        <f>Calculations!S182</f>
        <v>8007518444935.7861</v>
      </c>
      <c r="P10" s="7">
        <f>Calculations!T182</f>
        <v>8096242786516.8545</v>
      </c>
      <c r="Q10" s="7">
        <f>Calculations!U182</f>
        <v>8180533463355.1729</v>
      </c>
      <c r="R10" s="7">
        <f>Calculations!V182</f>
        <v>8261239141406.2432</v>
      </c>
      <c r="S10" s="7">
        <f>Calculations!W182</f>
        <v>8337038433940.2813</v>
      </c>
      <c r="T10" s="7">
        <f>Calculations!X182</f>
        <v>8408149968891.584</v>
      </c>
      <c r="U10" s="7">
        <f>Calculations!Y182</f>
        <v>8477297734396.8018</v>
      </c>
      <c r="V10" s="7">
        <f>Calculations!Z182</f>
        <v>8544467345874.5986</v>
      </c>
      <c r="W10" s="7">
        <f>Calculations!AA182</f>
        <v>8607118006020.2783</v>
      </c>
      <c r="X10" s="7">
        <f>Calculations!AB182</f>
        <v>8669581094972.9512</v>
      </c>
      <c r="Y10" s="7">
        <f>Calculations!AC182</f>
        <v>8733177749518.8936</v>
      </c>
      <c r="Z10" s="7">
        <f>Calculations!AD182</f>
        <v>8795516667814.7568</v>
      </c>
      <c r="AA10" s="7">
        <f>Calculations!AE182</f>
        <v>8854808150187.4648</v>
      </c>
      <c r="AB10" s="7">
        <f>Calculations!AF182</f>
        <v>8915086002558.9473</v>
      </c>
    </row>
    <row r="11" spans="1:30" x14ac:dyDescent="0.25">
      <c r="A11" s="1" t="s">
        <v>936</v>
      </c>
      <c r="B11" s="7">
        <f>Calculations!F183</f>
        <v>0</v>
      </c>
      <c r="C11" s="7">
        <f>Calculations!G183</f>
        <v>0</v>
      </c>
      <c r="D11" s="7">
        <f>Calculations!H183</f>
        <v>0</v>
      </c>
      <c r="E11" s="7">
        <f>Calculations!I183</f>
        <v>0</v>
      </c>
      <c r="F11" s="7">
        <f>Calculations!J183</f>
        <v>0</v>
      </c>
      <c r="G11" s="7">
        <f>Calculations!K183</f>
        <v>0</v>
      </c>
      <c r="H11" s="7">
        <f>Calculations!L183</f>
        <v>0</v>
      </c>
      <c r="I11" s="7">
        <f>Calculations!M183</f>
        <v>0</v>
      </c>
      <c r="J11" s="7">
        <f>Calculations!N183</f>
        <v>0</v>
      </c>
      <c r="K11" s="7">
        <f>Calculations!O183</f>
        <v>0</v>
      </c>
      <c r="L11" s="7">
        <f>Calculations!P183</f>
        <v>0</v>
      </c>
      <c r="M11" s="7">
        <f>Calculations!Q183</f>
        <v>0</v>
      </c>
      <c r="N11" s="7">
        <f>Calculations!R183</f>
        <v>0</v>
      </c>
      <c r="O11" s="7">
        <f>Calculations!S183</f>
        <v>0</v>
      </c>
      <c r="P11" s="7">
        <f>Calculations!T183</f>
        <v>0</v>
      </c>
      <c r="Q11" s="7">
        <f>Calculations!U183</f>
        <v>0</v>
      </c>
      <c r="R11" s="7">
        <f>Calculations!V183</f>
        <v>0</v>
      </c>
      <c r="S11" s="7">
        <f>Calculations!W183</f>
        <v>0</v>
      </c>
      <c r="T11" s="7">
        <f>Calculations!X183</f>
        <v>0</v>
      </c>
      <c r="U11" s="7">
        <f>Calculations!Y183</f>
        <v>0</v>
      </c>
      <c r="V11" s="7">
        <f>Calculations!Z183</f>
        <v>0</v>
      </c>
      <c r="W11" s="7">
        <f>Calculations!AA183</f>
        <v>0</v>
      </c>
      <c r="X11" s="7">
        <f>Calculations!AB183</f>
        <v>0</v>
      </c>
      <c r="Y11" s="7">
        <f>Calculations!AC183</f>
        <v>0</v>
      </c>
      <c r="Z11" s="7">
        <f>Calculations!AD183</f>
        <v>0</v>
      </c>
      <c r="AA11" s="7">
        <f>Calculations!AE183</f>
        <v>0</v>
      </c>
      <c r="AB11" s="7">
        <f>Calculations!AF183</f>
        <v>0</v>
      </c>
    </row>
  </sheetData>
  <pageMargins left="0.7" right="0.7" top="0.75" bottom="0.75" header="0.3" footer="0.3"/>
  <pageSetup orientation="portrait" horizontalDpi="1200" verticalDpi="12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D11"/>
  <sheetViews>
    <sheetView workbookViewId="0">
      <selection activeCell="D30" sqref="D30"/>
    </sheetView>
  </sheetViews>
  <sheetFormatPr defaultRowHeight="15" x14ac:dyDescent="0.25"/>
  <cols>
    <col min="1" max="1" width="29.85546875" customWidth="1"/>
    <col min="2" max="28" width="9.85546875" customWidth="1"/>
  </cols>
  <sheetData>
    <row r="1" spans="1:30" x14ac:dyDescent="0.25">
      <c r="A1" s="1" t="s">
        <v>915</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v>
      </c>
      <c r="B2" s="51">
        <f>Calculations!F187-'Water and Waste'!J9</f>
        <v>2077766400000000</v>
      </c>
      <c r="C2" s="51">
        <f>Calculations!G187-'Water and Waste'!K9</f>
        <v>1706741935793979.3</v>
      </c>
      <c r="D2" s="51">
        <f>Calculations!H187-'Water and Waste'!L9</f>
        <v>1746112885857274.8</v>
      </c>
      <c r="E2" s="51">
        <f>Calculations!I187-'Water and Waste'!M9</f>
        <v>1737714694988552.3</v>
      </c>
      <c r="F2" s="51">
        <f>Calculations!J187-'Water and Waste'!N9</f>
        <v>1725168684302795.3</v>
      </c>
      <c r="G2" s="51">
        <f>Calculations!K187-'Water and Waste'!O9</f>
        <v>1714361565667928.8</v>
      </c>
      <c r="H2" s="51">
        <f>Calculations!L187-'Water and Waste'!P9</f>
        <v>1707302541037535.8</v>
      </c>
      <c r="I2" s="51">
        <f>Calculations!M187-'Water and Waste'!Q9</f>
        <v>1699977938425131.3</v>
      </c>
      <c r="J2" s="51">
        <f>Calculations!N187-'Water and Waste'!R9</f>
        <v>1692397126149572</v>
      </c>
      <c r="K2" s="51">
        <f>Calculations!O187-'Water and Waste'!S9</f>
        <v>1684929855557632.5</v>
      </c>
      <c r="L2" s="51">
        <f>Calculations!P187-'Water and Waste'!T9</f>
        <v>1677587502221696.8</v>
      </c>
      <c r="M2" s="51">
        <f>Calculations!Q187-'Water and Waste'!U9</f>
        <v>1670406560997558</v>
      </c>
      <c r="N2" s="51">
        <f>Calculations!R187-'Water and Waste'!V9</f>
        <v>1663293693512181.5</v>
      </c>
      <c r="O2" s="51">
        <f>Calculations!S187-'Water and Waste'!W9</f>
        <v>1656478756509517.8</v>
      </c>
      <c r="P2" s="51">
        <f>Calculations!T187-'Water and Waste'!X9</f>
        <v>1649788531723155.3</v>
      </c>
      <c r="Q2" s="51">
        <f>Calculations!U187-'Water and Waste'!Y9</f>
        <v>1643531032807084.8</v>
      </c>
      <c r="R2" s="51">
        <f>Calculations!V187-'Water and Waste'!Z9</f>
        <v>1637138454566518.5</v>
      </c>
      <c r="S2" s="51">
        <f>Calculations!W187-'Water and Waste'!AA9</f>
        <v>1630216551732193.3</v>
      </c>
      <c r="T2" s="51">
        <f>Calculations!X187-'Water and Waste'!AB9</f>
        <v>1623425365577327.3</v>
      </c>
      <c r="U2" s="51">
        <f>Calculations!Y187-'Water and Waste'!AC9</f>
        <v>1616107138769627</v>
      </c>
      <c r="V2" s="51">
        <f>Calculations!Z187-'Water and Waste'!AD9</f>
        <v>1608798640437108.8</v>
      </c>
      <c r="W2" s="51">
        <f>Calculations!AA187-'Water and Waste'!AE9</f>
        <v>1601514233200645</v>
      </c>
      <c r="X2" s="51">
        <f>Calculations!AB187-'Water and Waste'!AF9</f>
        <v>1594762274788984.3</v>
      </c>
      <c r="Y2" s="51">
        <f>Calculations!AC187-'Water and Waste'!AG9</f>
        <v>1588372108925275.3</v>
      </c>
      <c r="Z2" s="51">
        <f>Calculations!AD187-'Water and Waste'!AH9</f>
        <v>1582232372774520</v>
      </c>
      <c r="AA2" s="51">
        <f>Calculations!AE187-'Water and Waste'!AI9</f>
        <v>1575843149739938.5</v>
      </c>
      <c r="AB2" s="51">
        <f>Calculations!AF187-'Water and Waste'!AJ9</f>
        <v>1569721077973062</v>
      </c>
    </row>
    <row r="3" spans="1:30" x14ac:dyDescent="0.25">
      <c r="A3" s="1" t="s">
        <v>932</v>
      </c>
      <c r="B3" s="7">
        <f>Calculations!F188</f>
        <v>26136440000000</v>
      </c>
      <c r="C3" s="7">
        <f>Calculations!G188</f>
        <v>25921960000000</v>
      </c>
      <c r="D3" s="7">
        <f>Calculations!H188</f>
        <v>26443760000000</v>
      </c>
      <c r="E3" s="7">
        <f>Calculations!I188</f>
        <v>26726359999999.996</v>
      </c>
      <c r="F3" s="7">
        <f>Calculations!J188</f>
        <v>27012400000000</v>
      </c>
      <c r="G3" s="7">
        <f>Calculations!K188</f>
        <v>27300600000000</v>
      </c>
      <c r="H3" s="7">
        <f>Calculations!L188</f>
        <v>27623440000000.004</v>
      </c>
      <c r="I3" s="7">
        <f>Calculations!M188</f>
        <v>27916680000000</v>
      </c>
      <c r="J3" s="7">
        <f>Calculations!N188</f>
        <v>28238040000000</v>
      </c>
      <c r="K3" s="7">
        <f>Calculations!O188</f>
        <v>28558840000000.004</v>
      </c>
      <c r="L3" s="7">
        <f>Calculations!P188</f>
        <v>28906280000000</v>
      </c>
      <c r="M3" s="7">
        <f>Calculations!Q188</f>
        <v>29253200000000.004</v>
      </c>
      <c r="N3" s="7">
        <f>Calculations!R188</f>
        <v>29621400000000.004</v>
      </c>
      <c r="O3" s="7">
        <f>Calculations!S188</f>
        <v>29992920000000.004</v>
      </c>
      <c r="P3" s="7">
        <f>Calculations!T188</f>
        <v>30356120000000</v>
      </c>
      <c r="Q3" s="7">
        <f>Calculations!U188</f>
        <v>30714440000000.004</v>
      </c>
      <c r="R3" s="7">
        <f>Calculations!V188</f>
        <v>31061240000000</v>
      </c>
      <c r="S3" s="7">
        <f>Calculations!W188</f>
        <v>31388720000000</v>
      </c>
      <c r="T3" s="7">
        <f>Calculations!X188</f>
        <v>31706960000000</v>
      </c>
      <c r="U3" s="7">
        <f>Calculations!Y188</f>
        <v>32015720000000.004</v>
      </c>
      <c r="V3" s="7">
        <f>Calculations!Z188</f>
        <v>32317520000000.004</v>
      </c>
      <c r="W3" s="7">
        <f>Calculations!AA188</f>
        <v>32612520000000</v>
      </c>
      <c r="X3" s="7">
        <f>Calculations!AB188</f>
        <v>32906720000000</v>
      </c>
      <c r="Y3" s="7">
        <f>Calculations!AC188</f>
        <v>33196160000000.004</v>
      </c>
      <c r="Z3" s="7">
        <f>Calculations!AD188</f>
        <v>33484479999999.996</v>
      </c>
      <c r="AA3" s="7">
        <f>Calculations!AE188</f>
        <v>33771800000000.004</v>
      </c>
      <c r="AB3" s="7">
        <f>Calculations!AF188</f>
        <v>34060359999999.996</v>
      </c>
    </row>
    <row r="4" spans="1:30" x14ac:dyDescent="0.25">
      <c r="A4" s="1" t="s">
        <v>53</v>
      </c>
      <c r="B4" s="7">
        <f>Calculations!F189</f>
        <v>1200143000000000</v>
      </c>
      <c r="C4" s="7">
        <f>Calculations!G189</f>
        <v>1267356000000000</v>
      </c>
      <c r="D4" s="7">
        <f>Calculations!H189</f>
        <v>1194333000000000</v>
      </c>
      <c r="E4" s="7">
        <f>Calculations!I189</f>
        <v>1199043000000000</v>
      </c>
      <c r="F4" s="7">
        <f>Calculations!J189</f>
        <v>1197086000000000</v>
      </c>
      <c r="G4" s="7">
        <f>Calculations!K189</f>
        <v>1188333000000000</v>
      </c>
      <c r="H4" s="7">
        <f>Calculations!L189</f>
        <v>1177144000000000</v>
      </c>
      <c r="I4" s="7">
        <f>Calculations!M189</f>
        <v>1166085000000000</v>
      </c>
      <c r="J4" s="7">
        <f>Calculations!N189</f>
        <v>1160668000000000</v>
      </c>
      <c r="K4" s="7">
        <f>Calculations!O189</f>
        <v>1157207000000000</v>
      </c>
      <c r="L4" s="7">
        <f>Calculations!P189</f>
        <v>1156334000000000</v>
      </c>
      <c r="M4" s="7">
        <f>Calculations!Q189</f>
        <v>1155312000000000</v>
      </c>
      <c r="N4" s="7">
        <f>Calculations!R189</f>
        <v>1155334000000000</v>
      </c>
      <c r="O4" s="7">
        <f>Calculations!S189</f>
        <v>1155167000000000</v>
      </c>
      <c r="P4" s="7">
        <f>Calculations!T189</f>
        <v>1155125000000000</v>
      </c>
      <c r="Q4" s="7">
        <f>Calculations!U189</f>
        <v>1154979000000000</v>
      </c>
      <c r="R4" s="7">
        <f>Calculations!V189</f>
        <v>1155163000000000</v>
      </c>
      <c r="S4" s="7">
        <f>Calculations!W189</f>
        <v>1155525000000000</v>
      </c>
      <c r="T4" s="7">
        <f>Calculations!X189</f>
        <v>1157366000000000</v>
      </c>
      <c r="U4" s="7">
        <f>Calculations!Y189</f>
        <v>1159725000000000</v>
      </c>
      <c r="V4" s="7">
        <f>Calculations!Z189</f>
        <v>1162961000000000</v>
      </c>
      <c r="W4" s="7">
        <f>Calculations!AA189</f>
        <v>1165869000000000</v>
      </c>
      <c r="X4" s="7">
        <f>Calculations!AB189</f>
        <v>1167382000000000</v>
      </c>
      <c r="Y4" s="7">
        <f>Calculations!AC189</f>
        <v>1168018000000000</v>
      </c>
      <c r="Z4" s="7">
        <f>Calculations!AD189</f>
        <v>1168420000000000</v>
      </c>
      <c r="AA4" s="7">
        <f>Calculations!AE189</f>
        <v>1168869000000000</v>
      </c>
      <c r="AB4" s="7">
        <f>Calculations!AF189</f>
        <v>1169652000000000</v>
      </c>
    </row>
    <row r="5" spans="1:30" x14ac:dyDescent="0.25">
      <c r="A5" s="1" t="s">
        <v>68</v>
      </c>
      <c r="B5" s="7">
        <f>Calculations!F190</f>
        <v>235269000000000</v>
      </c>
      <c r="C5" s="7">
        <f>Calculations!G190</f>
        <v>237124000000000</v>
      </c>
      <c r="D5" s="7">
        <f>Calculations!H190</f>
        <v>242392000000000</v>
      </c>
      <c r="E5" s="7">
        <f>Calculations!I190</f>
        <v>250526000000000.03</v>
      </c>
      <c r="F5" s="7">
        <f>Calculations!J190</f>
        <v>252410000000000.03</v>
      </c>
      <c r="G5" s="7">
        <f>Calculations!K190</f>
        <v>253940999999999.97</v>
      </c>
      <c r="H5" s="7">
        <f>Calculations!L190</f>
        <v>256359000000000</v>
      </c>
      <c r="I5" s="7">
        <f>Calculations!M190</f>
        <v>258467999999999.97</v>
      </c>
      <c r="J5" s="7">
        <f>Calculations!N190</f>
        <v>259218999999999.97</v>
      </c>
      <c r="K5" s="7">
        <f>Calculations!O190</f>
        <v>258164000000000</v>
      </c>
      <c r="L5" s="7">
        <f>Calculations!P190</f>
        <v>257158000000000</v>
      </c>
      <c r="M5" s="7">
        <f>Calculations!Q190</f>
        <v>256193000000000</v>
      </c>
      <c r="N5" s="7">
        <f>Calculations!R190</f>
        <v>255626000000000.03</v>
      </c>
      <c r="O5" s="7">
        <f>Calculations!S190</f>
        <v>254962000000000.03</v>
      </c>
      <c r="P5" s="7">
        <f>Calculations!T190</f>
        <v>254280000000000</v>
      </c>
      <c r="Q5" s="7">
        <f>Calculations!U190</f>
        <v>253747999999999.97</v>
      </c>
      <c r="R5" s="7">
        <f>Calculations!V190</f>
        <v>253289000000000</v>
      </c>
      <c r="S5" s="7">
        <f>Calculations!W190</f>
        <v>252780000000000</v>
      </c>
      <c r="T5" s="7">
        <f>Calculations!X190</f>
        <v>252305999999999.97</v>
      </c>
      <c r="U5" s="7">
        <f>Calculations!Y190</f>
        <v>251799000000000</v>
      </c>
      <c r="V5" s="7">
        <f>Calculations!Z190</f>
        <v>251265000000000.03</v>
      </c>
      <c r="W5" s="7">
        <f>Calculations!AA190</f>
        <v>250630000000000.03</v>
      </c>
      <c r="X5" s="7">
        <f>Calculations!AB190</f>
        <v>249962000000000</v>
      </c>
      <c r="Y5" s="7">
        <f>Calculations!AC190</f>
        <v>249195000000000</v>
      </c>
      <c r="Z5" s="7">
        <f>Calculations!AD190</f>
        <v>248498000000000</v>
      </c>
      <c r="AA5" s="7">
        <f>Calculations!AE190</f>
        <v>247697000000000</v>
      </c>
      <c r="AB5" s="7">
        <f>Calculations!AF190</f>
        <v>247076000000000</v>
      </c>
    </row>
    <row r="6" spans="1:30" x14ac:dyDescent="0.25">
      <c r="A6" s="1" t="s">
        <v>933</v>
      </c>
      <c r="B6" s="7">
        <f>Calculations!F191</f>
        <v>0</v>
      </c>
      <c r="C6" s="7">
        <f>Calculations!G191</f>
        <v>0</v>
      </c>
      <c r="D6" s="7">
        <f>Calculations!H191</f>
        <v>0</v>
      </c>
      <c r="E6" s="7">
        <f>Calculations!I191</f>
        <v>0</v>
      </c>
      <c r="F6" s="7">
        <f>Calculations!J191</f>
        <v>0</v>
      </c>
      <c r="G6" s="7">
        <f>Calculations!K191</f>
        <v>0</v>
      </c>
      <c r="H6" s="7">
        <f>Calculations!L191</f>
        <v>0</v>
      </c>
      <c r="I6" s="7">
        <f>Calculations!M191</f>
        <v>0</v>
      </c>
      <c r="J6" s="7">
        <f>Calculations!N191</f>
        <v>0</v>
      </c>
      <c r="K6" s="7">
        <f>Calculations!O191</f>
        <v>0</v>
      </c>
      <c r="L6" s="7">
        <f>Calculations!P191</f>
        <v>0</v>
      </c>
      <c r="M6" s="7">
        <f>Calculations!Q191</f>
        <v>0</v>
      </c>
      <c r="N6" s="7">
        <f>Calculations!R191</f>
        <v>0</v>
      </c>
      <c r="O6" s="7">
        <f>Calculations!S191</f>
        <v>0</v>
      </c>
      <c r="P6" s="7">
        <f>Calculations!T191</f>
        <v>0</v>
      </c>
      <c r="Q6" s="7">
        <f>Calculations!U191</f>
        <v>0</v>
      </c>
      <c r="R6" s="7">
        <f>Calculations!V191</f>
        <v>0</v>
      </c>
      <c r="S6" s="7">
        <f>Calculations!W191</f>
        <v>0</v>
      </c>
      <c r="T6" s="7">
        <f>Calculations!X191</f>
        <v>0</v>
      </c>
      <c r="U6" s="7">
        <f>Calculations!Y191</f>
        <v>0</v>
      </c>
      <c r="V6" s="7">
        <f>Calculations!Z191</f>
        <v>0</v>
      </c>
      <c r="W6" s="7">
        <f>Calculations!AA191</f>
        <v>0</v>
      </c>
      <c r="X6" s="7">
        <f>Calculations!AB191</f>
        <v>0</v>
      </c>
      <c r="Y6" s="7">
        <f>Calculations!AC191</f>
        <v>0</v>
      </c>
      <c r="Z6" s="7">
        <f>Calculations!AD191</f>
        <v>0</v>
      </c>
      <c r="AA6" s="7">
        <f>Calculations!AE191</f>
        <v>0</v>
      </c>
      <c r="AB6" s="7">
        <f>Calculations!AF191</f>
        <v>0</v>
      </c>
    </row>
    <row r="7" spans="1:30" x14ac:dyDescent="0.25">
      <c r="A7" s="1" t="s">
        <v>88</v>
      </c>
      <c r="B7" s="7">
        <f>Calculations!F192</f>
        <v>0</v>
      </c>
      <c r="C7" s="7">
        <f>Calculations!G192</f>
        <v>0</v>
      </c>
      <c r="D7" s="7">
        <f>Calculations!H192</f>
        <v>0</v>
      </c>
      <c r="E7" s="7">
        <f>Calculations!I192</f>
        <v>0</v>
      </c>
      <c r="F7" s="7">
        <f>Calculations!J192</f>
        <v>0</v>
      </c>
      <c r="G7" s="7">
        <f>Calculations!K192</f>
        <v>0</v>
      </c>
      <c r="H7" s="7">
        <f>Calculations!L192</f>
        <v>0</v>
      </c>
      <c r="I7" s="7">
        <f>Calculations!M192</f>
        <v>0</v>
      </c>
      <c r="J7" s="7">
        <f>Calculations!N192</f>
        <v>0</v>
      </c>
      <c r="K7" s="7">
        <f>Calculations!O192</f>
        <v>0</v>
      </c>
      <c r="L7" s="7">
        <f>Calculations!P192</f>
        <v>0</v>
      </c>
      <c r="M7" s="7">
        <f>Calculations!Q192</f>
        <v>0</v>
      </c>
      <c r="N7" s="7">
        <f>Calculations!R192</f>
        <v>0</v>
      </c>
      <c r="O7" s="7">
        <f>Calculations!S192</f>
        <v>0</v>
      </c>
      <c r="P7" s="7">
        <f>Calculations!T192</f>
        <v>0</v>
      </c>
      <c r="Q7" s="7">
        <f>Calculations!U192</f>
        <v>0</v>
      </c>
      <c r="R7" s="7">
        <f>Calculations!V192</f>
        <v>0</v>
      </c>
      <c r="S7" s="7">
        <f>Calculations!W192</f>
        <v>0</v>
      </c>
      <c r="T7" s="7">
        <f>Calculations!X192</f>
        <v>0</v>
      </c>
      <c r="U7" s="7">
        <f>Calculations!Y192</f>
        <v>0</v>
      </c>
      <c r="V7" s="7">
        <f>Calculations!Z192</f>
        <v>0</v>
      </c>
      <c r="W7" s="7">
        <f>Calculations!AA192</f>
        <v>0</v>
      </c>
      <c r="X7" s="7">
        <f>Calculations!AB192</f>
        <v>0</v>
      </c>
      <c r="Y7" s="7">
        <f>Calculations!AC192</f>
        <v>0</v>
      </c>
      <c r="Z7" s="7">
        <f>Calculations!AD192</f>
        <v>0</v>
      </c>
      <c r="AA7" s="7">
        <f>Calculations!AE192</f>
        <v>0</v>
      </c>
      <c r="AB7" s="7">
        <f>Calculations!AF192</f>
        <v>0</v>
      </c>
    </row>
    <row r="8" spans="1:30" x14ac:dyDescent="0.25">
      <c r="A8" s="1" t="s">
        <v>934</v>
      </c>
      <c r="B8" s="7">
        <f>Calculations!F193</f>
        <v>0</v>
      </c>
      <c r="C8" s="7">
        <f>Calculations!G193</f>
        <v>0</v>
      </c>
      <c r="D8" s="7">
        <f>Calculations!H193</f>
        <v>0</v>
      </c>
      <c r="E8" s="7">
        <f>Calculations!I193</f>
        <v>0</v>
      </c>
      <c r="F8" s="7">
        <f>Calculations!J193</f>
        <v>0</v>
      </c>
      <c r="G8" s="7">
        <f>Calculations!K193</f>
        <v>0</v>
      </c>
      <c r="H8" s="7">
        <f>Calculations!L193</f>
        <v>0</v>
      </c>
      <c r="I8" s="7">
        <f>Calculations!M193</f>
        <v>0</v>
      </c>
      <c r="J8" s="7">
        <f>Calculations!N193</f>
        <v>0</v>
      </c>
      <c r="K8" s="7">
        <f>Calculations!O193</f>
        <v>0</v>
      </c>
      <c r="L8" s="7">
        <f>Calculations!P193</f>
        <v>0</v>
      </c>
      <c r="M8" s="7">
        <f>Calculations!Q193</f>
        <v>0</v>
      </c>
      <c r="N8" s="7">
        <f>Calculations!R193</f>
        <v>0</v>
      </c>
      <c r="O8" s="7">
        <f>Calculations!S193</f>
        <v>0</v>
      </c>
      <c r="P8" s="7">
        <f>Calculations!T193</f>
        <v>0</v>
      </c>
      <c r="Q8" s="7">
        <f>Calculations!U193</f>
        <v>0</v>
      </c>
      <c r="R8" s="7">
        <f>Calculations!V193</f>
        <v>0</v>
      </c>
      <c r="S8" s="7">
        <f>Calculations!W193</f>
        <v>0</v>
      </c>
      <c r="T8" s="7">
        <f>Calculations!X193</f>
        <v>0</v>
      </c>
      <c r="U8" s="7">
        <f>Calculations!Y193</f>
        <v>0</v>
      </c>
      <c r="V8" s="7">
        <f>Calculations!Z193</f>
        <v>0</v>
      </c>
      <c r="W8" s="7">
        <f>Calculations!AA193</f>
        <v>0</v>
      </c>
      <c r="X8" s="7">
        <f>Calculations!AB193</f>
        <v>0</v>
      </c>
      <c r="Y8" s="7">
        <f>Calculations!AC193</f>
        <v>0</v>
      </c>
      <c r="Z8" s="7">
        <f>Calculations!AD193</f>
        <v>0</v>
      </c>
      <c r="AA8" s="7">
        <f>Calculations!AE193</f>
        <v>0</v>
      </c>
      <c r="AB8" s="7">
        <f>Calculations!AF193</f>
        <v>0</v>
      </c>
    </row>
    <row r="9" spans="1:30" x14ac:dyDescent="0.25">
      <c r="A9" s="1" t="s">
        <v>935</v>
      </c>
      <c r="B9" s="7">
        <f>Calculations!F194</f>
        <v>0</v>
      </c>
      <c r="C9" s="7">
        <f>Calculations!G194</f>
        <v>0</v>
      </c>
      <c r="D9" s="7">
        <f>Calculations!H194</f>
        <v>0</v>
      </c>
      <c r="E9" s="7">
        <f>Calculations!I194</f>
        <v>0</v>
      </c>
      <c r="F9" s="7">
        <f>Calculations!J194</f>
        <v>0</v>
      </c>
      <c r="G9" s="7">
        <f>Calculations!K194</f>
        <v>0</v>
      </c>
      <c r="H9" s="7">
        <f>Calculations!L194</f>
        <v>0</v>
      </c>
      <c r="I9" s="7">
        <f>Calculations!M194</f>
        <v>0</v>
      </c>
      <c r="J9" s="7">
        <f>Calculations!N194</f>
        <v>0</v>
      </c>
      <c r="K9" s="7">
        <f>Calculations!O194</f>
        <v>0</v>
      </c>
      <c r="L9" s="7">
        <f>Calculations!P194</f>
        <v>0</v>
      </c>
      <c r="M9" s="7">
        <f>Calculations!Q194</f>
        <v>0</v>
      </c>
      <c r="N9" s="7">
        <f>Calculations!R194</f>
        <v>0</v>
      </c>
      <c r="O9" s="7">
        <f>Calculations!S194</f>
        <v>0</v>
      </c>
      <c r="P9" s="7">
        <f>Calculations!T194</f>
        <v>0</v>
      </c>
      <c r="Q9" s="7">
        <f>Calculations!U194</f>
        <v>0</v>
      </c>
      <c r="R9" s="7">
        <f>Calculations!V194</f>
        <v>0</v>
      </c>
      <c r="S9" s="7">
        <f>Calculations!W194</f>
        <v>0</v>
      </c>
      <c r="T9" s="7">
        <f>Calculations!X194</f>
        <v>0</v>
      </c>
      <c r="U9" s="7">
        <f>Calculations!Y194</f>
        <v>0</v>
      </c>
      <c r="V9" s="7">
        <f>Calculations!Z194</f>
        <v>0</v>
      </c>
      <c r="W9" s="7">
        <f>Calculations!AA194</f>
        <v>0</v>
      </c>
      <c r="X9" s="7">
        <f>Calculations!AB194</f>
        <v>0</v>
      </c>
      <c r="Y9" s="7">
        <f>Calculations!AC194</f>
        <v>0</v>
      </c>
      <c r="Z9" s="7">
        <f>Calculations!AD194</f>
        <v>0</v>
      </c>
      <c r="AA9" s="7">
        <f>Calculations!AE194</f>
        <v>0</v>
      </c>
      <c r="AB9" s="7">
        <f>Calculations!AF194</f>
        <v>0</v>
      </c>
    </row>
    <row r="10" spans="1:30" x14ac:dyDescent="0.25">
      <c r="A10" s="1" t="s">
        <v>77</v>
      </c>
      <c r="B10" s="7">
        <f>Calculations!F195</f>
        <v>478708782994381.69</v>
      </c>
      <c r="C10" s="7">
        <f>Calculations!G195</f>
        <v>467697838542134.31</v>
      </c>
      <c r="D10" s="7">
        <f>Calculations!H195</f>
        <v>482255315932775.06</v>
      </c>
      <c r="E10" s="7">
        <f>Calculations!I195</f>
        <v>492259197012176.56</v>
      </c>
      <c r="F10" s="7">
        <f>Calculations!J195</f>
        <v>499663496784673.88</v>
      </c>
      <c r="G10" s="7">
        <f>Calculations!K195</f>
        <v>507399083158950.81</v>
      </c>
      <c r="H10" s="7">
        <f>Calculations!L195</f>
        <v>515827581146948.44</v>
      </c>
      <c r="I10" s="7">
        <f>Calculations!M195</f>
        <v>523578662765714.25</v>
      </c>
      <c r="J10" s="7">
        <f>Calculations!N195</f>
        <v>531839245146313.38</v>
      </c>
      <c r="K10" s="7">
        <f>Calculations!O195</f>
        <v>539892676306918.75</v>
      </c>
      <c r="L10" s="7">
        <f>Calculations!P195</f>
        <v>548517119769774.88</v>
      </c>
      <c r="M10" s="7">
        <f>Calculations!Q195</f>
        <v>557202394091770.88</v>
      </c>
      <c r="N10" s="7">
        <f>Calculations!R195</f>
        <v>566360207914731.88</v>
      </c>
      <c r="O10" s="7">
        <f>Calculations!S195</f>
        <v>575588643292280.25</v>
      </c>
      <c r="P10" s="7">
        <f>Calculations!T195</f>
        <v>584695431910112.38</v>
      </c>
      <c r="Q10" s="7">
        <f>Calculations!U195</f>
        <v>593762587316775.88</v>
      </c>
      <c r="R10" s="7">
        <f>Calculations!V195</f>
        <v>602673099333999.38</v>
      </c>
      <c r="S10" s="7">
        <f>Calculations!W195</f>
        <v>611205503286375.88</v>
      </c>
      <c r="T10" s="7">
        <f>Calculations!X195</f>
        <v>619575550832698.5</v>
      </c>
      <c r="U10" s="7">
        <f>Calculations!Y195</f>
        <v>627816203595111.88</v>
      </c>
      <c r="V10" s="7">
        <f>Calculations!Z195</f>
        <v>635937674070255.13</v>
      </c>
      <c r="W10" s="7">
        <f>Calculations!AA195</f>
        <v>643940891298167.88</v>
      </c>
      <c r="X10" s="7">
        <f>Calculations!AB195</f>
        <v>651945195445736.75</v>
      </c>
      <c r="Y10" s="7">
        <f>Calculations!AC195</f>
        <v>659873932471607.25</v>
      </c>
      <c r="Z10" s="7">
        <f>Calculations!AD195</f>
        <v>667787442993776.88</v>
      </c>
      <c r="AA10" s="7">
        <f>Calculations!AE195</f>
        <v>675696061114289.75</v>
      </c>
      <c r="AB10" s="7">
        <f>Calculations!AF195</f>
        <v>683644875595361.38</v>
      </c>
    </row>
    <row r="11" spans="1:30" x14ac:dyDescent="0.25">
      <c r="A11" s="1" t="s">
        <v>936</v>
      </c>
      <c r="B11" s="7">
        <f>Calculations!F196</f>
        <v>0</v>
      </c>
      <c r="C11" s="7">
        <f>Calculations!G196</f>
        <v>0</v>
      </c>
      <c r="D11" s="7">
        <f>Calculations!H196</f>
        <v>0</v>
      </c>
      <c r="E11" s="7">
        <f>Calculations!I196</f>
        <v>0</v>
      </c>
      <c r="F11" s="7">
        <f>Calculations!J196</f>
        <v>0</v>
      </c>
      <c r="G11" s="7">
        <f>Calculations!K196</f>
        <v>0</v>
      </c>
      <c r="H11" s="7">
        <f>Calculations!L196</f>
        <v>0</v>
      </c>
      <c r="I11" s="7">
        <f>Calculations!M196</f>
        <v>0</v>
      </c>
      <c r="J11" s="7">
        <f>Calculations!N196</f>
        <v>0</v>
      </c>
      <c r="K11" s="7">
        <f>Calculations!O196</f>
        <v>0</v>
      </c>
      <c r="L11" s="7">
        <f>Calculations!P196</f>
        <v>0</v>
      </c>
      <c r="M11" s="7">
        <f>Calculations!Q196</f>
        <v>0</v>
      </c>
      <c r="N11" s="7">
        <f>Calculations!R196</f>
        <v>0</v>
      </c>
      <c r="O11" s="7">
        <f>Calculations!S196</f>
        <v>0</v>
      </c>
      <c r="P11" s="7">
        <f>Calculations!T196</f>
        <v>0</v>
      </c>
      <c r="Q11" s="7">
        <f>Calculations!U196</f>
        <v>0</v>
      </c>
      <c r="R11" s="7">
        <f>Calculations!V196</f>
        <v>0</v>
      </c>
      <c r="S11" s="7">
        <f>Calculations!W196</f>
        <v>0</v>
      </c>
      <c r="T11" s="7">
        <f>Calculations!X196</f>
        <v>0</v>
      </c>
      <c r="U11" s="7">
        <f>Calculations!Y196</f>
        <v>0</v>
      </c>
      <c r="V11" s="7">
        <f>Calculations!Z196</f>
        <v>0</v>
      </c>
      <c r="W11" s="7">
        <f>Calculations!AA196</f>
        <v>0</v>
      </c>
      <c r="X11" s="7">
        <f>Calculations!AB196</f>
        <v>0</v>
      </c>
      <c r="Y11" s="7">
        <f>Calculations!AC196</f>
        <v>0</v>
      </c>
      <c r="Z11" s="7">
        <f>Calculations!AD196</f>
        <v>0</v>
      </c>
      <c r="AA11" s="7">
        <f>Calculations!AE196</f>
        <v>0</v>
      </c>
      <c r="AB11" s="7">
        <f>Calculations!AF196</f>
        <v>0</v>
      </c>
    </row>
  </sheetData>
  <pageMargins left="0.7" right="0.7" top="0.75" bottom="0.75" header="0.3" footer="0.3"/>
  <pageSetup orientation="portrait" horizontalDpi="1200" verticalDpi="12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D11"/>
  <sheetViews>
    <sheetView workbookViewId="0"/>
  </sheetViews>
  <sheetFormatPr defaultRowHeight="15" x14ac:dyDescent="0.25"/>
  <cols>
    <col min="1" max="1" width="29.85546875" customWidth="1"/>
    <col min="2" max="28" width="9.85546875" customWidth="1"/>
  </cols>
  <sheetData>
    <row r="1" spans="1:30" x14ac:dyDescent="0.25">
      <c r="A1" s="1" t="s">
        <v>915</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30" x14ac:dyDescent="0.25">
      <c r="A3" s="1" t="s">
        <v>932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30" x14ac:dyDescent="0.25">
      <c r="A4" s="1" t="s">
        <v>53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30" x14ac:dyDescent="0.25">
      <c r="A5" s="1" t="s">
        <v>68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30" x14ac:dyDescent="0.25">
      <c r="A6" s="1" t="s">
        <v>933</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30" x14ac:dyDescent="0.25">
      <c r="A7" s="1" t="s">
        <v>88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30" x14ac:dyDescent="0.25">
      <c r="A8" s="1" t="s">
        <v>934</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30" x14ac:dyDescent="0.25">
      <c r="A9" s="1" t="s">
        <v>935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30" x14ac:dyDescent="0.25">
      <c r="A10" s="1" t="s">
        <v>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30" x14ac:dyDescent="0.25">
      <c r="A11" s="1" t="s">
        <v>936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row>
  </sheetData>
  <pageMargins left="0.7" right="0.7" top="0.75" bottom="0.75" header="0.3" footer="0.3"/>
  <pageSetup orientation="portrait" horizontalDpi="1200" verticalDpi="12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E125"/>
  <sheetViews>
    <sheetView workbookViewId="0">
      <selection activeCell="A24" sqref="A24"/>
    </sheetView>
  </sheetViews>
  <sheetFormatPr defaultRowHeight="15" x14ac:dyDescent="0.25"/>
  <cols>
    <col min="1" max="1" width="42.140625" customWidth="1"/>
  </cols>
  <sheetData>
    <row r="1" spans="1:31" x14ac:dyDescent="0.25">
      <c r="A1" t="s">
        <v>352</v>
      </c>
    </row>
    <row r="2" spans="1:31" x14ac:dyDescent="0.25">
      <c r="A2" t="s">
        <v>959</v>
      </c>
    </row>
    <row r="3" spans="1:31" x14ac:dyDescent="0.25">
      <c r="A3" t="s">
        <v>960</v>
      </c>
    </row>
    <row r="4" spans="1:31" x14ac:dyDescent="0.25">
      <c r="A4" t="s">
        <v>355</v>
      </c>
    </row>
    <row r="5" spans="1:31" x14ac:dyDescent="0.25">
      <c r="B5" t="s">
        <v>356</v>
      </c>
      <c r="C5" t="s">
        <v>357</v>
      </c>
      <c r="D5" t="s">
        <v>358</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961</v>
      </c>
    </row>
    <row r="6" spans="1:31" x14ac:dyDescent="0.25">
      <c r="A6" t="s">
        <v>360</v>
      </c>
    </row>
    <row r="7" spans="1:31" x14ac:dyDescent="0.25">
      <c r="A7" t="s">
        <v>361</v>
      </c>
    </row>
    <row r="8" spans="1:31" x14ac:dyDescent="0.25">
      <c r="A8" t="s">
        <v>362</v>
      </c>
      <c r="B8" t="s">
        <v>962</v>
      </c>
      <c r="C8" t="s">
        <v>963</v>
      </c>
      <c r="D8" t="s">
        <v>365</v>
      </c>
      <c r="E8">
        <v>89.551807999999994</v>
      </c>
      <c r="F8">
        <v>90.499319999999997</v>
      </c>
      <c r="G8">
        <v>91.445952000000005</v>
      </c>
      <c r="H8">
        <v>92.375528000000003</v>
      </c>
      <c r="I8">
        <v>93.308328000000003</v>
      </c>
      <c r="J8">
        <v>94.243120000000005</v>
      </c>
      <c r="K8">
        <v>95.158208000000002</v>
      </c>
      <c r="L8">
        <v>96.071575999999993</v>
      </c>
      <c r="M8">
        <v>96.973696000000004</v>
      </c>
      <c r="N8">
        <v>97.853279999999998</v>
      </c>
      <c r="O8">
        <v>98.716440000000006</v>
      </c>
      <c r="P8">
        <v>99.555663999999993</v>
      </c>
      <c r="Q8">
        <v>100.3796</v>
      </c>
      <c r="R8">
        <v>101.179768</v>
      </c>
      <c r="S8">
        <v>101.948536</v>
      </c>
      <c r="T8">
        <v>102.68970400000001</v>
      </c>
      <c r="U8">
        <v>103.400256</v>
      </c>
      <c r="V8">
        <v>104.09390399999999</v>
      </c>
      <c r="W8">
        <v>104.76102400000001</v>
      </c>
      <c r="X8">
        <v>105.404848</v>
      </c>
      <c r="Y8">
        <v>106.04945600000001</v>
      </c>
      <c r="Z8">
        <v>106.69841599999999</v>
      </c>
      <c r="AA8">
        <v>107.34532</v>
      </c>
      <c r="AB8">
        <v>107.99104</v>
      </c>
      <c r="AC8">
        <v>108.635976</v>
      </c>
      <c r="AD8">
        <v>109.283816</v>
      </c>
      <c r="AE8" t="s">
        <v>964</v>
      </c>
    </row>
    <row r="9" spans="1:31" x14ac:dyDescent="0.25">
      <c r="A9" t="s">
        <v>366</v>
      </c>
      <c r="B9" t="s">
        <v>965</v>
      </c>
      <c r="C9" t="s">
        <v>966</v>
      </c>
      <c r="D9" t="s">
        <v>365</v>
      </c>
      <c r="E9">
        <v>34.432312000000003</v>
      </c>
      <c r="F9">
        <v>34.836668000000003</v>
      </c>
      <c r="G9">
        <v>35.242792000000001</v>
      </c>
      <c r="H9">
        <v>35.639104000000003</v>
      </c>
      <c r="I9">
        <v>36.037196000000002</v>
      </c>
      <c r="J9">
        <v>36.453671999999997</v>
      </c>
      <c r="K9">
        <v>36.903640000000003</v>
      </c>
      <c r="L9">
        <v>37.355531999999997</v>
      </c>
      <c r="M9">
        <v>37.797055999999998</v>
      </c>
      <c r="N9">
        <v>38.222763999999998</v>
      </c>
      <c r="O9">
        <v>38.636755999999998</v>
      </c>
      <c r="P9">
        <v>39.039476000000001</v>
      </c>
      <c r="Q9">
        <v>39.397843999999999</v>
      </c>
      <c r="R9">
        <v>39.730519999999999</v>
      </c>
      <c r="S9">
        <v>40.040472000000001</v>
      </c>
      <c r="T9">
        <v>40.33182</v>
      </c>
      <c r="U9">
        <v>40.601424000000002</v>
      </c>
      <c r="V9">
        <v>40.853960000000001</v>
      </c>
      <c r="W9">
        <v>41.099856000000003</v>
      </c>
      <c r="X9">
        <v>41.347656000000001</v>
      </c>
      <c r="Y9">
        <v>41.597008000000002</v>
      </c>
      <c r="Z9">
        <v>41.846876000000002</v>
      </c>
      <c r="AA9">
        <v>42.095095999999998</v>
      </c>
      <c r="AB9">
        <v>42.342736000000002</v>
      </c>
      <c r="AC9">
        <v>42.590232</v>
      </c>
      <c r="AD9">
        <v>42.838628</v>
      </c>
      <c r="AE9" t="s">
        <v>967</v>
      </c>
    </row>
    <row r="10" spans="1:31" x14ac:dyDescent="0.25">
      <c r="A10" t="s">
        <v>369</v>
      </c>
      <c r="B10" t="s">
        <v>968</v>
      </c>
      <c r="C10" t="s">
        <v>969</v>
      </c>
      <c r="D10" t="s">
        <v>365</v>
      </c>
      <c r="E10">
        <v>6.7450950000000001</v>
      </c>
      <c r="F10">
        <v>6.759423</v>
      </c>
      <c r="G10">
        <v>6.806991</v>
      </c>
      <c r="H10">
        <v>6.8581649999999996</v>
      </c>
      <c r="I10">
        <v>6.9037110000000004</v>
      </c>
      <c r="J10">
        <v>6.9130140000000004</v>
      </c>
      <c r="K10">
        <v>6.915089</v>
      </c>
      <c r="L10">
        <v>6.9182519999999998</v>
      </c>
      <c r="M10">
        <v>6.921087</v>
      </c>
      <c r="N10">
        <v>6.923413</v>
      </c>
      <c r="O10">
        <v>6.9269959999999999</v>
      </c>
      <c r="P10">
        <v>6.9313560000000001</v>
      </c>
      <c r="Q10">
        <v>6.9329989999999997</v>
      </c>
      <c r="R10">
        <v>6.9327449999999997</v>
      </c>
      <c r="S10">
        <v>6.9276109999999997</v>
      </c>
      <c r="T10">
        <v>6.924169</v>
      </c>
      <c r="U10">
        <v>6.9226830000000001</v>
      </c>
      <c r="V10">
        <v>6.9217560000000002</v>
      </c>
      <c r="W10">
        <v>6.9220889999999997</v>
      </c>
      <c r="X10">
        <v>6.9248770000000004</v>
      </c>
      <c r="Y10">
        <v>6.9295859999999996</v>
      </c>
      <c r="Z10">
        <v>6.9344039999999998</v>
      </c>
      <c r="AA10">
        <v>6.93933</v>
      </c>
      <c r="AB10">
        <v>6.9430180000000004</v>
      </c>
      <c r="AC10">
        <v>6.946523</v>
      </c>
      <c r="AD10">
        <v>6.950291</v>
      </c>
      <c r="AE10" t="s">
        <v>970</v>
      </c>
    </row>
    <row r="11" spans="1:31" x14ac:dyDescent="0.25">
      <c r="A11" t="s">
        <v>372</v>
      </c>
      <c r="B11" t="s">
        <v>971</v>
      </c>
      <c r="C11" t="s">
        <v>972</v>
      </c>
      <c r="D11" t="s">
        <v>365</v>
      </c>
      <c r="E11">
        <v>130.72921500000001</v>
      </c>
      <c r="F11">
        <v>132.09541100000001</v>
      </c>
      <c r="G11">
        <v>133.495735</v>
      </c>
      <c r="H11">
        <v>134.87279699999999</v>
      </c>
      <c r="I11">
        <v>136.249235</v>
      </c>
      <c r="J11">
        <v>137.60980599999999</v>
      </c>
      <c r="K11">
        <v>138.97693699999999</v>
      </c>
      <c r="L11">
        <v>140.34536</v>
      </c>
      <c r="M11">
        <v>141.69183899999999</v>
      </c>
      <c r="N11">
        <v>142.999458</v>
      </c>
      <c r="O11">
        <v>144.280192</v>
      </c>
      <c r="P11">
        <v>145.52649600000001</v>
      </c>
      <c r="Q11">
        <v>146.710443</v>
      </c>
      <c r="R11">
        <v>147.84303299999999</v>
      </c>
      <c r="S11">
        <v>148.916619</v>
      </c>
      <c r="T11">
        <v>149.94569300000001</v>
      </c>
      <c r="U11">
        <v>150.924363</v>
      </c>
      <c r="V11">
        <v>151.86962</v>
      </c>
      <c r="W11">
        <v>152.78296900000001</v>
      </c>
      <c r="X11">
        <v>153.677381</v>
      </c>
      <c r="Y11">
        <v>154.57605000000001</v>
      </c>
      <c r="Z11">
        <v>155.47969599999999</v>
      </c>
      <c r="AA11">
        <v>156.37974600000001</v>
      </c>
      <c r="AB11">
        <v>157.276794</v>
      </c>
      <c r="AC11">
        <v>158.172731</v>
      </c>
      <c r="AD11">
        <v>159.07273499999999</v>
      </c>
      <c r="AE11" t="s">
        <v>964</v>
      </c>
    </row>
    <row r="12" spans="1:31" x14ac:dyDescent="0.25">
      <c r="A12" t="s">
        <v>375</v>
      </c>
      <c r="B12" t="s">
        <v>973</v>
      </c>
      <c r="C12" t="s">
        <v>974</v>
      </c>
      <c r="D12" t="s">
        <v>378</v>
      </c>
      <c r="E12">
        <v>1648.580933</v>
      </c>
      <c r="F12">
        <v>1653.8009030000001</v>
      </c>
      <c r="G12">
        <v>1658.753418</v>
      </c>
      <c r="H12">
        <v>1663.619629</v>
      </c>
      <c r="I12">
        <v>1668.3839109999999</v>
      </c>
      <c r="J12">
        <v>1673.056885</v>
      </c>
      <c r="K12">
        <v>1677.3985600000001</v>
      </c>
      <c r="L12">
        <v>1681.615356</v>
      </c>
      <c r="M12">
        <v>1685.79187</v>
      </c>
      <c r="N12">
        <v>1689.955688</v>
      </c>
      <c r="O12">
        <v>1694.0828859999999</v>
      </c>
      <c r="P12">
        <v>1698.1728519999999</v>
      </c>
      <c r="Q12">
        <v>1702.4686280000001</v>
      </c>
      <c r="R12">
        <v>1706.8398440000001</v>
      </c>
      <c r="S12">
        <v>1711.274048</v>
      </c>
      <c r="T12">
        <v>1715.727783</v>
      </c>
      <c r="U12">
        <v>1720.2238769999999</v>
      </c>
      <c r="V12">
        <v>1724.752197</v>
      </c>
      <c r="W12">
        <v>1729.2341309999999</v>
      </c>
      <c r="X12">
        <v>1733.615601</v>
      </c>
      <c r="Y12">
        <v>1737.918823</v>
      </c>
      <c r="Z12">
        <v>1742.1623540000001</v>
      </c>
      <c r="AA12">
        <v>1746.357178</v>
      </c>
      <c r="AB12">
        <v>1750.5023189999999</v>
      </c>
      <c r="AC12">
        <v>1754.593018</v>
      </c>
      <c r="AD12">
        <v>1758.6240230000001</v>
      </c>
      <c r="AE12" t="s">
        <v>975</v>
      </c>
    </row>
    <row r="13" spans="1:31" x14ac:dyDescent="0.25">
      <c r="A13" t="s">
        <v>379</v>
      </c>
    </row>
    <row r="14" spans="1:31" x14ac:dyDescent="0.25">
      <c r="A14" t="s">
        <v>380</v>
      </c>
    </row>
    <row r="15" spans="1:31" x14ac:dyDescent="0.25">
      <c r="A15" t="s">
        <v>381</v>
      </c>
      <c r="B15" t="s">
        <v>976</v>
      </c>
      <c r="C15" t="s">
        <v>977</v>
      </c>
      <c r="D15" t="s">
        <v>384</v>
      </c>
      <c r="E15">
        <v>89.060957999999999</v>
      </c>
      <c r="F15">
        <v>86.654178999999999</v>
      </c>
      <c r="G15">
        <v>85.803576000000007</v>
      </c>
      <c r="H15">
        <v>85.129928000000007</v>
      </c>
      <c r="I15">
        <v>84.070611</v>
      </c>
      <c r="J15">
        <v>82.772625000000005</v>
      </c>
      <c r="K15">
        <v>81.438220000000001</v>
      </c>
      <c r="L15">
        <v>80.199731999999997</v>
      </c>
      <c r="M15">
        <v>79.037514999999999</v>
      </c>
      <c r="N15">
        <v>78.012084000000002</v>
      </c>
      <c r="O15">
        <v>77.086948000000007</v>
      </c>
      <c r="P15">
        <v>76.247253000000001</v>
      </c>
      <c r="Q15">
        <v>75.471804000000006</v>
      </c>
      <c r="R15">
        <v>74.779411999999994</v>
      </c>
      <c r="S15">
        <v>74.147296999999995</v>
      </c>
      <c r="T15">
        <v>73.529512999999994</v>
      </c>
      <c r="U15">
        <v>72.987660000000005</v>
      </c>
      <c r="V15">
        <v>72.550301000000005</v>
      </c>
      <c r="W15">
        <v>72.191370000000006</v>
      </c>
      <c r="X15">
        <v>71.873313999999993</v>
      </c>
      <c r="Y15">
        <v>71.554366000000002</v>
      </c>
      <c r="Z15">
        <v>71.242593999999997</v>
      </c>
      <c r="AA15">
        <v>70.912942000000001</v>
      </c>
      <c r="AB15">
        <v>70.590440999999998</v>
      </c>
      <c r="AC15">
        <v>70.298458999999994</v>
      </c>
      <c r="AD15">
        <v>70.025752999999995</v>
      </c>
      <c r="AE15" t="s">
        <v>978</v>
      </c>
    </row>
    <row r="16" spans="1:31" x14ac:dyDescent="0.25">
      <c r="A16" t="s">
        <v>385</v>
      </c>
      <c r="B16" t="s">
        <v>979</v>
      </c>
      <c r="C16" t="s">
        <v>980</v>
      </c>
      <c r="D16" t="s">
        <v>384</v>
      </c>
      <c r="E16">
        <v>87.644801000000001</v>
      </c>
      <c r="F16">
        <v>85.169031000000004</v>
      </c>
      <c r="G16">
        <v>84.244950000000003</v>
      </c>
      <c r="H16">
        <v>83.496611999999999</v>
      </c>
      <c r="I16">
        <v>82.368482999999998</v>
      </c>
      <c r="J16">
        <v>80.999154000000004</v>
      </c>
      <c r="K16">
        <v>79.589085999999995</v>
      </c>
      <c r="L16">
        <v>78.275952000000004</v>
      </c>
      <c r="M16">
        <v>77.036292000000003</v>
      </c>
      <c r="N16">
        <v>75.928768000000005</v>
      </c>
      <c r="O16">
        <v>74.916512999999995</v>
      </c>
      <c r="P16">
        <v>73.985585</v>
      </c>
      <c r="Q16">
        <v>73.112307999999999</v>
      </c>
      <c r="R16">
        <v>72.317409999999995</v>
      </c>
      <c r="S16">
        <v>71.577848000000003</v>
      </c>
      <c r="T16">
        <v>70.849100000000007</v>
      </c>
      <c r="U16">
        <v>70.192104</v>
      </c>
      <c r="V16">
        <v>69.636396000000005</v>
      </c>
      <c r="W16">
        <v>69.156582</v>
      </c>
      <c r="X16">
        <v>68.713554999999999</v>
      </c>
      <c r="Y16">
        <v>68.267577000000003</v>
      </c>
      <c r="Z16">
        <v>67.825554999999994</v>
      </c>
      <c r="AA16">
        <v>67.362431999999998</v>
      </c>
      <c r="AB16">
        <v>66.902169000000001</v>
      </c>
      <c r="AC16">
        <v>66.470930999999993</v>
      </c>
      <c r="AD16">
        <v>66.055662999999996</v>
      </c>
      <c r="AE16" t="s">
        <v>981</v>
      </c>
    </row>
    <row r="17" spans="1:31" x14ac:dyDescent="0.25">
      <c r="A17" t="s">
        <v>388</v>
      </c>
    </row>
    <row r="18" spans="1:31" x14ac:dyDescent="0.25">
      <c r="A18" t="s">
        <v>381</v>
      </c>
      <c r="B18" t="s">
        <v>982</v>
      </c>
      <c r="C18" t="s">
        <v>983</v>
      </c>
      <c r="D18" t="s">
        <v>391</v>
      </c>
      <c r="E18">
        <v>54.022799999999997</v>
      </c>
      <c r="F18">
        <v>52.396982999999999</v>
      </c>
      <c r="G18">
        <v>51.727746000000003</v>
      </c>
      <c r="H18">
        <v>51.171509999999998</v>
      </c>
      <c r="I18">
        <v>50.390447000000002</v>
      </c>
      <c r="J18">
        <v>49.473886</v>
      </c>
      <c r="K18">
        <v>48.550310000000003</v>
      </c>
      <c r="L18">
        <v>47.692079</v>
      </c>
      <c r="M18">
        <v>46.884504</v>
      </c>
      <c r="N18">
        <v>46.162207000000002</v>
      </c>
      <c r="O18">
        <v>45.503646000000003</v>
      </c>
      <c r="P18">
        <v>44.899583</v>
      </c>
      <c r="Q18">
        <v>44.330804999999998</v>
      </c>
      <c r="R18">
        <v>43.811616000000001</v>
      </c>
      <c r="S18">
        <v>43.328710000000001</v>
      </c>
      <c r="T18">
        <v>42.856164999999997</v>
      </c>
      <c r="U18">
        <v>42.429164</v>
      </c>
      <c r="V18">
        <v>42.064188000000001</v>
      </c>
      <c r="W18">
        <v>41.747596999999999</v>
      </c>
      <c r="X18">
        <v>41.458621999999998</v>
      </c>
      <c r="Y18">
        <v>41.172443999999999</v>
      </c>
      <c r="Z18">
        <v>40.8932</v>
      </c>
      <c r="AA18">
        <v>40.606208000000002</v>
      </c>
      <c r="AB18">
        <v>40.32582</v>
      </c>
      <c r="AC18">
        <v>40.065393</v>
      </c>
      <c r="AD18">
        <v>39.818489999999997</v>
      </c>
      <c r="AE18" t="s">
        <v>984</v>
      </c>
    </row>
    <row r="19" spans="1:31" x14ac:dyDescent="0.25">
      <c r="A19" t="s">
        <v>385</v>
      </c>
      <c r="B19" t="s">
        <v>985</v>
      </c>
      <c r="C19" t="s">
        <v>986</v>
      </c>
      <c r="D19" t="s">
        <v>391</v>
      </c>
      <c r="E19">
        <v>53.163784999999997</v>
      </c>
      <c r="F19">
        <v>51.498963000000003</v>
      </c>
      <c r="G19">
        <v>50.788108999999999</v>
      </c>
      <c r="H19">
        <v>50.189725000000003</v>
      </c>
      <c r="I19">
        <v>49.370221000000001</v>
      </c>
      <c r="J19">
        <v>48.413867000000003</v>
      </c>
      <c r="K19">
        <v>47.447927999999997</v>
      </c>
      <c r="L19">
        <v>46.548071999999998</v>
      </c>
      <c r="M19">
        <v>45.697392000000001</v>
      </c>
      <c r="N19">
        <v>44.929442999999999</v>
      </c>
      <c r="O19">
        <v>44.222459999999998</v>
      </c>
      <c r="P19">
        <v>43.567759000000002</v>
      </c>
      <c r="Q19">
        <v>42.944878000000003</v>
      </c>
      <c r="R19">
        <v>42.369183</v>
      </c>
      <c r="S19">
        <v>41.827227000000001</v>
      </c>
      <c r="T19">
        <v>41.293905000000002</v>
      </c>
      <c r="U19">
        <v>40.804051999999999</v>
      </c>
      <c r="V19">
        <v>40.374724999999998</v>
      </c>
      <c r="W19">
        <v>39.992607999999997</v>
      </c>
      <c r="X19">
        <v>39.635981000000001</v>
      </c>
      <c r="Y19">
        <v>39.281222999999997</v>
      </c>
      <c r="Z19">
        <v>38.931821999999997</v>
      </c>
      <c r="AA19">
        <v>38.573112999999999</v>
      </c>
      <c r="AB19">
        <v>38.21884</v>
      </c>
      <c r="AC19">
        <v>37.883960000000002</v>
      </c>
      <c r="AD19">
        <v>37.560991999999999</v>
      </c>
      <c r="AE19" t="s">
        <v>987</v>
      </c>
    </row>
    <row r="20" spans="1:31" x14ac:dyDescent="0.25">
      <c r="A20" t="s">
        <v>394</v>
      </c>
    </row>
    <row r="21" spans="1:31" s="1" customFormat="1" x14ac:dyDescent="0.25">
      <c r="A21" s="1" t="s">
        <v>341</v>
      </c>
    </row>
    <row r="22" spans="1:31" x14ac:dyDescent="0.25">
      <c r="A22" t="s">
        <v>395</v>
      </c>
      <c r="B22" t="s">
        <v>6</v>
      </c>
      <c r="C22" t="s">
        <v>988</v>
      </c>
      <c r="D22" t="s">
        <v>397</v>
      </c>
      <c r="E22">
        <v>0.59498700000000004</v>
      </c>
      <c r="F22">
        <v>0.56559099999999995</v>
      </c>
      <c r="G22">
        <v>0.56616999999999995</v>
      </c>
      <c r="H22">
        <v>0.56694999999999995</v>
      </c>
      <c r="I22">
        <v>0.56581700000000001</v>
      </c>
      <c r="J22">
        <v>0.56227499999999997</v>
      </c>
      <c r="K22">
        <v>0.55764100000000005</v>
      </c>
      <c r="L22">
        <v>0.55301900000000004</v>
      </c>
      <c r="M22">
        <v>0.54866499999999996</v>
      </c>
      <c r="N22">
        <v>0.54410099999999995</v>
      </c>
      <c r="O22">
        <v>0.53962699999999997</v>
      </c>
      <c r="P22">
        <v>0.53538300000000005</v>
      </c>
      <c r="Q22">
        <v>0.53084900000000002</v>
      </c>
      <c r="R22">
        <v>0.52652699999999997</v>
      </c>
      <c r="S22">
        <v>0.52204499999999998</v>
      </c>
      <c r="T22">
        <v>0.517517</v>
      </c>
      <c r="U22">
        <v>0.51278199999999996</v>
      </c>
      <c r="V22">
        <v>0.50850700000000004</v>
      </c>
      <c r="W22">
        <v>0.50438799999999995</v>
      </c>
      <c r="X22">
        <v>0.50002599999999997</v>
      </c>
      <c r="Y22">
        <v>0.49595899999999998</v>
      </c>
      <c r="Z22">
        <v>0.491539</v>
      </c>
      <c r="AA22">
        <v>0.48665999999999998</v>
      </c>
      <c r="AB22">
        <v>0.48183100000000001</v>
      </c>
      <c r="AC22">
        <v>0.47719299999999998</v>
      </c>
      <c r="AD22">
        <v>0.47245900000000002</v>
      </c>
      <c r="AE22" t="s">
        <v>989</v>
      </c>
    </row>
    <row r="23" spans="1:31" x14ac:dyDescent="0.25">
      <c r="A23" t="s">
        <v>398</v>
      </c>
      <c r="B23" t="s">
        <v>11</v>
      </c>
      <c r="C23" t="s">
        <v>990</v>
      </c>
      <c r="D23" t="s">
        <v>397</v>
      </c>
      <c r="E23">
        <v>0.92457400000000001</v>
      </c>
      <c r="F23">
        <v>0.98388600000000004</v>
      </c>
      <c r="G23">
        <v>0.99778199999999995</v>
      </c>
      <c r="H23">
        <v>1.011565</v>
      </c>
      <c r="I23">
        <v>1.022745</v>
      </c>
      <c r="J23">
        <v>1.0299940000000001</v>
      </c>
      <c r="K23">
        <v>1.0365949999999999</v>
      </c>
      <c r="L23">
        <v>1.0441309999999999</v>
      </c>
      <c r="M23">
        <v>1.052389</v>
      </c>
      <c r="N23">
        <v>1.0619890000000001</v>
      </c>
      <c r="O23">
        <v>1.0725720000000001</v>
      </c>
      <c r="P23">
        <v>1.0844020000000001</v>
      </c>
      <c r="Q23">
        <v>1.097</v>
      </c>
      <c r="R23">
        <v>1.11012</v>
      </c>
      <c r="S23">
        <v>1.1235949999999999</v>
      </c>
      <c r="T23">
        <v>1.137956</v>
      </c>
      <c r="U23">
        <v>1.1531389999999999</v>
      </c>
      <c r="V23">
        <v>1.170164</v>
      </c>
      <c r="W23">
        <v>1.1882740000000001</v>
      </c>
      <c r="X23">
        <v>1.2064520000000001</v>
      </c>
      <c r="Y23">
        <v>1.2252769999999999</v>
      </c>
      <c r="Z23">
        <v>1.2431110000000001</v>
      </c>
      <c r="AA23">
        <v>1.260267</v>
      </c>
      <c r="AB23">
        <v>1.276902</v>
      </c>
      <c r="AC23">
        <v>1.2942579999999999</v>
      </c>
      <c r="AD23">
        <v>1.31138</v>
      </c>
      <c r="AE23" t="s">
        <v>991</v>
      </c>
    </row>
    <row r="24" spans="1:31" x14ac:dyDescent="0.25">
      <c r="A24" t="s">
        <v>400</v>
      </c>
      <c r="B24" t="s">
        <v>14</v>
      </c>
      <c r="C24" t="s">
        <v>992</v>
      </c>
      <c r="D24" t="s">
        <v>397</v>
      </c>
      <c r="E24">
        <v>0.45252900000000001</v>
      </c>
      <c r="F24">
        <v>0.44482899999999997</v>
      </c>
      <c r="G24">
        <v>0.43924099999999999</v>
      </c>
      <c r="H24">
        <v>0.43466900000000003</v>
      </c>
      <c r="I24">
        <v>0.417931</v>
      </c>
      <c r="J24">
        <v>0.39681300000000003</v>
      </c>
      <c r="K24">
        <v>0.37454999999999999</v>
      </c>
      <c r="L24">
        <v>0.35388900000000001</v>
      </c>
      <c r="M24">
        <v>0.33485900000000002</v>
      </c>
      <c r="N24">
        <v>0.31755</v>
      </c>
      <c r="O24">
        <v>0.30188599999999999</v>
      </c>
      <c r="P24">
        <v>0.28806700000000002</v>
      </c>
      <c r="Q24">
        <v>0.27600799999999998</v>
      </c>
      <c r="R24">
        <v>0.26572600000000002</v>
      </c>
      <c r="S24">
        <v>0.25716800000000001</v>
      </c>
      <c r="T24">
        <v>0.25033499999999997</v>
      </c>
      <c r="U24">
        <v>0.24518000000000001</v>
      </c>
      <c r="V24">
        <v>0.24182999999999999</v>
      </c>
      <c r="W24">
        <v>0.240263</v>
      </c>
      <c r="X24">
        <v>0.238624</v>
      </c>
      <c r="Y24">
        <v>0.236984</v>
      </c>
      <c r="Z24">
        <v>0.23524200000000001</v>
      </c>
      <c r="AA24">
        <v>0.233407</v>
      </c>
      <c r="AB24">
        <v>0.23158000000000001</v>
      </c>
      <c r="AC24">
        <v>0.22998099999999999</v>
      </c>
      <c r="AD24">
        <v>0.22855800000000001</v>
      </c>
      <c r="AE24" t="s">
        <v>993</v>
      </c>
    </row>
    <row r="25" spans="1:31" x14ac:dyDescent="0.25">
      <c r="A25" t="s">
        <v>402</v>
      </c>
      <c r="B25" t="s">
        <v>17</v>
      </c>
      <c r="C25" t="s">
        <v>994</v>
      </c>
      <c r="D25" t="s">
        <v>397</v>
      </c>
      <c r="E25">
        <v>0.34956300000000001</v>
      </c>
      <c r="F25">
        <v>0.34852699999999998</v>
      </c>
      <c r="G25">
        <v>0.34743299999999999</v>
      </c>
      <c r="H25">
        <v>0.34620899999999999</v>
      </c>
      <c r="I25">
        <v>0.34525899999999998</v>
      </c>
      <c r="J25">
        <v>0.34202399999999999</v>
      </c>
      <c r="K25">
        <v>0.33903</v>
      </c>
      <c r="L25">
        <v>0.33630399999999999</v>
      </c>
      <c r="M25">
        <v>0.33379900000000001</v>
      </c>
      <c r="N25">
        <v>0.33146799999999998</v>
      </c>
      <c r="O25">
        <v>0.32936599999999999</v>
      </c>
      <c r="P25">
        <v>0.32765300000000003</v>
      </c>
      <c r="Q25">
        <v>0.32634299999999999</v>
      </c>
      <c r="R25">
        <v>0.325461</v>
      </c>
      <c r="S25">
        <v>0.32499</v>
      </c>
      <c r="T25">
        <v>0.324938</v>
      </c>
      <c r="U25">
        <v>0.32529400000000003</v>
      </c>
      <c r="V25">
        <v>0.32607199999999997</v>
      </c>
      <c r="W25">
        <v>0.32728099999999999</v>
      </c>
      <c r="X25">
        <v>0.32891300000000001</v>
      </c>
      <c r="Y25">
        <v>0.33105000000000001</v>
      </c>
      <c r="Z25">
        <v>0.33371400000000001</v>
      </c>
      <c r="AA25">
        <v>0.33686500000000003</v>
      </c>
      <c r="AB25">
        <v>0.34000599999999997</v>
      </c>
      <c r="AC25">
        <v>0.34312900000000002</v>
      </c>
      <c r="AD25">
        <v>0.34622900000000001</v>
      </c>
      <c r="AE25" t="s">
        <v>995</v>
      </c>
    </row>
    <row r="26" spans="1:31" x14ac:dyDescent="0.25">
      <c r="A26" t="s">
        <v>404</v>
      </c>
      <c r="B26" t="s">
        <v>19</v>
      </c>
      <c r="C26" t="s">
        <v>996</v>
      </c>
      <c r="D26" t="s">
        <v>397</v>
      </c>
      <c r="E26">
        <v>6.8362000000000006E-2</v>
      </c>
      <c r="F26">
        <v>6.9241999999999998E-2</v>
      </c>
      <c r="G26">
        <v>7.0150000000000004E-2</v>
      </c>
      <c r="H26">
        <v>7.1053000000000005E-2</v>
      </c>
      <c r="I26">
        <v>7.1959999999999996E-2</v>
      </c>
      <c r="J26">
        <v>7.2859999999999994E-2</v>
      </c>
      <c r="K26">
        <v>7.3770000000000002E-2</v>
      </c>
      <c r="L26">
        <v>7.4686000000000002E-2</v>
      </c>
      <c r="M26">
        <v>7.5594999999999996E-2</v>
      </c>
      <c r="N26">
        <v>7.6502000000000001E-2</v>
      </c>
      <c r="O26">
        <v>7.7414999999999998E-2</v>
      </c>
      <c r="P26">
        <v>7.8331999999999999E-2</v>
      </c>
      <c r="Q26">
        <v>7.9236000000000001E-2</v>
      </c>
      <c r="R26">
        <v>8.0074000000000006E-2</v>
      </c>
      <c r="S26">
        <v>8.0823000000000006E-2</v>
      </c>
      <c r="T26">
        <v>8.1486000000000003E-2</v>
      </c>
      <c r="U26">
        <v>8.2052E-2</v>
      </c>
      <c r="V26">
        <v>8.2525000000000001E-2</v>
      </c>
      <c r="W26">
        <v>8.2964999999999997E-2</v>
      </c>
      <c r="X26">
        <v>8.3380999999999997E-2</v>
      </c>
      <c r="Y26">
        <v>8.3789000000000002E-2</v>
      </c>
      <c r="Z26">
        <v>8.4191000000000002E-2</v>
      </c>
      <c r="AA26">
        <v>8.4584000000000006E-2</v>
      </c>
      <c r="AB26">
        <v>8.4967000000000001E-2</v>
      </c>
      <c r="AC26">
        <v>8.5342000000000001E-2</v>
      </c>
      <c r="AD26">
        <v>8.5708999999999994E-2</v>
      </c>
      <c r="AE26" t="s">
        <v>967</v>
      </c>
    </row>
    <row r="27" spans="1:31" x14ac:dyDescent="0.25">
      <c r="A27" t="s">
        <v>406</v>
      </c>
      <c r="B27" t="s">
        <v>21</v>
      </c>
      <c r="C27" t="s">
        <v>997</v>
      </c>
      <c r="D27" t="s">
        <v>397</v>
      </c>
      <c r="E27">
        <v>0.190333</v>
      </c>
      <c r="F27">
        <v>0.19084100000000001</v>
      </c>
      <c r="G27">
        <v>0.191803</v>
      </c>
      <c r="H27">
        <v>0.193076</v>
      </c>
      <c r="I27">
        <v>0.193741</v>
      </c>
      <c r="J27">
        <v>0.19336100000000001</v>
      </c>
      <c r="K27">
        <v>0.192361</v>
      </c>
      <c r="L27">
        <v>0.191029</v>
      </c>
      <c r="M27">
        <v>0.19012000000000001</v>
      </c>
      <c r="N27">
        <v>0.18959999999999999</v>
      </c>
      <c r="O27">
        <v>0.18948300000000001</v>
      </c>
      <c r="P27">
        <v>0.18981700000000001</v>
      </c>
      <c r="Q27">
        <v>0.19051799999999999</v>
      </c>
      <c r="R27">
        <v>0.19170799999999999</v>
      </c>
      <c r="S27">
        <v>0.19336</v>
      </c>
      <c r="T27">
        <v>0.19552900000000001</v>
      </c>
      <c r="U27">
        <v>0.19830200000000001</v>
      </c>
      <c r="V27">
        <v>0.20107</v>
      </c>
      <c r="W27">
        <v>0.20391000000000001</v>
      </c>
      <c r="X27">
        <v>0.206758</v>
      </c>
      <c r="Y27">
        <v>0.20961099999999999</v>
      </c>
      <c r="Z27">
        <v>0.21232799999999999</v>
      </c>
      <c r="AA27">
        <v>0.21485899999999999</v>
      </c>
      <c r="AB27">
        <v>0.21726100000000001</v>
      </c>
      <c r="AC27">
        <v>0.21970999999999999</v>
      </c>
      <c r="AD27">
        <v>0.22207299999999999</v>
      </c>
      <c r="AE27" t="s">
        <v>998</v>
      </c>
    </row>
    <row r="28" spans="1:31" x14ac:dyDescent="0.25">
      <c r="A28" t="s">
        <v>408</v>
      </c>
      <c r="B28" t="s">
        <v>23</v>
      </c>
      <c r="C28" t="s">
        <v>999</v>
      </c>
      <c r="D28" t="s">
        <v>397</v>
      </c>
      <c r="E28">
        <v>7.9278000000000001E-2</v>
      </c>
      <c r="F28">
        <v>7.9241000000000006E-2</v>
      </c>
      <c r="G28">
        <v>7.9216999999999996E-2</v>
      </c>
      <c r="H28">
        <v>7.9159999999999994E-2</v>
      </c>
      <c r="I28">
        <v>7.9073000000000004E-2</v>
      </c>
      <c r="J28">
        <v>7.8570000000000001E-2</v>
      </c>
      <c r="K28">
        <v>7.8007000000000007E-2</v>
      </c>
      <c r="L28">
        <v>7.7404000000000001E-2</v>
      </c>
      <c r="M28">
        <v>7.6823000000000002E-2</v>
      </c>
      <c r="N28">
        <v>7.6257000000000005E-2</v>
      </c>
      <c r="O28">
        <v>7.5716000000000006E-2</v>
      </c>
      <c r="P28">
        <v>7.5194999999999998E-2</v>
      </c>
      <c r="Q28">
        <v>7.4692999999999996E-2</v>
      </c>
      <c r="R28">
        <v>7.4214000000000002E-2</v>
      </c>
      <c r="S28">
        <v>7.3757000000000003E-2</v>
      </c>
      <c r="T28">
        <v>7.3328000000000004E-2</v>
      </c>
      <c r="U28">
        <v>7.2937000000000002E-2</v>
      </c>
      <c r="V28">
        <v>7.2585999999999998E-2</v>
      </c>
      <c r="W28">
        <v>7.2277999999999995E-2</v>
      </c>
      <c r="X28">
        <v>7.2012000000000007E-2</v>
      </c>
      <c r="Y28">
        <v>7.1802000000000005E-2</v>
      </c>
      <c r="Z28">
        <v>7.1660000000000001E-2</v>
      </c>
      <c r="AA28">
        <v>7.1579000000000004E-2</v>
      </c>
      <c r="AB28">
        <v>7.1570999999999996E-2</v>
      </c>
      <c r="AC28">
        <v>7.1642999999999998E-2</v>
      </c>
      <c r="AD28">
        <v>7.1800000000000003E-2</v>
      </c>
      <c r="AE28" t="s">
        <v>1000</v>
      </c>
    </row>
    <row r="29" spans="1:31" x14ac:dyDescent="0.25">
      <c r="A29" t="s">
        <v>410</v>
      </c>
      <c r="B29" t="s">
        <v>25</v>
      </c>
      <c r="C29" t="s">
        <v>1001</v>
      </c>
      <c r="D29" t="s">
        <v>397</v>
      </c>
      <c r="E29">
        <v>0.18284700000000001</v>
      </c>
      <c r="F29">
        <v>0.18221599999999999</v>
      </c>
      <c r="G29">
        <v>0.18356900000000001</v>
      </c>
      <c r="H29">
        <v>0.18564</v>
      </c>
      <c r="I29">
        <v>0.18743899999999999</v>
      </c>
      <c r="J29">
        <v>0.18699399999999999</v>
      </c>
      <c r="K29">
        <v>0.18642400000000001</v>
      </c>
      <c r="L29">
        <v>0.18626100000000001</v>
      </c>
      <c r="M29">
        <v>0.18640399999999999</v>
      </c>
      <c r="N29">
        <v>0.18674199999999999</v>
      </c>
      <c r="O29">
        <v>0.18721499999999999</v>
      </c>
      <c r="P29">
        <v>0.187754</v>
      </c>
      <c r="Q29">
        <v>0.188226</v>
      </c>
      <c r="R29">
        <v>0.188723</v>
      </c>
      <c r="S29">
        <v>0.18940000000000001</v>
      </c>
      <c r="T29">
        <v>0.18703500000000001</v>
      </c>
      <c r="U29">
        <v>0.185089</v>
      </c>
      <c r="V29">
        <v>0.18369099999999999</v>
      </c>
      <c r="W29">
        <v>0.18284600000000001</v>
      </c>
      <c r="X29">
        <v>0.182477</v>
      </c>
      <c r="Y29">
        <v>0.18238399999999999</v>
      </c>
      <c r="Z29">
        <v>0.18231</v>
      </c>
      <c r="AA29">
        <v>0.182202</v>
      </c>
      <c r="AB29">
        <v>0.18219199999999999</v>
      </c>
      <c r="AC29">
        <v>0.18237500000000001</v>
      </c>
      <c r="AD29">
        <v>0.182588</v>
      </c>
      <c r="AE29" t="s">
        <v>995</v>
      </c>
    </row>
    <row r="30" spans="1:31" x14ac:dyDescent="0.25">
      <c r="A30" t="s">
        <v>412</v>
      </c>
      <c r="B30" t="s">
        <v>28</v>
      </c>
      <c r="C30" t="s">
        <v>1002</v>
      </c>
      <c r="D30" t="s">
        <v>397</v>
      </c>
      <c r="E30">
        <v>4.0723000000000002E-2</v>
      </c>
      <c r="F30">
        <v>3.9740999999999999E-2</v>
      </c>
      <c r="G30">
        <v>3.875E-2</v>
      </c>
      <c r="H30">
        <v>3.7582999999999998E-2</v>
      </c>
      <c r="I30">
        <v>3.6385000000000001E-2</v>
      </c>
      <c r="J30">
        <v>3.4992000000000002E-2</v>
      </c>
      <c r="K30">
        <v>3.354E-2</v>
      </c>
      <c r="L30">
        <v>3.2000000000000001E-2</v>
      </c>
      <c r="M30">
        <v>3.0665000000000001E-2</v>
      </c>
      <c r="N30">
        <v>2.9534000000000001E-2</v>
      </c>
      <c r="O30">
        <v>2.8608999999999999E-2</v>
      </c>
      <c r="P30">
        <v>2.7904000000000002E-2</v>
      </c>
      <c r="Q30">
        <v>2.7428999999999999E-2</v>
      </c>
      <c r="R30">
        <v>2.7210000000000002E-2</v>
      </c>
      <c r="S30">
        <v>2.7261000000000001E-2</v>
      </c>
      <c r="T30">
        <v>2.7310999999999998E-2</v>
      </c>
      <c r="U30">
        <v>2.7362000000000001E-2</v>
      </c>
      <c r="V30">
        <v>2.742E-2</v>
      </c>
      <c r="W30">
        <v>2.7486E-2</v>
      </c>
      <c r="X30">
        <v>2.7564000000000002E-2</v>
      </c>
      <c r="Y30">
        <v>2.7657999999999999E-2</v>
      </c>
      <c r="Z30">
        <v>2.7768000000000001E-2</v>
      </c>
      <c r="AA30">
        <v>2.7890000000000002E-2</v>
      </c>
      <c r="AB30">
        <v>2.8024E-2</v>
      </c>
      <c r="AC30">
        <v>2.8167000000000001E-2</v>
      </c>
      <c r="AD30">
        <v>2.8319E-2</v>
      </c>
      <c r="AE30" t="s">
        <v>987</v>
      </c>
    </row>
    <row r="31" spans="1:31" x14ac:dyDescent="0.25">
      <c r="A31" t="s">
        <v>414</v>
      </c>
      <c r="B31" t="s">
        <v>30</v>
      </c>
      <c r="C31" t="s">
        <v>1003</v>
      </c>
      <c r="D31" t="s">
        <v>397</v>
      </c>
      <c r="E31">
        <v>3.7162000000000001E-2</v>
      </c>
      <c r="F31">
        <v>3.8075999999999999E-2</v>
      </c>
      <c r="G31">
        <v>3.8359999999999998E-2</v>
      </c>
      <c r="H31">
        <v>3.8523000000000002E-2</v>
      </c>
      <c r="I31">
        <v>3.8636999999999998E-2</v>
      </c>
      <c r="J31">
        <v>3.8703000000000001E-2</v>
      </c>
      <c r="K31">
        <v>3.8719999999999997E-2</v>
      </c>
      <c r="L31">
        <v>3.8689000000000001E-2</v>
      </c>
      <c r="M31">
        <v>3.8733999999999998E-2</v>
      </c>
      <c r="N31">
        <v>3.8861E-2</v>
      </c>
      <c r="O31">
        <v>3.9071000000000002E-2</v>
      </c>
      <c r="P31">
        <v>3.9371000000000003E-2</v>
      </c>
      <c r="Q31">
        <v>3.9764000000000001E-2</v>
      </c>
      <c r="R31">
        <v>4.0261999999999999E-2</v>
      </c>
      <c r="S31">
        <v>4.0871999999999999E-2</v>
      </c>
      <c r="T31">
        <v>4.1477E-2</v>
      </c>
      <c r="U31">
        <v>4.2076000000000002E-2</v>
      </c>
      <c r="V31">
        <v>4.2673999999999997E-2</v>
      </c>
      <c r="W31">
        <v>4.3272999999999999E-2</v>
      </c>
      <c r="X31">
        <v>4.3875999999999998E-2</v>
      </c>
      <c r="Y31">
        <v>4.4488E-2</v>
      </c>
      <c r="Z31">
        <v>4.5110999999999998E-2</v>
      </c>
      <c r="AA31">
        <v>4.5740999999999997E-2</v>
      </c>
      <c r="AB31">
        <v>4.6378999999999997E-2</v>
      </c>
      <c r="AC31">
        <v>4.7023000000000002E-2</v>
      </c>
      <c r="AD31">
        <v>4.7676000000000003E-2</v>
      </c>
      <c r="AE31" t="s">
        <v>1004</v>
      </c>
    </row>
    <row r="32" spans="1:31" x14ac:dyDescent="0.25">
      <c r="A32" t="s">
        <v>416</v>
      </c>
      <c r="B32" t="s">
        <v>32</v>
      </c>
      <c r="C32" t="s">
        <v>1005</v>
      </c>
      <c r="D32" t="s">
        <v>397</v>
      </c>
      <c r="E32">
        <v>0.12483900000000001</v>
      </c>
      <c r="F32">
        <v>0.12217699999999999</v>
      </c>
      <c r="G32">
        <v>0.119963</v>
      </c>
      <c r="H32">
        <v>0.118088</v>
      </c>
      <c r="I32">
        <v>0.11609700000000001</v>
      </c>
      <c r="J32">
        <v>0.113806</v>
      </c>
      <c r="K32">
        <v>0.111516</v>
      </c>
      <c r="L32">
        <v>0.109399</v>
      </c>
      <c r="M32">
        <v>0.107489</v>
      </c>
      <c r="N32">
        <v>0.105735</v>
      </c>
      <c r="O32">
        <v>0.104144</v>
      </c>
      <c r="P32">
        <v>0.102719</v>
      </c>
      <c r="Q32">
        <v>0.101411</v>
      </c>
      <c r="R32">
        <v>0.100273</v>
      </c>
      <c r="S32">
        <v>9.9266999999999994E-2</v>
      </c>
      <c r="T32">
        <v>9.8397999999999999E-2</v>
      </c>
      <c r="U32">
        <v>9.7694000000000003E-2</v>
      </c>
      <c r="V32">
        <v>9.7154000000000004E-2</v>
      </c>
      <c r="W32">
        <v>9.6814999999999998E-2</v>
      </c>
      <c r="X32">
        <v>9.6643000000000007E-2</v>
      </c>
      <c r="Y32">
        <v>9.6638000000000002E-2</v>
      </c>
      <c r="Z32">
        <v>9.6758999999999998E-2</v>
      </c>
      <c r="AA32">
        <v>9.6903000000000003E-2</v>
      </c>
      <c r="AB32">
        <v>9.7108E-2</v>
      </c>
      <c r="AC32">
        <v>9.7404000000000004E-2</v>
      </c>
      <c r="AD32">
        <v>9.7757999999999998E-2</v>
      </c>
      <c r="AE32" t="s">
        <v>978</v>
      </c>
    </row>
    <row r="33" spans="1:31" x14ac:dyDescent="0.25">
      <c r="A33" t="s">
        <v>418</v>
      </c>
      <c r="B33" t="s">
        <v>35</v>
      </c>
      <c r="C33" t="s">
        <v>1006</v>
      </c>
      <c r="D33" t="s">
        <v>397</v>
      </c>
      <c r="E33">
        <v>9.7012000000000001E-2</v>
      </c>
      <c r="F33">
        <v>9.5324000000000006E-2</v>
      </c>
      <c r="G33">
        <v>9.3865000000000004E-2</v>
      </c>
      <c r="H33">
        <v>9.2523999999999995E-2</v>
      </c>
      <c r="I33">
        <v>9.0934000000000001E-2</v>
      </c>
      <c r="J33">
        <v>8.8982000000000006E-2</v>
      </c>
      <c r="K33">
        <v>8.6905999999999997E-2</v>
      </c>
      <c r="L33">
        <v>8.4864999999999996E-2</v>
      </c>
      <c r="M33">
        <v>8.2885E-2</v>
      </c>
      <c r="N33">
        <v>8.0946000000000004E-2</v>
      </c>
      <c r="O33">
        <v>7.9061999999999993E-2</v>
      </c>
      <c r="P33">
        <v>7.7249999999999999E-2</v>
      </c>
      <c r="Q33">
        <v>7.5483999999999996E-2</v>
      </c>
      <c r="R33">
        <v>7.3799000000000003E-2</v>
      </c>
      <c r="S33">
        <v>7.2189000000000003E-2</v>
      </c>
      <c r="T33">
        <v>7.0666999999999994E-2</v>
      </c>
      <c r="U33">
        <v>6.9258E-2</v>
      </c>
      <c r="V33">
        <v>6.7989999999999995E-2</v>
      </c>
      <c r="W33">
        <v>6.6878999999999994E-2</v>
      </c>
      <c r="X33">
        <v>6.5919000000000005E-2</v>
      </c>
      <c r="Y33">
        <v>6.5114000000000005E-2</v>
      </c>
      <c r="Z33">
        <v>6.4455999999999999E-2</v>
      </c>
      <c r="AA33">
        <v>6.3893000000000005E-2</v>
      </c>
      <c r="AB33">
        <v>6.3459000000000002E-2</v>
      </c>
      <c r="AC33">
        <v>6.3205999999999998E-2</v>
      </c>
      <c r="AD33">
        <v>6.3081999999999999E-2</v>
      </c>
      <c r="AE33" t="s">
        <v>1007</v>
      </c>
    </row>
    <row r="34" spans="1:31" x14ac:dyDescent="0.25">
      <c r="A34" t="s">
        <v>420</v>
      </c>
      <c r="B34" t="s">
        <v>37</v>
      </c>
      <c r="C34" t="s">
        <v>1008</v>
      </c>
      <c r="D34" t="s">
        <v>397</v>
      </c>
      <c r="E34">
        <v>0.15743599999999999</v>
      </c>
      <c r="F34">
        <v>0.15289700000000001</v>
      </c>
      <c r="G34">
        <v>0.153778</v>
      </c>
      <c r="H34">
        <v>0.15411900000000001</v>
      </c>
      <c r="I34">
        <v>0.15401400000000001</v>
      </c>
      <c r="J34">
        <v>0.15365100000000001</v>
      </c>
      <c r="K34">
        <v>0.15307000000000001</v>
      </c>
      <c r="L34">
        <v>0.15265799999999999</v>
      </c>
      <c r="M34">
        <v>0.152172</v>
      </c>
      <c r="N34">
        <v>0.15165799999999999</v>
      </c>
      <c r="O34">
        <v>0.15102299999999999</v>
      </c>
      <c r="P34">
        <v>0.15023</v>
      </c>
      <c r="Q34">
        <v>0.14910799999999999</v>
      </c>
      <c r="R34">
        <v>0.14768600000000001</v>
      </c>
      <c r="S34">
        <v>0.14590700000000001</v>
      </c>
      <c r="T34">
        <v>0.14382800000000001</v>
      </c>
      <c r="U34">
        <v>0.14144399999999999</v>
      </c>
      <c r="V34">
        <v>0.139018</v>
      </c>
      <c r="W34">
        <v>0.13644400000000001</v>
      </c>
      <c r="X34">
        <v>0.13381899999999999</v>
      </c>
      <c r="Y34">
        <v>0.13125700000000001</v>
      </c>
      <c r="Z34">
        <v>0.12870899999999999</v>
      </c>
      <c r="AA34">
        <v>0.12613199999999999</v>
      </c>
      <c r="AB34">
        <v>0.12373099999999999</v>
      </c>
      <c r="AC34">
        <v>0.121516</v>
      </c>
      <c r="AD34">
        <v>0.11952</v>
      </c>
      <c r="AE34" t="s">
        <v>981</v>
      </c>
    </row>
    <row r="35" spans="1:31" x14ac:dyDescent="0.25">
      <c r="A35" t="s">
        <v>422</v>
      </c>
      <c r="B35" t="s">
        <v>39</v>
      </c>
      <c r="C35" t="s">
        <v>1009</v>
      </c>
      <c r="D35" t="s">
        <v>397</v>
      </c>
      <c r="E35">
        <v>2.0319759999999998</v>
      </c>
      <c r="F35">
        <v>2.0497800000000002</v>
      </c>
      <c r="G35">
        <v>1.9516560000000001</v>
      </c>
      <c r="H35">
        <v>1.9885809999999999</v>
      </c>
      <c r="I35">
        <v>2.0226929999999999</v>
      </c>
      <c r="J35">
        <v>2.0521240000000001</v>
      </c>
      <c r="K35">
        <v>2.0794380000000001</v>
      </c>
      <c r="L35">
        <v>2.1075020000000002</v>
      </c>
      <c r="M35">
        <v>2.1366209999999999</v>
      </c>
      <c r="N35">
        <v>2.1690040000000002</v>
      </c>
      <c r="O35">
        <v>2.202814</v>
      </c>
      <c r="P35">
        <v>2.236977</v>
      </c>
      <c r="Q35">
        <v>2.2721589999999998</v>
      </c>
      <c r="R35">
        <v>2.308141</v>
      </c>
      <c r="S35">
        <v>2.343804</v>
      </c>
      <c r="T35">
        <v>2.3753449999999998</v>
      </c>
      <c r="U35">
        <v>2.4092920000000002</v>
      </c>
      <c r="V35">
        <v>2.4448620000000001</v>
      </c>
      <c r="W35">
        <v>2.4824570000000001</v>
      </c>
      <c r="X35">
        <v>2.52102</v>
      </c>
      <c r="Y35">
        <v>2.555663</v>
      </c>
      <c r="Z35">
        <v>2.5940460000000001</v>
      </c>
      <c r="AA35">
        <v>2.6318519999999999</v>
      </c>
      <c r="AB35">
        <v>2.6698110000000002</v>
      </c>
      <c r="AC35">
        <v>2.708942</v>
      </c>
      <c r="AD35">
        <v>2.748828</v>
      </c>
      <c r="AE35" t="s">
        <v>1010</v>
      </c>
    </row>
    <row r="36" spans="1:31" s="1" customFormat="1" x14ac:dyDescent="0.25">
      <c r="A36" s="1" t="s">
        <v>424</v>
      </c>
      <c r="B36" s="1" t="s">
        <v>41</v>
      </c>
      <c r="C36" s="1" t="s">
        <v>1011</v>
      </c>
      <c r="D36" s="1" t="s">
        <v>397</v>
      </c>
      <c r="E36" s="1">
        <v>5.3316210000000002</v>
      </c>
      <c r="F36" s="1">
        <v>5.3623669999999999</v>
      </c>
      <c r="G36" s="1">
        <v>5.2717369999999999</v>
      </c>
      <c r="H36" s="1">
        <v>5.3177380000000003</v>
      </c>
      <c r="I36" s="1">
        <v>5.342727</v>
      </c>
      <c r="J36" s="1">
        <v>5.3451490000000002</v>
      </c>
      <c r="K36" s="1">
        <v>5.3415670000000004</v>
      </c>
      <c r="L36" s="1">
        <v>5.3418359999999998</v>
      </c>
      <c r="M36" s="1">
        <v>5.3472220000000004</v>
      </c>
      <c r="N36" s="1">
        <v>5.3599480000000002</v>
      </c>
      <c r="O36" s="1">
        <v>5.3780039999999998</v>
      </c>
      <c r="P36" s="1">
        <v>5.4010540000000002</v>
      </c>
      <c r="Q36" s="1">
        <v>5.4282279999999998</v>
      </c>
      <c r="R36" s="1">
        <v>5.4599229999999999</v>
      </c>
      <c r="S36" s="1">
        <v>5.4944389999999999</v>
      </c>
      <c r="T36" s="1">
        <v>5.5251489999999999</v>
      </c>
      <c r="U36" s="1">
        <v>5.5618990000000004</v>
      </c>
      <c r="V36" s="1">
        <v>5.6055650000000004</v>
      </c>
      <c r="W36" s="1">
        <v>5.6555580000000001</v>
      </c>
      <c r="X36" s="1">
        <v>5.7074850000000001</v>
      </c>
      <c r="Y36" s="1">
        <v>5.7576739999999997</v>
      </c>
      <c r="Z36" s="1">
        <v>5.8109450000000002</v>
      </c>
      <c r="AA36" s="1">
        <v>5.8628349999999996</v>
      </c>
      <c r="AB36" s="1">
        <v>5.9148230000000002</v>
      </c>
      <c r="AC36" s="1">
        <v>5.9698900000000004</v>
      </c>
      <c r="AD36" s="1">
        <v>6.0259790000000004</v>
      </c>
      <c r="AE36" s="1" t="s">
        <v>1012</v>
      </c>
    </row>
    <row r="37" spans="1:31" s="1" customFormat="1" x14ac:dyDescent="0.25">
      <c r="A37" s="1" t="s">
        <v>426</v>
      </c>
      <c r="B37" s="1" t="s">
        <v>44</v>
      </c>
      <c r="C37" s="1" t="s">
        <v>1013</v>
      </c>
      <c r="D37" s="1" t="s">
        <v>397</v>
      </c>
      <c r="E37" s="1">
        <v>7.0135000000000003E-2</v>
      </c>
      <c r="F37" s="1">
        <v>9.1486999999999999E-2</v>
      </c>
      <c r="G37" s="1">
        <v>0.119301</v>
      </c>
      <c r="H37" s="1">
        <v>0.15019099999999999</v>
      </c>
      <c r="I37" s="1">
        <v>0.18050099999999999</v>
      </c>
      <c r="J37" s="1">
        <v>0.20873</v>
      </c>
      <c r="K37" s="1">
        <v>0.23311999999999999</v>
      </c>
      <c r="L37" s="1">
        <v>0.25518800000000003</v>
      </c>
      <c r="M37" s="1">
        <v>0.27699499999999999</v>
      </c>
      <c r="N37" s="1">
        <v>0.29923699999999998</v>
      </c>
      <c r="O37" s="1">
        <v>0.321766</v>
      </c>
      <c r="P37" s="1">
        <v>0.34432200000000002</v>
      </c>
      <c r="Q37" s="1">
        <v>0.36690099999999998</v>
      </c>
      <c r="R37" s="1">
        <v>0.389322</v>
      </c>
      <c r="S37" s="1">
        <v>0.41114099999999998</v>
      </c>
      <c r="T37" s="1">
        <v>0.43246899999999999</v>
      </c>
      <c r="U37" s="1">
        <v>0.45277400000000001</v>
      </c>
      <c r="V37" s="1">
        <v>0.47238799999999997</v>
      </c>
      <c r="W37" s="1">
        <v>0.49130400000000002</v>
      </c>
      <c r="X37" s="1">
        <v>0.50966900000000004</v>
      </c>
      <c r="Y37" s="1">
        <v>0.52751300000000001</v>
      </c>
      <c r="Z37" s="1">
        <v>0.54464500000000005</v>
      </c>
      <c r="AA37" s="1">
        <v>0.56095399999999995</v>
      </c>
      <c r="AB37" s="1">
        <v>0.57689299999999999</v>
      </c>
      <c r="AC37" s="1">
        <v>0.59221100000000004</v>
      </c>
      <c r="AD37" s="1">
        <v>0.60719400000000001</v>
      </c>
      <c r="AE37" s="1" t="s">
        <v>1014</v>
      </c>
    </row>
    <row r="38" spans="1:31" s="1" customFormat="1" x14ac:dyDescent="0.25">
      <c r="A38" s="1" t="s">
        <v>428</v>
      </c>
      <c r="B38" s="1" t="s">
        <v>47</v>
      </c>
      <c r="C38" s="1" t="s">
        <v>1015</v>
      </c>
      <c r="D38" s="1" t="s">
        <v>397</v>
      </c>
      <c r="E38" s="1">
        <v>0.18513299999999999</v>
      </c>
      <c r="F38" s="1">
        <v>0.19618099999999999</v>
      </c>
      <c r="G38" s="1">
        <v>0.20807</v>
      </c>
      <c r="H38" s="1">
        <v>0.22029000000000001</v>
      </c>
      <c r="I38" s="1">
        <v>0.23191400000000001</v>
      </c>
      <c r="J38" s="1">
        <v>0.24404699999999999</v>
      </c>
      <c r="K38" s="1">
        <v>0.25698700000000002</v>
      </c>
      <c r="L38" s="1">
        <v>0.26999400000000001</v>
      </c>
      <c r="M38" s="1">
        <v>0.283557</v>
      </c>
      <c r="N38" s="1">
        <v>0.29791299999999998</v>
      </c>
      <c r="O38" s="1">
        <v>0.31315100000000001</v>
      </c>
      <c r="P38" s="1">
        <v>0.32913300000000001</v>
      </c>
      <c r="Q38" s="1">
        <v>0.346163</v>
      </c>
      <c r="R38" s="1">
        <v>0.36398999999999998</v>
      </c>
      <c r="S38" s="1">
        <v>0.38263399999999997</v>
      </c>
      <c r="T38" s="1">
        <v>0.401916</v>
      </c>
      <c r="U38" s="1">
        <v>0.42191800000000002</v>
      </c>
      <c r="V38" s="1">
        <v>0.44253399999999998</v>
      </c>
      <c r="W38" s="1">
        <v>0.46366400000000002</v>
      </c>
      <c r="X38" s="1">
        <v>0.48558299999999999</v>
      </c>
      <c r="Y38" s="1">
        <v>0.50805900000000004</v>
      </c>
      <c r="Z38" s="1">
        <v>0.53127999999999997</v>
      </c>
      <c r="AA38" s="1">
        <v>0.55522800000000005</v>
      </c>
      <c r="AB38" s="1">
        <v>0.58008000000000004</v>
      </c>
      <c r="AC38" s="1">
        <v>0.60541100000000003</v>
      </c>
      <c r="AD38" s="1">
        <v>0.63153300000000001</v>
      </c>
      <c r="AE38" s="1" t="s">
        <v>1016</v>
      </c>
    </row>
    <row r="39" spans="1:31" s="1" customFormat="1" x14ac:dyDescent="0.25">
      <c r="A39" s="1" t="s">
        <v>430</v>
      </c>
      <c r="B39" s="1" t="s">
        <v>49</v>
      </c>
      <c r="C39" s="1" t="s">
        <v>1017</v>
      </c>
      <c r="D39" s="1" t="s">
        <v>397</v>
      </c>
      <c r="E39" s="1">
        <v>5.2166230000000002</v>
      </c>
      <c r="F39" s="1">
        <v>5.2576729999999996</v>
      </c>
      <c r="G39" s="1">
        <v>5.1829679999999998</v>
      </c>
      <c r="H39" s="1">
        <v>5.2476390000000004</v>
      </c>
      <c r="I39" s="1">
        <v>5.2913139999999999</v>
      </c>
      <c r="J39" s="1">
        <v>5.3098320000000001</v>
      </c>
      <c r="K39" s="1">
        <v>5.3177000000000003</v>
      </c>
      <c r="L39" s="1">
        <v>5.3270299999999997</v>
      </c>
      <c r="M39" s="1">
        <v>5.3406599999999997</v>
      </c>
      <c r="N39" s="1">
        <v>5.3612710000000003</v>
      </c>
      <c r="O39" s="1">
        <v>5.3866189999999996</v>
      </c>
      <c r="P39" s="1">
        <v>5.4162439999999998</v>
      </c>
      <c r="Q39" s="1">
        <v>5.4489669999999997</v>
      </c>
      <c r="R39" s="1">
        <v>5.4852550000000004</v>
      </c>
      <c r="S39" s="1">
        <v>5.5229460000000001</v>
      </c>
      <c r="T39" s="1">
        <v>5.5557020000000001</v>
      </c>
      <c r="U39" s="1">
        <v>5.5927550000000004</v>
      </c>
      <c r="V39" s="1">
        <v>5.6354199999999999</v>
      </c>
      <c r="W39" s="1">
        <v>5.683198</v>
      </c>
      <c r="X39" s="1">
        <v>5.7315699999999996</v>
      </c>
      <c r="Y39" s="1">
        <v>5.7771290000000004</v>
      </c>
      <c r="Z39" s="1">
        <v>5.8243090000000004</v>
      </c>
      <c r="AA39" s="1">
        <v>5.8685609999999997</v>
      </c>
      <c r="AB39" s="1">
        <v>5.9116369999999998</v>
      </c>
      <c r="AC39" s="1">
        <v>5.95669</v>
      </c>
      <c r="AD39" s="1">
        <v>6.0016400000000001</v>
      </c>
      <c r="AE39" s="1" t="s">
        <v>998</v>
      </c>
    </row>
    <row r="40" spans="1:31" x14ac:dyDescent="0.25">
      <c r="A40" t="s">
        <v>432</v>
      </c>
    </row>
    <row r="41" spans="1:31" x14ac:dyDescent="0.25">
      <c r="A41" t="s">
        <v>395</v>
      </c>
      <c r="B41" t="s">
        <v>51</v>
      </c>
      <c r="C41" t="s">
        <v>1018</v>
      </c>
      <c r="D41" t="s">
        <v>397</v>
      </c>
      <c r="E41">
        <v>3.1180289999999999</v>
      </c>
      <c r="F41">
        <v>2.929732</v>
      </c>
      <c r="G41">
        <v>3.0470679999999999</v>
      </c>
      <c r="H41">
        <v>3.0283389999999999</v>
      </c>
      <c r="I41">
        <v>2.9919609999999999</v>
      </c>
      <c r="J41">
        <v>2.9475129999999998</v>
      </c>
      <c r="K41">
        <v>2.9003899999999998</v>
      </c>
      <c r="L41">
        <v>2.8565019999999999</v>
      </c>
      <c r="M41">
        <v>2.8131279999999999</v>
      </c>
      <c r="N41">
        <v>2.7723939999999998</v>
      </c>
      <c r="O41">
        <v>2.7328190000000001</v>
      </c>
      <c r="P41">
        <v>2.695713</v>
      </c>
      <c r="Q41">
        <v>2.6580509999999999</v>
      </c>
      <c r="R41">
        <v>2.6222400000000001</v>
      </c>
      <c r="S41">
        <v>2.5871390000000001</v>
      </c>
      <c r="T41">
        <v>2.5533130000000002</v>
      </c>
      <c r="U41">
        <v>2.5199389999999999</v>
      </c>
      <c r="V41">
        <v>2.4903379999999999</v>
      </c>
      <c r="W41">
        <v>2.4626060000000001</v>
      </c>
      <c r="X41">
        <v>2.4366439999999998</v>
      </c>
      <c r="Y41">
        <v>2.412093</v>
      </c>
      <c r="Z41">
        <v>2.3866540000000001</v>
      </c>
      <c r="AA41">
        <v>2.3599640000000002</v>
      </c>
      <c r="AB41">
        <v>2.333602</v>
      </c>
      <c r="AC41">
        <v>2.307677</v>
      </c>
      <c r="AD41">
        <v>2.2826300000000002</v>
      </c>
      <c r="AE41" t="s">
        <v>984</v>
      </c>
    </row>
    <row r="42" spans="1:31" x14ac:dyDescent="0.25">
      <c r="A42" t="s">
        <v>398</v>
      </c>
      <c r="B42" t="s">
        <v>54</v>
      </c>
      <c r="C42" t="s">
        <v>1019</v>
      </c>
      <c r="D42" t="s">
        <v>397</v>
      </c>
      <c r="E42">
        <v>5.8597999999999997E-2</v>
      </c>
      <c r="F42">
        <v>6.2155000000000002E-2</v>
      </c>
      <c r="G42">
        <v>6.2590000000000007E-2</v>
      </c>
      <c r="H42">
        <v>6.2752000000000002E-2</v>
      </c>
      <c r="I42">
        <v>6.2711000000000003E-2</v>
      </c>
      <c r="J42">
        <v>6.2576000000000007E-2</v>
      </c>
      <c r="K42">
        <v>6.2453000000000002E-2</v>
      </c>
      <c r="L42">
        <v>6.2429999999999999E-2</v>
      </c>
      <c r="M42">
        <v>6.2446000000000002E-2</v>
      </c>
      <c r="N42">
        <v>6.2545000000000003E-2</v>
      </c>
      <c r="O42">
        <v>6.2667E-2</v>
      </c>
      <c r="P42">
        <v>6.2853000000000006E-2</v>
      </c>
      <c r="Q42">
        <v>6.3070000000000001E-2</v>
      </c>
      <c r="R42">
        <v>6.3308000000000003E-2</v>
      </c>
      <c r="S42">
        <v>6.3572000000000004E-2</v>
      </c>
      <c r="T42">
        <v>6.3894000000000006E-2</v>
      </c>
      <c r="U42">
        <v>6.4258999999999997E-2</v>
      </c>
      <c r="V42">
        <v>6.4725000000000005E-2</v>
      </c>
      <c r="W42">
        <v>6.5211000000000005E-2</v>
      </c>
      <c r="X42">
        <v>6.5681000000000003E-2</v>
      </c>
      <c r="Y42">
        <v>6.6161999999999999E-2</v>
      </c>
      <c r="Z42">
        <v>6.6586999999999993E-2</v>
      </c>
      <c r="AA42">
        <v>6.6992999999999997E-2</v>
      </c>
      <c r="AB42">
        <v>6.7364999999999994E-2</v>
      </c>
      <c r="AC42">
        <v>6.7759E-2</v>
      </c>
      <c r="AD42">
        <v>6.8144999999999997E-2</v>
      </c>
      <c r="AE42" t="s">
        <v>998</v>
      </c>
    </row>
    <row r="43" spans="1:31" x14ac:dyDescent="0.25">
      <c r="A43" t="s">
        <v>400</v>
      </c>
      <c r="B43" t="s">
        <v>56</v>
      </c>
      <c r="C43" t="s">
        <v>1020</v>
      </c>
      <c r="D43" t="s">
        <v>397</v>
      </c>
      <c r="E43">
        <v>1.0242659999999999</v>
      </c>
      <c r="F43">
        <v>1.0351790000000001</v>
      </c>
      <c r="G43">
        <v>1.0454209999999999</v>
      </c>
      <c r="H43">
        <v>1.055186</v>
      </c>
      <c r="I43">
        <v>1.0533440000000001</v>
      </c>
      <c r="J43">
        <v>1.0497609999999999</v>
      </c>
      <c r="K43">
        <v>1.0468999999999999</v>
      </c>
      <c r="L43">
        <v>1.0451999999999999</v>
      </c>
      <c r="M43">
        <v>1.042567</v>
      </c>
      <c r="N43">
        <v>1.0419989999999999</v>
      </c>
      <c r="O43">
        <v>1.043007</v>
      </c>
      <c r="P43">
        <v>1.0435049999999999</v>
      </c>
      <c r="Q43">
        <v>1.043021</v>
      </c>
      <c r="R43">
        <v>1.0422149999999999</v>
      </c>
      <c r="S43">
        <v>1.04091</v>
      </c>
      <c r="T43">
        <v>1.0392889999999999</v>
      </c>
      <c r="U43">
        <v>1.0370159999999999</v>
      </c>
      <c r="V43">
        <v>1.0347230000000001</v>
      </c>
      <c r="W43">
        <v>1.032111</v>
      </c>
      <c r="X43">
        <v>1.029129</v>
      </c>
      <c r="Y43">
        <v>1.0254289999999999</v>
      </c>
      <c r="Z43">
        <v>1.020672</v>
      </c>
      <c r="AA43">
        <v>1.0151289999999999</v>
      </c>
      <c r="AB43">
        <v>1.0093840000000001</v>
      </c>
      <c r="AC43">
        <v>1.003914</v>
      </c>
      <c r="AD43">
        <v>0.99912999999999996</v>
      </c>
      <c r="AE43" t="s">
        <v>1021</v>
      </c>
    </row>
    <row r="44" spans="1:31" x14ac:dyDescent="0.25">
      <c r="A44" t="s">
        <v>404</v>
      </c>
      <c r="B44" t="s">
        <v>58</v>
      </c>
      <c r="C44" t="s">
        <v>1022</v>
      </c>
      <c r="D44" t="s">
        <v>397</v>
      </c>
      <c r="E44">
        <v>7.7268000000000003E-2</v>
      </c>
      <c r="F44">
        <v>7.7256000000000005E-2</v>
      </c>
      <c r="G44">
        <v>7.7246999999999996E-2</v>
      </c>
      <c r="H44">
        <v>7.7221999999999999E-2</v>
      </c>
      <c r="I44">
        <v>7.7195E-2</v>
      </c>
      <c r="J44">
        <v>7.7166999999999999E-2</v>
      </c>
      <c r="K44">
        <v>7.7123999999999998E-2</v>
      </c>
      <c r="L44">
        <v>7.7064999999999995E-2</v>
      </c>
      <c r="M44">
        <v>7.7006000000000005E-2</v>
      </c>
      <c r="N44">
        <v>7.6969999999999997E-2</v>
      </c>
      <c r="O44">
        <v>7.6962000000000003E-2</v>
      </c>
      <c r="P44">
        <v>7.6991000000000004E-2</v>
      </c>
      <c r="Q44">
        <v>7.7060000000000003E-2</v>
      </c>
      <c r="R44">
        <v>7.7216999999999994E-2</v>
      </c>
      <c r="S44">
        <v>7.7432000000000001E-2</v>
      </c>
      <c r="T44">
        <v>7.7712000000000003E-2</v>
      </c>
      <c r="U44">
        <v>7.8045000000000003E-2</v>
      </c>
      <c r="V44">
        <v>7.843E-2</v>
      </c>
      <c r="W44">
        <v>7.8815999999999997E-2</v>
      </c>
      <c r="X44">
        <v>7.9202999999999996E-2</v>
      </c>
      <c r="Y44">
        <v>7.9599000000000003E-2</v>
      </c>
      <c r="Z44">
        <v>8.0005999999999994E-2</v>
      </c>
      <c r="AA44">
        <v>8.0423999999999995E-2</v>
      </c>
      <c r="AB44">
        <v>8.0854999999999996E-2</v>
      </c>
      <c r="AC44">
        <v>8.1298999999999996E-2</v>
      </c>
      <c r="AD44">
        <v>8.1761E-2</v>
      </c>
      <c r="AE44" t="s">
        <v>1023</v>
      </c>
    </row>
    <row r="45" spans="1:31" x14ac:dyDescent="0.25">
      <c r="A45" t="s">
        <v>406</v>
      </c>
      <c r="B45" t="s">
        <v>60</v>
      </c>
      <c r="C45" t="s">
        <v>1024</v>
      </c>
      <c r="D45" t="s">
        <v>397</v>
      </c>
      <c r="E45">
        <v>3.9573999999999998E-2</v>
      </c>
      <c r="F45">
        <v>4.0284E-2</v>
      </c>
      <c r="G45">
        <v>4.0919999999999998E-2</v>
      </c>
      <c r="H45">
        <v>4.1543999999999998E-2</v>
      </c>
      <c r="I45">
        <v>4.2109000000000001E-2</v>
      </c>
      <c r="J45">
        <v>4.2643E-2</v>
      </c>
      <c r="K45">
        <v>4.3187000000000003E-2</v>
      </c>
      <c r="L45">
        <v>4.3758999999999999E-2</v>
      </c>
      <c r="M45">
        <v>4.4207999999999997E-2</v>
      </c>
      <c r="N45">
        <v>4.4700999999999998E-2</v>
      </c>
      <c r="O45">
        <v>4.5238E-2</v>
      </c>
      <c r="P45">
        <v>4.5825999999999999E-2</v>
      </c>
      <c r="Q45">
        <v>4.6396E-2</v>
      </c>
      <c r="R45">
        <v>4.6977999999999999E-2</v>
      </c>
      <c r="S45">
        <v>4.7560999999999999E-2</v>
      </c>
      <c r="T45">
        <v>4.8146000000000001E-2</v>
      </c>
      <c r="U45">
        <v>4.8724000000000003E-2</v>
      </c>
      <c r="V45">
        <v>4.9352E-2</v>
      </c>
      <c r="W45">
        <v>5.0014999999999997E-2</v>
      </c>
      <c r="X45">
        <v>5.0707000000000002E-2</v>
      </c>
      <c r="Y45">
        <v>5.1406E-2</v>
      </c>
      <c r="Z45">
        <v>5.2088000000000002E-2</v>
      </c>
      <c r="AA45">
        <v>5.2755999999999997E-2</v>
      </c>
      <c r="AB45">
        <v>5.3423999999999999E-2</v>
      </c>
      <c r="AC45">
        <v>5.4100000000000002E-2</v>
      </c>
      <c r="AD45">
        <v>5.4788999999999997E-2</v>
      </c>
      <c r="AE45" t="s">
        <v>1025</v>
      </c>
    </row>
    <row r="46" spans="1:31" x14ac:dyDescent="0.25">
      <c r="A46" t="s">
        <v>422</v>
      </c>
      <c r="B46" t="s">
        <v>62</v>
      </c>
      <c r="C46" t="s">
        <v>1026</v>
      </c>
      <c r="D46" t="s">
        <v>397</v>
      </c>
      <c r="E46">
        <v>0.60834600000000005</v>
      </c>
      <c r="F46">
        <v>0.61166600000000004</v>
      </c>
      <c r="G46">
        <v>0.61394599999999999</v>
      </c>
      <c r="H46">
        <v>0.61501399999999995</v>
      </c>
      <c r="I46">
        <v>0.61462000000000006</v>
      </c>
      <c r="J46">
        <v>0.61321499999999995</v>
      </c>
      <c r="K46">
        <v>0.61157499999999998</v>
      </c>
      <c r="L46">
        <v>0.61024999999999996</v>
      </c>
      <c r="M46">
        <v>0.608433</v>
      </c>
      <c r="N46">
        <v>0.60708799999999996</v>
      </c>
      <c r="O46">
        <v>0.60589999999999999</v>
      </c>
      <c r="P46">
        <v>0.60509100000000005</v>
      </c>
      <c r="Q46">
        <v>0.60413399999999995</v>
      </c>
      <c r="R46">
        <v>0.603321</v>
      </c>
      <c r="S46">
        <v>0.60255599999999998</v>
      </c>
      <c r="T46">
        <v>0.601908</v>
      </c>
      <c r="U46">
        <v>0.60136500000000004</v>
      </c>
      <c r="V46">
        <v>0.60120899999999999</v>
      </c>
      <c r="W46">
        <v>0.60129600000000005</v>
      </c>
      <c r="X46">
        <v>0.60158299999999998</v>
      </c>
      <c r="Y46">
        <v>0.60179099999999996</v>
      </c>
      <c r="Z46">
        <v>0.60165900000000005</v>
      </c>
      <c r="AA46">
        <v>0.60124999999999995</v>
      </c>
      <c r="AB46">
        <v>0.60075900000000004</v>
      </c>
      <c r="AC46">
        <v>0.60029500000000002</v>
      </c>
      <c r="AD46">
        <v>0.59991700000000003</v>
      </c>
      <c r="AE46" t="s">
        <v>1021</v>
      </c>
    </row>
    <row r="47" spans="1:31" s="1" customFormat="1" x14ac:dyDescent="0.25">
      <c r="A47" s="1" t="s">
        <v>439</v>
      </c>
      <c r="B47" s="1" t="s">
        <v>64</v>
      </c>
      <c r="C47" s="1" t="s">
        <v>1027</v>
      </c>
      <c r="D47" s="1" t="s">
        <v>397</v>
      </c>
      <c r="E47" s="1">
        <v>4.9260799999999998</v>
      </c>
      <c r="F47" s="1">
        <v>4.7562720000000001</v>
      </c>
      <c r="G47" s="1">
        <v>4.8871929999999999</v>
      </c>
      <c r="H47" s="1">
        <v>4.8800569999999999</v>
      </c>
      <c r="I47" s="1">
        <v>4.8419410000000003</v>
      </c>
      <c r="J47" s="1">
        <v>4.7928750000000004</v>
      </c>
      <c r="K47" s="1">
        <v>4.7416289999999996</v>
      </c>
      <c r="L47" s="1">
        <v>4.6952059999999998</v>
      </c>
      <c r="M47" s="1">
        <v>4.6477890000000004</v>
      </c>
      <c r="N47" s="1">
        <v>4.6056990000000004</v>
      </c>
      <c r="O47" s="1">
        <v>4.5665930000000001</v>
      </c>
      <c r="P47" s="1">
        <v>4.529979</v>
      </c>
      <c r="Q47" s="1">
        <v>4.4917319999999998</v>
      </c>
      <c r="R47" s="1">
        <v>4.4552800000000001</v>
      </c>
      <c r="S47" s="1">
        <v>4.4191710000000004</v>
      </c>
      <c r="T47" s="1">
        <v>4.3842610000000004</v>
      </c>
      <c r="U47" s="1">
        <v>4.349348</v>
      </c>
      <c r="V47" s="1">
        <v>4.318778</v>
      </c>
      <c r="W47" s="1">
        <v>4.2900549999999997</v>
      </c>
      <c r="X47" s="1">
        <v>4.2629460000000003</v>
      </c>
      <c r="Y47" s="1">
        <v>4.2364800000000002</v>
      </c>
      <c r="Z47" s="1">
        <v>4.2076669999999998</v>
      </c>
      <c r="AA47" s="1">
        <v>4.1765169999999996</v>
      </c>
      <c r="AB47" s="1">
        <v>4.1453889999999998</v>
      </c>
      <c r="AC47" s="1">
        <v>4.1150450000000003</v>
      </c>
      <c r="AD47" s="1">
        <v>4.0863719999999999</v>
      </c>
      <c r="AE47" s="1" t="s">
        <v>1028</v>
      </c>
    </row>
    <row r="48" spans="1:31" x14ac:dyDescent="0.25">
      <c r="A48" t="s">
        <v>441</v>
      </c>
    </row>
    <row r="49" spans="1:31" x14ac:dyDescent="0.25">
      <c r="A49" t="s">
        <v>395</v>
      </c>
      <c r="B49" t="s">
        <v>66</v>
      </c>
      <c r="C49" t="s">
        <v>1029</v>
      </c>
      <c r="D49" t="s">
        <v>397</v>
      </c>
      <c r="E49">
        <v>0.42536800000000002</v>
      </c>
      <c r="F49">
        <v>0.409161</v>
      </c>
      <c r="G49">
        <v>0.40481800000000001</v>
      </c>
      <c r="H49">
        <v>0.39842899999999998</v>
      </c>
      <c r="I49">
        <v>0.391596</v>
      </c>
      <c r="J49">
        <v>0.38541799999999998</v>
      </c>
      <c r="K49">
        <v>0.37913999999999998</v>
      </c>
      <c r="L49">
        <v>0.37317800000000001</v>
      </c>
      <c r="M49">
        <v>0.36729000000000001</v>
      </c>
      <c r="N49">
        <v>0.361877</v>
      </c>
      <c r="O49">
        <v>0.35654799999999998</v>
      </c>
      <c r="P49">
        <v>0.35143600000000003</v>
      </c>
      <c r="Q49">
        <v>0.34647800000000001</v>
      </c>
      <c r="R49">
        <v>0.34170600000000001</v>
      </c>
      <c r="S49">
        <v>0.33711099999999999</v>
      </c>
      <c r="T49">
        <v>0.33257599999999998</v>
      </c>
      <c r="U49">
        <v>0.32808100000000001</v>
      </c>
      <c r="V49">
        <v>0.32377800000000001</v>
      </c>
      <c r="W49">
        <v>0.31953399999999998</v>
      </c>
      <c r="X49">
        <v>0.31542700000000001</v>
      </c>
      <c r="Y49">
        <v>0.31137100000000001</v>
      </c>
      <c r="Z49">
        <v>0.30740200000000001</v>
      </c>
      <c r="AA49">
        <v>0.30341800000000002</v>
      </c>
      <c r="AB49">
        <v>0.29945899999999998</v>
      </c>
      <c r="AC49">
        <v>0.29552299999999998</v>
      </c>
      <c r="AD49">
        <v>0.29172900000000002</v>
      </c>
      <c r="AE49" t="s">
        <v>1030</v>
      </c>
    </row>
    <row r="50" spans="1:31" x14ac:dyDescent="0.25">
      <c r="A50" t="s">
        <v>400</v>
      </c>
      <c r="B50" t="s">
        <v>69</v>
      </c>
      <c r="C50" t="s">
        <v>1031</v>
      </c>
      <c r="D50" t="s">
        <v>397</v>
      </c>
      <c r="E50">
        <v>3.7857000000000002E-2</v>
      </c>
      <c r="F50">
        <v>3.5874999999999997E-2</v>
      </c>
      <c r="G50">
        <v>3.3765000000000003E-2</v>
      </c>
      <c r="H50">
        <v>3.1759999999999997E-2</v>
      </c>
      <c r="I50">
        <v>2.9822000000000001E-2</v>
      </c>
      <c r="J50">
        <v>2.8183E-2</v>
      </c>
      <c r="K50">
        <v>2.6771E-2</v>
      </c>
      <c r="L50">
        <v>2.5623E-2</v>
      </c>
      <c r="M50">
        <v>2.4712000000000001E-2</v>
      </c>
      <c r="N50">
        <v>2.4074999999999999E-2</v>
      </c>
      <c r="O50">
        <v>2.3675999999999999E-2</v>
      </c>
      <c r="P50">
        <v>2.3234000000000001E-2</v>
      </c>
      <c r="Q50">
        <v>2.2778E-2</v>
      </c>
      <c r="R50">
        <v>2.2308999999999999E-2</v>
      </c>
      <c r="S50">
        <v>2.1833999999999999E-2</v>
      </c>
      <c r="T50">
        <v>2.1354000000000001E-2</v>
      </c>
      <c r="U50">
        <v>2.0861999999999999E-2</v>
      </c>
      <c r="V50">
        <v>2.0367E-2</v>
      </c>
      <c r="W50">
        <v>1.9869999999999999E-2</v>
      </c>
      <c r="X50">
        <v>1.9372E-2</v>
      </c>
      <c r="Y50">
        <v>1.8870000000000001E-2</v>
      </c>
      <c r="Z50">
        <v>1.8371999999999999E-2</v>
      </c>
      <c r="AA50">
        <v>1.7881000000000001E-2</v>
      </c>
      <c r="AB50">
        <v>1.7401E-2</v>
      </c>
      <c r="AC50">
        <v>1.694E-2</v>
      </c>
      <c r="AD50">
        <v>1.6508999999999999E-2</v>
      </c>
      <c r="AE50" t="s">
        <v>1032</v>
      </c>
    </row>
    <row r="51" spans="1:31" x14ac:dyDescent="0.25">
      <c r="A51" t="s">
        <v>422</v>
      </c>
      <c r="B51" t="s">
        <v>71</v>
      </c>
      <c r="C51" t="s">
        <v>1033</v>
      </c>
      <c r="D51" t="s">
        <v>397</v>
      </c>
      <c r="E51">
        <v>2.6054999999999998E-2</v>
      </c>
      <c r="F51">
        <v>2.6324E-2</v>
      </c>
      <c r="G51">
        <v>2.6369E-2</v>
      </c>
      <c r="H51">
        <v>2.631E-2</v>
      </c>
      <c r="I51">
        <v>2.6206E-2</v>
      </c>
      <c r="J51">
        <v>2.6145000000000002E-2</v>
      </c>
      <c r="K51">
        <v>2.6071E-2</v>
      </c>
      <c r="L51">
        <v>2.6009999999999998E-2</v>
      </c>
      <c r="M51">
        <v>2.5943000000000001E-2</v>
      </c>
      <c r="N51">
        <v>2.5898999999999998E-2</v>
      </c>
      <c r="O51">
        <v>2.5849E-2</v>
      </c>
      <c r="P51">
        <v>2.5803E-2</v>
      </c>
      <c r="Q51">
        <v>2.5762E-2</v>
      </c>
      <c r="R51">
        <v>2.5724E-2</v>
      </c>
      <c r="S51">
        <v>2.5690000000000001E-2</v>
      </c>
      <c r="T51">
        <v>2.5656999999999999E-2</v>
      </c>
      <c r="U51">
        <v>2.5617999999999998E-2</v>
      </c>
      <c r="V51">
        <v>2.5583000000000002E-2</v>
      </c>
      <c r="W51">
        <v>2.5548999999999999E-2</v>
      </c>
      <c r="X51">
        <v>2.5516E-2</v>
      </c>
      <c r="Y51">
        <v>2.5477E-2</v>
      </c>
      <c r="Z51">
        <v>2.5437999999999999E-2</v>
      </c>
      <c r="AA51">
        <v>2.5395999999999998E-2</v>
      </c>
      <c r="AB51">
        <v>2.5350999999999999E-2</v>
      </c>
      <c r="AC51">
        <v>2.5305999999999999E-2</v>
      </c>
      <c r="AD51">
        <v>2.5270999999999998E-2</v>
      </c>
      <c r="AE51" t="s">
        <v>1021</v>
      </c>
    </row>
    <row r="52" spans="1:31" s="1" customFormat="1" x14ac:dyDescent="0.25">
      <c r="A52" s="1" t="s">
        <v>439</v>
      </c>
      <c r="B52" s="1" t="s">
        <v>73</v>
      </c>
      <c r="C52" s="1" t="s">
        <v>1034</v>
      </c>
      <c r="D52" s="1" t="s">
        <v>397</v>
      </c>
      <c r="E52" s="1">
        <v>0.48927999999999999</v>
      </c>
      <c r="F52" s="1">
        <v>0.47136</v>
      </c>
      <c r="G52" s="1">
        <v>0.46495199999999998</v>
      </c>
      <c r="H52" s="1">
        <v>0.45650000000000002</v>
      </c>
      <c r="I52" s="1">
        <v>0.44762400000000002</v>
      </c>
      <c r="J52" s="1">
        <v>0.43974600000000003</v>
      </c>
      <c r="K52" s="1">
        <v>0.43198300000000001</v>
      </c>
      <c r="L52" s="1">
        <v>0.42481200000000002</v>
      </c>
      <c r="M52" s="1">
        <v>0.41794500000000001</v>
      </c>
      <c r="N52" s="1">
        <v>0.41185100000000002</v>
      </c>
      <c r="O52" s="1">
        <v>0.40607300000000002</v>
      </c>
      <c r="P52" s="1">
        <v>0.40047300000000002</v>
      </c>
      <c r="Q52" s="1">
        <v>0.39501900000000001</v>
      </c>
      <c r="R52" s="1">
        <v>0.38974199999999998</v>
      </c>
      <c r="S52" s="1">
        <v>0.38463999999999998</v>
      </c>
      <c r="T52" s="1">
        <v>0.37959500000000002</v>
      </c>
      <c r="U52" s="1">
        <v>0.37457200000000002</v>
      </c>
      <c r="V52" s="1">
        <v>0.36974099999999999</v>
      </c>
      <c r="W52" s="1">
        <v>0.36496899999999999</v>
      </c>
      <c r="X52" s="1">
        <v>0.36033500000000002</v>
      </c>
      <c r="Y52" s="1">
        <v>0.35574</v>
      </c>
      <c r="Z52" s="1">
        <v>0.35123799999999999</v>
      </c>
      <c r="AA52" s="1">
        <v>0.34672399999999998</v>
      </c>
      <c r="AB52" s="1">
        <v>0.34224399999999999</v>
      </c>
      <c r="AC52" s="1">
        <v>0.33780500000000002</v>
      </c>
      <c r="AD52" s="1">
        <v>0.33354699999999998</v>
      </c>
      <c r="AE52" s="1" t="s">
        <v>1030</v>
      </c>
    </row>
    <row r="53" spans="1:31" x14ac:dyDescent="0.25">
      <c r="A53" t="s">
        <v>343</v>
      </c>
    </row>
    <row r="54" spans="1:31" x14ac:dyDescent="0.25">
      <c r="A54" t="s">
        <v>395</v>
      </c>
      <c r="B54" t="s">
        <v>75</v>
      </c>
      <c r="C54" t="s">
        <v>1035</v>
      </c>
      <c r="D54" t="s">
        <v>397</v>
      </c>
      <c r="E54">
        <v>0.377521</v>
      </c>
      <c r="F54">
        <v>0.36312299999999997</v>
      </c>
      <c r="G54">
        <v>0.34120200000000001</v>
      </c>
      <c r="H54">
        <v>0.33858100000000002</v>
      </c>
      <c r="I54">
        <v>0.33409800000000001</v>
      </c>
      <c r="J54">
        <v>0.32856999999999997</v>
      </c>
      <c r="K54">
        <v>0.32222099999999998</v>
      </c>
      <c r="L54">
        <v>0.31594800000000001</v>
      </c>
      <c r="M54">
        <v>0.30998100000000001</v>
      </c>
      <c r="N54">
        <v>0.30452200000000001</v>
      </c>
      <c r="O54">
        <v>0.29947699999999999</v>
      </c>
      <c r="P54">
        <v>0.294769</v>
      </c>
      <c r="Q54">
        <v>0.29023399999999999</v>
      </c>
      <c r="R54">
        <v>0.28586400000000001</v>
      </c>
      <c r="S54">
        <v>0.281613</v>
      </c>
      <c r="T54">
        <v>0.27760299999999999</v>
      </c>
      <c r="U54">
        <v>0.27384799999999998</v>
      </c>
      <c r="V54">
        <v>0.27051999999999998</v>
      </c>
      <c r="W54">
        <v>0.26754699999999998</v>
      </c>
      <c r="X54">
        <v>0.26485799999999998</v>
      </c>
      <c r="Y54">
        <v>0.26235700000000001</v>
      </c>
      <c r="Z54">
        <v>0.25988</v>
      </c>
      <c r="AA54">
        <v>0.25727</v>
      </c>
      <c r="AB54">
        <v>0.25462000000000001</v>
      </c>
      <c r="AC54">
        <v>0.251971</v>
      </c>
      <c r="AD54">
        <v>0.24937899999999999</v>
      </c>
      <c r="AE54" t="s">
        <v>1036</v>
      </c>
    </row>
    <row r="55" spans="1:31" x14ac:dyDescent="0.25">
      <c r="A55" t="s">
        <v>400</v>
      </c>
      <c r="B55" t="s">
        <v>78</v>
      </c>
      <c r="C55" t="s">
        <v>1037</v>
      </c>
      <c r="D55" t="s">
        <v>397</v>
      </c>
      <c r="E55">
        <v>5.8525000000000001E-2</v>
      </c>
      <c r="F55">
        <v>5.9045E-2</v>
      </c>
      <c r="G55">
        <v>5.9788000000000001E-2</v>
      </c>
      <c r="H55">
        <v>6.0389999999999999E-2</v>
      </c>
      <c r="I55">
        <v>5.9603000000000003E-2</v>
      </c>
      <c r="J55">
        <v>5.8604000000000003E-2</v>
      </c>
      <c r="K55">
        <v>5.7556999999999997E-2</v>
      </c>
      <c r="L55">
        <v>5.6584000000000002E-2</v>
      </c>
      <c r="M55">
        <v>5.5702000000000002E-2</v>
      </c>
      <c r="N55">
        <v>5.5021E-2</v>
      </c>
      <c r="O55">
        <v>5.4533999999999999E-2</v>
      </c>
      <c r="P55">
        <v>5.3959E-2</v>
      </c>
      <c r="Q55">
        <v>5.3307E-2</v>
      </c>
      <c r="R55">
        <v>5.2581999999999997E-2</v>
      </c>
      <c r="S55">
        <v>5.1789000000000002E-2</v>
      </c>
      <c r="T55">
        <v>5.0962E-2</v>
      </c>
      <c r="U55">
        <v>5.0118000000000003E-2</v>
      </c>
      <c r="V55">
        <v>4.9286000000000003E-2</v>
      </c>
      <c r="W55">
        <v>4.8475999999999998E-2</v>
      </c>
      <c r="X55">
        <v>4.7683999999999997E-2</v>
      </c>
      <c r="Y55">
        <v>4.6887999999999999E-2</v>
      </c>
      <c r="Z55">
        <v>4.607E-2</v>
      </c>
      <c r="AA55">
        <v>4.5235999999999998E-2</v>
      </c>
      <c r="AB55">
        <v>4.4408999999999997E-2</v>
      </c>
      <c r="AC55">
        <v>4.3616000000000002E-2</v>
      </c>
      <c r="AD55">
        <v>4.2877999999999999E-2</v>
      </c>
      <c r="AE55" t="s">
        <v>984</v>
      </c>
    </row>
    <row r="56" spans="1:31" x14ac:dyDescent="0.25">
      <c r="A56" t="s">
        <v>404</v>
      </c>
      <c r="B56" t="s">
        <v>80</v>
      </c>
      <c r="C56" t="s">
        <v>1038</v>
      </c>
      <c r="D56" t="s">
        <v>397</v>
      </c>
      <c r="E56">
        <v>1.0416999999999999E-2</v>
      </c>
      <c r="F56">
        <v>1.0383E-2</v>
      </c>
      <c r="G56">
        <v>1.0352999999999999E-2</v>
      </c>
      <c r="H56">
        <v>1.0321E-2</v>
      </c>
      <c r="I56">
        <v>1.0288E-2</v>
      </c>
      <c r="J56">
        <v>1.0251E-2</v>
      </c>
      <c r="K56">
        <v>1.0208999999999999E-2</v>
      </c>
      <c r="L56">
        <v>1.0161E-2</v>
      </c>
      <c r="M56">
        <v>1.0109999999999999E-2</v>
      </c>
      <c r="N56">
        <v>1.0055E-2</v>
      </c>
      <c r="O56">
        <v>9.9959999999999997E-3</v>
      </c>
      <c r="P56">
        <v>9.9330000000000009E-3</v>
      </c>
      <c r="Q56">
        <v>9.8650000000000005E-3</v>
      </c>
      <c r="R56">
        <v>9.8130000000000005E-3</v>
      </c>
      <c r="S56">
        <v>9.7769999999999992E-3</v>
      </c>
      <c r="T56">
        <v>9.7590000000000003E-3</v>
      </c>
      <c r="U56">
        <v>9.7590000000000003E-3</v>
      </c>
      <c r="V56">
        <v>9.7800000000000005E-3</v>
      </c>
      <c r="W56">
        <v>9.7990000000000004E-3</v>
      </c>
      <c r="X56">
        <v>9.8150000000000008E-3</v>
      </c>
      <c r="Y56">
        <v>9.8300000000000002E-3</v>
      </c>
      <c r="Z56">
        <v>9.8440000000000003E-3</v>
      </c>
      <c r="AA56">
        <v>9.8569999999999994E-3</v>
      </c>
      <c r="AB56">
        <v>9.868E-3</v>
      </c>
      <c r="AC56">
        <v>9.8770000000000004E-3</v>
      </c>
      <c r="AD56">
        <v>9.8860000000000007E-3</v>
      </c>
      <c r="AE56" t="s">
        <v>1039</v>
      </c>
    </row>
    <row r="57" spans="1:31" x14ac:dyDescent="0.25">
      <c r="A57" t="s">
        <v>422</v>
      </c>
      <c r="B57" t="s">
        <v>82</v>
      </c>
      <c r="C57" t="s">
        <v>1040</v>
      </c>
      <c r="D57" t="s">
        <v>397</v>
      </c>
      <c r="E57">
        <v>7.8036999999999995E-2</v>
      </c>
      <c r="F57">
        <v>8.1169000000000005E-2</v>
      </c>
      <c r="G57">
        <v>8.4196999999999994E-2</v>
      </c>
      <c r="H57">
        <v>8.6918999999999996E-2</v>
      </c>
      <c r="I57">
        <v>8.9321999999999999E-2</v>
      </c>
      <c r="J57">
        <v>9.1503000000000001E-2</v>
      </c>
      <c r="K57">
        <v>9.35E-2</v>
      </c>
      <c r="L57">
        <v>9.5471E-2</v>
      </c>
      <c r="M57">
        <v>9.7409999999999997E-2</v>
      </c>
      <c r="N57">
        <v>9.9464999999999998E-2</v>
      </c>
      <c r="O57">
        <v>0.101614</v>
      </c>
      <c r="P57">
        <v>0.103822</v>
      </c>
      <c r="Q57">
        <v>0.10602399999999999</v>
      </c>
      <c r="R57">
        <v>0.10821600000000001</v>
      </c>
      <c r="S57">
        <v>0.110387</v>
      </c>
      <c r="T57">
        <v>0.11257499999999999</v>
      </c>
      <c r="U57">
        <v>0.114814</v>
      </c>
      <c r="V57">
        <v>0.11715200000000001</v>
      </c>
      <c r="W57">
        <v>0.11959400000000001</v>
      </c>
      <c r="X57">
        <v>0.12212099999999999</v>
      </c>
      <c r="Y57">
        <v>0.12467</v>
      </c>
      <c r="Z57">
        <v>0.12718199999999999</v>
      </c>
      <c r="AA57">
        <v>0.12964800000000001</v>
      </c>
      <c r="AB57">
        <v>0.13209399999999999</v>
      </c>
      <c r="AC57">
        <v>0.13455500000000001</v>
      </c>
      <c r="AD57">
        <v>0.137049</v>
      </c>
      <c r="AE57" t="s">
        <v>1041</v>
      </c>
    </row>
    <row r="58" spans="1:31" s="1" customFormat="1" x14ac:dyDescent="0.25">
      <c r="A58" s="1" t="s">
        <v>439</v>
      </c>
      <c r="B58" s="1" t="s">
        <v>84</v>
      </c>
      <c r="C58" s="1" t="s">
        <v>1042</v>
      </c>
      <c r="D58" s="1" t="s">
        <v>397</v>
      </c>
      <c r="E58" s="1">
        <v>0.52449999999999997</v>
      </c>
      <c r="F58" s="1">
        <v>0.51371999999999995</v>
      </c>
      <c r="G58" s="1">
        <v>0.49554100000000001</v>
      </c>
      <c r="H58" s="1">
        <v>0.49621100000000001</v>
      </c>
      <c r="I58" s="1">
        <v>0.493311</v>
      </c>
      <c r="J58" s="1">
        <v>0.48892799999999997</v>
      </c>
      <c r="K58" s="1">
        <v>0.48348600000000003</v>
      </c>
      <c r="L58" s="1">
        <v>0.478163</v>
      </c>
      <c r="M58" s="1">
        <v>0.47320299999999998</v>
      </c>
      <c r="N58" s="1">
        <v>0.46906199999999998</v>
      </c>
      <c r="O58" s="1">
        <v>0.46562100000000001</v>
      </c>
      <c r="P58" s="1">
        <v>0.46248299999999998</v>
      </c>
      <c r="Q58" s="1">
        <v>0.45942899999999998</v>
      </c>
      <c r="R58" s="1">
        <v>0.45647500000000002</v>
      </c>
      <c r="S58" s="1">
        <v>0.45356600000000002</v>
      </c>
      <c r="T58" s="1">
        <v>0.45089800000000002</v>
      </c>
      <c r="U58" s="1">
        <v>0.44853900000000002</v>
      </c>
      <c r="V58" s="1">
        <v>0.44673800000000002</v>
      </c>
      <c r="W58" s="1">
        <v>0.44541599999999998</v>
      </c>
      <c r="X58" s="1">
        <v>0.44447900000000001</v>
      </c>
      <c r="Y58" s="1">
        <v>0.44374599999999997</v>
      </c>
      <c r="Z58" s="1">
        <v>0.44297599999999998</v>
      </c>
      <c r="AA58" s="1">
        <v>0.44201200000000002</v>
      </c>
      <c r="AB58" s="1">
        <v>0.44099100000000002</v>
      </c>
      <c r="AC58" s="1">
        <v>0.44002000000000002</v>
      </c>
      <c r="AD58" s="1">
        <v>0.439191</v>
      </c>
      <c r="AE58" s="1" t="s">
        <v>1028</v>
      </c>
    </row>
    <row r="59" spans="1:31" x14ac:dyDescent="0.25">
      <c r="A59" t="s">
        <v>451</v>
      </c>
      <c r="B59" t="s">
        <v>86</v>
      </c>
      <c r="C59" t="s">
        <v>1043</v>
      </c>
      <c r="D59" t="s">
        <v>397</v>
      </c>
      <c r="E59">
        <v>0.37138700000000002</v>
      </c>
      <c r="F59">
        <v>0.34290100000000001</v>
      </c>
      <c r="G59">
        <v>0.33499000000000001</v>
      </c>
      <c r="H59">
        <v>0.33120500000000003</v>
      </c>
      <c r="I59">
        <v>0.32895400000000002</v>
      </c>
      <c r="J59">
        <v>0.323627</v>
      </c>
      <c r="K59">
        <v>0.31936900000000001</v>
      </c>
      <c r="L59">
        <v>0.31564300000000001</v>
      </c>
      <c r="M59">
        <v>0.31281199999999998</v>
      </c>
      <c r="N59">
        <v>0.30912600000000001</v>
      </c>
      <c r="O59">
        <v>0.30582900000000002</v>
      </c>
      <c r="P59">
        <v>0.302008</v>
      </c>
      <c r="Q59">
        <v>0.29809400000000003</v>
      </c>
      <c r="R59">
        <v>0.29419899999999999</v>
      </c>
      <c r="S59">
        <v>0.28995399999999999</v>
      </c>
      <c r="T59">
        <v>0.28553800000000001</v>
      </c>
      <c r="U59">
        <v>0.28127000000000002</v>
      </c>
      <c r="V59">
        <v>0.27737800000000001</v>
      </c>
      <c r="W59">
        <v>0.27363100000000001</v>
      </c>
      <c r="X59">
        <v>0.27007799999999998</v>
      </c>
      <c r="Y59">
        <v>0.26697399999999999</v>
      </c>
      <c r="Z59">
        <v>0.26397799999999999</v>
      </c>
      <c r="AA59">
        <v>0.26129000000000002</v>
      </c>
      <c r="AB59">
        <v>0.258824</v>
      </c>
      <c r="AC59">
        <v>0.25657600000000003</v>
      </c>
      <c r="AD59">
        <v>0.254137</v>
      </c>
      <c r="AE59" t="s">
        <v>1030</v>
      </c>
    </row>
    <row r="60" spans="1:31" x14ac:dyDescent="0.25">
      <c r="A60" t="s">
        <v>453</v>
      </c>
    </row>
    <row r="61" spans="1:31" x14ac:dyDescent="0.25">
      <c r="A61" t="s">
        <v>395</v>
      </c>
      <c r="B61" t="s">
        <v>1044</v>
      </c>
      <c r="C61" t="s">
        <v>1045</v>
      </c>
      <c r="D61" t="s">
        <v>397</v>
      </c>
      <c r="E61">
        <v>4.8872920000000004</v>
      </c>
      <c r="F61">
        <v>4.6105080000000003</v>
      </c>
      <c r="G61">
        <v>4.694248</v>
      </c>
      <c r="H61">
        <v>4.6635039999999996</v>
      </c>
      <c r="I61">
        <v>4.612425</v>
      </c>
      <c r="J61">
        <v>4.5474030000000001</v>
      </c>
      <c r="K61">
        <v>4.4787610000000004</v>
      </c>
      <c r="L61">
        <v>4.4142900000000003</v>
      </c>
      <c r="M61">
        <v>4.3518759999999999</v>
      </c>
      <c r="N61">
        <v>4.2920199999999999</v>
      </c>
      <c r="O61">
        <v>4.234299</v>
      </c>
      <c r="P61">
        <v>4.1793089999999999</v>
      </c>
      <c r="Q61">
        <v>4.1237060000000003</v>
      </c>
      <c r="R61">
        <v>4.0705359999999997</v>
      </c>
      <c r="S61">
        <v>4.0178630000000002</v>
      </c>
      <c r="T61">
        <v>3.9665460000000001</v>
      </c>
      <c r="U61">
        <v>3.9159199999999998</v>
      </c>
      <c r="V61">
        <v>3.8705210000000001</v>
      </c>
      <c r="W61">
        <v>3.8277060000000001</v>
      </c>
      <c r="X61">
        <v>3.7870339999999998</v>
      </c>
      <c r="Y61">
        <v>3.7487539999999999</v>
      </c>
      <c r="Z61">
        <v>3.7094520000000002</v>
      </c>
      <c r="AA61">
        <v>3.6686019999999999</v>
      </c>
      <c r="AB61">
        <v>3.628336</v>
      </c>
      <c r="AC61">
        <v>3.5889410000000002</v>
      </c>
      <c r="AD61">
        <v>3.5503339999999999</v>
      </c>
      <c r="AE61" t="s">
        <v>1046</v>
      </c>
    </row>
    <row r="62" spans="1:31" x14ac:dyDescent="0.25">
      <c r="A62" t="s">
        <v>398</v>
      </c>
      <c r="B62" t="s">
        <v>1047</v>
      </c>
      <c r="C62" t="s">
        <v>1048</v>
      </c>
      <c r="D62" t="s">
        <v>397</v>
      </c>
      <c r="E62">
        <v>0.98317299999999996</v>
      </c>
      <c r="F62">
        <v>1.046041</v>
      </c>
      <c r="G62">
        <v>1.0603720000000001</v>
      </c>
      <c r="H62">
        <v>1.074317</v>
      </c>
      <c r="I62">
        <v>1.0854569999999999</v>
      </c>
      <c r="J62">
        <v>1.09257</v>
      </c>
      <c r="K62">
        <v>1.0990489999999999</v>
      </c>
      <c r="L62">
        <v>1.1065609999999999</v>
      </c>
      <c r="M62">
        <v>1.1148359999999999</v>
      </c>
      <c r="N62">
        <v>1.1245339999999999</v>
      </c>
      <c r="O62">
        <v>1.1352390000000001</v>
      </c>
      <c r="P62">
        <v>1.1472549999999999</v>
      </c>
      <c r="Q62">
        <v>1.1600699999999999</v>
      </c>
      <c r="R62">
        <v>1.1734279999999999</v>
      </c>
      <c r="S62">
        <v>1.1871670000000001</v>
      </c>
      <c r="T62">
        <v>1.2018500000000001</v>
      </c>
      <c r="U62">
        <v>1.217398</v>
      </c>
      <c r="V62">
        <v>1.23489</v>
      </c>
      <c r="W62">
        <v>1.2534860000000001</v>
      </c>
      <c r="X62">
        <v>1.272133</v>
      </c>
      <c r="Y62">
        <v>1.291439</v>
      </c>
      <c r="Z62">
        <v>1.309698</v>
      </c>
      <c r="AA62">
        <v>1.327261</v>
      </c>
      <c r="AB62">
        <v>1.344268</v>
      </c>
      <c r="AC62">
        <v>1.3620159999999999</v>
      </c>
      <c r="AD62">
        <v>1.3795249999999999</v>
      </c>
      <c r="AE62" t="s">
        <v>991</v>
      </c>
    </row>
    <row r="63" spans="1:31" x14ac:dyDescent="0.25">
      <c r="A63" t="s">
        <v>400</v>
      </c>
      <c r="B63" t="s">
        <v>1049</v>
      </c>
      <c r="C63" t="s">
        <v>1050</v>
      </c>
      <c r="D63" t="s">
        <v>397</v>
      </c>
      <c r="E63">
        <v>1.573177</v>
      </c>
      <c r="F63">
        <v>1.5749280000000001</v>
      </c>
      <c r="G63">
        <v>1.5782149999999999</v>
      </c>
      <c r="H63">
        <v>1.5820050000000001</v>
      </c>
      <c r="I63">
        <v>1.5607</v>
      </c>
      <c r="J63">
        <v>1.533361</v>
      </c>
      <c r="K63">
        <v>1.5057780000000001</v>
      </c>
      <c r="L63">
        <v>1.4812959999999999</v>
      </c>
      <c r="M63">
        <v>1.4578420000000001</v>
      </c>
      <c r="N63">
        <v>1.438645</v>
      </c>
      <c r="O63">
        <v>1.423103</v>
      </c>
      <c r="P63">
        <v>1.4087639999999999</v>
      </c>
      <c r="Q63">
        <v>1.395114</v>
      </c>
      <c r="R63">
        <v>1.382833</v>
      </c>
      <c r="S63">
        <v>1.3717010000000001</v>
      </c>
      <c r="T63">
        <v>1.3619399999999999</v>
      </c>
      <c r="U63">
        <v>1.3531759999999999</v>
      </c>
      <c r="V63">
        <v>1.3462069999999999</v>
      </c>
      <c r="W63">
        <v>1.340719</v>
      </c>
      <c r="X63">
        <v>1.3348089999999999</v>
      </c>
      <c r="Y63">
        <v>1.328171</v>
      </c>
      <c r="Z63">
        <v>1.3203560000000001</v>
      </c>
      <c r="AA63">
        <v>1.311653</v>
      </c>
      <c r="AB63">
        <v>1.302775</v>
      </c>
      <c r="AC63">
        <v>1.2944519999999999</v>
      </c>
      <c r="AD63">
        <v>1.2870760000000001</v>
      </c>
      <c r="AE63" t="s">
        <v>1051</v>
      </c>
    </row>
    <row r="64" spans="1:31" x14ac:dyDescent="0.25">
      <c r="A64" t="s">
        <v>402</v>
      </c>
      <c r="B64" t="s">
        <v>1052</v>
      </c>
      <c r="C64" t="s">
        <v>1053</v>
      </c>
      <c r="D64" t="s">
        <v>397</v>
      </c>
      <c r="E64">
        <v>0.34956300000000001</v>
      </c>
      <c r="F64">
        <v>0.34852699999999998</v>
      </c>
      <c r="G64">
        <v>0.34743299999999999</v>
      </c>
      <c r="H64">
        <v>0.34620899999999999</v>
      </c>
      <c r="I64">
        <v>0.34525899999999998</v>
      </c>
      <c r="J64">
        <v>0.34202399999999999</v>
      </c>
      <c r="K64">
        <v>0.33903</v>
      </c>
      <c r="L64">
        <v>0.33630399999999999</v>
      </c>
      <c r="M64">
        <v>0.33379900000000001</v>
      </c>
      <c r="N64">
        <v>0.33146799999999998</v>
      </c>
      <c r="O64">
        <v>0.32936599999999999</v>
      </c>
      <c r="P64">
        <v>0.32765300000000003</v>
      </c>
      <c r="Q64">
        <v>0.32634299999999999</v>
      </c>
      <c r="R64">
        <v>0.325461</v>
      </c>
      <c r="S64">
        <v>0.32499</v>
      </c>
      <c r="T64">
        <v>0.324938</v>
      </c>
      <c r="U64">
        <v>0.32529400000000003</v>
      </c>
      <c r="V64">
        <v>0.32607199999999997</v>
      </c>
      <c r="W64">
        <v>0.32728099999999999</v>
      </c>
      <c r="X64">
        <v>0.32891300000000001</v>
      </c>
      <c r="Y64">
        <v>0.33105000000000001</v>
      </c>
      <c r="Z64">
        <v>0.33371400000000001</v>
      </c>
      <c r="AA64">
        <v>0.33686500000000003</v>
      </c>
      <c r="AB64">
        <v>0.34000599999999997</v>
      </c>
      <c r="AC64">
        <v>0.34312900000000002</v>
      </c>
      <c r="AD64">
        <v>0.34622900000000001</v>
      </c>
      <c r="AE64" t="s">
        <v>995</v>
      </c>
    </row>
    <row r="65" spans="1:31" x14ac:dyDescent="0.25">
      <c r="A65" t="s">
        <v>404</v>
      </c>
      <c r="B65" t="s">
        <v>1054</v>
      </c>
      <c r="C65" t="s">
        <v>1055</v>
      </c>
      <c r="D65" t="s">
        <v>397</v>
      </c>
      <c r="E65">
        <v>0.15604699999999999</v>
      </c>
      <c r="F65">
        <v>0.15687999999999999</v>
      </c>
      <c r="G65">
        <v>0.157749</v>
      </c>
      <c r="H65">
        <v>0.15859599999999999</v>
      </c>
      <c r="I65">
        <v>0.159444</v>
      </c>
      <c r="J65">
        <v>0.160278</v>
      </c>
      <c r="K65">
        <v>0.161103</v>
      </c>
      <c r="L65">
        <v>0.161912</v>
      </c>
      <c r="M65">
        <v>0.16271099999999999</v>
      </c>
      <c r="N65">
        <v>0.16352700000000001</v>
      </c>
      <c r="O65">
        <v>0.16437299999999999</v>
      </c>
      <c r="P65">
        <v>0.16525599999999999</v>
      </c>
      <c r="Q65">
        <v>0.166161</v>
      </c>
      <c r="R65">
        <v>0.167104</v>
      </c>
      <c r="S65">
        <v>0.16803199999999999</v>
      </c>
      <c r="T65">
        <v>0.168956</v>
      </c>
      <c r="U65">
        <v>0.16985600000000001</v>
      </c>
      <c r="V65">
        <v>0.170735</v>
      </c>
      <c r="W65">
        <v>0.17157900000000001</v>
      </c>
      <c r="X65">
        <v>0.172399</v>
      </c>
      <c r="Y65">
        <v>0.17321800000000001</v>
      </c>
      <c r="Z65">
        <v>0.174042</v>
      </c>
      <c r="AA65">
        <v>0.17486499999999999</v>
      </c>
      <c r="AB65">
        <v>0.17569000000000001</v>
      </c>
      <c r="AC65">
        <v>0.17651800000000001</v>
      </c>
      <c r="AD65">
        <v>0.17735500000000001</v>
      </c>
      <c r="AE65" t="s">
        <v>1012</v>
      </c>
    </row>
    <row r="66" spans="1:31" x14ac:dyDescent="0.25">
      <c r="A66" t="s">
        <v>406</v>
      </c>
      <c r="B66" t="s">
        <v>1056</v>
      </c>
      <c r="C66" t="s">
        <v>1057</v>
      </c>
      <c r="D66" t="s">
        <v>397</v>
      </c>
      <c r="E66">
        <v>0.229907</v>
      </c>
      <c r="F66">
        <v>0.231125</v>
      </c>
      <c r="G66">
        <v>0.23272300000000001</v>
      </c>
      <c r="H66">
        <v>0.23462</v>
      </c>
      <c r="I66">
        <v>0.235849</v>
      </c>
      <c r="J66">
        <v>0.23600399999999999</v>
      </c>
      <c r="K66">
        <v>0.23554800000000001</v>
      </c>
      <c r="L66">
        <v>0.234788</v>
      </c>
      <c r="M66">
        <v>0.23432800000000001</v>
      </c>
      <c r="N66">
        <v>0.23430200000000001</v>
      </c>
      <c r="O66">
        <v>0.23472100000000001</v>
      </c>
      <c r="P66">
        <v>0.23564299999999999</v>
      </c>
      <c r="Q66">
        <v>0.23691400000000001</v>
      </c>
      <c r="R66">
        <v>0.23868600000000001</v>
      </c>
      <c r="S66">
        <v>0.240921</v>
      </c>
      <c r="T66">
        <v>0.243675</v>
      </c>
      <c r="U66">
        <v>0.247026</v>
      </c>
      <c r="V66">
        <v>0.25042199999999998</v>
      </c>
      <c r="W66">
        <v>0.25392500000000001</v>
      </c>
      <c r="X66">
        <v>0.25746400000000003</v>
      </c>
      <c r="Y66">
        <v>0.261017</v>
      </c>
      <c r="Z66">
        <v>0.26441599999999998</v>
      </c>
      <c r="AA66">
        <v>0.26761499999999999</v>
      </c>
      <c r="AB66">
        <v>0.27068500000000001</v>
      </c>
      <c r="AC66">
        <v>0.27381</v>
      </c>
      <c r="AD66">
        <v>0.276862</v>
      </c>
      <c r="AE66" t="s">
        <v>1058</v>
      </c>
    </row>
    <row r="67" spans="1:31" x14ac:dyDescent="0.25">
      <c r="A67" t="s">
        <v>408</v>
      </c>
      <c r="B67" t="s">
        <v>1059</v>
      </c>
      <c r="C67" t="s">
        <v>1060</v>
      </c>
      <c r="D67" t="s">
        <v>397</v>
      </c>
      <c r="E67">
        <v>7.9278000000000001E-2</v>
      </c>
      <c r="F67">
        <v>7.9241000000000006E-2</v>
      </c>
      <c r="G67">
        <v>7.9216999999999996E-2</v>
      </c>
      <c r="H67">
        <v>7.9159999999999994E-2</v>
      </c>
      <c r="I67">
        <v>7.9073000000000004E-2</v>
      </c>
      <c r="J67">
        <v>7.8570000000000001E-2</v>
      </c>
      <c r="K67">
        <v>7.8007000000000007E-2</v>
      </c>
      <c r="L67">
        <v>7.7404000000000001E-2</v>
      </c>
      <c r="M67">
        <v>7.6823000000000002E-2</v>
      </c>
      <c r="N67">
        <v>7.6257000000000005E-2</v>
      </c>
      <c r="O67">
        <v>7.5716000000000006E-2</v>
      </c>
      <c r="P67">
        <v>7.5194999999999998E-2</v>
      </c>
      <c r="Q67">
        <v>7.4692999999999996E-2</v>
      </c>
      <c r="R67">
        <v>7.4214000000000002E-2</v>
      </c>
      <c r="S67">
        <v>7.3757000000000003E-2</v>
      </c>
      <c r="T67">
        <v>7.3328000000000004E-2</v>
      </c>
      <c r="U67">
        <v>7.2937000000000002E-2</v>
      </c>
      <c r="V67">
        <v>7.2585999999999998E-2</v>
      </c>
      <c r="W67">
        <v>7.2277999999999995E-2</v>
      </c>
      <c r="X67">
        <v>7.2012000000000007E-2</v>
      </c>
      <c r="Y67">
        <v>7.1802000000000005E-2</v>
      </c>
      <c r="Z67">
        <v>7.1660000000000001E-2</v>
      </c>
      <c r="AA67">
        <v>7.1579000000000004E-2</v>
      </c>
      <c r="AB67">
        <v>7.1570999999999996E-2</v>
      </c>
      <c r="AC67">
        <v>7.1642999999999998E-2</v>
      </c>
      <c r="AD67">
        <v>7.1800000000000003E-2</v>
      </c>
      <c r="AE67" t="s">
        <v>1000</v>
      </c>
    </row>
    <row r="68" spans="1:31" x14ac:dyDescent="0.25">
      <c r="A68" t="s">
        <v>410</v>
      </c>
      <c r="B68" t="s">
        <v>1061</v>
      </c>
      <c r="C68" t="s">
        <v>1062</v>
      </c>
      <c r="D68" t="s">
        <v>397</v>
      </c>
      <c r="E68">
        <v>0.18284700000000001</v>
      </c>
      <c r="F68">
        <v>0.18221599999999999</v>
      </c>
      <c r="G68">
        <v>0.18356900000000001</v>
      </c>
      <c r="H68">
        <v>0.18564</v>
      </c>
      <c r="I68">
        <v>0.18743899999999999</v>
      </c>
      <c r="J68">
        <v>0.18699399999999999</v>
      </c>
      <c r="K68">
        <v>0.18642400000000001</v>
      </c>
      <c r="L68">
        <v>0.18626100000000001</v>
      </c>
      <c r="M68">
        <v>0.18640399999999999</v>
      </c>
      <c r="N68">
        <v>0.18674199999999999</v>
      </c>
      <c r="O68">
        <v>0.18721499999999999</v>
      </c>
      <c r="P68">
        <v>0.187754</v>
      </c>
      <c r="Q68">
        <v>0.188226</v>
      </c>
      <c r="R68">
        <v>0.188723</v>
      </c>
      <c r="S68">
        <v>0.18940000000000001</v>
      </c>
      <c r="T68">
        <v>0.18703500000000001</v>
      </c>
      <c r="U68">
        <v>0.185089</v>
      </c>
      <c r="V68">
        <v>0.18369099999999999</v>
      </c>
      <c r="W68">
        <v>0.18284600000000001</v>
      </c>
      <c r="X68">
        <v>0.182477</v>
      </c>
      <c r="Y68">
        <v>0.18238399999999999</v>
      </c>
      <c r="Z68">
        <v>0.18231</v>
      </c>
      <c r="AA68">
        <v>0.182202</v>
      </c>
      <c r="AB68">
        <v>0.18219199999999999</v>
      </c>
      <c r="AC68">
        <v>0.18237500000000001</v>
      </c>
      <c r="AD68">
        <v>0.182588</v>
      </c>
      <c r="AE68" t="s">
        <v>995</v>
      </c>
    </row>
    <row r="69" spans="1:31" x14ac:dyDescent="0.25">
      <c r="A69" t="s">
        <v>412</v>
      </c>
      <c r="B69" t="s">
        <v>1063</v>
      </c>
      <c r="C69" t="s">
        <v>1064</v>
      </c>
      <c r="D69" t="s">
        <v>397</v>
      </c>
      <c r="E69">
        <v>4.0723000000000002E-2</v>
      </c>
      <c r="F69">
        <v>3.9740999999999999E-2</v>
      </c>
      <c r="G69">
        <v>3.875E-2</v>
      </c>
      <c r="H69">
        <v>3.7582999999999998E-2</v>
      </c>
      <c r="I69">
        <v>3.6385000000000001E-2</v>
      </c>
      <c r="J69">
        <v>3.4992000000000002E-2</v>
      </c>
      <c r="K69">
        <v>3.354E-2</v>
      </c>
      <c r="L69">
        <v>3.2000000000000001E-2</v>
      </c>
      <c r="M69">
        <v>3.0665000000000001E-2</v>
      </c>
      <c r="N69">
        <v>2.9534000000000001E-2</v>
      </c>
      <c r="O69">
        <v>2.8608999999999999E-2</v>
      </c>
      <c r="P69">
        <v>2.7904000000000002E-2</v>
      </c>
      <c r="Q69">
        <v>2.7428999999999999E-2</v>
      </c>
      <c r="R69">
        <v>2.7210000000000002E-2</v>
      </c>
      <c r="S69">
        <v>2.7261000000000001E-2</v>
      </c>
      <c r="T69">
        <v>2.7310999999999998E-2</v>
      </c>
      <c r="U69">
        <v>2.7362000000000001E-2</v>
      </c>
      <c r="V69">
        <v>2.742E-2</v>
      </c>
      <c r="W69">
        <v>2.7486E-2</v>
      </c>
      <c r="X69">
        <v>2.7564000000000002E-2</v>
      </c>
      <c r="Y69">
        <v>2.7657999999999999E-2</v>
      </c>
      <c r="Z69">
        <v>2.7768000000000001E-2</v>
      </c>
      <c r="AA69">
        <v>2.7890000000000002E-2</v>
      </c>
      <c r="AB69">
        <v>2.8024E-2</v>
      </c>
      <c r="AC69">
        <v>2.8167000000000001E-2</v>
      </c>
      <c r="AD69">
        <v>2.8319E-2</v>
      </c>
      <c r="AE69" t="s">
        <v>987</v>
      </c>
    </row>
    <row r="70" spans="1:31" x14ac:dyDescent="0.25">
      <c r="A70" t="s">
        <v>414</v>
      </c>
      <c r="B70" t="s">
        <v>1065</v>
      </c>
      <c r="C70" t="s">
        <v>1066</v>
      </c>
      <c r="D70" t="s">
        <v>397</v>
      </c>
      <c r="E70">
        <v>3.7162000000000001E-2</v>
      </c>
      <c r="F70">
        <v>3.8075999999999999E-2</v>
      </c>
      <c r="G70">
        <v>3.8359999999999998E-2</v>
      </c>
      <c r="H70">
        <v>3.8523000000000002E-2</v>
      </c>
      <c r="I70">
        <v>3.8636999999999998E-2</v>
      </c>
      <c r="J70">
        <v>3.8703000000000001E-2</v>
      </c>
      <c r="K70">
        <v>3.8719999999999997E-2</v>
      </c>
      <c r="L70">
        <v>3.8689000000000001E-2</v>
      </c>
      <c r="M70">
        <v>3.8733999999999998E-2</v>
      </c>
      <c r="N70">
        <v>3.8861E-2</v>
      </c>
      <c r="O70">
        <v>3.9071000000000002E-2</v>
      </c>
      <c r="P70">
        <v>3.9371000000000003E-2</v>
      </c>
      <c r="Q70">
        <v>3.9764000000000001E-2</v>
      </c>
      <c r="R70">
        <v>4.0261999999999999E-2</v>
      </c>
      <c r="S70">
        <v>4.0871999999999999E-2</v>
      </c>
      <c r="T70">
        <v>4.1477E-2</v>
      </c>
      <c r="U70">
        <v>4.2076000000000002E-2</v>
      </c>
      <c r="V70">
        <v>4.2673999999999997E-2</v>
      </c>
      <c r="W70">
        <v>4.3272999999999999E-2</v>
      </c>
      <c r="X70">
        <v>4.3875999999999998E-2</v>
      </c>
      <c r="Y70">
        <v>4.4488E-2</v>
      </c>
      <c r="Z70">
        <v>4.5110999999999998E-2</v>
      </c>
      <c r="AA70">
        <v>4.5740999999999997E-2</v>
      </c>
      <c r="AB70">
        <v>4.6378999999999997E-2</v>
      </c>
      <c r="AC70">
        <v>4.7023000000000002E-2</v>
      </c>
      <c r="AD70">
        <v>4.7676000000000003E-2</v>
      </c>
      <c r="AE70" t="s">
        <v>1004</v>
      </c>
    </row>
    <row r="71" spans="1:31" x14ac:dyDescent="0.25">
      <c r="A71" t="s">
        <v>416</v>
      </c>
      <c r="B71" t="s">
        <v>1067</v>
      </c>
      <c r="C71" t="s">
        <v>1068</v>
      </c>
      <c r="D71" t="s">
        <v>397</v>
      </c>
      <c r="E71">
        <v>0.12483900000000001</v>
      </c>
      <c r="F71">
        <v>0.12217699999999999</v>
      </c>
      <c r="G71">
        <v>0.119963</v>
      </c>
      <c r="H71">
        <v>0.118088</v>
      </c>
      <c r="I71">
        <v>0.11609700000000001</v>
      </c>
      <c r="J71">
        <v>0.113806</v>
      </c>
      <c r="K71">
        <v>0.111516</v>
      </c>
      <c r="L71">
        <v>0.109399</v>
      </c>
      <c r="M71">
        <v>0.107489</v>
      </c>
      <c r="N71">
        <v>0.105735</v>
      </c>
      <c r="O71">
        <v>0.104144</v>
      </c>
      <c r="P71">
        <v>0.102719</v>
      </c>
      <c r="Q71">
        <v>0.101411</v>
      </c>
      <c r="R71">
        <v>0.100273</v>
      </c>
      <c r="S71">
        <v>9.9266999999999994E-2</v>
      </c>
      <c r="T71">
        <v>9.8397999999999999E-2</v>
      </c>
      <c r="U71">
        <v>9.7694000000000003E-2</v>
      </c>
      <c r="V71">
        <v>9.7154000000000004E-2</v>
      </c>
      <c r="W71">
        <v>9.6814999999999998E-2</v>
      </c>
      <c r="X71">
        <v>9.6643000000000007E-2</v>
      </c>
      <c r="Y71">
        <v>9.6638000000000002E-2</v>
      </c>
      <c r="Z71">
        <v>9.6758999999999998E-2</v>
      </c>
      <c r="AA71">
        <v>9.6903000000000003E-2</v>
      </c>
      <c r="AB71">
        <v>9.7108E-2</v>
      </c>
      <c r="AC71">
        <v>9.7404000000000004E-2</v>
      </c>
      <c r="AD71">
        <v>9.7757999999999998E-2</v>
      </c>
      <c r="AE71" t="s">
        <v>978</v>
      </c>
    </row>
    <row r="72" spans="1:31" x14ac:dyDescent="0.25">
      <c r="A72" t="s">
        <v>418</v>
      </c>
      <c r="B72" t="s">
        <v>1069</v>
      </c>
      <c r="C72" t="s">
        <v>1070</v>
      </c>
      <c r="D72" t="s">
        <v>397</v>
      </c>
      <c r="E72">
        <v>9.7012000000000001E-2</v>
      </c>
      <c r="F72">
        <v>9.5324000000000006E-2</v>
      </c>
      <c r="G72">
        <v>9.3865000000000004E-2</v>
      </c>
      <c r="H72">
        <v>9.2523999999999995E-2</v>
      </c>
      <c r="I72">
        <v>9.0934000000000001E-2</v>
      </c>
      <c r="J72">
        <v>8.8982000000000006E-2</v>
      </c>
      <c r="K72">
        <v>8.6905999999999997E-2</v>
      </c>
      <c r="L72">
        <v>8.4864999999999996E-2</v>
      </c>
      <c r="M72">
        <v>8.2885E-2</v>
      </c>
      <c r="N72">
        <v>8.0946000000000004E-2</v>
      </c>
      <c r="O72">
        <v>7.9061999999999993E-2</v>
      </c>
      <c r="P72">
        <v>7.7249999999999999E-2</v>
      </c>
      <c r="Q72">
        <v>7.5483999999999996E-2</v>
      </c>
      <c r="R72">
        <v>7.3799000000000003E-2</v>
      </c>
      <c r="S72">
        <v>7.2189000000000003E-2</v>
      </c>
      <c r="T72">
        <v>7.0666999999999994E-2</v>
      </c>
      <c r="U72">
        <v>6.9258E-2</v>
      </c>
      <c r="V72">
        <v>6.7989999999999995E-2</v>
      </c>
      <c r="W72">
        <v>6.6878999999999994E-2</v>
      </c>
      <c r="X72">
        <v>6.5919000000000005E-2</v>
      </c>
      <c r="Y72">
        <v>6.5114000000000005E-2</v>
      </c>
      <c r="Z72">
        <v>6.4455999999999999E-2</v>
      </c>
      <c r="AA72">
        <v>6.3893000000000005E-2</v>
      </c>
      <c r="AB72">
        <v>6.3459000000000002E-2</v>
      </c>
      <c r="AC72">
        <v>6.3205999999999998E-2</v>
      </c>
      <c r="AD72">
        <v>6.3081999999999999E-2</v>
      </c>
      <c r="AE72" t="s">
        <v>1007</v>
      </c>
    </row>
    <row r="73" spans="1:31" x14ac:dyDescent="0.25">
      <c r="A73" t="s">
        <v>420</v>
      </c>
      <c r="B73" t="s">
        <v>1071</v>
      </c>
      <c r="C73" t="s">
        <v>1072</v>
      </c>
      <c r="D73" t="s">
        <v>397</v>
      </c>
      <c r="E73">
        <v>0.15743599999999999</v>
      </c>
      <c r="F73">
        <v>0.15289700000000001</v>
      </c>
      <c r="G73">
        <v>0.153778</v>
      </c>
      <c r="H73">
        <v>0.15411900000000001</v>
      </c>
      <c r="I73">
        <v>0.15401400000000001</v>
      </c>
      <c r="J73">
        <v>0.15365100000000001</v>
      </c>
      <c r="K73">
        <v>0.15307000000000001</v>
      </c>
      <c r="L73">
        <v>0.15265799999999999</v>
      </c>
      <c r="M73">
        <v>0.152172</v>
      </c>
      <c r="N73">
        <v>0.15165799999999999</v>
      </c>
      <c r="O73">
        <v>0.15102299999999999</v>
      </c>
      <c r="P73">
        <v>0.15023</v>
      </c>
      <c r="Q73">
        <v>0.14910799999999999</v>
      </c>
      <c r="R73">
        <v>0.14768600000000001</v>
      </c>
      <c r="S73">
        <v>0.14590700000000001</v>
      </c>
      <c r="T73">
        <v>0.14382800000000001</v>
      </c>
      <c r="U73">
        <v>0.14144399999999999</v>
      </c>
      <c r="V73">
        <v>0.139018</v>
      </c>
      <c r="W73">
        <v>0.13644400000000001</v>
      </c>
      <c r="X73">
        <v>0.13381899999999999</v>
      </c>
      <c r="Y73">
        <v>0.13125700000000001</v>
      </c>
      <c r="Z73">
        <v>0.12870899999999999</v>
      </c>
      <c r="AA73">
        <v>0.12613199999999999</v>
      </c>
      <c r="AB73">
        <v>0.12373099999999999</v>
      </c>
      <c r="AC73">
        <v>0.121516</v>
      </c>
      <c r="AD73">
        <v>0.11952</v>
      </c>
      <c r="AE73" t="s">
        <v>981</v>
      </c>
    </row>
    <row r="74" spans="1:31" x14ac:dyDescent="0.25">
      <c r="A74" t="s">
        <v>422</v>
      </c>
      <c r="B74" t="s">
        <v>1073</v>
      </c>
      <c r="C74" t="s">
        <v>1074</v>
      </c>
      <c r="D74" t="s">
        <v>397</v>
      </c>
      <c r="E74">
        <v>2.7444139999999999</v>
      </c>
      <c r="F74">
        <v>2.7689379999999999</v>
      </c>
      <c r="G74">
        <v>2.6761689999999998</v>
      </c>
      <c r="H74">
        <v>2.7168239999999999</v>
      </c>
      <c r="I74">
        <v>2.7528410000000001</v>
      </c>
      <c r="J74">
        <v>2.7829869999999999</v>
      </c>
      <c r="K74">
        <v>2.810584</v>
      </c>
      <c r="L74">
        <v>2.8392330000000001</v>
      </c>
      <c r="M74">
        <v>2.8684069999999999</v>
      </c>
      <c r="N74">
        <v>2.9014570000000002</v>
      </c>
      <c r="O74">
        <v>2.9361769999999998</v>
      </c>
      <c r="P74">
        <v>2.9716930000000001</v>
      </c>
      <c r="Q74">
        <v>3.0080800000000001</v>
      </c>
      <c r="R74">
        <v>3.0454020000000002</v>
      </c>
      <c r="S74">
        <v>3.0824370000000001</v>
      </c>
      <c r="T74">
        <v>3.1154850000000001</v>
      </c>
      <c r="U74">
        <v>3.1510880000000001</v>
      </c>
      <c r="V74">
        <v>3.1888049999999999</v>
      </c>
      <c r="W74">
        <v>3.2288950000000001</v>
      </c>
      <c r="X74">
        <v>3.2702399999999998</v>
      </c>
      <c r="Y74">
        <v>3.307601</v>
      </c>
      <c r="Z74">
        <v>3.348325</v>
      </c>
      <c r="AA74">
        <v>3.3881459999999999</v>
      </c>
      <c r="AB74">
        <v>3.4280149999999998</v>
      </c>
      <c r="AC74">
        <v>3.4690979999999998</v>
      </c>
      <c r="AD74">
        <v>3.5110640000000002</v>
      </c>
      <c r="AE74" t="s">
        <v>1004</v>
      </c>
    </row>
    <row r="75" spans="1:31" x14ac:dyDescent="0.25">
      <c r="A75" t="s">
        <v>424</v>
      </c>
      <c r="B75" t="s">
        <v>1075</v>
      </c>
      <c r="C75" t="s">
        <v>1076</v>
      </c>
      <c r="D75" t="s">
        <v>397</v>
      </c>
      <c r="E75">
        <v>11.642868999999999</v>
      </c>
      <c r="F75">
        <v>11.446619</v>
      </c>
      <c r="G75">
        <v>11.454411</v>
      </c>
      <c r="H75">
        <v>11.481712</v>
      </c>
      <c r="I75">
        <v>11.454556</v>
      </c>
      <c r="J75">
        <v>11.390325000000001</v>
      </c>
      <c r="K75">
        <v>11.318034000000001</v>
      </c>
      <c r="L75">
        <v>11.255660000000001</v>
      </c>
      <c r="M75">
        <v>11.198971</v>
      </c>
      <c r="N75">
        <v>11.155685999999999</v>
      </c>
      <c r="O75">
        <v>11.122120000000001</v>
      </c>
      <c r="P75">
        <v>11.095996</v>
      </c>
      <c r="Q75">
        <v>11.072502</v>
      </c>
      <c r="R75">
        <v>11.055615</v>
      </c>
      <c r="S75">
        <v>11.041765</v>
      </c>
      <c r="T75">
        <v>11.025434000000001</v>
      </c>
      <c r="U75">
        <v>11.015616</v>
      </c>
      <c r="V75">
        <v>11.018186999999999</v>
      </c>
      <c r="W75">
        <v>11.029612</v>
      </c>
      <c r="X75">
        <v>11.045303000000001</v>
      </c>
      <c r="Y75">
        <v>11.060591000000001</v>
      </c>
      <c r="Z75">
        <v>11.076777</v>
      </c>
      <c r="AA75">
        <v>11.089347999999999</v>
      </c>
      <c r="AB75">
        <v>11.102238</v>
      </c>
      <c r="AC75">
        <v>11.119299</v>
      </c>
      <c r="AD75">
        <v>11.139188000000001</v>
      </c>
      <c r="AE75" t="s">
        <v>1039</v>
      </c>
    </row>
    <row r="76" spans="1:31" x14ac:dyDescent="0.25">
      <c r="A76" t="s">
        <v>426</v>
      </c>
      <c r="B76" t="s">
        <v>1077</v>
      </c>
      <c r="C76" t="s">
        <v>1078</v>
      </c>
      <c r="D76" t="s">
        <v>397</v>
      </c>
      <c r="E76">
        <v>7.0135000000000003E-2</v>
      </c>
      <c r="F76">
        <v>9.1486999999999999E-2</v>
      </c>
      <c r="G76">
        <v>0.119301</v>
      </c>
      <c r="H76">
        <v>0.15019099999999999</v>
      </c>
      <c r="I76">
        <v>0.18050099999999999</v>
      </c>
      <c r="J76">
        <v>0.20873</v>
      </c>
      <c r="K76">
        <v>0.23311999999999999</v>
      </c>
      <c r="L76">
        <v>0.25518800000000003</v>
      </c>
      <c r="M76">
        <v>0.27699499999999999</v>
      </c>
      <c r="N76">
        <v>0.29923699999999998</v>
      </c>
      <c r="O76">
        <v>0.321766</v>
      </c>
      <c r="P76">
        <v>0.34432200000000002</v>
      </c>
      <c r="Q76">
        <v>0.36690099999999998</v>
      </c>
      <c r="R76">
        <v>0.389322</v>
      </c>
      <c r="S76">
        <v>0.41114099999999998</v>
      </c>
      <c r="T76">
        <v>0.43246899999999999</v>
      </c>
      <c r="U76">
        <v>0.45277400000000001</v>
      </c>
      <c r="V76">
        <v>0.47238799999999997</v>
      </c>
      <c r="W76">
        <v>0.49130400000000002</v>
      </c>
      <c r="X76">
        <v>0.50966900000000004</v>
      </c>
      <c r="Y76">
        <v>0.52751300000000001</v>
      </c>
      <c r="Z76">
        <v>0.54464500000000005</v>
      </c>
      <c r="AA76">
        <v>0.56095399999999995</v>
      </c>
      <c r="AB76">
        <v>0.57689299999999999</v>
      </c>
      <c r="AC76">
        <v>0.59221100000000004</v>
      </c>
      <c r="AD76">
        <v>0.60719400000000001</v>
      </c>
      <c r="AE76" t="s">
        <v>1014</v>
      </c>
    </row>
    <row r="77" spans="1:31" x14ac:dyDescent="0.25">
      <c r="A77" t="s">
        <v>428</v>
      </c>
      <c r="B77" t="s">
        <v>1079</v>
      </c>
      <c r="C77" t="s">
        <v>1080</v>
      </c>
      <c r="D77" t="s">
        <v>397</v>
      </c>
      <c r="E77">
        <v>0.18513299999999999</v>
      </c>
      <c r="F77">
        <v>0.19618099999999999</v>
      </c>
      <c r="G77">
        <v>0.20807</v>
      </c>
      <c r="H77">
        <v>0.22029000000000001</v>
      </c>
      <c r="I77">
        <v>0.23191400000000001</v>
      </c>
      <c r="J77">
        <v>0.24404699999999999</v>
      </c>
      <c r="K77">
        <v>0.25698700000000002</v>
      </c>
      <c r="L77">
        <v>0.26999400000000001</v>
      </c>
      <c r="M77">
        <v>0.283557</v>
      </c>
      <c r="N77">
        <v>0.29791299999999998</v>
      </c>
      <c r="O77">
        <v>0.31315100000000001</v>
      </c>
      <c r="P77">
        <v>0.32913300000000001</v>
      </c>
      <c r="Q77">
        <v>0.346163</v>
      </c>
      <c r="R77">
        <v>0.36398999999999998</v>
      </c>
      <c r="S77">
        <v>0.38263399999999997</v>
      </c>
      <c r="T77">
        <v>0.401916</v>
      </c>
      <c r="U77">
        <v>0.42191800000000002</v>
      </c>
      <c r="V77">
        <v>0.44253399999999998</v>
      </c>
      <c r="W77">
        <v>0.46366400000000002</v>
      </c>
      <c r="X77">
        <v>0.48558299999999999</v>
      </c>
      <c r="Y77">
        <v>0.50805900000000004</v>
      </c>
      <c r="Z77">
        <v>0.53127999999999997</v>
      </c>
      <c r="AA77">
        <v>0.55522800000000005</v>
      </c>
      <c r="AB77">
        <v>0.58008000000000004</v>
      </c>
      <c r="AC77">
        <v>0.60541100000000003</v>
      </c>
      <c r="AD77">
        <v>0.63153300000000001</v>
      </c>
      <c r="AE77" t="s">
        <v>1016</v>
      </c>
    </row>
    <row r="78" spans="1:31" x14ac:dyDescent="0.25">
      <c r="A78" t="s">
        <v>439</v>
      </c>
      <c r="B78" t="s">
        <v>1081</v>
      </c>
      <c r="C78" t="s">
        <v>1082</v>
      </c>
      <c r="D78" t="s">
        <v>397</v>
      </c>
      <c r="E78">
        <v>11.527870999999999</v>
      </c>
      <c r="F78">
        <v>11.341925</v>
      </c>
      <c r="G78">
        <v>11.365641999999999</v>
      </c>
      <c r="H78">
        <v>11.411612</v>
      </c>
      <c r="I78">
        <v>11.403143</v>
      </c>
      <c r="J78">
        <v>11.355008</v>
      </c>
      <c r="K78">
        <v>11.294167</v>
      </c>
      <c r="L78">
        <v>11.240855</v>
      </c>
      <c r="M78">
        <v>11.192409</v>
      </c>
      <c r="N78">
        <v>11.157009</v>
      </c>
      <c r="O78">
        <v>11.130734</v>
      </c>
      <c r="P78">
        <v>11.111185000000001</v>
      </c>
      <c r="Q78">
        <v>11.09324</v>
      </c>
      <c r="R78">
        <v>11.080947</v>
      </c>
      <c r="S78">
        <v>11.070271999999999</v>
      </c>
      <c r="T78">
        <v>11.055986000000001</v>
      </c>
      <c r="U78">
        <v>11.046472</v>
      </c>
      <c r="V78">
        <v>11.048041</v>
      </c>
      <c r="W78">
        <v>11.057252</v>
      </c>
      <c r="X78">
        <v>11.069388</v>
      </c>
      <c r="Y78">
        <v>11.080045999999999</v>
      </c>
      <c r="Z78">
        <v>11.090140999999999</v>
      </c>
      <c r="AA78">
        <v>11.095074</v>
      </c>
      <c r="AB78">
        <v>11.099052</v>
      </c>
      <c r="AC78">
        <v>11.1061</v>
      </c>
      <c r="AD78">
        <v>11.114849</v>
      </c>
      <c r="AE78" t="s">
        <v>1021</v>
      </c>
    </row>
    <row r="79" spans="1:31" x14ac:dyDescent="0.25">
      <c r="A79" t="s">
        <v>490</v>
      </c>
      <c r="B79" t="s">
        <v>1083</v>
      </c>
      <c r="C79" t="s">
        <v>1084</v>
      </c>
      <c r="D79" t="s">
        <v>397</v>
      </c>
      <c r="E79">
        <v>7.1676520000000004</v>
      </c>
      <c r="F79">
        <v>7.154598</v>
      </c>
      <c r="G79">
        <v>6.5145309999999998</v>
      </c>
      <c r="H79">
        <v>6.3125260000000001</v>
      </c>
      <c r="I79">
        <v>6.2211819999999998</v>
      </c>
      <c r="J79">
        <v>6.1316670000000002</v>
      </c>
      <c r="K79">
        <v>5.9451780000000003</v>
      </c>
      <c r="L79">
        <v>5.8393309999999996</v>
      </c>
      <c r="M79">
        <v>5.7834560000000002</v>
      </c>
      <c r="N79">
        <v>5.6923149999999998</v>
      </c>
      <c r="O79">
        <v>5.6339969999999999</v>
      </c>
      <c r="P79">
        <v>5.5780779999999996</v>
      </c>
      <c r="Q79">
        <v>5.556406</v>
      </c>
      <c r="R79">
        <v>5.5518919999999996</v>
      </c>
      <c r="S79">
        <v>5.5371220000000001</v>
      </c>
      <c r="T79">
        <v>5.5038859999999996</v>
      </c>
      <c r="U79">
        <v>5.4754339999999999</v>
      </c>
      <c r="V79">
        <v>5.4789479999999999</v>
      </c>
      <c r="W79">
        <v>5.4940379999999998</v>
      </c>
      <c r="X79">
        <v>5.5118720000000003</v>
      </c>
      <c r="Y79">
        <v>5.527482</v>
      </c>
      <c r="Z79">
        <v>5.546856</v>
      </c>
      <c r="AA79">
        <v>5.5688820000000003</v>
      </c>
      <c r="AB79">
        <v>5.5885730000000002</v>
      </c>
      <c r="AC79">
        <v>5.5896439999999998</v>
      </c>
      <c r="AD79">
        <v>5.6078219999999996</v>
      </c>
      <c r="AE79" t="s">
        <v>978</v>
      </c>
    </row>
    <row r="80" spans="1:31" x14ac:dyDescent="0.25">
      <c r="A80" t="s">
        <v>493</v>
      </c>
    </row>
    <row r="81" spans="1:31" x14ac:dyDescent="0.25">
      <c r="A81" t="s">
        <v>395</v>
      </c>
      <c r="B81" t="s">
        <v>1085</v>
      </c>
      <c r="C81" t="s">
        <v>1086</v>
      </c>
      <c r="D81" t="s">
        <v>397</v>
      </c>
      <c r="E81">
        <v>5.6764190000000001</v>
      </c>
      <c r="F81">
        <v>5.3520019999999997</v>
      </c>
      <c r="G81">
        <v>5.3777860000000004</v>
      </c>
      <c r="H81">
        <v>5.3172509999999997</v>
      </c>
      <c r="I81">
        <v>5.248799</v>
      </c>
      <c r="J81">
        <v>5.1670590000000001</v>
      </c>
      <c r="K81">
        <v>5.0722079999999998</v>
      </c>
      <c r="L81">
        <v>4.9898530000000001</v>
      </c>
      <c r="M81">
        <v>4.9145240000000001</v>
      </c>
      <c r="N81">
        <v>4.8376089999999996</v>
      </c>
      <c r="O81">
        <v>4.7658440000000004</v>
      </c>
      <c r="P81">
        <v>4.6970879999999999</v>
      </c>
      <c r="Q81">
        <v>4.6305019999999999</v>
      </c>
      <c r="R81">
        <v>4.5679309999999997</v>
      </c>
      <c r="S81">
        <v>4.5047990000000002</v>
      </c>
      <c r="T81">
        <v>4.4419420000000001</v>
      </c>
      <c r="U81">
        <v>4.3798620000000001</v>
      </c>
      <c r="V81">
        <v>4.3258799999999997</v>
      </c>
      <c r="W81">
        <v>4.2753310000000004</v>
      </c>
      <c r="X81">
        <v>4.2269829999999997</v>
      </c>
      <c r="Y81">
        <v>4.1814090000000004</v>
      </c>
      <c r="Z81">
        <v>4.1347759999999996</v>
      </c>
      <c r="AA81">
        <v>4.0866759999999998</v>
      </c>
      <c r="AB81">
        <v>4.0391640000000004</v>
      </c>
      <c r="AC81">
        <v>3.9913189999999998</v>
      </c>
      <c r="AD81">
        <v>3.9455249999999999</v>
      </c>
      <c r="AE81" t="s">
        <v>987</v>
      </c>
    </row>
    <row r="82" spans="1:31" x14ac:dyDescent="0.25">
      <c r="A82" t="s">
        <v>398</v>
      </c>
      <c r="B82" t="s">
        <v>1087</v>
      </c>
      <c r="C82" t="s">
        <v>1088</v>
      </c>
      <c r="D82" t="s">
        <v>397</v>
      </c>
      <c r="E82">
        <v>2.2094279999999999</v>
      </c>
      <c r="F82">
        <v>2.3359220000000001</v>
      </c>
      <c r="G82">
        <v>2.2649970000000001</v>
      </c>
      <c r="H82">
        <v>2.240748</v>
      </c>
      <c r="I82">
        <v>2.235738</v>
      </c>
      <c r="J82">
        <v>2.2276760000000002</v>
      </c>
      <c r="K82">
        <v>2.2022040000000001</v>
      </c>
      <c r="L82">
        <v>2.1932580000000002</v>
      </c>
      <c r="M82">
        <v>2.194045</v>
      </c>
      <c r="N82">
        <v>2.1894260000000001</v>
      </c>
      <c r="O82">
        <v>2.1917469999999999</v>
      </c>
      <c r="P82">
        <v>2.196002</v>
      </c>
      <c r="Q82">
        <v>2.2073640000000001</v>
      </c>
      <c r="R82">
        <v>2.2221280000000001</v>
      </c>
      <c r="S82">
        <v>2.235198</v>
      </c>
      <c r="T82">
        <v>2.2471860000000001</v>
      </c>
      <c r="U82">
        <v>2.2607059999999999</v>
      </c>
      <c r="V82">
        <v>2.2827489999999999</v>
      </c>
      <c r="W82">
        <v>2.308033</v>
      </c>
      <c r="X82">
        <v>2.3336320000000002</v>
      </c>
      <c r="Y82">
        <v>2.360322</v>
      </c>
      <c r="Z82">
        <v>2.385351</v>
      </c>
      <c r="AA82">
        <v>2.4099159999999999</v>
      </c>
      <c r="AB82">
        <v>2.4330039999999999</v>
      </c>
      <c r="AC82">
        <v>2.4533589999999998</v>
      </c>
      <c r="AD82">
        <v>2.4764379999999999</v>
      </c>
      <c r="AE82" t="s">
        <v>1012</v>
      </c>
    </row>
    <row r="83" spans="1:31" x14ac:dyDescent="0.25">
      <c r="A83" t="s">
        <v>400</v>
      </c>
      <c r="B83" t="s">
        <v>1089</v>
      </c>
      <c r="C83" t="s">
        <v>1090</v>
      </c>
      <c r="D83" t="s">
        <v>397</v>
      </c>
      <c r="E83">
        <v>2.1733630000000002</v>
      </c>
      <c r="F83">
        <v>2.158102</v>
      </c>
      <c r="G83">
        <v>2.108511</v>
      </c>
      <c r="H83">
        <v>2.0832190000000002</v>
      </c>
      <c r="I83">
        <v>2.0307460000000002</v>
      </c>
      <c r="J83">
        <v>1.970669</v>
      </c>
      <c r="K83">
        <v>1.904377</v>
      </c>
      <c r="L83">
        <v>1.8496109999999999</v>
      </c>
      <c r="M83">
        <v>1.8012349999999999</v>
      </c>
      <c r="N83">
        <v>1.757064</v>
      </c>
      <c r="O83">
        <v>1.7204680000000001</v>
      </c>
      <c r="P83">
        <v>1.6873590000000001</v>
      </c>
      <c r="Q83">
        <v>1.6586160000000001</v>
      </c>
      <c r="R83">
        <v>1.6338569999999999</v>
      </c>
      <c r="S83">
        <v>1.6115740000000001</v>
      </c>
      <c r="T83">
        <v>1.5919000000000001</v>
      </c>
      <c r="U83">
        <v>1.5750040000000001</v>
      </c>
      <c r="V83">
        <v>1.5627610000000001</v>
      </c>
      <c r="W83">
        <v>1.553944</v>
      </c>
      <c r="X83">
        <v>1.544762</v>
      </c>
      <c r="Y83">
        <v>1.534907</v>
      </c>
      <c r="Z83">
        <v>1.523909</v>
      </c>
      <c r="AA83">
        <v>1.512165</v>
      </c>
      <c r="AB83">
        <v>1.50023</v>
      </c>
      <c r="AC83">
        <v>1.4883770000000001</v>
      </c>
      <c r="AD83">
        <v>1.4782550000000001</v>
      </c>
      <c r="AE83" t="s">
        <v>1030</v>
      </c>
    </row>
    <row r="84" spans="1:31" x14ac:dyDescent="0.25">
      <c r="A84" t="s">
        <v>402</v>
      </c>
      <c r="B84" t="s">
        <v>1091</v>
      </c>
      <c r="C84" t="s">
        <v>1092</v>
      </c>
      <c r="D84" t="s">
        <v>397</v>
      </c>
      <c r="E84">
        <v>0.81318599999999996</v>
      </c>
      <c r="F84">
        <v>0.80544899999999997</v>
      </c>
      <c r="G84">
        <v>0.76688900000000004</v>
      </c>
      <c r="H84">
        <v>0.74541999999999997</v>
      </c>
      <c r="I84">
        <v>0.733572</v>
      </c>
      <c r="J84">
        <v>0.71895100000000001</v>
      </c>
      <c r="K84">
        <v>0.69982900000000003</v>
      </c>
      <c r="L84">
        <v>0.68631799999999998</v>
      </c>
      <c r="M84">
        <v>0.67610499999999996</v>
      </c>
      <c r="N84">
        <v>0.66384200000000004</v>
      </c>
      <c r="O84">
        <v>0.65379900000000002</v>
      </c>
      <c r="P84">
        <v>0.64453300000000002</v>
      </c>
      <c r="Q84">
        <v>0.63790000000000002</v>
      </c>
      <c r="R84">
        <v>0.63291500000000001</v>
      </c>
      <c r="S84">
        <v>0.62812400000000002</v>
      </c>
      <c r="T84">
        <v>0.62343000000000004</v>
      </c>
      <c r="U84">
        <v>0.61960599999999999</v>
      </c>
      <c r="V84">
        <v>0.61806300000000003</v>
      </c>
      <c r="W84">
        <v>0.61773</v>
      </c>
      <c r="X84">
        <v>0.61830700000000005</v>
      </c>
      <c r="Y84">
        <v>0.61984499999999998</v>
      </c>
      <c r="Z84">
        <v>0.62247399999999997</v>
      </c>
      <c r="AA84">
        <v>0.62625500000000001</v>
      </c>
      <c r="AB84">
        <v>0.62990800000000002</v>
      </c>
      <c r="AC84">
        <v>0.63246199999999997</v>
      </c>
      <c r="AD84">
        <v>0.63583400000000001</v>
      </c>
      <c r="AE84" t="s">
        <v>978</v>
      </c>
    </row>
    <row r="85" spans="1:31" x14ac:dyDescent="0.25">
      <c r="A85" t="s">
        <v>404</v>
      </c>
      <c r="B85" t="s">
        <v>1093</v>
      </c>
      <c r="C85" t="s">
        <v>1094</v>
      </c>
      <c r="D85" t="s">
        <v>397</v>
      </c>
      <c r="E85">
        <v>0.24671499999999999</v>
      </c>
      <c r="F85">
        <v>0.24765599999999999</v>
      </c>
      <c r="G85">
        <v>0.24244099999999999</v>
      </c>
      <c r="H85">
        <v>0.24052699999999999</v>
      </c>
      <c r="I85">
        <v>0.24037800000000001</v>
      </c>
      <c r="J85">
        <v>0.24057400000000001</v>
      </c>
      <c r="K85">
        <v>0.23960899999999999</v>
      </c>
      <c r="L85">
        <v>0.23964299999999999</v>
      </c>
      <c r="M85">
        <v>0.240232</v>
      </c>
      <c r="N85">
        <v>0.24023900000000001</v>
      </c>
      <c r="O85">
        <v>0.24062900000000001</v>
      </c>
      <c r="P85">
        <v>0.241012</v>
      </c>
      <c r="Q85">
        <v>0.24180699999999999</v>
      </c>
      <c r="R85">
        <v>0.24274799999999999</v>
      </c>
      <c r="S85">
        <v>0.243419</v>
      </c>
      <c r="T85">
        <v>0.24381</v>
      </c>
      <c r="U85">
        <v>0.244093</v>
      </c>
      <c r="V85">
        <v>0.24463499999999999</v>
      </c>
      <c r="W85">
        <v>0.24520700000000001</v>
      </c>
      <c r="X85">
        <v>0.24576200000000001</v>
      </c>
      <c r="Y85">
        <v>0.246312</v>
      </c>
      <c r="Z85">
        <v>0.246892</v>
      </c>
      <c r="AA85">
        <v>0.247529</v>
      </c>
      <c r="AB85">
        <v>0.248136</v>
      </c>
      <c r="AC85">
        <v>0.24848000000000001</v>
      </c>
      <c r="AD85">
        <v>0.24904699999999999</v>
      </c>
      <c r="AE85" t="s">
        <v>1095</v>
      </c>
    </row>
    <row r="86" spans="1:31" x14ac:dyDescent="0.25">
      <c r="A86" t="s">
        <v>406</v>
      </c>
      <c r="B86" t="s">
        <v>1096</v>
      </c>
      <c r="C86" t="s">
        <v>1097</v>
      </c>
      <c r="D86" t="s">
        <v>397</v>
      </c>
      <c r="E86">
        <v>0.48234500000000002</v>
      </c>
      <c r="F86">
        <v>0.48131800000000002</v>
      </c>
      <c r="G86">
        <v>0.46428700000000001</v>
      </c>
      <c r="H86">
        <v>0.45725500000000002</v>
      </c>
      <c r="I86">
        <v>0.45374999999999999</v>
      </c>
      <c r="J86">
        <v>0.449098</v>
      </c>
      <c r="K86">
        <v>0.44026100000000001</v>
      </c>
      <c r="L86">
        <v>0.43360399999999999</v>
      </c>
      <c r="M86">
        <v>0.42929400000000001</v>
      </c>
      <c r="N86">
        <v>0.42442000000000002</v>
      </c>
      <c r="O86">
        <v>0.42136600000000002</v>
      </c>
      <c r="P86">
        <v>0.41921900000000001</v>
      </c>
      <c r="Q86">
        <v>0.41880000000000001</v>
      </c>
      <c r="R86">
        <v>0.41978799999999999</v>
      </c>
      <c r="S86">
        <v>0.42127799999999999</v>
      </c>
      <c r="T86">
        <v>0.42329</v>
      </c>
      <c r="U86">
        <v>0.42643999999999999</v>
      </c>
      <c r="V86">
        <v>0.430477</v>
      </c>
      <c r="W86">
        <v>0.43488700000000002</v>
      </c>
      <c r="X86">
        <v>0.43937999999999999</v>
      </c>
      <c r="Y86">
        <v>0.44387300000000002</v>
      </c>
      <c r="Z86">
        <v>0.44814100000000001</v>
      </c>
      <c r="AA86">
        <v>0.45219399999999998</v>
      </c>
      <c r="AB86">
        <v>0.45593</v>
      </c>
      <c r="AC86">
        <v>0.45907399999999998</v>
      </c>
      <c r="AD86">
        <v>0.46261600000000003</v>
      </c>
      <c r="AE86" t="s">
        <v>1039</v>
      </c>
    </row>
    <row r="87" spans="1:31" x14ac:dyDescent="0.25">
      <c r="A87" t="s">
        <v>408</v>
      </c>
      <c r="B87" t="s">
        <v>1098</v>
      </c>
      <c r="C87" t="s">
        <v>1099</v>
      </c>
      <c r="D87" t="s">
        <v>397</v>
      </c>
      <c r="E87">
        <v>0.184423</v>
      </c>
      <c r="F87">
        <v>0.18312700000000001</v>
      </c>
      <c r="G87">
        <v>0.17485600000000001</v>
      </c>
      <c r="H87">
        <v>0.17043900000000001</v>
      </c>
      <c r="I87">
        <v>0.16800599999999999</v>
      </c>
      <c r="J87">
        <v>0.165158</v>
      </c>
      <c r="K87">
        <v>0.161022</v>
      </c>
      <c r="L87">
        <v>0.15796299999999999</v>
      </c>
      <c r="M87">
        <v>0.15560299999999999</v>
      </c>
      <c r="N87">
        <v>0.152722</v>
      </c>
      <c r="O87">
        <v>0.15029799999999999</v>
      </c>
      <c r="P87">
        <v>0.14791799999999999</v>
      </c>
      <c r="Q87">
        <v>0.14600099999999999</v>
      </c>
      <c r="R87">
        <v>0.144321</v>
      </c>
      <c r="S87">
        <v>0.14255399999999999</v>
      </c>
      <c r="T87">
        <v>0.14068800000000001</v>
      </c>
      <c r="U87">
        <v>0.13892699999999999</v>
      </c>
      <c r="V87">
        <v>0.13758600000000001</v>
      </c>
      <c r="W87">
        <v>0.13642099999999999</v>
      </c>
      <c r="X87">
        <v>0.13537299999999999</v>
      </c>
      <c r="Y87">
        <v>0.134438</v>
      </c>
      <c r="Z87">
        <v>0.13366600000000001</v>
      </c>
      <c r="AA87">
        <v>0.13307099999999999</v>
      </c>
      <c r="AB87">
        <v>0.13259599999999999</v>
      </c>
      <c r="AC87">
        <v>0.132054</v>
      </c>
      <c r="AD87">
        <v>0.131858</v>
      </c>
      <c r="AE87" t="s">
        <v>1046</v>
      </c>
    </row>
    <row r="88" spans="1:31" x14ac:dyDescent="0.25">
      <c r="A88" t="s">
        <v>410</v>
      </c>
      <c r="B88" t="s">
        <v>1100</v>
      </c>
      <c r="C88" t="s">
        <v>1101</v>
      </c>
      <c r="D88" t="s">
        <v>397</v>
      </c>
      <c r="E88">
        <v>0.42535600000000001</v>
      </c>
      <c r="F88">
        <v>0.421101</v>
      </c>
      <c r="G88">
        <v>0.40519300000000003</v>
      </c>
      <c r="H88">
        <v>0.39970099999999997</v>
      </c>
      <c r="I88">
        <v>0.39825199999999999</v>
      </c>
      <c r="J88">
        <v>0.39307199999999998</v>
      </c>
      <c r="K88">
        <v>0.38481799999999999</v>
      </c>
      <c r="L88">
        <v>0.38011600000000001</v>
      </c>
      <c r="M88">
        <v>0.37755899999999998</v>
      </c>
      <c r="N88">
        <v>0.37399500000000002</v>
      </c>
      <c r="O88">
        <v>0.37162699999999999</v>
      </c>
      <c r="P88">
        <v>0.36933500000000002</v>
      </c>
      <c r="Q88">
        <v>0.36792399999999997</v>
      </c>
      <c r="R88">
        <v>0.36700500000000003</v>
      </c>
      <c r="S88">
        <v>0.36606300000000003</v>
      </c>
      <c r="T88">
        <v>0.35884700000000003</v>
      </c>
      <c r="U88">
        <v>0.35254999999999997</v>
      </c>
      <c r="V88">
        <v>0.34818300000000002</v>
      </c>
      <c r="W88">
        <v>0.34511399999999998</v>
      </c>
      <c r="X88">
        <v>0.34303</v>
      </c>
      <c r="Y88">
        <v>0.34148800000000001</v>
      </c>
      <c r="Z88">
        <v>0.340061</v>
      </c>
      <c r="AA88">
        <v>0.33872600000000003</v>
      </c>
      <c r="AB88">
        <v>0.33753699999999998</v>
      </c>
      <c r="AC88">
        <v>0.33615699999999998</v>
      </c>
      <c r="AD88">
        <v>0.335314</v>
      </c>
      <c r="AE88" t="s">
        <v>989</v>
      </c>
    </row>
    <row r="89" spans="1:31" x14ac:dyDescent="0.25">
      <c r="A89" t="s">
        <v>412</v>
      </c>
      <c r="B89" t="s">
        <v>1102</v>
      </c>
      <c r="C89" t="s">
        <v>1103</v>
      </c>
      <c r="D89" t="s">
        <v>397</v>
      </c>
      <c r="E89">
        <v>9.4733999999999999E-2</v>
      </c>
      <c r="F89">
        <v>9.1841999999999993E-2</v>
      </c>
      <c r="G89">
        <v>8.5533999999999999E-2</v>
      </c>
      <c r="H89">
        <v>8.0919000000000005E-2</v>
      </c>
      <c r="I89">
        <v>7.7308000000000002E-2</v>
      </c>
      <c r="J89">
        <v>7.3555999999999996E-2</v>
      </c>
      <c r="K89">
        <v>6.9233000000000003E-2</v>
      </c>
      <c r="L89">
        <v>6.5305000000000002E-2</v>
      </c>
      <c r="M89">
        <v>6.2111E-2</v>
      </c>
      <c r="N89">
        <v>5.9149E-2</v>
      </c>
      <c r="O89">
        <v>5.679E-2</v>
      </c>
      <c r="P89">
        <v>5.4890000000000001E-2</v>
      </c>
      <c r="Q89">
        <v>5.3614000000000002E-2</v>
      </c>
      <c r="R89">
        <v>5.2914000000000003E-2</v>
      </c>
      <c r="S89">
        <v>5.2689E-2</v>
      </c>
      <c r="T89">
        <v>5.2399000000000001E-2</v>
      </c>
      <c r="U89">
        <v>5.2116999999999997E-2</v>
      </c>
      <c r="V89">
        <v>5.1973999999999999E-2</v>
      </c>
      <c r="W89">
        <v>5.1879000000000002E-2</v>
      </c>
      <c r="X89">
        <v>5.1816000000000001E-2</v>
      </c>
      <c r="Y89">
        <v>5.1785999999999999E-2</v>
      </c>
      <c r="Z89">
        <v>5.1795000000000001E-2</v>
      </c>
      <c r="AA89">
        <v>5.185E-2</v>
      </c>
      <c r="AB89">
        <v>5.1917999999999999E-2</v>
      </c>
      <c r="AC89">
        <v>5.1917999999999999E-2</v>
      </c>
      <c r="AD89">
        <v>5.2005999999999997E-2</v>
      </c>
      <c r="AE89" t="s">
        <v>1104</v>
      </c>
    </row>
    <row r="90" spans="1:31" x14ac:dyDescent="0.25">
      <c r="A90" t="s">
        <v>414</v>
      </c>
      <c r="B90" t="s">
        <v>1105</v>
      </c>
      <c r="C90" t="s">
        <v>1106</v>
      </c>
      <c r="D90" t="s">
        <v>397</v>
      </c>
      <c r="E90">
        <v>8.6448999999999998E-2</v>
      </c>
      <c r="F90">
        <v>8.7993000000000002E-2</v>
      </c>
      <c r="G90">
        <v>8.4671999999999997E-2</v>
      </c>
      <c r="H90">
        <v>8.2943000000000003E-2</v>
      </c>
      <c r="I90">
        <v>8.2092999999999999E-2</v>
      </c>
      <c r="J90">
        <v>8.1354999999999997E-2</v>
      </c>
      <c r="K90">
        <v>7.9925999999999997E-2</v>
      </c>
      <c r="L90">
        <v>7.8953999999999996E-2</v>
      </c>
      <c r="M90">
        <v>7.8455999999999998E-2</v>
      </c>
      <c r="N90">
        <v>7.7827999999999994E-2</v>
      </c>
      <c r="O90">
        <v>7.7556E-2</v>
      </c>
      <c r="P90">
        <v>7.7447000000000002E-2</v>
      </c>
      <c r="Q90">
        <v>7.7726000000000003E-2</v>
      </c>
      <c r="R90">
        <v>7.8297000000000005E-2</v>
      </c>
      <c r="S90">
        <v>7.8994999999999996E-2</v>
      </c>
      <c r="T90">
        <v>7.9576999999999995E-2</v>
      </c>
      <c r="U90">
        <v>8.0144000000000007E-2</v>
      </c>
      <c r="V90">
        <v>8.0888000000000002E-2</v>
      </c>
      <c r="W90">
        <v>8.1675999999999999E-2</v>
      </c>
      <c r="X90">
        <v>8.2479999999999998E-2</v>
      </c>
      <c r="Y90">
        <v>8.3297999999999997E-2</v>
      </c>
      <c r="Z90">
        <v>8.4145999999999999E-2</v>
      </c>
      <c r="AA90">
        <v>8.5037000000000001E-2</v>
      </c>
      <c r="AB90">
        <v>8.5922999999999999E-2</v>
      </c>
      <c r="AC90">
        <v>8.6674000000000001E-2</v>
      </c>
      <c r="AD90">
        <v>8.7554999999999994E-2</v>
      </c>
      <c r="AE90" t="s">
        <v>970</v>
      </c>
    </row>
    <row r="91" spans="1:31" x14ac:dyDescent="0.25">
      <c r="A91" t="s">
        <v>416</v>
      </c>
      <c r="B91" t="s">
        <v>1107</v>
      </c>
      <c r="C91" t="s">
        <v>1108</v>
      </c>
      <c r="D91" t="s">
        <v>397</v>
      </c>
      <c r="E91">
        <v>0.29041099999999997</v>
      </c>
      <c r="F91">
        <v>0.28235199999999999</v>
      </c>
      <c r="G91">
        <v>0.264795</v>
      </c>
      <c r="H91">
        <v>0.25425399999999998</v>
      </c>
      <c r="I91">
        <v>0.246672</v>
      </c>
      <c r="J91">
        <v>0.23922599999999999</v>
      </c>
      <c r="K91">
        <v>0.23019200000000001</v>
      </c>
      <c r="L91">
        <v>0.22325800000000001</v>
      </c>
      <c r="M91">
        <v>0.21771599999999999</v>
      </c>
      <c r="N91">
        <v>0.211758</v>
      </c>
      <c r="O91">
        <v>0.206729</v>
      </c>
      <c r="P91">
        <v>0.20206199999999999</v>
      </c>
      <c r="Q91">
        <v>0.19822600000000001</v>
      </c>
      <c r="R91">
        <v>0.194997</v>
      </c>
      <c r="S91">
        <v>0.191859</v>
      </c>
      <c r="T91">
        <v>0.18878700000000001</v>
      </c>
      <c r="U91">
        <v>0.186082</v>
      </c>
      <c r="V91">
        <v>0.18415400000000001</v>
      </c>
      <c r="W91">
        <v>0.18273500000000001</v>
      </c>
      <c r="X91">
        <v>0.181675</v>
      </c>
      <c r="Y91">
        <v>0.18094099999999999</v>
      </c>
      <c r="Z91">
        <v>0.18048400000000001</v>
      </c>
      <c r="AA91">
        <v>0.180148</v>
      </c>
      <c r="AB91">
        <v>0.17990600000000001</v>
      </c>
      <c r="AC91">
        <v>0.179537</v>
      </c>
      <c r="AD91">
        <v>0.17952799999999999</v>
      </c>
      <c r="AE91" t="s">
        <v>1109</v>
      </c>
    </row>
    <row r="92" spans="1:31" x14ac:dyDescent="0.25">
      <c r="A92" t="s">
        <v>418</v>
      </c>
      <c r="B92" t="s">
        <v>1110</v>
      </c>
      <c r="C92" t="s">
        <v>1111</v>
      </c>
      <c r="D92" t="s">
        <v>397</v>
      </c>
      <c r="E92">
        <v>0.22567799999999999</v>
      </c>
      <c r="F92">
        <v>0.22029399999999999</v>
      </c>
      <c r="G92">
        <v>0.20718800000000001</v>
      </c>
      <c r="H92">
        <v>0.199212</v>
      </c>
      <c r="I92">
        <v>0.19320799999999999</v>
      </c>
      <c r="J92">
        <v>0.18704599999999999</v>
      </c>
      <c r="K92">
        <v>0.179393</v>
      </c>
      <c r="L92">
        <v>0.17318900000000001</v>
      </c>
      <c r="M92">
        <v>0.167883</v>
      </c>
      <c r="N92">
        <v>0.16211400000000001</v>
      </c>
      <c r="O92">
        <v>0.15694</v>
      </c>
      <c r="P92">
        <v>0.15196100000000001</v>
      </c>
      <c r="Q92">
        <v>0.14754700000000001</v>
      </c>
      <c r="R92">
        <v>0.143515</v>
      </c>
      <c r="S92">
        <v>0.13952300000000001</v>
      </c>
      <c r="T92">
        <v>0.13558200000000001</v>
      </c>
      <c r="U92">
        <v>0.13191900000000001</v>
      </c>
      <c r="V92">
        <v>0.12887399999999999</v>
      </c>
      <c r="W92">
        <v>0.12623100000000001</v>
      </c>
      <c r="X92">
        <v>0.123919</v>
      </c>
      <c r="Y92">
        <v>0.121916</v>
      </c>
      <c r="Z92">
        <v>0.12023</v>
      </c>
      <c r="AA92">
        <v>0.118781</v>
      </c>
      <c r="AB92">
        <v>0.117566</v>
      </c>
      <c r="AC92">
        <v>0.116503</v>
      </c>
      <c r="AD92">
        <v>0.11584800000000001</v>
      </c>
      <c r="AE92" t="s">
        <v>1112</v>
      </c>
    </row>
    <row r="93" spans="1:31" x14ac:dyDescent="0.25">
      <c r="A93" t="s">
        <v>420</v>
      </c>
      <c r="B93" t="s">
        <v>1113</v>
      </c>
      <c r="C93" t="s">
        <v>1114</v>
      </c>
      <c r="D93" t="s">
        <v>397</v>
      </c>
      <c r="E93">
        <v>0.36624200000000001</v>
      </c>
      <c r="F93">
        <v>0.35334700000000002</v>
      </c>
      <c r="G93">
        <v>0.33943400000000001</v>
      </c>
      <c r="H93">
        <v>0.33183299999999999</v>
      </c>
      <c r="I93">
        <v>0.32723400000000002</v>
      </c>
      <c r="J93">
        <v>0.32298300000000002</v>
      </c>
      <c r="K93">
        <v>0.31596800000000003</v>
      </c>
      <c r="L93">
        <v>0.31153900000000001</v>
      </c>
      <c r="M93">
        <v>0.30822300000000002</v>
      </c>
      <c r="N93">
        <v>0.30373099999999997</v>
      </c>
      <c r="O93">
        <v>0.29978500000000002</v>
      </c>
      <c r="P93">
        <v>0.29552</v>
      </c>
      <c r="Q93">
        <v>0.29145900000000002</v>
      </c>
      <c r="R93">
        <v>0.28720000000000001</v>
      </c>
      <c r="S93">
        <v>0.28200199999999997</v>
      </c>
      <c r="T93">
        <v>0.27594999999999997</v>
      </c>
      <c r="U93">
        <v>0.26941599999999999</v>
      </c>
      <c r="V93">
        <v>0.26350699999999999</v>
      </c>
      <c r="W93">
        <v>0.25753199999999998</v>
      </c>
      <c r="X93">
        <v>0.25156000000000001</v>
      </c>
      <c r="Y93">
        <v>0.24576100000000001</v>
      </c>
      <c r="Z93">
        <v>0.24007899999999999</v>
      </c>
      <c r="AA93">
        <v>0.234488</v>
      </c>
      <c r="AB93">
        <v>0.22922899999999999</v>
      </c>
      <c r="AC93">
        <v>0.22398000000000001</v>
      </c>
      <c r="AD93">
        <v>0.21949299999999999</v>
      </c>
      <c r="AE93" t="s">
        <v>1115</v>
      </c>
    </row>
    <row r="94" spans="1:31" x14ac:dyDescent="0.25">
      <c r="A94" t="s">
        <v>422</v>
      </c>
      <c r="B94" t="s">
        <v>1116</v>
      </c>
      <c r="C94" t="s">
        <v>1117</v>
      </c>
      <c r="D94" t="s">
        <v>397</v>
      </c>
      <c r="E94">
        <v>5.4394080000000002</v>
      </c>
      <c r="F94">
        <v>5.4562160000000004</v>
      </c>
      <c r="G94">
        <v>5.0324090000000004</v>
      </c>
      <c r="H94">
        <v>5.0098459999999996</v>
      </c>
      <c r="I94">
        <v>5.0277620000000001</v>
      </c>
      <c r="J94">
        <v>5.0445339999999996</v>
      </c>
      <c r="K94">
        <v>5.0235430000000001</v>
      </c>
      <c r="L94">
        <v>5.0326490000000002</v>
      </c>
      <c r="M94">
        <v>5.0594799999999998</v>
      </c>
      <c r="N94">
        <v>5.07639</v>
      </c>
      <c r="O94">
        <v>5.1059979999999996</v>
      </c>
      <c r="P94">
        <v>5.1351180000000003</v>
      </c>
      <c r="Q94">
        <v>5.1772850000000004</v>
      </c>
      <c r="R94">
        <v>5.2258399999999998</v>
      </c>
      <c r="S94">
        <v>5.2686159999999997</v>
      </c>
      <c r="T94">
        <v>5.2974969999999999</v>
      </c>
      <c r="U94">
        <v>5.330908</v>
      </c>
      <c r="V94">
        <v>5.3781319999999999</v>
      </c>
      <c r="W94">
        <v>5.431978</v>
      </c>
      <c r="X94">
        <v>5.4883639999999998</v>
      </c>
      <c r="Y94">
        <v>5.5370590000000002</v>
      </c>
      <c r="Z94">
        <v>5.59293</v>
      </c>
      <c r="AA94">
        <v>5.6490859999999996</v>
      </c>
      <c r="AB94">
        <v>5.7043990000000004</v>
      </c>
      <c r="AC94">
        <v>5.7533300000000001</v>
      </c>
      <c r="AD94">
        <v>5.8103400000000001</v>
      </c>
      <c r="AE94" t="s">
        <v>975</v>
      </c>
    </row>
    <row r="95" spans="1:31" x14ac:dyDescent="0.25">
      <c r="A95" t="s">
        <v>522</v>
      </c>
      <c r="B95" t="s">
        <v>1118</v>
      </c>
      <c r="C95" t="s">
        <v>1119</v>
      </c>
      <c r="D95" t="s">
        <v>397</v>
      </c>
      <c r="E95">
        <v>18.714155000000002</v>
      </c>
      <c r="F95">
        <v>18.476721999999999</v>
      </c>
      <c r="G95">
        <v>17.818992000000001</v>
      </c>
      <c r="H95">
        <v>17.613568999999998</v>
      </c>
      <c r="I95">
        <v>17.463518000000001</v>
      </c>
      <c r="J95">
        <v>17.280956</v>
      </c>
      <c r="K95">
        <v>17.002585</v>
      </c>
      <c r="L95">
        <v>16.815262000000001</v>
      </c>
      <c r="M95">
        <v>16.682466000000002</v>
      </c>
      <c r="N95">
        <v>16.530287000000001</v>
      </c>
      <c r="O95">
        <v>16.419574999999998</v>
      </c>
      <c r="P95">
        <v>16.319464</v>
      </c>
      <c r="Q95">
        <v>16.254771999999999</v>
      </c>
      <c r="R95">
        <v>16.213456000000001</v>
      </c>
      <c r="S95">
        <v>16.166691</v>
      </c>
      <c r="T95">
        <v>16.100884000000001</v>
      </c>
      <c r="U95">
        <v>16.047775000000001</v>
      </c>
      <c r="V95">
        <v>16.037863000000002</v>
      </c>
      <c r="W95">
        <v>16.048698000000002</v>
      </c>
      <c r="X95">
        <v>16.067042000000001</v>
      </c>
      <c r="Y95">
        <v>16.083355000000001</v>
      </c>
      <c r="Z95">
        <v>16.104934</v>
      </c>
      <c r="AA95">
        <v>16.125921000000002</v>
      </c>
      <c r="AB95">
        <v>16.145444999999999</v>
      </c>
      <c r="AC95">
        <v>16.153224000000002</v>
      </c>
      <c r="AD95">
        <v>16.179659000000001</v>
      </c>
      <c r="AE95" t="s">
        <v>1120</v>
      </c>
    </row>
    <row r="96" spans="1:31" x14ac:dyDescent="0.25">
      <c r="A96" t="s">
        <v>426</v>
      </c>
      <c r="B96" t="s">
        <v>1121</v>
      </c>
      <c r="C96" t="s">
        <v>1122</v>
      </c>
      <c r="D96" t="s">
        <v>397</v>
      </c>
      <c r="E96">
        <v>0.16650400000000001</v>
      </c>
      <c r="F96">
        <v>0.21598700000000001</v>
      </c>
      <c r="G96">
        <v>0.26925399999999999</v>
      </c>
      <c r="H96">
        <v>0.33085999999999999</v>
      </c>
      <c r="I96">
        <v>0.39272000000000001</v>
      </c>
      <c r="J96">
        <v>0.449766</v>
      </c>
      <c r="K96">
        <v>0.49374200000000001</v>
      </c>
      <c r="L96">
        <v>0.53491900000000003</v>
      </c>
      <c r="M96">
        <v>0.57697699999999996</v>
      </c>
      <c r="N96">
        <v>0.61697199999999996</v>
      </c>
      <c r="O96">
        <v>0.658331</v>
      </c>
      <c r="P96">
        <v>0.69895600000000002</v>
      </c>
      <c r="Q96">
        <v>0.74106099999999997</v>
      </c>
      <c r="R96">
        <v>0.78339899999999996</v>
      </c>
      <c r="S96">
        <v>0.82336200000000004</v>
      </c>
      <c r="T96">
        <v>0.860931</v>
      </c>
      <c r="U96">
        <v>0.89607599999999998</v>
      </c>
      <c r="V96">
        <v>0.93168899999999999</v>
      </c>
      <c r="W96">
        <v>0.96628400000000003</v>
      </c>
      <c r="X96">
        <v>0.99983</v>
      </c>
      <c r="Y96">
        <v>1.032259</v>
      </c>
      <c r="Z96">
        <v>1.063375</v>
      </c>
      <c r="AA96">
        <v>1.0932949999999999</v>
      </c>
      <c r="AB96">
        <v>1.122296</v>
      </c>
      <c r="AC96">
        <v>1.147967</v>
      </c>
      <c r="AD96">
        <v>1.1745829999999999</v>
      </c>
      <c r="AE96" t="s">
        <v>1123</v>
      </c>
    </row>
    <row r="97" spans="1:31" x14ac:dyDescent="0.25">
      <c r="A97" t="s">
        <v>428</v>
      </c>
      <c r="B97" t="s">
        <v>1124</v>
      </c>
      <c r="C97" t="s">
        <v>1125</v>
      </c>
      <c r="D97" t="s">
        <v>397</v>
      </c>
      <c r="E97">
        <v>0.18513299999999999</v>
      </c>
      <c r="F97">
        <v>0.19618099999999999</v>
      </c>
      <c r="G97">
        <v>0.20807</v>
      </c>
      <c r="H97">
        <v>0.22029000000000001</v>
      </c>
      <c r="I97">
        <v>0.23191400000000001</v>
      </c>
      <c r="J97">
        <v>0.24404699999999999</v>
      </c>
      <c r="K97">
        <v>0.25698700000000002</v>
      </c>
      <c r="L97">
        <v>0.26999400000000001</v>
      </c>
      <c r="M97">
        <v>0.283557</v>
      </c>
      <c r="N97">
        <v>0.29791299999999998</v>
      </c>
      <c r="O97">
        <v>0.31315100000000001</v>
      </c>
      <c r="P97">
        <v>0.32913300000000001</v>
      </c>
      <c r="Q97">
        <v>0.346163</v>
      </c>
      <c r="R97">
        <v>0.36398999999999998</v>
      </c>
      <c r="S97">
        <v>0.38263399999999997</v>
      </c>
      <c r="T97">
        <v>0.401916</v>
      </c>
      <c r="U97">
        <v>0.42191800000000002</v>
      </c>
      <c r="V97">
        <v>0.44253399999999998</v>
      </c>
      <c r="W97">
        <v>0.46366400000000002</v>
      </c>
      <c r="X97">
        <v>0.48558299999999999</v>
      </c>
      <c r="Y97">
        <v>0.50805900000000004</v>
      </c>
      <c r="Z97">
        <v>0.53127999999999997</v>
      </c>
      <c r="AA97">
        <v>0.55522800000000005</v>
      </c>
      <c r="AB97">
        <v>0.58008000000000004</v>
      </c>
      <c r="AC97">
        <v>0.60541100000000003</v>
      </c>
      <c r="AD97">
        <v>0.63153300000000001</v>
      </c>
      <c r="AE97" t="s">
        <v>1016</v>
      </c>
    </row>
    <row r="98" spans="1:31" x14ac:dyDescent="0.25">
      <c r="A98" t="s">
        <v>529</v>
      </c>
      <c r="B98" t="s">
        <v>1126</v>
      </c>
      <c r="C98" t="s">
        <v>1127</v>
      </c>
      <c r="D98" t="s">
        <v>397</v>
      </c>
      <c r="E98">
        <v>18.695526000000001</v>
      </c>
      <c r="F98">
        <v>18.496528000000001</v>
      </c>
      <c r="G98">
        <v>17.880175999999999</v>
      </c>
      <c r="H98">
        <v>17.724139000000001</v>
      </c>
      <c r="I98">
        <v>17.624324000000001</v>
      </c>
      <c r="J98">
        <v>17.486674000000001</v>
      </c>
      <c r="K98">
        <v>17.239339999999999</v>
      </c>
      <c r="L98">
        <v>17.080186999999999</v>
      </c>
      <c r="M98">
        <v>16.975885999999999</v>
      </c>
      <c r="N98">
        <v>16.849346000000001</v>
      </c>
      <c r="O98">
        <v>16.764755000000001</v>
      </c>
      <c r="P98">
        <v>16.689287</v>
      </c>
      <c r="Q98">
        <v>16.64967</v>
      </c>
      <c r="R98">
        <v>16.632864999999999</v>
      </c>
      <c r="S98">
        <v>16.607420000000001</v>
      </c>
      <c r="T98">
        <v>16.559899000000001</v>
      </c>
      <c r="U98">
        <v>16.521933000000001</v>
      </c>
      <c r="V98">
        <v>16.527018000000002</v>
      </c>
      <c r="W98">
        <v>16.551317999999998</v>
      </c>
      <c r="X98">
        <v>16.581289000000002</v>
      </c>
      <c r="Y98">
        <v>16.607555999999999</v>
      </c>
      <c r="Z98">
        <v>16.637028999999998</v>
      </c>
      <c r="AA98">
        <v>16.663988</v>
      </c>
      <c r="AB98">
        <v>16.687660999999999</v>
      </c>
      <c r="AC98">
        <v>16.695779999999999</v>
      </c>
      <c r="AD98">
        <v>16.722708999999998</v>
      </c>
      <c r="AE98" t="s">
        <v>1000</v>
      </c>
    </row>
    <row r="99" spans="1:31" x14ac:dyDescent="0.25">
      <c r="A99" t="s">
        <v>532</v>
      </c>
    </row>
    <row r="100" spans="1:31" x14ac:dyDescent="0.25">
      <c r="A100" t="s">
        <v>533</v>
      </c>
      <c r="B100" t="s">
        <v>1128</v>
      </c>
      <c r="C100" t="s">
        <v>1129</v>
      </c>
      <c r="D100" t="s">
        <v>397</v>
      </c>
      <c r="E100">
        <v>4.9686000000000001E-2</v>
      </c>
      <c r="F100">
        <v>4.8801999999999998E-2</v>
      </c>
      <c r="G100">
        <v>4.9417000000000003E-2</v>
      </c>
      <c r="H100">
        <v>4.8901E-2</v>
      </c>
      <c r="I100">
        <v>4.8594999999999999E-2</v>
      </c>
      <c r="J100">
        <v>4.8425999999999997E-2</v>
      </c>
      <c r="K100">
        <v>4.8259000000000003E-2</v>
      </c>
      <c r="L100">
        <v>4.7826E-2</v>
      </c>
      <c r="M100">
        <v>4.7667000000000001E-2</v>
      </c>
      <c r="N100">
        <v>4.7592000000000002E-2</v>
      </c>
      <c r="O100">
        <v>4.7390000000000002E-2</v>
      </c>
      <c r="P100">
        <v>4.7232999999999997E-2</v>
      </c>
      <c r="Q100">
        <v>4.7174000000000001E-2</v>
      </c>
      <c r="R100">
        <v>4.7140000000000001E-2</v>
      </c>
      <c r="S100">
        <v>4.7048E-2</v>
      </c>
      <c r="T100">
        <v>4.7018999999999998E-2</v>
      </c>
      <c r="U100">
        <v>4.6747999999999998E-2</v>
      </c>
      <c r="V100">
        <v>4.6573000000000003E-2</v>
      </c>
      <c r="W100">
        <v>4.6286000000000001E-2</v>
      </c>
      <c r="X100">
        <v>4.6039999999999998E-2</v>
      </c>
      <c r="Y100">
        <v>4.5849000000000001E-2</v>
      </c>
      <c r="Z100">
        <v>4.5747999999999997E-2</v>
      </c>
      <c r="AA100">
        <v>4.5539999999999997E-2</v>
      </c>
      <c r="AB100">
        <v>4.5422999999999998E-2</v>
      </c>
      <c r="AC100">
        <v>4.5241000000000003E-2</v>
      </c>
      <c r="AD100">
        <v>4.4974E-2</v>
      </c>
      <c r="AE100" t="s">
        <v>1000</v>
      </c>
    </row>
    <row r="101" spans="1:31" x14ac:dyDescent="0.25">
      <c r="A101" t="s">
        <v>536</v>
      </c>
      <c r="B101" t="s">
        <v>1130</v>
      </c>
      <c r="C101" t="s">
        <v>1131</v>
      </c>
      <c r="D101" t="s">
        <v>397</v>
      </c>
      <c r="E101">
        <v>0.224384</v>
      </c>
      <c r="F101">
        <v>0.23718500000000001</v>
      </c>
      <c r="G101">
        <v>0.25163400000000002</v>
      </c>
      <c r="H101">
        <v>0.26653700000000002</v>
      </c>
      <c r="I101">
        <v>0.28042699999999998</v>
      </c>
      <c r="J101">
        <v>0.29501699999999997</v>
      </c>
      <c r="K101">
        <v>0.31080999999999998</v>
      </c>
      <c r="L101">
        <v>0.32653300000000002</v>
      </c>
      <c r="M101">
        <v>0.34300900000000001</v>
      </c>
      <c r="N101">
        <v>0.36046800000000001</v>
      </c>
      <c r="O101">
        <v>0.37908199999999997</v>
      </c>
      <c r="P101">
        <v>0.39858300000000002</v>
      </c>
      <c r="Q101">
        <v>0.41947099999999998</v>
      </c>
      <c r="R101">
        <v>0.44134200000000001</v>
      </c>
      <c r="S101">
        <v>0.46438400000000002</v>
      </c>
      <c r="T101">
        <v>0.48823499999999997</v>
      </c>
      <c r="U101">
        <v>0.51302899999999996</v>
      </c>
      <c r="V101">
        <v>0.53851700000000002</v>
      </c>
      <c r="W101">
        <v>0.56479400000000002</v>
      </c>
      <c r="X101">
        <v>0.59208700000000003</v>
      </c>
      <c r="Y101">
        <v>0.61999599999999999</v>
      </c>
      <c r="Z101">
        <v>0.64872200000000002</v>
      </c>
      <c r="AA101">
        <v>0.67828999999999995</v>
      </c>
      <c r="AB101">
        <v>0.70909100000000003</v>
      </c>
      <c r="AC101">
        <v>0.74038099999999996</v>
      </c>
      <c r="AD101">
        <v>0.77279299999999995</v>
      </c>
      <c r="AE101" t="s">
        <v>1132</v>
      </c>
    </row>
    <row r="102" spans="1:31" x14ac:dyDescent="0.25">
      <c r="A102" t="s">
        <v>539</v>
      </c>
      <c r="B102" t="s">
        <v>1133</v>
      </c>
      <c r="C102" t="s">
        <v>1134</v>
      </c>
      <c r="D102" t="s">
        <v>397</v>
      </c>
      <c r="E102">
        <v>5.8799999999999998E-4</v>
      </c>
      <c r="F102">
        <v>5.8799999999999998E-4</v>
      </c>
      <c r="G102">
        <v>5.8900000000000001E-4</v>
      </c>
      <c r="H102">
        <v>5.9000000000000003E-4</v>
      </c>
      <c r="I102">
        <v>5.9100000000000005E-4</v>
      </c>
      <c r="J102">
        <v>5.9199999999999997E-4</v>
      </c>
      <c r="K102">
        <v>5.9599999999999996E-4</v>
      </c>
      <c r="L102">
        <v>6.0099999999999997E-4</v>
      </c>
      <c r="M102">
        <v>6.0800000000000003E-4</v>
      </c>
      <c r="N102">
        <v>6.1899999999999998E-4</v>
      </c>
      <c r="O102">
        <v>6.3199999999999997E-4</v>
      </c>
      <c r="P102">
        <v>6.4599999999999998E-4</v>
      </c>
      <c r="Q102">
        <v>6.6200000000000005E-4</v>
      </c>
      <c r="R102">
        <v>6.78E-4</v>
      </c>
      <c r="S102">
        <v>6.9499999999999998E-4</v>
      </c>
      <c r="T102">
        <v>7.1299999999999998E-4</v>
      </c>
      <c r="U102">
        <v>7.3300000000000004E-4</v>
      </c>
      <c r="V102">
        <v>7.54E-4</v>
      </c>
      <c r="W102">
        <v>7.76E-4</v>
      </c>
      <c r="X102">
        <v>7.9900000000000001E-4</v>
      </c>
      <c r="Y102">
        <v>8.2200000000000003E-4</v>
      </c>
      <c r="Z102">
        <v>8.4699999999999999E-4</v>
      </c>
      <c r="AA102">
        <v>8.7299999999999997E-4</v>
      </c>
      <c r="AB102">
        <v>9.0300000000000005E-4</v>
      </c>
      <c r="AC102">
        <v>9.3300000000000002E-4</v>
      </c>
      <c r="AD102">
        <v>9.6299999999999999E-4</v>
      </c>
      <c r="AE102" t="s">
        <v>1135</v>
      </c>
    </row>
    <row r="103" spans="1:31" x14ac:dyDescent="0.25">
      <c r="A103" t="s">
        <v>372</v>
      </c>
      <c r="B103" t="s">
        <v>1136</v>
      </c>
      <c r="C103" t="s">
        <v>1137</v>
      </c>
      <c r="D103" t="s">
        <v>397</v>
      </c>
      <c r="E103">
        <v>0.27465800000000001</v>
      </c>
      <c r="F103">
        <v>0.28657500000000002</v>
      </c>
      <c r="G103">
        <v>0.30164000000000002</v>
      </c>
      <c r="H103">
        <v>0.31602799999999998</v>
      </c>
      <c r="I103">
        <v>0.32961200000000002</v>
      </c>
      <c r="J103">
        <v>0.34403499999999998</v>
      </c>
      <c r="K103">
        <v>0.35966399999999998</v>
      </c>
      <c r="L103">
        <v>0.37496000000000002</v>
      </c>
      <c r="M103">
        <v>0.39128400000000002</v>
      </c>
      <c r="N103">
        <v>0.40867900000000001</v>
      </c>
      <c r="O103">
        <v>0.42710399999999998</v>
      </c>
      <c r="P103">
        <v>0.446461</v>
      </c>
      <c r="Q103">
        <v>0.467306</v>
      </c>
      <c r="R103">
        <v>0.48915999999999998</v>
      </c>
      <c r="S103">
        <v>0.512127</v>
      </c>
      <c r="T103">
        <v>0.53596699999999997</v>
      </c>
      <c r="U103">
        <v>0.56050999999999995</v>
      </c>
      <c r="V103">
        <v>0.58584400000000003</v>
      </c>
      <c r="W103">
        <v>0.61185599999999996</v>
      </c>
      <c r="X103">
        <v>0.63892599999999999</v>
      </c>
      <c r="Y103">
        <v>0.66666700000000001</v>
      </c>
      <c r="Z103">
        <v>0.69531799999999999</v>
      </c>
      <c r="AA103">
        <v>0.72470199999999996</v>
      </c>
      <c r="AB103">
        <v>0.75541700000000001</v>
      </c>
      <c r="AC103">
        <v>0.786555</v>
      </c>
      <c r="AD103">
        <v>0.81872999999999996</v>
      </c>
      <c r="AE103" t="s">
        <v>1138</v>
      </c>
    </row>
    <row r="104" spans="1:31" x14ac:dyDescent="0.25">
      <c r="A104" t="s">
        <v>544</v>
      </c>
    </row>
    <row r="105" spans="1:31" x14ac:dyDescent="0.25">
      <c r="A105" t="s">
        <v>207</v>
      </c>
      <c r="B105" t="s">
        <v>1139</v>
      </c>
      <c r="C105" t="s">
        <v>1140</v>
      </c>
      <c r="D105" t="s">
        <v>547</v>
      </c>
      <c r="E105">
        <v>6045</v>
      </c>
      <c r="F105">
        <v>5873</v>
      </c>
      <c r="G105">
        <v>5850</v>
      </c>
      <c r="H105">
        <v>5826</v>
      </c>
      <c r="I105">
        <v>5803</v>
      </c>
      <c r="J105">
        <v>5779</v>
      </c>
      <c r="K105">
        <v>5755</v>
      </c>
      <c r="L105">
        <v>5732</v>
      </c>
      <c r="M105">
        <v>5708</v>
      </c>
      <c r="N105">
        <v>5684</v>
      </c>
      <c r="O105">
        <v>5661</v>
      </c>
      <c r="P105">
        <v>5637</v>
      </c>
      <c r="Q105">
        <v>5613</v>
      </c>
      <c r="R105">
        <v>5589</v>
      </c>
      <c r="S105">
        <v>5566</v>
      </c>
      <c r="T105">
        <v>5542</v>
      </c>
      <c r="U105">
        <v>5518</v>
      </c>
      <c r="V105">
        <v>5495</v>
      </c>
      <c r="W105">
        <v>5471</v>
      </c>
      <c r="X105">
        <v>5447</v>
      </c>
      <c r="Y105">
        <v>5423</v>
      </c>
      <c r="Z105">
        <v>5400</v>
      </c>
      <c r="AA105">
        <v>5376</v>
      </c>
      <c r="AB105">
        <v>5352</v>
      </c>
      <c r="AC105">
        <v>5328</v>
      </c>
      <c r="AD105">
        <v>5305</v>
      </c>
      <c r="AE105" t="s">
        <v>1141</v>
      </c>
    </row>
    <row r="106" spans="1:31" x14ac:dyDescent="0.25">
      <c r="A106" t="s">
        <v>208</v>
      </c>
      <c r="B106" t="s">
        <v>1142</v>
      </c>
      <c r="C106" t="s">
        <v>1143</v>
      </c>
      <c r="D106" t="s">
        <v>547</v>
      </c>
      <c r="E106">
        <v>5404</v>
      </c>
      <c r="F106">
        <v>5271</v>
      </c>
      <c r="G106">
        <v>5249</v>
      </c>
      <c r="H106">
        <v>5228</v>
      </c>
      <c r="I106">
        <v>5207</v>
      </c>
      <c r="J106">
        <v>5185</v>
      </c>
      <c r="K106">
        <v>5164</v>
      </c>
      <c r="L106">
        <v>5142</v>
      </c>
      <c r="M106">
        <v>5121</v>
      </c>
      <c r="N106">
        <v>5100</v>
      </c>
      <c r="O106">
        <v>5078</v>
      </c>
      <c r="P106">
        <v>5057</v>
      </c>
      <c r="Q106">
        <v>5035</v>
      </c>
      <c r="R106">
        <v>5014</v>
      </c>
      <c r="S106">
        <v>4993</v>
      </c>
      <c r="T106">
        <v>4971</v>
      </c>
      <c r="U106">
        <v>4950</v>
      </c>
      <c r="V106">
        <v>4929</v>
      </c>
      <c r="W106">
        <v>4907</v>
      </c>
      <c r="X106">
        <v>4886</v>
      </c>
      <c r="Y106">
        <v>4865</v>
      </c>
      <c r="Z106">
        <v>4843</v>
      </c>
      <c r="AA106">
        <v>4822</v>
      </c>
      <c r="AB106">
        <v>4801</v>
      </c>
      <c r="AC106">
        <v>4780</v>
      </c>
      <c r="AD106">
        <v>4758</v>
      </c>
      <c r="AE106" t="s">
        <v>1141</v>
      </c>
    </row>
    <row r="107" spans="1:31" x14ac:dyDescent="0.25">
      <c r="A107" t="s">
        <v>210</v>
      </c>
      <c r="B107" t="s">
        <v>1144</v>
      </c>
      <c r="C107" t="s">
        <v>1145</v>
      </c>
      <c r="D107" t="s">
        <v>547</v>
      </c>
      <c r="E107">
        <v>5984</v>
      </c>
      <c r="F107">
        <v>5836</v>
      </c>
      <c r="G107">
        <v>5817</v>
      </c>
      <c r="H107">
        <v>5798</v>
      </c>
      <c r="I107">
        <v>5779</v>
      </c>
      <c r="J107">
        <v>5760</v>
      </c>
      <c r="K107">
        <v>5741</v>
      </c>
      <c r="L107">
        <v>5722</v>
      </c>
      <c r="M107">
        <v>5703</v>
      </c>
      <c r="N107">
        <v>5683</v>
      </c>
      <c r="O107">
        <v>5664</v>
      </c>
      <c r="P107">
        <v>5645</v>
      </c>
      <c r="Q107">
        <v>5626</v>
      </c>
      <c r="R107">
        <v>5607</v>
      </c>
      <c r="S107">
        <v>5588</v>
      </c>
      <c r="T107">
        <v>5569</v>
      </c>
      <c r="U107">
        <v>5549</v>
      </c>
      <c r="V107">
        <v>5530</v>
      </c>
      <c r="W107">
        <v>5511</v>
      </c>
      <c r="X107">
        <v>5492</v>
      </c>
      <c r="Y107">
        <v>5473</v>
      </c>
      <c r="Z107">
        <v>5453</v>
      </c>
      <c r="AA107">
        <v>5434</v>
      </c>
      <c r="AB107">
        <v>5415</v>
      </c>
      <c r="AC107">
        <v>5396</v>
      </c>
      <c r="AD107">
        <v>5377</v>
      </c>
      <c r="AE107" t="s">
        <v>1000</v>
      </c>
    </row>
    <row r="108" spans="1:31" x14ac:dyDescent="0.25">
      <c r="A108" t="s">
        <v>211</v>
      </c>
      <c r="B108" t="s">
        <v>1146</v>
      </c>
      <c r="C108" t="s">
        <v>1147</v>
      </c>
      <c r="D108" t="s">
        <v>547</v>
      </c>
      <c r="E108">
        <v>6267</v>
      </c>
      <c r="F108">
        <v>6263</v>
      </c>
      <c r="G108">
        <v>6251</v>
      </c>
      <c r="H108">
        <v>6239</v>
      </c>
      <c r="I108">
        <v>6227</v>
      </c>
      <c r="J108">
        <v>6215</v>
      </c>
      <c r="K108">
        <v>6203</v>
      </c>
      <c r="L108">
        <v>6191</v>
      </c>
      <c r="M108">
        <v>6178</v>
      </c>
      <c r="N108">
        <v>6166</v>
      </c>
      <c r="O108">
        <v>6153</v>
      </c>
      <c r="P108">
        <v>6141</v>
      </c>
      <c r="Q108">
        <v>6128</v>
      </c>
      <c r="R108">
        <v>6116</v>
      </c>
      <c r="S108">
        <v>6103</v>
      </c>
      <c r="T108">
        <v>6091</v>
      </c>
      <c r="U108">
        <v>6078</v>
      </c>
      <c r="V108">
        <v>6066</v>
      </c>
      <c r="W108">
        <v>6053</v>
      </c>
      <c r="X108">
        <v>6040</v>
      </c>
      <c r="Y108">
        <v>6028</v>
      </c>
      <c r="Z108">
        <v>6015</v>
      </c>
      <c r="AA108">
        <v>6002</v>
      </c>
      <c r="AB108">
        <v>5990</v>
      </c>
      <c r="AC108">
        <v>5977</v>
      </c>
      <c r="AD108">
        <v>5964</v>
      </c>
      <c r="AE108" t="s">
        <v>1039</v>
      </c>
    </row>
    <row r="109" spans="1:31" x14ac:dyDescent="0.25">
      <c r="A109" t="s">
        <v>213</v>
      </c>
      <c r="B109" t="s">
        <v>1148</v>
      </c>
      <c r="C109" t="s">
        <v>1149</v>
      </c>
      <c r="D109" t="s">
        <v>547</v>
      </c>
      <c r="E109">
        <v>2431</v>
      </c>
      <c r="F109">
        <v>2296</v>
      </c>
      <c r="G109">
        <v>2280</v>
      </c>
      <c r="H109">
        <v>2263</v>
      </c>
      <c r="I109">
        <v>2245</v>
      </c>
      <c r="J109">
        <v>2228</v>
      </c>
      <c r="K109">
        <v>2210</v>
      </c>
      <c r="L109">
        <v>2192</v>
      </c>
      <c r="M109">
        <v>2175</v>
      </c>
      <c r="N109">
        <v>2157</v>
      </c>
      <c r="O109">
        <v>2139</v>
      </c>
      <c r="P109">
        <v>2122</v>
      </c>
      <c r="Q109">
        <v>2104</v>
      </c>
      <c r="R109">
        <v>2087</v>
      </c>
      <c r="S109">
        <v>2069</v>
      </c>
      <c r="T109">
        <v>2052</v>
      </c>
      <c r="U109">
        <v>2034</v>
      </c>
      <c r="V109">
        <v>2017</v>
      </c>
      <c r="W109">
        <v>2000</v>
      </c>
      <c r="X109">
        <v>1982</v>
      </c>
      <c r="Y109">
        <v>1965</v>
      </c>
      <c r="Z109">
        <v>1948</v>
      </c>
      <c r="AA109">
        <v>1930</v>
      </c>
      <c r="AB109">
        <v>1913</v>
      </c>
      <c r="AC109">
        <v>1896</v>
      </c>
      <c r="AD109">
        <v>1879</v>
      </c>
      <c r="AE109" t="s">
        <v>978</v>
      </c>
    </row>
    <row r="110" spans="1:31" x14ac:dyDescent="0.25">
      <c r="A110" t="s">
        <v>214</v>
      </c>
      <c r="B110" t="s">
        <v>1150</v>
      </c>
      <c r="C110" t="s">
        <v>1151</v>
      </c>
      <c r="D110" t="s">
        <v>547</v>
      </c>
      <c r="E110">
        <v>3231</v>
      </c>
      <c r="F110">
        <v>3099</v>
      </c>
      <c r="G110">
        <v>3084</v>
      </c>
      <c r="H110">
        <v>3069</v>
      </c>
      <c r="I110">
        <v>3053</v>
      </c>
      <c r="J110">
        <v>3038</v>
      </c>
      <c r="K110">
        <v>3023</v>
      </c>
      <c r="L110">
        <v>3008</v>
      </c>
      <c r="M110">
        <v>2992</v>
      </c>
      <c r="N110">
        <v>2977</v>
      </c>
      <c r="O110">
        <v>2961</v>
      </c>
      <c r="P110">
        <v>2946</v>
      </c>
      <c r="Q110">
        <v>2930</v>
      </c>
      <c r="R110">
        <v>2915</v>
      </c>
      <c r="S110">
        <v>2900</v>
      </c>
      <c r="T110">
        <v>2884</v>
      </c>
      <c r="U110">
        <v>2869</v>
      </c>
      <c r="V110">
        <v>2853</v>
      </c>
      <c r="W110">
        <v>2838</v>
      </c>
      <c r="X110">
        <v>2822</v>
      </c>
      <c r="Y110">
        <v>2807</v>
      </c>
      <c r="Z110">
        <v>2791</v>
      </c>
      <c r="AA110">
        <v>2776</v>
      </c>
      <c r="AB110">
        <v>2760</v>
      </c>
      <c r="AC110">
        <v>2745</v>
      </c>
      <c r="AD110">
        <v>2730</v>
      </c>
      <c r="AE110" t="s">
        <v>1028</v>
      </c>
    </row>
    <row r="111" spans="1:31" x14ac:dyDescent="0.25">
      <c r="A111" t="s">
        <v>215</v>
      </c>
      <c r="B111" t="s">
        <v>1152</v>
      </c>
      <c r="C111" t="s">
        <v>1153</v>
      </c>
      <c r="D111" t="s">
        <v>547</v>
      </c>
      <c r="E111">
        <v>1966</v>
      </c>
      <c r="F111">
        <v>1889</v>
      </c>
      <c r="G111">
        <v>1880</v>
      </c>
      <c r="H111">
        <v>1870</v>
      </c>
      <c r="I111">
        <v>1860</v>
      </c>
      <c r="J111">
        <v>1851</v>
      </c>
      <c r="K111">
        <v>1841</v>
      </c>
      <c r="L111">
        <v>1831</v>
      </c>
      <c r="M111">
        <v>1822</v>
      </c>
      <c r="N111">
        <v>1812</v>
      </c>
      <c r="O111">
        <v>1803</v>
      </c>
      <c r="P111">
        <v>1793</v>
      </c>
      <c r="Q111">
        <v>1784</v>
      </c>
      <c r="R111">
        <v>1774</v>
      </c>
      <c r="S111">
        <v>1765</v>
      </c>
      <c r="T111">
        <v>1756</v>
      </c>
      <c r="U111">
        <v>1746</v>
      </c>
      <c r="V111">
        <v>1737</v>
      </c>
      <c r="W111">
        <v>1728</v>
      </c>
      <c r="X111">
        <v>1718</v>
      </c>
      <c r="Y111">
        <v>1709</v>
      </c>
      <c r="Z111">
        <v>1700</v>
      </c>
      <c r="AA111">
        <v>1690</v>
      </c>
      <c r="AB111">
        <v>1681</v>
      </c>
      <c r="AC111">
        <v>1672</v>
      </c>
      <c r="AD111">
        <v>1663</v>
      </c>
      <c r="AE111" t="s">
        <v>1028</v>
      </c>
    </row>
    <row r="112" spans="1:31" x14ac:dyDescent="0.25">
      <c r="A112" t="s">
        <v>217</v>
      </c>
      <c r="B112" t="s">
        <v>1154</v>
      </c>
      <c r="C112" t="s">
        <v>1155</v>
      </c>
      <c r="D112" t="s">
        <v>547</v>
      </c>
      <c r="E112">
        <v>4734</v>
      </c>
      <c r="F112">
        <v>4833</v>
      </c>
      <c r="G112">
        <v>4825</v>
      </c>
      <c r="H112">
        <v>4816</v>
      </c>
      <c r="I112">
        <v>4807</v>
      </c>
      <c r="J112">
        <v>4799</v>
      </c>
      <c r="K112">
        <v>4790</v>
      </c>
      <c r="L112">
        <v>4782</v>
      </c>
      <c r="M112">
        <v>4774</v>
      </c>
      <c r="N112">
        <v>4766</v>
      </c>
      <c r="O112">
        <v>4758</v>
      </c>
      <c r="P112">
        <v>4750</v>
      </c>
      <c r="Q112">
        <v>4742</v>
      </c>
      <c r="R112">
        <v>4734</v>
      </c>
      <c r="S112">
        <v>4726</v>
      </c>
      <c r="T112">
        <v>4718</v>
      </c>
      <c r="U112">
        <v>4710</v>
      </c>
      <c r="V112">
        <v>4702</v>
      </c>
      <c r="W112">
        <v>4694</v>
      </c>
      <c r="X112">
        <v>4687</v>
      </c>
      <c r="Y112">
        <v>4679</v>
      </c>
      <c r="Z112">
        <v>4671</v>
      </c>
      <c r="AA112">
        <v>4664</v>
      </c>
      <c r="AB112">
        <v>4656</v>
      </c>
      <c r="AC112">
        <v>4648</v>
      </c>
      <c r="AD112">
        <v>4641</v>
      </c>
      <c r="AE112" t="s">
        <v>1021</v>
      </c>
    </row>
    <row r="113" spans="1:31" x14ac:dyDescent="0.25">
      <c r="A113" t="s">
        <v>220</v>
      </c>
      <c r="B113" t="s">
        <v>1156</v>
      </c>
      <c r="C113" t="s">
        <v>1157</v>
      </c>
      <c r="D113" t="s">
        <v>547</v>
      </c>
      <c r="E113">
        <v>3251</v>
      </c>
      <c r="F113">
        <v>3291</v>
      </c>
      <c r="G113">
        <v>3285</v>
      </c>
      <c r="H113">
        <v>3279</v>
      </c>
      <c r="I113">
        <v>3272</v>
      </c>
      <c r="J113">
        <v>3266</v>
      </c>
      <c r="K113">
        <v>3259</v>
      </c>
      <c r="L113">
        <v>3252</v>
      </c>
      <c r="M113">
        <v>3245</v>
      </c>
      <c r="N113">
        <v>3238</v>
      </c>
      <c r="O113">
        <v>3231</v>
      </c>
      <c r="P113">
        <v>3224</v>
      </c>
      <c r="Q113">
        <v>3216</v>
      </c>
      <c r="R113">
        <v>3209</v>
      </c>
      <c r="S113">
        <v>3202</v>
      </c>
      <c r="T113">
        <v>3195</v>
      </c>
      <c r="U113">
        <v>3187</v>
      </c>
      <c r="V113">
        <v>3180</v>
      </c>
      <c r="W113">
        <v>3173</v>
      </c>
      <c r="X113">
        <v>3165</v>
      </c>
      <c r="Y113">
        <v>3158</v>
      </c>
      <c r="Z113">
        <v>3151</v>
      </c>
      <c r="AA113">
        <v>3143</v>
      </c>
      <c r="AB113">
        <v>3136</v>
      </c>
      <c r="AC113">
        <v>3129</v>
      </c>
      <c r="AD113">
        <v>3122</v>
      </c>
      <c r="AE113" t="s">
        <v>1039</v>
      </c>
    </row>
    <row r="114" spans="1:31" x14ac:dyDescent="0.25">
      <c r="A114" t="s">
        <v>564</v>
      </c>
      <c r="B114" t="s">
        <v>1158</v>
      </c>
      <c r="C114" t="s">
        <v>1159</v>
      </c>
      <c r="D114" t="s">
        <v>547</v>
      </c>
      <c r="E114">
        <v>3989.5722660000001</v>
      </c>
      <c r="F114">
        <v>3910.1059570000002</v>
      </c>
      <c r="G114">
        <v>3891.6015619999998</v>
      </c>
      <c r="H114">
        <v>3872.8251949999999</v>
      </c>
      <c r="I114">
        <v>3853.7155760000001</v>
      </c>
      <c r="J114">
        <v>3835.1279300000001</v>
      </c>
      <c r="K114">
        <v>3816.111328</v>
      </c>
      <c r="L114">
        <v>3797.1376949999999</v>
      </c>
      <c r="M114">
        <v>3778.5009770000001</v>
      </c>
      <c r="N114">
        <v>3759.5527339999999</v>
      </c>
      <c r="O114">
        <v>3740.7109380000002</v>
      </c>
      <c r="P114">
        <v>3722.1608890000002</v>
      </c>
      <c r="Q114">
        <v>3703.157471</v>
      </c>
      <c r="R114">
        <v>3684.6523440000001</v>
      </c>
      <c r="S114">
        <v>3666.0649410000001</v>
      </c>
      <c r="T114">
        <v>3647.5561520000001</v>
      </c>
      <c r="U114">
        <v>3628.524414</v>
      </c>
      <c r="V114">
        <v>3610.1992190000001</v>
      </c>
      <c r="W114">
        <v>3591.7321780000002</v>
      </c>
      <c r="X114">
        <v>3572.9052729999999</v>
      </c>
      <c r="Y114">
        <v>3554.6525879999999</v>
      </c>
      <c r="Z114">
        <v>3536.1577149999998</v>
      </c>
      <c r="AA114">
        <v>3517.584961</v>
      </c>
      <c r="AB114">
        <v>3499.5966800000001</v>
      </c>
      <c r="AC114">
        <v>3481.7885740000002</v>
      </c>
      <c r="AD114">
        <v>3464.116211</v>
      </c>
      <c r="AE114" t="s">
        <v>1120</v>
      </c>
    </row>
    <row r="115" spans="1:31" x14ac:dyDescent="0.25">
      <c r="A115" t="s">
        <v>567</v>
      </c>
    </row>
    <row r="116" spans="1:31" x14ac:dyDescent="0.25">
      <c r="A116" t="s">
        <v>207</v>
      </c>
      <c r="B116" t="s">
        <v>1160</v>
      </c>
      <c r="C116" t="s">
        <v>1161</v>
      </c>
      <c r="D116" t="s">
        <v>570</v>
      </c>
      <c r="E116">
        <v>530</v>
      </c>
      <c r="F116">
        <v>626</v>
      </c>
      <c r="G116">
        <v>633</v>
      </c>
      <c r="H116">
        <v>640</v>
      </c>
      <c r="I116">
        <v>647</v>
      </c>
      <c r="J116">
        <v>654</v>
      </c>
      <c r="K116">
        <v>662</v>
      </c>
      <c r="L116">
        <v>669</v>
      </c>
      <c r="M116">
        <v>676</v>
      </c>
      <c r="N116">
        <v>683</v>
      </c>
      <c r="O116">
        <v>690</v>
      </c>
      <c r="P116">
        <v>697</v>
      </c>
      <c r="Q116">
        <v>704</v>
      </c>
      <c r="R116">
        <v>712</v>
      </c>
      <c r="S116">
        <v>719</v>
      </c>
      <c r="T116">
        <v>726</v>
      </c>
      <c r="U116">
        <v>733</v>
      </c>
      <c r="V116">
        <v>740</v>
      </c>
      <c r="W116">
        <v>747</v>
      </c>
      <c r="X116">
        <v>754</v>
      </c>
      <c r="Y116">
        <v>761</v>
      </c>
      <c r="Z116">
        <v>769</v>
      </c>
      <c r="AA116">
        <v>776</v>
      </c>
      <c r="AB116">
        <v>783</v>
      </c>
      <c r="AC116">
        <v>790</v>
      </c>
      <c r="AD116">
        <v>797</v>
      </c>
      <c r="AE116" t="s">
        <v>1162</v>
      </c>
    </row>
    <row r="117" spans="1:31" x14ac:dyDescent="0.25">
      <c r="A117" t="s">
        <v>208</v>
      </c>
      <c r="B117" t="s">
        <v>1163</v>
      </c>
      <c r="C117" t="s">
        <v>1164</v>
      </c>
      <c r="D117" t="s">
        <v>570</v>
      </c>
      <c r="E117">
        <v>766</v>
      </c>
      <c r="F117">
        <v>858</v>
      </c>
      <c r="G117">
        <v>866</v>
      </c>
      <c r="H117">
        <v>874</v>
      </c>
      <c r="I117">
        <v>883</v>
      </c>
      <c r="J117">
        <v>891</v>
      </c>
      <c r="K117">
        <v>899</v>
      </c>
      <c r="L117">
        <v>907</v>
      </c>
      <c r="M117">
        <v>915</v>
      </c>
      <c r="N117">
        <v>923</v>
      </c>
      <c r="O117">
        <v>932</v>
      </c>
      <c r="P117">
        <v>940</v>
      </c>
      <c r="Q117">
        <v>948</v>
      </c>
      <c r="R117">
        <v>956</v>
      </c>
      <c r="S117">
        <v>964</v>
      </c>
      <c r="T117">
        <v>973</v>
      </c>
      <c r="U117">
        <v>981</v>
      </c>
      <c r="V117">
        <v>989</v>
      </c>
      <c r="W117">
        <v>997</v>
      </c>
      <c r="X117">
        <v>1005</v>
      </c>
      <c r="Y117">
        <v>1014</v>
      </c>
      <c r="Z117">
        <v>1022</v>
      </c>
      <c r="AA117">
        <v>1030</v>
      </c>
      <c r="AB117">
        <v>1038</v>
      </c>
      <c r="AC117">
        <v>1046</v>
      </c>
      <c r="AD117">
        <v>1055</v>
      </c>
      <c r="AE117" t="s">
        <v>1025</v>
      </c>
    </row>
    <row r="118" spans="1:31" x14ac:dyDescent="0.25">
      <c r="A118" t="s">
        <v>210</v>
      </c>
      <c r="B118" t="s">
        <v>1165</v>
      </c>
      <c r="C118" t="s">
        <v>1166</v>
      </c>
      <c r="D118" t="s">
        <v>570</v>
      </c>
      <c r="E118">
        <v>873</v>
      </c>
      <c r="F118">
        <v>857</v>
      </c>
      <c r="G118">
        <v>862</v>
      </c>
      <c r="H118">
        <v>867</v>
      </c>
      <c r="I118">
        <v>871</v>
      </c>
      <c r="J118">
        <v>876</v>
      </c>
      <c r="K118">
        <v>881</v>
      </c>
      <c r="L118">
        <v>886</v>
      </c>
      <c r="M118">
        <v>890</v>
      </c>
      <c r="N118">
        <v>895</v>
      </c>
      <c r="O118">
        <v>900</v>
      </c>
      <c r="P118">
        <v>905</v>
      </c>
      <c r="Q118">
        <v>909</v>
      </c>
      <c r="R118">
        <v>914</v>
      </c>
      <c r="S118">
        <v>919</v>
      </c>
      <c r="T118">
        <v>924</v>
      </c>
      <c r="U118">
        <v>928</v>
      </c>
      <c r="V118">
        <v>933</v>
      </c>
      <c r="W118">
        <v>938</v>
      </c>
      <c r="X118">
        <v>943</v>
      </c>
      <c r="Y118">
        <v>948</v>
      </c>
      <c r="Z118">
        <v>952</v>
      </c>
      <c r="AA118">
        <v>957</v>
      </c>
      <c r="AB118">
        <v>962</v>
      </c>
      <c r="AC118">
        <v>967</v>
      </c>
      <c r="AD118">
        <v>972</v>
      </c>
      <c r="AE118" t="s">
        <v>1167</v>
      </c>
    </row>
    <row r="119" spans="1:31" x14ac:dyDescent="0.25">
      <c r="A119" t="s">
        <v>211</v>
      </c>
      <c r="B119" t="s">
        <v>1168</v>
      </c>
      <c r="C119" t="s">
        <v>1169</v>
      </c>
      <c r="D119" t="s">
        <v>570</v>
      </c>
      <c r="E119">
        <v>1052</v>
      </c>
      <c r="F119">
        <v>1048</v>
      </c>
      <c r="G119">
        <v>1053</v>
      </c>
      <c r="H119">
        <v>1057</v>
      </c>
      <c r="I119">
        <v>1062</v>
      </c>
      <c r="J119">
        <v>1067</v>
      </c>
      <c r="K119">
        <v>1071</v>
      </c>
      <c r="L119">
        <v>1076</v>
      </c>
      <c r="M119">
        <v>1081</v>
      </c>
      <c r="N119">
        <v>1086</v>
      </c>
      <c r="O119">
        <v>1090</v>
      </c>
      <c r="P119">
        <v>1095</v>
      </c>
      <c r="Q119">
        <v>1100</v>
      </c>
      <c r="R119">
        <v>1105</v>
      </c>
      <c r="S119">
        <v>1109</v>
      </c>
      <c r="T119">
        <v>1114</v>
      </c>
      <c r="U119">
        <v>1119</v>
      </c>
      <c r="V119">
        <v>1124</v>
      </c>
      <c r="W119">
        <v>1129</v>
      </c>
      <c r="X119">
        <v>1133</v>
      </c>
      <c r="Y119">
        <v>1138</v>
      </c>
      <c r="Z119">
        <v>1143</v>
      </c>
      <c r="AA119">
        <v>1148</v>
      </c>
      <c r="AB119">
        <v>1153</v>
      </c>
      <c r="AC119">
        <v>1158</v>
      </c>
      <c r="AD119">
        <v>1162</v>
      </c>
      <c r="AE119" t="s">
        <v>1167</v>
      </c>
    </row>
    <row r="120" spans="1:31" x14ac:dyDescent="0.25">
      <c r="A120" t="s">
        <v>213</v>
      </c>
      <c r="B120" t="s">
        <v>1170</v>
      </c>
      <c r="C120" t="s">
        <v>1171</v>
      </c>
      <c r="D120" t="s">
        <v>570</v>
      </c>
      <c r="E120">
        <v>2319</v>
      </c>
      <c r="F120">
        <v>2427</v>
      </c>
      <c r="G120">
        <v>2442</v>
      </c>
      <c r="H120">
        <v>2458</v>
      </c>
      <c r="I120">
        <v>2473</v>
      </c>
      <c r="J120">
        <v>2489</v>
      </c>
      <c r="K120">
        <v>2505</v>
      </c>
      <c r="L120">
        <v>2522</v>
      </c>
      <c r="M120">
        <v>2538</v>
      </c>
      <c r="N120">
        <v>2554</v>
      </c>
      <c r="O120">
        <v>2570</v>
      </c>
      <c r="P120">
        <v>2586</v>
      </c>
      <c r="Q120">
        <v>2603</v>
      </c>
      <c r="R120">
        <v>2619</v>
      </c>
      <c r="S120">
        <v>2635</v>
      </c>
      <c r="T120">
        <v>2652</v>
      </c>
      <c r="U120">
        <v>2668</v>
      </c>
      <c r="V120">
        <v>2684</v>
      </c>
      <c r="W120">
        <v>2701</v>
      </c>
      <c r="X120">
        <v>2717</v>
      </c>
      <c r="Y120">
        <v>2734</v>
      </c>
      <c r="Z120">
        <v>2750</v>
      </c>
      <c r="AA120">
        <v>2767</v>
      </c>
      <c r="AB120">
        <v>2783</v>
      </c>
      <c r="AC120">
        <v>2800</v>
      </c>
      <c r="AD120">
        <v>2816</v>
      </c>
      <c r="AE120" t="s">
        <v>964</v>
      </c>
    </row>
    <row r="121" spans="1:31" x14ac:dyDescent="0.25">
      <c r="A121" t="s">
        <v>214</v>
      </c>
      <c r="B121" t="s">
        <v>1172</v>
      </c>
      <c r="C121" t="s">
        <v>1173</v>
      </c>
      <c r="D121" t="s">
        <v>570</v>
      </c>
      <c r="E121">
        <v>1790</v>
      </c>
      <c r="F121">
        <v>1783</v>
      </c>
      <c r="G121">
        <v>1790</v>
      </c>
      <c r="H121">
        <v>1797</v>
      </c>
      <c r="I121">
        <v>1804</v>
      </c>
      <c r="J121">
        <v>1811</v>
      </c>
      <c r="K121">
        <v>1819</v>
      </c>
      <c r="L121">
        <v>1826</v>
      </c>
      <c r="M121">
        <v>1833</v>
      </c>
      <c r="N121">
        <v>1840</v>
      </c>
      <c r="O121">
        <v>1847</v>
      </c>
      <c r="P121">
        <v>1854</v>
      </c>
      <c r="Q121">
        <v>1862</v>
      </c>
      <c r="R121">
        <v>1869</v>
      </c>
      <c r="S121">
        <v>1876</v>
      </c>
      <c r="T121">
        <v>1883</v>
      </c>
      <c r="U121">
        <v>1890</v>
      </c>
      <c r="V121">
        <v>1898</v>
      </c>
      <c r="W121">
        <v>1905</v>
      </c>
      <c r="X121">
        <v>1912</v>
      </c>
      <c r="Y121">
        <v>1919</v>
      </c>
      <c r="Z121">
        <v>1926</v>
      </c>
      <c r="AA121">
        <v>1934</v>
      </c>
      <c r="AB121">
        <v>1941</v>
      </c>
      <c r="AC121">
        <v>1948</v>
      </c>
      <c r="AD121">
        <v>1955</v>
      </c>
      <c r="AE121" t="s">
        <v>1167</v>
      </c>
    </row>
    <row r="122" spans="1:31" x14ac:dyDescent="0.25">
      <c r="A122" t="s">
        <v>215</v>
      </c>
      <c r="B122" t="s">
        <v>1174</v>
      </c>
      <c r="C122" t="s">
        <v>1175</v>
      </c>
      <c r="D122" t="s">
        <v>570</v>
      </c>
      <c r="E122">
        <v>2916</v>
      </c>
      <c r="F122">
        <v>2946</v>
      </c>
      <c r="G122">
        <v>2961</v>
      </c>
      <c r="H122">
        <v>2976</v>
      </c>
      <c r="I122">
        <v>2990</v>
      </c>
      <c r="J122">
        <v>3005</v>
      </c>
      <c r="K122">
        <v>3020</v>
      </c>
      <c r="L122">
        <v>3035</v>
      </c>
      <c r="M122">
        <v>3049</v>
      </c>
      <c r="N122">
        <v>3064</v>
      </c>
      <c r="O122">
        <v>3079</v>
      </c>
      <c r="P122">
        <v>3093</v>
      </c>
      <c r="Q122">
        <v>3108</v>
      </c>
      <c r="R122">
        <v>3123</v>
      </c>
      <c r="S122">
        <v>3138</v>
      </c>
      <c r="T122">
        <v>3152</v>
      </c>
      <c r="U122">
        <v>3167</v>
      </c>
      <c r="V122">
        <v>3182</v>
      </c>
      <c r="W122">
        <v>3197</v>
      </c>
      <c r="X122">
        <v>3211</v>
      </c>
      <c r="Y122">
        <v>3226</v>
      </c>
      <c r="Z122">
        <v>3241</v>
      </c>
      <c r="AA122">
        <v>3255</v>
      </c>
      <c r="AB122">
        <v>3270</v>
      </c>
      <c r="AC122">
        <v>3285</v>
      </c>
      <c r="AD122">
        <v>3299</v>
      </c>
      <c r="AE122" t="s">
        <v>1012</v>
      </c>
    </row>
    <row r="123" spans="1:31" x14ac:dyDescent="0.25">
      <c r="A123" t="s">
        <v>217</v>
      </c>
      <c r="B123" t="s">
        <v>1176</v>
      </c>
      <c r="C123" t="s">
        <v>1177</v>
      </c>
      <c r="D123" t="s">
        <v>570</v>
      </c>
      <c r="E123">
        <v>1515</v>
      </c>
      <c r="F123">
        <v>1608</v>
      </c>
      <c r="G123">
        <v>1617</v>
      </c>
      <c r="H123">
        <v>1627</v>
      </c>
      <c r="I123">
        <v>1636</v>
      </c>
      <c r="J123">
        <v>1645</v>
      </c>
      <c r="K123">
        <v>1655</v>
      </c>
      <c r="L123">
        <v>1664</v>
      </c>
      <c r="M123">
        <v>1673</v>
      </c>
      <c r="N123">
        <v>1682</v>
      </c>
      <c r="O123">
        <v>1691</v>
      </c>
      <c r="P123">
        <v>1701</v>
      </c>
      <c r="Q123">
        <v>1710</v>
      </c>
      <c r="R123">
        <v>1719</v>
      </c>
      <c r="S123">
        <v>1728</v>
      </c>
      <c r="T123">
        <v>1737</v>
      </c>
      <c r="U123">
        <v>1746</v>
      </c>
      <c r="V123">
        <v>1755</v>
      </c>
      <c r="W123">
        <v>1764</v>
      </c>
      <c r="X123">
        <v>1773</v>
      </c>
      <c r="Y123">
        <v>1782</v>
      </c>
      <c r="Z123">
        <v>1791</v>
      </c>
      <c r="AA123">
        <v>1800</v>
      </c>
      <c r="AB123">
        <v>1809</v>
      </c>
      <c r="AC123">
        <v>1818</v>
      </c>
      <c r="AD123">
        <v>1827</v>
      </c>
      <c r="AE123" t="s">
        <v>964</v>
      </c>
    </row>
    <row r="124" spans="1:31" x14ac:dyDescent="0.25">
      <c r="A124" t="s">
        <v>220</v>
      </c>
      <c r="B124" t="s">
        <v>1178</v>
      </c>
      <c r="C124" t="s">
        <v>1179</v>
      </c>
      <c r="D124" t="s">
        <v>570</v>
      </c>
      <c r="E124">
        <v>887</v>
      </c>
      <c r="F124">
        <v>1040</v>
      </c>
      <c r="G124">
        <v>1049</v>
      </c>
      <c r="H124">
        <v>1058</v>
      </c>
      <c r="I124">
        <v>1067</v>
      </c>
      <c r="J124">
        <v>1076</v>
      </c>
      <c r="K124">
        <v>1085</v>
      </c>
      <c r="L124">
        <v>1094</v>
      </c>
      <c r="M124">
        <v>1103</v>
      </c>
      <c r="N124">
        <v>1112</v>
      </c>
      <c r="O124">
        <v>1121</v>
      </c>
      <c r="P124">
        <v>1131</v>
      </c>
      <c r="Q124">
        <v>1140</v>
      </c>
      <c r="R124">
        <v>1149</v>
      </c>
      <c r="S124">
        <v>1158</v>
      </c>
      <c r="T124">
        <v>1167</v>
      </c>
      <c r="U124">
        <v>1177</v>
      </c>
      <c r="V124">
        <v>1186</v>
      </c>
      <c r="W124">
        <v>1195</v>
      </c>
      <c r="X124">
        <v>1204</v>
      </c>
      <c r="Y124">
        <v>1213</v>
      </c>
      <c r="Z124">
        <v>1223</v>
      </c>
      <c r="AA124">
        <v>1232</v>
      </c>
      <c r="AB124">
        <v>1241</v>
      </c>
      <c r="AC124">
        <v>1250</v>
      </c>
      <c r="AD124">
        <v>1259</v>
      </c>
      <c r="AE124" t="s">
        <v>991</v>
      </c>
    </row>
    <row r="125" spans="1:31" x14ac:dyDescent="0.25">
      <c r="A125" t="s">
        <v>564</v>
      </c>
      <c r="B125" t="s">
        <v>1180</v>
      </c>
      <c r="C125" t="s">
        <v>1181</v>
      </c>
      <c r="D125" t="s">
        <v>570</v>
      </c>
      <c r="E125">
        <v>1516.4235839999999</v>
      </c>
      <c r="F125">
        <v>1589.852905</v>
      </c>
      <c r="G125">
        <v>1602.154053</v>
      </c>
      <c r="H125">
        <v>1614.6899410000001</v>
      </c>
      <c r="I125">
        <v>1626.874268</v>
      </c>
      <c r="J125">
        <v>1639.4291989999999</v>
      </c>
      <c r="K125">
        <v>1652.126587</v>
      </c>
      <c r="L125">
        <v>1664.940918</v>
      </c>
      <c r="M125">
        <v>1677.306885</v>
      </c>
      <c r="N125">
        <v>1689.963013</v>
      </c>
      <c r="O125">
        <v>1702.6976320000001</v>
      </c>
      <c r="P125">
        <v>1715.525879</v>
      </c>
      <c r="Q125">
        <v>1728.3977050000001</v>
      </c>
      <c r="R125">
        <v>1741.1990969999999</v>
      </c>
      <c r="S125">
        <v>1753.922607</v>
      </c>
      <c r="T125">
        <v>1766.9213870000001</v>
      </c>
      <c r="U125">
        <v>1779.796143</v>
      </c>
      <c r="V125">
        <v>1792.7116699999999</v>
      </c>
      <c r="W125">
        <v>1805.8120120000001</v>
      </c>
      <c r="X125">
        <v>1818.5227050000001</v>
      </c>
      <c r="Y125">
        <v>1831.7783199999999</v>
      </c>
      <c r="Z125">
        <v>1844.803101</v>
      </c>
      <c r="AA125">
        <v>1857.8740230000001</v>
      </c>
      <c r="AB125">
        <v>1870.7852780000001</v>
      </c>
      <c r="AC125">
        <v>1883.8203120000001</v>
      </c>
      <c r="AD125">
        <v>1896.4698490000001</v>
      </c>
      <c r="AE125" t="s">
        <v>967</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E102"/>
  <sheetViews>
    <sheetView topLeftCell="A7" workbookViewId="0">
      <selection activeCell="B26" sqref="A26:B26"/>
    </sheetView>
  </sheetViews>
  <sheetFormatPr defaultRowHeight="15" x14ac:dyDescent="0.25"/>
  <cols>
    <col min="1" max="1" width="25" customWidth="1"/>
    <col min="2" max="2" width="101.140625" bestFit="1" customWidth="1"/>
  </cols>
  <sheetData>
    <row r="1" spans="1:31" x14ac:dyDescent="0.25">
      <c r="A1" t="s">
        <v>589</v>
      </c>
    </row>
    <row r="2" spans="1:31" x14ac:dyDescent="0.25">
      <c r="A2" t="s">
        <v>1182</v>
      </c>
    </row>
    <row r="3" spans="1:31" x14ac:dyDescent="0.25">
      <c r="A3" t="s">
        <v>1183</v>
      </c>
    </row>
    <row r="4" spans="1:31" x14ac:dyDescent="0.25">
      <c r="A4" t="s">
        <v>355</v>
      </c>
    </row>
    <row r="5" spans="1:31" x14ac:dyDescent="0.25">
      <c r="B5" t="s">
        <v>356</v>
      </c>
      <c r="C5" t="s">
        <v>357</v>
      </c>
      <c r="D5" t="s">
        <v>358</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961</v>
      </c>
    </row>
    <row r="6" spans="1:31" x14ac:dyDescent="0.25">
      <c r="A6" t="s">
        <v>360</v>
      </c>
    </row>
    <row r="7" spans="1:31" x14ac:dyDescent="0.25">
      <c r="A7" t="s">
        <v>592</v>
      </c>
    </row>
    <row r="8" spans="1:31" x14ac:dyDescent="0.25">
      <c r="A8" t="s">
        <v>593</v>
      </c>
      <c r="B8" t="s">
        <v>1184</v>
      </c>
      <c r="C8" t="s">
        <v>1185</v>
      </c>
      <c r="D8" t="s">
        <v>596</v>
      </c>
      <c r="E8">
        <v>101.845505</v>
      </c>
      <c r="F8">
        <v>103.10442399999999</v>
      </c>
      <c r="G8">
        <v>104.31424699999999</v>
      </c>
      <c r="H8">
        <v>105.48232299999999</v>
      </c>
      <c r="I8">
        <v>106.628433</v>
      </c>
      <c r="J8">
        <v>107.75984200000001</v>
      </c>
      <c r="K8">
        <v>108.90231300000001</v>
      </c>
      <c r="L8">
        <v>110.070587</v>
      </c>
      <c r="M8">
        <v>111.267746</v>
      </c>
      <c r="N8">
        <v>112.50000799999999</v>
      </c>
      <c r="O8">
        <v>113.768677</v>
      </c>
      <c r="P8">
        <v>115.073914</v>
      </c>
      <c r="Q8">
        <v>116.41436</v>
      </c>
      <c r="R8">
        <v>117.78051000000001</v>
      </c>
      <c r="S8">
        <v>119.114738</v>
      </c>
      <c r="T8">
        <v>120.41529800000001</v>
      </c>
      <c r="U8">
        <v>121.684471</v>
      </c>
      <c r="V8">
        <v>122.897865</v>
      </c>
      <c r="W8">
        <v>124.064178</v>
      </c>
      <c r="X8">
        <v>125.198471</v>
      </c>
      <c r="Y8">
        <v>126.307709</v>
      </c>
      <c r="Z8">
        <v>127.400986</v>
      </c>
      <c r="AA8">
        <v>128.481964</v>
      </c>
      <c r="AB8">
        <v>129.55204800000001</v>
      </c>
      <c r="AC8">
        <v>130.612976</v>
      </c>
      <c r="AD8">
        <v>131.665558</v>
      </c>
      <c r="AE8" t="s">
        <v>1004</v>
      </c>
    </row>
    <row r="9" spans="1:31" x14ac:dyDescent="0.25">
      <c r="A9" t="s">
        <v>597</v>
      </c>
      <c r="B9" t="s">
        <v>1186</v>
      </c>
      <c r="C9" t="s">
        <v>1187</v>
      </c>
      <c r="D9" t="s">
        <v>596</v>
      </c>
      <c r="E9">
        <v>2.7983539999999998</v>
      </c>
      <c r="F9">
        <v>2.7631329999999998</v>
      </c>
      <c r="G9">
        <v>2.7356199999999999</v>
      </c>
      <c r="H9">
        <v>2.7281330000000001</v>
      </c>
      <c r="I9">
        <v>2.7281270000000002</v>
      </c>
      <c r="J9">
        <v>2.7541440000000001</v>
      </c>
      <c r="K9">
        <v>2.795398</v>
      </c>
      <c r="L9">
        <v>2.8401640000000001</v>
      </c>
      <c r="M9">
        <v>2.8917440000000001</v>
      </c>
      <c r="N9">
        <v>2.9451779999999999</v>
      </c>
      <c r="O9">
        <v>2.9993840000000001</v>
      </c>
      <c r="P9">
        <v>3.0528369999999998</v>
      </c>
      <c r="Q9">
        <v>3.0973130000000002</v>
      </c>
      <c r="R9">
        <v>3.0842869999999998</v>
      </c>
      <c r="S9">
        <v>3.0694240000000002</v>
      </c>
      <c r="T9">
        <v>3.056657</v>
      </c>
      <c r="U9">
        <v>3.0191319999999999</v>
      </c>
      <c r="V9">
        <v>2.9897260000000001</v>
      </c>
      <c r="W9">
        <v>2.974996</v>
      </c>
      <c r="X9">
        <v>2.9668220000000001</v>
      </c>
      <c r="Y9">
        <v>2.9674109999999998</v>
      </c>
      <c r="Z9">
        <v>2.971346</v>
      </c>
      <c r="AA9">
        <v>2.976496</v>
      </c>
      <c r="AB9">
        <v>2.9830369999999999</v>
      </c>
      <c r="AC9">
        <v>2.990272</v>
      </c>
      <c r="AD9">
        <v>2.998542</v>
      </c>
      <c r="AE9" t="s">
        <v>975</v>
      </c>
    </row>
    <row r="10" spans="1:31" x14ac:dyDescent="0.25">
      <c r="A10" t="s">
        <v>372</v>
      </c>
      <c r="B10" t="s">
        <v>1188</v>
      </c>
      <c r="C10" t="s">
        <v>1189</v>
      </c>
      <c r="D10" t="s">
        <v>596</v>
      </c>
      <c r="E10">
        <v>104.64386</v>
      </c>
      <c r="F10">
        <v>105.867554</v>
      </c>
      <c r="G10">
        <v>107.04986599999999</v>
      </c>
      <c r="H10">
        <v>108.21045700000001</v>
      </c>
      <c r="I10">
        <v>109.35656</v>
      </c>
      <c r="J10">
        <v>110.51398500000001</v>
      </c>
      <c r="K10">
        <v>111.69770800000001</v>
      </c>
      <c r="L10">
        <v>112.910751</v>
      </c>
      <c r="M10">
        <v>114.159492</v>
      </c>
      <c r="N10">
        <v>115.445183</v>
      </c>
      <c r="O10">
        <v>116.76805899999999</v>
      </c>
      <c r="P10">
        <v>118.12674699999999</v>
      </c>
      <c r="Q10">
        <v>119.511673</v>
      </c>
      <c r="R10">
        <v>120.864799</v>
      </c>
      <c r="S10">
        <v>122.184166</v>
      </c>
      <c r="T10">
        <v>123.471954</v>
      </c>
      <c r="U10">
        <v>124.70360599999999</v>
      </c>
      <c r="V10">
        <v>125.88758900000001</v>
      </c>
      <c r="W10">
        <v>127.039177</v>
      </c>
      <c r="X10">
        <v>128.16529800000001</v>
      </c>
      <c r="Y10">
        <v>129.275116</v>
      </c>
      <c r="Z10">
        <v>130.37233000000001</v>
      </c>
      <c r="AA10">
        <v>131.45846599999999</v>
      </c>
      <c r="AB10">
        <v>132.53507999999999</v>
      </c>
      <c r="AC10">
        <v>133.603241</v>
      </c>
      <c r="AD10">
        <v>134.66409300000001</v>
      </c>
      <c r="AE10" t="s">
        <v>1004</v>
      </c>
    </row>
    <row r="11" spans="1:31" x14ac:dyDescent="0.25">
      <c r="A11" t="s">
        <v>602</v>
      </c>
    </row>
    <row r="12" spans="1:31" x14ac:dyDescent="0.25">
      <c r="A12" t="s">
        <v>388</v>
      </c>
    </row>
    <row r="13" spans="1:31" x14ac:dyDescent="0.25">
      <c r="A13" t="s">
        <v>381</v>
      </c>
      <c r="B13" t="s">
        <v>1190</v>
      </c>
      <c r="C13" t="s">
        <v>1191</v>
      </c>
      <c r="D13" t="s">
        <v>391</v>
      </c>
      <c r="E13">
        <v>94.608611999999994</v>
      </c>
      <c r="F13">
        <v>95.200951000000003</v>
      </c>
      <c r="G13">
        <v>94.894547000000003</v>
      </c>
      <c r="H13">
        <v>94.391609000000003</v>
      </c>
      <c r="I13">
        <v>93.678154000000006</v>
      </c>
      <c r="J13">
        <v>92.733329999999995</v>
      </c>
      <c r="K13">
        <v>91.840523000000005</v>
      </c>
      <c r="L13">
        <v>91.140854000000004</v>
      </c>
      <c r="M13">
        <v>90.533225999999999</v>
      </c>
      <c r="N13">
        <v>90.025192000000004</v>
      </c>
      <c r="O13">
        <v>89.527039000000002</v>
      </c>
      <c r="P13">
        <v>89.104965000000007</v>
      </c>
      <c r="Q13">
        <v>88.683937</v>
      </c>
      <c r="R13">
        <v>88.304732999999999</v>
      </c>
      <c r="S13">
        <v>87.952102999999994</v>
      </c>
      <c r="T13">
        <v>87.609711000000004</v>
      </c>
      <c r="U13">
        <v>87.320464999999999</v>
      </c>
      <c r="V13">
        <v>87.099518000000003</v>
      </c>
      <c r="W13">
        <v>86.907027999999997</v>
      </c>
      <c r="X13">
        <v>86.735259999999997</v>
      </c>
      <c r="Y13">
        <v>86.553421</v>
      </c>
      <c r="Z13">
        <v>86.303925000000007</v>
      </c>
      <c r="AA13">
        <v>85.985275000000001</v>
      </c>
      <c r="AB13">
        <v>85.633080000000007</v>
      </c>
      <c r="AC13">
        <v>85.264458000000005</v>
      </c>
      <c r="AD13">
        <v>84.897255000000001</v>
      </c>
      <c r="AE13" t="s">
        <v>1000</v>
      </c>
    </row>
    <row r="14" spans="1:31" x14ac:dyDescent="0.25">
      <c r="A14" t="s">
        <v>385</v>
      </c>
      <c r="B14" t="s">
        <v>1192</v>
      </c>
      <c r="C14" t="s">
        <v>1193</v>
      </c>
      <c r="D14" t="s">
        <v>391</v>
      </c>
      <c r="E14">
        <v>93.084305000000001</v>
      </c>
      <c r="F14">
        <v>93.513205999999997</v>
      </c>
      <c r="G14">
        <v>93.074776</v>
      </c>
      <c r="H14">
        <v>92.519630000000006</v>
      </c>
      <c r="I14">
        <v>91.782714999999996</v>
      </c>
      <c r="J14">
        <v>90.809180999999995</v>
      </c>
      <c r="K14">
        <v>89.899635000000004</v>
      </c>
      <c r="L14">
        <v>89.191779999999994</v>
      </c>
      <c r="M14">
        <v>88.573188999999999</v>
      </c>
      <c r="N14">
        <v>88.038452000000007</v>
      </c>
      <c r="O14">
        <v>87.524017000000001</v>
      </c>
      <c r="P14">
        <v>87.092613</v>
      </c>
      <c r="Q14">
        <v>86.638892999999996</v>
      </c>
      <c r="R14">
        <v>86.228638000000004</v>
      </c>
      <c r="S14">
        <v>85.833716999999993</v>
      </c>
      <c r="T14">
        <v>85.458236999999997</v>
      </c>
      <c r="U14">
        <v>85.160706000000005</v>
      </c>
      <c r="V14">
        <v>84.916267000000005</v>
      </c>
      <c r="W14">
        <v>84.720146</v>
      </c>
      <c r="X14">
        <v>84.541443000000001</v>
      </c>
      <c r="Y14">
        <v>84.357269000000002</v>
      </c>
      <c r="Z14">
        <v>84.093650999999994</v>
      </c>
      <c r="AA14">
        <v>83.753242</v>
      </c>
      <c r="AB14">
        <v>83.378760999999997</v>
      </c>
      <c r="AC14">
        <v>82.997833</v>
      </c>
      <c r="AD14">
        <v>82.609665000000007</v>
      </c>
      <c r="AE14" t="s">
        <v>1141</v>
      </c>
    </row>
    <row r="15" spans="1:31" x14ac:dyDescent="0.25">
      <c r="A15" t="s">
        <v>394</v>
      </c>
    </row>
    <row r="16" spans="1:31" x14ac:dyDescent="0.25">
      <c r="A16" t="s">
        <v>341</v>
      </c>
    </row>
    <row r="17" spans="1:31" x14ac:dyDescent="0.25">
      <c r="A17" t="s">
        <v>395</v>
      </c>
      <c r="B17" t="s">
        <v>90</v>
      </c>
      <c r="C17" t="s">
        <v>1194</v>
      </c>
      <c r="D17" t="s">
        <v>397</v>
      </c>
      <c r="E17">
        <v>0.20086000000000001</v>
      </c>
      <c r="F17">
        <v>0.193991</v>
      </c>
      <c r="G17">
        <v>0.19233</v>
      </c>
      <c r="H17">
        <v>0.19123699999999999</v>
      </c>
      <c r="I17">
        <v>0.18969</v>
      </c>
      <c r="J17">
        <v>0.18790200000000001</v>
      </c>
      <c r="K17">
        <v>0.186031</v>
      </c>
      <c r="L17">
        <v>0.18410599999999999</v>
      </c>
      <c r="M17">
        <v>0.18223</v>
      </c>
      <c r="N17">
        <v>0.18024200000000001</v>
      </c>
      <c r="O17">
        <v>0.1782</v>
      </c>
      <c r="P17">
        <v>0.17622699999999999</v>
      </c>
      <c r="Q17">
        <v>0.17410100000000001</v>
      </c>
      <c r="R17">
        <v>0.171933</v>
      </c>
      <c r="S17">
        <v>0.16966300000000001</v>
      </c>
      <c r="T17">
        <v>0.16736599999999999</v>
      </c>
      <c r="U17">
        <v>0.165099</v>
      </c>
      <c r="V17">
        <v>0.16280800000000001</v>
      </c>
      <c r="W17">
        <v>0.16050900000000001</v>
      </c>
      <c r="X17">
        <v>0.15815599999999999</v>
      </c>
      <c r="Y17">
        <v>0.15582399999999999</v>
      </c>
      <c r="Z17">
        <v>0.15335499999999999</v>
      </c>
      <c r="AA17">
        <v>0.15071499999999999</v>
      </c>
      <c r="AB17">
        <v>0.148032</v>
      </c>
      <c r="AC17">
        <v>0.14538499999999999</v>
      </c>
      <c r="AD17">
        <v>0.14267099999999999</v>
      </c>
      <c r="AE17" t="s">
        <v>987</v>
      </c>
    </row>
    <row r="18" spans="1:31" x14ac:dyDescent="0.25">
      <c r="A18" t="s">
        <v>398</v>
      </c>
      <c r="B18" t="s">
        <v>93</v>
      </c>
      <c r="C18" t="s">
        <v>1195</v>
      </c>
      <c r="D18" t="s">
        <v>397</v>
      </c>
      <c r="E18">
        <v>0.56683899999999998</v>
      </c>
      <c r="F18">
        <v>0.594472</v>
      </c>
      <c r="G18">
        <v>0.60086099999999998</v>
      </c>
      <c r="H18">
        <v>0.60903200000000002</v>
      </c>
      <c r="I18">
        <v>0.61580999999999997</v>
      </c>
      <c r="J18">
        <v>0.62006600000000001</v>
      </c>
      <c r="K18">
        <v>0.62495599999999996</v>
      </c>
      <c r="L18">
        <v>0.63044599999999995</v>
      </c>
      <c r="M18">
        <v>0.63640799999999997</v>
      </c>
      <c r="N18">
        <v>0.64294499999999999</v>
      </c>
      <c r="O18">
        <v>0.64979900000000002</v>
      </c>
      <c r="P18">
        <v>0.65744899999999995</v>
      </c>
      <c r="Q18">
        <v>0.66526600000000002</v>
      </c>
      <c r="R18">
        <v>0.67322599999999999</v>
      </c>
      <c r="S18">
        <v>0.68110099999999996</v>
      </c>
      <c r="T18">
        <v>0.68931200000000004</v>
      </c>
      <c r="U18">
        <v>0.69798099999999996</v>
      </c>
      <c r="V18">
        <v>0.70710200000000001</v>
      </c>
      <c r="W18">
        <v>0.71693200000000001</v>
      </c>
      <c r="X18">
        <v>0.72700600000000004</v>
      </c>
      <c r="Y18">
        <v>0.73754799999999998</v>
      </c>
      <c r="Z18">
        <v>0.747668</v>
      </c>
      <c r="AA18">
        <v>0.75733799999999996</v>
      </c>
      <c r="AB18">
        <v>0.76694399999999996</v>
      </c>
      <c r="AC18">
        <v>0.77708900000000003</v>
      </c>
      <c r="AD18">
        <v>0.78723699999999996</v>
      </c>
      <c r="AE18" t="s">
        <v>1025</v>
      </c>
    </row>
    <row r="19" spans="1:31" x14ac:dyDescent="0.25">
      <c r="A19" t="s">
        <v>400</v>
      </c>
      <c r="B19" t="s">
        <v>95</v>
      </c>
      <c r="C19" t="s">
        <v>1196</v>
      </c>
      <c r="D19" t="s">
        <v>397</v>
      </c>
      <c r="E19">
        <v>7.3797000000000001E-2</v>
      </c>
      <c r="F19">
        <v>7.2725999999999999E-2</v>
      </c>
      <c r="G19">
        <v>7.2052000000000005E-2</v>
      </c>
      <c r="H19">
        <v>7.1639999999999995E-2</v>
      </c>
      <c r="I19">
        <v>7.1070999999999995E-2</v>
      </c>
      <c r="J19">
        <v>7.0186999999999999E-2</v>
      </c>
      <c r="K19">
        <v>6.9282999999999997E-2</v>
      </c>
      <c r="L19">
        <v>6.8399000000000001E-2</v>
      </c>
      <c r="M19">
        <v>6.7566000000000001E-2</v>
      </c>
      <c r="N19">
        <v>6.6746E-2</v>
      </c>
      <c r="O19">
        <v>6.5932000000000004E-2</v>
      </c>
      <c r="P19">
        <v>6.5184000000000006E-2</v>
      </c>
      <c r="Q19">
        <v>6.4424999999999996E-2</v>
      </c>
      <c r="R19">
        <v>6.3672999999999993E-2</v>
      </c>
      <c r="S19">
        <v>6.2916E-2</v>
      </c>
      <c r="T19">
        <v>6.2153E-2</v>
      </c>
      <c r="U19">
        <v>6.1430999999999999E-2</v>
      </c>
      <c r="V19">
        <v>6.0715999999999999E-2</v>
      </c>
      <c r="W19">
        <v>6.0033999999999997E-2</v>
      </c>
      <c r="X19">
        <v>5.9364E-2</v>
      </c>
      <c r="Y19">
        <v>5.8694999999999997E-2</v>
      </c>
      <c r="Z19">
        <v>5.8001999999999998E-2</v>
      </c>
      <c r="AA19">
        <v>5.7258000000000003E-2</v>
      </c>
      <c r="AB19">
        <v>5.6502999999999998E-2</v>
      </c>
      <c r="AC19">
        <v>5.5764000000000001E-2</v>
      </c>
      <c r="AD19">
        <v>5.5010999999999997E-2</v>
      </c>
      <c r="AE19" t="s">
        <v>984</v>
      </c>
    </row>
    <row r="20" spans="1:31" x14ac:dyDescent="0.25">
      <c r="A20" t="s">
        <v>611</v>
      </c>
      <c r="B20" t="s">
        <v>97</v>
      </c>
      <c r="C20" t="s">
        <v>1197</v>
      </c>
      <c r="D20" t="s">
        <v>397</v>
      </c>
      <c r="E20">
        <v>0.77257900000000002</v>
      </c>
      <c r="F20">
        <v>0.77808100000000002</v>
      </c>
      <c r="G20">
        <v>0.78721600000000003</v>
      </c>
      <c r="H20">
        <v>0.79894799999999999</v>
      </c>
      <c r="I20">
        <v>0.80861700000000003</v>
      </c>
      <c r="J20">
        <v>0.81284800000000001</v>
      </c>
      <c r="K20">
        <v>0.81740299999999999</v>
      </c>
      <c r="L20">
        <v>0.82248900000000003</v>
      </c>
      <c r="M20">
        <v>0.82842199999999999</v>
      </c>
      <c r="N20">
        <v>0.83473399999999998</v>
      </c>
      <c r="O20">
        <v>0.84140800000000004</v>
      </c>
      <c r="P20">
        <v>0.84894000000000003</v>
      </c>
      <c r="Q20">
        <v>0.85649600000000004</v>
      </c>
      <c r="R20">
        <v>0.86420600000000003</v>
      </c>
      <c r="S20">
        <v>0.87185299999999999</v>
      </c>
      <c r="T20">
        <v>0.87961100000000003</v>
      </c>
      <c r="U20">
        <v>0.88787400000000005</v>
      </c>
      <c r="V20">
        <v>0.89625699999999997</v>
      </c>
      <c r="W20">
        <v>0.90508500000000003</v>
      </c>
      <c r="X20">
        <v>0.91416399999999998</v>
      </c>
      <c r="Y20">
        <v>0.923373</v>
      </c>
      <c r="Z20">
        <v>0.93216900000000003</v>
      </c>
      <c r="AA20">
        <v>0.94026100000000001</v>
      </c>
      <c r="AB20">
        <v>0.94815300000000002</v>
      </c>
      <c r="AC20">
        <v>0.95642499999999997</v>
      </c>
      <c r="AD20">
        <v>0.96451799999999999</v>
      </c>
      <c r="AE20" t="s">
        <v>967</v>
      </c>
    </row>
    <row r="21" spans="1:31" x14ac:dyDescent="0.25">
      <c r="A21" t="s">
        <v>404</v>
      </c>
      <c r="B21" t="s">
        <v>99</v>
      </c>
      <c r="C21" t="s">
        <v>1198</v>
      </c>
      <c r="D21" t="s">
        <v>397</v>
      </c>
      <c r="E21">
        <v>8.3990999999999996E-2</v>
      </c>
      <c r="F21">
        <v>8.3245E-2</v>
      </c>
      <c r="G21">
        <v>8.2881999999999997E-2</v>
      </c>
      <c r="H21">
        <v>8.2750000000000004E-2</v>
      </c>
      <c r="I21">
        <v>8.2395999999999997E-2</v>
      </c>
      <c r="J21">
        <v>8.1708000000000003E-2</v>
      </c>
      <c r="K21">
        <v>8.0997E-2</v>
      </c>
      <c r="L21">
        <v>8.0317E-2</v>
      </c>
      <c r="M21">
        <v>7.9703999999999997E-2</v>
      </c>
      <c r="N21">
        <v>7.9116000000000006E-2</v>
      </c>
      <c r="O21">
        <v>7.8533000000000006E-2</v>
      </c>
      <c r="P21">
        <v>7.7997999999999998E-2</v>
      </c>
      <c r="Q21">
        <v>7.7441999999999997E-2</v>
      </c>
      <c r="R21">
        <v>7.6881000000000005E-2</v>
      </c>
      <c r="S21">
        <v>7.6298000000000005E-2</v>
      </c>
      <c r="T21">
        <v>7.5702000000000005E-2</v>
      </c>
      <c r="U21">
        <v>7.5150999999999996E-2</v>
      </c>
      <c r="V21">
        <v>7.4596999999999997E-2</v>
      </c>
      <c r="W21">
        <v>7.4065000000000006E-2</v>
      </c>
      <c r="X21">
        <v>7.3538000000000006E-2</v>
      </c>
      <c r="Y21">
        <v>7.3001999999999997E-2</v>
      </c>
      <c r="Z21">
        <v>7.2416999999999995E-2</v>
      </c>
      <c r="AA21">
        <v>7.1762999999999993E-2</v>
      </c>
      <c r="AB21">
        <v>7.1082000000000006E-2</v>
      </c>
      <c r="AC21">
        <v>7.0415000000000005E-2</v>
      </c>
      <c r="AD21">
        <v>6.9721000000000005E-2</v>
      </c>
      <c r="AE21" t="s">
        <v>1028</v>
      </c>
    </row>
    <row r="22" spans="1:31" x14ac:dyDescent="0.25">
      <c r="A22" t="s">
        <v>410</v>
      </c>
      <c r="B22" t="s">
        <v>101</v>
      </c>
      <c r="C22" t="s">
        <v>1199</v>
      </c>
      <c r="D22" t="s">
        <v>397</v>
      </c>
      <c r="E22">
        <v>0.56464899999999996</v>
      </c>
      <c r="F22">
        <v>0.55332800000000004</v>
      </c>
      <c r="G22">
        <v>0.54732899999999995</v>
      </c>
      <c r="H22">
        <v>0.54542999999999997</v>
      </c>
      <c r="I22">
        <v>0.54358799999999996</v>
      </c>
      <c r="J22">
        <v>0.53231799999999996</v>
      </c>
      <c r="K22">
        <v>0.52262200000000003</v>
      </c>
      <c r="L22">
        <v>0.51419999999999999</v>
      </c>
      <c r="M22">
        <v>0.50677899999999998</v>
      </c>
      <c r="N22">
        <v>0.499778</v>
      </c>
      <c r="O22">
        <v>0.492952</v>
      </c>
      <c r="P22">
        <v>0.48728900000000003</v>
      </c>
      <c r="Q22">
        <v>0.48248600000000003</v>
      </c>
      <c r="R22">
        <v>0.47849799999999998</v>
      </c>
      <c r="S22">
        <v>0.47511900000000001</v>
      </c>
      <c r="T22">
        <v>0.47012199999999998</v>
      </c>
      <c r="U22">
        <v>0.46640700000000002</v>
      </c>
      <c r="V22">
        <v>0.46348200000000001</v>
      </c>
      <c r="W22">
        <v>0.46129700000000001</v>
      </c>
      <c r="X22">
        <v>0.45964300000000002</v>
      </c>
      <c r="Y22">
        <v>0.458401</v>
      </c>
      <c r="Z22">
        <v>0.457258</v>
      </c>
      <c r="AA22">
        <v>0.45599400000000001</v>
      </c>
      <c r="AB22">
        <v>0.454706</v>
      </c>
      <c r="AC22">
        <v>0.45369199999999998</v>
      </c>
      <c r="AD22">
        <v>0.45269500000000001</v>
      </c>
      <c r="AE22" t="s">
        <v>989</v>
      </c>
    </row>
    <row r="23" spans="1:31" x14ac:dyDescent="0.25">
      <c r="A23" t="s">
        <v>402</v>
      </c>
      <c r="B23" t="s">
        <v>103</v>
      </c>
      <c r="C23" t="s">
        <v>1200</v>
      </c>
      <c r="D23" t="s">
        <v>397</v>
      </c>
      <c r="E23">
        <v>0.366734</v>
      </c>
      <c r="F23">
        <v>0.36595299999999997</v>
      </c>
      <c r="G23">
        <v>0.366174</v>
      </c>
      <c r="H23">
        <v>0.36699999999999999</v>
      </c>
      <c r="I23">
        <v>0.36756299999999997</v>
      </c>
      <c r="J23">
        <v>0.36664400000000003</v>
      </c>
      <c r="K23">
        <v>0.36620599999999998</v>
      </c>
      <c r="L23">
        <v>0.36610900000000002</v>
      </c>
      <c r="M23">
        <v>0.36638999999999999</v>
      </c>
      <c r="N23">
        <v>0.36695</v>
      </c>
      <c r="O23">
        <v>0.36775600000000003</v>
      </c>
      <c r="P23">
        <v>0.36884800000000001</v>
      </c>
      <c r="Q23">
        <v>0.37004599999999999</v>
      </c>
      <c r="R23">
        <v>0.37123899999999999</v>
      </c>
      <c r="S23">
        <v>0.37238300000000002</v>
      </c>
      <c r="T23">
        <v>0.37348500000000001</v>
      </c>
      <c r="U23">
        <v>0.37482799999999999</v>
      </c>
      <c r="V23">
        <v>0.37610199999999999</v>
      </c>
      <c r="W23">
        <v>0.37739</v>
      </c>
      <c r="X23">
        <v>0.37866300000000003</v>
      </c>
      <c r="Y23">
        <v>0.37990099999999999</v>
      </c>
      <c r="Z23">
        <v>0.38101400000000002</v>
      </c>
      <c r="AA23">
        <v>0.38195499999999999</v>
      </c>
      <c r="AB23">
        <v>0.38280700000000001</v>
      </c>
      <c r="AC23">
        <v>0.383654</v>
      </c>
      <c r="AD23">
        <v>0.38441500000000001</v>
      </c>
      <c r="AE23" t="s">
        <v>1023</v>
      </c>
    </row>
    <row r="24" spans="1:31" x14ac:dyDescent="0.25">
      <c r="A24" t="s">
        <v>1201</v>
      </c>
      <c r="B24" t="s">
        <v>1202</v>
      </c>
      <c r="C24" t="s">
        <v>1203</v>
      </c>
      <c r="D24" t="s">
        <v>397</v>
      </c>
      <c r="E24">
        <v>0.35769099999999998</v>
      </c>
      <c r="F24">
        <v>0.403698</v>
      </c>
      <c r="G24">
        <v>0.45296799999999998</v>
      </c>
      <c r="H24">
        <v>0.50386399999999998</v>
      </c>
      <c r="I24">
        <v>0.55580099999999999</v>
      </c>
      <c r="J24">
        <v>0.60810600000000004</v>
      </c>
      <c r="K24">
        <v>0.66097600000000001</v>
      </c>
      <c r="L24">
        <v>0.71486099999999997</v>
      </c>
      <c r="M24">
        <v>0.76973400000000003</v>
      </c>
      <c r="N24">
        <v>0.825407</v>
      </c>
      <c r="O24">
        <v>0.881718</v>
      </c>
      <c r="P24">
        <v>0.93838600000000005</v>
      </c>
      <c r="Q24">
        <v>0.99514899999999995</v>
      </c>
      <c r="R24">
        <v>1.0513049999999999</v>
      </c>
      <c r="S24">
        <v>1.1063590000000001</v>
      </c>
      <c r="T24">
        <v>1.1598010000000001</v>
      </c>
      <c r="U24">
        <v>1.2114279999999999</v>
      </c>
      <c r="V24">
        <v>1.2604219999999999</v>
      </c>
      <c r="W24">
        <v>1.3068299999999999</v>
      </c>
      <c r="X24">
        <v>1.3498509999999999</v>
      </c>
      <c r="Y24">
        <v>1.389499</v>
      </c>
      <c r="Z24">
        <v>1.424823</v>
      </c>
      <c r="AA24">
        <v>1.4555169999999999</v>
      </c>
      <c r="AB24">
        <v>1.4812449999999999</v>
      </c>
      <c r="AC24">
        <v>1.501816</v>
      </c>
      <c r="AD24">
        <v>1.5200849999999999</v>
      </c>
      <c r="AE24" t="s">
        <v>1204</v>
      </c>
    </row>
    <row r="25" spans="1:31" x14ac:dyDescent="0.25">
      <c r="A25" t="s">
        <v>1205</v>
      </c>
      <c r="B25" t="s">
        <v>105</v>
      </c>
      <c r="C25" t="s">
        <v>1206</v>
      </c>
      <c r="D25" t="s">
        <v>397</v>
      </c>
      <c r="E25">
        <v>0.21695300000000001</v>
      </c>
      <c r="F25">
        <v>0.21174499999999999</v>
      </c>
      <c r="G25">
        <v>0.207122</v>
      </c>
      <c r="H25">
        <v>0.202684</v>
      </c>
      <c r="I25">
        <v>0.19826199999999999</v>
      </c>
      <c r="J25">
        <v>0.193913</v>
      </c>
      <c r="K25">
        <v>0.189829</v>
      </c>
      <c r="L25">
        <v>0.18572</v>
      </c>
      <c r="M25">
        <v>0.18246499999999999</v>
      </c>
      <c r="N25">
        <v>0.17970900000000001</v>
      </c>
      <c r="O25">
        <v>0.177067</v>
      </c>
      <c r="P25">
        <v>0.175041</v>
      </c>
      <c r="Q25">
        <v>0.173177</v>
      </c>
      <c r="R25">
        <v>0.17144699999999999</v>
      </c>
      <c r="S25">
        <v>0.170381</v>
      </c>
      <c r="T25">
        <v>0.16903399999999999</v>
      </c>
      <c r="U25">
        <v>0.16736699999999999</v>
      </c>
      <c r="V25">
        <v>0.16647999999999999</v>
      </c>
      <c r="W25">
        <v>0.16480900000000001</v>
      </c>
      <c r="X25">
        <v>0.16345199999999999</v>
      </c>
      <c r="Y25">
        <v>0.16186400000000001</v>
      </c>
      <c r="Z25">
        <v>0.16063</v>
      </c>
      <c r="AA25">
        <v>0.15854499999999999</v>
      </c>
      <c r="AB25">
        <v>0.15620999999999999</v>
      </c>
      <c r="AC25">
        <v>0.153638</v>
      </c>
      <c r="AD25">
        <v>0.150807</v>
      </c>
      <c r="AE25" t="s">
        <v>987</v>
      </c>
    </row>
    <row r="26" spans="1:31" x14ac:dyDescent="0.25">
      <c r="A26" t="s">
        <v>422</v>
      </c>
      <c r="B26" t="s">
        <v>108</v>
      </c>
      <c r="C26" t="s">
        <v>1207</v>
      </c>
      <c r="D26" t="s">
        <v>397</v>
      </c>
      <c r="E26">
        <v>1.949163</v>
      </c>
      <c r="F26">
        <v>2.1337269999999999</v>
      </c>
      <c r="G26">
        <v>2.139688</v>
      </c>
      <c r="H26">
        <v>2.1391499999999999</v>
      </c>
      <c r="I26">
        <v>2.1382029999999999</v>
      </c>
      <c r="J26">
        <v>2.1360299999999999</v>
      </c>
      <c r="K26">
        <v>2.1342720000000002</v>
      </c>
      <c r="L26">
        <v>2.1334949999999999</v>
      </c>
      <c r="M26">
        <v>2.134242</v>
      </c>
      <c r="N26">
        <v>2.1362719999999999</v>
      </c>
      <c r="O26">
        <v>2.1396160000000002</v>
      </c>
      <c r="P26">
        <v>2.1449530000000001</v>
      </c>
      <c r="Q26">
        <v>2.15116</v>
      </c>
      <c r="R26">
        <v>2.1578780000000002</v>
      </c>
      <c r="S26">
        <v>2.1648679999999998</v>
      </c>
      <c r="T26">
        <v>2.1721889999999999</v>
      </c>
      <c r="U26">
        <v>2.179389</v>
      </c>
      <c r="V26">
        <v>2.1868370000000001</v>
      </c>
      <c r="W26">
        <v>2.1948530000000002</v>
      </c>
      <c r="X26">
        <v>2.2030379999999998</v>
      </c>
      <c r="Y26">
        <v>2.2121149999999998</v>
      </c>
      <c r="Z26">
        <v>2.2210610000000002</v>
      </c>
      <c r="AA26">
        <v>2.2301319999999998</v>
      </c>
      <c r="AB26">
        <v>2.239662</v>
      </c>
      <c r="AC26">
        <v>2.249701</v>
      </c>
      <c r="AD26">
        <v>2.260383</v>
      </c>
      <c r="AE26" t="s">
        <v>998</v>
      </c>
    </row>
    <row r="27" spans="1:31" x14ac:dyDescent="0.25">
      <c r="A27" t="s">
        <v>424</v>
      </c>
      <c r="B27" t="s">
        <v>110</v>
      </c>
      <c r="C27" t="s">
        <v>1208</v>
      </c>
      <c r="D27" t="s">
        <v>397</v>
      </c>
      <c r="E27">
        <v>5.1532549999999997</v>
      </c>
      <c r="F27">
        <v>5.3909659999999997</v>
      </c>
      <c r="G27">
        <v>5.4486230000000004</v>
      </c>
      <c r="H27">
        <v>5.5117349999999998</v>
      </c>
      <c r="I27">
        <v>5.5710030000000001</v>
      </c>
      <c r="J27">
        <v>5.6097219999999997</v>
      </c>
      <c r="K27">
        <v>5.6525759999999998</v>
      </c>
      <c r="L27">
        <v>5.7001429999999997</v>
      </c>
      <c r="M27">
        <v>5.7539410000000002</v>
      </c>
      <c r="N27">
        <v>5.8118990000000004</v>
      </c>
      <c r="O27">
        <v>5.8729810000000002</v>
      </c>
      <c r="P27">
        <v>5.940315</v>
      </c>
      <c r="Q27">
        <v>6.0097480000000001</v>
      </c>
      <c r="R27">
        <v>6.0802860000000001</v>
      </c>
      <c r="S27">
        <v>6.1509410000000004</v>
      </c>
      <c r="T27">
        <v>6.2187760000000001</v>
      </c>
      <c r="U27">
        <v>6.2869549999999998</v>
      </c>
      <c r="V27">
        <v>6.3548049999999998</v>
      </c>
      <c r="W27">
        <v>6.4218029999999997</v>
      </c>
      <c r="X27">
        <v>6.4868730000000001</v>
      </c>
      <c r="Y27">
        <v>6.5502229999999999</v>
      </c>
      <c r="Z27">
        <v>6.6083980000000002</v>
      </c>
      <c r="AA27">
        <v>6.6594790000000001</v>
      </c>
      <c r="AB27">
        <v>6.7053450000000003</v>
      </c>
      <c r="AC27">
        <v>6.7475779999999999</v>
      </c>
      <c r="AD27">
        <v>6.7875439999999996</v>
      </c>
      <c r="AE27" t="s">
        <v>1209</v>
      </c>
    </row>
    <row r="28" spans="1:31" x14ac:dyDescent="0.25">
      <c r="A28" t="s">
        <v>426</v>
      </c>
      <c r="B28" t="s">
        <v>112</v>
      </c>
      <c r="C28" t="s">
        <v>1210</v>
      </c>
      <c r="D28" t="s">
        <v>397</v>
      </c>
      <c r="E28">
        <v>3.1625E-2</v>
      </c>
      <c r="F28">
        <v>4.1348999999999997E-2</v>
      </c>
      <c r="G28">
        <v>5.3095000000000003E-2</v>
      </c>
      <c r="H28">
        <v>6.6243999999999997E-2</v>
      </c>
      <c r="I28">
        <v>7.9602999999999993E-2</v>
      </c>
      <c r="J28">
        <v>9.2543E-2</v>
      </c>
      <c r="K28">
        <v>0.10441599999999999</v>
      </c>
      <c r="L28">
        <v>0.115643</v>
      </c>
      <c r="M28">
        <v>0.126972</v>
      </c>
      <c r="N28">
        <v>0.13850199999999999</v>
      </c>
      <c r="O28">
        <v>0.150392</v>
      </c>
      <c r="P28">
        <v>0.16246099999999999</v>
      </c>
      <c r="Q28">
        <v>0.17480399999999999</v>
      </c>
      <c r="R28">
        <v>0.18723899999999999</v>
      </c>
      <c r="S28">
        <v>0.19958999999999999</v>
      </c>
      <c r="T28">
        <v>0.212288</v>
      </c>
      <c r="U28">
        <v>0.22536400000000001</v>
      </c>
      <c r="V28">
        <v>0.23924300000000001</v>
      </c>
      <c r="W28">
        <v>0.253973</v>
      </c>
      <c r="X28">
        <v>0.26994400000000002</v>
      </c>
      <c r="Y28">
        <v>0.28712100000000002</v>
      </c>
      <c r="Z28">
        <v>0.30473800000000001</v>
      </c>
      <c r="AA28">
        <v>0.32270399999999999</v>
      </c>
      <c r="AB28">
        <v>0.34103499999999998</v>
      </c>
      <c r="AC28">
        <v>0.35960799999999998</v>
      </c>
      <c r="AD28">
        <v>0.37826300000000002</v>
      </c>
      <c r="AE28" t="s">
        <v>1211</v>
      </c>
    </row>
    <row r="29" spans="1:31" x14ac:dyDescent="0.25">
      <c r="A29" t="s">
        <v>428</v>
      </c>
      <c r="B29" t="s">
        <v>114</v>
      </c>
      <c r="C29" t="s">
        <v>1212</v>
      </c>
      <c r="D29" t="s">
        <v>397</v>
      </c>
      <c r="E29">
        <v>0.15950900000000001</v>
      </c>
      <c r="F29">
        <v>0.178677</v>
      </c>
      <c r="G29">
        <v>0.19480600000000001</v>
      </c>
      <c r="H29">
        <v>0.202568</v>
      </c>
      <c r="I29">
        <v>0.20727899999999999</v>
      </c>
      <c r="J29">
        <v>0.212645</v>
      </c>
      <c r="K29">
        <v>0.21679300000000001</v>
      </c>
      <c r="L29">
        <v>0.22007099999999999</v>
      </c>
      <c r="M29">
        <v>0.22375700000000001</v>
      </c>
      <c r="N29">
        <v>0.22936000000000001</v>
      </c>
      <c r="O29">
        <v>0.23388900000000001</v>
      </c>
      <c r="P29">
        <v>0.23771300000000001</v>
      </c>
      <c r="Q29">
        <v>0.24440600000000001</v>
      </c>
      <c r="R29">
        <v>0.25092700000000001</v>
      </c>
      <c r="S29">
        <v>0.25883299999999998</v>
      </c>
      <c r="T29">
        <v>0.26564700000000002</v>
      </c>
      <c r="U29">
        <v>0.26933000000000001</v>
      </c>
      <c r="V29">
        <v>0.27484399999999998</v>
      </c>
      <c r="W29">
        <v>0.27782000000000001</v>
      </c>
      <c r="X29">
        <v>0.281171</v>
      </c>
      <c r="Y29">
        <v>0.28390700000000002</v>
      </c>
      <c r="Z29">
        <v>0.28815800000000003</v>
      </c>
      <c r="AA29">
        <v>0.29341899999999999</v>
      </c>
      <c r="AB29">
        <v>0.29877599999999999</v>
      </c>
      <c r="AC29">
        <v>0.30282900000000001</v>
      </c>
      <c r="AD29">
        <v>0.308056</v>
      </c>
      <c r="AE29" t="s">
        <v>1213</v>
      </c>
    </row>
    <row r="30" spans="1:31" x14ac:dyDescent="0.25">
      <c r="A30" t="s">
        <v>624</v>
      </c>
      <c r="B30" t="s">
        <v>116</v>
      </c>
      <c r="C30" t="s">
        <v>1214</v>
      </c>
      <c r="D30" t="s">
        <v>397</v>
      </c>
      <c r="E30">
        <v>5.0253730000000001</v>
      </c>
      <c r="F30">
        <v>5.2536379999999996</v>
      </c>
      <c r="G30">
        <v>5.3069119999999996</v>
      </c>
      <c r="H30">
        <v>5.3754119999999999</v>
      </c>
      <c r="I30">
        <v>5.443327</v>
      </c>
      <c r="J30">
        <v>5.4896200000000004</v>
      </c>
      <c r="K30">
        <v>5.5401990000000003</v>
      </c>
      <c r="L30">
        <v>5.5957150000000002</v>
      </c>
      <c r="M30">
        <v>5.6571559999999996</v>
      </c>
      <c r="N30">
        <v>5.7210400000000003</v>
      </c>
      <c r="O30">
        <v>5.789485</v>
      </c>
      <c r="P30">
        <v>5.8650630000000001</v>
      </c>
      <c r="Q30">
        <v>5.9401460000000004</v>
      </c>
      <c r="R30">
        <v>6.0165980000000001</v>
      </c>
      <c r="S30">
        <v>6.0916980000000001</v>
      </c>
      <c r="T30">
        <v>6.1654169999999997</v>
      </c>
      <c r="U30">
        <v>6.2429899999999998</v>
      </c>
      <c r="V30">
        <v>6.319204</v>
      </c>
      <c r="W30">
        <v>6.3979559999999998</v>
      </c>
      <c r="X30">
        <v>6.4756460000000002</v>
      </c>
      <c r="Y30">
        <v>6.5534369999999997</v>
      </c>
      <c r="Z30">
        <v>6.6249789999999997</v>
      </c>
      <c r="AA30">
        <v>6.6887629999999998</v>
      </c>
      <c r="AB30">
        <v>6.7476050000000001</v>
      </c>
      <c r="AC30">
        <v>6.8043579999999997</v>
      </c>
      <c r="AD30">
        <v>6.8577510000000004</v>
      </c>
      <c r="AE30" t="s">
        <v>1025</v>
      </c>
    </row>
    <row r="31" spans="1:31" x14ac:dyDescent="0.25">
      <c r="A31" t="s">
        <v>432</v>
      </c>
    </row>
    <row r="32" spans="1:31" x14ac:dyDescent="0.25">
      <c r="A32" t="s">
        <v>395</v>
      </c>
      <c r="B32" t="s">
        <v>118</v>
      </c>
      <c r="C32" t="s">
        <v>1215</v>
      </c>
      <c r="D32" t="s">
        <v>397</v>
      </c>
      <c r="E32">
        <v>1.677395</v>
      </c>
      <c r="F32">
        <v>1.6589769999999999</v>
      </c>
      <c r="G32">
        <v>1.6553329999999999</v>
      </c>
      <c r="H32">
        <v>1.6402129999999999</v>
      </c>
      <c r="I32">
        <v>1.6146229999999999</v>
      </c>
      <c r="J32">
        <v>1.585396</v>
      </c>
      <c r="K32">
        <v>1.5581529999999999</v>
      </c>
      <c r="L32">
        <v>1.539679</v>
      </c>
      <c r="M32">
        <v>1.5255799999999999</v>
      </c>
      <c r="N32">
        <v>1.5149980000000001</v>
      </c>
      <c r="O32">
        <v>1.504151</v>
      </c>
      <c r="P32">
        <v>1.4947490000000001</v>
      </c>
      <c r="Q32">
        <v>1.4847630000000001</v>
      </c>
      <c r="R32">
        <v>1.474809</v>
      </c>
      <c r="S32">
        <v>1.464232</v>
      </c>
      <c r="T32">
        <v>1.4538169999999999</v>
      </c>
      <c r="U32">
        <v>1.4437610000000001</v>
      </c>
      <c r="V32">
        <v>1.435541</v>
      </c>
      <c r="W32">
        <v>1.427792</v>
      </c>
      <c r="X32">
        <v>1.4207719999999999</v>
      </c>
      <c r="Y32">
        <v>1.4132450000000001</v>
      </c>
      <c r="Z32">
        <v>1.403235</v>
      </c>
      <c r="AA32">
        <v>1.3916379999999999</v>
      </c>
      <c r="AB32">
        <v>1.379734</v>
      </c>
      <c r="AC32">
        <v>1.3678490000000001</v>
      </c>
      <c r="AD32">
        <v>1.356255</v>
      </c>
      <c r="AE32" t="s">
        <v>1051</v>
      </c>
    </row>
    <row r="33" spans="1:31" x14ac:dyDescent="0.25">
      <c r="A33" t="s">
        <v>398</v>
      </c>
      <c r="B33" t="s">
        <v>120</v>
      </c>
      <c r="C33" t="s">
        <v>1216</v>
      </c>
      <c r="D33" t="s">
        <v>397</v>
      </c>
      <c r="E33">
        <v>1.5692000000000001E-2</v>
      </c>
      <c r="F33">
        <v>1.7611999999999999E-2</v>
      </c>
      <c r="G33">
        <v>1.7944999999999999E-2</v>
      </c>
      <c r="H33">
        <v>1.8169000000000001E-2</v>
      </c>
      <c r="I33">
        <v>1.8287000000000001E-2</v>
      </c>
      <c r="J33">
        <v>1.8391999999999999E-2</v>
      </c>
      <c r="K33">
        <v>1.8554999999999999E-2</v>
      </c>
      <c r="L33">
        <v>1.8870999999999999E-2</v>
      </c>
      <c r="M33">
        <v>1.9279999999999999E-2</v>
      </c>
      <c r="N33">
        <v>1.9785000000000001E-2</v>
      </c>
      <c r="O33">
        <v>2.0337999999999998E-2</v>
      </c>
      <c r="P33">
        <v>2.0947E-2</v>
      </c>
      <c r="Q33">
        <v>2.1603000000000001E-2</v>
      </c>
      <c r="R33">
        <v>2.2291999999999999E-2</v>
      </c>
      <c r="S33">
        <v>2.3007E-2</v>
      </c>
      <c r="T33">
        <v>2.3771E-2</v>
      </c>
      <c r="U33">
        <v>2.4568E-2</v>
      </c>
      <c r="V33">
        <v>2.5420999999999999E-2</v>
      </c>
      <c r="W33">
        <v>2.6325999999999999E-2</v>
      </c>
      <c r="X33">
        <v>2.7285E-2</v>
      </c>
      <c r="Y33">
        <v>2.8298E-2</v>
      </c>
      <c r="Z33">
        <v>2.9311E-2</v>
      </c>
      <c r="AA33">
        <v>3.0356000000000001E-2</v>
      </c>
      <c r="AB33">
        <v>3.1434999999999998E-2</v>
      </c>
      <c r="AC33">
        <v>3.2570000000000002E-2</v>
      </c>
      <c r="AD33">
        <v>3.3763000000000001E-2</v>
      </c>
      <c r="AE33" t="s">
        <v>1217</v>
      </c>
    </row>
    <row r="34" spans="1:31" x14ac:dyDescent="0.25">
      <c r="A34" t="s">
        <v>400</v>
      </c>
      <c r="B34" t="s">
        <v>122</v>
      </c>
      <c r="C34" t="s">
        <v>1218</v>
      </c>
      <c r="D34" t="s">
        <v>397</v>
      </c>
      <c r="E34">
        <v>0.27396999999999999</v>
      </c>
      <c r="F34">
        <v>0.28034100000000001</v>
      </c>
      <c r="G34">
        <v>0.28301799999999999</v>
      </c>
      <c r="H34">
        <v>0.28370099999999998</v>
      </c>
      <c r="I34">
        <v>0.28280699999999998</v>
      </c>
      <c r="J34">
        <v>0.28132299999999999</v>
      </c>
      <c r="K34">
        <v>0.280138</v>
      </c>
      <c r="L34">
        <v>0.28065699999999999</v>
      </c>
      <c r="M34">
        <v>0.28179199999999999</v>
      </c>
      <c r="N34">
        <v>0.28385700000000003</v>
      </c>
      <c r="O34">
        <v>0.28610000000000002</v>
      </c>
      <c r="P34">
        <v>0.28878300000000001</v>
      </c>
      <c r="Q34">
        <v>0.29144900000000001</v>
      </c>
      <c r="R34">
        <v>0.29413099999999998</v>
      </c>
      <c r="S34">
        <v>0.29672999999999999</v>
      </c>
      <c r="T34">
        <v>0.29936600000000002</v>
      </c>
      <c r="U34">
        <v>0.30216399999999999</v>
      </c>
      <c r="V34">
        <v>0.30531700000000001</v>
      </c>
      <c r="W34">
        <v>0.30862800000000001</v>
      </c>
      <c r="X34">
        <v>0.312135</v>
      </c>
      <c r="Y34">
        <v>0.31552200000000002</v>
      </c>
      <c r="Z34">
        <v>0.31842900000000002</v>
      </c>
      <c r="AA34">
        <v>0.32100499999999998</v>
      </c>
      <c r="AB34">
        <v>0.32346599999999998</v>
      </c>
      <c r="AC34">
        <v>0.32592300000000002</v>
      </c>
      <c r="AD34">
        <v>0.32842900000000003</v>
      </c>
      <c r="AE34" t="s">
        <v>1058</v>
      </c>
    </row>
    <row r="35" spans="1:31" x14ac:dyDescent="0.25">
      <c r="A35" t="s">
        <v>404</v>
      </c>
      <c r="B35" t="s">
        <v>124</v>
      </c>
      <c r="C35" t="s">
        <v>1219</v>
      </c>
      <c r="D35" t="s">
        <v>397</v>
      </c>
      <c r="E35">
        <v>0.40538999999999997</v>
      </c>
      <c r="F35">
        <v>0.41269800000000001</v>
      </c>
      <c r="G35">
        <v>0.41620099999999999</v>
      </c>
      <c r="H35">
        <v>0.416769</v>
      </c>
      <c r="I35">
        <v>0.41515299999999999</v>
      </c>
      <c r="J35">
        <v>0.412603</v>
      </c>
      <c r="K35">
        <v>0.410522</v>
      </c>
      <c r="L35">
        <v>0.41081499999999999</v>
      </c>
      <c r="M35">
        <v>0.41202800000000001</v>
      </c>
      <c r="N35">
        <v>0.414518</v>
      </c>
      <c r="O35">
        <v>0.41720299999999999</v>
      </c>
      <c r="P35">
        <v>0.42046600000000001</v>
      </c>
      <c r="Q35">
        <v>0.42367300000000002</v>
      </c>
      <c r="R35">
        <v>0.42686800000000003</v>
      </c>
      <c r="S35">
        <v>0.429898</v>
      </c>
      <c r="T35">
        <v>0.43293399999999999</v>
      </c>
      <c r="U35">
        <v>0.43624499999999999</v>
      </c>
      <c r="V35">
        <v>0.440058</v>
      </c>
      <c r="W35">
        <v>0.44407600000000003</v>
      </c>
      <c r="X35">
        <v>0.448351</v>
      </c>
      <c r="Y35">
        <v>0.45241599999999998</v>
      </c>
      <c r="Z35">
        <v>0.45573799999999998</v>
      </c>
      <c r="AA35">
        <v>0.45854200000000001</v>
      </c>
      <c r="AB35">
        <v>0.46114699999999997</v>
      </c>
      <c r="AC35">
        <v>0.46372099999999999</v>
      </c>
      <c r="AD35">
        <v>0.46634399999999998</v>
      </c>
      <c r="AE35" t="s">
        <v>998</v>
      </c>
    </row>
    <row r="36" spans="1:31" x14ac:dyDescent="0.25">
      <c r="A36" t="s">
        <v>422</v>
      </c>
      <c r="B36" t="s">
        <v>126</v>
      </c>
      <c r="C36" t="s">
        <v>1220</v>
      </c>
      <c r="D36" t="s">
        <v>397</v>
      </c>
      <c r="E36">
        <v>1.2673559999999999</v>
      </c>
      <c r="F36">
        <v>1.1943330000000001</v>
      </c>
      <c r="G36">
        <v>1.1990430000000001</v>
      </c>
      <c r="H36">
        <v>1.1970860000000001</v>
      </c>
      <c r="I36">
        <v>1.1883330000000001</v>
      </c>
      <c r="J36">
        <v>1.177144</v>
      </c>
      <c r="K36">
        <v>1.166085</v>
      </c>
      <c r="L36">
        <v>1.160668</v>
      </c>
      <c r="M36">
        <v>1.1572070000000001</v>
      </c>
      <c r="N36">
        <v>1.156334</v>
      </c>
      <c r="O36">
        <v>1.1553119999999999</v>
      </c>
      <c r="P36">
        <v>1.1553340000000001</v>
      </c>
      <c r="Q36">
        <v>1.1551670000000001</v>
      </c>
      <c r="R36">
        <v>1.155125</v>
      </c>
      <c r="S36">
        <v>1.154979</v>
      </c>
      <c r="T36">
        <v>1.1551629999999999</v>
      </c>
      <c r="U36">
        <v>1.1555249999999999</v>
      </c>
      <c r="V36">
        <v>1.1573659999999999</v>
      </c>
      <c r="W36">
        <v>1.1597249999999999</v>
      </c>
      <c r="X36">
        <v>1.1629609999999999</v>
      </c>
      <c r="Y36">
        <v>1.165869</v>
      </c>
      <c r="Z36">
        <v>1.1673819999999999</v>
      </c>
      <c r="AA36">
        <v>1.168018</v>
      </c>
      <c r="AB36">
        <v>1.16842</v>
      </c>
      <c r="AC36">
        <v>1.1688689999999999</v>
      </c>
      <c r="AD36">
        <v>1.1696519999999999</v>
      </c>
      <c r="AE36" t="s">
        <v>1221</v>
      </c>
    </row>
    <row r="37" spans="1:31" x14ac:dyDescent="0.25">
      <c r="A37" t="s">
        <v>439</v>
      </c>
      <c r="B37" t="s">
        <v>128</v>
      </c>
      <c r="C37" t="s">
        <v>1222</v>
      </c>
      <c r="D37" t="s">
        <v>397</v>
      </c>
      <c r="E37">
        <v>3.6398039999999998</v>
      </c>
      <c r="F37">
        <v>3.5639609999999999</v>
      </c>
      <c r="G37">
        <v>3.5715400000000002</v>
      </c>
      <c r="H37">
        <v>3.5559379999999998</v>
      </c>
      <c r="I37">
        <v>3.5192030000000001</v>
      </c>
      <c r="J37">
        <v>3.4748570000000001</v>
      </c>
      <c r="K37">
        <v>3.4334530000000001</v>
      </c>
      <c r="L37">
        <v>3.4106900000000002</v>
      </c>
      <c r="M37">
        <v>3.395886</v>
      </c>
      <c r="N37">
        <v>3.3894920000000002</v>
      </c>
      <c r="O37">
        <v>3.3831030000000002</v>
      </c>
      <c r="P37">
        <v>3.3802789999999998</v>
      </c>
      <c r="Q37">
        <v>3.376655</v>
      </c>
      <c r="R37">
        <v>3.373224</v>
      </c>
      <c r="S37">
        <v>3.3688470000000001</v>
      </c>
      <c r="T37">
        <v>3.3650509999999998</v>
      </c>
      <c r="U37">
        <v>3.362263</v>
      </c>
      <c r="V37">
        <v>3.3637030000000001</v>
      </c>
      <c r="W37">
        <v>3.3665470000000002</v>
      </c>
      <c r="X37">
        <v>3.3715039999999998</v>
      </c>
      <c r="Y37">
        <v>3.3753500000000001</v>
      </c>
      <c r="Z37">
        <v>3.3740939999999999</v>
      </c>
      <c r="AA37">
        <v>3.3695590000000002</v>
      </c>
      <c r="AB37">
        <v>3.364201</v>
      </c>
      <c r="AC37">
        <v>3.3589319999999998</v>
      </c>
      <c r="AD37">
        <v>3.3544420000000001</v>
      </c>
      <c r="AE37" t="s">
        <v>1221</v>
      </c>
    </row>
    <row r="38" spans="1:31" x14ac:dyDescent="0.25">
      <c r="A38" t="s">
        <v>441</v>
      </c>
    </row>
    <row r="39" spans="1:31" x14ac:dyDescent="0.25">
      <c r="A39" t="s">
        <v>395</v>
      </c>
      <c r="B39" t="s">
        <v>130</v>
      </c>
      <c r="C39" t="s">
        <v>1223</v>
      </c>
      <c r="D39" t="s">
        <v>397</v>
      </c>
      <c r="E39">
        <v>7.4527999999999997E-2</v>
      </c>
      <c r="F39">
        <v>7.2814000000000004E-2</v>
      </c>
      <c r="G39">
        <v>7.2147000000000003E-2</v>
      </c>
      <c r="H39">
        <v>7.1328000000000003E-2</v>
      </c>
      <c r="I39">
        <v>7.0239999999999997E-2</v>
      </c>
      <c r="J39">
        <v>6.9389999999999993E-2</v>
      </c>
      <c r="K39">
        <v>6.8552000000000002E-2</v>
      </c>
      <c r="L39">
        <v>6.7389000000000004E-2</v>
      </c>
      <c r="M39">
        <v>6.5911999999999998E-2</v>
      </c>
      <c r="N39">
        <v>6.4452999999999996E-2</v>
      </c>
      <c r="O39">
        <v>6.3008999999999996E-2</v>
      </c>
      <c r="P39">
        <v>6.1670000000000003E-2</v>
      </c>
      <c r="Q39">
        <v>6.0345999999999997E-2</v>
      </c>
      <c r="R39">
        <v>5.9039000000000001E-2</v>
      </c>
      <c r="S39">
        <v>5.7779999999999998E-2</v>
      </c>
      <c r="T39">
        <v>5.6542000000000002E-2</v>
      </c>
      <c r="U39">
        <v>5.5330999999999998E-2</v>
      </c>
      <c r="V39">
        <v>5.4154000000000001E-2</v>
      </c>
      <c r="W39">
        <v>5.2975000000000001E-2</v>
      </c>
      <c r="X39">
        <v>5.1813999999999999E-2</v>
      </c>
      <c r="Y39">
        <v>5.0657000000000001E-2</v>
      </c>
      <c r="Z39">
        <v>4.9515999999999998E-2</v>
      </c>
      <c r="AA39">
        <v>4.8376000000000002E-2</v>
      </c>
      <c r="AB39">
        <v>4.7275999999999999E-2</v>
      </c>
      <c r="AC39">
        <v>4.6178999999999998E-2</v>
      </c>
      <c r="AD39">
        <v>4.5136000000000003E-2</v>
      </c>
      <c r="AE39" t="s">
        <v>1115</v>
      </c>
    </row>
    <row r="40" spans="1:31" x14ac:dyDescent="0.25">
      <c r="A40" t="s">
        <v>400</v>
      </c>
      <c r="B40" t="s">
        <v>132</v>
      </c>
      <c r="C40" t="s">
        <v>1224</v>
      </c>
      <c r="D40" t="s">
        <v>397</v>
      </c>
      <c r="E40">
        <v>3.7680000000000001E-3</v>
      </c>
      <c r="F40">
        <v>3.7829999999999999E-3</v>
      </c>
      <c r="G40">
        <v>3.7720000000000002E-3</v>
      </c>
      <c r="H40">
        <v>3.7559999999999998E-3</v>
      </c>
      <c r="I40">
        <v>3.738E-3</v>
      </c>
      <c r="J40">
        <v>3.7339999999999999E-3</v>
      </c>
      <c r="K40">
        <v>3.7299999999999998E-3</v>
      </c>
      <c r="L40">
        <v>3.7100000000000002E-3</v>
      </c>
      <c r="M40">
        <v>3.6719999999999999E-3</v>
      </c>
      <c r="N40">
        <v>3.6359999999999999E-3</v>
      </c>
      <c r="O40">
        <v>3.6020000000000002E-3</v>
      </c>
      <c r="P40">
        <v>3.5739999999999999E-3</v>
      </c>
      <c r="Q40">
        <v>3.5469999999999998E-3</v>
      </c>
      <c r="R40">
        <v>3.5209999999999998E-3</v>
      </c>
      <c r="S40">
        <v>3.496E-3</v>
      </c>
      <c r="T40">
        <v>3.4719999999999998E-3</v>
      </c>
      <c r="U40">
        <v>3.4480000000000001E-3</v>
      </c>
      <c r="V40">
        <v>3.424E-3</v>
      </c>
      <c r="W40">
        <v>3.3999999999999998E-3</v>
      </c>
      <c r="X40">
        <v>3.3760000000000001E-3</v>
      </c>
      <c r="Y40">
        <v>3.3500000000000001E-3</v>
      </c>
      <c r="Z40">
        <v>3.3240000000000001E-3</v>
      </c>
      <c r="AA40">
        <v>3.2980000000000002E-3</v>
      </c>
      <c r="AB40">
        <v>3.2729999999999999E-3</v>
      </c>
      <c r="AC40">
        <v>3.2460000000000002E-3</v>
      </c>
      <c r="AD40">
        <v>3.222E-3</v>
      </c>
      <c r="AE40" t="s">
        <v>1120</v>
      </c>
    </row>
    <row r="41" spans="1:31" x14ac:dyDescent="0.25">
      <c r="A41" t="s">
        <v>422</v>
      </c>
      <c r="B41" t="s">
        <v>134</v>
      </c>
      <c r="C41" t="s">
        <v>1225</v>
      </c>
      <c r="D41" t="s">
        <v>397</v>
      </c>
      <c r="E41">
        <v>0.237124</v>
      </c>
      <c r="F41">
        <v>0.242392</v>
      </c>
      <c r="G41">
        <v>0.25052600000000003</v>
      </c>
      <c r="H41">
        <v>0.25241000000000002</v>
      </c>
      <c r="I41">
        <v>0.25394099999999997</v>
      </c>
      <c r="J41">
        <v>0.256359</v>
      </c>
      <c r="K41">
        <v>0.25846799999999998</v>
      </c>
      <c r="L41">
        <v>0.25921899999999998</v>
      </c>
      <c r="M41">
        <v>0.258164</v>
      </c>
      <c r="N41">
        <v>0.257158</v>
      </c>
      <c r="O41">
        <v>0.256193</v>
      </c>
      <c r="P41">
        <v>0.25562600000000002</v>
      </c>
      <c r="Q41">
        <v>0.25496200000000002</v>
      </c>
      <c r="R41">
        <v>0.25428000000000001</v>
      </c>
      <c r="S41">
        <v>0.25374799999999997</v>
      </c>
      <c r="T41">
        <v>0.25328899999999999</v>
      </c>
      <c r="U41">
        <v>0.25278</v>
      </c>
      <c r="V41">
        <v>0.25230599999999997</v>
      </c>
      <c r="W41">
        <v>0.251799</v>
      </c>
      <c r="X41">
        <v>0.25126500000000002</v>
      </c>
      <c r="Y41">
        <v>0.25063000000000002</v>
      </c>
      <c r="Z41">
        <v>0.24996199999999999</v>
      </c>
      <c r="AA41">
        <v>0.249195</v>
      </c>
      <c r="AB41">
        <v>0.248498</v>
      </c>
      <c r="AC41">
        <v>0.247697</v>
      </c>
      <c r="AD41">
        <v>0.24707599999999999</v>
      </c>
      <c r="AE41" t="s">
        <v>1023</v>
      </c>
    </row>
    <row r="42" spans="1:31" x14ac:dyDescent="0.25">
      <c r="A42" t="s">
        <v>439</v>
      </c>
      <c r="B42" t="s">
        <v>136</v>
      </c>
      <c r="C42" t="s">
        <v>1226</v>
      </c>
      <c r="D42" t="s">
        <v>397</v>
      </c>
      <c r="E42">
        <v>0.31541999999999998</v>
      </c>
      <c r="F42">
        <v>0.31898799999999999</v>
      </c>
      <c r="G42">
        <v>0.32644600000000001</v>
      </c>
      <c r="H42">
        <v>0.32749499999999998</v>
      </c>
      <c r="I42">
        <v>0.32791799999999999</v>
      </c>
      <c r="J42">
        <v>0.329482</v>
      </c>
      <c r="K42">
        <v>0.33074900000000002</v>
      </c>
      <c r="L42">
        <v>0.33031700000000003</v>
      </c>
      <c r="M42">
        <v>0.32774799999999998</v>
      </c>
      <c r="N42">
        <v>0.32524599999999998</v>
      </c>
      <c r="O42">
        <v>0.32280300000000001</v>
      </c>
      <c r="P42">
        <v>0.32086999999999999</v>
      </c>
      <c r="Q42">
        <v>0.31885599999999997</v>
      </c>
      <c r="R42">
        <v>0.31683899999999998</v>
      </c>
      <c r="S42">
        <v>0.31502400000000003</v>
      </c>
      <c r="T42">
        <v>0.31330200000000002</v>
      </c>
      <c r="U42">
        <v>0.31156</v>
      </c>
      <c r="V42">
        <v>0.30988500000000002</v>
      </c>
      <c r="W42">
        <v>0.308174</v>
      </c>
      <c r="X42">
        <v>0.30645499999999998</v>
      </c>
      <c r="Y42">
        <v>0.30463699999999999</v>
      </c>
      <c r="Z42">
        <v>0.30280200000000002</v>
      </c>
      <c r="AA42">
        <v>0.300869</v>
      </c>
      <c r="AB42">
        <v>0.29904700000000001</v>
      </c>
      <c r="AC42">
        <v>0.297122</v>
      </c>
      <c r="AD42">
        <v>0.295435</v>
      </c>
      <c r="AE42" t="s">
        <v>1221</v>
      </c>
    </row>
    <row r="43" spans="1:31" x14ac:dyDescent="0.25">
      <c r="A43" t="s">
        <v>636</v>
      </c>
      <c r="B43" t="s">
        <v>138</v>
      </c>
      <c r="C43" t="s">
        <v>1227</v>
      </c>
      <c r="D43" t="s">
        <v>397</v>
      </c>
      <c r="E43">
        <v>0.143682</v>
      </c>
      <c r="F43">
        <v>0.143682</v>
      </c>
      <c r="G43">
        <v>0.143682</v>
      </c>
      <c r="H43">
        <v>0.143682</v>
      </c>
      <c r="I43">
        <v>0.143682</v>
      </c>
      <c r="J43">
        <v>0.143682</v>
      </c>
      <c r="K43">
        <v>0.143682</v>
      </c>
      <c r="L43">
        <v>0.143682</v>
      </c>
      <c r="M43">
        <v>0.143682</v>
      </c>
      <c r="N43">
        <v>0.143682</v>
      </c>
      <c r="O43">
        <v>0.143682</v>
      </c>
      <c r="P43">
        <v>0.143682</v>
      </c>
      <c r="Q43">
        <v>0.143682</v>
      </c>
      <c r="R43">
        <v>0.143682</v>
      </c>
      <c r="S43">
        <v>0.143682</v>
      </c>
      <c r="T43">
        <v>0.143682</v>
      </c>
      <c r="U43">
        <v>0.143682</v>
      </c>
      <c r="V43">
        <v>0.143682</v>
      </c>
      <c r="W43">
        <v>0.143682</v>
      </c>
      <c r="X43">
        <v>0.143682</v>
      </c>
      <c r="Y43">
        <v>0.143682</v>
      </c>
      <c r="Z43">
        <v>0.143682</v>
      </c>
      <c r="AA43">
        <v>0.143682</v>
      </c>
      <c r="AB43">
        <v>0.143682</v>
      </c>
      <c r="AC43">
        <v>0.143682</v>
      </c>
      <c r="AD43">
        <v>0.143682</v>
      </c>
      <c r="AE43" t="s">
        <v>1095</v>
      </c>
    </row>
    <row r="44" spans="1:31" x14ac:dyDescent="0.25">
      <c r="A44" t="s">
        <v>638</v>
      </c>
      <c r="B44" t="s">
        <v>140</v>
      </c>
      <c r="C44" t="s">
        <v>1228</v>
      </c>
      <c r="D44" t="s">
        <v>397</v>
      </c>
      <c r="E44">
        <v>0.64804899999999999</v>
      </c>
      <c r="F44">
        <v>0.66109399999999996</v>
      </c>
      <c r="G44">
        <v>0.66815899999999995</v>
      </c>
      <c r="H44">
        <v>0.67530999999999997</v>
      </c>
      <c r="I44">
        <v>0.68251499999999998</v>
      </c>
      <c r="J44">
        <v>0.69058600000000003</v>
      </c>
      <c r="K44">
        <v>0.69791700000000001</v>
      </c>
      <c r="L44">
        <v>0.705951</v>
      </c>
      <c r="M44">
        <v>0.71397100000000002</v>
      </c>
      <c r="N44">
        <v>0.72265699999999999</v>
      </c>
      <c r="O44">
        <v>0.73133000000000004</v>
      </c>
      <c r="P44">
        <v>0.74053500000000005</v>
      </c>
      <c r="Q44">
        <v>0.74982300000000002</v>
      </c>
      <c r="R44">
        <v>0.75890299999999999</v>
      </c>
      <c r="S44">
        <v>0.76786100000000002</v>
      </c>
      <c r="T44">
        <v>0.77653099999999997</v>
      </c>
      <c r="U44">
        <v>0.78471800000000003</v>
      </c>
      <c r="V44">
        <v>0.79267399999999999</v>
      </c>
      <c r="W44">
        <v>0.80039300000000002</v>
      </c>
      <c r="X44">
        <v>0.80793800000000005</v>
      </c>
      <c r="Y44">
        <v>0.81531299999999995</v>
      </c>
      <c r="Z44">
        <v>0.82266799999999995</v>
      </c>
      <c r="AA44">
        <v>0.82990399999999998</v>
      </c>
      <c r="AB44">
        <v>0.83711199999999997</v>
      </c>
      <c r="AC44">
        <v>0.84429500000000002</v>
      </c>
      <c r="AD44">
        <v>0.85150899999999996</v>
      </c>
      <c r="AE44" t="s">
        <v>1209</v>
      </c>
    </row>
    <row r="45" spans="1:31" x14ac:dyDescent="0.25">
      <c r="A45" t="s">
        <v>453</v>
      </c>
    </row>
    <row r="46" spans="1:31" x14ac:dyDescent="0.25">
      <c r="A46" t="s">
        <v>395</v>
      </c>
      <c r="B46" t="s">
        <v>1229</v>
      </c>
      <c r="C46" t="s">
        <v>1230</v>
      </c>
      <c r="D46" t="s">
        <v>397</v>
      </c>
      <c r="E46">
        <v>1.9527829999999999</v>
      </c>
      <c r="F46">
        <v>1.9257820000000001</v>
      </c>
      <c r="G46">
        <v>1.91981</v>
      </c>
      <c r="H46">
        <v>1.9027780000000001</v>
      </c>
      <c r="I46">
        <v>1.874552</v>
      </c>
      <c r="J46">
        <v>1.8426880000000001</v>
      </c>
      <c r="K46">
        <v>1.8127359999999999</v>
      </c>
      <c r="L46">
        <v>1.791174</v>
      </c>
      <c r="M46">
        <v>1.7737210000000001</v>
      </c>
      <c r="N46">
        <v>1.759693</v>
      </c>
      <c r="O46">
        <v>1.74536</v>
      </c>
      <c r="P46">
        <v>1.732645</v>
      </c>
      <c r="Q46">
        <v>1.719209</v>
      </c>
      <c r="R46">
        <v>1.7057800000000001</v>
      </c>
      <c r="S46">
        <v>1.6916739999999999</v>
      </c>
      <c r="T46">
        <v>1.6777249999999999</v>
      </c>
      <c r="U46">
        <v>1.6641919999999999</v>
      </c>
      <c r="V46">
        <v>1.652504</v>
      </c>
      <c r="W46">
        <v>1.641275</v>
      </c>
      <c r="X46">
        <v>1.630741</v>
      </c>
      <c r="Y46">
        <v>1.619726</v>
      </c>
      <c r="Z46">
        <v>1.606106</v>
      </c>
      <c r="AA46">
        <v>1.5907290000000001</v>
      </c>
      <c r="AB46">
        <v>1.5750420000000001</v>
      </c>
      <c r="AC46">
        <v>1.5594129999999999</v>
      </c>
      <c r="AD46">
        <v>1.544062</v>
      </c>
      <c r="AE46" t="s">
        <v>989</v>
      </c>
    </row>
    <row r="47" spans="1:31" x14ac:dyDescent="0.25">
      <c r="A47" t="s">
        <v>398</v>
      </c>
      <c r="B47" t="s">
        <v>1231</v>
      </c>
      <c r="C47" t="s">
        <v>1232</v>
      </c>
      <c r="D47" t="s">
        <v>397</v>
      </c>
      <c r="E47">
        <v>0.58253100000000002</v>
      </c>
      <c r="F47">
        <v>0.61208399999999996</v>
      </c>
      <c r="G47">
        <v>0.61880599999999997</v>
      </c>
      <c r="H47">
        <v>0.62719999999999998</v>
      </c>
      <c r="I47">
        <v>0.63409800000000005</v>
      </c>
      <c r="J47">
        <v>0.63845799999999997</v>
      </c>
      <c r="K47">
        <v>0.64351199999999997</v>
      </c>
      <c r="L47">
        <v>0.64931700000000003</v>
      </c>
      <c r="M47">
        <v>0.65568800000000005</v>
      </c>
      <c r="N47">
        <v>0.66273099999999996</v>
      </c>
      <c r="O47">
        <v>0.67013699999999998</v>
      </c>
      <c r="P47">
        <v>0.678396</v>
      </c>
      <c r="Q47">
        <v>0.68686800000000003</v>
      </c>
      <c r="R47">
        <v>0.69551799999999997</v>
      </c>
      <c r="S47">
        <v>0.70410799999999996</v>
      </c>
      <c r="T47">
        <v>0.71308300000000002</v>
      </c>
      <c r="U47">
        <v>0.72254799999999997</v>
      </c>
      <c r="V47">
        <v>0.73252300000000004</v>
      </c>
      <c r="W47">
        <v>0.74325799999999997</v>
      </c>
      <c r="X47">
        <v>0.75429000000000002</v>
      </c>
      <c r="Y47">
        <v>0.76584600000000003</v>
      </c>
      <c r="Z47">
        <v>0.77697899999999998</v>
      </c>
      <c r="AA47">
        <v>0.78769400000000001</v>
      </c>
      <c r="AB47">
        <v>0.79837899999999995</v>
      </c>
      <c r="AC47">
        <v>0.80965799999999999</v>
      </c>
      <c r="AD47">
        <v>0.82099999999999995</v>
      </c>
      <c r="AE47" t="s">
        <v>991</v>
      </c>
    </row>
    <row r="48" spans="1:31" x14ac:dyDescent="0.25">
      <c r="A48" t="s">
        <v>400</v>
      </c>
      <c r="B48" t="s">
        <v>1233</v>
      </c>
      <c r="C48" t="s">
        <v>1234</v>
      </c>
      <c r="D48" t="s">
        <v>397</v>
      </c>
      <c r="E48">
        <v>0.35153499999999999</v>
      </c>
      <c r="F48">
        <v>0.35685</v>
      </c>
      <c r="G48">
        <v>0.35884300000000002</v>
      </c>
      <c r="H48">
        <v>0.359097</v>
      </c>
      <c r="I48">
        <v>0.35761599999999999</v>
      </c>
      <c r="J48">
        <v>0.35524299999999998</v>
      </c>
      <c r="K48">
        <v>0.35315099999999999</v>
      </c>
      <c r="L48">
        <v>0.35276600000000002</v>
      </c>
      <c r="M48">
        <v>0.35303000000000001</v>
      </c>
      <c r="N48">
        <v>0.35423900000000003</v>
      </c>
      <c r="O48">
        <v>0.35563299999999998</v>
      </c>
      <c r="P48">
        <v>0.357541</v>
      </c>
      <c r="Q48">
        <v>0.35942200000000002</v>
      </c>
      <c r="R48">
        <v>0.36132500000000001</v>
      </c>
      <c r="S48">
        <v>0.36314299999999999</v>
      </c>
      <c r="T48">
        <v>0.36499100000000001</v>
      </c>
      <c r="U48">
        <v>0.36704199999999998</v>
      </c>
      <c r="V48">
        <v>0.36945699999999998</v>
      </c>
      <c r="W48">
        <v>0.37206299999999998</v>
      </c>
      <c r="X48">
        <v>0.37487500000000001</v>
      </c>
      <c r="Y48">
        <v>0.37756699999999999</v>
      </c>
      <c r="Z48">
        <v>0.37975599999999998</v>
      </c>
      <c r="AA48">
        <v>0.38156200000000001</v>
      </c>
      <c r="AB48">
        <v>0.38324200000000003</v>
      </c>
      <c r="AC48">
        <v>0.38493300000000003</v>
      </c>
      <c r="AD48">
        <v>0.38666200000000001</v>
      </c>
      <c r="AE48" t="s">
        <v>1167</v>
      </c>
    </row>
    <row r="49" spans="1:31" x14ac:dyDescent="0.25">
      <c r="A49" t="s">
        <v>611</v>
      </c>
      <c r="B49" t="s">
        <v>1235</v>
      </c>
      <c r="C49" t="s">
        <v>1236</v>
      </c>
      <c r="D49" t="s">
        <v>397</v>
      </c>
      <c r="E49">
        <v>0.77257900000000002</v>
      </c>
      <c r="F49">
        <v>0.77808100000000002</v>
      </c>
      <c r="G49">
        <v>0.78721600000000003</v>
      </c>
      <c r="H49">
        <v>0.79894799999999999</v>
      </c>
      <c r="I49">
        <v>0.80861700000000003</v>
      </c>
      <c r="J49">
        <v>0.81284800000000001</v>
      </c>
      <c r="K49">
        <v>0.81740299999999999</v>
      </c>
      <c r="L49">
        <v>0.82248900000000003</v>
      </c>
      <c r="M49">
        <v>0.82842199999999999</v>
      </c>
      <c r="N49">
        <v>0.83473399999999998</v>
      </c>
      <c r="O49">
        <v>0.84140800000000004</v>
      </c>
      <c r="P49">
        <v>0.84894000000000003</v>
      </c>
      <c r="Q49">
        <v>0.85649600000000004</v>
      </c>
      <c r="R49">
        <v>0.86420600000000003</v>
      </c>
      <c r="S49">
        <v>0.87185299999999999</v>
      </c>
      <c r="T49">
        <v>0.87961100000000003</v>
      </c>
      <c r="U49">
        <v>0.88787400000000005</v>
      </c>
      <c r="V49">
        <v>0.89625699999999997</v>
      </c>
      <c r="W49">
        <v>0.90508500000000003</v>
      </c>
      <c r="X49">
        <v>0.91416399999999998</v>
      </c>
      <c r="Y49">
        <v>0.923373</v>
      </c>
      <c r="Z49">
        <v>0.93216900000000003</v>
      </c>
      <c r="AA49">
        <v>0.94026100000000001</v>
      </c>
      <c r="AB49">
        <v>0.94815300000000002</v>
      </c>
      <c r="AC49">
        <v>0.95642499999999997</v>
      </c>
      <c r="AD49">
        <v>0.96451799999999999</v>
      </c>
      <c r="AE49" t="s">
        <v>967</v>
      </c>
    </row>
    <row r="50" spans="1:31" x14ac:dyDescent="0.25">
      <c r="A50" t="s">
        <v>404</v>
      </c>
      <c r="B50" t="s">
        <v>1237</v>
      </c>
      <c r="C50" t="s">
        <v>1238</v>
      </c>
      <c r="D50" t="s">
        <v>397</v>
      </c>
      <c r="E50">
        <v>0.48938100000000001</v>
      </c>
      <c r="F50">
        <v>0.495944</v>
      </c>
      <c r="G50">
        <v>0.499083</v>
      </c>
      <c r="H50">
        <v>0.49952000000000002</v>
      </c>
      <c r="I50">
        <v>0.49754900000000002</v>
      </c>
      <c r="J50">
        <v>0.49431000000000003</v>
      </c>
      <c r="K50">
        <v>0.49151899999999998</v>
      </c>
      <c r="L50">
        <v>0.49113299999999999</v>
      </c>
      <c r="M50">
        <v>0.491732</v>
      </c>
      <c r="N50">
        <v>0.49363400000000002</v>
      </c>
      <c r="O50">
        <v>0.49573600000000001</v>
      </c>
      <c r="P50">
        <v>0.49846400000000002</v>
      </c>
      <c r="Q50">
        <v>0.50111499999999998</v>
      </c>
      <c r="R50">
        <v>0.503749</v>
      </c>
      <c r="S50">
        <v>0.50619700000000001</v>
      </c>
      <c r="T50">
        <v>0.50863599999999998</v>
      </c>
      <c r="U50">
        <v>0.51139699999999999</v>
      </c>
      <c r="V50">
        <v>0.51465499999999997</v>
      </c>
      <c r="W50">
        <v>0.51814000000000004</v>
      </c>
      <c r="X50">
        <v>0.52188800000000002</v>
      </c>
      <c r="Y50">
        <v>0.52541800000000005</v>
      </c>
      <c r="Z50">
        <v>0.52815500000000004</v>
      </c>
      <c r="AA50">
        <v>0.53030500000000003</v>
      </c>
      <c r="AB50">
        <v>0.53222899999999995</v>
      </c>
      <c r="AC50">
        <v>0.53413600000000006</v>
      </c>
      <c r="AD50">
        <v>0.53606500000000001</v>
      </c>
      <c r="AE50" t="s">
        <v>1167</v>
      </c>
    </row>
    <row r="51" spans="1:31" x14ac:dyDescent="0.25">
      <c r="A51" t="s">
        <v>410</v>
      </c>
      <c r="B51" t="s">
        <v>1239</v>
      </c>
      <c r="C51" t="s">
        <v>1240</v>
      </c>
      <c r="D51" t="s">
        <v>397</v>
      </c>
      <c r="E51">
        <v>0.56464899999999996</v>
      </c>
      <c r="F51">
        <v>0.55332800000000004</v>
      </c>
      <c r="G51">
        <v>0.54732899999999995</v>
      </c>
      <c r="H51">
        <v>0.54542999999999997</v>
      </c>
      <c r="I51">
        <v>0.54358799999999996</v>
      </c>
      <c r="J51">
        <v>0.53231799999999996</v>
      </c>
      <c r="K51">
        <v>0.52262200000000003</v>
      </c>
      <c r="L51">
        <v>0.51419999999999999</v>
      </c>
      <c r="M51">
        <v>0.50677899999999998</v>
      </c>
      <c r="N51">
        <v>0.499778</v>
      </c>
      <c r="O51">
        <v>0.492952</v>
      </c>
      <c r="P51">
        <v>0.48728900000000003</v>
      </c>
      <c r="Q51">
        <v>0.48248600000000003</v>
      </c>
      <c r="R51">
        <v>0.47849799999999998</v>
      </c>
      <c r="S51">
        <v>0.47511900000000001</v>
      </c>
      <c r="T51">
        <v>0.47012199999999998</v>
      </c>
      <c r="U51">
        <v>0.46640700000000002</v>
      </c>
      <c r="V51">
        <v>0.46348200000000001</v>
      </c>
      <c r="W51">
        <v>0.46129700000000001</v>
      </c>
      <c r="X51">
        <v>0.45964300000000002</v>
      </c>
      <c r="Y51">
        <v>0.458401</v>
      </c>
      <c r="Z51">
        <v>0.457258</v>
      </c>
      <c r="AA51">
        <v>0.45599400000000001</v>
      </c>
      <c r="AB51">
        <v>0.454706</v>
      </c>
      <c r="AC51">
        <v>0.45369199999999998</v>
      </c>
      <c r="AD51">
        <v>0.45269500000000001</v>
      </c>
      <c r="AE51" t="s">
        <v>989</v>
      </c>
    </row>
    <row r="52" spans="1:31" x14ac:dyDescent="0.25">
      <c r="A52" t="s">
        <v>402</v>
      </c>
      <c r="B52" t="s">
        <v>1241</v>
      </c>
      <c r="C52" t="s">
        <v>1242</v>
      </c>
      <c r="D52" t="s">
        <v>397</v>
      </c>
      <c r="E52">
        <v>0.366734</v>
      </c>
      <c r="F52">
        <v>0.36595299999999997</v>
      </c>
      <c r="G52">
        <v>0.366174</v>
      </c>
      <c r="H52">
        <v>0.36699999999999999</v>
      </c>
      <c r="I52">
        <v>0.36756299999999997</v>
      </c>
      <c r="J52">
        <v>0.36664400000000003</v>
      </c>
      <c r="K52">
        <v>0.36620599999999998</v>
      </c>
      <c r="L52">
        <v>0.36610900000000002</v>
      </c>
      <c r="M52">
        <v>0.36638999999999999</v>
      </c>
      <c r="N52">
        <v>0.36695</v>
      </c>
      <c r="O52">
        <v>0.36775600000000003</v>
      </c>
      <c r="P52">
        <v>0.36884800000000001</v>
      </c>
      <c r="Q52">
        <v>0.37004599999999999</v>
      </c>
      <c r="R52">
        <v>0.37123899999999999</v>
      </c>
      <c r="S52">
        <v>0.37238300000000002</v>
      </c>
      <c r="T52">
        <v>0.37348500000000001</v>
      </c>
      <c r="U52">
        <v>0.37482799999999999</v>
      </c>
      <c r="V52">
        <v>0.37610199999999999</v>
      </c>
      <c r="W52">
        <v>0.37739</v>
      </c>
      <c r="X52">
        <v>0.37866300000000003</v>
      </c>
      <c r="Y52">
        <v>0.37990099999999999</v>
      </c>
      <c r="Z52">
        <v>0.38101400000000002</v>
      </c>
      <c r="AA52">
        <v>0.38195499999999999</v>
      </c>
      <c r="AB52">
        <v>0.38280700000000001</v>
      </c>
      <c r="AC52">
        <v>0.383654</v>
      </c>
      <c r="AD52">
        <v>0.38441500000000001</v>
      </c>
      <c r="AE52" t="s">
        <v>1023</v>
      </c>
    </row>
    <row r="53" spans="1:31" x14ac:dyDescent="0.25">
      <c r="A53" t="s">
        <v>1201</v>
      </c>
      <c r="B53" t="s">
        <v>1243</v>
      </c>
      <c r="C53" t="s">
        <v>1244</v>
      </c>
      <c r="D53" t="s">
        <v>397</v>
      </c>
      <c r="E53">
        <v>0.35769099999999998</v>
      </c>
      <c r="F53">
        <v>0.403698</v>
      </c>
      <c r="G53">
        <v>0.45296799999999998</v>
      </c>
      <c r="H53">
        <v>0.50386399999999998</v>
      </c>
      <c r="I53">
        <v>0.55580099999999999</v>
      </c>
      <c r="J53">
        <v>0.60810600000000004</v>
      </c>
      <c r="K53">
        <v>0.66097600000000001</v>
      </c>
      <c r="L53">
        <v>0.71486099999999997</v>
      </c>
      <c r="M53">
        <v>0.76973400000000003</v>
      </c>
      <c r="N53">
        <v>0.825407</v>
      </c>
      <c r="O53">
        <v>0.881718</v>
      </c>
      <c r="P53">
        <v>0.93838600000000005</v>
      </c>
      <c r="Q53">
        <v>0.99514899999999995</v>
      </c>
      <c r="R53">
        <v>1.0513049999999999</v>
      </c>
      <c r="S53">
        <v>1.1063590000000001</v>
      </c>
      <c r="T53">
        <v>1.1598010000000001</v>
      </c>
      <c r="U53">
        <v>1.2114279999999999</v>
      </c>
      <c r="V53">
        <v>1.2604219999999999</v>
      </c>
      <c r="W53">
        <v>1.3068299999999999</v>
      </c>
      <c r="X53">
        <v>1.3498509999999999</v>
      </c>
      <c r="Y53">
        <v>1.389499</v>
      </c>
      <c r="Z53">
        <v>1.424823</v>
      </c>
      <c r="AA53">
        <v>1.4555169999999999</v>
      </c>
      <c r="AB53">
        <v>1.4812449999999999</v>
      </c>
      <c r="AC53">
        <v>1.501816</v>
      </c>
      <c r="AD53">
        <v>1.5200849999999999</v>
      </c>
      <c r="AE53" t="s">
        <v>1204</v>
      </c>
    </row>
    <row r="54" spans="1:31" x14ac:dyDescent="0.25">
      <c r="A54" t="s">
        <v>1205</v>
      </c>
      <c r="B54" t="s">
        <v>1245</v>
      </c>
      <c r="C54" t="s">
        <v>1246</v>
      </c>
      <c r="D54" t="s">
        <v>397</v>
      </c>
      <c r="E54">
        <v>0.21695300000000001</v>
      </c>
      <c r="F54">
        <v>0.21174499999999999</v>
      </c>
      <c r="G54">
        <v>0.207122</v>
      </c>
      <c r="H54">
        <v>0.202684</v>
      </c>
      <c r="I54">
        <v>0.19826199999999999</v>
      </c>
      <c r="J54">
        <v>0.193913</v>
      </c>
      <c r="K54">
        <v>0.189829</v>
      </c>
      <c r="L54">
        <v>0.18572</v>
      </c>
      <c r="M54">
        <v>0.18246499999999999</v>
      </c>
      <c r="N54">
        <v>0.17970900000000001</v>
      </c>
      <c r="O54">
        <v>0.177067</v>
      </c>
      <c r="P54">
        <v>0.175041</v>
      </c>
      <c r="Q54">
        <v>0.173177</v>
      </c>
      <c r="R54">
        <v>0.17144699999999999</v>
      </c>
      <c r="S54">
        <v>0.170381</v>
      </c>
      <c r="T54">
        <v>0.16903399999999999</v>
      </c>
      <c r="U54">
        <v>0.16736699999999999</v>
      </c>
      <c r="V54">
        <v>0.16647999999999999</v>
      </c>
      <c r="W54">
        <v>0.16480900000000001</v>
      </c>
      <c r="X54">
        <v>0.16345199999999999</v>
      </c>
      <c r="Y54">
        <v>0.16186400000000001</v>
      </c>
      <c r="Z54">
        <v>0.16063</v>
      </c>
      <c r="AA54">
        <v>0.15854499999999999</v>
      </c>
      <c r="AB54">
        <v>0.15620999999999999</v>
      </c>
      <c r="AC54">
        <v>0.153638</v>
      </c>
      <c r="AD54">
        <v>0.150807</v>
      </c>
      <c r="AE54" t="s">
        <v>987</v>
      </c>
    </row>
    <row r="55" spans="1:31" x14ac:dyDescent="0.25">
      <c r="A55" t="s">
        <v>422</v>
      </c>
      <c r="B55" t="s">
        <v>1247</v>
      </c>
      <c r="C55" t="s">
        <v>1248</v>
      </c>
      <c r="D55" t="s">
        <v>397</v>
      </c>
      <c r="E55">
        <v>4.245374</v>
      </c>
      <c r="F55">
        <v>4.3752259999999996</v>
      </c>
      <c r="G55">
        <v>4.401097</v>
      </c>
      <c r="H55">
        <v>4.4076380000000004</v>
      </c>
      <c r="I55">
        <v>4.4066739999999998</v>
      </c>
      <c r="J55">
        <v>4.4038009999999996</v>
      </c>
      <c r="K55">
        <v>4.400423</v>
      </c>
      <c r="L55">
        <v>4.4030139999999998</v>
      </c>
      <c r="M55">
        <v>4.4072680000000002</v>
      </c>
      <c r="N55">
        <v>4.4161010000000003</v>
      </c>
      <c r="O55">
        <v>4.4261330000000001</v>
      </c>
      <c r="P55">
        <v>4.440131</v>
      </c>
      <c r="Q55">
        <v>4.4547949999999998</v>
      </c>
      <c r="R55">
        <v>4.4698669999999998</v>
      </c>
      <c r="S55">
        <v>4.4851390000000002</v>
      </c>
      <c r="T55">
        <v>4.5008530000000002</v>
      </c>
      <c r="U55">
        <v>4.5160939999999998</v>
      </c>
      <c r="V55">
        <v>4.5328670000000004</v>
      </c>
      <c r="W55">
        <v>4.5504509999999998</v>
      </c>
      <c r="X55">
        <v>4.5688839999999997</v>
      </c>
      <c r="Y55">
        <v>4.5876089999999996</v>
      </c>
      <c r="Z55">
        <v>4.6047549999999999</v>
      </c>
      <c r="AA55">
        <v>4.6209309999999997</v>
      </c>
      <c r="AB55">
        <v>4.6373740000000003</v>
      </c>
      <c r="AC55">
        <v>4.6542430000000001</v>
      </c>
      <c r="AD55">
        <v>4.6723020000000002</v>
      </c>
      <c r="AE55" t="s">
        <v>1167</v>
      </c>
    </row>
    <row r="56" spans="1:31" x14ac:dyDescent="0.25">
      <c r="A56" t="s">
        <v>381</v>
      </c>
      <c r="B56" t="s">
        <v>1249</v>
      </c>
      <c r="C56" t="s">
        <v>1250</v>
      </c>
      <c r="D56" t="s">
        <v>397</v>
      </c>
      <c r="E56">
        <v>9.9002099999999995</v>
      </c>
      <c r="F56">
        <v>10.078690999999999</v>
      </c>
      <c r="G56">
        <v>10.158448999999999</v>
      </c>
      <c r="H56">
        <v>10.21416</v>
      </c>
      <c r="I56">
        <v>10.244320999999999</v>
      </c>
      <c r="J56">
        <v>10.248329999999999</v>
      </c>
      <c r="K56">
        <v>10.258376</v>
      </c>
      <c r="L56">
        <v>10.290782</v>
      </c>
      <c r="M56">
        <v>10.335228000000001</v>
      </c>
      <c r="N56">
        <v>10.392976000000001</v>
      </c>
      <c r="O56">
        <v>10.453898000000001</v>
      </c>
      <c r="P56">
        <v>10.525681000000001</v>
      </c>
      <c r="Q56">
        <v>10.598765</v>
      </c>
      <c r="R56">
        <v>10.672935000000001</v>
      </c>
      <c r="S56">
        <v>10.746354999999999</v>
      </c>
      <c r="T56">
        <v>10.817342999999999</v>
      </c>
      <c r="U56">
        <v>10.889177</v>
      </c>
      <c r="V56">
        <v>10.964748999999999</v>
      </c>
      <c r="W56">
        <v>11.040599</v>
      </c>
      <c r="X56">
        <v>11.11645</v>
      </c>
      <c r="Y56">
        <v>11.189202999999999</v>
      </c>
      <c r="Z56">
        <v>11.251643</v>
      </c>
      <c r="AA56">
        <v>11.303493</v>
      </c>
      <c r="AB56">
        <v>11.349386000000001</v>
      </c>
      <c r="AC56">
        <v>11.391608</v>
      </c>
      <c r="AD56">
        <v>11.432612000000001</v>
      </c>
      <c r="AE56" t="s">
        <v>998</v>
      </c>
    </row>
    <row r="57" spans="1:31" x14ac:dyDescent="0.25">
      <c r="A57" t="s">
        <v>426</v>
      </c>
      <c r="B57" t="s">
        <v>1251</v>
      </c>
      <c r="C57" t="s">
        <v>1252</v>
      </c>
      <c r="D57" t="s">
        <v>397</v>
      </c>
      <c r="E57">
        <v>3.1625E-2</v>
      </c>
      <c r="F57">
        <v>4.1348999999999997E-2</v>
      </c>
      <c r="G57">
        <v>5.3095000000000003E-2</v>
      </c>
      <c r="H57">
        <v>6.6243999999999997E-2</v>
      </c>
      <c r="I57">
        <v>7.9602999999999993E-2</v>
      </c>
      <c r="J57">
        <v>9.2543E-2</v>
      </c>
      <c r="K57">
        <v>0.10441599999999999</v>
      </c>
      <c r="L57">
        <v>0.115643</v>
      </c>
      <c r="M57">
        <v>0.126972</v>
      </c>
      <c r="N57">
        <v>0.13850199999999999</v>
      </c>
      <c r="O57">
        <v>0.150392</v>
      </c>
      <c r="P57">
        <v>0.16246099999999999</v>
      </c>
      <c r="Q57">
        <v>0.17480399999999999</v>
      </c>
      <c r="R57">
        <v>0.18723899999999999</v>
      </c>
      <c r="S57">
        <v>0.19958999999999999</v>
      </c>
      <c r="T57">
        <v>0.212288</v>
      </c>
      <c r="U57">
        <v>0.22536400000000001</v>
      </c>
      <c r="V57">
        <v>0.23924300000000001</v>
      </c>
      <c r="W57">
        <v>0.253973</v>
      </c>
      <c r="X57">
        <v>0.26994400000000002</v>
      </c>
      <c r="Y57">
        <v>0.28712100000000002</v>
      </c>
      <c r="Z57">
        <v>0.30473800000000001</v>
      </c>
      <c r="AA57">
        <v>0.32270399999999999</v>
      </c>
      <c r="AB57">
        <v>0.34103499999999998</v>
      </c>
      <c r="AC57">
        <v>0.35960799999999998</v>
      </c>
      <c r="AD57">
        <v>0.37826300000000002</v>
      </c>
      <c r="AE57" t="s">
        <v>1211</v>
      </c>
    </row>
    <row r="58" spans="1:31" x14ac:dyDescent="0.25">
      <c r="A58" t="s">
        <v>428</v>
      </c>
      <c r="B58" t="s">
        <v>1253</v>
      </c>
      <c r="C58" t="s">
        <v>1254</v>
      </c>
      <c r="D58" t="s">
        <v>397</v>
      </c>
      <c r="E58">
        <v>0.15950900000000001</v>
      </c>
      <c r="F58">
        <v>0.178677</v>
      </c>
      <c r="G58">
        <v>0.19480600000000001</v>
      </c>
      <c r="H58">
        <v>0.202568</v>
      </c>
      <c r="I58">
        <v>0.20727899999999999</v>
      </c>
      <c r="J58">
        <v>0.212645</v>
      </c>
      <c r="K58">
        <v>0.21679300000000001</v>
      </c>
      <c r="L58">
        <v>0.22007099999999999</v>
      </c>
      <c r="M58">
        <v>0.22375700000000001</v>
      </c>
      <c r="N58">
        <v>0.22936000000000001</v>
      </c>
      <c r="O58">
        <v>0.23388900000000001</v>
      </c>
      <c r="P58">
        <v>0.23771300000000001</v>
      </c>
      <c r="Q58">
        <v>0.24440600000000001</v>
      </c>
      <c r="R58">
        <v>0.25092700000000001</v>
      </c>
      <c r="S58">
        <v>0.25883299999999998</v>
      </c>
      <c r="T58">
        <v>0.26564700000000002</v>
      </c>
      <c r="U58">
        <v>0.26933000000000001</v>
      </c>
      <c r="V58">
        <v>0.27484399999999998</v>
      </c>
      <c r="W58">
        <v>0.27782000000000001</v>
      </c>
      <c r="X58">
        <v>0.281171</v>
      </c>
      <c r="Y58">
        <v>0.28390700000000002</v>
      </c>
      <c r="Z58">
        <v>0.28815800000000003</v>
      </c>
      <c r="AA58">
        <v>0.29341899999999999</v>
      </c>
      <c r="AB58">
        <v>0.29877599999999999</v>
      </c>
      <c r="AC58">
        <v>0.30282900000000001</v>
      </c>
      <c r="AD58">
        <v>0.308056</v>
      </c>
      <c r="AE58" t="s">
        <v>1213</v>
      </c>
    </row>
    <row r="59" spans="1:31" x14ac:dyDescent="0.25">
      <c r="A59" t="s">
        <v>439</v>
      </c>
      <c r="B59" t="s">
        <v>1255</v>
      </c>
      <c r="C59" t="s">
        <v>1250</v>
      </c>
      <c r="D59" t="s">
        <v>397</v>
      </c>
      <c r="E59">
        <v>9.7723270000000007</v>
      </c>
      <c r="F59">
        <v>9.9413640000000001</v>
      </c>
      <c r="G59">
        <v>10.016738</v>
      </c>
      <c r="H59">
        <v>10.077836</v>
      </c>
      <c r="I59">
        <v>10.116645</v>
      </c>
      <c r="J59">
        <v>10.128227000000001</v>
      </c>
      <c r="K59">
        <v>10.145999</v>
      </c>
      <c r="L59">
        <v>10.186355000000001</v>
      </c>
      <c r="M59">
        <v>10.238443</v>
      </c>
      <c r="N59">
        <v>10.302117000000001</v>
      </c>
      <c r="O59">
        <v>10.370400999999999</v>
      </c>
      <c r="P59">
        <v>10.450429</v>
      </c>
      <c r="Q59">
        <v>10.529163</v>
      </c>
      <c r="R59">
        <v>10.609246000000001</v>
      </c>
      <c r="S59">
        <v>10.687112000000001</v>
      </c>
      <c r="T59">
        <v>10.763984000000001</v>
      </c>
      <c r="U59">
        <v>10.845211000000001</v>
      </c>
      <c r="V59">
        <v>10.929149000000001</v>
      </c>
      <c r="W59">
        <v>11.016750999999999</v>
      </c>
      <c r="X59">
        <v>11.105224</v>
      </c>
      <c r="Y59">
        <v>11.192418</v>
      </c>
      <c r="Z59">
        <v>11.268224</v>
      </c>
      <c r="AA59">
        <v>11.332779</v>
      </c>
      <c r="AB59">
        <v>11.391646</v>
      </c>
      <c r="AC59">
        <v>11.448387</v>
      </c>
      <c r="AD59">
        <v>11.50282</v>
      </c>
      <c r="AE59" t="s">
        <v>1058</v>
      </c>
    </row>
    <row r="60" spans="1:31" x14ac:dyDescent="0.25">
      <c r="A60" t="s">
        <v>490</v>
      </c>
      <c r="B60" t="s">
        <v>1256</v>
      </c>
      <c r="C60" t="s">
        <v>1257</v>
      </c>
      <c r="D60" t="s">
        <v>397</v>
      </c>
      <c r="E60">
        <v>6.9051450000000001</v>
      </c>
      <c r="F60">
        <v>7.1494039999999996</v>
      </c>
      <c r="G60">
        <v>6.6704460000000001</v>
      </c>
      <c r="H60">
        <v>6.4662550000000003</v>
      </c>
      <c r="I60">
        <v>6.3998749999999998</v>
      </c>
      <c r="J60">
        <v>6.3392540000000004</v>
      </c>
      <c r="K60">
        <v>6.1938110000000002</v>
      </c>
      <c r="L60">
        <v>6.1338879999999998</v>
      </c>
      <c r="M60">
        <v>6.1266309999999997</v>
      </c>
      <c r="N60">
        <v>6.0747090000000004</v>
      </c>
      <c r="O60">
        <v>6.0557759999999998</v>
      </c>
      <c r="P60">
        <v>6.0407120000000001</v>
      </c>
      <c r="Q60">
        <v>6.0576670000000004</v>
      </c>
      <c r="R60">
        <v>6.0900910000000001</v>
      </c>
      <c r="S60">
        <v>6.1077170000000001</v>
      </c>
      <c r="T60">
        <v>6.1082989999999997</v>
      </c>
      <c r="U60">
        <v>6.1123969999999996</v>
      </c>
      <c r="V60">
        <v>6.1441270000000001</v>
      </c>
      <c r="W60">
        <v>6.1853759999999998</v>
      </c>
      <c r="X60">
        <v>6.2277839999999998</v>
      </c>
      <c r="Y60">
        <v>6.270594</v>
      </c>
      <c r="Z60">
        <v>6.3097649999999996</v>
      </c>
      <c r="AA60">
        <v>6.3475840000000003</v>
      </c>
      <c r="AB60">
        <v>6.3792780000000002</v>
      </c>
      <c r="AC60">
        <v>6.3854930000000003</v>
      </c>
      <c r="AD60">
        <v>6.4081770000000002</v>
      </c>
      <c r="AE60" t="s">
        <v>1221</v>
      </c>
    </row>
    <row r="61" spans="1:31" x14ac:dyDescent="0.25">
      <c r="A61" t="s">
        <v>493</v>
      </c>
    </row>
    <row r="62" spans="1:31" x14ac:dyDescent="0.25">
      <c r="A62" t="s">
        <v>395</v>
      </c>
      <c r="B62" t="s">
        <v>1258</v>
      </c>
      <c r="C62" t="s">
        <v>1259</v>
      </c>
      <c r="D62" t="s">
        <v>397</v>
      </c>
      <c r="E62">
        <v>2.2202329999999999</v>
      </c>
      <c r="F62">
        <v>2.181025</v>
      </c>
      <c r="G62">
        <v>2.1529129999999999</v>
      </c>
      <c r="H62">
        <v>2.1243690000000002</v>
      </c>
      <c r="I62">
        <v>2.0892789999999999</v>
      </c>
      <c r="J62">
        <v>2.0514459999999999</v>
      </c>
      <c r="K62">
        <v>2.012737</v>
      </c>
      <c r="L62">
        <v>1.985195</v>
      </c>
      <c r="M62">
        <v>1.9634</v>
      </c>
      <c r="N62">
        <v>1.9435249999999999</v>
      </c>
      <c r="O62">
        <v>1.924334</v>
      </c>
      <c r="P62">
        <v>1.906887</v>
      </c>
      <c r="Q62">
        <v>1.889534</v>
      </c>
      <c r="R62">
        <v>1.8726320000000001</v>
      </c>
      <c r="S62">
        <v>1.854625</v>
      </c>
      <c r="T62">
        <v>1.8364579999999999</v>
      </c>
      <c r="U62">
        <v>1.818913</v>
      </c>
      <c r="V62">
        <v>1.803955</v>
      </c>
      <c r="W62">
        <v>1.7897369999999999</v>
      </c>
      <c r="X62">
        <v>1.776251</v>
      </c>
      <c r="Y62">
        <v>1.7623629999999999</v>
      </c>
      <c r="Z62">
        <v>1.7457959999999999</v>
      </c>
      <c r="AA62">
        <v>1.727454</v>
      </c>
      <c r="AB62">
        <v>1.708758</v>
      </c>
      <c r="AC62">
        <v>1.6897249999999999</v>
      </c>
      <c r="AD62">
        <v>1.6713290000000001</v>
      </c>
      <c r="AE62" t="s">
        <v>981</v>
      </c>
    </row>
    <row r="63" spans="1:31" x14ac:dyDescent="0.25">
      <c r="A63" t="s">
        <v>398</v>
      </c>
      <c r="B63" t="s">
        <v>1260</v>
      </c>
      <c r="C63" t="s">
        <v>1261</v>
      </c>
      <c r="D63" t="s">
        <v>397</v>
      </c>
      <c r="E63">
        <v>1.3372919999999999</v>
      </c>
      <c r="F63">
        <v>1.394258</v>
      </c>
      <c r="G63">
        <v>1.347048</v>
      </c>
      <c r="H63">
        <v>1.3328990000000001</v>
      </c>
      <c r="I63">
        <v>1.3311850000000001</v>
      </c>
      <c r="J63">
        <v>1.32735</v>
      </c>
      <c r="K63">
        <v>1.315402</v>
      </c>
      <c r="L63">
        <v>1.3137160000000001</v>
      </c>
      <c r="M63">
        <v>1.3181080000000001</v>
      </c>
      <c r="N63">
        <v>1.318481</v>
      </c>
      <c r="O63">
        <v>1.322756</v>
      </c>
      <c r="P63">
        <v>1.3284370000000001</v>
      </c>
      <c r="Q63">
        <v>1.3377049999999999</v>
      </c>
      <c r="R63">
        <v>1.3488450000000001</v>
      </c>
      <c r="S63">
        <v>1.3582639999999999</v>
      </c>
      <c r="T63">
        <v>1.3668370000000001</v>
      </c>
      <c r="U63">
        <v>1.3766529999999999</v>
      </c>
      <c r="V63">
        <v>1.390299</v>
      </c>
      <c r="W63">
        <v>1.4063829999999999</v>
      </c>
      <c r="X63">
        <v>1.423163</v>
      </c>
      <c r="Y63">
        <v>1.440974</v>
      </c>
      <c r="Z63">
        <v>1.4580230000000001</v>
      </c>
      <c r="AA63">
        <v>1.4747349999999999</v>
      </c>
      <c r="AB63">
        <v>1.49115</v>
      </c>
      <c r="AC63">
        <v>1.5061819999999999</v>
      </c>
      <c r="AD63">
        <v>1.5232410000000001</v>
      </c>
      <c r="AE63" t="s">
        <v>1012</v>
      </c>
    </row>
    <row r="64" spans="1:31" x14ac:dyDescent="0.25">
      <c r="A64" t="s">
        <v>400</v>
      </c>
      <c r="B64" t="s">
        <v>1262</v>
      </c>
      <c r="C64" t="s">
        <v>1263</v>
      </c>
      <c r="D64" t="s">
        <v>397</v>
      </c>
      <c r="E64">
        <v>0.44979799999999998</v>
      </c>
      <c r="F64">
        <v>0.45253900000000002</v>
      </c>
      <c r="G64">
        <v>0.44617000000000001</v>
      </c>
      <c r="H64">
        <v>0.442108</v>
      </c>
      <c r="I64">
        <v>0.43806800000000001</v>
      </c>
      <c r="J64">
        <v>0.43322100000000002</v>
      </c>
      <c r="K64">
        <v>0.42763800000000002</v>
      </c>
      <c r="L64">
        <v>0.42484899999999998</v>
      </c>
      <c r="M64">
        <v>0.42335800000000001</v>
      </c>
      <c r="N64">
        <v>0.42231400000000002</v>
      </c>
      <c r="O64">
        <v>0.42185</v>
      </c>
      <c r="P64">
        <v>0.42198999999999998</v>
      </c>
      <c r="Q64">
        <v>0.42244999999999999</v>
      </c>
      <c r="R64">
        <v>0.42311599999999999</v>
      </c>
      <c r="S64">
        <v>0.42357</v>
      </c>
      <c r="T64">
        <v>0.42393700000000001</v>
      </c>
      <c r="U64">
        <v>0.42461199999999999</v>
      </c>
      <c r="V64">
        <v>0.42593799999999998</v>
      </c>
      <c r="W64">
        <v>0.427591</v>
      </c>
      <c r="X64">
        <v>0.42949199999999998</v>
      </c>
      <c r="Y64">
        <v>0.43129400000000001</v>
      </c>
      <c r="Z64">
        <v>0.432589</v>
      </c>
      <c r="AA64">
        <v>0.43350499999999997</v>
      </c>
      <c r="AB64">
        <v>0.43428099999999997</v>
      </c>
      <c r="AC64">
        <v>0.43491600000000002</v>
      </c>
      <c r="AD64">
        <v>0.43573400000000001</v>
      </c>
      <c r="AE64" t="s">
        <v>1021</v>
      </c>
    </row>
    <row r="65" spans="1:31" x14ac:dyDescent="0.25">
      <c r="A65" t="s">
        <v>611</v>
      </c>
      <c r="B65" t="s">
        <v>1264</v>
      </c>
      <c r="C65" t="s">
        <v>1265</v>
      </c>
      <c r="D65" t="s">
        <v>397</v>
      </c>
      <c r="E65">
        <v>1.8012870000000001</v>
      </c>
      <c r="F65">
        <v>1.801836</v>
      </c>
      <c r="G65">
        <v>1.7413190000000001</v>
      </c>
      <c r="H65">
        <v>1.7247060000000001</v>
      </c>
      <c r="I65">
        <v>1.723959</v>
      </c>
      <c r="J65">
        <v>1.715919</v>
      </c>
      <c r="K65">
        <v>1.696191</v>
      </c>
      <c r="L65">
        <v>1.6892720000000001</v>
      </c>
      <c r="M65">
        <v>1.6907030000000001</v>
      </c>
      <c r="N65">
        <v>1.6860919999999999</v>
      </c>
      <c r="O65">
        <v>1.6864680000000001</v>
      </c>
      <c r="P65">
        <v>1.6883159999999999</v>
      </c>
      <c r="Q65">
        <v>1.6944159999999999</v>
      </c>
      <c r="R65">
        <v>1.7028669999999999</v>
      </c>
      <c r="S65">
        <v>1.7092149999999999</v>
      </c>
      <c r="T65">
        <v>1.713848</v>
      </c>
      <c r="U65">
        <v>1.7199340000000001</v>
      </c>
      <c r="V65">
        <v>1.7299929999999999</v>
      </c>
      <c r="W65">
        <v>1.7422439999999999</v>
      </c>
      <c r="X65">
        <v>1.7552289999999999</v>
      </c>
      <c r="Y65">
        <v>1.768599</v>
      </c>
      <c r="Z65">
        <v>1.7812730000000001</v>
      </c>
      <c r="AA65">
        <v>1.7932459999999999</v>
      </c>
      <c r="AB65">
        <v>1.8046070000000001</v>
      </c>
      <c r="AC65">
        <v>1.8136920000000001</v>
      </c>
      <c r="AD65">
        <v>1.8249</v>
      </c>
      <c r="AE65" t="s">
        <v>970</v>
      </c>
    </row>
    <row r="66" spans="1:31" x14ac:dyDescent="0.25">
      <c r="A66" t="s">
        <v>404</v>
      </c>
      <c r="B66" t="s">
        <v>1266</v>
      </c>
      <c r="C66" t="s">
        <v>1267</v>
      </c>
      <c r="D66" t="s">
        <v>397</v>
      </c>
      <c r="E66">
        <v>0.601217</v>
      </c>
      <c r="F66">
        <v>0.60547300000000004</v>
      </c>
      <c r="G66">
        <v>0.59953500000000004</v>
      </c>
      <c r="H66">
        <v>0.59540400000000004</v>
      </c>
      <c r="I66">
        <v>0.59082000000000001</v>
      </c>
      <c r="J66">
        <v>0.58508800000000005</v>
      </c>
      <c r="K66">
        <v>0.5786</v>
      </c>
      <c r="L66">
        <v>0.57577599999999995</v>
      </c>
      <c r="M66">
        <v>0.57469400000000004</v>
      </c>
      <c r="N66">
        <v>0.574326</v>
      </c>
      <c r="O66">
        <v>0.57460999999999995</v>
      </c>
      <c r="P66">
        <v>0.57558299999999996</v>
      </c>
      <c r="Q66">
        <v>0.576878</v>
      </c>
      <c r="R66">
        <v>0.57835700000000001</v>
      </c>
      <c r="S66">
        <v>0.57947700000000002</v>
      </c>
      <c r="T66">
        <v>0.58043299999999998</v>
      </c>
      <c r="U66">
        <v>0.58182400000000001</v>
      </c>
      <c r="V66">
        <v>0.58404900000000004</v>
      </c>
      <c r="W66">
        <v>0.586646</v>
      </c>
      <c r="X66">
        <v>0.58954600000000001</v>
      </c>
      <c r="Y66">
        <v>0.59224200000000005</v>
      </c>
      <c r="Z66">
        <v>0.59411999999999998</v>
      </c>
      <c r="AA66">
        <v>0.59540700000000002</v>
      </c>
      <c r="AB66">
        <v>0.59643599999999997</v>
      </c>
      <c r="AC66">
        <v>0.59724999999999995</v>
      </c>
      <c r="AD66">
        <v>0.59825899999999999</v>
      </c>
      <c r="AE66" t="s">
        <v>995</v>
      </c>
    </row>
    <row r="67" spans="1:31" x14ac:dyDescent="0.25">
      <c r="A67" t="s">
        <v>410</v>
      </c>
      <c r="B67" t="s">
        <v>1268</v>
      </c>
      <c r="C67" t="s">
        <v>1269</v>
      </c>
      <c r="D67" t="s">
        <v>397</v>
      </c>
      <c r="E67">
        <v>1.3164929999999999</v>
      </c>
      <c r="F67">
        <v>1.281366</v>
      </c>
      <c r="G67">
        <v>1.21069</v>
      </c>
      <c r="H67">
        <v>1.1774309999999999</v>
      </c>
      <c r="I67">
        <v>1.1589210000000001</v>
      </c>
      <c r="J67">
        <v>1.1237220000000001</v>
      </c>
      <c r="K67">
        <v>1.0844910000000001</v>
      </c>
      <c r="L67">
        <v>1.0560929999999999</v>
      </c>
      <c r="M67">
        <v>1.0342709999999999</v>
      </c>
      <c r="N67">
        <v>1.009509</v>
      </c>
      <c r="O67">
        <v>0.98804199999999998</v>
      </c>
      <c r="P67">
        <v>0.96908700000000003</v>
      </c>
      <c r="Q67">
        <v>0.95450699999999999</v>
      </c>
      <c r="R67">
        <v>0.94285200000000002</v>
      </c>
      <c r="S67">
        <v>0.93144099999999996</v>
      </c>
      <c r="T67">
        <v>0.91599200000000003</v>
      </c>
      <c r="U67">
        <v>0.90349500000000005</v>
      </c>
      <c r="V67">
        <v>0.89463300000000001</v>
      </c>
      <c r="W67">
        <v>0.88797300000000001</v>
      </c>
      <c r="X67">
        <v>0.88253099999999995</v>
      </c>
      <c r="Y67">
        <v>0.87800699999999998</v>
      </c>
      <c r="Z67">
        <v>0.87377000000000005</v>
      </c>
      <c r="AA67">
        <v>0.86966299999999996</v>
      </c>
      <c r="AB67">
        <v>0.86543700000000001</v>
      </c>
      <c r="AC67">
        <v>0.860348</v>
      </c>
      <c r="AD67">
        <v>0.85651500000000003</v>
      </c>
      <c r="AE67" t="s">
        <v>1007</v>
      </c>
    </row>
    <row r="68" spans="1:31" x14ac:dyDescent="0.25">
      <c r="A68" t="s">
        <v>402</v>
      </c>
      <c r="B68" t="s">
        <v>1270</v>
      </c>
      <c r="C68" t="s">
        <v>1271</v>
      </c>
      <c r="D68" t="s">
        <v>397</v>
      </c>
      <c r="E68">
        <v>0.85504899999999995</v>
      </c>
      <c r="F68">
        <v>0.84745499999999996</v>
      </c>
      <c r="G68">
        <v>0.80997399999999997</v>
      </c>
      <c r="H68">
        <v>0.79225100000000004</v>
      </c>
      <c r="I68">
        <v>0.78363899999999997</v>
      </c>
      <c r="J68">
        <v>0.77398500000000003</v>
      </c>
      <c r="K68">
        <v>0.75991399999999998</v>
      </c>
      <c r="L68">
        <v>0.75193500000000002</v>
      </c>
      <c r="M68">
        <v>0.74775599999999998</v>
      </c>
      <c r="N68">
        <v>0.74120699999999995</v>
      </c>
      <c r="O68">
        <v>0.73710699999999996</v>
      </c>
      <c r="P68">
        <v>0.73353999999999997</v>
      </c>
      <c r="Q68">
        <v>0.73206599999999999</v>
      </c>
      <c r="R68">
        <v>0.73150499999999996</v>
      </c>
      <c r="S68">
        <v>0.73003499999999999</v>
      </c>
      <c r="T68">
        <v>0.72770400000000002</v>
      </c>
      <c r="U68">
        <v>0.72609299999999999</v>
      </c>
      <c r="V68">
        <v>0.72596799999999995</v>
      </c>
      <c r="W68">
        <v>0.72645700000000002</v>
      </c>
      <c r="X68">
        <v>0.727047</v>
      </c>
      <c r="Y68">
        <v>0.72765100000000005</v>
      </c>
      <c r="Z68">
        <v>0.72807599999999995</v>
      </c>
      <c r="AA68">
        <v>0.72845800000000005</v>
      </c>
      <c r="AB68">
        <v>0.72859099999999999</v>
      </c>
      <c r="AC68">
        <v>0.72753299999999999</v>
      </c>
      <c r="AD68">
        <v>0.72732600000000003</v>
      </c>
      <c r="AE68" t="s">
        <v>1120</v>
      </c>
    </row>
    <row r="69" spans="1:31" x14ac:dyDescent="0.25">
      <c r="A69" t="s">
        <v>1201</v>
      </c>
      <c r="B69" t="s">
        <v>1272</v>
      </c>
      <c r="C69" t="s">
        <v>1273</v>
      </c>
      <c r="D69" t="s">
        <v>397</v>
      </c>
      <c r="E69">
        <v>0.83396700000000001</v>
      </c>
      <c r="F69">
        <v>0.93486199999999997</v>
      </c>
      <c r="G69">
        <v>1.0019629999999999</v>
      </c>
      <c r="H69">
        <v>1.0877019999999999</v>
      </c>
      <c r="I69">
        <v>1.1849590000000001</v>
      </c>
      <c r="J69">
        <v>1.283711</v>
      </c>
      <c r="K69">
        <v>1.371591</v>
      </c>
      <c r="L69">
        <v>1.468221</v>
      </c>
      <c r="M69">
        <v>1.570929</v>
      </c>
      <c r="N69">
        <v>1.667252</v>
      </c>
      <c r="O69">
        <v>1.767263</v>
      </c>
      <c r="P69">
        <v>1.8662000000000001</v>
      </c>
      <c r="Q69">
        <v>1.9687140000000001</v>
      </c>
      <c r="R69">
        <v>2.0715349999999999</v>
      </c>
      <c r="S69">
        <v>2.1689479999999999</v>
      </c>
      <c r="T69">
        <v>2.2597740000000002</v>
      </c>
      <c r="U69">
        <v>2.3467039999999999</v>
      </c>
      <c r="V69">
        <v>2.4329209999999999</v>
      </c>
      <c r="W69">
        <v>2.5155810000000001</v>
      </c>
      <c r="X69">
        <v>2.5917659999999998</v>
      </c>
      <c r="Y69">
        <v>2.661403</v>
      </c>
      <c r="Z69">
        <v>2.7226810000000001</v>
      </c>
      <c r="AA69">
        <v>2.7759330000000002</v>
      </c>
      <c r="AB69">
        <v>2.8192360000000001</v>
      </c>
      <c r="AC69">
        <v>2.847931</v>
      </c>
      <c r="AD69">
        <v>2.8760500000000002</v>
      </c>
      <c r="AE69" t="s">
        <v>1132</v>
      </c>
    </row>
    <row r="70" spans="1:31" x14ac:dyDescent="0.25">
      <c r="A70" t="s">
        <v>1205</v>
      </c>
      <c r="B70" t="s">
        <v>1274</v>
      </c>
      <c r="C70" t="s">
        <v>1275</v>
      </c>
      <c r="D70" t="s">
        <v>397</v>
      </c>
      <c r="E70">
        <v>0.50583</v>
      </c>
      <c r="F70">
        <v>0.49034699999999998</v>
      </c>
      <c r="G70">
        <v>0.45815400000000001</v>
      </c>
      <c r="H70">
        <v>0.43753900000000001</v>
      </c>
      <c r="I70">
        <v>0.42269200000000001</v>
      </c>
      <c r="J70">
        <v>0.40934999999999999</v>
      </c>
      <c r="K70">
        <v>0.39391399999999999</v>
      </c>
      <c r="L70">
        <v>0.38144099999999997</v>
      </c>
      <c r="M70">
        <v>0.372388</v>
      </c>
      <c r="N70">
        <v>0.36299700000000001</v>
      </c>
      <c r="O70">
        <v>0.35490300000000002</v>
      </c>
      <c r="P70">
        <v>0.34810999999999998</v>
      </c>
      <c r="Q70">
        <v>0.34259899999999999</v>
      </c>
      <c r="R70">
        <v>0.33782699999999999</v>
      </c>
      <c r="S70">
        <v>0.33402199999999999</v>
      </c>
      <c r="T70">
        <v>0.329349</v>
      </c>
      <c r="U70">
        <v>0.324214</v>
      </c>
      <c r="V70">
        <v>0.32134800000000002</v>
      </c>
      <c r="W70">
        <v>0.317249</v>
      </c>
      <c r="X70">
        <v>0.31383299999999997</v>
      </c>
      <c r="Y70">
        <v>0.310029</v>
      </c>
      <c r="Z70">
        <v>0.306946</v>
      </c>
      <c r="AA70">
        <v>0.302373</v>
      </c>
      <c r="AB70">
        <v>0.29731200000000002</v>
      </c>
      <c r="AC70">
        <v>0.29134700000000002</v>
      </c>
      <c r="AD70">
        <v>0.285331</v>
      </c>
      <c r="AE70" t="s">
        <v>1276</v>
      </c>
    </row>
    <row r="71" spans="1:31" x14ac:dyDescent="0.25">
      <c r="A71" t="s">
        <v>422</v>
      </c>
      <c r="B71" t="s">
        <v>1277</v>
      </c>
      <c r="C71" t="s">
        <v>1278</v>
      </c>
      <c r="D71" t="s">
        <v>397</v>
      </c>
      <c r="E71">
        <v>6.8407340000000003</v>
      </c>
      <c r="F71">
        <v>7.1826650000000001</v>
      </c>
      <c r="G71">
        <v>6.9943910000000002</v>
      </c>
      <c r="H71">
        <v>6.8863180000000002</v>
      </c>
      <c r="I71">
        <v>6.8270850000000003</v>
      </c>
      <c r="J71">
        <v>6.7769259999999996</v>
      </c>
      <c r="K71">
        <v>6.6949759999999996</v>
      </c>
      <c r="L71">
        <v>6.651408</v>
      </c>
      <c r="M71">
        <v>6.6287419999999999</v>
      </c>
      <c r="N71">
        <v>6.5949179999999998</v>
      </c>
      <c r="O71">
        <v>6.5750339999999996</v>
      </c>
      <c r="P71">
        <v>6.560918</v>
      </c>
      <c r="Q71">
        <v>6.5592990000000002</v>
      </c>
      <c r="R71">
        <v>6.5639620000000001</v>
      </c>
      <c r="S71">
        <v>6.564362</v>
      </c>
      <c r="T71">
        <v>6.560988</v>
      </c>
      <c r="U71">
        <v>6.5584819999999997</v>
      </c>
      <c r="V71">
        <v>6.5671569999999999</v>
      </c>
      <c r="W71">
        <v>6.580578</v>
      </c>
      <c r="X71">
        <v>6.5957629999999998</v>
      </c>
      <c r="Y71">
        <v>6.6125080000000001</v>
      </c>
      <c r="Z71">
        <v>6.6278990000000002</v>
      </c>
      <c r="AA71">
        <v>6.6440609999999998</v>
      </c>
      <c r="AB71">
        <v>6.6604340000000004</v>
      </c>
      <c r="AC71">
        <v>6.670706</v>
      </c>
      <c r="AD71">
        <v>6.6886380000000001</v>
      </c>
      <c r="AE71" t="s">
        <v>1021</v>
      </c>
    </row>
    <row r="72" spans="1:31" x14ac:dyDescent="0.25">
      <c r="A72" t="s">
        <v>522</v>
      </c>
      <c r="B72" t="s">
        <v>1279</v>
      </c>
      <c r="C72" t="s">
        <v>1280</v>
      </c>
      <c r="D72" t="s">
        <v>397</v>
      </c>
      <c r="E72">
        <v>16.761900000000001</v>
      </c>
      <c r="F72">
        <v>17.171824999999998</v>
      </c>
      <c r="G72">
        <v>16.762159</v>
      </c>
      <c r="H72">
        <v>16.600726999999999</v>
      </c>
      <c r="I72">
        <v>16.550605999999998</v>
      </c>
      <c r="J72">
        <v>16.480719000000001</v>
      </c>
      <c r="K72">
        <v>16.335453000000001</v>
      </c>
      <c r="L72">
        <v>16.297905</v>
      </c>
      <c r="M72">
        <v>16.324348000000001</v>
      </c>
      <c r="N72">
        <v>16.320620999999999</v>
      </c>
      <c r="O72">
        <v>16.352364999999999</v>
      </c>
      <c r="P72">
        <v>16.399066999999999</v>
      </c>
      <c r="Q72">
        <v>16.478168</v>
      </c>
      <c r="R72">
        <v>16.573499999999999</v>
      </c>
      <c r="S72">
        <v>16.653956999999998</v>
      </c>
      <c r="T72">
        <v>16.715320999999999</v>
      </c>
      <c r="U72">
        <v>16.780923999999999</v>
      </c>
      <c r="V72">
        <v>16.876263000000002</v>
      </c>
      <c r="W72">
        <v>16.980440000000002</v>
      </c>
      <c r="X72">
        <v>17.084620999999999</v>
      </c>
      <c r="Y72">
        <v>17.185068000000001</v>
      </c>
      <c r="Z72">
        <v>17.271172</v>
      </c>
      <c r="AA72">
        <v>17.344833000000001</v>
      </c>
      <c r="AB72">
        <v>17.406241999999999</v>
      </c>
      <c r="AC72">
        <v>17.439630999999999</v>
      </c>
      <c r="AD72">
        <v>17.487321999999999</v>
      </c>
      <c r="AE72" t="s">
        <v>1023</v>
      </c>
    </row>
    <row r="73" spans="1:31" x14ac:dyDescent="0.25">
      <c r="A73" t="s">
        <v>426</v>
      </c>
      <c r="B73" t="s">
        <v>1281</v>
      </c>
      <c r="C73" t="s">
        <v>1282</v>
      </c>
      <c r="D73" t="s">
        <v>397</v>
      </c>
      <c r="E73">
        <v>7.5079999999999994E-2</v>
      </c>
      <c r="F73">
        <v>9.7618999999999997E-2</v>
      </c>
      <c r="G73">
        <v>0.119833</v>
      </c>
      <c r="H73">
        <v>0.14593200000000001</v>
      </c>
      <c r="I73">
        <v>0.17319300000000001</v>
      </c>
      <c r="J73">
        <v>0.199409</v>
      </c>
      <c r="K73">
        <v>0.22115000000000001</v>
      </c>
      <c r="L73">
        <v>0.24240800000000001</v>
      </c>
      <c r="M73">
        <v>0.26448199999999999</v>
      </c>
      <c r="N73">
        <v>0.28556500000000001</v>
      </c>
      <c r="O73">
        <v>0.307701</v>
      </c>
      <c r="P73">
        <v>0.32978800000000003</v>
      </c>
      <c r="Q73">
        <v>0.35306599999999999</v>
      </c>
      <c r="R73">
        <v>0.37676500000000002</v>
      </c>
      <c r="S73">
        <v>0.399704</v>
      </c>
      <c r="T73">
        <v>0.42260900000000001</v>
      </c>
      <c r="U73">
        <v>0.44601400000000002</v>
      </c>
      <c r="V73">
        <v>0.47185899999999997</v>
      </c>
      <c r="W73">
        <v>0.49950800000000001</v>
      </c>
      <c r="X73">
        <v>0.52955600000000003</v>
      </c>
      <c r="Y73">
        <v>0.56185099999999999</v>
      </c>
      <c r="Z73">
        <v>0.59497699999999998</v>
      </c>
      <c r="AA73">
        <v>0.62894799999999995</v>
      </c>
      <c r="AB73">
        <v>0.66345500000000002</v>
      </c>
      <c r="AC73">
        <v>0.697079</v>
      </c>
      <c r="AD73">
        <v>0.73172800000000005</v>
      </c>
      <c r="AE73" t="s">
        <v>1283</v>
      </c>
    </row>
    <row r="74" spans="1:31" x14ac:dyDescent="0.25">
      <c r="A74" t="s">
        <v>428</v>
      </c>
      <c r="B74" t="s">
        <v>1284</v>
      </c>
      <c r="C74" t="s">
        <v>1282</v>
      </c>
      <c r="D74" t="s">
        <v>397</v>
      </c>
      <c r="E74">
        <v>0.15950900000000001</v>
      </c>
      <c r="F74">
        <v>0.178677</v>
      </c>
      <c r="G74">
        <v>0.19480600000000001</v>
      </c>
      <c r="H74">
        <v>0.202568</v>
      </c>
      <c r="I74">
        <v>0.20727899999999999</v>
      </c>
      <c r="J74">
        <v>0.212645</v>
      </c>
      <c r="K74">
        <v>0.21679300000000001</v>
      </c>
      <c r="L74">
        <v>0.22007099999999999</v>
      </c>
      <c r="M74">
        <v>0.22375700000000001</v>
      </c>
      <c r="N74">
        <v>0.22936000000000001</v>
      </c>
      <c r="O74">
        <v>0.23388900000000001</v>
      </c>
      <c r="P74">
        <v>0.23771300000000001</v>
      </c>
      <c r="Q74">
        <v>0.24440600000000001</v>
      </c>
      <c r="R74">
        <v>0.25092700000000001</v>
      </c>
      <c r="S74">
        <v>0.25883299999999998</v>
      </c>
      <c r="T74">
        <v>0.26564700000000002</v>
      </c>
      <c r="U74">
        <v>0.26933000000000001</v>
      </c>
      <c r="V74">
        <v>0.27484399999999998</v>
      </c>
      <c r="W74">
        <v>0.27782000000000001</v>
      </c>
      <c r="X74">
        <v>0.281171</v>
      </c>
      <c r="Y74">
        <v>0.28390700000000002</v>
      </c>
      <c r="Z74">
        <v>0.28815800000000003</v>
      </c>
      <c r="AA74">
        <v>0.29341899999999999</v>
      </c>
      <c r="AB74">
        <v>0.29877599999999999</v>
      </c>
      <c r="AC74">
        <v>0.30282900000000001</v>
      </c>
      <c r="AD74">
        <v>0.308056</v>
      </c>
      <c r="AE74" t="s">
        <v>1213</v>
      </c>
    </row>
    <row r="75" spans="1:31" x14ac:dyDescent="0.25">
      <c r="A75" t="s">
        <v>529</v>
      </c>
      <c r="B75" t="s">
        <v>1285</v>
      </c>
      <c r="C75" t="s">
        <v>1286</v>
      </c>
      <c r="D75" t="s">
        <v>397</v>
      </c>
      <c r="E75">
        <v>16.677472999999999</v>
      </c>
      <c r="F75">
        <v>17.090769000000002</v>
      </c>
      <c r="G75">
        <v>16.687184999999999</v>
      </c>
      <c r="H75">
        <v>16.544090000000001</v>
      </c>
      <c r="I75">
        <v>16.51652</v>
      </c>
      <c r="J75">
        <v>16.467483999999999</v>
      </c>
      <c r="K75">
        <v>16.339808999999999</v>
      </c>
      <c r="L75">
        <v>16.320242</v>
      </c>
      <c r="M75">
        <v>16.365074</v>
      </c>
      <c r="N75">
        <v>16.376826999999999</v>
      </c>
      <c r="O75">
        <v>16.426178</v>
      </c>
      <c r="P75">
        <v>16.491142</v>
      </c>
      <c r="Q75">
        <v>16.586828000000001</v>
      </c>
      <c r="R75">
        <v>16.699337</v>
      </c>
      <c r="S75">
        <v>16.794827999999999</v>
      </c>
      <c r="T75">
        <v>16.872284000000001</v>
      </c>
      <c r="U75">
        <v>16.957609000000001</v>
      </c>
      <c r="V75">
        <v>17.073277999999998</v>
      </c>
      <c r="W75">
        <v>17.202127000000001</v>
      </c>
      <c r="X75">
        <v>17.333006000000001</v>
      </c>
      <c r="Y75">
        <v>17.463013</v>
      </c>
      <c r="Z75">
        <v>17.57799</v>
      </c>
      <c r="AA75">
        <v>17.680363</v>
      </c>
      <c r="AB75">
        <v>17.770921999999999</v>
      </c>
      <c r="AC75">
        <v>17.833881000000002</v>
      </c>
      <c r="AD75">
        <v>17.910993999999999</v>
      </c>
      <c r="AE75" t="s">
        <v>975</v>
      </c>
    </row>
    <row r="76" spans="1:31" x14ac:dyDescent="0.25">
      <c r="A76" t="s">
        <v>696</v>
      </c>
    </row>
    <row r="77" spans="1:31" x14ac:dyDescent="0.25">
      <c r="A77" t="s">
        <v>697</v>
      </c>
      <c r="B77" t="s">
        <v>1287</v>
      </c>
      <c r="C77" t="s">
        <v>1288</v>
      </c>
      <c r="D77" t="s">
        <v>397</v>
      </c>
      <c r="E77">
        <v>6.5494999999999998E-2</v>
      </c>
      <c r="F77">
        <v>6.3335000000000002E-2</v>
      </c>
      <c r="G77">
        <v>6.3611000000000001E-2</v>
      </c>
      <c r="H77">
        <v>6.2602000000000005E-2</v>
      </c>
      <c r="I77">
        <v>6.1894999999999999E-2</v>
      </c>
      <c r="J77">
        <v>6.1556E-2</v>
      </c>
      <c r="K77">
        <v>6.1001E-2</v>
      </c>
      <c r="L77">
        <v>5.9719000000000001E-2</v>
      </c>
      <c r="M77">
        <v>5.9400000000000001E-2</v>
      </c>
      <c r="N77">
        <v>5.9207999999999997E-2</v>
      </c>
      <c r="O77">
        <v>5.8635E-2</v>
      </c>
      <c r="P77">
        <v>5.8118999999999997E-2</v>
      </c>
      <c r="Q77">
        <v>5.7820999999999997E-2</v>
      </c>
      <c r="R77">
        <v>5.7597000000000002E-2</v>
      </c>
      <c r="S77">
        <v>5.7361000000000002E-2</v>
      </c>
      <c r="T77">
        <v>5.7211999999999999E-2</v>
      </c>
      <c r="U77">
        <v>5.6903000000000002E-2</v>
      </c>
      <c r="V77">
        <v>5.6644E-2</v>
      </c>
      <c r="W77">
        <v>5.6244000000000002E-2</v>
      </c>
      <c r="X77">
        <v>5.5780999999999997E-2</v>
      </c>
      <c r="Y77">
        <v>5.5392999999999998E-2</v>
      </c>
      <c r="Z77">
        <v>5.4973000000000001E-2</v>
      </c>
      <c r="AA77">
        <v>5.4613000000000002E-2</v>
      </c>
      <c r="AB77">
        <v>5.4244000000000001E-2</v>
      </c>
      <c r="AC77">
        <v>5.3925000000000001E-2</v>
      </c>
      <c r="AD77">
        <v>5.3518999999999997E-2</v>
      </c>
      <c r="AE77" t="s">
        <v>1051</v>
      </c>
    </row>
    <row r="78" spans="1:31" x14ac:dyDescent="0.25">
      <c r="A78" t="s">
        <v>536</v>
      </c>
      <c r="B78" t="s">
        <v>1289</v>
      </c>
      <c r="C78" t="s">
        <v>1290</v>
      </c>
      <c r="D78" t="s">
        <v>397</v>
      </c>
      <c r="E78">
        <v>0.15757299999999999</v>
      </c>
      <c r="F78">
        <v>0.176538</v>
      </c>
      <c r="G78">
        <v>0.19264600000000001</v>
      </c>
      <c r="H78">
        <v>0.20038900000000001</v>
      </c>
      <c r="I78">
        <v>0.205067</v>
      </c>
      <c r="J78">
        <v>0.210395</v>
      </c>
      <c r="K78">
        <v>0.21450900000000001</v>
      </c>
      <c r="L78">
        <v>0.21775</v>
      </c>
      <c r="M78">
        <v>0.22139800000000001</v>
      </c>
      <c r="N78">
        <v>0.226933</v>
      </c>
      <c r="O78">
        <v>0.23141999999999999</v>
      </c>
      <c r="P78">
        <v>0.23519699999999999</v>
      </c>
      <c r="Q78">
        <v>0.24181900000000001</v>
      </c>
      <c r="R78">
        <v>0.24828800000000001</v>
      </c>
      <c r="S78">
        <v>0.25614199999999998</v>
      </c>
      <c r="T78">
        <v>0.26291700000000001</v>
      </c>
      <c r="U78">
        <v>0.266571</v>
      </c>
      <c r="V78">
        <v>0.27200800000000003</v>
      </c>
      <c r="W78">
        <v>0.27494499999999999</v>
      </c>
      <c r="X78">
        <v>0.27825100000000003</v>
      </c>
      <c r="Y78">
        <v>0.28095700000000001</v>
      </c>
      <c r="Z78">
        <v>0.28517100000000001</v>
      </c>
      <c r="AA78">
        <v>0.29038199999999997</v>
      </c>
      <c r="AB78">
        <v>0.29569099999999998</v>
      </c>
      <c r="AC78">
        <v>0.29971399999999998</v>
      </c>
      <c r="AD78">
        <v>0.30489699999999997</v>
      </c>
      <c r="AE78" t="s">
        <v>1213</v>
      </c>
    </row>
    <row r="79" spans="1:31" x14ac:dyDescent="0.25">
      <c r="A79" t="s">
        <v>539</v>
      </c>
      <c r="B79" t="s">
        <v>1291</v>
      </c>
      <c r="C79" t="s">
        <v>1292</v>
      </c>
      <c r="D79" t="s">
        <v>397</v>
      </c>
      <c r="E79">
        <v>2.5240000000000002E-3</v>
      </c>
      <c r="F79">
        <v>2.5270000000000002E-3</v>
      </c>
      <c r="G79">
        <v>2.5330000000000001E-3</v>
      </c>
      <c r="H79">
        <v>2.5330000000000001E-3</v>
      </c>
      <c r="I79">
        <v>2.5360000000000001E-3</v>
      </c>
      <c r="J79">
        <v>2.5400000000000002E-3</v>
      </c>
      <c r="K79">
        <v>2.542E-3</v>
      </c>
      <c r="L79">
        <v>2.545E-3</v>
      </c>
      <c r="M79">
        <v>2.5490000000000001E-3</v>
      </c>
      <c r="N79">
        <v>2.552E-3</v>
      </c>
      <c r="O79">
        <v>2.5530000000000001E-3</v>
      </c>
      <c r="P79">
        <v>2.5539999999999998E-3</v>
      </c>
      <c r="Q79">
        <v>2.555E-3</v>
      </c>
      <c r="R79">
        <v>2.5569999999999998E-3</v>
      </c>
      <c r="S79">
        <v>2.5579999999999999E-3</v>
      </c>
      <c r="T79">
        <v>2.5600000000000002E-3</v>
      </c>
      <c r="U79">
        <v>2.5609999999999999E-3</v>
      </c>
      <c r="V79">
        <v>2.565E-3</v>
      </c>
      <c r="W79">
        <v>2.5660000000000001E-3</v>
      </c>
      <c r="X79">
        <v>2.568E-3</v>
      </c>
      <c r="Y79">
        <v>2.568E-3</v>
      </c>
      <c r="Z79">
        <v>2.5690000000000001E-3</v>
      </c>
      <c r="AA79">
        <v>2.5720000000000001E-3</v>
      </c>
      <c r="AB79">
        <v>2.5730000000000002E-3</v>
      </c>
      <c r="AC79">
        <v>2.5739999999999999E-3</v>
      </c>
      <c r="AD79">
        <v>2.575E-3</v>
      </c>
      <c r="AE79" t="s">
        <v>970</v>
      </c>
    </row>
    <row r="80" spans="1:31" x14ac:dyDescent="0.25">
      <c r="A80" t="s">
        <v>372</v>
      </c>
      <c r="B80" t="s">
        <v>1293</v>
      </c>
      <c r="C80" t="s">
        <v>1294</v>
      </c>
      <c r="D80" t="s">
        <v>397</v>
      </c>
      <c r="E80">
        <v>0.22559299999999999</v>
      </c>
      <c r="F80">
        <v>0.24240100000000001</v>
      </c>
      <c r="G80">
        <v>0.25879000000000002</v>
      </c>
      <c r="H80">
        <v>0.26552399999999998</v>
      </c>
      <c r="I80">
        <v>0.26949800000000002</v>
      </c>
      <c r="J80">
        <v>0.27449099999999999</v>
      </c>
      <c r="K80">
        <v>0.27805099999999999</v>
      </c>
      <c r="L80">
        <v>0.28001399999999999</v>
      </c>
      <c r="M80">
        <v>0.28334700000000002</v>
      </c>
      <c r="N80">
        <v>0.28869299999999998</v>
      </c>
      <c r="O80">
        <v>0.29260799999999998</v>
      </c>
      <c r="P80">
        <v>0.29586899999999999</v>
      </c>
      <c r="Q80">
        <v>0.30219499999999999</v>
      </c>
      <c r="R80">
        <v>0.30844100000000002</v>
      </c>
      <c r="S80">
        <v>0.31606099999999998</v>
      </c>
      <c r="T80">
        <v>0.32268999999999998</v>
      </c>
      <c r="U80">
        <v>0.32603500000000002</v>
      </c>
      <c r="V80">
        <v>0.33121699999999998</v>
      </c>
      <c r="W80">
        <v>0.333756</v>
      </c>
      <c r="X80">
        <v>0.33660000000000001</v>
      </c>
      <c r="Y80">
        <v>0.33891900000000003</v>
      </c>
      <c r="Z80">
        <v>0.34271400000000002</v>
      </c>
      <c r="AA80">
        <v>0.34756599999999999</v>
      </c>
      <c r="AB80">
        <v>0.35250900000000002</v>
      </c>
      <c r="AC80">
        <v>0.356213</v>
      </c>
      <c r="AD80">
        <v>0.36099100000000001</v>
      </c>
      <c r="AE80" t="s">
        <v>1295</v>
      </c>
    </row>
    <row r="81" spans="1:31" x14ac:dyDescent="0.25">
      <c r="A81" t="s">
        <v>544</v>
      </c>
    </row>
    <row r="82" spans="1:31" x14ac:dyDescent="0.25">
      <c r="A82" t="s">
        <v>207</v>
      </c>
      <c r="B82" t="s">
        <v>1296</v>
      </c>
      <c r="C82" t="s">
        <v>1297</v>
      </c>
      <c r="D82" t="s">
        <v>547</v>
      </c>
      <c r="E82">
        <v>6045</v>
      </c>
      <c r="F82">
        <v>5873</v>
      </c>
      <c r="G82">
        <v>5850</v>
      </c>
      <c r="H82">
        <v>5826</v>
      </c>
      <c r="I82">
        <v>5803</v>
      </c>
      <c r="J82">
        <v>5779</v>
      </c>
      <c r="K82">
        <v>5755</v>
      </c>
      <c r="L82">
        <v>5732</v>
      </c>
      <c r="M82">
        <v>5708</v>
      </c>
      <c r="N82">
        <v>5684</v>
      </c>
      <c r="O82">
        <v>5661</v>
      </c>
      <c r="P82">
        <v>5637</v>
      </c>
      <c r="Q82">
        <v>5613</v>
      </c>
      <c r="R82">
        <v>5589</v>
      </c>
      <c r="S82">
        <v>5566</v>
      </c>
      <c r="T82">
        <v>5542</v>
      </c>
      <c r="U82">
        <v>5518</v>
      </c>
      <c r="V82">
        <v>5495</v>
      </c>
      <c r="W82">
        <v>5471</v>
      </c>
      <c r="X82">
        <v>5447</v>
      </c>
      <c r="Y82">
        <v>5423</v>
      </c>
      <c r="Z82">
        <v>5400</v>
      </c>
      <c r="AA82">
        <v>5376</v>
      </c>
      <c r="AB82">
        <v>5352</v>
      </c>
      <c r="AC82">
        <v>5328</v>
      </c>
      <c r="AD82">
        <v>5305</v>
      </c>
      <c r="AE82" t="s">
        <v>1141</v>
      </c>
    </row>
    <row r="83" spans="1:31" x14ac:dyDescent="0.25">
      <c r="A83" t="s">
        <v>208</v>
      </c>
      <c r="B83" t="s">
        <v>1298</v>
      </c>
      <c r="C83" t="s">
        <v>1299</v>
      </c>
      <c r="D83" t="s">
        <v>547</v>
      </c>
      <c r="E83">
        <v>5404</v>
      </c>
      <c r="F83">
        <v>5271</v>
      </c>
      <c r="G83">
        <v>5249</v>
      </c>
      <c r="H83">
        <v>5228</v>
      </c>
      <c r="I83">
        <v>5207</v>
      </c>
      <c r="J83">
        <v>5185</v>
      </c>
      <c r="K83">
        <v>5164</v>
      </c>
      <c r="L83">
        <v>5142</v>
      </c>
      <c r="M83">
        <v>5121</v>
      </c>
      <c r="N83">
        <v>5100</v>
      </c>
      <c r="O83">
        <v>5078</v>
      </c>
      <c r="P83">
        <v>5057</v>
      </c>
      <c r="Q83">
        <v>5035</v>
      </c>
      <c r="R83">
        <v>5014</v>
      </c>
      <c r="S83">
        <v>4993</v>
      </c>
      <c r="T83">
        <v>4971</v>
      </c>
      <c r="U83">
        <v>4950</v>
      </c>
      <c r="V83">
        <v>4929</v>
      </c>
      <c r="W83">
        <v>4907</v>
      </c>
      <c r="X83">
        <v>4886</v>
      </c>
      <c r="Y83">
        <v>4865</v>
      </c>
      <c r="Z83">
        <v>4843</v>
      </c>
      <c r="AA83">
        <v>4822</v>
      </c>
      <c r="AB83">
        <v>4801</v>
      </c>
      <c r="AC83">
        <v>4780</v>
      </c>
      <c r="AD83">
        <v>4758</v>
      </c>
      <c r="AE83" t="s">
        <v>1141</v>
      </c>
    </row>
    <row r="84" spans="1:31" x14ac:dyDescent="0.25">
      <c r="A84" t="s">
        <v>210</v>
      </c>
      <c r="B84" t="s">
        <v>1300</v>
      </c>
      <c r="C84" t="s">
        <v>1301</v>
      </c>
      <c r="D84" t="s">
        <v>547</v>
      </c>
      <c r="E84">
        <v>5984</v>
      </c>
      <c r="F84">
        <v>5836</v>
      </c>
      <c r="G84">
        <v>5817</v>
      </c>
      <c r="H84">
        <v>5798</v>
      </c>
      <c r="I84">
        <v>5779</v>
      </c>
      <c r="J84">
        <v>5760</v>
      </c>
      <c r="K84">
        <v>5741</v>
      </c>
      <c r="L84">
        <v>5722</v>
      </c>
      <c r="M84">
        <v>5703</v>
      </c>
      <c r="N84">
        <v>5683</v>
      </c>
      <c r="O84">
        <v>5664</v>
      </c>
      <c r="P84">
        <v>5645</v>
      </c>
      <c r="Q84">
        <v>5626</v>
      </c>
      <c r="R84">
        <v>5607</v>
      </c>
      <c r="S84">
        <v>5588</v>
      </c>
      <c r="T84">
        <v>5569</v>
      </c>
      <c r="U84">
        <v>5549</v>
      </c>
      <c r="V84">
        <v>5530</v>
      </c>
      <c r="W84">
        <v>5511</v>
      </c>
      <c r="X84">
        <v>5492</v>
      </c>
      <c r="Y84">
        <v>5473</v>
      </c>
      <c r="Z84">
        <v>5453</v>
      </c>
      <c r="AA84">
        <v>5434</v>
      </c>
      <c r="AB84">
        <v>5415</v>
      </c>
      <c r="AC84">
        <v>5396</v>
      </c>
      <c r="AD84">
        <v>5377</v>
      </c>
      <c r="AE84" t="s">
        <v>1000</v>
      </c>
    </row>
    <row r="85" spans="1:31" x14ac:dyDescent="0.25">
      <c r="A85" t="s">
        <v>211</v>
      </c>
      <c r="B85" t="s">
        <v>1302</v>
      </c>
      <c r="C85" t="s">
        <v>1303</v>
      </c>
      <c r="D85" t="s">
        <v>547</v>
      </c>
      <c r="E85">
        <v>6267</v>
      </c>
      <c r="F85">
        <v>6263</v>
      </c>
      <c r="G85">
        <v>6251</v>
      </c>
      <c r="H85">
        <v>6239</v>
      </c>
      <c r="I85">
        <v>6227</v>
      </c>
      <c r="J85">
        <v>6215</v>
      </c>
      <c r="K85">
        <v>6203</v>
      </c>
      <c r="L85">
        <v>6191</v>
      </c>
      <c r="M85">
        <v>6178</v>
      </c>
      <c r="N85">
        <v>6166</v>
      </c>
      <c r="O85">
        <v>6153</v>
      </c>
      <c r="P85">
        <v>6141</v>
      </c>
      <c r="Q85">
        <v>6128</v>
      </c>
      <c r="R85">
        <v>6116</v>
      </c>
      <c r="S85">
        <v>6103</v>
      </c>
      <c r="T85">
        <v>6091</v>
      </c>
      <c r="U85">
        <v>6078</v>
      </c>
      <c r="V85">
        <v>6066</v>
      </c>
      <c r="W85">
        <v>6053</v>
      </c>
      <c r="X85">
        <v>6040</v>
      </c>
      <c r="Y85">
        <v>6028</v>
      </c>
      <c r="Z85">
        <v>6015</v>
      </c>
      <c r="AA85">
        <v>6002</v>
      </c>
      <c r="AB85">
        <v>5990</v>
      </c>
      <c r="AC85">
        <v>5977</v>
      </c>
      <c r="AD85">
        <v>5964</v>
      </c>
      <c r="AE85" t="s">
        <v>1039</v>
      </c>
    </row>
    <row r="86" spans="1:31" x14ac:dyDescent="0.25">
      <c r="A86" t="s">
        <v>213</v>
      </c>
      <c r="B86" t="s">
        <v>1304</v>
      </c>
      <c r="C86" t="s">
        <v>1305</v>
      </c>
      <c r="D86" t="s">
        <v>547</v>
      </c>
      <c r="E86">
        <v>2431</v>
      </c>
      <c r="F86">
        <v>2296</v>
      </c>
      <c r="G86">
        <v>2280</v>
      </c>
      <c r="H86">
        <v>2263</v>
      </c>
      <c r="I86">
        <v>2245</v>
      </c>
      <c r="J86">
        <v>2228</v>
      </c>
      <c r="K86">
        <v>2210</v>
      </c>
      <c r="L86">
        <v>2192</v>
      </c>
      <c r="M86">
        <v>2175</v>
      </c>
      <c r="N86">
        <v>2157</v>
      </c>
      <c r="O86">
        <v>2139</v>
      </c>
      <c r="P86">
        <v>2122</v>
      </c>
      <c r="Q86">
        <v>2104</v>
      </c>
      <c r="R86">
        <v>2087</v>
      </c>
      <c r="S86">
        <v>2069</v>
      </c>
      <c r="T86">
        <v>2052</v>
      </c>
      <c r="U86">
        <v>2034</v>
      </c>
      <c r="V86">
        <v>2017</v>
      </c>
      <c r="W86">
        <v>2000</v>
      </c>
      <c r="X86">
        <v>1982</v>
      </c>
      <c r="Y86">
        <v>1965</v>
      </c>
      <c r="Z86">
        <v>1948</v>
      </c>
      <c r="AA86">
        <v>1930</v>
      </c>
      <c r="AB86">
        <v>1913</v>
      </c>
      <c r="AC86">
        <v>1896</v>
      </c>
      <c r="AD86">
        <v>1879</v>
      </c>
      <c r="AE86" t="s">
        <v>978</v>
      </c>
    </row>
    <row r="87" spans="1:31" x14ac:dyDescent="0.25">
      <c r="A87" t="s">
        <v>214</v>
      </c>
      <c r="B87" t="s">
        <v>1306</v>
      </c>
      <c r="C87" t="s">
        <v>1307</v>
      </c>
      <c r="D87" t="s">
        <v>547</v>
      </c>
      <c r="E87">
        <v>3231</v>
      </c>
      <c r="F87">
        <v>3099</v>
      </c>
      <c r="G87">
        <v>3084</v>
      </c>
      <c r="H87">
        <v>3069</v>
      </c>
      <c r="I87">
        <v>3053</v>
      </c>
      <c r="J87">
        <v>3038</v>
      </c>
      <c r="K87">
        <v>3023</v>
      </c>
      <c r="L87">
        <v>3008</v>
      </c>
      <c r="M87">
        <v>2992</v>
      </c>
      <c r="N87">
        <v>2977</v>
      </c>
      <c r="O87">
        <v>2961</v>
      </c>
      <c r="P87">
        <v>2946</v>
      </c>
      <c r="Q87">
        <v>2930</v>
      </c>
      <c r="R87">
        <v>2915</v>
      </c>
      <c r="S87">
        <v>2900</v>
      </c>
      <c r="T87">
        <v>2884</v>
      </c>
      <c r="U87">
        <v>2869</v>
      </c>
      <c r="V87">
        <v>2853</v>
      </c>
      <c r="W87">
        <v>2838</v>
      </c>
      <c r="X87">
        <v>2822</v>
      </c>
      <c r="Y87">
        <v>2807</v>
      </c>
      <c r="Z87">
        <v>2791</v>
      </c>
      <c r="AA87">
        <v>2776</v>
      </c>
      <c r="AB87">
        <v>2760</v>
      </c>
      <c r="AC87">
        <v>2745</v>
      </c>
      <c r="AD87">
        <v>2730</v>
      </c>
      <c r="AE87" t="s">
        <v>1028</v>
      </c>
    </row>
    <row r="88" spans="1:31" x14ac:dyDescent="0.25">
      <c r="A88" t="s">
        <v>215</v>
      </c>
      <c r="B88" t="s">
        <v>1308</v>
      </c>
      <c r="C88" t="s">
        <v>1309</v>
      </c>
      <c r="D88" t="s">
        <v>547</v>
      </c>
      <c r="E88">
        <v>1966</v>
      </c>
      <c r="F88">
        <v>1889</v>
      </c>
      <c r="G88">
        <v>1880</v>
      </c>
      <c r="H88">
        <v>1870</v>
      </c>
      <c r="I88">
        <v>1860</v>
      </c>
      <c r="J88">
        <v>1851</v>
      </c>
      <c r="K88">
        <v>1841</v>
      </c>
      <c r="L88">
        <v>1831</v>
      </c>
      <c r="M88">
        <v>1822</v>
      </c>
      <c r="N88">
        <v>1812</v>
      </c>
      <c r="O88">
        <v>1803</v>
      </c>
      <c r="P88">
        <v>1793</v>
      </c>
      <c r="Q88">
        <v>1784</v>
      </c>
      <c r="R88">
        <v>1774</v>
      </c>
      <c r="S88">
        <v>1765</v>
      </c>
      <c r="T88">
        <v>1756</v>
      </c>
      <c r="U88">
        <v>1746</v>
      </c>
      <c r="V88">
        <v>1737</v>
      </c>
      <c r="W88">
        <v>1728</v>
      </c>
      <c r="X88">
        <v>1718</v>
      </c>
      <c r="Y88">
        <v>1709</v>
      </c>
      <c r="Z88">
        <v>1700</v>
      </c>
      <c r="AA88">
        <v>1690</v>
      </c>
      <c r="AB88">
        <v>1681</v>
      </c>
      <c r="AC88">
        <v>1672</v>
      </c>
      <c r="AD88">
        <v>1663</v>
      </c>
      <c r="AE88" t="s">
        <v>1028</v>
      </c>
    </row>
    <row r="89" spans="1:31" x14ac:dyDescent="0.25">
      <c r="A89" t="s">
        <v>217</v>
      </c>
      <c r="B89" t="s">
        <v>1310</v>
      </c>
      <c r="C89" t="s">
        <v>1311</v>
      </c>
      <c r="D89" t="s">
        <v>547</v>
      </c>
      <c r="E89">
        <v>4734</v>
      </c>
      <c r="F89">
        <v>4833</v>
      </c>
      <c r="G89">
        <v>4825</v>
      </c>
      <c r="H89">
        <v>4816</v>
      </c>
      <c r="I89">
        <v>4807</v>
      </c>
      <c r="J89">
        <v>4799</v>
      </c>
      <c r="K89">
        <v>4790</v>
      </c>
      <c r="L89">
        <v>4782</v>
      </c>
      <c r="M89">
        <v>4774</v>
      </c>
      <c r="N89">
        <v>4766</v>
      </c>
      <c r="O89">
        <v>4758</v>
      </c>
      <c r="P89">
        <v>4750</v>
      </c>
      <c r="Q89">
        <v>4742</v>
      </c>
      <c r="R89">
        <v>4734</v>
      </c>
      <c r="S89">
        <v>4726</v>
      </c>
      <c r="T89">
        <v>4718</v>
      </c>
      <c r="U89">
        <v>4710</v>
      </c>
      <c r="V89">
        <v>4702</v>
      </c>
      <c r="W89">
        <v>4694</v>
      </c>
      <c r="X89">
        <v>4687</v>
      </c>
      <c r="Y89">
        <v>4679</v>
      </c>
      <c r="Z89">
        <v>4671</v>
      </c>
      <c r="AA89">
        <v>4664</v>
      </c>
      <c r="AB89">
        <v>4656</v>
      </c>
      <c r="AC89">
        <v>4648</v>
      </c>
      <c r="AD89">
        <v>4641</v>
      </c>
      <c r="AE89" t="s">
        <v>1021</v>
      </c>
    </row>
    <row r="90" spans="1:31" x14ac:dyDescent="0.25">
      <c r="A90" t="s">
        <v>220</v>
      </c>
      <c r="B90" t="s">
        <v>1312</v>
      </c>
      <c r="C90" t="s">
        <v>1313</v>
      </c>
      <c r="D90" t="s">
        <v>547</v>
      </c>
      <c r="E90">
        <v>3251</v>
      </c>
      <c r="F90">
        <v>3291</v>
      </c>
      <c r="G90">
        <v>3285</v>
      </c>
      <c r="H90">
        <v>3279</v>
      </c>
      <c r="I90">
        <v>3272</v>
      </c>
      <c r="J90">
        <v>3266</v>
      </c>
      <c r="K90">
        <v>3259</v>
      </c>
      <c r="L90">
        <v>3252</v>
      </c>
      <c r="M90">
        <v>3245</v>
      </c>
      <c r="N90">
        <v>3238</v>
      </c>
      <c r="O90">
        <v>3231</v>
      </c>
      <c r="P90">
        <v>3224</v>
      </c>
      <c r="Q90">
        <v>3216</v>
      </c>
      <c r="R90">
        <v>3209</v>
      </c>
      <c r="S90">
        <v>3202</v>
      </c>
      <c r="T90">
        <v>3195</v>
      </c>
      <c r="U90">
        <v>3187</v>
      </c>
      <c r="V90">
        <v>3180</v>
      </c>
      <c r="W90">
        <v>3173</v>
      </c>
      <c r="X90">
        <v>3165</v>
      </c>
      <c r="Y90">
        <v>3158</v>
      </c>
      <c r="Z90">
        <v>3151</v>
      </c>
      <c r="AA90">
        <v>3143</v>
      </c>
      <c r="AB90">
        <v>3136</v>
      </c>
      <c r="AC90">
        <v>3129</v>
      </c>
      <c r="AD90">
        <v>3122</v>
      </c>
      <c r="AE90" t="s">
        <v>1039</v>
      </c>
    </row>
    <row r="91" spans="1:31" x14ac:dyDescent="0.25">
      <c r="A91" t="s">
        <v>564</v>
      </c>
      <c r="B91" t="s">
        <v>1314</v>
      </c>
      <c r="C91" t="s">
        <v>1315</v>
      </c>
      <c r="D91" t="s">
        <v>547</v>
      </c>
      <c r="E91">
        <v>3989.5722660000001</v>
      </c>
      <c r="F91">
        <v>3910.1059570000002</v>
      </c>
      <c r="G91">
        <v>3891.6015619999998</v>
      </c>
      <c r="H91">
        <v>3872.8251949999999</v>
      </c>
      <c r="I91">
        <v>3853.7155760000001</v>
      </c>
      <c r="J91">
        <v>3835.1279300000001</v>
      </c>
      <c r="K91">
        <v>3816.111328</v>
      </c>
      <c r="L91">
        <v>3797.1376949999999</v>
      </c>
      <c r="M91">
        <v>3778.5009770000001</v>
      </c>
      <c r="N91">
        <v>3759.5527339999999</v>
      </c>
      <c r="O91">
        <v>3740.7109380000002</v>
      </c>
      <c r="P91">
        <v>3722.1608890000002</v>
      </c>
      <c r="Q91">
        <v>3703.157471</v>
      </c>
      <c r="R91">
        <v>3684.6523440000001</v>
      </c>
      <c r="S91">
        <v>3666.0649410000001</v>
      </c>
      <c r="T91">
        <v>3647.5561520000001</v>
      </c>
      <c r="U91">
        <v>3628.524414</v>
      </c>
      <c r="V91">
        <v>3610.1992190000001</v>
      </c>
      <c r="W91">
        <v>3591.7321780000002</v>
      </c>
      <c r="X91">
        <v>3572.9052729999999</v>
      </c>
      <c r="Y91">
        <v>3554.6525879999999</v>
      </c>
      <c r="Z91">
        <v>3536.1577149999998</v>
      </c>
      <c r="AA91">
        <v>3517.584961</v>
      </c>
      <c r="AB91">
        <v>3499.5966800000001</v>
      </c>
      <c r="AC91">
        <v>3481.7885740000002</v>
      </c>
      <c r="AD91">
        <v>3464.116211</v>
      </c>
      <c r="AE91" t="s">
        <v>1120</v>
      </c>
    </row>
    <row r="92" spans="1:31" x14ac:dyDescent="0.25">
      <c r="A92" t="s">
        <v>567</v>
      </c>
    </row>
    <row r="93" spans="1:31" x14ac:dyDescent="0.25">
      <c r="A93" t="s">
        <v>207</v>
      </c>
      <c r="B93" t="s">
        <v>1316</v>
      </c>
      <c r="C93" t="s">
        <v>1317</v>
      </c>
      <c r="D93" t="s">
        <v>570</v>
      </c>
      <c r="E93">
        <v>530</v>
      </c>
      <c r="F93">
        <v>626</v>
      </c>
      <c r="G93">
        <v>633</v>
      </c>
      <c r="H93">
        <v>640</v>
      </c>
      <c r="I93">
        <v>647</v>
      </c>
      <c r="J93">
        <v>654</v>
      </c>
      <c r="K93">
        <v>662</v>
      </c>
      <c r="L93">
        <v>669</v>
      </c>
      <c r="M93">
        <v>676</v>
      </c>
      <c r="N93">
        <v>683</v>
      </c>
      <c r="O93">
        <v>690</v>
      </c>
      <c r="P93">
        <v>697</v>
      </c>
      <c r="Q93">
        <v>704</v>
      </c>
      <c r="R93">
        <v>712</v>
      </c>
      <c r="S93">
        <v>719</v>
      </c>
      <c r="T93">
        <v>726</v>
      </c>
      <c r="U93">
        <v>733</v>
      </c>
      <c r="V93">
        <v>740</v>
      </c>
      <c r="W93">
        <v>747</v>
      </c>
      <c r="X93">
        <v>754</v>
      </c>
      <c r="Y93">
        <v>761</v>
      </c>
      <c r="Z93">
        <v>769</v>
      </c>
      <c r="AA93">
        <v>776</v>
      </c>
      <c r="AB93">
        <v>783</v>
      </c>
      <c r="AC93">
        <v>790</v>
      </c>
      <c r="AD93">
        <v>797</v>
      </c>
      <c r="AE93" t="s">
        <v>1162</v>
      </c>
    </row>
    <row r="94" spans="1:31" x14ac:dyDescent="0.25">
      <c r="A94" t="s">
        <v>208</v>
      </c>
      <c r="B94" t="s">
        <v>1318</v>
      </c>
      <c r="C94" t="s">
        <v>1319</v>
      </c>
      <c r="D94" t="s">
        <v>570</v>
      </c>
      <c r="E94">
        <v>766</v>
      </c>
      <c r="F94">
        <v>858</v>
      </c>
      <c r="G94">
        <v>866</v>
      </c>
      <c r="H94">
        <v>874</v>
      </c>
      <c r="I94">
        <v>883</v>
      </c>
      <c r="J94">
        <v>891</v>
      </c>
      <c r="K94">
        <v>899</v>
      </c>
      <c r="L94">
        <v>907</v>
      </c>
      <c r="M94">
        <v>915</v>
      </c>
      <c r="N94">
        <v>923</v>
      </c>
      <c r="O94">
        <v>932</v>
      </c>
      <c r="P94">
        <v>940</v>
      </c>
      <c r="Q94">
        <v>948</v>
      </c>
      <c r="R94">
        <v>956</v>
      </c>
      <c r="S94">
        <v>964</v>
      </c>
      <c r="T94">
        <v>973</v>
      </c>
      <c r="U94">
        <v>981</v>
      </c>
      <c r="V94">
        <v>989</v>
      </c>
      <c r="W94">
        <v>997</v>
      </c>
      <c r="X94">
        <v>1005</v>
      </c>
      <c r="Y94">
        <v>1014</v>
      </c>
      <c r="Z94">
        <v>1022</v>
      </c>
      <c r="AA94">
        <v>1030</v>
      </c>
      <c r="AB94">
        <v>1038</v>
      </c>
      <c r="AC94">
        <v>1046</v>
      </c>
      <c r="AD94">
        <v>1055</v>
      </c>
      <c r="AE94" t="s">
        <v>1025</v>
      </c>
    </row>
    <row r="95" spans="1:31" x14ac:dyDescent="0.25">
      <c r="A95" t="s">
        <v>210</v>
      </c>
      <c r="B95" t="s">
        <v>1320</v>
      </c>
      <c r="C95" t="s">
        <v>1321</v>
      </c>
      <c r="D95" t="s">
        <v>570</v>
      </c>
      <c r="E95">
        <v>873</v>
      </c>
      <c r="F95">
        <v>857</v>
      </c>
      <c r="G95">
        <v>862</v>
      </c>
      <c r="H95">
        <v>867</v>
      </c>
      <c r="I95">
        <v>871</v>
      </c>
      <c r="J95">
        <v>876</v>
      </c>
      <c r="K95">
        <v>881</v>
      </c>
      <c r="L95">
        <v>886</v>
      </c>
      <c r="M95">
        <v>890</v>
      </c>
      <c r="N95">
        <v>895</v>
      </c>
      <c r="O95">
        <v>900</v>
      </c>
      <c r="P95">
        <v>905</v>
      </c>
      <c r="Q95">
        <v>909</v>
      </c>
      <c r="R95">
        <v>914</v>
      </c>
      <c r="S95">
        <v>919</v>
      </c>
      <c r="T95">
        <v>924</v>
      </c>
      <c r="U95">
        <v>928</v>
      </c>
      <c r="V95">
        <v>933</v>
      </c>
      <c r="W95">
        <v>938</v>
      </c>
      <c r="X95">
        <v>943</v>
      </c>
      <c r="Y95">
        <v>948</v>
      </c>
      <c r="Z95">
        <v>952</v>
      </c>
      <c r="AA95">
        <v>957</v>
      </c>
      <c r="AB95">
        <v>962</v>
      </c>
      <c r="AC95">
        <v>967</v>
      </c>
      <c r="AD95">
        <v>972</v>
      </c>
      <c r="AE95" t="s">
        <v>1167</v>
      </c>
    </row>
    <row r="96" spans="1:31" x14ac:dyDescent="0.25">
      <c r="A96" t="s">
        <v>211</v>
      </c>
      <c r="B96" t="s">
        <v>1322</v>
      </c>
      <c r="C96" t="s">
        <v>1323</v>
      </c>
      <c r="D96" t="s">
        <v>570</v>
      </c>
      <c r="E96">
        <v>1052</v>
      </c>
      <c r="F96">
        <v>1048</v>
      </c>
      <c r="G96">
        <v>1053</v>
      </c>
      <c r="H96">
        <v>1057</v>
      </c>
      <c r="I96">
        <v>1062</v>
      </c>
      <c r="J96">
        <v>1067</v>
      </c>
      <c r="K96">
        <v>1071</v>
      </c>
      <c r="L96">
        <v>1076</v>
      </c>
      <c r="M96">
        <v>1081</v>
      </c>
      <c r="N96">
        <v>1086</v>
      </c>
      <c r="O96">
        <v>1090</v>
      </c>
      <c r="P96">
        <v>1095</v>
      </c>
      <c r="Q96">
        <v>1100</v>
      </c>
      <c r="R96">
        <v>1105</v>
      </c>
      <c r="S96">
        <v>1109</v>
      </c>
      <c r="T96">
        <v>1114</v>
      </c>
      <c r="U96">
        <v>1119</v>
      </c>
      <c r="V96">
        <v>1124</v>
      </c>
      <c r="W96">
        <v>1129</v>
      </c>
      <c r="X96">
        <v>1133</v>
      </c>
      <c r="Y96">
        <v>1138</v>
      </c>
      <c r="Z96">
        <v>1143</v>
      </c>
      <c r="AA96">
        <v>1148</v>
      </c>
      <c r="AB96">
        <v>1153</v>
      </c>
      <c r="AC96">
        <v>1158</v>
      </c>
      <c r="AD96">
        <v>1162</v>
      </c>
      <c r="AE96" t="s">
        <v>1167</v>
      </c>
    </row>
    <row r="97" spans="1:31" x14ac:dyDescent="0.25">
      <c r="A97" t="s">
        <v>213</v>
      </c>
      <c r="B97" t="s">
        <v>1324</v>
      </c>
      <c r="C97" t="s">
        <v>1325</v>
      </c>
      <c r="D97" t="s">
        <v>570</v>
      </c>
      <c r="E97">
        <v>2319</v>
      </c>
      <c r="F97">
        <v>2427</v>
      </c>
      <c r="G97">
        <v>2442</v>
      </c>
      <c r="H97">
        <v>2458</v>
      </c>
      <c r="I97">
        <v>2473</v>
      </c>
      <c r="J97">
        <v>2489</v>
      </c>
      <c r="K97">
        <v>2505</v>
      </c>
      <c r="L97">
        <v>2522</v>
      </c>
      <c r="M97">
        <v>2538</v>
      </c>
      <c r="N97">
        <v>2554</v>
      </c>
      <c r="O97">
        <v>2570</v>
      </c>
      <c r="P97">
        <v>2586</v>
      </c>
      <c r="Q97">
        <v>2603</v>
      </c>
      <c r="R97">
        <v>2619</v>
      </c>
      <c r="S97">
        <v>2635</v>
      </c>
      <c r="T97">
        <v>2652</v>
      </c>
      <c r="U97">
        <v>2668</v>
      </c>
      <c r="V97">
        <v>2684</v>
      </c>
      <c r="W97">
        <v>2701</v>
      </c>
      <c r="X97">
        <v>2717</v>
      </c>
      <c r="Y97">
        <v>2734</v>
      </c>
      <c r="Z97">
        <v>2750</v>
      </c>
      <c r="AA97">
        <v>2767</v>
      </c>
      <c r="AB97">
        <v>2783</v>
      </c>
      <c r="AC97">
        <v>2800</v>
      </c>
      <c r="AD97">
        <v>2816</v>
      </c>
      <c r="AE97" t="s">
        <v>964</v>
      </c>
    </row>
    <row r="98" spans="1:31" x14ac:dyDescent="0.25">
      <c r="A98" t="s">
        <v>214</v>
      </c>
      <c r="B98" t="s">
        <v>1326</v>
      </c>
      <c r="C98" t="s">
        <v>1327</v>
      </c>
      <c r="D98" t="s">
        <v>570</v>
      </c>
      <c r="E98">
        <v>1790</v>
      </c>
      <c r="F98">
        <v>1783</v>
      </c>
      <c r="G98">
        <v>1790</v>
      </c>
      <c r="H98">
        <v>1797</v>
      </c>
      <c r="I98">
        <v>1804</v>
      </c>
      <c r="J98">
        <v>1811</v>
      </c>
      <c r="K98">
        <v>1819</v>
      </c>
      <c r="L98">
        <v>1826</v>
      </c>
      <c r="M98">
        <v>1833</v>
      </c>
      <c r="N98">
        <v>1840</v>
      </c>
      <c r="O98">
        <v>1847</v>
      </c>
      <c r="P98">
        <v>1854</v>
      </c>
      <c r="Q98">
        <v>1862</v>
      </c>
      <c r="R98">
        <v>1869</v>
      </c>
      <c r="S98">
        <v>1876</v>
      </c>
      <c r="T98">
        <v>1883</v>
      </c>
      <c r="U98">
        <v>1890</v>
      </c>
      <c r="V98">
        <v>1898</v>
      </c>
      <c r="W98">
        <v>1905</v>
      </c>
      <c r="X98">
        <v>1912</v>
      </c>
      <c r="Y98">
        <v>1919</v>
      </c>
      <c r="Z98">
        <v>1926</v>
      </c>
      <c r="AA98">
        <v>1934</v>
      </c>
      <c r="AB98">
        <v>1941</v>
      </c>
      <c r="AC98">
        <v>1948</v>
      </c>
      <c r="AD98">
        <v>1955</v>
      </c>
      <c r="AE98" t="s">
        <v>1167</v>
      </c>
    </row>
    <row r="99" spans="1:31" x14ac:dyDescent="0.25">
      <c r="A99" t="s">
        <v>215</v>
      </c>
      <c r="B99" t="s">
        <v>1328</v>
      </c>
      <c r="C99" t="s">
        <v>1329</v>
      </c>
      <c r="D99" t="s">
        <v>570</v>
      </c>
      <c r="E99">
        <v>2916</v>
      </c>
      <c r="F99">
        <v>2946</v>
      </c>
      <c r="G99">
        <v>2961</v>
      </c>
      <c r="H99">
        <v>2976</v>
      </c>
      <c r="I99">
        <v>2990</v>
      </c>
      <c r="J99">
        <v>3005</v>
      </c>
      <c r="K99">
        <v>3020</v>
      </c>
      <c r="L99">
        <v>3035</v>
      </c>
      <c r="M99">
        <v>3049</v>
      </c>
      <c r="N99">
        <v>3064</v>
      </c>
      <c r="O99">
        <v>3079</v>
      </c>
      <c r="P99">
        <v>3093</v>
      </c>
      <c r="Q99">
        <v>3108</v>
      </c>
      <c r="R99">
        <v>3123</v>
      </c>
      <c r="S99">
        <v>3138</v>
      </c>
      <c r="T99">
        <v>3152</v>
      </c>
      <c r="U99">
        <v>3167</v>
      </c>
      <c r="V99">
        <v>3182</v>
      </c>
      <c r="W99">
        <v>3197</v>
      </c>
      <c r="X99">
        <v>3211</v>
      </c>
      <c r="Y99">
        <v>3226</v>
      </c>
      <c r="Z99">
        <v>3241</v>
      </c>
      <c r="AA99">
        <v>3255</v>
      </c>
      <c r="AB99">
        <v>3270</v>
      </c>
      <c r="AC99">
        <v>3285</v>
      </c>
      <c r="AD99">
        <v>3299</v>
      </c>
      <c r="AE99" t="s">
        <v>1012</v>
      </c>
    </row>
    <row r="100" spans="1:31" x14ac:dyDescent="0.25">
      <c r="A100" t="s">
        <v>217</v>
      </c>
      <c r="B100" t="s">
        <v>1330</v>
      </c>
      <c r="C100" t="s">
        <v>1331</v>
      </c>
      <c r="D100" t="s">
        <v>570</v>
      </c>
      <c r="E100">
        <v>1515</v>
      </c>
      <c r="F100">
        <v>1608</v>
      </c>
      <c r="G100">
        <v>1617</v>
      </c>
      <c r="H100">
        <v>1627</v>
      </c>
      <c r="I100">
        <v>1636</v>
      </c>
      <c r="J100">
        <v>1645</v>
      </c>
      <c r="K100">
        <v>1655</v>
      </c>
      <c r="L100">
        <v>1664</v>
      </c>
      <c r="M100">
        <v>1673</v>
      </c>
      <c r="N100">
        <v>1682</v>
      </c>
      <c r="O100">
        <v>1691</v>
      </c>
      <c r="P100">
        <v>1701</v>
      </c>
      <c r="Q100">
        <v>1710</v>
      </c>
      <c r="R100">
        <v>1719</v>
      </c>
      <c r="S100">
        <v>1728</v>
      </c>
      <c r="T100">
        <v>1737</v>
      </c>
      <c r="U100">
        <v>1746</v>
      </c>
      <c r="V100">
        <v>1755</v>
      </c>
      <c r="W100">
        <v>1764</v>
      </c>
      <c r="X100">
        <v>1773</v>
      </c>
      <c r="Y100">
        <v>1782</v>
      </c>
      <c r="Z100">
        <v>1791</v>
      </c>
      <c r="AA100">
        <v>1800</v>
      </c>
      <c r="AB100">
        <v>1809</v>
      </c>
      <c r="AC100">
        <v>1818</v>
      </c>
      <c r="AD100">
        <v>1827</v>
      </c>
      <c r="AE100" t="s">
        <v>964</v>
      </c>
    </row>
    <row r="101" spans="1:31" x14ac:dyDescent="0.25">
      <c r="A101" t="s">
        <v>220</v>
      </c>
      <c r="B101" t="s">
        <v>1332</v>
      </c>
      <c r="C101" t="s">
        <v>1333</v>
      </c>
      <c r="D101" t="s">
        <v>570</v>
      </c>
      <c r="E101">
        <v>887</v>
      </c>
      <c r="F101">
        <v>1040</v>
      </c>
      <c r="G101">
        <v>1049</v>
      </c>
      <c r="H101">
        <v>1058</v>
      </c>
      <c r="I101">
        <v>1067</v>
      </c>
      <c r="J101">
        <v>1076</v>
      </c>
      <c r="K101">
        <v>1085</v>
      </c>
      <c r="L101">
        <v>1094</v>
      </c>
      <c r="M101">
        <v>1103</v>
      </c>
      <c r="N101">
        <v>1112</v>
      </c>
      <c r="O101">
        <v>1121</v>
      </c>
      <c r="P101">
        <v>1131</v>
      </c>
      <c r="Q101">
        <v>1140</v>
      </c>
      <c r="R101">
        <v>1149</v>
      </c>
      <c r="S101">
        <v>1158</v>
      </c>
      <c r="T101">
        <v>1167</v>
      </c>
      <c r="U101">
        <v>1177</v>
      </c>
      <c r="V101">
        <v>1186</v>
      </c>
      <c r="W101">
        <v>1195</v>
      </c>
      <c r="X101">
        <v>1204</v>
      </c>
      <c r="Y101">
        <v>1213</v>
      </c>
      <c r="Z101">
        <v>1223</v>
      </c>
      <c r="AA101">
        <v>1232</v>
      </c>
      <c r="AB101">
        <v>1241</v>
      </c>
      <c r="AC101">
        <v>1250</v>
      </c>
      <c r="AD101">
        <v>1259</v>
      </c>
      <c r="AE101" t="s">
        <v>991</v>
      </c>
    </row>
    <row r="102" spans="1:31" x14ac:dyDescent="0.25">
      <c r="A102" t="s">
        <v>564</v>
      </c>
      <c r="B102" t="s">
        <v>1334</v>
      </c>
      <c r="C102" t="s">
        <v>1335</v>
      </c>
      <c r="D102" t="s">
        <v>570</v>
      </c>
      <c r="E102">
        <v>1516.4235839999999</v>
      </c>
      <c r="F102">
        <v>1589.852905</v>
      </c>
      <c r="G102">
        <v>1602.154053</v>
      </c>
      <c r="H102">
        <v>1614.6899410000001</v>
      </c>
      <c r="I102">
        <v>1626.874268</v>
      </c>
      <c r="J102">
        <v>1639.4291989999999</v>
      </c>
      <c r="K102">
        <v>1652.126587</v>
      </c>
      <c r="L102">
        <v>1664.940918</v>
      </c>
      <c r="M102">
        <v>1677.306885</v>
      </c>
      <c r="N102">
        <v>1689.963013</v>
      </c>
      <c r="O102">
        <v>1702.6976320000001</v>
      </c>
      <c r="P102">
        <v>1715.525879</v>
      </c>
      <c r="Q102">
        <v>1728.3977050000001</v>
      </c>
      <c r="R102">
        <v>1741.1990969999999</v>
      </c>
      <c r="S102">
        <v>1753.922607</v>
      </c>
      <c r="T102">
        <v>1766.9213870000001</v>
      </c>
      <c r="U102">
        <v>1779.796143</v>
      </c>
      <c r="V102">
        <v>1792.7116699999999</v>
      </c>
      <c r="W102">
        <v>1805.8120120000001</v>
      </c>
      <c r="X102">
        <v>1818.5227050000001</v>
      </c>
      <c r="Y102">
        <v>1831.7783199999999</v>
      </c>
      <c r="Z102">
        <v>1844.803101</v>
      </c>
      <c r="AA102">
        <v>1857.8740230000001</v>
      </c>
      <c r="AB102">
        <v>1870.7852780000001</v>
      </c>
      <c r="AC102">
        <v>1883.8203120000001</v>
      </c>
      <c r="AD102">
        <v>1896.4698490000001</v>
      </c>
      <c r="AE102" t="s">
        <v>967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8</vt:i4>
      </vt:variant>
    </vt:vector>
  </HeadingPairs>
  <TitlesOfParts>
    <vt:vector size="38" baseType="lpstr">
      <vt:lpstr>About</vt:lpstr>
      <vt:lpstr>Source Data&gt;</vt:lpstr>
      <vt:lpstr>RECS HC2.1</vt:lpstr>
      <vt:lpstr>Table_4._Residential_Sector_Key</vt:lpstr>
      <vt:lpstr>AEO 2025 Table 5</vt:lpstr>
      <vt:lpstr>AEO 2023 Table 5</vt:lpstr>
      <vt:lpstr>EPRI</vt:lpstr>
      <vt:lpstr>Water and Waste</vt:lpstr>
      <vt:lpstr>Data Centers</vt:lpstr>
      <vt:lpstr>Calcs&gt;</vt:lpstr>
      <vt:lpstr>Crosswalk AEO to EPS Summary</vt:lpstr>
      <vt:lpstr>Calculations</vt:lpstr>
      <vt:lpstr>BCEU-urban-residential-heating</vt:lpstr>
      <vt:lpstr>BCEU-urban-residential-cooling</vt:lpstr>
      <vt:lpstr>BCEU-urban-residential-lighting</vt:lpstr>
      <vt:lpstr>BCEU-urban-residential-appl</vt:lpstr>
      <vt:lpstr>BCEU-urban-residential-other</vt:lpstr>
      <vt:lpstr>BCEU-rural-residential-heating</vt:lpstr>
      <vt:lpstr>BCEU-rural-residential-cooling</vt:lpstr>
      <vt:lpstr>BCEU-rural-residential-lighting</vt:lpstr>
      <vt:lpstr>BCEU-rural-residential-appl</vt:lpstr>
      <vt:lpstr>BCEU-rural-residential-other</vt:lpstr>
      <vt:lpstr>BCEU-commercial-heating</vt:lpstr>
      <vt:lpstr>BCEU-commercial-cooling</vt:lpstr>
      <vt:lpstr>BCEU-commercial-lighting</vt:lpstr>
      <vt:lpstr>BCEU-commercial-appl</vt:lpstr>
      <vt:lpstr>BCEU-commercial-other</vt:lpstr>
      <vt:lpstr>BCEU-all-envelope</vt:lpstr>
      <vt:lpstr>AEO 2026 Table 4</vt:lpstr>
      <vt:lpstr>AEO 2026 Table 5</vt:lpstr>
      <vt:lpstr>'Data Centers'!Fraction_coal</vt:lpstr>
      <vt:lpstr>Fraction_coal</vt:lpstr>
      <vt:lpstr>'Data Centers'!Percent_rural</vt:lpstr>
      <vt:lpstr>Percent_rural</vt:lpstr>
      <vt:lpstr>'Data Centers'!Percent_urban</vt:lpstr>
      <vt:lpstr>Percent_urban</vt:lpstr>
      <vt:lpstr>'Data Centers'!quadrillion</vt:lpstr>
      <vt:lpstr>quadrillion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Megan Mahajan</cp:lastModifiedBy>
  <dcterms:created xsi:type="dcterms:W3CDTF">2014-04-18T00:48:59Z</dcterms:created>
  <dcterms:modified xsi:type="dcterms:W3CDTF">2026-09-08T20:24:03Z</dcterms:modified>
</cp:coreProperties>
</file>