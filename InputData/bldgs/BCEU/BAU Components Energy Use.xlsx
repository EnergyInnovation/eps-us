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1795" windowHeight="12975" tabRatio="600" firstSheet="7" activeTab="10" autoFilterDateGrouping="1"/>
  </bookViews>
  <sheets>
    <sheet name="About" sheetId="1" state="visible" r:id="rId1"/>
    <sheet name="Source Data&gt;" sheetId="2" state="visible" r:id="rId2"/>
    <sheet name="RECS HC2.1" sheetId="3" state="visible" r:id="rId3"/>
    <sheet name="Table_4._Residential_Sector_Key" sheetId="4" state="visible" r:id="rId4"/>
    <sheet name="AEO 2025 Table 5" sheetId="5" state="visible" r:id="rId5"/>
    <sheet name="AEO 2023 Table 5" sheetId="6" state="visible" r:id="rId6"/>
    <sheet name="AEO Data Center Load" sheetId="7" state="visible" r:id="rId7"/>
    <sheet name="EPRI" sheetId="8" state="visible" r:id="rId8"/>
    <sheet name="Water and Waste" sheetId="9" state="visible" r:id="rId9"/>
    <sheet name="Calcs&gt;" sheetId="10" state="visible" r:id="rId10"/>
    <sheet name="Crosswalk AEO to EPS Summary" sheetId="11" state="visible" r:id="rId11"/>
    <sheet name="Calculations" sheetId="12" state="visible" r:id="rId12"/>
    <sheet name="BCEU-urban-residential-heating" sheetId="13" state="visible" r:id="rId13"/>
    <sheet name="BCEU-urban-residential-cooling" sheetId="14" state="visible" r:id="rId14"/>
    <sheet name="BCEU-urban-residential-lighting" sheetId="15" state="visible" r:id="rId15"/>
    <sheet name="BCEU-urban-residential-appl" sheetId="16" state="visible" r:id="rId16"/>
    <sheet name="BCEU-urban-residential-other" sheetId="17" state="visible" r:id="rId17"/>
    <sheet name="BCEU-rural-residential-heating" sheetId="18" state="visible" r:id="rId18"/>
    <sheet name="BCEU-rural-residential-cooling" sheetId="19" state="visible" r:id="rId19"/>
    <sheet name="BCEU-rural-residential-lighting" sheetId="20" state="visible" r:id="rId20"/>
    <sheet name="BCEU-rural-residential-appl" sheetId="21" state="visible" r:id="rId21"/>
    <sheet name="BCEU-rural-residential-other" sheetId="22" state="visible" r:id="rId22"/>
    <sheet name="BCEU-commercial-heating" sheetId="23" state="visible" r:id="rId23"/>
    <sheet name="BCEU-commercial-cooling" sheetId="24" state="visible" r:id="rId24"/>
    <sheet name="BCEU-commercial-lighting" sheetId="25" state="visible" r:id="rId25"/>
    <sheet name="BCEU-commercial-appl" sheetId="26" state="visible" r:id="rId26"/>
    <sheet name="BCEU-commercial-other" sheetId="27" state="visible" r:id="rId27"/>
    <sheet name="BCEU-all-envelope" sheetId="28" state="visible" r:id="rId28"/>
    <sheet name="AEO 2026 Table 4" sheetId="29" state="visible" r:id="rId29"/>
    <sheet name="AEO 2026 Table 5" sheetId="30" state="visible" r:id="rId30"/>
  </sheets>
  <definedNames>
    <definedName name="Fraction_coal">About!$C$53</definedName>
    <definedName name="gal_per_barrel">#REF!</definedName>
    <definedName name="Percent_rural">About!$A$75</definedName>
    <definedName name="Percent_urban">About!$A$74</definedName>
    <definedName name="quadrillion">About!$B$77</definedName>
    <definedName name="Table4">#REF!</definedName>
    <definedName name="Table4_1">#REF!</definedName>
    <definedName name="Table4_1_22">#REF!</definedName>
    <definedName name="Table4_22">#REF!</definedName>
    <definedName name="Table4_A">#REF!</definedName>
    <definedName name="Table4_A_22">#REF!</definedName>
    <definedName name="Table5">#REF!</definedName>
    <definedName name="Table5_1">#REF!</definedName>
    <definedName name="Table5_1_22">#REF!</definedName>
    <definedName name="Table5_22">#REF!</definedName>
    <definedName name="Table5_A">#REF!</definedName>
    <definedName name="Table5_A_22">#REF!</definedName>
  </definedNames>
  <calcPr calcId="191029" fullCalcOnLoad="1"/>
</workbook>
</file>

<file path=xl/styles.xml><?xml version="1.0" encoding="utf-8"?>
<styleSheet xmlns="http://schemas.openxmlformats.org/spreadsheetml/2006/main">
  <numFmts count="4">
    <numFmt numFmtId="164" formatCode="0.000E+00"/>
    <numFmt numFmtId="165" formatCode="0.0%"/>
    <numFmt numFmtId="166" formatCode="_(* #,##0_);_(* \(#,##0\);_(* &quot;-&quot;??_);_(@_)"/>
    <numFmt numFmtId="167" formatCode="0.0"/>
  </numFmts>
  <fonts count="24">
    <font>
      <name val="Calibri"/>
      <family val="2"/>
      <color theme="1"/>
      <sz val="11"/>
      <scheme val="minor"/>
    </font>
    <font>
      <name val="Calibri"/>
      <family val="2"/>
      <b val="1"/>
      <color theme="1"/>
      <sz val="11"/>
      <scheme val="minor"/>
    </font>
    <font>
      <name val="Calibri"/>
      <family val="2"/>
      <color theme="1"/>
      <sz val="9"/>
      <scheme val="minor"/>
    </font>
    <font>
      <name val="Calibri"/>
      <family val="2"/>
      <b val="1"/>
      <color theme="1"/>
      <sz val="9"/>
      <scheme val="minor"/>
    </font>
    <font>
      <name val="Calibri"/>
      <family val="2"/>
      <b val="1"/>
      <color theme="4"/>
      <sz val="12"/>
      <scheme val="minor"/>
    </font>
    <font>
      <name val="Calibri"/>
      <family val="2"/>
      <color theme="10"/>
      <sz val="11"/>
      <u val="single"/>
      <scheme val="minor"/>
    </font>
    <font>
      <name val="Calibri"/>
      <family val="2"/>
      <b val="1"/>
      <color indexed="30"/>
      <sz val="12"/>
    </font>
    <font>
      <name val="Calibri"/>
      <family val="2"/>
      <color indexed="8"/>
      <sz val="9"/>
    </font>
    <font>
      <name val="Calibri"/>
      <family val="2"/>
      <b val="1"/>
      <color indexed="8"/>
      <sz val="9"/>
    </font>
    <font>
      <name val="Calibri"/>
      <family val="2"/>
      <color theme="1"/>
      <sz val="11"/>
      <scheme val="minor"/>
    </font>
    <font>
      <name val="Calibri"/>
      <family val="2"/>
      <color theme="0" tint="-0.499984740745262"/>
      <sz val="11"/>
      <scheme val="minor"/>
    </font>
    <font>
      <name val="Calibri"/>
      <family val="2"/>
      <b val="1"/>
      <color theme="1"/>
      <sz val="10"/>
      <scheme val="minor"/>
    </font>
    <font>
      <name val="Calibri"/>
      <family val="2"/>
      <b val="1"/>
      <color theme="1"/>
      <sz val="10"/>
      <vertAlign val="superscript"/>
      <scheme val="minor"/>
    </font>
    <font>
      <name val="Calibri"/>
      <family val="2"/>
      <color theme="1"/>
      <sz val="10"/>
      <scheme val="minor"/>
    </font>
    <font>
      <name val="Calibri"/>
      <family val="2"/>
      <b val="1"/>
      <color theme="1"/>
      <sz val="14"/>
      <scheme val="minor"/>
    </font>
    <font>
      <name val="Calibri"/>
      <family val="2"/>
      <color rgb="FF000000"/>
      <sz val="11"/>
    </font>
    <font>
      <name val="Calibri"/>
      <family val="2"/>
      <b val="1"/>
      <sz val="12"/>
      <scheme val="minor"/>
    </font>
    <font>
      <name val="Calibri"/>
      <family val="2"/>
      <i val="1"/>
      <color theme="1"/>
      <sz val="9"/>
      <scheme val="minor"/>
    </font>
    <font>
      <name val="Calibri"/>
      <family val="2"/>
      <color theme="1"/>
      <sz val="9"/>
      <vertAlign val="superscript"/>
      <scheme val="minor"/>
    </font>
    <font>
      <name val="Calibri"/>
      <family val="2"/>
      <b val="1"/>
      <color theme="0"/>
      <sz val="11"/>
      <scheme val="minor"/>
    </font>
    <font>
      <name val="Calibri"/>
      <family val="2"/>
      <color theme="0"/>
      <sz val="11"/>
      <scheme val="minor"/>
    </font>
    <font>
      <name val="Calibri"/>
      <family val="2"/>
      <sz val="11"/>
      <scheme val="minor"/>
    </font>
    <font>
      <name val="Calibri"/>
      <family val="2"/>
      <color rgb="FF000000"/>
      <sz val="11"/>
      <scheme val="minor"/>
    </font>
    <font>
      <name val="Calibri"/>
      <family val="2"/>
      <b val="1"/>
      <color rgb="FF000000"/>
      <sz val="11"/>
      <scheme val="minor"/>
    </font>
  </fonts>
  <fills count="14">
    <fill>
      <patternFill/>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0" tint="-0.1499984740745262"/>
        <bgColor indexed="64"/>
      </patternFill>
    </fill>
    <fill>
      <patternFill patternType="solid">
        <fgColor theme="6"/>
        <bgColor indexed="64"/>
      </patternFill>
    </fill>
    <fill>
      <patternFill patternType="solid">
        <fgColor rgb="FFFFC1C1"/>
        <bgColor indexed="64"/>
      </patternFill>
    </fill>
    <fill>
      <patternFill patternType="solid">
        <fgColor theme="5" tint="0.7999816888943144"/>
        <bgColor indexed="64"/>
      </patternFill>
    </fill>
    <fill>
      <patternFill patternType="solid">
        <fgColor rgb="FFFFFF00"/>
        <bgColor indexed="64"/>
      </patternFill>
    </fill>
    <fill>
      <patternFill patternType="solid">
        <fgColor theme="4" tint="0.7999816888943144"/>
        <bgColor indexed="64"/>
      </patternFill>
    </fill>
    <fill>
      <patternFill patternType="solid">
        <fgColor theme="5" tint="0.5999938962981048"/>
        <bgColor indexed="64"/>
      </patternFill>
    </fill>
    <fill>
      <patternFill patternType="solid">
        <fgColor theme="5"/>
        <bgColor indexed="64"/>
      </patternFill>
    </fill>
    <fill>
      <patternFill patternType="solid">
        <fgColor theme="6" tint="0.7999816888943144"/>
        <bgColor indexed="64"/>
      </patternFill>
    </fill>
    <fill>
      <patternFill patternType="solid">
        <fgColor theme="4" tint="0.3999755851924192"/>
        <bgColor indexed="64"/>
      </patternFill>
    </fill>
  </fills>
  <borders count="18">
    <border>
      <left/>
      <right/>
      <top/>
      <bottom/>
      <diagonal/>
    </border>
    <border>
      <left/>
      <right/>
      <top/>
      <bottom style="thick">
        <color theme="4"/>
      </bottom>
      <diagonal/>
    </border>
    <border>
      <left/>
      <right/>
      <top/>
      <bottom style="dashed">
        <color theme="0" tint="-0.249946592608417"/>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0" tint="-0.249946592608417"/>
      </bottom>
      <diagonal/>
    </border>
    <border>
      <left style="thick">
        <color theme="0"/>
      </left>
      <right style="thick">
        <color theme="0"/>
      </right>
      <top/>
      <bottom style="thin">
        <color theme="0" tint="-0.249946592608417"/>
      </bottom>
      <diagonal/>
    </border>
    <border>
      <left/>
      <right/>
      <top style="thick">
        <color theme="4"/>
      </top>
      <bottom style="dashed">
        <color theme="0" tint="-0.249946592608417"/>
      </bottom>
      <diagonal/>
    </border>
    <border>
      <left style="thick">
        <color theme="0"/>
      </left>
      <right style="thick">
        <color theme="0"/>
      </right>
      <top style="thick">
        <color theme="0" tint="-0.249946592608417"/>
      </top>
      <bottom style="thin">
        <color theme="0" tint="-0.249946592608417"/>
      </bottom>
      <diagonal/>
    </border>
    <border>
      <left style="thin">
        <color indexed="64"/>
      </left>
      <right/>
      <top/>
      <bottom/>
      <diagonal/>
    </border>
    <border>
      <left/>
      <right/>
      <top style="thick">
        <color theme="0" tint="-0.249946592608417"/>
      </top>
      <bottom/>
      <diagonal/>
    </border>
    <border>
      <left/>
      <right style="thick">
        <color theme="0"/>
      </right>
      <top style="thick">
        <color theme="0" tint="-0.249946592608417"/>
      </top>
      <bottom/>
      <diagonal/>
    </border>
    <border>
      <left/>
      <right/>
      <top style="thick">
        <color theme="0" tint="-0.249946592608417"/>
      </top>
      <bottom style="thin">
        <color theme="0" tint="-0.249946592608417"/>
      </bottom>
      <diagonal/>
    </border>
    <border>
      <left/>
      <right style="thick">
        <color theme="0"/>
      </right>
      <top style="thick">
        <color theme="0" tint="-0.249946592608417"/>
      </top>
      <bottom style="thin">
        <color theme="0" tint="-0.249946592608417"/>
      </bottom>
      <diagonal/>
    </border>
  </borders>
  <cellStyleXfs count="37">
    <xf numFmtId="0" fontId="9" fillId="0" borderId="0"/>
    <xf numFmtId="0" fontId="2" fillId="0" borderId="0"/>
    <xf numFmtId="0" fontId="3" fillId="0" borderId="1" applyAlignment="1">
      <alignment wrapText="1"/>
    </xf>
    <xf numFmtId="0" fontId="4" fillId="0" borderId="0" applyAlignment="1">
      <alignment horizontal="left"/>
    </xf>
    <xf numFmtId="0" fontId="2" fillId="0" borderId="2" applyAlignment="1">
      <alignment wrapText="1"/>
    </xf>
    <xf numFmtId="0" fontId="3" fillId="0" borderId="3" applyAlignment="1">
      <alignment wrapText="1"/>
    </xf>
    <xf numFmtId="0" fontId="2" fillId="0" borderId="4" applyAlignment="1">
      <alignment vertical="top" wrapText="1"/>
    </xf>
    <xf numFmtId="0" fontId="5" fillId="0" borderId="0"/>
    <xf numFmtId="0" fontId="7" fillId="0" borderId="0"/>
    <xf numFmtId="0" fontId="7" fillId="0" borderId="8" applyAlignment="1">
      <alignment wrapText="1"/>
    </xf>
    <xf numFmtId="0" fontId="8" fillId="0" borderId="6" applyAlignment="1">
      <alignment wrapText="1"/>
    </xf>
    <xf numFmtId="0" fontId="7" fillId="0" borderId="7" applyAlignment="1">
      <alignment wrapText="1"/>
    </xf>
    <xf numFmtId="0" fontId="8" fillId="0" borderId="5" applyAlignment="1">
      <alignment wrapText="1"/>
    </xf>
    <xf numFmtId="0" fontId="7" fillId="0" borderId="0"/>
    <xf numFmtId="0" fontId="6" fillId="0" borderId="0" applyAlignment="1">
      <alignment horizontal="left"/>
    </xf>
    <xf numFmtId="9" fontId="9" fillId="0" borderId="0"/>
    <xf numFmtId="0" fontId="3" fillId="0" borderId="10" applyAlignment="1">
      <alignment horizontal="left" wrapText="1"/>
    </xf>
    <xf numFmtId="43" fontId="9" fillId="0" borderId="0"/>
    <xf numFmtId="0" fontId="7" fillId="0" borderId="8" applyAlignment="1">
      <alignment wrapText="1"/>
    </xf>
    <xf numFmtId="0" fontId="8" fillId="0" borderId="6" applyAlignment="1">
      <alignment wrapText="1"/>
    </xf>
    <xf numFmtId="0" fontId="7" fillId="0" borderId="7" applyAlignment="1">
      <alignment wrapText="1"/>
    </xf>
    <xf numFmtId="0" fontId="8" fillId="0" borderId="5" applyAlignment="1">
      <alignment wrapText="1"/>
    </xf>
    <xf numFmtId="0" fontId="7" fillId="0" borderId="0"/>
    <xf numFmtId="0" fontId="6" fillId="0" borderId="0" applyAlignment="1">
      <alignment horizontal="left"/>
    </xf>
    <xf numFmtId="0" fontId="9" fillId="0" borderId="0"/>
    <xf numFmtId="0" fontId="7" fillId="0" borderId="0"/>
    <xf numFmtId="0" fontId="9" fillId="0" borderId="0"/>
    <xf numFmtId="0" fontId="7" fillId="0" borderId="7" applyAlignment="1">
      <alignment wrapText="1"/>
    </xf>
    <xf numFmtId="0" fontId="7" fillId="0" borderId="0"/>
    <xf numFmtId="0" fontId="7" fillId="0" borderId="8" applyAlignment="1">
      <alignment wrapText="1"/>
    </xf>
    <xf numFmtId="0" fontId="8" fillId="0" borderId="5" applyAlignment="1">
      <alignment wrapText="1"/>
    </xf>
    <xf numFmtId="0" fontId="8" fillId="0" borderId="6" applyAlignment="1">
      <alignment wrapText="1"/>
    </xf>
    <xf numFmtId="0" fontId="6" fillId="0" borderId="0" applyAlignment="1">
      <alignment horizontal="left"/>
    </xf>
    <xf numFmtId="0" fontId="9" fillId="0" borderId="0"/>
    <xf numFmtId="0" fontId="9" fillId="0" borderId="0"/>
    <xf numFmtId="0" fontId="9" fillId="0" borderId="0"/>
    <xf numFmtId="0" fontId="22" fillId="0" borderId="0"/>
  </cellStyleXfs>
  <cellXfs count="78">
    <xf numFmtId="0" fontId="0" fillId="0" borderId="0" pivotButton="0" quotePrefix="0" xfId="0"/>
    <xf numFmtId="0" fontId="1" fillId="0" borderId="0" pivotButton="0" quotePrefix="0" xfId="0"/>
    <xf numFmtId="0" fontId="1" fillId="2" borderId="0" pivotButton="0" quotePrefix="0" xfId="0"/>
    <xf numFmtId="0" fontId="0" fillId="3" borderId="0" pivotButton="0" quotePrefix="0" xfId="0"/>
    <xf numFmtId="0" fontId="0" fillId="0" borderId="0" applyAlignment="1" pivotButton="0" quotePrefix="0" xfId="0">
      <alignment horizontal="left"/>
    </xf>
    <xf numFmtId="0" fontId="5" fillId="0" borderId="0" pivotButton="0" quotePrefix="0" xfId="7"/>
    <xf numFmtId="11" fontId="0" fillId="0" borderId="0" pivotButton="0" quotePrefix="0" xfId="0"/>
    <xf numFmtId="164" fontId="0" fillId="0" borderId="0" pivotButton="0" quotePrefix="0" xfId="0"/>
    <xf numFmtId="165" fontId="0" fillId="0" borderId="0" pivotButton="0" quotePrefix="0" xfId="15"/>
    <xf numFmtId="4" fontId="0" fillId="0" borderId="0" pivotButton="0" quotePrefix="0" xfId="0"/>
    <xf numFmtId="0" fontId="14" fillId="0" borderId="0" pivotButton="0" quotePrefix="0" xfId="0"/>
    <xf numFmtId="11" fontId="0" fillId="0" borderId="0" pivotButton="0" quotePrefix="0" xfId="17"/>
    <xf numFmtId="0" fontId="0" fillId="4" borderId="0" pivotButton="0" quotePrefix="0" xfId="0"/>
    <xf numFmtId="9" fontId="0" fillId="0" borderId="0" pivotButton="0" quotePrefix="0" xfId="15"/>
    <xf numFmtId="0" fontId="14" fillId="4" borderId="0" pivotButton="0" quotePrefix="0" xfId="0"/>
    <xf numFmtId="0" fontId="15" fillId="0" borderId="0" applyAlignment="1" pivotButton="0" quotePrefix="0" xfId="4">
      <alignment wrapText="1"/>
    </xf>
    <xf numFmtId="0" fontId="9" fillId="0" borderId="0" applyAlignment="1" applyProtection="1" pivotButton="0" quotePrefix="0" xfId="0">
      <alignment horizontal="right"/>
      <protection locked="0" hidden="0"/>
    </xf>
    <xf numFmtId="0" fontId="9" fillId="0" borderId="0" pivotButton="0" quotePrefix="0" xfId="0"/>
    <xf numFmtId="1" fontId="9" fillId="0" borderId="0" pivotButton="0" quotePrefix="0" xfId="0"/>
    <xf numFmtId="0" fontId="1" fillId="5" borderId="0" pivotButton="0" quotePrefix="0" xfId="0"/>
    <xf numFmtId="11" fontId="9" fillId="0" borderId="0" pivotButton="0" quotePrefix="0" xfId="0"/>
    <xf numFmtId="0" fontId="1" fillId="6" borderId="0" pivotButton="0" quotePrefix="0" xfId="0"/>
    <xf numFmtId="166" fontId="1" fillId="0" borderId="0" pivotButton="0" quotePrefix="0" xfId="17"/>
    <xf numFmtId="166" fontId="1" fillId="0" borderId="0" pivotButton="0" quotePrefix="0" xfId="0"/>
    <xf numFmtId="0" fontId="6" fillId="0" borderId="0" applyAlignment="1" pivotButton="0" quotePrefix="0" xfId="14">
      <alignment horizontal="left" wrapText="1"/>
    </xf>
    <xf numFmtId="3" fontId="11" fillId="0" borderId="0" applyAlignment="1" pivotButton="0" quotePrefix="0" xfId="0">
      <alignment horizontal="left" wrapText="1"/>
    </xf>
    <xf numFmtId="0" fontId="11" fillId="0" borderId="5" applyAlignment="1" pivotButton="0" quotePrefix="0" xfId="12">
      <alignment wrapText="1"/>
    </xf>
    <xf numFmtId="3" fontId="11" fillId="0" borderId="1" applyAlignment="1" pivotButton="0" quotePrefix="0" xfId="12">
      <alignment horizontal="right" wrapText="1"/>
    </xf>
    <xf numFmtId="0" fontId="11" fillId="0" borderId="11" applyAlignment="1" pivotButton="0" quotePrefix="0" xfId="11">
      <alignment wrapText="1"/>
    </xf>
    <xf numFmtId="2" fontId="13" fillId="0" borderId="11" applyAlignment="1" pivotButton="0" quotePrefix="0" xfId="11">
      <alignment horizontal="right" wrapText="1"/>
    </xf>
    <xf numFmtId="0" fontId="11" fillId="0" borderId="6" applyAlignment="1" pivotButton="0" quotePrefix="0" xfId="10">
      <alignment wrapText="1"/>
    </xf>
    <xf numFmtId="2" fontId="11" fillId="0" borderId="6" applyAlignment="1" pivotButton="0" quotePrefix="0" xfId="10">
      <alignment horizontal="right" wrapText="1"/>
    </xf>
    <xf numFmtId="0" fontId="13" fillId="0" borderId="7" applyAlignment="1" pivotButton="0" quotePrefix="0" xfId="11">
      <alignment wrapText="1"/>
    </xf>
    <xf numFmtId="2" fontId="13" fillId="0" borderId="7" applyAlignment="1" pivotButton="0" quotePrefix="0" xfId="11">
      <alignment horizontal="right" wrapText="1"/>
    </xf>
    <xf numFmtId="0" fontId="13" fillId="0" borderId="7" applyAlignment="1" pivotButton="0" quotePrefix="0" xfId="11">
      <alignment horizontal="left" wrapText="1" indent="1"/>
    </xf>
    <xf numFmtId="0" fontId="13" fillId="0" borderId="7" applyAlignment="1" pivotButton="0" quotePrefix="0" xfId="11">
      <alignment horizontal="left" wrapText="1" indent="2"/>
    </xf>
    <xf numFmtId="0" fontId="0" fillId="0" borderId="0" applyAlignment="1" pivotButton="0" quotePrefix="0" xfId="0">
      <alignment horizontal="left" indent="1"/>
    </xf>
    <xf numFmtId="0" fontId="13" fillId="0" borderId="7" applyAlignment="1" pivotButton="0" quotePrefix="0" xfId="11">
      <alignment horizontal="left" wrapText="1"/>
    </xf>
    <xf numFmtId="0" fontId="13" fillId="0" borderId="7" applyAlignment="1" pivotButton="0" quotePrefix="1" xfId="11">
      <alignment wrapText="1"/>
    </xf>
    <xf numFmtId="0" fontId="13" fillId="0" borderId="7" applyAlignment="1" pivotButton="0" quotePrefix="0" xfId="11">
      <alignment horizontal="right" wrapText="1"/>
    </xf>
    <xf numFmtId="0" fontId="11" fillId="0" borderId="6" applyAlignment="1" pivotButton="0" quotePrefix="0" xfId="10">
      <alignment horizontal="left" wrapText="1" indent="1"/>
    </xf>
    <xf numFmtId="167" fontId="13" fillId="0" borderId="7" applyAlignment="1" pivotButton="0" quotePrefix="0" xfId="11">
      <alignment horizontal="right" wrapText="1"/>
    </xf>
    <xf numFmtId="10" fontId="0" fillId="0" borderId="0" pivotButton="0" quotePrefix="0" xfId="0"/>
    <xf numFmtId="0" fontId="0" fillId="8" borderId="0" pivotButton="0" quotePrefix="0" xfId="0"/>
    <xf numFmtId="0" fontId="0" fillId="0" borderId="13" pivotButton="0" quotePrefix="0" xfId="0"/>
    <xf numFmtId="0" fontId="1" fillId="9" borderId="0" pivotButton="0" quotePrefix="0" xfId="0"/>
    <xf numFmtId="0" fontId="1" fillId="9" borderId="13" pivotButton="0" quotePrefix="0" xfId="0"/>
    <xf numFmtId="9" fontId="0" fillId="7" borderId="0" pivotButton="0" quotePrefix="0" xfId="15"/>
    <xf numFmtId="0" fontId="1" fillId="10" borderId="0" pivotButton="0" quotePrefix="0" xfId="0"/>
    <xf numFmtId="0" fontId="0" fillId="10" borderId="0" pivotButton="0" quotePrefix="0" xfId="0"/>
    <xf numFmtId="0" fontId="19" fillId="11" borderId="0" pivotButton="0" quotePrefix="0" xfId="0"/>
    <xf numFmtId="164" fontId="0" fillId="12" borderId="0" pivotButton="0" quotePrefix="0" xfId="0"/>
    <xf numFmtId="0" fontId="20" fillId="11" borderId="0" pivotButton="0" quotePrefix="0" xfId="0"/>
    <xf numFmtId="0" fontId="21" fillId="0" borderId="0" pivotButton="0" quotePrefix="0" xfId="0"/>
    <xf numFmtId="0" fontId="1" fillId="13" borderId="0" pivotButton="0" quotePrefix="0" xfId="0"/>
    <xf numFmtId="0" fontId="1" fillId="13" borderId="13" pivotButton="0" quotePrefix="0" xfId="0"/>
    <xf numFmtId="0" fontId="0" fillId="0" borderId="0" applyAlignment="1" pivotButton="0" quotePrefix="0" xfId="0">
      <alignment wrapText="1"/>
    </xf>
    <xf numFmtId="1" fontId="0" fillId="0" borderId="0" pivotButton="0" quotePrefix="0" xfId="0"/>
    <xf numFmtId="0" fontId="0" fillId="5" borderId="0" pivotButton="0" quotePrefix="0" xfId="0"/>
    <xf numFmtId="0" fontId="1" fillId="0" borderId="0" applyAlignment="1" pivotButton="0" quotePrefix="0" xfId="0">
      <alignment wrapText="1"/>
    </xf>
    <xf numFmtId="0" fontId="23" fillId="0" borderId="0" pivotButton="0" quotePrefix="0" xfId="36"/>
    <xf numFmtId="0" fontId="22" fillId="0" borderId="0" pivotButton="0" quotePrefix="0" xfId="36"/>
    <xf numFmtId="0" fontId="16" fillId="0" borderId="0" applyAlignment="1" pivotButton="0" quotePrefix="0" xfId="14">
      <alignment horizontal="left" wrapText="1"/>
    </xf>
    <xf numFmtId="0" fontId="0" fillId="0" borderId="0" applyAlignment="1" pivotButton="0" quotePrefix="0" xfId="0">
      <alignment wrapText="1"/>
    </xf>
    <xf numFmtId="3" fontId="11" fillId="0" borderId="9" applyAlignment="1" pivotButton="0" quotePrefix="0" xfId="0">
      <alignment horizontal="left" wrapText="1"/>
    </xf>
    <xf numFmtId="0" fontId="0" fillId="0" borderId="9" applyAlignment="1" pivotButton="0" quotePrefix="0" xfId="0">
      <alignment horizontal="left"/>
    </xf>
    <xf numFmtId="3" fontId="11" fillId="0" borderId="12" applyAlignment="1" pivotButton="0" quotePrefix="0" xfId="16">
      <alignment horizontal="left" wrapText="1"/>
    </xf>
    <xf numFmtId="0" fontId="10" fillId="0" borderId="0" applyAlignment="1" pivotButton="0" quotePrefix="0" xfId="0">
      <alignment horizontal="left" wrapText="1"/>
    </xf>
    <xf numFmtId="0" fontId="7" fillId="0" borderId="8" applyAlignment="1" pivotButton="0" quotePrefix="0" xfId="9">
      <alignment wrapText="1"/>
    </xf>
    <xf numFmtId="0" fontId="0" fillId="0" borderId="9" pivotButton="0" quotePrefix="0" xfId="0"/>
    <xf numFmtId="0" fontId="0" fillId="0" borderId="16" pivotButton="0" quotePrefix="0" xfId="0"/>
    <xf numFmtId="0" fontId="0" fillId="0" borderId="17" pivotButton="0" quotePrefix="0" xfId="0"/>
    <xf numFmtId="167" fontId="13" fillId="0" borderId="7" applyAlignment="1" pivotButton="0" quotePrefix="0" xfId="11">
      <alignment horizontal="right" wrapText="1"/>
    </xf>
    <xf numFmtId="0" fontId="0" fillId="0" borderId="8" pivotButton="0" quotePrefix="0" xfId="0"/>
    <xf numFmtId="166" fontId="1" fillId="0" borderId="0" pivotButton="0" quotePrefix="0" xfId="17"/>
    <xf numFmtId="166" fontId="1" fillId="0" borderId="0" pivotButton="0" quotePrefix="0" xfId="0"/>
    <xf numFmtId="164" fontId="0" fillId="0" borderId="0" pivotButton="0" quotePrefix="0" xfId="0"/>
    <xf numFmtId="164" fontId="0" fillId="12" borderId="0" pivotButton="0" quotePrefix="0" xfId="0"/>
  </cellXfs>
  <cellStyles count="37">
    <cellStyle name="Normal" xfId="0" builtinId="0"/>
    <cellStyle name="Font: Calibri, 9pt regular" xfId="1"/>
    <cellStyle name="Header: bottom row" xfId="2"/>
    <cellStyle name="Table title" xfId="3"/>
    <cellStyle name="Body: normal cell" xfId="4"/>
    <cellStyle name="Parent row" xfId="5"/>
    <cellStyle name="Footnotes: top row" xfId="6"/>
    <cellStyle name="Hyperlink" xfId="7" builtinId="8"/>
    <cellStyle name="Normal 2" xfId="8"/>
    <cellStyle name="Footnotes: top row 2" xfId="9"/>
    <cellStyle name="Parent row 2" xfId="10"/>
    <cellStyle name="Body: normal cell 2" xfId="11"/>
    <cellStyle name="Header: bottom row 2" xfId="12"/>
    <cellStyle name="Font: Calibri, 9pt regular 2" xfId="13"/>
    <cellStyle name="Table title 2" xfId="14"/>
    <cellStyle name="Percent" xfId="15" builtinId="5"/>
    <cellStyle name="Header: top rows" xfId="16"/>
    <cellStyle name="Comma" xfId="17" builtinId="3"/>
    <cellStyle name="Footnotes: top row 3" xfId="18"/>
    <cellStyle name="Parent row 3" xfId="19"/>
    <cellStyle name="Body: normal cell 3" xfId="20"/>
    <cellStyle name="Header: bottom row 3" xfId="21"/>
    <cellStyle name="Font: Calibri, 9pt regular 3" xfId="22"/>
    <cellStyle name="Table title 3" xfId="23"/>
    <cellStyle name="Normal 5" xfId="24"/>
    <cellStyle name="Normal 4" xfId="25"/>
    <cellStyle name="Normal 3" xfId="26"/>
    <cellStyle name="Body: normal cell 2 2" xfId="27"/>
    <cellStyle name="Font: Calibri, 9pt regular 2 2" xfId="28"/>
    <cellStyle name="Footnotes: top row 2 2" xfId="29"/>
    <cellStyle name="Header: bottom row 2 2" xfId="30"/>
    <cellStyle name="Parent row 2 2" xfId="31"/>
    <cellStyle name="Table title 2 2" xfId="32"/>
    <cellStyle name="Normal 6" xfId="33"/>
    <cellStyle name="Normal 3 2" xfId="34"/>
    <cellStyle name="Normal 5 2" xfId="35"/>
    <cellStyle name="Normal 3 3" xfId="36"/>
  </cellStyles>
  <dxfs count="1">
    <dxf>
      <font>
        <color rgb="FF9C0006"/>
      </font>
      <fill>
        <patternFill>
          <bgColor rgb="FFFFC7CE"/>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eia.gov/consumption/residential/data/2020/?src=%E2%80%B9%20Consumption%20%20%20%20%20%20Residential%20Energy%20Consumption%20Survey%20(RECS)-f1" TargetMode="External" Id="rId1" /><Relationship Type="http://schemas.openxmlformats.org/officeDocument/2006/relationships/hyperlink" Target="https://www.eia.gov/consumption/residential/data/2020/hc/xls/HC%202.1.xlsx" TargetMode="External" Id="rId2" /></Relationships>
</file>

<file path=xl/worksheets/sheet1.xml><?xml version="1.0" encoding="utf-8"?>
<worksheet xmlns="http://schemas.openxmlformats.org/spreadsheetml/2006/main">
  <sheetPr>
    <outlinePr summaryBelow="1" summaryRight="1"/>
    <pageSetUpPr/>
  </sheetPr>
  <dimension ref="A1:C78"/>
  <sheetViews>
    <sheetView workbookViewId="0">
      <selection activeCell="B28" sqref="B28:B32"/>
    </sheetView>
  </sheetViews>
  <sheetFormatPr baseColWidth="8" defaultRowHeight="14.25"/>
  <cols>
    <col width="12.46484375" customWidth="1" min="1" max="1"/>
    <col width="61.46484375" customWidth="1" min="2" max="2"/>
    <col width="19.265625" customWidth="1" min="3" max="3"/>
  </cols>
  <sheetData>
    <row r="1">
      <c r="A1" s="1" t="inlineStr">
        <is>
          <t>BCEU BAU Components Energy Use</t>
        </is>
      </c>
    </row>
    <row r="3">
      <c r="A3" s="1" t="inlineStr">
        <is>
          <t>Sources:</t>
        </is>
      </c>
      <c r="B3" s="2" t="inlineStr">
        <is>
          <t>Residential</t>
        </is>
      </c>
    </row>
    <row r="4">
      <c r="B4" t="inlineStr">
        <is>
          <t>U.S. Energy Information Administration</t>
        </is>
      </c>
    </row>
    <row r="5">
      <c r="B5" s="4" t="n">
        <v>2025</v>
      </c>
    </row>
    <row r="6">
      <c r="B6" t="inlineStr">
        <is>
          <t>Annual Energy Outlook 2025</t>
        </is>
      </c>
    </row>
    <row r="7">
      <c r="B7" t="inlineStr">
        <is>
          <t>High zero-carbon technology cost: Table 4</t>
        </is>
      </c>
    </row>
    <row r="8">
      <c r="B8" t="inlineStr">
        <is>
          <t>https://www.eia.gov/outlooks/aeo/tables_side_xls.php</t>
        </is>
      </c>
    </row>
    <row r="11">
      <c r="B11" s="2" t="inlineStr">
        <is>
          <t>Commercial</t>
        </is>
      </c>
    </row>
    <row r="12">
      <c r="B12" t="inlineStr">
        <is>
          <t>U.S. Energy Information Administration</t>
        </is>
      </c>
    </row>
    <row r="13">
      <c r="B13" s="4" t="n">
        <v>2025</v>
      </c>
    </row>
    <row r="14">
      <c r="B14" t="inlineStr">
        <is>
          <t>Annual Energy Outlook 2025</t>
        </is>
      </c>
    </row>
    <row r="15">
      <c r="B15" t="inlineStr">
        <is>
          <t>High zero-carbon technology cost: Table 5</t>
        </is>
      </c>
    </row>
    <row r="16">
      <c r="B16" t="inlineStr">
        <is>
          <t>https://www.eia.gov/outlooks/aeo/tables_side_xls.php</t>
        </is>
      </c>
    </row>
    <row r="19">
      <c r="B19" s="2" t="inlineStr">
        <is>
          <t>Urban vs. Rural Residential Households</t>
        </is>
      </c>
    </row>
    <row r="20">
      <c r="B20" t="inlineStr">
        <is>
          <t>Energy Information Administration</t>
        </is>
      </c>
    </row>
    <row r="21">
      <c r="B21" s="4" t="n">
        <v>2020</v>
      </c>
    </row>
    <row r="22">
      <c r="B22" t="inlineStr">
        <is>
          <t>Residential Energy Consumption Survey (RECS)</t>
        </is>
      </c>
    </row>
    <row r="23">
      <c r="B23" s="5" t="inlineStr">
        <is>
          <t>https://www.eia.gov/consumption/residential/data/2020/?src=%E2%80%B9%20Consumption%20%20%20%20%20%20Residential%20Energy%20Consumption%20Survey%20(RECS)-f1</t>
        </is>
      </c>
    </row>
    <row r="24">
      <c r="B24" s="5" t="inlineStr">
        <is>
          <t>https://www.eia.gov/consumption/residential/data/2020/hc/xls/HC%202.1.xlsx</t>
        </is>
      </c>
    </row>
    <row r="25">
      <c r="B25" t="inlineStr">
        <is>
          <t>Table HC2.1</t>
        </is>
      </c>
    </row>
    <row r="27">
      <c r="B27" s="2" t="inlineStr">
        <is>
          <t>Historic Data Center Demand</t>
        </is>
      </c>
    </row>
    <row r="28">
      <c r="B28" t="inlineStr">
        <is>
          <t>EPRI</t>
        </is>
      </c>
    </row>
    <row r="29">
      <c r="B29" s="4" t="n">
        <v>2026</v>
      </c>
    </row>
    <row r="30">
      <c r="B30" s="4" t="inlineStr">
        <is>
          <t>Powering Intelligence 2026</t>
        </is>
      </c>
    </row>
    <row r="31">
      <c r="B31" s="4" t="inlineStr">
        <is>
          <t>https://powering-intelligence.epri.com/</t>
        </is>
      </c>
    </row>
    <row r="32">
      <c r="B32" s="4" t="inlineStr">
        <is>
          <t>U.S. National data download</t>
        </is>
      </c>
    </row>
    <row r="34">
      <c r="A34" s="1" t="inlineStr">
        <is>
          <t>Notes:</t>
        </is>
      </c>
    </row>
    <row r="35">
      <c r="A35" s="1" t="n"/>
    </row>
    <row r="36">
      <c r="A36" s="1" t="inlineStr">
        <is>
          <t>Notes on Component Categorization</t>
        </is>
      </c>
    </row>
    <row r="37">
      <c r="A37" t="inlineStr">
        <is>
          <t>Water heaters are categorized as appliances, not as part of the "heating"</t>
        </is>
      </c>
    </row>
    <row r="38">
      <c r="A38" t="inlineStr">
        <is>
          <t>component.  The "heating" component refers to heating of air and is affected by</t>
        </is>
      </c>
    </row>
    <row r="39">
      <c r="A39" t="inlineStr">
        <is>
          <t>the building envelope, whereas appliances are not affected by envelope.</t>
        </is>
      </c>
    </row>
    <row r="41">
      <c r="A41" t="inlineStr">
        <is>
          <t>The two plug load categories ("televisions and related equipment" and</t>
        </is>
      </c>
    </row>
    <row r="42">
      <c r="A42" t="inlineStr">
        <is>
          <t>"computers and related equipment" in Table 4, "office equipment (PC)" and</t>
        </is>
      </c>
    </row>
    <row r="43">
      <c r="A43" t="inlineStr">
        <is>
          <t>office equipment (non-PC)" in Table 5) are assigned to the</t>
        </is>
      </c>
    </row>
    <row r="44">
      <c r="A44" t="inlineStr">
        <is>
          <t>"other component" category, not to appliances.</t>
        </is>
      </c>
    </row>
    <row r="46">
      <c r="A46" s="1" t="inlineStr">
        <is>
          <t>Notes on Coal</t>
        </is>
      </c>
    </row>
    <row r="47">
      <c r="A47" t="inlineStr">
        <is>
          <t>The AEO tables do not include a breakdown of coal or where it is used.</t>
        </is>
      </c>
    </row>
    <row r="48">
      <c r="A48" t="inlineStr">
        <is>
          <t>Table 5 (commercial buildings), footnote 5 indicates that "other fuels" includes</t>
        </is>
      </c>
    </row>
    <row r="49">
      <c r="A49" t="inlineStr">
        <is>
          <t>coal (as well as residual fuel oil, propane, motor gasoline, and kerosene).</t>
        </is>
      </c>
    </row>
    <row r="50">
      <c r="A50" t="inlineStr">
        <is>
          <t>Accordingly, we make the following assumptions based on comparing emissions</t>
        </is>
      </c>
    </row>
    <row r="51">
      <c r="B51" t="inlineStr">
        <is>
          <t>Coal is only used in commercial buildings.</t>
        </is>
      </c>
    </row>
    <row r="52">
      <c r="B52" t="inlineStr">
        <is>
          <t>Coal is only used for "other components" (not heating, lighting, etc.)</t>
        </is>
      </c>
    </row>
    <row r="53">
      <c r="B53" t="inlineStr">
        <is>
          <t>Coal composes the following fraction of "other fuels":</t>
        </is>
      </c>
      <c r="C53" s="3" t="n">
        <v>0.04</v>
      </c>
    </row>
    <row r="54">
      <c r="B54" t="inlineStr">
        <is>
          <t>Remainng "other fuels" are LPG/propane/butane</t>
        </is>
      </c>
    </row>
    <row r="56">
      <c r="A56" s="1" t="inlineStr">
        <is>
          <t>Note on Envelope</t>
        </is>
      </c>
    </row>
    <row r="57">
      <c r="A57" t="inlineStr">
        <is>
          <t>Envelope does not use energy itself, so it must always have zero in this variable.  We export</t>
        </is>
      </c>
    </row>
    <row r="58">
      <c r="A58" t="inlineStr">
        <is>
          <t>only one envelope CSV file, which is read by all building types.  (We need to export a CSV</t>
        </is>
      </c>
    </row>
    <row r="59">
      <c r="A59" t="inlineStr">
        <is>
          <t>file for envelope, instead of hard-coding the zero value in Vensim, because Vensim's VDF2TAB</t>
        </is>
      </c>
    </row>
    <row r="60">
      <c r="A60" t="inlineStr">
        <is>
          <t>export function inserts extra "Time" rows for variables of mixed type - data for some</t>
        </is>
      </c>
    </row>
    <row r="61">
      <c r="A61" t="inlineStr">
        <is>
          <t>subscript elements, constand for others - and we wish to avoid extra time rows when</t>
        </is>
      </c>
    </row>
    <row r="62">
      <c r="A62" t="inlineStr">
        <is>
          <t>VDF2TAB is used on BCEU BAU Components Energy Use.)</t>
        </is>
      </c>
    </row>
    <row r="64">
      <c r="A64" s="1" t="inlineStr">
        <is>
          <t>The 'Crosswalk AEO to EPS Summary' tab summarizes relevant AEO data and tags it with EPS categories. The 'Calculations' tab organizes the AEO data and makes a few adjustments.</t>
        </is>
      </c>
    </row>
    <row r="66">
      <c r="A66" s="1" t="inlineStr">
        <is>
          <t>Notes on commercial electricity other</t>
        </is>
      </c>
    </row>
    <row r="67">
      <c r="A67" t="inlineStr">
        <is>
          <t>Commercial electricity consumption includes electricity used for water and waste facilities. In the EPS model, these are included in the industrial fuel use. To avoid double counting, we removed water and waste electricity consumption from commercial-other.</t>
        </is>
      </c>
    </row>
    <row r="69">
      <c r="A69" s="1" t="inlineStr">
        <is>
          <t>Notes on data centers</t>
        </is>
      </c>
    </row>
    <row r="70">
      <c r="A70" t="inlineStr">
        <is>
          <t>Data center load is captured in a separate EPS file bldgs/BDCL. We therefore estimate data center load in AEO and remove it from the totals in this file.</t>
        </is>
      </c>
    </row>
    <row r="72">
      <c r="A72" s="1" t="inlineStr">
        <is>
          <t>Units:</t>
        </is>
      </c>
    </row>
    <row r="73">
      <c r="A73" s="1" t="inlineStr">
        <is>
          <t>Urban/Rural Residential Split</t>
        </is>
      </c>
    </row>
    <row r="74">
      <c r="A74" s="8">
        <f>'RECS HC2.1'!B24/SUM('RECS HC2.1'!B24,'RECS HC2.1'!B27)</f>
        <v/>
      </c>
      <c r="B74" t="inlineStr">
        <is>
          <t>Urban</t>
        </is>
      </c>
    </row>
    <row r="75">
      <c r="A75" s="8">
        <f>'RECS HC2.1'!B27/SUM('RECS HC2.1'!B24,'RECS HC2.1'!B27)</f>
        <v/>
      </c>
      <c r="B75" t="inlineStr">
        <is>
          <t>Rural</t>
        </is>
      </c>
    </row>
    <row r="77">
      <c r="A77" t="inlineStr">
        <is>
          <t>Quadrillion</t>
        </is>
      </c>
      <c r="B77" s="11">
        <f>10^15</f>
        <v/>
      </c>
    </row>
    <row r="78">
      <c r="A78" t="inlineStr">
        <is>
          <t>quad to TWh</t>
        </is>
      </c>
      <c r="B78" t="n">
        <v>293</v>
      </c>
    </row>
  </sheetData>
  <hyperlinks>
    <hyperlink xmlns:r="http://schemas.openxmlformats.org/officeDocument/2006/relationships" ref="B23" r:id="rId1"/>
    <hyperlink xmlns:r="http://schemas.openxmlformats.org/officeDocument/2006/relationships" ref="B24" r:id="rId2"/>
  </hyperlinks>
  <pageMargins left="0.7" right="0.7" top="0.75" bottom="0.75" header="0.3" footer="0.3"/>
  <pageSetup orientation="portrait" horizontalDpi="1200" verticalDpi="1200"/>
</worksheet>
</file>

<file path=xl/worksheets/sheet2.xml><?xml version="1.0" encoding="utf-8"?>
<worksheet xmlns="http://schemas.openxmlformats.org/spreadsheetml/2006/main">
  <sheetPr>
    <tabColor theme="0" tint="-0.499984740745262"/>
    <outlinePr summaryBelow="1" summaryRight="1"/>
    <pageSetUpPr/>
  </sheetPr>
  <dimension ref="A1:A1"/>
  <sheetViews>
    <sheetView workbookViewId="0">
      <selection activeCell="A1" sqref="A1"/>
    </sheetView>
  </sheetViews>
  <sheetFormatPr baseColWidth="8" defaultRowHeight="14.25"/>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222"/>
  <sheetViews>
    <sheetView workbookViewId="0">
      <selection activeCell="A1" sqref="A1:B1"/>
    </sheetView>
  </sheetViews>
  <sheetFormatPr baseColWidth="8" defaultRowHeight="14.25"/>
  <cols>
    <col width="31.73046875" customWidth="1" min="1" max="1"/>
    <col width="10.796875" customWidth="1" min="2" max="7"/>
    <col width="31.73046875" customWidth="1" min="257" max="257"/>
    <col width="10.796875" customWidth="1" min="258" max="263"/>
    <col width="31.73046875" customWidth="1" min="513" max="513"/>
    <col width="10.796875" customWidth="1" min="514" max="519"/>
    <col width="31.73046875" customWidth="1" min="769" max="769"/>
    <col width="10.796875" customWidth="1" min="770" max="775"/>
    <col width="31.73046875" customWidth="1" min="1025" max="1025"/>
    <col width="10.796875" customWidth="1" min="1026" max="1031"/>
    <col width="31.73046875" customWidth="1" min="1281" max="1281"/>
    <col width="10.796875" customWidth="1" min="1282" max="1287"/>
    <col width="31.73046875" customWidth="1" min="1537" max="1537"/>
    <col width="10.796875" customWidth="1" min="1538" max="1543"/>
    <col width="31.73046875" customWidth="1" min="1793" max="1793"/>
    <col width="10.796875" customWidth="1" min="1794" max="1799"/>
    <col width="31.73046875" customWidth="1" min="2049" max="2049"/>
    <col width="10.796875" customWidth="1" min="2050" max="2055"/>
    <col width="31.73046875" customWidth="1" min="2305" max="2305"/>
    <col width="10.796875" customWidth="1" min="2306" max="2311"/>
    <col width="31.73046875" customWidth="1" min="2561" max="2561"/>
    <col width="10.796875" customWidth="1" min="2562" max="2567"/>
    <col width="31.73046875" customWidth="1" min="2817" max="2817"/>
    <col width="10.796875" customWidth="1" min="2818" max="2823"/>
    <col width="31.73046875" customWidth="1" min="3073" max="3073"/>
    <col width="10.796875" customWidth="1" min="3074" max="3079"/>
    <col width="31.73046875" customWidth="1" min="3329" max="3329"/>
    <col width="10.796875" customWidth="1" min="3330" max="3335"/>
    <col width="31.73046875" customWidth="1" min="3585" max="3585"/>
    <col width="10.796875" customWidth="1" min="3586" max="3591"/>
    <col width="31.73046875" customWidth="1" min="3841" max="3841"/>
    <col width="10.796875" customWidth="1" min="3842" max="3847"/>
    <col width="31.73046875" customWidth="1" min="4097" max="4097"/>
    <col width="10.796875" customWidth="1" min="4098" max="4103"/>
    <col width="31.73046875" customWidth="1" min="4353" max="4353"/>
    <col width="10.796875" customWidth="1" min="4354" max="4359"/>
    <col width="31.73046875" customWidth="1" min="4609" max="4609"/>
    <col width="10.796875" customWidth="1" min="4610" max="4615"/>
    <col width="31.73046875" customWidth="1" min="4865" max="4865"/>
    <col width="10.796875" customWidth="1" min="4866" max="4871"/>
    <col width="31.73046875" customWidth="1" min="5121" max="5121"/>
    <col width="10.796875" customWidth="1" min="5122" max="5127"/>
    <col width="31.73046875" customWidth="1" min="5377" max="5377"/>
    <col width="10.796875" customWidth="1" min="5378" max="5383"/>
    <col width="31.73046875" customWidth="1" min="5633" max="5633"/>
    <col width="10.796875" customWidth="1" min="5634" max="5639"/>
    <col width="31.73046875" customWidth="1" min="5889" max="5889"/>
    <col width="10.796875" customWidth="1" min="5890" max="5895"/>
    <col width="31.73046875" customWidth="1" min="6145" max="6145"/>
    <col width="10.796875" customWidth="1" min="6146" max="6151"/>
    <col width="31.73046875" customWidth="1" min="6401" max="6401"/>
    <col width="10.796875" customWidth="1" min="6402" max="6407"/>
    <col width="31.73046875" customWidth="1" min="6657" max="6657"/>
    <col width="10.796875" customWidth="1" min="6658" max="6663"/>
    <col width="31.73046875" customWidth="1" min="6913" max="6913"/>
    <col width="10.796875" customWidth="1" min="6914" max="6919"/>
    <col width="31.73046875" customWidth="1" min="7169" max="7169"/>
    <col width="10.796875" customWidth="1" min="7170" max="7175"/>
    <col width="31.73046875" customWidth="1" min="7425" max="7425"/>
    <col width="10.796875" customWidth="1" min="7426" max="7431"/>
    <col width="31.73046875" customWidth="1" min="7681" max="7681"/>
    <col width="10.796875" customWidth="1" min="7682" max="7687"/>
    <col width="31.73046875" customWidth="1" min="7937" max="7937"/>
    <col width="10.796875" customWidth="1" min="7938" max="7943"/>
    <col width="31.73046875" customWidth="1" min="8193" max="8193"/>
    <col width="10.796875" customWidth="1" min="8194" max="8199"/>
    <col width="31.73046875" customWidth="1" min="8449" max="8449"/>
    <col width="10.796875" customWidth="1" min="8450" max="8455"/>
    <col width="31.73046875" customWidth="1" min="8705" max="8705"/>
    <col width="10.796875" customWidth="1" min="8706" max="8711"/>
    <col width="31.73046875" customWidth="1" min="8961" max="8961"/>
    <col width="10.796875" customWidth="1" min="8962" max="8967"/>
    <col width="31.73046875" customWidth="1" min="9217" max="9217"/>
    <col width="10.796875" customWidth="1" min="9218" max="9223"/>
    <col width="31.73046875" customWidth="1" min="9473" max="9473"/>
    <col width="10.796875" customWidth="1" min="9474" max="9479"/>
    <col width="31.73046875" customWidth="1" min="9729" max="9729"/>
    <col width="10.796875" customWidth="1" min="9730" max="9735"/>
    <col width="31.73046875" customWidth="1" min="9985" max="9985"/>
    <col width="10.796875" customWidth="1" min="9986" max="9991"/>
    <col width="31.73046875" customWidth="1" min="10241" max="10241"/>
    <col width="10.796875" customWidth="1" min="10242" max="10247"/>
    <col width="31.73046875" customWidth="1" min="10497" max="10497"/>
    <col width="10.796875" customWidth="1" min="10498" max="10503"/>
    <col width="31.73046875" customWidth="1" min="10753" max="10753"/>
    <col width="10.796875" customWidth="1" min="10754" max="10759"/>
    <col width="31.73046875" customWidth="1" min="11009" max="11009"/>
    <col width="10.796875" customWidth="1" min="11010" max="11015"/>
    <col width="31.73046875" customWidth="1" min="11265" max="11265"/>
    <col width="10.796875" customWidth="1" min="11266" max="11271"/>
    <col width="31.73046875" customWidth="1" min="11521" max="11521"/>
    <col width="10.796875" customWidth="1" min="11522" max="11527"/>
    <col width="31.73046875" customWidth="1" min="11777" max="11777"/>
    <col width="10.796875" customWidth="1" min="11778" max="11783"/>
    <col width="31.73046875" customWidth="1" min="12033" max="12033"/>
    <col width="10.796875" customWidth="1" min="12034" max="12039"/>
    <col width="31.73046875" customWidth="1" min="12289" max="12289"/>
    <col width="10.796875" customWidth="1" min="12290" max="12295"/>
    <col width="31.73046875" customWidth="1" min="12545" max="12545"/>
    <col width="10.796875" customWidth="1" min="12546" max="12551"/>
    <col width="31.73046875" customWidth="1" min="12801" max="12801"/>
    <col width="10.796875" customWidth="1" min="12802" max="12807"/>
    <col width="31.73046875" customWidth="1" min="13057" max="13057"/>
    <col width="10.796875" customWidth="1" min="13058" max="13063"/>
    <col width="31.73046875" customWidth="1" min="13313" max="13313"/>
    <col width="10.796875" customWidth="1" min="13314" max="13319"/>
    <col width="31.73046875" customWidth="1" min="13569" max="13569"/>
    <col width="10.796875" customWidth="1" min="13570" max="13575"/>
    <col width="31.73046875" customWidth="1" min="13825" max="13825"/>
    <col width="10.796875" customWidth="1" min="13826" max="13831"/>
    <col width="31.73046875" customWidth="1" min="14081" max="14081"/>
    <col width="10.796875" customWidth="1" min="14082" max="14087"/>
    <col width="31.73046875" customWidth="1" min="14337" max="14337"/>
    <col width="10.796875" customWidth="1" min="14338" max="14343"/>
    <col width="31.73046875" customWidth="1" min="14593" max="14593"/>
    <col width="10.796875" customWidth="1" min="14594" max="14599"/>
    <col width="31.73046875" customWidth="1" min="14849" max="14849"/>
    <col width="10.796875" customWidth="1" min="14850" max="14855"/>
    <col width="31.73046875" customWidth="1" min="15105" max="15105"/>
    <col width="10.796875" customWidth="1" min="15106" max="15111"/>
    <col width="31.73046875" customWidth="1" min="15361" max="15361"/>
    <col width="10.796875" customWidth="1" min="15362" max="15367"/>
    <col width="31.73046875" customWidth="1" min="15617" max="15617"/>
    <col width="10.796875" customWidth="1" min="15618" max="15623"/>
    <col width="31.73046875" customWidth="1" min="15873" max="15873"/>
    <col width="10.796875" customWidth="1" min="15874" max="15879"/>
    <col width="31.73046875" customWidth="1" min="16129" max="16129"/>
    <col width="10.796875" customWidth="1" min="16130" max="16135"/>
  </cols>
  <sheetData>
    <row r="1">
      <c r="A1" s="67" t="inlineStr">
        <is>
          <t>Preliminary data release date: March 2022</t>
        </is>
      </c>
    </row>
    <row r="2" ht="24" customHeight="1">
      <c r="A2" s="62" t="inlineStr">
        <is>
          <t>Table HC2.1  Structural and geographic characteristics of U.S. homes, by housing unit type, 2020</t>
        </is>
      </c>
    </row>
    <row r="3" ht="24" customHeight="1" thickBot="1">
      <c r="A3" s="24" t="n"/>
      <c r="B3" s="64" t="inlineStr">
        <is>
          <t>Number of housing units (million)</t>
        </is>
      </c>
      <c r="C3" s="69" t="n"/>
      <c r="D3" s="69" t="n"/>
      <c r="E3" s="69" t="n"/>
      <c r="F3" s="69" t="n"/>
      <c r="G3" s="69" t="n"/>
    </row>
    <row r="4" ht="23.25" customHeight="1" thickTop="1">
      <c r="A4" s="24" t="n"/>
      <c r="B4" s="25" t="n"/>
      <c r="C4" s="66" t="inlineStr">
        <is>
          <t>Housing unit type</t>
        </is>
      </c>
      <c r="D4" s="70" t="n"/>
      <c r="E4" s="70" t="n"/>
      <c r="F4" s="70" t="n"/>
      <c r="G4" s="71" t="n"/>
    </row>
    <row r="5" ht="46.5" customHeight="1" thickBot="1">
      <c r="A5" s="26" t="n"/>
      <c r="B5" s="27" t="inlineStr">
        <is>
          <t>Total U.S.a</t>
        </is>
      </c>
      <c r="C5" s="27" t="inlineStr">
        <is>
          <t>Single-family detached</t>
        </is>
      </c>
      <c r="D5" s="27" t="inlineStr">
        <is>
          <t>Single-family attached</t>
        </is>
      </c>
      <c r="E5" s="27" t="inlineStr">
        <is>
          <t>Apartments 
(2–4 unit building)</t>
        </is>
      </c>
      <c r="F5" s="27" t="inlineStr">
        <is>
          <t>Apartments
(5 or more unit building)</t>
        </is>
      </c>
      <c r="G5" s="27" t="inlineStr">
        <is>
          <t>Mobile home</t>
        </is>
      </c>
    </row>
    <row r="6" ht="24" customHeight="1" thickTop="1">
      <c r="A6" s="28" t="inlineStr">
        <is>
          <t>All homes</t>
        </is>
      </c>
      <c r="B6" s="29" t="n">
        <v>123.53</v>
      </c>
      <c r="C6" s="29" t="n">
        <v>77.06999999999999</v>
      </c>
      <c r="D6" s="29" t="n">
        <v>7.45</v>
      </c>
      <c r="E6" s="29" t="n">
        <v>9.34</v>
      </c>
      <c r="F6" s="29" t="n">
        <v>22.84</v>
      </c>
      <c r="G6" s="29" t="n">
        <v>6.83</v>
      </c>
    </row>
    <row r="7" ht="24" customHeight="1">
      <c r="A7" s="30" t="inlineStr">
        <is>
          <t>Census region and division</t>
        </is>
      </c>
      <c r="B7" s="31" t="inlineStr"/>
      <c r="C7" s="31" t="inlineStr"/>
      <c r="D7" s="31" t="inlineStr"/>
      <c r="E7" s="31" t="inlineStr"/>
      <c r="F7" s="31" t="inlineStr"/>
      <c r="G7" s="31" t="inlineStr"/>
    </row>
    <row r="8" ht="15" customHeight="1">
      <c r="A8" s="32" t="inlineStr">
        <is>
          <t>Northeast</t>
        </is>
      </c>
      <c r="B8" s="33" t="n">
        <v>21.92</v>
      </c>
      <c r="C8" s="33" t="n">
        <v>11.23</v>
      </c>
      <c r="D8" s="33" t="n">
        <v>1.95</v>
      </c>
      <c r="E8" s="33" t="n">
        <v>3.15</v>
      </c>
      <c r="F8" s="33" t="n">
        <v>5.1</v>
      </c>
      <c r="G8" s="33" t="n">
        <v>0.5</v>
      </c>
    </row>
    <row r="9">
      <c r="A9" s="34" t="inlineStr">
        <is>
          <t>New England</t>
        </is>
      </c>
      <c r="B9" s="33" t="n">
        <v>5.88</v>
      </c>
      <c r="C9" s="33" t="n">
        <v>3.34</v>
      </c>
      <c r="D9" s="33" t="n">
        <v>0.3</v>
      </c>
      <c r="E9" s="33" t="n">
        <v>0.99</v>
      </c>
      <c r="F9" s="33" t="n">
        <v>1.1</v>
      </c>
      <c r="G9" s="33" t="n">
        <v>0.14</v>
      </c>
    </row>
    <row r="10">
      <c r="A10" s="34" t="inlineStr">
        <is>
          <t>Middle Atlantic</t>
        </is>
      </c>
      <c r="B10" s="33" t="n">
        <v>16.04</v>
      </c>
      <c r="C10" s="33" t="n">
        <v>7.89</v>
      </c>
      <c r="D10" s="33" t="n">
        <v>1.65</v>
      </c>
      <c r="E10" s="33" t="n">
        <v>2.15</v>
      </c>
      <c r="F10" s="33" t="n">
        <v>3.99</v>
      </c>
      <c r="G10" s="33" t="n">
        <v>0.36</v>
      </c>
    </row>
    <row r="11">
      <c r="A11" s="32" t="inlineStr">
        <is>
          <t>Midwest</t>
        </is>
      </c>
      <c r="B11" s="33" t="n">
        <v>27.04</v>
      </c>
      <c r="C11" s="33" t="n">
        <v>18.58</v>
      </c>
      <c r="D11" s="33" t="n">
        <v>1.33</v>
      </c>
      <c r="E11" s="33" t="n">
        <v>1.95</v>
      </c>
      <c r="F11" s="33" t="n">
        <v>4.2</v>
      </c>
      <c r="G11" s="33" t="n">
        <v>0.97</v>
      </c>
    </row>
    <row r="12">
      <c r="A12" s="34" t="inlineStr">
        <is>
          <t>East North Central</t>
        </is>
      </c>
      <c r="B12" s="33" t="n">
        <v>18.55</v>
      </c>
      <c r="C12" s="33" t="n">
        <v>12.59</v>
      </c>
      <c r="D12" s="33" t="n">
        <v>0.91</v>
      </c>
      <c r="E12" s="33" t="n">
        <v>1.49</v>
      </c>
      <c r="F12" s="33" t="n">
        <v>2.94</v>
      </c>
      <c r="G12" s="33" t="n">
        <v>0.63</v>
      </c>
    </row>
    <row r="13" ht="15" customHeight="1">
      <c r="A13" s="34" t="inlineStr">
        <is>
          <t>West North Central</t>
        </is>
      </c>
      <c r="B13" s="33" t="n">
        <v>8.5</v>
      </c>
      <c r="C13" s="33" t="n">
        <v>5.99</v>
      </c>
      <c r="D13" s="33" t="n">
        <v>0.43</v>
      </c>
      <c r="E13" s="33" t="n">
        <v>0.47</v>
      </c>
      <c r="F13" s="33" t="n">
        <v>1.26</v>
      </c>
      <c r="G13" s="33" t="n">
        <v>0.35</v>
      </c>
    </row>
    <row r="14">
      <c r="A14" s="32" t="inlineStr">
        <is>
          <t>South</t>
        </is>
      </c>
      <c r="B14" s="33" t="n">
        <v>46.84</v>
      </c>
      <c r="C14" s="33" t="n">
        <v>30.29</v>
      </c>
      <c r="D14" s="33" t="n">
        <v>2.48</v>
      </c>
      <c r="E14" s="33" t="n">
        <v>2.36</v>
      </c>
      <c r="F14" s="33" t="n">
        <v>7.83</v>
      </c>
      <c r="G14" s="33" t="n">
        <v>3.89</v>
      </c>
    </row>
    <row r="15">
      <c r="A15" s="34" t="inlineStr">
        <is>
          <t>South Atlantic</t>
        </is>
      </c>
      <c r="B15" s="33" t="n">
        <v>24.84</v>
      </c>
      <c r="C15" s="33" t="n">
        <v>15.25</v>
      </c>
      <c r="D15" s="33" t="n">
        <v>1.92</v>
      </c>
      <c r="E15" s="33" t="n">
        <v>1.17</v>
      </c>
      <c r="F15" s="33" t="n">
        <v>4.51</v>
      </c>
      <c r="G15" s="33" t="n">
        <v>2</v>
      </c>
    </row>
    <row r="16">
      <c r="A16" s="34" t="inlineStr">
        <is>
          <t>East South Central</t>
        </is>
      </c>
      <c r="B16" s="33" t="n">
        <v>7.38</v>
      </c>
      <c r="C16" s="33" t="n">
        <v>5.17</v>
      </c>
      <c r="D16" s="33" t="n">
        <v>0.19</v>
      </c>
      <c r="E16" s="33" t="n">
        <v>0.41</v>
      </c>
      <c r="F16" s="33" t="n">
        <v>0.84</v>
      </c>
      <c r="G16" s="33" t="n">
        <v>0.77</v>
      </c>
    </row>
    <row r="17" ht="15" customHeight="1">
      <c r="A17" s="34" t="inlineStr">
        <is>
          <t>West South Central</t>
        </is>
      </c>
      <c r="B17" s="33" t="n">
        <v>14.62</v>
      </c>
      <c r="C17" s="33" t="n">
        <v>9.869999999999999</v>
      </c>
      <c r="D17" s="33" t="n">
        <v>0.36</v>
      </c>
      <c r="E17" s="33" t="n">
        <v>0.78</v>
      </c>
      <c r="F17" s="33" t="n">
        <v>2.48</v>
      </c>
      <c r="G17" s="33" t="n">
        <v>1.12</v>
      </c>
    </row>
    <row r="18">
      <c r="A18" s="32" t="inlineStr">
        <is>
          <t>West</t>
        </is>
      </c>
      <c r="B18" s="33" t="n">
        <v>27.72</v>
      </c>
      <c r="C18" s="33" t="n">
        <v>16.97</v>
      </c>
      <c r="D18" s="33" t="n">
        <v>1.69</v>
      </c>
      <c r="E18" s="33" t="n">
        <v>1.89</v>
      </c>
      <c r="F18" s="33" t="n">
        <v>5.7</v>
      </c>
      <c r="G18" s="33" t="n">
        <v>1.47</v>
      </c>
    </row>
    <row r="19">
      <c r="A19" s="34" t="inlineStr">
        <is>
          <t>Mountain</t>
        </is>
      </c>
      <c r="B19" s="33" t="n">
        <v>9.220000000000001</v>
      </c>
      <c r="C19" s="33" t="n">
        <v>6.06</v>
      </c>
      <c r="D19" s="33" t="n">
        <v>0.5</v>
      </c>
      <c r="E19" s="33" t="n">
        <v>0.52</v>
      </c>
      <c r="F19" s="33" t="n">
        <v>1.47</v>
      </c>
      <c r="G19" s="33" t="n">
        <v>0.67</v>
      </c>
    </row>
    <row r="20">
      <c r="A20" s="35" t="inlineStr">
        <is>
          <t>Mountain North</t>
        </is>
      </c>
      <c r="B20" s="33" t="n">
        <v>4.62</v>
      </c>
      <c r="C20" s="33" t="n">
        <v>3.1</v>
      </c>
      <c r="D20" s="33" t="n">
        <v>0.29</v>
      </c>
      <c r="E20" s="33" t="n">
        <v>0.26</v>
      </c>
      <c r="F20" s="33" t="n">
        <v>0.73</v>
      </c>
      <c r="G20" s="33" t="n">
        <v>0.24</v>
      </c>
    </row>
    <row r="21">
      <c r="A21" s="35" t="inlineStr">
        <is>
          <t>Mountain South</t>
        </is>
      </c>
      <c r="B21" s="33" t="n">
        <v>4.6</v>
      </c>
      <c r="C21" s="33" t="n">
        <v>2.96</v>
      </c>
      <c r="D21" s="33" t="n">
        <v>0.21</v>
      </c>
      <c r="E21" s="33" t="n">
        <v>0.26</v>
      </c>
      <c r="F21" s="33" t="n">
        <v>0.74</v>
      </c>
      <c r="G21" s="33" t="n">
        <v>0.43</v>
      </c>
    </row>
    <row r="22">
      <c r="A22" s="34" t="inlineStr">
        <is>
          <t>Pacific</t>
        </is>
      </c>
      <c r="B22" s="33" t="n">
        <v>18.51</v>
      </c>
      <c r="C22" s="33" t="n">
        <v>10.91</v>
      </c>
      <c r="D22" s="33" t="n">
        <v>1.19</v>
      </c>
      <c r="E22" s="33" t="n">
        <v>1.36</v>
      </c>
      <c r="F22" s="33" t="n">
        <v>4.24</v>
      </c>
      <c r="G22" s="33" t="n">
        <v>0.8</v>
      </c>
    </row>
    <row r="23" ht="24" customHeight="1">
      <c r="A23" s="30" t="inlineStr">
        <is>
          <t>Census urban-rural classificationb</t>
        </is>
      </c>
      <c r="B23" s="31" t="inlineStr"/>
      <c r="C23" s="31" t="inlineStr"/>
      <c r="D23" s="31" t="inlineStr"/>
      <c r="E23" s="31" t="inlineStr"/>
      <c r="F23" s="31" t="inlineStr"/>
      <c r="G23" s="31" t="inlineStr"/>
    </row>
    <row r="24">
      <c r="A24" s="32" t="inlineStr">
        <is>
          <t>Urban</t>
        </is>
      </c>
      <c r="B24" s="33" t="n">
        <v>100.44</v>
      </c>
      <c r="C24" s="33" t="n">
        <v>58.8</v>
      </c>
      <c r="D24" s="33" t="n">
        <v>7.04</v>
      </c>
      <c r="E24" s="33" t="n">
        <v>9.02</v>
      </c>
      <c r="F24" s="33" t="n">
        <v>22.27</v>
      </c>
      <c r="G24" s="33" t="n">
        <v>3.31</v>
      </c>
    </row>
    <row r="25" customFormat="1" s="36">
      <c r="A25" s="34" t="inlineStr">
        <is>
          <t>Urbanized area</t>
        </is>
      </c>
      <c r="B25" s="33" t="n">
        <v>89.23999999999999</v>
      </c>
      <c r="C25" s="33" t="n">
        <v>50.99</v>
      </c>
      <c r="D25" s="33" t="n">
        <v>6.57</v>
      </c>
      <c r="E25" s="33" t="n">
        <v>7.95</v>
      </c>
      <c r="F25" s="33" t="n">
        <v>21.2</v>
      </c>
      <c r="G25" s="33" t="n">
        <v>2.53</v>
      </c>
    </row>
    <row r="26" customFormat="1" s="36">
      <c r="A26" s="34" t="inlineStr">
        <is>
          <t>Urban cluster</t>
        </is>
      </c>
      <c r="B26" s="33" t="n">
        <v>11.2</v>
      </c>
      <c r="C26" s="33" t="n">
        <v>7.82</v>
      </c>
      <c r="D26" s="33" t="n">
        <v>0.47</v>
      </c>
      <c r="E26" s="33" t="n">
        <v>1.07</v>
      </c>
      <c r="F26" s="33" t="n">
        <v>1.07</v>
      </c>
      <c r="G26" s="33" t="n">
        <v>0.77</v>
      </c>
    </row>
    <row r="27">
      <c r="A27" s="32" t="inlineStr">
        <is>
          <t>Rural</t>
        </is>
      </c>
      <c r="B27" s="33" t="n">
        <v>23.09</v>
      </c>
      <c r="C27" s="33" t="n">
        <v>18.27</v>
      </c>
      <c r="D27" s="33" t="n">
        <v>0.41</v>
      </c>
      <c r="E27" s="33" t="n">
        <v>0.32</v>
      </c>
      <c r="F27" s="33" t="n">
        <v>0.57</v>
      </c>
      <c r="G27" s="33" t="n">
        <v>3.52</v>
      </c>
    </row>
    <row r="28" ht="34.05" customHeight="1">
      <c r="A28" s="30" t="inlineStr">
        <is>
          <t>Climate regionc</t>
        </is>
      </c>
      <c r="B28" s="31" t="inlineStr"/>
      <c r="C28" s="31" t="inlineStr"/>
      <c r="D28" s="31" t="inlineStr"/>
      <c r="E28" s="31" t="inlineStr"/>
      <c r="F28" s="31" t="inlineStr"/>
      <c r="G28" s="31" t="inlineStr"/>
    </row>
    <row r="29">
      <c r="A29" s="32" t="inlineStr">
        <is>
          <t>Very cold/Cold</t>
        </is>
      </c>
      <c r="B29" s="33" t="n">
        <v>42.5</v>
      </c>
      <c r="C29" s="33" t="n">
        <v>28.04</v>
      </c>
      <c r="D29" s="33" t="n">
        <v>2.43</v>
      </c>
      <c r="E29" s="33" t="n">
        <v>3.78</v>
      </c>
      <c r="F29" s="33" t="n">
        <v>6.74</v>
      </c>
      <c r="G29" s="33" t="n">
        <v>1.52</v>
      </c>
    </row>
    <row r="30">
      <c r="A30" s="32" t="inlineStr">
        <is>
          <t>Mixed-humid</t>
        </is>
      </c>
      <c r="B30" s="33" t="n">
        <v>36.79</v>
      </c>
      <c r="C30" s="33" t="n">
        <v>21.89</v>
      </c>
      <c r="D30" s="33" t="n">
        <v>2.8</v>
      </c>
      <c r="E30" s="33" t="n">
        <v>2.72</v>
      </c>
      <c r="F30" s="33" t="n">
        <v>7.03</v>
      </c>
      <c r="G30" s="33" t="n">
        <v>2.35</v>
      </c>
    </row>
    <row r="31">
      <c r="A31" s="32" t="inlineStr">
        <is>
          <t>Mixed-dry/Hot-dry</t>
        </is>
      </c>
      <c r="B31" s="33" t="n">
        <v>15.06</v>
      </c>
      <c r="C31" s="33" t="n">
        <v>9.07</v>
      </c>
      <c r="D31" s="33" t="n">
        <v>0.9</v>
      </c>
      <c r="E31" s="33" t="n">
        <v>1.12</v>
      </c>
      <c r="F31" s="33" t="n">
        <v>3.12</v>
      </c>
      <c r="G31" s="33" t="n">
        <v>0.83</v>
      </c>
    </row>
    <row r="32" ht="24" customHeight="1">
      <c r="A32" s="32" t="inlineStr">
        <is>
          <t>Hot-humid</t>
        </is>
      </c>
      <c r="B32" s="33" t="n">
        <v>22.31</v>
      </c>
      <c r="C32" s="33" t="n">
        <v>13.98</v>
      </c>
      <c r="D32" s="33" t="n">
        <v>0.92</v>
      </c>
      <c r="E32" s="33" t="n">
        <v>1.25</v>
      </c>
      <c r="F32" s="33" t="n">
        <v>4.37</v>
      </c>
      <c r="G32" s="33" t="n">
        <v>1.8</v>
      </c>
    </row>
    <row r="33">
      <c r="A33" s="32" t="inlineStr">
        <is>
          <t>Marine</t>
        </is>
      </c>
      <c r="B33" s="33" t="n">
        <v>6.87</v>
      </c>
      <c r="C33" s="33" t="n">
        <v>4.09</v>
      </c>
      <c r="D33" s="33" t="n">
        <v>0.4</v>
      </c>
      <c r="E33" s="33" t="n">
        <v>0.48</v>
      </c>
      <c r="F33" s="33" t="n">
        <v>1.57</v>
      </c>
      <c r="G33" s="33" t="n">
        <v>0.34</v>
      </c>
    </row>
    <row r="34">
      <c r="A34" s="30" t="inlineStr">
        <is>
          <t>Year of construction</t>
        </is>
      </c>
      <c r="B34" s="31" t="inlineStr"/>
      <c r="C34" s="31" t="inlineStr"/>
      <c r="D34" s="31" t="inlineStr"/>
      <c r="E34" s="31" t="inlineStr"/>
      <c r="F34" s="31" t="inlineStr"/>
      <c r="G34" s="31" t="inlineStr"/>
    </row>
    <row r="35">
      <c r="A35" s="32" t="inlineStr">
        <is>
          <t>Before 1950</t>
        </is>
      </c>
      <c r="B35" s="33" t="n">
        <v>20.26</v>
      </c>
      <c r="C35" s="33" t="n">
        <v>13.58</v>
      </c>
      <c r="D35" s="33" t="n">
        <v>1.14</v>
      </c>
      <c r="E35" s="33" t="n">
        <v>2.36</v>
      </c>
      <c r="F35" s="33" t="n">
        <v>3.08</v>
      </c>
      <c r="G35" s="33" t="n">
        <v>0.09</v>
      </c>
    </row>
    <row r="36">
      <c r="A36" s="32" t="inlineStr">
        <is>
          <t>1950 to 1959</t>
        </is>
      </c>
      <c r="B36" s="33" t="n">
        <v>12.48</v>
      </c>
      <c r="C36" s="33" t="n">
        <v>9.9</v>
      </c>
      <c r="D36" s="33" t="n">
        <v>0.4</v>
      </c>
      <c r="E36" s="33" t="n">
        <v>0.77</v>
      </c>
      <c r="F36" s="33" t="n">
        <v>1.25</v>
      </c>
      <c r="G36" s="33" t="n">
        <v>0.16</v>
      </c>
    </row>
    <row r="37">
      <c r="A37" s="32" t="inlineStr">
        <is>
          <t>1960 to 1969</t>
        </is>
      </c>
      <c r="B37" s="33" t="n">
        <v>12.76</v>
      </c>
      <c r="C37" s="33" t="n">
        <v>8.23</v>
      </c>
      <c r="D37" s="33" t="n">
        <v>0.63</v>
      </c>
      <c r="E37" s="33" t="n">
        <v>1.12</v>
      </c>
      <c r="F37" s="33" t="n">
        <v>2.41</v>
      </c>
      <c r="G37" s="33" t="n">
        <v>0.37</v>
      </c>
    </row>
    <row r="38" ht="24" customHeight="1">
      <c r="A38" s="32" t="inlineStr">
        <is>
          <t>1970 to 1979</t>
        </is>
      </c>
      <c r="B38" s="33" t="n">
        <v>18.34</v>
      </c>
      <c r="C38" s="33" t="n">
        <v>10.46</v>
      </c>
      <c r="D38" s="33" t="n">
        <v>0.97</v>
      </c>
      <c r="E38" s="33" t="n">
        <v>1.56</v>
      </c>
      <c r="F38" s="33" t="n">
        <v>4.01</v>
      </c>
      <c r="G38" s="33" t="n">
        <v>1.34</v>
      </c>
    </row>
    <row r="39">
      <c r="A39" s="32" t="inlineStr">
        <is>
          <t>1980 to 1989</t>
        </is>
      </c>
      <c r="B39" s="33" t="n">
        <v>16.3</v>
      </c>
      <c r="C39" s="33" t="n">
        <v>8.67</v>
      </c>
      <c r="D39" s="33" t="n">
        <v>1.26</v>
      </c>
      <c r="E39" s="33" t="n">
        <v>1.43</v>
      </c>
      <c r="F39" s="33" t="n">
        <v>3.6</v>
      </c>
      <c r="G39" s="33" t="n">
        <v>1.33</v>
      </c>
    </row>
    <row r="40">
      <c r="A40" s="32" t="inlineStr">
        <is>
          <t>1990 to 1999</t>
        </is>
      </c>
      <c r="B40" s="33" t="n">
        <v>17.16</v>
      </c>
      <c r="C40" s="33" t="n">
        <v>10.65</v>
      </c>
      <c r="D40" s="33" t="n">
        <v>1.08</v>
      </c>
      <c r="E40" s="33" t="n">
        <v>0.95</v>
      </c>
      <c r="F40" s="33" t="n">
        <v>2.55</v>
      </c>
      <c r="G40" s="33" t="n">
        <v>1.92</v>
      </c>
    </row>
    <row r="41">
      <c r="A41" s="32" t="inlineStr">
        <is>
          <t>2000 to 2009</t>
        </is>
      </c>
      <c r="B41" s="33" t="n">
        <v>16.16</v>
      </c>
      <c r="C41" s="33" t="n">
        <v>9.98</v>
      </c>
      <c r="D41" s="33" t="n">
        <v>1.31</v>
      </c>
      <c r="E41" s="33" t="n">
        <v>0.72</v>
      </c>
      <c r="F41" s="33" t="n">
        <v>3.17</v>
      </c>
      <c r="G41" s="33" t="n">
        <v>0.98</v>
      </c>
    </row>
    <row r="42">
      <c r="A42" s="32" t="inlineStr">
        <is>
          <t>2010 to 2015</t>
        </is>
      </c>
      <c r="B42" s="33" t="n">
        <v>5.53</v>
      </c>
      <c r="C42" s="33" t="n">
        <v>3.05</v>
      </c>
      <c r="D42" s="33" t="n">
        <v>0.37</v>
      </c>
      <c r="E42" s="33" t="n">
        <v>0.26</v>
      </c>
      <c r="F42" s="33" t="n">
        <v>1.52</v>
      </c>
      <c r="G42" s="33" t="n">
        <v>0.32</v>
      </c>
    </row>
    <row r="43">
      <c r="A43" s="32" t="inlineStr">
        <is>
          <t>2016 to 2020</t>
        </is>
      </c>
      <c r="B43" s="33" t="n">
        <v>4.56</v>
      </c>
      <c r="C43" s="33" t="n">
        <v>2.53</v>
      </c>
      <c r="D43" s="33" t="n">
        <v>0.29</v>
      </c>
      <c r="E43" s="33" t="n">
        <v>0.18</v>
      </c>
      <c r="F43" s="33" t="n">
        <v>1.26</v>
      </c>
      <c r="G43" s="33" t="n">
        <v>0.31</v>
      </c>
    </row>
    <row r="44">
      <c r="A44" s="30" t="inlineStr">
        <is>
          <t>Number of stories</t>
        </is>
      </c>
      <c r="B44" s="31" t="inlineStr"/>
      <c r="C44" s="31" t="inlineStr"/>
      <c r="D44" s="31" t="inlineStr"/>
      <c r="E44" s="31" t="inlineStr"/>
      <c r="F44" s="31" t="inlineStr"/>
      <c r="G44" s="31" t="inlineStr"/>
    </row>
    <row r="45">
      <c r="A45" s="32" t="inlineStr">
        <is>
          <t>1 story</t>
        </is>
      </c>
      <c r="B45" s="33" t="n">
        <v>47.15</v>
      </c>
      <c r="C45" s="33" t="n">
        <v>44.59</v>
      </c>
      <c r="D45" s="33" t="n">
        <v>2.57</v>
      </c>
      <c r="E45" s="33" t="inlineStr">
        <is>
          <t>N</t>
        </is>
      </c>
      <c r="F45" s="33" t="inlineStr">
        <is>
          <t>N</t>
        </is>
      </c>
      <c r="G45" s="33" t="inlineStr">
        <is>
          <t>N</t>
        </is>
      </c>
    </row>
    <row r="46">
      <c r="A46" s="32" t="inlineStr">
        <is>
          <t>2 stories</t>
        </is>
      </c>
      <c r="B46" s="33" t="n">
        <v>32.47</v>
      </c>
      <c r="C46" s="33" t="n">
        <v>28.53</v>
      </c>
      <c r="D46" s="33" t="n">
        <v>3.94</v>
      </c>
      <c r="E46" s="33" t="inlineStr">
        <is>
          <t>N</t>
        </is>
      </c>
      <c r="F46" s="33" t="inlineStr">
        <is>
          <t>N</t>
        </is>
      </c>
      <c r="G46" s="33" t="inlineStr">
        <is>
          <t>N</t>
        </is>
      </c>
    </row>
    <row r="47" ht="24" customHeight="1">
      <c r="A47" s="32" t="inlineStr">
        <is>
          <t>3 or more stories</t>
        </is>
      </c>
      <c r="B47" s="33" t="n">
        <v>2.61</v>
      </c>
      <c r="C47" s="33" t="n">
        <v>1.76</v>
      </c>
      <c r="D47" s="33" t="n">
        <v>0.85</v>
      </c>
      <c r="E47" s="33" t="inlineStr">
        <is>
          <t>N</t>
        </is>
      </c>
      <c r="F47" s="33" t="inlineStr">
        <is>
          <t>N</t>
        </is>
      </c>
      <c r="G47" s="33" t="inlineStr">
        <is>
          <t>N</t>
        </is>
      </c>
    </row>
    <row r="48">
      <c r="A48" s="32" t="inlineStr">
        <is>
          <t>Split-level</t>
        </is>
      </c>
      <c r="B48" s="33" t="n">
        <v>2.28</v>
      </c>
      <c r="C48" s="33" t="n">
        <v>2.19</v>
      </c>
      <c r="D48" s="33" t="n">
        <v>0.09</v>
      </c>
      <c r="E48" s="33" t="inlineStr">
        <is>
          <t>N</t>
        </is>
      </c>
      <c r="F48" s="33" t="inlineStr">
        <is>
          <t>N</t>
        </is>
      </c>
      <c r="G48" s="33" t="inlineStr">
        <is>
          <t>N</t>
        </is>
      </c>
    </row>
    <row r="49" ht="26.65" customHeight="1">
      <c r="A49" s="32" t="inlineStr">
        <is>
          <t>Not asked (apartments and mobile homes)</t>
        </is>
      </c>
      <c r="B49" s="33" t="n">
        <v>39.01</v>
      </c>
      <c r="C49" s="33" t="inlineStr">
        <is>
          <t>N</t>
        </is>
      </c>
      <c r="D49" s="33" t="inlineStr">
        <is>
          <t>N</t>
        </is>
      </c>
      <c r="E49" s="33" t="n">
        <v>9.34</v>
      </c>
      <c r="F49" s="33" t="n">
        <v>22.84</v>
      </c>
      <c r="G49" s="33" t="n">
        <v>6.83</v>
      </c>
    </row>
    <row r="50">
      <c r="A50" s="30" t="inlineStr">
        <is>
          <t>Major outside wall construction</t>
        </is>
      </c>
      <c r="B50" s="31" t="inlineStr"/>
      <c r="C50" s="31" t="inlineStr"/>
      <c r="D50" s="31" t="inlineStr"/>
      <c r="E50" s="31" t="inlineStr"/>
      <c r="F50" s="31" t="inlineStr"/>
      <c r="G50" s="31" t="inlineStr"/>
    </row>
    <row r="51" ht="26.65" customHeight="1">
      <c r="A51" s="32" t="inlineStr">
        <is>
          <t>Siding (aluminum, fiber cement, vinyl, or steel)</t>
        </is>
      </c>
      <c r="B51" s="33" t="n">
        <v>45.44</v>
      </c>
      <c r="C51" s="33" t="n">
        <v>31.14</v>
      </c>
      <c r="D51" s="33" t="n">
        <v>2.83</v>
      </c>
      <c r="E51" s="33" t="n">
        <v>2.23</v>
      </c>
      <c r="F51" s="33" t="n">
        <v>3.79</v>
      </c>
      <c r="G51" s="33" t="n">
        <v>5.45</v>
      </c>
    </row>
    <row r="52">
      <c r="A52" s="32" t="inlineStr">
        <is>
          <t>Brick</t>
        </is>
      </c>
      <c r="B52" s="33" t="n">
        <v>33.37</v>
      </c>
      <c r="C52" s="33" t="n">
        <v>17.52</v>
      </c>
      <c r="D52" s="33" t="n">
        <v>2.01</v>
      </c>
      <c r="E52" s="33" t="n">
        <v>3.79</v>
      </c>
      <c r="F52" s="33" t="n">
        <v>9.800000000000001</v>
      </c>
      <c r="G52" s="33" t="n">
        <v>0.24</v>
      </c>
    </row>
    <row r="53" ht="24" customHeight="1">
      <c r="A53" s="32" t="inlineStr">
        <is>
          <t>Wood</t>
        </is>
      </c>
      <c r="B53" s="33" t="n">
        <v>18.8</v>
      </c>
      <c r="C53" s="33" t="n">
        <v>12.63</v>
      </c>
      <c r="D53" s="33" t="n">
        <v>0.92</v>
      </c>
      <c r="E53" s="33" t="n">
        <v>1.55</v>
      </c>
      <c r="F53" s="33" t="n">
        <v>2.86</v>
      </c>
      <c r="G53" s="33" t="n">
        <v>0.84</v>
      </c>
    </row>
    <row r="54" ht="15" customHeight="1">
      <c r="A54" s="32" t="inlineStr">
        <is>
          <t>Stucco</t>
        </is>
      </c>
      <c r="B54" s="33" t="n">
        <v>15.65</v>
      </c>
      <c r="C54" s="33" t="n">
        <v>10.54</v>
      </c>
      <c r="D54" s="33" t="n">
        <v>1.07</v>
      </c>
      <c r="E54" s="33" t="n">
        <v>0.89</v>
      </c>
      <c r="F54" s="33" t="n">
        <v>3.08</v>
      </c>
      <c r="G54" s="33" t="n">
        <v>0.08</v>
      </c>
    </row>
    <row r="55">
      <c r="A55" s="32" t="inlineStr">
        <is>
          <t>Concrete block</t>
        </is>
      </c>
      <c r="B55" s="33" t="n">
        <v>6.42</v>
      </c>
      <c r="C55" s="33" t="n">
        <v>2.89</v>
      </c>
      <c r="D55" s="33" t="n">
        <v>0.41</v>
      </c>
      <c r="E55" s="33" t="n">
        <v>0.5</v>
      </c>
      <c r="F55" s="33" t="n">
        <v>2.56</v>
      </c>
      <c r="G55" s="33" t="inlineStr">
        <is>
          <t>Q</t>
        </is>
      </c>
    </row>
    <row r="56">
      <c r="A56" s="32" t="inlineStr">
        <is>
          <t>Shingle (composition)</t>
        </is>
      </c>
      <c r="B56" s="33" t="n">
        <v>1.89</v>
      </c>
      <c r="C56" s="33" t="n">
        <v>1.16</v>
      </c>
      <c r="D56" s="33" t="n">
        <v>0.11</v>
      </c>
      <c r="E56" s="33" t="n">
        <v>0.21</v>
      </c>
      <c r="F56" s="33" t="n">
        <v>0.3</v>
      </c>
      <c r="G56" s="33" t="n">
        <v>0.11</v>
      </c>
    </row>
    <row r="57">
      <c r="A57" s="32" t="inlineStr">
        <is>
          <t>Stone</t>
        </is>
      </c>
      <c r="B57" s="33" t="n">
        <v>1.46</v>
      </c>
      <c r="C57" s="33" t="n">
        <v>0.9399999999999999</v>
      </c>
      <c r="D57" s="33" t="n">
        <v>0.08</v>
      </c>
      <c r="E57" s="33" t="n">
        <v>0.14</v>
      </c>
      <c r="F57" s="33" t="n">
        <v>0.31</v>
      </c>
      <c r="G57" s="33" t="inlineStr">
        <is>
          <t>N</t>
        </is>
      </c>
    </row>
    <row r="58">
      <c r="A58" s="32" t="inlineStr">
        <is>
          <t>Some other material</t>
        </is>
      </c>
      <c r="B58" s="33" t="n">
        <v>0.5</v>
      </c>
      <c r="C58" s="33" t="n">
        <v>0.26</v>
      </c>
      <c r="D58" s="33" t="inlineStr">
        <is>
          <t>Q</t>
        </is>
      </c>
      <c r="E58" s="33" t="inlineStr">
        <is>
          <t>Q</t>
        </is>
      </c>
      <c r="F58" s="33" t="n">
        <v>0.14</v>
      </c>
      <c r="G58" s="33" t="inlineStr">
        <is>
          <t>Q</t>
        </is>
      </c>
    </row>
    <row r="59">
      <c r="A59" s="30" t="inlineStr">
        <is>
          <t>Major roofing material</t>
        </is>
      </c>
      <c r="B59" s="31" t="inlineStr"/>
      <c r="C59" s="31" t="inlineStr"/>
      <c r="D59" s="31" t="inlineStr"/>
      <c r="E59" s="31" t="inlineStr"/>
      <c r="F59" s="31" t="inlineStr"/>
      <c r="G59" s="31" t="inlineStr"/>
    </row>
    <row r="60">
      <c r="A60" s="32" t="inlineStr">
        <is>
          <t>Shingles (composition or asphalt)</t>
        </is>
      </c>
      <c r="B60" s="33" t="n">
        <v>76.03</v>
      </c>
      <c r="C60" s="33" t="n">
        <v>61.56</v>
      </c>
      <c r="D60" s="33" t="n">
        <v>5.49</v>
      </c>
      <c r="E60" s="33" t="n">
        <v>5.89</v>
      </c>
      <c r="F60" s="33" t="inlineStr">
        <is>
          <t>N</t>
        </is>
      </c>
      <c r="G60" s="33" t="n">
        <v>3.09</v>
      </c>
    </row>
    <row r="61">
      <c r="A61" s="32" t="inlineStr">
        <is>
          <t>Metal</t>
        </is>
      </c>
      <c r="B61" s="33" t="n">
        <v>9.69</v>
      </c>
      <c r="C61" s="33" t="n">
        <v>5.87</v>
      </c>
      <c r="D61" s="33" t="n">
        <v>0.28</v>
      </c>
      <c r="E61" s="33" t="n">
        <v>0.46</v>
      </c>
      <c r="F61" s="33" t="inlineStr">
        <is>
          <t>N</t>
        </is>
      </c>
      <c r="G61" s="33" t="n">
        <v>3.08</v>
      </c>
    </row>
    <row r="62" ht="24" customHeight="1">
      <c r="A62" s="32" t="inlineStr">
        <is>
          <t>Wood shingles or shakes</t>
        </is>
      </c>
      <c r="B62" s="33" t="n">
        <v>5.19</v>
      </c>
      <c r="C62" s="33" t="n">
        <v>3.06</v>
      </c>
      <c r="D62" s="33" t="n">
        <v>0.55</v>
      </c>
      <c r="E62" s="33" t="n">
        <v>1.23</v>
      </c>
      <c r="F62" s="33" t="inlineStr">
        <is>
          <t>N</t>
        </is>
      </c>
      <c r="G62" s="33" t="n">
        <v>0.35</v>
      </c>
    </row>
    <row r="63">
      <c r="A63" s="32" t="inlineStr">
        <is>
          <t>Ceramic or clay tiles</t>
        </is>
      </c>
      <c r="B63" s="33" t="n">
        <v>4.89</v>
      </c>
      <c r="C63" s="33" t="n">
        <v>3.6</v>
      </c>
      <c r="D63" s="33" t="n">
        <v>0.59</v>
      </c>
      <c r="E63" s="33" t="n">
        <v>0.66</v>
      </c>
      <c r="F63" s="33" t="inlineStr">
        <is>
          <t>N</t>
        </is>
      </c>
      <c r="G63" s="33" t="inlineStr">
        <is>
          <t>Q</t>
        </is>
      </c>
    </row>
    <row r="64">
      <c r="A64" s="32" t="inlineStr">
        <is>
          <t>Concrete tiles</t>
        </is>
      </c>
      <c r="B64" s="33" t="n">
        <v>2.14</v>
      </c>
      <c r="C64" s="33" t="n">
        <v>1.58</v>
      </c>
      <c r="D64" s="33" t="n">
        <v>0.11</v>
      </c>
      <c r="E64" s="33" t="n">
        <v>0.43</v>
      </c>
      <c r="F64" s="33" t="inlineStr">
        <is>
          <t>N</t>
        </is>
      </c>
      <c r="G64" s="33" t="inlineStr">
        <is>
          <t>Q</t>
        </is>
      </c>
    </row>
    <row r="65">
      <c r="A65" s="32" t="inlineStr">
        <is>
          <t>Slate or synthetic slate</t>
        </is>
      </c>
      <c r="B65" s="33" t="n">
        <v>1.49</v>
      </c>
      <c r="C65" s="33" t="n">
        <v>0.73</v>
      </c>
      <c r="D65" s="33" t="n">
        <v>0.18</v>
      </c>
      <c r="E65" s="33" t="n">
        <v>0.51</v>
      </c>
      <c r="F65" s="33" t="inlineStr">
        <is>
          <t>N</t>
        </is>
      </c>
      <c r="G65" s="33" t="n">
        <v>0.08</v>
      </c>
    </row>
    <row r="66">
      <c r="A66" s="32" t="inlineStr">
        <is>
          <t>Some other material</t>
        </is>
      </c>
      <c r="B66" s="33" t="n">
        <v>1.26</v>
      </c>
      <c r="C66" s="33" t="n">
        <v>0.67</v>
      </c>
      <c r="D66" s="33" t="n">
        <v>0.27</v>
      </c>
      <c r="E66" s="33" t="n">
        <v>0.15</v>
      </c>
      <c r="F66" s="33" t="inlineStr">
        <is>
          <t>N</t>
        </is>
      </c>
      <c r="G66" s="33" t="n">
        <v>0.18</v>
      </c>
    </row>
    <row r="67" ht="26.65" customHeight="1">
      <c r="A67" s="32" t="inlineStr">
        <is>
          <t>Not asked (apartments in buildings with 5 or more units)</t>
        </is>
      </c>
      <c r="B67" s="33" t="n">
        <v>22.84</v>
      </c>
      <c r="C67" s="33" t="inlineStr">
        <is>
          <t>N</t>
        </is>
      </c>
      <c r="D67" s="33" t="inlineStr">
        <is>
          <t>N</t>
        </is>
      </c>
      <c r="E67" s="33" t="inlineStr">
        <is>
          <t>N</t>
        </is>
      </c>
      <c r="F67" s="33" t="n">
        <v>22.84</v>
      </c>
      <c r="G67" s="33" t="inlineStr">
        <is>
          <t>N</t>
        </is>
      </c>
    </row>
    <row r="68" ht="26.65" customHeight="1">
      <c r="A68" s="30" t="inlineStr">
        <is>
          <t>Total number of rooms (excluding bathrooms)</t>
        </is>
      </c>
      <c r="B68" s="31" t="inlineStr"/>
      <c r="C68" s="31" t="inlineStr"/>
      <c r="D68" s="31" t="inlineStr"/>
      <c r="E68" s="31" t="inlineStr"/>
      <c r="F68" s="31" t="inlineStr"/>
      <c r="G68" s="31" t="inlineStr"/>
    </row>
    <row r="69">
      <c r="A69" s="37" t="inlineStr">
        <is>
          <t>1 or 2</t>
        </is>
      </c>
      <c r="B69" s="33" t="n">
        <v>4.59</v>
      </c>
      <c r="C69" s="33" t="n">
        <v>0.09</v>
      </c>
      <c r="D69" s="33" t="n">
        <v>0.05</v>
      </c>
      <c r="E69" s="33" t="n">
        <v>0.77</v>
      </c>
      <c r="F69" s="33" t="n">
        <v>3.56</v>
      </c>
      <c r="G69" s="33" t="n">
        <v>0.11</v>
      </c>
    </row>
    <row r="70">
      <c r="A70" s="37" t="n">
        <v>3</v>
      </c>
      <c r="B70" s="33" t="n">
        <v>8.73</v>
      </c>
      <c r="C70" s="33" t="n">
        <v>0.65</v>
      </c>
      <c r="D70" s="33" t="n">
        <v>0.3</v>
      </c>
      <c r="E70" s="33" t="n">
        <v>1.71</v>
      </c>
      <c r="F70" s="33" t="n">
        <v>5.86</v>
      </c>
      <c r="G70" s="33" t="n">
        <v>0.21</v>
      </c>
    </row>
    <row r="71" ht="34.05" customHeight="1">
      <c r="A71" s="37" t="n">
        <v>4</v>
      </c>
      <c r="B71" s="33" t="n">
        <v>15.95</v>
      </c>
      <c r="C71" s="33" t="n">
        <v>3.3</v>
      </c>
      <c r="D71" s="33" t="n">
        <v>1.46</v>
      </c>
      <c r="E71" s="33" t="n">
        <v>3.04</v>
      </c>
      <c r="F71" s="33" t="n">
        <v>6.98</v>
      </c>
      <c r="G71" s="33" t="n">
        <v>1.17</v>
      </c>
    </row>
    <row r="72">
      <c r="A72" s="37" t="n">
        <v>5</v>
      </c>
      <c r="B72" s="33" t="n">
        <v>19.54</v>
      </c>
      <c r="C72" s="33" t="n">
        <v>9.77</v>
      </c>
      <c r="D72" s="33" t="n">
        <v>1.81</v>
      </c>
      <c r="E72" s="33" t="n">
        <v>2.17</v>
      </c>
      <c r="F72" s="33" t="n">
        <v>4.13</v>
      </c>
      <c r="G72" s="33" t="n">
        <v>1.65</v>
      </c>
    </row>
    <row r="73">
      <c r="A73" s="37" t="n">
        <v>6</v>
      </c>
      <c r="B73" s="33" t="n">
        <v>22.1</v>
      </c>
      <c r="C73" s="33" t="n">
        <v>15.86</v>
      </c>
      <c r="D73" s="33" t="n">
        <v>1.66</v>
      </c>
      <c r="E73" s="33" t="n">
        <v>0.97</v>
      </c>
      <c r="F73" s="33" t="n">
        <v>1.68</v>
      </c>
      <c r="G73" s="33" t="n">
        <v>1.94</v>
      </c>
    </row>
    <row r="74">
      <c r="A74" s="37" t="n">
        <v>7</v>
      </c>
      <c r="B74" s="33" t="n">
        <v>18.86</v>
      </c>
      <c r="C74" s="33" t="n">
        <v>16.23</v>
      </c>
      <c r="D74" s="33" t="n">
        <v>1.1</v>
      </c>
      <c r="E74" s="33" t="n">
        <v>0.27</v>
      </c>
      <c r="F74" s="33" t="n">
        <v>0.38</v>
      </c>
      <c r="G74" s="33" t="n">
        <v>0.87</v>
      </c>
    </row>
    <row r="75">
      <c r="A75" s="37" t="n">
        <v>8</v>
      </c>
      <c r="B75" s="33" t="n">
        <v>13.87</v>
      </c>
      <c r="C75" s="33" t="n">
        <v>12.42</v>
      </c>
      <c r="D75" s="33" t="n">
        <v>0.5600000000000001</v>
      </c>
      <c r="E75" s="33" t="n">
        <v>0.16</v>
      </c>
      <c r="F75" s="33" t="n">
        <v>0.15</v>
      </c>
      <c r="G75" s="33" t="n">
        <v>0.58</v>
      </c>
    </row>
    <row r="76">
      <c r="A76" s="37" t="inlineStr">
        <is>
          <t>9 or more</t>
        </is>
      </c>
      <c r="B76" s="33" t="n">
        <v>19.9</v>
      </c>
      <c r="C76" s="33" t="n">
        <v>18.73</v>
      </c>
      <c r="D76" s="33" t="n">
        <v>0.51</v>
      </c>
      <c r="E76" s="33" t="n">
        <v>0.25</v>
      </c>
      <c r="F76" s="33" t="n">
        <v>0.11</v>
      </c>
      <c r="G76" s="33" t="n">
        <v>0.3</v>
      </c>
    </row>
    <row r="77">
      <c r="A77" s="30" t="inlineStr">
        <is>
          <t>Number of bedrooms</t>
        </is>
      </c>
      <c r="B77" s="33" t="inlineStr"/>
      <c r="C77" s="33" t="inlineStr"/>
      <c r="D77" s="33" t="inlineStr"/>
      <c r="E77" s="33" t="inlineStr"/>
      <c r="F77" s="33" t="inlineStr"/>
      <c r="G77" s="33" t="inlineStr"/>
    </row>
    <row r="78">
      <c r="A78" s="37" t="n">
        <v>0</v>
      </c>
      <c r="B78" s="33" t="n">
        <v>1.82</v>
      </c>
      <c r="C78" s="33" t="n">
        <v>0.1</v>
      </c>
      <c r="D78" s="33" t="inlineStr">
        <is>
          <t>Q</t>
        </is>
      </c>
      <c r="E78" s="33" t="n">
        <v>0.32</v>
      </c>
      <c r="F78" s="33" t="n">
        <v>1.36</v>
      </c>
      <c r="G78" s="33" t="inlineStr">
        <is>
          <t>Q</t>
        </is>
      </c>
    </row>
    <row r="79">
      <c r="A79" s="37" t="n">
        <v>1</v>
      </c>
      <c r="B79" s="33" t="n">
        <v>14.52</v>
      </c>
      <c r="C79" s="33" t="n">
        <v>1.25</v>
      </c>
      <c r="D79" s="33" t="n">
        <v>0.49</v>
      </c>
      <c r="E79" s="33" t="n">
        <v>2.61</v>
      </c>
      <c r="F79" s="33" t="n">
        <v>9.779999999999999</v>
      </c>
      <c r="G79" s="33" t="n">
        <v>0.4</v>
      </c>
    </row>
    <row r="80" ht="24" customHeight="1">
      <c r="A80" s="37" t="n">
        <v>2</v>
      </c>
      <c r="B80" s="33" t="n">
        <v>30.67</v>
      </c>
      <c r="C80" s="33" t="n">
        <v>10.56</v>
      </c>
      <c r="D80" s="33" t="n">
        <v>3.19</v>
      </c>
      <c r="E80" s="33" t="n">
        <v>4.57</v>
      </c>
      <c r="F80" s="33" t="n">
        <v>9.99</v>
      </c>
      <c r="G80" s="33" t="n">
        <v>2.36</v>
      </c>
    </row>
    <row r="81">
      <c r="A81" s="37" t="n">
        <v>3</v>
      </c>
      <c r="B81" s="33" t="n">
        <v>48.27</v>
      </c>
      <c r="C81" s="33" t="n">
        <v>38.87</v>
      </c>
      <c r="D81" s="33" t="n">
        <v>2.94</v>
      </c>
      <c r="E81" s="33" t="n">
        <v>1.48</v>
      </c>
      <c r="F81" s="33" t="n">
        <v>1.51</v>
      </c>
      <c r="G81" s="33" t="n">
        <v>3.49</v>
      </c>
    </row>
    <row r="82">
      <c r="A82" s="37" t="n">
        <v>4</v>
      </c>
      <c r="B82" s="33" t="n">
        <v>22.08</v>
      </c>
      <c r="C82" s="33" t="n">
        <v>20.61</v>
      </c>
      <c r="D82" s="33" t="n">
        <v>0.58</v>
      </c>
      <c r="E82" s="33" t="n">
        <v>0.23</v>
      </c>
      <c r="F82" s="33" t="n">
        <v>0.15</v>
      </c>
      <c r="G82" s="33" t="n">
        <v>0.51</v>
      </c>
    </row>
    <row r="83">
      <c r="A83" s="37" t="inlineStr">
        <is>
          <t>5 or more</t>
        </is>
      </c>
      <c r="B83" s="33" t="n">
        <v>6.16</v>
      </c>
      <c r="C83" s="33" t="n">
        <v>5.69</v>
      </c>
      <c r="D83" s="33" t="n">
        <v>0.21</v>
      </c>
      <c r="E83" s="33" t="n">
        <v>0.13</v>
      </c>
      <c r="F83" s="33" t="inlineStr">
        <is>
          <t>Q</t>
        </is>
      </c>
      <c r="G83" s="33" t="n">
        <v>0.07000000000000001</v>
      </c>
    </row>
    <row r="84" ht="26.65" customHeight="1">
      <c r="A84" s="30" t="inlineStr">
        <is>
          <t>Number of other rooms (excluding bathrooms)</t>
        </is>
      </c>
      <c r="B84" s="31" t="inlineStr"/>
      <c r="C84" s="31" t="inlineStr"/>
      <c r="D84" s="31" t="inlineStr"/>
      <c r="E84" s="31" t="inlineStr"/>
      <c r="F84" s="31" t="inlineStr"/>
      <c r="G84" s="31" t="inlineStr"/>
    </row>
    <row r="85">
      <c r="A85" s="37" t="n">
        <v>1</v>
      </c>
      <c r="B85" s="33" t="n">
        <v>8.41</v>
      </c>
      <c r="C85" s="33" t="n">
        <v>1.43</v>
      </c>
      <c r="D85" s="33" t="n">
        <v>0.31</v>
      </c>
      <c r="E85" s="33" t="n">
        <v>1.55</v>
      </c>
      <c r="F85" s="33" t="n">
        <v>4.84</v>
      </c>
      <c r="G85" s="33" t="n">
        <v>0.28</v>
      </c>
    </row>
    <row r="86">
      <c r="A86" s="37" t="n">
        <v>2</v>
      </c>
      <c r="B86" s="33" t="n">
        <v>27.88</v>
      </c>
      <c r="C86" s="33" t="n">
        <v>9.65</v>
      </c>
      <c r="D86" s="33" t="n">
        <v>2.13</v>
      </c>
      <c r="E86" s="33" t="n">
        <v>3.9</v>
      </c>
      <c r="F86" s="33" t="n">
        <v>10.07</v>
      </c>
      <c r="G86" s="33" t="n">
        <v>2.13</v>
      </c>
    </row>
    <row r="87" ht="34.05" customHeight="1">
      <c r="A87" s="37" t="n">
        <v>3</v>
      </c>
      <c r="B87" s="33" t="n">
        <v>32.82</v>
      </c>
      <c r="C87" s="33" t="n">
        <v>19.91</v>
      </c>
      <c r="D87" s="33" t="n">
        <v>2.39</v>
      </c>
      <c r="E87" s="33" t="n">
        <v>2.55</v>
      </c>
      <c r="F87" s="33" t="n">
        <v>5.6</v>
      </c>
      <c r="G87" s="33" t="n">
        <v>2.36</v>
      </c>
    </row>
    <row r="88">
      <c r="A88" s="37" t="n">
        <v>4</v>
      </c>
      <c r="B88" s="33" t="n">
        <v>26.77</v>
      </c>
      <c r="C88" s="33" t="n">
        <v>21.33</v>
      </c>
      <c r="D88" s="33" t="n">
        <v>1.5</v>
      </c>
      <c r="E88" s="33" t="n">
        <v>0.82</v>
      </c>
      <c r="F88" s="33" t="n">
        <v>1.86</v>
      </c>
      <c r="G88" s="33" t="n">
        <v>1.26</v>
      </c>
    </row>
    <row r="89">
      <c r="A89" s="37" t="inlineStr">
        <is>
          <t>5 or more</t>
        </is>
      </c>
      <c r="B89" s="33" t="n">
        <v>27.64</v>
      </c>
      <c r="C89" s="33" t="n">
        <v>24.75</v>
      </c>
      <c r="D89" s="33" t="n">
        <v>1.11</v>
      </c>
      <c r="E89" s="33" t="n">
        <v>0.51</v>
      </c>
      <c r="F89" s="33" t="n">
        <v>0.47</v>
      </c>
      <c r="G89" s="33" t="n">
        <v>0.79</v>
      </c>
    </row>
    <row r="90">
      <c r="A90" s="30" t="inlineStr">
        <is>
          <t>Number of full bathrooms</t>
        </is>
      </c>
      <c r="B90" s="31" t="inlineStr"/>
      <c r="C90" s="31" t="inlineStr"/>
      <c r="D90" s="31" t="inlineStr"/>
      <c r="E90" s="31" t="inlineStr"/>
      <c r="F90" s="31" t="inlineStr"/>
      <c r="G90" s="31" t="inlineStr"/>
    </row>
    <row r="91">
      <c r="A91" s="37" t="n">
        <v>0</v>
      </c>
      <c r="B91" s="33" t="n">
        <v>0.15</v>
      </c>
      <c r="C91" s="33" t="n">
        <v>0.07000000000000001</v>
      </c>
      <c r="D91" s="33" t="inlineStr">
        <is>
          <t>Q</t>
        </is>
      </c>
      <c r="E91" s="33" t="inlineStr">
        <is>
          <t>Q</t>
        </is>
      </c>
      <c r="F91" s="33" t="inlineStr">
        <is>
          <t>Q</t>
        </is>
      </c>
      <c r="G91" s="33" t="inlineStr">
        <is>
          <t>Q</t>
        </is>
      </c>
    </row>
    <row r="92">
      <c r="A92" s="37" t="n">
        <v>1</v>
      </c>
      <c r="B92" s="33" t="n">
        <v>50.32</v>
      </c>
      <c r="C92" s="33" t="n">
        <v>21.7</v>
      </c>
      <c r="D92" s="33" t="n">
        <v>3.03</v>
      </c>
      <c r="E92" s="33" t="n">
        <v>7.24</v>
      </c>
      <c r="F92" s="33" t="n">
        <v>16.26</v>
      </c>
      <c r="G92" s="33" t="n">
        <v>2.1</v>
      </c>
    </row>
    <row r="93" ht="24" customHeight="1">
      <c r="A93" s="37" t="n">
        <v>2</v>
      </c>
      <c r="B93" s="33" t="n">
        <v>56.85</v>
      </c>
      <c r="C93" s="33" t="n">
        <v>40.42</v>
      </c>
      <c r="D93" s="33" t="n">
        <v>3.7</v>
      </c>
      <c r="E93" s="33" t="n">
        <v>1.86</v>
      </c>
      <c r="F93" s="33" t="n">
        <v>6.36</v>
      </c>
      <c r="G93" s="33" t="n">
        <v>4.51</v>
      </c>
    </row>
    <row r="94">
      <c r="A94" s="37" t="inlineStr">
        <is>
          <t>3 or more</t>
        </is>
      </c>
      <c r="B94" s="33" t="n">
        <v>16.21</v>
      </c>
      <c r="C94" s="33" t="n">
        <v>14.89</v>
      </c>
      <c r="D94" s="33" t="n">
        <v>0.72</v>
      </c>
      <c r="E94" s="33" t="n">
        <v>0.23</v>
      </c>
      <c r="F94" s="33" t="n">
        <v>0.15</v>
      </c>
      <c r="G94" s="33" t="n">
        <v>0.22</v>
      </c>
    </row>
    <row r="95">
      <c r="A95" s="30" t="inlineStr">
        <is>
          <t>Number of half bathrooms</t>
        </is>
      </c>
      <c r="B95" s="31" t="inlineStr"/>
      <c r="C95" s="31" t="inlineStr"/>
      <c r="D95" s="31" t="inlineStr"/>
      <c r="E95" s="31" t="inlineStr"/>
      <c r="F95" s="31" t="inlineStr"/>
      <c r="G95" s="31" t="inlineStr"/>
    </row>
    <row r="96">
      <c r="A96" s="37" t="n">
        <v>0</v>
      </c>
      <c r="B96" s="33" t="n">
        <v>86.83</v>
      </c>
      <c r="C96" s="33" t="n">
        <v>47.8</v>
      </c>
      <c r="D96" s="33" t="n">
        <v>4.06</v>
      </c>
      <c r="E96" s="33" t="n">
        <v>8.210000000000001</v>
      </c>
      <c r="F96" s="33" t="n">
        <v>20.77</v>
      </c>
      <c r="G96" s="33" t="n">
        <v>5.98</v>
      </c>
    </row>
    <row r="97">
      <c r="A97" s="37" t="n">
        <v>1</v>
      </c>
      <c r="B97" s="33" t="n">
        <v>33.79</v>
      </c>
      <c r="C97" s="33" t="n">
        <v>26.87</v>
      </c>
      <c r="D97" s="33" t="n">
        <v>3.21</v>
      </c>
      <c r="E97" s="33" t="n">
        <v>1.03</v>
      </c>
      <c r="F97" s="33" t="n">
        <v>1.94</v>
      </c>
      <c r="G97" s="33" t="n">
        <v>0.75</v>
      </c>
    </row>
    <row r="98" ht="24" customHeight="1">
      <c r="A98" s="37" t="inlineStr">
        <is>
          <t>2 or more</t>
        </is>
      </c>
      <c r="B98" s="33" t="n">
        <v>2.91</v>
      </c>
      <c r="C98" s="33" t="n">
        <v>2.39</v>
      </c>
      <c r="D98" s="33" t="n">
        <v>0.18</v>
      </c>
      <c r="E98" s="33" t="n">
        <v>0.11</v>
      </c>
      <c r="F98" s="33" t="n">
        <v>0.13</v>
      </c>
      <c r="G98" s="33" t="n">
        <v>0.1</v>
      </c>
    </row>
    <row r="99">
      <c r="A99" s="30" t="inlineStr">
        <is>
          <t>Basement</t>
        </is>
      </c>
      <c r="B99" s="31" t="inlineStr"/>
      <c r="C99" s="31" t="inlineStr"/>
      <c r="D99" s="31" t="inlineStr"/>
      <c r="E99" s="31" t="inlineStr"/>
      <c r="F99" s="31" t="inlineStr"/>
      <c r="G99" s="31" t="inlineStr"/>
    </row>
    <row r="100">
      <c r="A100" s="32" t="inlineStr">
        <is>
          <t>Yes</t>
        </is>
      </c>
      <c r="B100" s="33" t="n">
        <v>36.83</v>
      </c>
      <c r="C100" s="33" t="n">
        <v>33.86</v>
      </c>
      <c r="D100" s="33" t="n">
        <v>2.98</v>
      </c>
      <c r="E100" s="33" t="inlineStr">
        <is>
          <t>N</t>
        </is>
      </c>
      <c r="F100" s="33" t="inlineStr">
        <is>
          <t>N</t>
        </is>
      </c>
      <c r="G100" s="33" t="inlineStr">
        <is>
          <t>N</t>
        </is>
      </c>
    </row>
    <row r="101">
      <c r="A101" s="34" t="inlineStr">
        <is>
          <t>Finished basement</t>
        </is>
      </c>
      <c r="B101" s="33" t="n">
        <v>21.71</v>
      </c>
      <c r="C101" s="33" t="n">
        <v>19.85</v>
      </c>
      <c r="D101" s="33" t="n">
        <v>1.87</v>
      </c>
      <c r="E101" s="33" t="inlineStr">
        <is>
          <t>N</t>
        </is>
      </c>
      <c r="F101" s="33" t="inlineStr">
        <is>
          <t>N</t>
        </is>
      </c>
      <c r="G101" s="33" t="inlineStr">
        <is>
          <t>N</t>
        </is>
      </c>
    </row>
    <row r="102" ht="24" customHeight="1">
      <c r="A102" s="34" t="inlineStr">
        <is>
          <t>Unfinished basement</t>
        </is>
      </c>
      <c r="B102" s="33" t="n">
        <v>15.12</v>
      </c>
      <c r="C102" s="33" t="n">
        <v>14.01</v>
      </c>
      <c r="D102" s="33" t="n">
        <v>1.11</v>
      </c>
      <c r="E102" s="33" t="inlineStr">
        <is>
          <t>N</t>
        </is>
      </c>
      <c r="F102" s="33" t="inlineStr">
        <is>
          <t>N</t>
        </is>
      </c>
      <c r="G102" s="33" t="inlineStr">
        <is>
          <t>N</t>
        </is>
      </c>
    </row>
    <row r="103">
      <c r="A103" s="37" t="inlineStr">
        <is>
          <t>No</t>
        </is>
      </c>
      <c r="B103" s="33" t="n">
        <v>47.68</v>
      </c>
      <c r="C103" s="33" t="n">
        <v>43.21</v>
      </c>
      <c r="D103" s="33" t="n">
        <v>4.47</v>
      </c>
      <c r="E103" s="33" t="inlineStr">
        <is>
          <t>N</t>
        </is>
      </c>
      <c r="F103" s="33" t="inlineStr">
        <is>
          <t>N</t>
        </is>
      </c>
      <c r="G103" s="33" t="inlineStr">
        <is>
          <t>N</t>
        </is>
      </c>
    </row>
    <row r="104" ht="26.65" customHeight="1">
      <c r="A104" s="37" t="inlineStr">
        <is>
          <t>Not asked (apartments and mobile homes)</t>
        </is>
      </c>
      <c r="B104" s="33" t="n">
        <v>39.01</v>
      </c>
      <c r="C104" s="33" t="inlineStr">
        <is>
          <t>N</t>
        </is>
      </c>
      <c r="D104" s="33" t="inlineStr">
        <is>
          <t>N</t>
        </is>
      </c>
      <c r="E104" s="33" t="n">
        <v>9.34</v>
      </c>
      <c r="F104" s="33" t="n">
        <v>22.84</v>
      </c>
      <c r="G104" s="33" t="n">
        <v>6.83</v>
      </c>
    </row>
    <row r="105">
      <c r="A105" s="30" t="inlineStr">
        <is>
          <t>Attic</t>
        </is>
      </c>
      <c r="B105" s="31" t="inlineStr"/>
      <c r="C105" s="31" t="inlineStr"/>
      <c r="D105" s="31" t="inlineStr"/>
      <c r="E105" s="31" t="inlineStr"/>
      <c r="F105" s="31" t="inlineStr"/>
      <c r="G105" s="31" t="inlineStr"/>
    </row>
    <row r="106">
      <c r="A106" s="32" t="inlineStr">
        <is>
          <t>Yes</t>
        </is>
      </c>
      <c r="B106" s="33" t="n">
        <v>56.5</v>
      </c>
      <c r="C106" s="33" t="n">
        <v>52.99</v>
      </c>
      <c r="D106" s="33" t="n">
        <v>3.52</v>
      </c>
      <c r="E106" s="33" t="inlineStr">
        <is>
          <t>N</t>
        </is>
      </c>
      <c r="F106" s="33" t="inlineStr">
        <is>
          <t>N</t>
        </is>
      </c>
      <c r="G106" s="33" t="inlineStr">
        <is>
          <t>N</t>
        </is>
      </c>
    </row>
    <row r="107">
      <c r="A107" s="34" t="inlineStr">
        <is>
          <t>Finished attic</t>
        </is>
      </c>
      <c r="B107" s="33" t="n">
        <v>7.68</v>
      </c>
      <c r="C107" s="33" t="n">
        <v>7.1</v>
      </c>
      <c r="D107" s="33" t="n">
        <v>0.57</v>
      </c>
      <c r="E107" s="33" t="inlineStr">
        <is>
          <t>N</t>
        </is>
      </c>
      <c r="F107" s="33" t="inlineStr">
        <is>
          <t>N</t>
        </is>
      </c>
      <c r="G107" s="33" t="inlineStr">
        <is>
          <t>N</t>
        </is>
      </c>
    </row>
    <row r="108" ht="24" customHeight="1">
      <c r="A108" s="34" t="inlineStr">
        <is>
          <t>Unfinished attic</t>
        </is>
      </c>
      <c r="B108" s="33" t="n">
        <v>48.83</v>
      </c>
      <c r="C108" s="33" t="n">
        <v>45.88</v>
      </c>
      <c r="D108" s="33" t="n">
        <v>2.94</v>
      </c>
      <c r="E108" s="33" t="inlineStr">
        <is>
          <t>N</t>
        </is>
      </c>
      <c r="F108" s="33" t="inlineStr">
        <is>
          <t>N</t>
        </is>
      </c>
      <c r="G108" s="33" t="inlineStr">
        <is>
          <t>N</t>
        </is>
      </c>
    </row>
    <row r="109">
      <c r="A109" s="32" t="inlineStr">
        <is>
          <t>No</t>
        </is>
      </c>
      <c r="B109" s="33" t="n">
        <v>28.01</v>
      </c>
      <c r="C109" s="33" t="n">
        <v>24.08</v>
      </c>
      <c r="D109" s="33" t="n">
        <v>3.94</v>
      </c>
      <c r="E109" s="33" t="inlineStr">
        <is>
          <t>N</t>
        </is>
      </c>
      <c r="F109" s="33" t="inlineStr">
        <is>
          <t>N</t>
        </is>
      </c>
      <c r="G109" s="33" t="inlineStr">
        <is>
          <t>N</t>
        </is>
      </c>
    </row>
    <row r="110" ht="26.65" customHeight="1">
      <c r="A110" s="37" t="inlineStr">
        <is>
          <t>Not asked (apartments and mobile homes)</t>
        </is>
      </c>
      <c r="B110" s="33" t="n">
        <v>39.01</v>
      </c>
      <c r="C110" s="33" t="inlineStr">
        <is>
          <t>N</t>
        </is>
      </c>
      <c r="D110" s="33" t="inlineStr">
        <is>
          <t>N</t>
        </is>
      </c>
      <c r="E110" s="33" t="n">
        <v>9.34</v>
      </c>
      <c r="F110" s="33" t="n">
        <v>22.84</v>
      </c>
      <c r="G110" s="33" t="n">
        <v>6.83</v>
      </c>
    </row>
    <row r="111">
      <c r="A111" s="30" t="inlineStr">
        <is>
          <t>Attached garage</t>
        </is>
      </c>
      <c r="B111" s="31" t="inlineStr"/>
      <c r="C111" s="31" t="inlineStr"/>
      <c r="D111" s="31" t="inlineStr"/>
      <c r="E111" s="31" t="inlineStr"/>
      <c r="F111" s="31" t="inlineStr"/>
      <c r="G111" s="31" t="inlineStr"/>
    </row>
    <row r="112">
      <c r="A112" s="32" t="inlineStr">
        <is>
          <t>Yes</t>
        </is>
      </c>
      <c r="B112" s="33" t="n">
        <v>51.79</v>
      </c>
      <c r="C112" s="33" t="n">
        <v>48.19</v>
      </c>
      <c r="D112" s="33" t="n">
        <v>3.6</v>
      </c>
      <c r="E112" s="33" t="inlineStr">
        <is>
          <t>N</t>
        </is>
      </c>
      <c r="F112" s="33" t="inlineStr">
        <is>
          <t>N</t>
        </is>
      </c>
      <c r="G112" s="33" t="inlineStr">
        <is>
          <t>N</t>
        </is>
      </c>
    </row>
    <row r="113">
      <c r="A113" s="34" t="inlineStr">
        <is>
          <t>1-car garage</t>
        </is>
      </c>
      <c r="B113" s="33" t="n">
        <v>11.27</v>
      </c>
      <c r="C113" s="33" t="n">
        <v>9.640000000000001</v>
      </c>
      <c r="D113" s="33" t="n">
        <v>1.64</v>
      </c>
      <c r="E113" s="33" t="inlineStr">
        <is>
          <t>N</t>
        </is>
      </c>
      <c r="F113" s="33" t="inlineStr">
        <is>
          <t>N</t>
        </is>
      </c>
      <c r="G113" s="33" t="inlineStr">
        <is>
          <t>N</t>
        </is>
      </c>
    </row>
    <row r="114" ht="24" customHeight="1">
      <c r="A114" s="34" t="inlineStr">
        <is>
          <t>2-car garage</t>
        </is>
      </c>
      <c r="B114" s="33" t="n">
        <v>34.18</v>
      </c>
      <c r="C114" s="33" t="n">
        <v>32.27</v>
      </c>
      <c r="D114" s="33" t="n">
        <v>1.91</v>
      </c>
      <c r="E114" s="33" t="inlineStr">
        <is>
          <t>N</t>
        </is>
      </c>
      <c r="F114" s="33" t="inlineStr">
        <is>
          <t>N</t>
        </is>
      </c>
      <c r="G114" s="33" t="inlineStr">
        <is>
          <t>N</t>
        </is>
      </c>
    </row>
    <row r="115" ht="24" customHeight="1">
      <c r="A115" s="34" t="inlineStr">
        <is>
          <t>3 or more car garage</t>
        </is>
      </c>
      <c r="B115" s="33" t="n">
        <v>6.34</v>
      </c>
      <c r="C115" s="33" t="n">
        <v>6.28</v>
      </c>
      <c r="D115" s="33" t="n">
        <v>0.06</v>
      </c>
      <c r="E115" s="33" t="inlineStr">
        <is>
          <t>N</t>
        </is>
      </c>
      <c r="F115" s="33" t="inlineStr">
        <is>
          <t>N</t>
        </is>
      </c>
      <c r="G115" s="33" t="inlineStr">
        <is>
          <t>N</t>
        </is>
      </c>
    </row>
    <row r="116">
      <c r="A116" s="32" t="inlineStr">
        <is>
          <t>No</t>
        </is>
      </c>
      <c r="B116" s="33" t="n">
        <v>32.72</v>
      </c>
      <c r="C116" s="33" t="n">
        <v>28.88</v>
      </c>
      <c r="D116" s="33" t="n">
        <v>3.85</v>
      </c>
      <c r="E116" s="33" t="inlineStr">
        <is>
          <t>N</t>
        </is>
      </c>
      <c r="F116" s="33" t="inlineStr">
        <is>
          <t>N</t>
        </is>
      </c>
      <c r="G116" s="33" t="inlineStr">
        <is>
          <t>N</t>
        </is>
      </c>
    </row>
    <row r="117" ht="26.65" customHeight="1">
      <c r="A117" s="37" t="inlineStr">
        <is>
          <t>Not asked (apartments and mobile homes)</t>
        </is>
      </c>
      <c r="B117" s="33" t="n">
        <v>39.01</v>
      </c>
      <c r="C117" s="33" t="inlineStr">
        <is>
          <t>N</t>
        </is>
      </c>
      <c r="D117" s="33" t="inlineStr">
        <is>
          <t>N</t>
        </is>
      </c>
      <c r="E117" s="33" t="n">
        <v>9.34</v>
      </c>
      <c r="F117" s="33" t="n">
        <v>22.84</v>
      </c>
      <c r="G117" s="33" t="n">
        <v>6.83</v>
      </c>
    </row>
    <row r="118">
      <c r="A118" s="30" t="inlineStr">
        <is>
          <t>Adequacy of insulation</t>
        </is>
      </c>
      <c r="B118" s="31" t="inlineStr"/>
      <c r="C118" s="31" t="inlineStr"/>
      <c r="D118" s="31" t="inlineStr"/>
      <c r="E118" s="31" t="inlineStr"/>
      <c r="F118" s="31" t="inlineStr"/>
      <c r="G118" s="31" t="inlineStr"/>
    </row>
    <row r="119">
      <c r="A119" s="32" t="inlineStr">
        <is>
          <t>Well insulated</t>
        </is>
      </c>
      <c r="B119" s="33" t="n">
        <v>34.34</v>
      </c>
      <c r="C119" s="33" t="n">
        <v>24.33</v>
      </c>
      <c r="D119" s="33" t="n">
        <v>1.8</v>
      </c>
      <c r="E119" s="33" t="n">
        <v>1.59</v>
      </c>
      <c r="F119" s="33" t="n">
        <v>5.22</v>
      </c>
      <c r="G119" s="33" t="n">
        <v>1.39</v>
      </c>
    </row>
    <row r="120">
      <c r="A120" s="32" t="inlineStr">
        <is>
          <t>Adequately insulated</t>
        </is>
      </c>
      <c r="B120" s="33" t="n">
        <v>64.27</v>
      </c>
      <c r="C120" s="33" t="n">
        <v>40.37</v>
      </c>
      <c r="D120" s="33" t="n">
        <v>3.98</v>
      </c>
      <c r="E120" s="33" t="n">
        <v>4.41</v>
      </c>
      <c r="F120" s="33" t="n">
        <v>12.22</v>
      </c>
      <c r="G120" s="33" t="n">
        <v>3.28</v>
      </c>
    </row>
    <row r="121" ht="24" customHeight="1">
      <c r="A121" s="32" t="inlineStr">
        <is>
          <t>Poorly insulated</t>
        </is>
      </c>
      <c r="B121" s="33" t="n">
        <v>21.29</v>
      </c>
      <c r="C121" s="33" t="n">
        <v>11.11</v>
      </c>
      <c r="D121" s="33" t="n">
        <v>1.45</v>
      </c>
      <c r="E121" s="33" t="n">
        <v>2.7</v>
      </c>
      <c r="F121" s="33" t="n">
        <v>4.15</v>
      </c>
      <c r="G121" s="33" t="n">
        <v>1.87</v>
      </c>
    </row>
    <row r="122">
      <c r="A122" s="32" t="inlineStr">
        <is>
          <t>Not insulated</t>
        </is>
      </c>
      <c r="B122" s="33" t="n">
        <v>3.63</v>
      </c>
      <c r="C122" s="33" t="n">
        <v>1.25</v>
      </c>
      <c r="D122" s="33" t="n">
        <v>0.21</v>
      </c>
      <c r="E122" s="33" t="n">
        <v>0.64</v>
      </c>
      <c r="F122" s="33" t="n">
        <v>1.24</v>
      </c>
      <c r="G122" s="33" t="n">
        <v>0.29</v>
      </c>
    </row>
    <row r="123">
      <c r="A123" s="30" t="inlineStr">
        <is>
          <t>Home is too drafty during the winter</t>
        </is>
      </c>
      <c r="B123" s="31" t="inlineStr"/>
      <c r="C123" s="31" t="inlineStr"/>
      <c r="D123" s="31" t="inlineStr"/>
      <c r="E123" s="31" t="inlineStr"/>
      <c r="F123" s="31" t="inlineStr"/>
      <c r="G123" s="31" t="inlineStr"/>
    </row>
    <row r="124">
      <c r="A124" s="32" t="inlineStr">
        <is>
          <t>Never</t>
        </is>
      </c>
      <c r="B124" s="33" t="n">
        <v>55.37</v>
      </c>
      <c r="C124" s="33" t="n">
        <v>37.02</v>
      </c>
      <c r="D124" s="33" t="n">
        <v>2.91</v>
      </c>
      <c r="E124" s="33" t="n">
        <v>2.9</v>
      </c>
      <c r="F124" s="33" t="n">
        <v>10.13</v>
      </c>
      <c r="G124" s="33" t="n">
        <v>2.41</v>
      </c>
    </row>
    <row r="125">
      <c r="A125" s="32" t="inlineStr">
        <is>
          <t>Some of the time</t>
        </is>
      </c>
      <c r="B125" s="33" t="n">
        <v>52.63</v>
      </c>
      <c r="C125" s="33" t="n">
        <v>32.53</v>
      </c>
      <c r="D125" s="33" t="n">
        <v>3.35</v>
      </c>
      <c r="E125" s="33" t="n">
        <v>4.22</v>
      </c>
      <c r="F125" s="33" t="n">
        <v>9.35</v>
      </c>
      <c r="G125" s="33" t="n">
        <v>3.19</v>
      </c>
    </row>
    <row r="126" ht="24" customFormat="1" customHeight="1" s="36">
      <c r="A126" s="32" t="inlineStr">
        <is>
          <t>Most of the time</t>
        </is>
      </c>
      <c r="B126" s="33" t="n">
        <v>10.39</v>
      </c>
      <c r="C126" s="33" t="n">
        <v>5.3</v>
      </c>
      <c r="D126" s="33" t="n">
        <v>0.76</v>
      </c>
      <c r="E126" s="33" t="n">
        <v>1.43</v>
      </c>
      <c r="F126" s="33" t="n">
        <v>2.15</v>
      </c>
      <c r="G126" s="33" t="n">
        <v>0.75</v>
      </c>
    </row>
    <row r="127" customFormat="1" s="36">
      <c r="A127" s="32" t="inlineStr">
        <is>
          <t>All of the time</t>
        </is>
      </c>
      <c r="B127" s="33" t="n">
        <v>5.14</v>
      </c>
      <c r="C127" s="33" t="n">
        <v>2.22</v>
      </c>
      <c r="D127" s="33" t="n">
        <v>0.44</v>
      </c>
      <c r="E127" s="33" t="n">
        <v>0.8</v>
      </c>
      <c r="F127" s="33" t="n">
        <v>1.2</v>
      </c>
      <c r="G127" s="33" t="n">
        <v>0.48</v>
      </c>
    </row>
    <row r="128" customFormat="1" s="36">
      <c r="A128" s="30" t="inlineStr">
        <is>
          <t>Any ceilings higher than 8 feet</t>
        </is>
      </c>
      <c r="B128" s="31" t="inlineStr"/>
      <c r="C128" s="31" t="inlineStr"/>
      <c r="D128" s="31" t="inlineStr"/>
      <c r="E128" s="31" t="inlineStr"/>
      <c r="F128" s="31" t="inlineStr"/>
      <c r="G128" s="31" t="inlineStr"/>
    </row>
    <row r="129">
      <c r="A129" s="32" t="inlineStr">
        <is>
          <t>Yes</t>
        </is>
      </c>
      <c r="B129" s="33" t="n">
        <v>55.18</v>
      </c>
      <c r="C129" s="33" t="n">
        <v>39.22</v>
      </c>
      <c r="D129" s="33" t="n">
        <v>3.72</v>
      </c>
      <c r="E129" s="33" t="n">
        <v>3.49</v>
      </c>
      <c r="F129" s="33" t="n">
        <v>8.75</v>
      </c>
      <c r="G129" s="33" t="inlineStr">
        <is>
          <t>N</t>
        </is>
      </c>
    </row>
    <row r="130">
      <c r="A130" s="32" t="inlineStr">
        <is>
          <t>No</t>
        </is>
      </c>
      <c r="B130" s="33" t="n">
        <v>61.52</v>
      </c>
      <c r="C130" s="33" t="n">
        <v>37.85</v>
      </c>
      <c r="D130" s="33" t="n">
        <v>3.73</v>
      </c>
      <c r="E130" s="33" t="n">
        <v>5.85</v>
      </c>
      <c r="F130" s="33" t="n">
        <v>14.08</v>
      </c>
      <c r="G130" s="33" t="inlineStr">
        <is>
          <t>N</t>
        </is>
      </c>
    </row>
    <row r="131" ht="24" customHeight="1">
      <c r="A131" s="37" t="inlineStr">
        <is>
          <t>Not asked (mobile homes)</t>
        </is>
      </c>
      <c r="B131" s="33" t="n">
        <v>6.83</v>
      </c>
      <c r="C131" s="33" t="inlineStr">
        <is>
          <t>N</t>
        </is>
      </c>
      <c r="D131" s="33" t="inlineStr">
        <is>
          <t>N</t>
        </is>
      </c>
      <c r="E131" s="33" t="inlineStr">
        <is>
          <t>N</t>
        </is>
      </c>
      <c r="F131" s="33" t="inlineStr">
        <is>
          <t>N</t>
        </is>
      </c>
      <c r="G131" s="33" t="n">
        <v>6.83</v>
      </c>
    </row>
    <row r="132">
      <c r="A132" s="30" t="inlineStr">
        <is>
          <t>Number of windows</t>
        </is>
      </c>
      <c r="B132" s="31" t="inlineStr"/>
      <c r="C132" s="31" t="inlineStr"/>
      <c r="D132" s="31" t="inlineStr"/>
      <c r="E132" s="31" t="inlineStr"/>
      <c r="F132" s="31" t="inlineStr"/>
      <c r="G132" s="31" t="inlineStr"/>
    </row>
    <row r="133">
      <c r="A133" s="32" t="inlineStr">
        <is>
          <t>1 to 2</t>
        </is>
      </c>
      <c r="B133" s="33" t="n">
        <v>6.95</v>
      </c>
      <c r="C133" s="33" t="n">
        <v>0.1</v>
      </c>
      <c r="D133" s="33" t="n">
        <v>0.22</v>
      </c>
      <c r="E133" s="33" t="n">
        <v>0.77</v>
      </c>
      <c r="F133" s="33" t="n">
        <v>5.85</v>
      </c>
      <c r="G133" s="33" t="inlineStr">
        <is>
          <t>Q</t>
        </is>
      </c>
    </row>
    <row r="134">
      <c r="A134" s="32" t="inlineStr">
        <is>
          <t>3 to 5</t>
        </is>
      </c>
      <c r="B134" s="33" t="n">
        <v>18.15</v>
      </c>
      <c r="C134" s="33" t="n">
        <v>1.72</v>
      </c>
      <c r="D134" s="33" t="n">
        <v>1.79</v>
      </c>
      <c r="E134" s="33" t="n">
        <v>3.81</v>
      </c>
      <c r="F134" s="33" t="n">
        <v>10.54</v>
      </c>
      <c r="G134" s="33" t="n">
        <v>0.29</v>
      </c>
    </row>
    <row r="135" ht="24" customHeight="1">
      <c r="A135" s="32" t="inlineStr">
        <is>
          <t>6 to 9</t>
        </is>
      </c>
      <c r="B135" s="33" t="n">
        <v>29.35</v>
      </c>
      <c r="C135" s="33" t="n">
        <v>16.16</v>
      </c>
      <c r="D135" s="33" t="n">
        <v>2.6</v>
      </c>
      <c r="E135" s="33" t="n">
        <v>2.86</v>
      </c>
      <c r="F135" s="33" t="n">
        <v>5.09</v>
      </c>
      <c r="G135" s="33" t="n">
        <v>2.66</v>
      </c>
    </row>
    <row r="136">
      <c r="A136" s="38" t="inlineStr">
        <is>
          <t>10 to 15</t>
        </is>
      </c>
      <c r="B136" s="33" t="n">
        <v>38.42</v>
      </c>
      <c r="C136" s="33" t="n">
        <v>30.76</v>
      </c>
      <c r="D136" s="33" t="n">
        <v>1.97</v>
      </c>
      <c r="E136" s="33" t="n">
        <v>1.42</v>
      </c>
      <c r="F136" s="33" t="n">
        <v>1.04</v>
      </c>
      <c r="G136" s="33" t="n">
        <v>3.23</v>
      </c>
    </row>
    <row r="137">
      <c r="A137" s="38" t="inlineStr">
        <is>
          <t>16 to 19</t>
        </is>
      </c>
      <c r="B137" s="33" t="n">
        <v>13.61</v>
      </c>
      <c r="C137" s="33" t="n">
        <v>12.28</v>
      </c>
      <c r="D137" s="33" t="n">
        <v>0.43</v>
      </c>
      <c r="E137" s="33" t="n">
        <v>0.25</v>
      </c>
      <c r="F137" s="33" t="n">
        <v>0.14</v>
      </c>
      <c r="G137" s="33" t="n">
        <v>0.51</v>
      </c>
    </row>
    <row r="138">
      <c r="A138" s="38" t="inlineStr">
        <is>
          <t>20 to 29</t>
        </is>
      </c>
      <c r="B138" s="33" t="n">
        <v>12.43</v>
      </c>
      <c r="C138" s="33" t="n">
        <v>11.7</v>
      </c>
      <c r="D138" s="33" t="n">
        <v>0.35</v>
      </c>
      <c r="E138" s="33" t="n">
        <v>0.14</v>
      </c>
      <c r="F138" s="33" t="inlineStr">
        <is>
          <t>Q</t>
        </is>
      </c>
      <c r="G138" s="33" t="n">
        <v>0.13</v>
      </c>
    </row>
    <row r="139">
      <c r="A139" s="38" t="inlineStr">
        <is>
          <t>30 or more</t>
        </is>
      </c>
      <c r="B139" s="33" t="n">
        <v>4.62</v>
      </c>
      <c r="C139" s="33" t="n">
        <v>4.35</v>
      </c>
      <c r="D139" s="33" t="n">
        <v>0.1</v>
      </c>
      <c r="E139" s="33" t="n">
        <v>0.09</v>
      </c>
      <c r="F139" s="33" t="inlineStr">
        <is>
          <t>Q</t>
        </is>
      </c>
      <c r="G139" s="33" t="inlineStr">
        <is>
          <t>Q</t>
        </is>
      </c>
    </row>
    <row r="140">
      <c r="A140" s="30" t="inlineStr">
        <is>
          <t>Type of glass in windows</t>
        </is>
      </c>
      <c r="B140" s="31" t="inlineStr"/>
      <c r="C140" s="31" t="inlineStr"/>
      <c r="D140" s="31" t="inlineStr"/>
      <c r="E140" s="31" t="inlineStr"/>
      <c r="F140" s="31" t="inlineStr"/>
      <c r="G140" s="31" t="inlineStr"/>
    </row>
    <row r="141">
      <c r="A141" s="32" t="inlineStr">
        <is>
          <t>Single-pane glass</t>
        </is>
      </c>
      <c r="B141" s="33" t="n">
        <v>43.51</v>
      </c>
      <c r="C141" s="33" t="n">
        <v>21.45</v>
      </c>
      <c r="D141" s="33" t="n">
        <v>2.81</v>
      </c>
      <c r="E141" s="33" t="n">
        <v>4.94</v>
      </c>
      <c r="F141" s="33" t="n">
        <v>10.84</v>
      </c>
      <c r="G141" s="33" t="n">
        <v>3.46</v>
      </c>
    </row>
    <row r="142">
      <c r="A142" s="32" t="inlineStr">
        <is>
          <t>Double-pane glass</t>
        </is>
      </c>
      <c r="B142" s="33" t="n">
        <v>77.95</v>
      </c>
      <c r="C142" s="33" t="n">
        <v>54.09</v>
      </c>
      <c r="D142" s="33" t="n">
        <v>4.52</v>
      </c>
      <c r="E142" s="33" t="n">
        <v>4.33</v>
      </c>
      <c r="F142" s="33" t="n">
        <v>11.72</v>
      </c>
      <c r="G142" s="33" t="n">
        <v>3.29</v>
      </c>
    </row>
    <row r="143" ht="24" customHeight="1">
      <c r="A143" s="32" t="inlineStr">
        <is>
          <t>Triple-pane glass</t>
        </is>
      </c>
      <c r="B143" s="33" t="n">
        <v>2.07</v>
      </c>
      <c r="C143" s="33" t="n">
        <v>1.53</v>
      </c>
      <c r="D143" s="33" t="n">
        <v>0.12</v>
      </c>
      <c r="E143" s="33" t="n">
        <v>0.07000000000000001</v>
      </c>
      <c r="F143" s="33" t="n">
        <v>0.27</v>
      </c>
      <c r="G143" s="33" t="inlineStr">
        <is>
          <t>Q</t>
        </is>
      </c>
    </row>
    <row r="144">
      <c r="A144" s="30" t="inlineStr">
        <is>
          <t>Window frame material</t>
        </is>
      </c>
      <c r="B144" s="31" t="inlineStr"/>
      <c r="C144" s="31" t="inlineStr"/>
      <c r="D144" s="31" t="inlineStr"/>
      <c r="E144" s="31" t="inlineStr"/>
      <c r="F144" s="31" t="inlineStr"/>
      <c r="G144" s="31" t="inlineStr"/>
    </row>
    <row r="145">
      <c r="A145" s="32" t="inlineStr">
        <is>
          <t>Metal (aluminum)</t>
        </is>
      </c>
      <c r="B145" s="33" t="n">
        <v>47.4</v>
      </c>
      <c r="C145" s="33" t="n">
        <v>23.3</v>
      </c>
      <c r="D145" s="33" t="n">
        <v>2.89</v>
      </c>
      <c r="E145" s="33" t="n">
        <v>4.23</v>
      </c>
      <c r="F145" s="33" t="n">
        <v>13.02</v>
      </c>
      <c r="G145" s="33" t="n">
        <v>3.94</v>
      </c>
    </row>
    <row r="146">
      <c r="A146" s="32" t="inlineStr">
        <is>
          <t>Wood</t>
        </is>
      </c>
      <c r="B146" s="33" t="n">
        <v>40.31</v>
      </c>
      <c r="C146" s="33" t="n">
        <v>27.87</v>
      </c>
      <c r="D146" s="33" t="n">
        <v>2.26</v>
      </c>
      <c r="E146" s="33" t="n">
        <v>3.23</v>
      </c>
      <c r="F146" s="33" t="n">
        <v>5.52</v>
      </c>
      <c r="G146" s="33" t="n">
        <v>1.43</v>
      </c>
    </row>
    <row r="147" ht="24" customHeight="1">
      <c r="A147" s="32" t="inlineStr">
        <is>
          <t>Vinyl</t>
        </is>
      </c>
      <c r="B147" s="33" t="n">
        <v>31.85</v>
      </c>
      <c r="C147" s="33" t="n">
        <v>23.39</v>
      </c>
      <c r="D147" s="33" t="n">
        <v>1.95</v>
      </c>
      <c r="E147" s="33" t="n">
        <v>1.54</v>
      </c>
      <c r="F147" s="33" t="n">
        <v>3.66</v>
      </c>
      <c r="G147" s="33" t="n">
        <v>1.3</v>
      </c>
    </row>
    <row r="148">
      <c r="A148" s="38" t="inlineStr">
        <is>
          <t>Fiberglass</t>
        </is>
      </c>
      <c r="B148" s="33" t="n">
        <v>1.72</v>
      </c>
      <c r="C148" s="33" t="n">
        <v>0.9399999999999999</v>
      </c>
      <c r="D148" s="33" t="n">
        <v>0.15</v>
      </c>
      <c r="E148" s="33" t="n">
        <v>0.19</v>
      </c>
      <c r="F148" s="33" t="n">
        <v>0.34</v>
      </c>
      <c r="G148" s="33" t="n">
        <v>0.1</v>
      </c>
    </row>
    <row r="149">
      <c r="A149" s="38" t="inlineStr">
        <is>
          <t>Composite</t>
        </is>
      </c>
      <c r="B149" s="33" t="n">
        <v>2.25</v>
      </c>
      <c r="C149" s="33" t="n">
        <v>1.56</v>
      </c>
      <c r="D149" s="33" t="n">
        <v>0.19</v>
      </c>
      <c r="E149" s="33" t="n">
        <v>0.15</v>
      </c>
      <c r="F149" s="33" t="n">
        <v>0.3</v>
      </c>
      <c r="G149" s="33" t="inlineStr">
        <is>
          <t>Q</t>
        </is>
      </c>
    </row>
    <row r="150">
      <c r="A150" s="30" t="inlineStr">
        <is>
          <t>Number of sliding glass or French doors</t>
        </is>
      </c>
      <c r="B150" s="31" t="inlineStr"/>
      <c r="C150" s="31" t="inlineStr"/>
      <c r="D150" s="31" t="inlineStr"/>
      <c r="E150" s="31" t="inlineStr"/>
      <c r="F150" s="31" t="inlineStr"/>
      <c r="G150" s="31" t="inlineStr"/>
    </row>
    <row r="151">
      <c r="A151" s="37" t="n">
        <v>0</v>
      </c>
      <c r="B151" s="33" t="n">
        <v>60.38</v>
      </c>
      <c r="C151" s="33" t="n">
        <v>33.83</v>
      </c>
      <c r="D151" s="33" t="n">
        <v>3.24</v>
      </c>
      <c r="E151" s="33" t="n">
        <v>6.19</v>
      </c>
      <c r="F151" s="33" t="n">
        <v>12.3</v>
      </c>
      <c r="G151" s="33" t="n">
        <v>4.8</v>
      </c>
    </row>
    <row r="152">
      <c r="A152" s="37" t="n">
        <v>1</v>
      </c>
      <c r="B152" s="33" t="n">
        <v>39.81</v>
      </c>
      <c r="C152" s="33" t="n">
        <v>25.64</v>
      </c>
      <c r="D152" s="33" t="n">
        <v>2.57</v>
      </c>
      <c r="E152" s="33" t="n">
        <v>2.27</v>
      </c>
      <c r="F152" s="33" t="n">
        <v>8.06</v>
      </c>
      <c r="G152" s="33" t="n">
        <v>1.27</v>
      </c>
    </row>
    <row r="153" ht="24" customHeight="1">
      <c r="A153" s="37" t="n">
        <v>2</v>
      </c>
      <c r="B153" s="33" t="n">
        <v>15.19</v>
      </c>
      <c r="C153" s="33" t="n">
        <v>10.85</v>
      </c>
      <c r="D153" s="33" t="n">
        <v>1.26</v>
      </c>
      <c r="E153" s="33" t="n">
        <v>0.67</v>
      </c>
      <c r="F153" s="33" t="n">
        <v>1.84</v>
      </c>
      <c r="G153" s="33" t="n">
        <v>0.5600000000000001</v>
      </c>
    </row>
    <row r="154">
      <c r="A154" s="37" t="inlineStr">
        <is>
          <t>3 or more</t>
        </is>
      </c>
      <c r="B154" s="33" t="n">
        <v>8.16</v>
      </c>
      <c r="C154" s="33" t="n">
        <v>6.75</v>
      </c>
      <c r="D154" s="33" t="n">
        <v>0.38</v>
      </c>
      <c r="E154" s="33" t="n">
        <v>0.2</v>
      </c>
      <c r="F154" s="33" t="n">
        <v>0.64</v>
      </c>
      <c r="G154" s="33" t="n">
        <v>0.19</v>
      </c>
    </row>
    <row r="155">
      <c r="A155" s="30" t="inlineStr">
        <is>
          <t>Electricity meter is a smart meter</t>
        </is>
      </c>
      <c r="B155" s="31" t="inlineStr"/>
      <c r="C155" s="31" t="inlineStr"/>
      <c r="D155" s="31" t="inlineStr"/>
      <c r="E155" s="31" t="inlineStr"/>
      <c r="F155" s="31" t="inlineStr"/>
      <c r="G155" s="31" t="inlineStr"/>
    </row>
    <row r="156">
      <c r="A156" s="32" t="inlineStr">
        <is>
          <t>Yes</t>
        </is>
      </c>
      <c r="B156" s="33" t="n">
        <v>34.3</v>
      </c>
      <c r="C156" s="33" t="n">
        <v>25.3</v>
      </c>
      <c r="D156" s="33" t="n">
        <v>1.83</v>
      </c>
      <c r="E156" s="33" t="n">
        <v>1.97</v>
      </c>
      <c r="F156" s="33" t="n">
        <v>3.38</v>
      </c>
      <c r="G156" s="33" t="n">
        <v>1.82</v>
      </c>
    </row>
    <row r="157">
      <c r="A157" s="32" t="inlineStr">
        <is>
          <t>No</t>
        </is>
      </c>
      <c r="B157" s="33" t="n">
        <v>36.81</v>
      </c>
      <c r="C157" s="33" t="n">
        <v>22.8</v>
      </c>
      <c r="D157" s="33" t="n">
        <v>2.2</v>
      </c>
      <c r="E157" s="33" t="n">
        <v>2.74</v>
      </c>
      <c r="F157" s="33" t="n">
        <v>6.71</v>
      </c>
      <c r="G157" s="33" t="n">
        <v>2.35</v>
      </c>
    </row>
    <row r="158" ht="24" customHeight="1">
      <c r="A158" s="32" t="inlineStr">
        <is>
          <t>Don't know</t>
        </is>
      </c>
      <c r="B158" s="33" t="n">
        <v>52.42</v>
      </c>
      <c r="C158" s="33" t="n">
        <v>28.96</v>
      </c>
      <c r="D158" s="33" t="n">
        <v>3.43</v>
      </c>
      <c r="E158" s="33" t="n">
        <v>4.62</v>
      </c>
      <c r="F158" s="33" t="n">
        <v>12.74</v>
      </c>
      <c r="G158" s="33" t="n">
        <v>2.66</v>
      </c>
    </row>
    <row r="159" ht="26.65" customHeight="1">
      <c r="A159" s="30" t="inlineStr">
        <is>
          <t>Park a car within 20 feet of electrical outlet</t>
        </is>
      </c>
      <c r="B159" s="31" t="inlineStr"/>
      <c r="C159" s="31" t="inlineStr"/>
      <c r="D159" s="31" t="inlineStr"/>
      <c r="E159" s="31" t="inlineStr"/>
      <c r="F159" s="31" t="inlineStr"/>
      <c r="G159" s="31" t="inlineStr"/>
    </row>
    <row r="160">
      <c r="A160" s="32" t="inlineStr">
        <is>
          <t>Yes</t>
        </is>
      </c>
      <c r="B160" s="33" t="n">
        <v>67.83</v>
      </c>
      <c r="C160" s="33" t="n">
        <v>58.09</v>
      </c>
      <c r="D160" s="33" t="n">
        <v>4.22</v>
      </c>
      <c r="E160" s="33" t="n">
        <v>2.11</v>
      </c>
      <c r="F160" s="33" t="inlineStr">
        <is>
          <t>N</t>
        </is>
      </c>
      <c r="G160" s="33" t="n">
        <v>3.41</v>
      </c>
    </row>
    <row r="161">
      <c r="A161" s="32" t="inlineStr">
        <is>
          <t>No</t>
        </is>
      </c>
      <c r="B161" s="33" t="n">
        <v>32.87</v>
      </c>
      <c r="C161" s="33" t="n">
        <v>18.97</v>
      </c>
      <c r="D161" s="33" t="n">
        <v>3.24</v>
      </c>
      <c r="E161" s="33" t="n">
        <v>7.23</v>
      </c>
      <c r="F161" s="33" t="inlineStr">
        <is>
          <t>N</t>
        </is>
      </c>
      <c r="G161" s="33" t="n">
        <v>3.42</v>
      </c>
    </row>
    <row r="162" ht="24" customHeight="1">
      <c r="A162" s="32" t="inlineStr">
        <is>
          <t>Not asked (apartments in buildings with 5 or more units)</t>
        </is>
      </c>
      <c r="B162" s="33" t="n">
        <v>22.84</v>
      </c>
      <c r="C162" s="33" t="inlineStr">
        <is>
          <t>N</t>
        </is>
      </c>
      <c r="D162" s="33" t="inlineStr">
        <is>
          <t>N</t>
        </is>
      </c>
      <c r="E162" s="33" t="inlineStr">
        <is>
          <t>N</t>
        </is>
      </c>
      <c r="F162" s="33" t="n">
        <v>22.84</v>
      </c>
      <c r="G162" s="33" t="inlineStr">
        <is>
          <t>N</t>
        </is>
      </c>
    </row>
    <row r="163" ht="26.65" customHeight="1">
      <c r="A163" s="30" t="inlineStr">
        <is>
          <t>Own or lease an all-electric or plug-in hybrid electric vehicle</t>
        </is>
      </c>
      <c r="B163" s="39" t="inlineStr"/>
      <c r="C163" s="39" t="inlineStr"/>
      <c r="D163" s="39" t="inlineStr"/>
      <c r="E163" s="39" t="inlineStr"/>
      <c r="F163" s="39" t="inlineStr"/>
      <c r="G163" s="39" t="inlineStr"/>
    </row>
    <row r="164">
      <c r="A164" s="32" t="inlineStr">
        <is>
          <t>Yes</t>
        </is>
      </c>
      <c r="B164" s="39" t="n">
        <v>1.82</v>
      </c>
      <c r="C164" s="39" t="n">
        <v>1.46</v>
      </c>
      <c r="D164" s="39" t="n">
        <v>0.11</v>
      </c>
      <c r="E164" s="39" t="inlineStr">
        <is>
          <t>Q</t>
        </is>
      </c>
      <c r="F164" s="39" t="n">
        <v>0.17</v>
      </c>
      <c r="G164" s="39" t="inlineStr">
        <is>
          <t>Q</t>
        </is>
      </c>
    </row>
    <row r="165">
      <c r="A165" s="34" t="inlineStr">
        <is>
          <t>Charge at home</t>
        </is>
      </c>
      <c r="B165" s="39" t="n">
        <v>1.39</v>
      </c>
      <c r="C165" s="39" t="n">
        <v>1.22</v>
      </c>
      <c r="D165" s="39" t="n">
        <v>0.09</v>
      </c>
      <c r="E165" s="39" t="inlineStr">
        <is>
          <t>Q</t>
        </is>
      </c>
      <c r="F165" s="39" t="inlineStr">
        <is>
          <t>Q</t>
        </is>
      </c>
      <c r="G165" s="39" t="inlineStr">
        <is>
          <t>Q</t>
        </is>
      </c>
    </row>
    <row r="166" ht="33.75" customHeight="1">
      <c r="A166" s="32" t="inlineStr">
        <is>
          <t>No</t>
        </is>
      </c>
      <c r="B166" s="39" t="n">
        <v>121.71</v>
      </c>
      <c r="C166" s="39" t="n">
        <v>75.61</v>
      </c>
      <c r="D166" s="39" t="n">
        <v>7.34</v>
      </c>
      <c r="E166" s="39" t="n">
        <v>9.289999999999999</v>
      </c>
      <c r="F166" s="39" t="n">
        <v>22.67</v>
      </c>
      <c r="G166" s="39" t="n">
        <v>6.79</v>
      </c>
    </row>
    <row r="167">
      <c r="A167" s="30" t="inlineStr">
        <is>
          <t>Natural gas available in neighborhood</t>
        </is>
      </c>
      <c r="B167" s="30" t="inlineStr"/>
      <c r="C167" s="30" t="inlineStr"/>
      <c r="D167" s="30" t="inlineStr"/>
      <c r="E167" s="30" t="inlineStr"/>
      <c r="F167" s="30" t="inlineStr"/>
      <c r="G167" s="30" t="inlineStr"/>
    </row>
    <row r="168">
      <c r="A168" s="32" t="inlineStr">
        <is>
          <t>Yes</t>
        </is>
      </c>
      <c r="B168" s="33" t="n">
        <v>84.52</v>
      </c>
      <c r="C168" s="33" t="n">
        <v>54.13</v>
      </c>
      <c r="D168" s="33" t="n">
        <v>5.63</v>
      </c>
      <c r="E168" s="33" t="n">
        <v>6.95</v>
      </c>
      <c r="F168" s="33" t="n">
        <v>14.94</v>
      </c>
      <c r="G168" s="33" t="n">
        <v>2.87</v>
      </c>
    </row>
    <row r="169">
      <c r="A169" s="34" t="inlineStr">
        <is>
          <t>Uses natural gas</t>
        </is>
      </c>
      <c r="B169" s="33" t="n">
        <v>69.48999999999999</v>
      </c>
      <c r="C169" s="33" t="n">
        <v>47.14</v>
      </c>
      <c r="D169" s="33" t="n">
        <v>4.9</v>
      </c>
      <c r="E169" s="33" t="n">
        <v>5.27</v>
      </c>
      <c r="F169" s="33" t="n">
        <v>10.3</v>
      </c>
      <c r="G169" s="33" t="n">
        <v>1.89</v>
      </c>
    </row>
    <row r="170" ht="33.75" customHeight="1">
      <c r="A170" s="34" t="inlineStr">
        <is>
          <t>Does not use natural gas</t>
        </is>
      </c>
      <c r="B170" s="33" t="n">
        <v>15.03</v>
      </c>
      <c r="C170" s="33" t="n">
        <v>6.99</v>
      </c>
      <c r="D170" s="33" t="n">
        <v>0.74</v>
      </c>
      <c r="E170" s="33" t="n">
        <v>1.68</v>
      </c>
      <c r="F170" s="33" t="n">
        <v>4.64</v>
      </c>
      <c r="G170" s="33" t="n">
        <v>0.98</v>
      </c>
    </row>
    <row r="171">
      <c r="A171" s="32" t="inlineStr">
        <is>
          <t>No</t>
        </is>
      </c>
      <c r="B171" s="33" t="n">
        <v>39.01</v>
      </c>
      <c r="C171" s="33" t="n">
        <v>22.93</v>
      </c>
      <c r="D171" s="33" t="n">
        <v>1.82</v>
      </c>
      <c r="E171" s="33" t="n">
        <v>2.4</v>
      </c>
      <c r="F171" s="33" t="n">
        <v>7.9</v>
      </c>
      <c r="G171" s="33" t="n">
        <v>3.96</v>
      </c>
    </row>
    <row r="172">
      <c r="A172" s="30" t="inlineStr">
        <is>
          <t>Distributed solar generation</t>
        </is>
      </c>
      <c r="B172" s="31" t="inlineStr"/>
      <c r="C172" s="31" t="inlineStr"/>
      <c r="D172" s="31" t="inlineStr"/>
      <c r="E172" s="31" t="inlineStr"/>
      <c r="F172" s="31" t="inlineStr"/>
      <c r="G172" s="31" t="inlineStr"/>
    </row>
    <row r="173">
      <c r="A173" s="32" t="inlineStr">
        <is>
          <t>Yes</t>
        </is>
      </c>
      <c r="B173" s="33" t="n">
        <v>3.37</v>
      </c>
      <c r="C173" s="33" t="n">
        <v>3.16</v>
      </c>
      <c r="D173" s="33" t="n">
        <v>0.11</v>
      </c>
      <c r="E173" s="33" t="inlineStr">
        <is>
          <t>N</t>
        </is>
      </c>
      <c r="F173" s="33" t="inlineStr">
        <is>
          <t>N</t>
        </is>
      </c>
      <c r="G173" s="33" t="n">
        <v>0.1</v>
      </c>
    </row>
    <row r="174">
      <c r="A174" s="32" t="inlineStr">
        <is>
          <t>No</t>
        </is>
      </c>
      <c r="B174" s="33" t="n">
        <v>87.98</v>
      </c>
      <c r="C174" s="33" t="n">
        <v>73.91</v>
      </c>
      <c r="D174" s="33" t="n">
        <v>7.34</v>
      </c>
      <c r="E174" s="33" t="inlineStr">
        <is>
          <t>N</t>
        </is>
      </c>
      <c r="F174" s="33" t="inlineStr">
        <is>
          <t>N</t>
        </is>
      </c>
      <c r="G174" s="33" t="n">
        <v>6.73</v>
      </c>
    </row>
    <row r="175" ht="24" customHeight="1">
      <c r="A175" s="32" t="inlineStr">
        <is>
          <t>Not asked (apartments)</t>
        </is>
      </c>
      <c r="B175" s="33" t="n">
        <v>32.18</v>
      </c>
      <c r="C175" s="33" t="inlineStr">
        <is>
          <t>N</t>
        </is>
      </c>
      <c r="D175" s="33" t="inlineStr">
        <is>
          <t>N</t>
        </is>
      </c>
      <c r="E175" s="33" t="n">
        <v>9.34</v>
      </c>
      <c r="F175" s="33" t="n">
        <v>22.84</v>
      </c>
      <c r="G175" s="33" t="inlineStr">
        <is>
          <t>N</t>
        </is>
      </c>
    </row>
    <row r="176" ht="26.65" customHeight="1">
      <c r="A176" s="30" t="inlineStr">
        <is>
          <t>Experienced power outage lasting more than 24 hours</t>
        </is>
      </c>
      <c r="B176" s="31" t="inlineStr"/>
      <c r="C176" s="31" t="inlineStr"/>
      <c r="D176" s="31" t="inlineStr"/>
      <c r="E176" s="31" t="inlineStr"/>
      <c r="F176" s="31" t="inlineStr"/>
      <c r="G176" s="31" t="inlineStr"/>
    </row>
    <row r="177">
      <c r="A177" s="32" t="inlineStr">
        <is>
          <t>Yes</t>
        </is>
      </c>
      <c r="B177" s="33" t="n">
        <v>22.72</v>
      </c>
      <c r="C177" s="33" t="n">
        <v>15.11</v>
      </c>
      <c r="D177" s="33" t="n">
        <v>1.05</v>
      </c>
      <c r="E177" s="33" t="n">
        <v>1.42</v>
      </c>
      <c r="F177" s="33" t="n">
        <v>3.64</v>
      </c>
      <c r="G177" s="33" t="n">
        <v>1.5</v>
      </c>
    </row>
    <row r="178">
      <c r="A178" s="34" t="inlineStr">
        <is>
          <t>Natural disaster or weather      event</t>
        </is>
      </c>
      <c r="B178" s="33" t="n">
        <v>19</v>
      </c>
      <c r="C178" s="33" t="n">
        <v>13.08</v>
      </c>
      <c r="D178" s="33" t="n">
        <v>0.83</v>
      </c>
      <c r="E178" s="33" t="n">
        <v>1.08</v>
      </c>
      <c r="F178" s="33" t="n">
        <v>2.68</v>
      </c>
      <c r="G178" s="33" t="n">
        <v>1.32</v>
      </c>
    </row>
    <row r="179" ht="24" customHeight="1">
      <c r="A179" s="34" t="inlineStr">
        <is>
          <t>Unable to pay electric bill</t>
        </is>
      </c>
      <c r="B179" s="33" t="n">
        <v>0.25</v>
      </c>
      <c r="C179" s="33" t="n">
        <v>0.15</v>
      </c>
      <c r="D179" s="33" t="inlineStr">
        <is>
          <t>Q</t>
        </is>
      </c>
      <c r="E179" s="33" t="inlineStr">
        <is>
          <t>Q</t>
        </is>
      </c>
      <c r="F179" s="33" t="inlineStr">
        <is>
          <t>Q</t>
        </is>
      </c>
      <c r="G179" s="33" t="inlineStr">
        <is>
          <t>Q</t>
        </is>
      </c>
    </row>
    <row r="180" ht="26.65" customHeight="1">
      <c r="A180" s="34" t="inlineStr">
        <is>
          <t>Utility had planned or unplanned blackout</t>
        </is>
      </c>
      <c r="B180" s="33" t="n">
        <v>3.08</v>
      </c>
      <c r="C180" s="33" t="n">
        <v>1.71</v>
      </c>
      <c r="D180" s="33" t="n">
        <v>0.18</v>
      </c>
      <c r="E180" s="33" t="n">
        <v>0.29</v>
      </c>
      <c r="F180" s="33" t="n">
        <v>0.76</v>
      </c>
      <c r="G180" s="33" t="n">
        <v>0.14</v>
      </c>
    </row>
    <row r="181">
      <c r="A181" s="34" t="inlineStr">
        <is>
          <t>Other</t>
        </is>
      </c>
      <c r="B181" s="33" t="n">
        <v>0.39</v>
      </c>
      <c r="C181" s="33" t="n">
        <v>0.16</v>
      </c>
      <c r="D181" s="33" t="inlineStr">
        <is>
          <t>Q</t>
        </is>
      </c>
      <c r="E181" s="33" t="inlineStr">
        <is>
          <t>Q</t>
        </is>
      </c>
      <c r="F181" s="33" t="n">
        <v>0.18</v>
      </c>
      <c r="G181" s="33" t="inlineStr">
        <is>
          <t>Q</t>
        </is>
      </c>
    </row>
    <row r="182">
      <c r="A182" s="32" t="inlineStr">
        <is>
          <t>No</t>
        </is>
      </c>
      <c r="B182" s="33" t="n">
        <v>100.81</v>
      </c>
      <c r="C182" s="33" t="n">
        <v>61.96</v>
      </c>
      <c r="D182" s="33" t="n">
        <v>6.4</v>
      </c>
      <c r="E182" s="33" t="n">
        <v>7.92</v>
      </c>
      <c r="F182" s="33" t="n">
        <v>19.19</v>
      </c>
      <c r="G182" s="33" t="n">
        <v>5.33</v>
      </c>
    </row>
    <row r="183" ht="24" customHeight="1">
      <c r="A183" s="30" t="inlineStr">
        <is>
          <t>Back-up generator in home</t>
        </is>
      </c>
      <c r="B183" s="31" t="inlineStr"/>
      <c r="C183" s="31" t="inlineStr"/>
      <c r="D183" s="31" t="inlineStr"/>
      <c r="E183" s="31" t="inlineStr"/>
      <c r="F183" s="31" t="inlineStr"/>
      <c r="G183" s="31" t="inlineStr"/>
    </row>
    <row r="184">
      <c r="A184" s="32" t="inlineStr">
        <is>
          <t>Yes</t>
        </is>
      </c>
      <c r="B184" s="33" t="n">
        <v>17.66</v>
      </c>
      <c r="C184" s="33" t="n">
        <v>13.93</v>
      </c>
      <c r="D184" s="33" t="n">
        <v>0.34</v>
      </c>
      <c r="E184" s="33" t="n">
        <v>0.22</v>
      </c>
      <c r="F184" s="33" t="n">
        <v>2.15</v>
      </c>
      <c r="G184" s="33" t="n">
        <v>1.02</v>
      </c>
    </row>
    <row r="185">
      <c r="A185" s="32" t="inlineStr">
        <is>
          <t>No</t>
        </is>
      </c>
      <c r="B185" s="33" t="n">
        <v>105.87</v>
      </c>
      <c r="C185" s="33" t="n">
        <v>63.14</v>
      </c>
      <c r="D185" s="33" t="n">
        <v>7.11</v>
      </c>
      <c r="E185" s="33" t="n">
        <v>9.119999999999999</v>
      </c>
      <c r="F185" s="33" t="n">
        <v>20.69</v>
      </c>
      <c r="G185" s="33" t="n">
        <v>5.82</v>
      </c>
    </row>
    <row r="186">
      <c r="A186" s="30" t="inlineStr">
        <is>
          <t>Swimming pool</t>
        </is>
      </c>
      <c r="B186" s="31" t="inlineStr"/>
      <c r="C186" s="31" t="inlineStr"/>
      <c r="D186" s="31" t="inlineStr"/>
      <c r="E186" s="31" t="inlineStr"/>
      <c r="F186" s="31" t="inlineStr"/>
      <c r="G186" s="31" t="inlineStr"/>
    </row>
    <row r="187" ht="24" customHeight="1">
      <c r="A187" s="37" t="inlineStr">
        <is>
          <t>Yes</t>
        </is>
      </c>
      <c r="B187" s="33" t="n">
        <v>8.52</v>
      </c>
      <c r="C187" s="33" t="n">
        <v>8.09</v>
      </c>
      <c r="D187" s="33" t="n">
        <v>0.2</v>
      </c>
      <c r="E187" s="33" t="inlineStr">
        <is>
          <t>N</t>
        </is>
      </c>
      <c r="F187" s="33" t="inlineStr">
        <is>
          <t>N</t>
        </is>
      </c>
      <c r="G187" s="33" t="n">
        <v>0.23</v>
      </c>
    </row>
    <row r="188">
      <c r="A188" s="32" t="inlineStr">
        <is>
          <t>No</t>
        </is>
      </c>
      <c r="B188" s="33" t="n">
        <v>82.83</v>
      </c>
      <c r="C188" s="33" t="n">
        <v>68.98</v>
      </c>
      <c r="D188" s="33" t="n">
        <v>7.25</v>
      </c>
      <c r="E188" s="33" t="inlineStr">
        <is>
          <t>N</t>
        </is>
      </c>
      <c r="F188" s="33" t="inlineStr">
        <is>
          <t>N</t>
        </is>
      </c>
      <c r="G188" s="33" t="n">
        <v>6.6</v>
      </c>
    </row>
    <row r="189">
      <c r="A189" s="32" t="inlineStr">
        <is>
          <t>Not asked (apartments)</t>
        </is>
      </c>
      <c r="B189" s="33" t="n">
        <v>32.18</v>
      </c>
      <c r="C189" s="33" t="inlineStr">
        <is>
          <t>N</t>
        </is>
      </c>
      <c r="D189" s="33" t="inlineStr">
        <is>
          <t>N</t>
        </is>
      </c>
      <c r="E189" s="33" t="n">
        <v>9.34</v>
      </c>
      <c r="F189" s="33" t="n">
        <v>22.84</v>
      </c>
      <c r="G189" s="33" t="inlineStr">
        <is>
          <t>N</t>
        </is>
      </c>
    </row>
    <row r="190">
      <c r="A190" s="40" t="inlineStr">
        <is>
          <t>Months swimming pool is used</t>
        </is>
      </c>
      <c r="B190" s="31" t="inlineStr"/>
      <c r="C190" s="31" t="inlineStr"/>
      <c r="D190" s="31" t="inlineStr"/>
      <c r="E190" s="31" t="inlineStr"/>
      <c r="F190" s="31" t="inlineStr"/>
      <c r="G190" s="31" t="inlineStr"/>
    </row>
    <row r="191">
      <c r="A191" s="34" t="inlineStr">
        <is>
          <t>0 to 3</t>
        </is>
      </c>
      <c r="B191" s="33" t="n">
        <v>1.9</v>
      </c>
      <c r="C191" s="33" t="n">
        <v>1.77</v>
      </c>
      <c r="D191" s="33" t="n">
        <v>0.06</v>
      </c>
      <c r="E191" s="33" t="inlineStr">
        <is>
          <t>N</t>
        </is>
      </c>
      <c r="F191" s="33" t="inlineStr">
        <is>
          <t>N</t>
        </is>
      </c>
      <c r="G191" s="33" t="inlineStr">
        <is>
          <t>Q</t>
        </is>
      </c>
    </row>
    <row r="192">
      <c r="A192" s="34" t="inlineStr">
        <is>
          <t>4 to 7</t>
        </is>
      </c>
      <c r="B192" s="33" t="n">
        <v>5.08</v>
      </c>
      <c r="C192" s="33" t="n">
        <v>4.84</v>
      </c>
      <c r="D192" s="33" t="n">
        <v>0.1</v>
      </c>
      <c r="E192" s="33" t="inlineStr">
        <is>
          <t>N</t>
        </is>
      </c>
      <c r="F192" s="33" t="inlineStr">
        <is>
          <t>N</t>
        </is>
      </c>
      <c r="G192" s="33" t="n">
        <v>0.14</v>
      </c>
    </row>
    <row r="193" ht="24" customHeight="1">
      <c r="A193" s="34" t="inlineStr">
        <is>
          <t>8 to 12</t>
        </is>
      </c>
      <c r="B193" s="33" t="n">
        <v>1.54</v>
      </c>
      <c r="C193" s="33" t="n">
        <v>1.48</v>
      </c>
      <c r="D193" s="33" t="inlineStr">
        <is>
          <t>Q</t>
        </is>
      </c>
      <c r="E193" s="33" t="inlineStr">
        <is>
          <t>N</t>
        </is>
      </c>
      <c r="F193" s="33" t="inlineStr">
        <is>
          <t>N</t>
        </is>
      </c>
      <c r="G193" s="33" t="inlineStr">
        <is>
          <t>Q</t>
        </is>
      </c>
    </row>
    <row r="194">
      <c r="A194" s="34" t="inlineStr">
        <is>
          <t>No swimming pool</t>
        </is>
      </c>
      <c r="B194" s="33" t="n">
        <v>82.83</v>
      </c>
      <c r="C194" s="33" t="n">
        <v>68.98</v>
      </c>
      <c r="D194" s="33" t="n">
        <v>7.25</v>
      </c>
      <c r="E194" s="33" t="inlineStr">
        <is>
          <t>N</t>
        </is>
      </c>
      <c r="F194" s="33" t="inlineStr">
        <is>
          <t>N</t>
        </is>
      </c>
      <c r="G194" s="33" t="n">
        <v>6.6</v>
      </c>
    </row>
    <row r="195">
      <c r="A195" s="34" t="inlineStr">
        <is>
          <t>Not asked (apartments)</t>
        </is>
      </c>
      <c r="B195" s="33" t="n">
        <v>32.18</v>
      </c>
      <c r="C195" s="33" t="inlineStr">
        <is>
          <t>N</t>
        </is>
      </c>
      <c r="D195" s="33" t="inlineStr">
        <is>
          <t>N</t>
        </is>
      </c>
      <c r="E195" s="33" t="n">
        <v>9.34</v>
      </c>
      <c r="F195" s="33" t="n">
        <v>22.84</v>
      </c>
      <c r="G195" s="33" t="inlineStr">
        <is>
          <t>N</t>
        </is>
      </c>
    </row>
    <row r="196">
      <c r="A196" s="40" t="inlineStr">
        <is>
          <t>Heated swimming pool and fuel</t>
        </is>
      </c>
      <c r="B196" s="31" t="inlineStr"/>
      <c r="C196" s="31" t="inlineStr"/>
      <c r="D196" s="31" t="inlineStr"/>
      <c r="E196" s="31" t="inlineStr"/>
      <c r="F196" s="31" t="inlineStr"/>
      <c r="G196" s="31" t="inlineStr"/>
    </row>
    <row r="197">
      <c r="A197" s="34" t="inlineStr">
        <is>
          <t>Heated swimming pool</t>
        </is>
      </c>
      <c r="B197" s="33" t="n">
        <v>2.89</v>
      </c>
      <c r="C197" s="33" t="n">
        <v>2.82</v>
      </c>
      <c r="D197" s="33" t="n">
        <v>0.05</v>
      </c>
      <c r="E197" s="33" t="inlineStr">
        <is>
          <t>N</t>
        </is>
      </c>
      <c r="F197" s="33" t="inlineStr">
        <is>
          <t>N</t>
        </is>
      </c>
      <c r="G197" s="33" t="inlineStr">
        <is>
          <t>Q</t>
        </is>
      </c>
    </row>
    <row r="198">
      <c r="A198" s="35" t="inlineStr">
        <is>
          <t>Electricity</t>
        </is>
      </c>
      <c r="B198" s="33" t="n">
        <v>0.85</v>
      </c>
      <c r="C198" s="33" t="n">
        <v>0.82</v>
      </c>
      <c r="D198" s="33" t="inlineStr">
        <is>
          <t>Q</t>
        </is>
      </c>
      <c r="E198" s="33" t="inlineStr">
        <is>
          <t>N</t>
        </is>
      </c>
      <c r="F198" s="33" t="inlineStr">
        <is>
          <t>N</t>
        </is>
      </c>
      <c r="G198" s="33" t="inlineStr">
        <is>
          <t>Q</t>
        </is>
      </c>
    </row>
    <row r="199">
      <c r="A199" s="35" t="inlineStr">
        <is>
          <t>Natural gas</t>
        </is>
      </c>
      <c r="B199" s="33" t="n">
        <v>1.32</v>
      </c>
      <c r="C199" s="33" t="n">
        <v>1.3</v>
      </c>
      <c r="D199" s="33" t="inlineStr">
        <is>
          <t>Q</t>
        </is>
      </c>
      <c r="E199" s="33" t="inlineStr">
        <is>
          <t>N</t>
        </is>
      </c>
      <c r="F199" s="33" t="inlineStr">
        <is>
          <t>N</t>
        </is>
      </c>
      <c r="G199" s="33" t="inlineStr">
        <is>
          <t>Q</t>
        </is>
      </c>
    </row>
    <row r="200">
      <c r="A200" s="35" t="inlineStr">
        <is>
          <t>Propane</t>
        </is>
      </c>
      <c r="B200" s="33" t="n">
        <v>0.29</v>
      </c>
      <c r="C200" s="33" t="n">
        <v>0.28</v>
      </c>
      <c r="D200" s="33" t="inlineStr">
        <is>
          <t>Q</t>
        </is>
      </c>
      <c r="E200" s="33" t="inlineStr">
        <is>
          <t>N</t>
        </is>
      </c>
      <c r="F200" s="33" t="inlineStr">
        <is>
          <t>N</t>
        </is>
      </c>
      <c r="G200" s="33" t="inlineStr">
        <is>
          <t>N</t>
        </is>
      </c>
    </row>
    <row r="201">
      <c r="A201" s="35" t="inlineStr">
        <is>
          <t>Some other fuel</t>
        </is>
      </c>
      <c r="B201" s="33" t="n">
        <v>0.42</v>
      </c>
      <c r="C201" s="33" t="n">
        <v>0.42</v>
      </c>
      <c r="D201" s="33" t="inlineStr">
        <is>
          <t>Q</t>
        </is>
      </c>
      <c r="E201" s="33" t="inlineStr">
        <is>
          <t>N</t>
        </is>
      </c>
      <c r="F201" s="33" t="inlineStr">
        <is>
          <t>N</t>
        </is>
      </c>
      <c r="G201" s="33" t="inlineStr">
        <is>
          <t>N</t>
        </is>
      </c>
    </row>
    <row r="202">
      <c r="A202" s="34" t="inlineStr">
        <is>
          <t>Unheated swimming pool</t>
        </is>
      </c>
      <c r="B202" s="33" t="n">
        <v>5.63</v>
      </c>
      <c r="C202" s="33" t="n">
        <v>5.27</v>
      </c>
      <c r="D202" s="33" t="n">
        <v>0.15</v>
      </c>
      <c r="E202" s="33" t="inlineStr">
        <is>
          <t>N</t>
        </is>
      </c>
      <c r="F202" s="33" t="inlineStr">
        <is>
          <t>N</t>
        </is>
      </c>
      <c r="G202" s="33" t="n">
        <v>0.22</v>
      </c>
    </row>
    <row r="203" ht="24" customHeight="1">
      <c r="A203" s="34" t="inlineStr">
        <is>
          <t>No swimming pool</t>
        </is>
      </c>
      <c r="B203" s="33" t="n">
        <v>82.83</v>
      </c>
      <c r="C203" s="33" t="n">
        <v>68.98</v>
      </c>
      <c r="D203" s="33" t="n">
        <v>7.25</v>
      </c>
      <c r="E203" s="33" t="inlineStr">
        <is>
          <t>N</t>
        </is>
      </c>
      <c r="F203" s="33" t="inlineStr">
        <is>
          <t>N</t>
        </is>
      </c>
      <c r="G203" s="33" t="n">
        <v>6.6</v>
      </c>
    </row>
    <row r="204" customFormat="1" s="36">
      <c r="A204" s="34" t="inlineStr">
        <is>
          <t>Not asked (apartments)</t>
        </is>
      </c>
      <c r="B204" s="33" t="n">
        <v>32.18</v>
      </c>
      <c r="C204" s="33" t="inlineStr">
        <is>
          <t>N</t>
        </is>
      </c>
      <c r="D204" s="33" t="inlineStr">
        <is>
          <t>N</t>
        </is>
      </c>
      <c r="E204" s="33" t="n">
        <v>9.34</v>
      </c>
      <c r="F204" s="33" t="n">
        <v>22.84</v>
      </c>
      <c r="G204" s="33" t="inlineStr">
        <is>
          <t>N</t>
        </is>
      </c>
    </row>
    <row r="205" customFormat="1" s="36">
      <c r="A205" s="30" t="inlineStr">
        <is>
          <t>Hot tub</t>
        </is>
      </c>
      <c r="B205" s="31" t="inlineStr"/>
      <c r="C205" s="31" t="inlineStr"/>
      <c r="D205" s="31" t="inlineStr"/>
      <c r="E205" s="31" t="inlineStr"/>
      <c r="F205" s="31" t="inlineStr"/>
      <c r="G205" s="31" t="inlineStr"/>
    </row>
    <row r="206" ht="24" customFormat="1" customHeight="1" s="36">
      <c r="A206" s="32" t="inlineStr">
        <is>
          <t>Yes</t>
        </is>
      </c>
      <c r="B206" s="33" t="n">
        <v>8.84</v>
      </c>
      <c r="C206" s="33" t="n">
        <v>7.33</v>
      </c>
      <c r="D206" s="33" t="n">
        <v>0.28</v>
      </c>
      <c r="E206" s="33" t="n">
        <v>0.22</v>
      </c>
      <c r="F206" s="33" t="n">
        <v>0.73</v>
      </c>
      <c r="G206" s="33" t="n">
        <v>0.29</v>
      </c>
    </row>
    <row r="207" customFormat="1" s="36">
      <c r="A207" s="32" t="inlineStr">
        <is>
          <t>No</t>
        </is>
      </c>
      <c r="B207" s="33" t="n">
        <v>114.69</v>
      </c>
      <c r="C207" s="33" t="n">
        <v>69.73999999999999</v>
      </c>
      <c r="D207" s="33" t="n">
        <v>7.18</v>
      </c>
      <c r="E207" s="33" t="n">
        <v>9.119999999999999</v>
      </c>
      <c r="F207" s="33" t="n">
        <v>22.11</v>
      </c>
      <c r="G207" s="33" t="n">
        <v>6.55</v>
      </c>
    </row>
    <row r="208" customFormat="1" s="36">
      <c r="A208" s="40" t="inlineStr">
        <is>
          <t>Months hot tub is used</t>
        </is>
      </c>
      <c r="B208" s="31" t="inlineStr"/>
      <c r="C208" s="31" t="inlineStr"/>
      <c r="D208" s="31" t="inlineStr"/>
      <c r="E208" s="31" t="inlineStr"/>
      <c r="F208" s="31" t="inlineStr"/>
      <c r="G208" s="31" t="inlineStr"/>
    </row>
    <row r="209" customFormat="1" s="36">
      <c r="A209" s="34" t="inlineStr">
        <is>
          <t>0 to 3</t>
        </is>
      </c>
      <c r="B209" s="33" t="n">
        <v>4.22</v>
      </c>
      <c r="C209" s="33" t="n">
        <v>3.3</v>
      </c>
      <c r="D209" s="33" t="n">
        <v>0.17</v>
      </c>
      <c r="E209" s="33" t="n">
        <v>0.14</v>
      </c>
      <c r="F209" s="33" t="n">
        <v>0.44</v>
      </c>
      <c r="G209" s="33" t="n">
        <v>0.16</v>
      </c>
    </row>
    <row r="210" customFormat="1" s="36">
      <c r="A210" s="34" t="inlineStr">
        <is>
          <t>4 to 7</t>
        </is>
      </c>
      <c r="B210" s="33" t="n">
        <v>1.27</v>
      </c>
      <c r="C210" s="33" t="n">
        <v>1.13</v>
      </c>
      <c r="D210" s="33" t="inlineStr">
        <is>
          <t>Q</t>
        </is>
      </c>
      <c r="E210" s="33" t="inlineStr">
        <is>
          <t>Q</t>
        </is>
      </c>
      <c r="F210" s="33" t="inlineStr">
        <is>
          <t>Q</t>
        </is>
      </c>
      <c r="G210" s="33" t="inlineStr">
        <is>
          <t>Q</t>
        </is>
      </c>
    </row>
    <row r="211" ht="24" customHeight="1">
      <c r="A211" s="34" t="inlineStr">
        <is>
          <t>8 to 12</t>
        </is>
      </c>
      <c r="B211" s="33" t="n">
        <v>3.35</v>
      </c>
      <c r="C211" s="33" t="n">
        <v>2.9</v>
      </c>
      <c r="D211" s="33" t="n">
        <v>0.08</v>
      </c>
      <c r="E211" s="33" t="inlineStr">
        <is>
          <t>Q</t>
        </is>
      </c>
      <c r="F211" s="33" t="n">
        <v>0.21</v>
      </c>
      <c r="G211" s="33" t="n">
        <v>0.1</v>
      </c>
    </row>
    <row r="212">
      <c r="A212" s="34" t="inlineStr">
        <is>
          <t>No hot tub</t>
        </is>
      </c>
      <c r="B212" s="33" t="n">
        <v>114.69</v>
      </c>
      <c r="C212" s="33" t="n">
        <v>69.73999999999999</v>
      </c>
      <c r="D212" s="33" t="n">
        <v>7.18</v>
      </c>
      <c r="E212" s="33" t="n">
        <v>9.119999999999999</v>
      </c>
      <c r="F212" s="33" t="n">
        <v>22.11</v>
      </c>
      <c r="G212" s="33" t="n">
        <v>6.55</v>
      </c>
    </row>
    <row r="213">
      <c r="A213" s="40" t="inlineStr">
        <is>
          <t>Hot tub heating fuel</t>
        </is>
      </c>
      <c r="B213" s="31" t="inlineStr"/>
      <c r="C213" s="31" t="inlineStr"/>
      <c r="D213" s="31" t="inlineStr"/>
      <c r="E213" s="31" t="inlineStr"/>
      <c r="F213" s="31" t="inlineStr"/>
      <c r="G213" s="31" t="inlineStr"/>
    </row>
    <row r="214">
      <c r="A214" s="34" t="inlineStr">
        <is>
          <t>Electricity</t>
        </is>
      </c>
      <c r="B214" s="33" t="n">
        <v>4.41</v>
      </c>
      <c r="C214" s="33" t="n">
        <v>3.8</v>
      </c>
      <c r="D214" s="33" t="n">
        <v>0.1</v>
      </c>
      <c r="E214" s="33" t="inlineStr">
        <is>
          <t>Q</t>
        </is>
      </c>
      <c r="F214" s="33" t="n">
        <v>0.24</v>
      </c>
      <c r="G214" s="33" t="n">
        <v>0.17</v>
      </c>
    </row>
    <row r="215">
      <c r="A215" s="34" t="inlineStr">
        <is>
          <t>Natural gas</t>
        </is>
      </c>
      <c r="B215" s="33" t="n">
        <v>1.47</v>
      </c>
      <c r="C215" s="33" t="n">
        <v>1.23</v>
      </c>
      <c r="D215" s="33" t="n">
        <v>0.04</v>
      </c>
      <c r="E215" s="33" t="inlineStr">
        <is>
          <t>Q</t>
        </is>
      </c>
      <c r="F215" s="33" t="n">
        <v>0.11</v>
      </c>
      <c r="G215" s="33" t="inlineStr">
        <is>
          <t>Q</t>
        </is>
      </c>
    </row>
    <row r="216">
      <c r="A216" s="34" t="inlineStr">
        <is>
          <t>Some other fuel</t>
        </is>
      </c>
      <c r="B216" s="33" t="n">
        <v>0.36</v>
      </c>
      <c r="C216" s="33" t="n">
        <v>0.32</v>
      </c>
      <c r="D216" s="33" t="inlineStr">
        <is>
          <t>Q</t>
        </is>
      </c>
      <c r="E216" s="33" t="inlineStr">
        <is>
          <t>N</t>
        </is>
      </c>
      <c r="F216" s="33" t="inlineStr">
        <is>
          <t>Q</t>
        </is>
      </c>
      <c r="G216" s="33" t="inlineStr">
        <is>
          <t>N</t>
        </is>
      </c>
    </row>
    <row r="217" ht="43.5" customHeight="1">
      <c r="A217" s="34" t="inlineStr">
        <is>
          <t>Hot tub used 0 months</t>
        </is>
      </c>
      <c r="B217" s="33" t="n">
        <v>2.6</v>
      </c>
      <c r="C217" s="33" t="n">
        <v>1.98</v>
      </c>
      <c r="D217" s="33" t="n">
        <v>0.12</v>
      </c>
      <c r="E217" s="33" t="inlineStr">
        <is>
          <t>Q</t>
        </is>
      </c>
      <c r="F217" s="33" t="n">
        <v>0.34</v>
      </c>
      <c r="G217" s="33" t="n">
        <v>0.09</v>
      </c>
    </row>
    <row r="218">
      <c r="A218" s="34" t="inlineStr">
        <is>
          <t>No hot tub</t>
        </is>
      </c>
      <c r="B218" s="33" t="n">
        <v>114.69</v>
      </c>
      <c r="C218" s="33" t="n">
        <v>69.73999999999999</v>
      </c>
      <c r="D218" s="33" t="n">
        <v>7.18</v>
      </c>
      <c r="E218" s="33" t="n">
        <v>9.119999999999999</v>
      </c>
      <c r="F218" s="33" t="n">
        <v>22.11</v>
      </c>
      <c r="G218" s="33" t="n">
        <v>6.55</v>
      </c>
    </row>
    <row r="219">
      <c r="A219" s="32" t="n"/>
      <c r="B219" s="72" t="n"/>
      <c r="C219" s="72" t="n"/>
      <c r="D219" s="72" t="n"/>
      <c r="E219" s="72" t="n"/>
      <c r="F219" s="72" t="n"/>
      <c r="G219" s="72" t="n"/>
    </row>
    <row r="220" ht="14.65" customFormat="1" customHeight="1" s="36" thickBot="1">
      <c r="A220" s="34" t="n"/>
      <c r="B220" s="33" t="n"/>
      <c r="C220" s="33" t="n"/>
      <c r="D220" s="33" t="n"/>
      <c r="E220" s="33" t="n"/>
      <c r="F220" s="33" t="n"/>
      <c r="G220" s="33" t="n"/>
    </row>
    <row r="221" ht="206.25" customFormat="1" customHeight="1" s="36">
      <c r="A221" s="68" t="inlineStr">
        <is>
          <t>Source: U.S. Energy Information Administration, Office of Energy Demand and Integrated Statistics, Form EIA-457A of the 2020 Residential Energy Consumption Survey
Notes:  Because of rounding, data may not sum to totals.  See RECS Terminology for definition of terms used in these tables.
a Total U.S. includes all primary occupied housing units in the 50 states and the District of Columbia. Vacant housing units, seasonal units, second homes, military houses, and group quarters are excluded.
b 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c 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is>
      </c>
      <c r="B221" s="73" t="n"/>
      <c r="C221" s="73" t="n"/>
      <c r="D221" s="73" t="n"/>
      <c r="E221" s="73" t="n"/>
      <c r="F221" s="73" t="n"/>
      <c r="G221" s="73" t="n"/>
    </row>
    <row r="222" customFormat="1" s="36"/>
  </sheetData>
  <mergeCells count="5">
    <mergeCell ref="B3:G3"/>
    <mergeCell ref="C4:G4"/>
    <mergeCell ref="A2:G2"/>
    <mergeCell ref="A221:G221"/>
    <mergeCell ref="A1:B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G125"/>
  <sheetViews>
    <sheetView workbookViewId="0">
      <selection activeCell="A1" sqref="A1"/>
    </sheetView>
  </sheetViews>
  <sheetFormatPr baseColWidth="8" defaultRowHeight="14.25"/>
  <cols>
    <col width="27.73046875" customWidth="1" min="1" max="1"/>
    <col width="67.53125" customWidth="1" min="2" max="2"/>
    <col width="65" bestFit="1" customWidth="1" min="3" max="3"/>
  </cols>
  <sheetData>
    <row r="1">
      <c r="A1" t="inlineStr">
        <is>
          <t>Table 4.  Residential Sector Key Indicators and Consumption</t>
        </is>
      </c>
    </row>
    <row r="2">
      <c r="A2" t="inlineStr">
        <is>
          <t>https://www.eia.gov/outlooks/aeo/data/browser/#/?id=4-AEO2025&amp;cases=highZTC&amp;sourcekey=0</t>
        </is>
      </c>
    </row>
    <row r="3">
      <c r="A3" t="inlineStr">
        <is>
          <t>Tue Dec 02 2025 13:13:01 GMT-0800 (Pacific Standard Time)</t>
        </is>
      </c>
    </row>
    <row r="4">
      <c r="A4" t="inlineStr">
        <is>
          <t>Source: U.S. Energy Information Administration</t>
        </is>
      </c>
    </row>
    <row r="5">
      <c r="B5" t="inlineStr">
        <is>
          <t>full name</t>
        </is>
      </c>
      <c r="C5" t="inlineStr">
        <is>
          <t>api key</t>
        </is>
      </c>
      <c r="D5" t="inlineStr">
        <is>
          <t>units</t>
        </is>
      </c>
      <c r="E5" t="n">
        <v>2023</v>
      </c>
      <c r="F5" t="n">
        <v>2024</v>
      </c>
      <c r="G5" t="n">
        <v>2025</v>
      </c>
      <c r="H5" t="n">
        <v>2026</v>
      </c>
      <c r="I5" t="n">
        <v>2027</v>
      </c>
      <c r="J5" t="n">
        <v>2028</v>
      </c>
      <c r="K5" t="n">
        <v>2029</v>
      </c>
      <c r="L5" t="n">
        <v>2030</v>
      </c>
      <c r="M5" t="n">
        <v>2031</v>
      </c>
      <c r="N5" t="n">
        <v>2032</v>
      </c>
      <c r="O5" t="n">
        <v>2033</v>
      </c>
      <c r="P5" t="n">
        <v>2034</v>
      </c>
      <c r="Q5" t="n">
        <v>2035</v>
      </c>
      <c r="R5" t="n">
        <v>2036</v>
      </c>
      <c r="S5" t="n">
        <v>2037</v>
      </c>
      <c r="T5" t="n">
        <v>2038</v>
      </c>
      <c r="U5" t="n">
        <v>2039</v>
      </c>
      <c r="V5" t="n">
        <v>2040</v>
      </c>
      <c r="W5" t="n">
        <v>2041</v>
      </c>
      <c r="X5" t="n">
        <v>2042</v>
      </c>
      <c r="Y5" t="n">
        <v>2043</v>
      </c>
      <c r="Z5" t="n">
        <v>2044</v>
      </c>
      <c r="AA5" t="n">
        <v>2045</v>
      </c>
      <c r="AB5" t="n">
        <v>2046</v>
      </c>
      <c r="AC5" t="n">
        <v>2047</v>
      </c>
      <c r="AD5" t="n">
        <v>2048</v>
      </c>
      <c r="AE5" t="n">
        <v>2049</v>
      </c>
      <c r="AF5" t="n">
        <v>2050</v>
      </c>
      <c r="AG5" t="inlineStr">
        <is>
          <t>Growth (2024-2050)</t>
        </is>
      </c>
    </row>
    <row r="6">
      <c r="A6" t="inlineStr">
        <is>
          <t>Key Indicators</t>
        </is>
      </c>
    </row>
    <row r="7">
      <c r="A7" t="inlineStr">
        <is>
          <t>Households (millions)</t>
        </is>
      </c>
    </row>
    <row r="8">
      <c r="A8" t="inlineStr">
        <is>
          <t>Single-Family</t>
        </is>
      </c>
      <c r="B8" t="inlineStr">
        <is>
          <t>Residential: Key Indicators: Households: Single-Family: High Zero-Carbon Technology Cost</t>
        </is>
      </c>
      <c r="C8" t="inlineStr">
        <is>
          <t>AEO.2025.HIGHZTC.KEI_HHD_RESD_SFR_NA_NA_USA_MILL.A</t>
        </is>
      </c>
      <c r="D8" t="inlineStr">
        <is>
          <t>millions</t>
        </is>
      </c>
      <c r="F8" t="n">
        <v>88.60974400000001</v>
      </c>
      <c r="G8" t="n">
        <v>89.62016800000001</v>
      </c>
      <c r="H8" t="n">
        <v>90.63056</v>
      </c>
      <c r="I8" t="n">
        <v>91.639144</v>
      </c>
      <c r="J8" t="n">
        <v>92.631344</v>
      </c>
      <c r="K8" t="n">
        <v>93.625568</v>
      </c>
      <c r="L8" t="n">
        <v>94.61288</v>
      </c>
      <c r="M8" t="n">
        <v>95.59792</v>
      </c>
      <c r="N8" t="n">
        <v>96.57905599999999</v>
      </c>
      <c r="O8" t="n">
        <v>97.53976</v>
      </c>
      <c r="P8" t="n">
        <v>98.471496</v>
      </c>
      <c r="Q8" t="n">
        <v>99.397144</v>
      </c>
      <c r="R8" t="n">
        <v>100.30808</v>
      </c>
      <c r="S8" t="n">
        <v>101.19444</v>
      </c>
      <c r="T8" t="n">
        <v>102.055056</v>
      </c>
      <c r="U8" t="n">
        <v>102.881776</v>
      </c>
      <c r="V8" t="n">
        <v>103.68032</v>
      </c>
      <c r="W8" t="n">
        <v>104.448032</v>
      </c>
      <c r="X8" t="n">
        <v>105.19444</v>
      </c>
      <c r="Y8" t="n">
        <v>105.909008</v>
      </c>
      <c r="Z8" t="n">
        <v>106.60332</v>
      </c>
      <c r="AA8" t="n">
        <v>107.296992</v>
      </c>
      <c r="AB8" t="n">
        <v>107.988176</v>
      </c>
      <c r="AC8" t="n">
        <v>108.678416</v>
      </c>
      <c r="AD8" t="n">
        <v>109.36732</v>
      </c>
      <c r="AE8" t="n">
        <v>110.055008</v>
      </c>
      <c r="AF8" t="n">
        <v>110.739904</v>
      </c>
      <c r="AG8" s="42" t="n">
        <v>0.008999999999999999</v>
      </c>
    </row>
    <row r="9">
      <c r="A9" t="inlineStr">
        <is>
          <t>Multifamily</t>
        </is>
      </c>
      <c r="B9" t="inlineStr">
        <is>
          <t>Residential: Key Indicators: Households: Multifamily: High Zero-Carbon Technology Cost</t>
        </is>
      </c>
      <c r="C9" t="inlineStr">
        <is>
          <t>AEO.2025.HIGHZTC.KEI_HHD_RESD_MFR_NA_NA_USA_MILL.A</t>
        </is>
      </c>
      <c r="D9" t="inlineStr">
        <is>
          <t>millions</t>
        </is>
      </c>
      <c r="F9" t="n">
        <v>34.017912</v>
      </c>
      <c r="G9" t="n">
        <v>34.38036</v>
      </c>
      <c r="H9" t="n">
        <v>34.797956</v>
      </c>
      <c r="I9" t="n">
        <v>35.233648</v>
      </c>
      <c r="J9" t="n">
        <v>35.702292</v>
      </c>
      <c r="K9" t="n">
        <v>36.208236</v>
      </c>
      <c r="L9" t="n">
        <v>36.726044</v>
      </c>
      <c r="M9" t="n">
        <v>37.24678</v>
      </c>
      <c r="N9" t="n">
        <v>37.753312</v>
      </c>
      <c r="O9" t="n">
        <v>38.226856</v>
      </c>
      <c r="P9" t="n">
        <v>38.666984</v>
      </c>
      <c r="Q9" t="n">
        <v>39.093076</v>
      </c>
      <c r="R9" t="n">
        <v>39.503836</v>
      </c>
      <c r="S9" t="n">
        <v>39.883568</v>
      </c>
      <c r="T9" t="n">
        <v>40.239072</v>
      </c>
      <c r="U9" t="n">
        <v>40.573248</v>
      </c>
      <c r="V9" t="n">
        <v>40.890328</v>
      </c>
      <c r="W9" t="n">
        <v>41.185544</v>
      </c>
      <c r="X9" t="n">
        <v>41.464128</v>
      </c>
      <c r="Y9" t="n">
        <v>41.734528</v>
      </c>
      <c r="Z9" t="n">
        <v>42.00598</v>
      </c>
      <c r="AA9" t="n">
        <v>42.277656</v>
      </c>
      <c r="AB9" t="n">
        <v>42.549808</v>
      </c>
      <c r="AC9" t="n">
        <v>42.820992</v>
      </c>
      <c r="AD9" t="n">
        <v>43.09248</v>
      </c>
      <c r="AE9" t="n">
        <v>43.364628</v>
      </c>
      <c r="AF9" t="n">
        <v>43.636816</v>
      </c>
      <c r="AG9" s="42" t="n">
        <v>0.01</v>
      </c>
    </row>
    <row r="10">
      <c r="A10" t="inlineStr">
        <is>
          <t>Mobile Homes</t>
        </is>
      </c>
      <c r="B10" t="inlineStr">
        <is>
          <t>Residential: Key Indicators: Households: Mobile Homes: High Zero-Carbon Technology Cost</t>
        </is>
      </c>
      <c r="C10" t="inlineStr">
        <is>
          <t>AEO.2025.HIGHZTC.KEI_HHD_RESD_MBH_NA_NA_USA_MILL.A</t>
        </is>
      </c>
      <c r="D10" t="inlineStr">
        <is>
          <t>millions</t>
        </is>
      </c>
      <c r="F10" t="n">
        <v>6.755902</v>
      </c>
      <c r="G10" t="n">
        <v>6.748634</v>
      </c>
      <c r="H10" t="n">
        <v>6.770403</v>
      </c>
      <c r="I10" t="n">
        <v>6.792666</v>
      </c>
      <c r="J10" t="n">
        <v>6.804218</v>
      </c>
      <c r="K10" t="n">
        <v>6.813859</v>
      </c>
      <c r="L10" t="n">
        <v>6.818653</v>
      </c>
      <c r="M10" t="n">
        <v>6.824849</v>
      </c>
      <c r="N10" t="n">
        <v>6.833779</v>
      </c>
      <c r="O10" t="n">
        <v>6.843395</v>
      </c>
      <c r="P10" t="n">
        <v>6.850643</v>
      </c>
      <c r="Q10" t="n">
        <v>6.855789</v>
      </c>
      <c r="R10" t="n">
        <v>6.86137</v>
      </c>
      <c r="S10" t="n">
        <v>6.866089</v>
      </c>
      <c r="T10" t="n">
        <v>6.869494</v>
      </c>
      <c r="U10" t="n">
        <v>6.871957</v>
      </c>
      <c r="V10" t="n">
        <v>6.87686</v>
      </c>
      <c r="W10" t="n">
        <v>6.883047</v>
      </c>
      <c r="X10" t="n">
        <v>6.889117</v>
      </c>
      <c r="Y10" t="n">
        <v>6.89479</v>
      </c>
      <c r="Z10" t="n">
        <v>6.900812</v>
      </c>
      <c r="AA10" t="n">
        <v>6.907353</v>
      </c>
      <c r="AB10" t="n">
        <v>6.912851</v>
      </c>
      <c r="AC10" t="n">
        <v>6.918932</v>
      </c>
      <c r="AD10" t="n">
        <v>6.924763</v>
      </c>
      <c r="AE10" t="n">
        <v>6.931044</v>
      </c>
      <c r="AF10" t="n">
        <v>6.936647</v>
      </c>
      <c r="AG10" s="42" t="n">
        <v>0.001</v>
      </c>
    </row>
    <row r="11">
      <c r="A11" t="inlineStr">
        <is>
          <t>Total</t>
        </is>
      </c>
      <c r="B11" t="inlineStr">
        <is>
          <t>Residential: Key Indicators: Households: Total: High Zero-Carbon Technology Cost</t>
        </is>
      </c>
      <c r="C11" t="inlineStr">
        <is>
          <t>AEO.2025.HIGHZTC.KEI_HHD_RESD_TEN_NA_NA_USA_MILL.A</t>
        </is>
      </c>
      <c r="D11" t="inlineStr">
        <is>
          <t>millions</t>
        </is>
      </c>
      <c r="F11" t="n">
        <v>129.383557</v>
      </c>
      <c r="G11" t="n">
        <v>130.749163</v>
      </c>
      <c r="H11" t="n">
        <v>132.198919</v>
      </c>
      <c r="I11" t="n">
        <v>133.665458</v>
      </c>
      <c r="J11" t="n">
        <v>135.137854</v>
      </c>
      <c r="K11" t="n">
        <v>136.647663</v>
      </c>
      <c r="L11" t="n">
        <v>138.157577</v>
      </c>
      <c r="M11" t="n">
        <v>139.669549</v>
      </c>
      <c r="N11" t="n">
        <v>141.166146</v>
      </c>
      <c r="O11" t="n">
        <v>142.610011</v>
      </c>
      <c r="P11" t="n">
        <v>143.989123</v>
      </c>
      <c r="Q11" t="n">
        <v>145.346008</v>
      </c>
      <c r="R11" t="n">
        <v>146.673285</v>
      </c>
      <c r="S11" t="n">
        <v>147.944097</v>
      </c>
      <c r="T11" t="n">
        <v>149.163622</v>
      </c>
      <c r="U11" t="n">
        <v>150.326981</v>
      </c>
      <c r="V11" t="n">
        <v>151.447508</v>
      </c>
      <c r="W11" t="n">
        <v>152.516623</v>
      </c>
      <c r="X11" t="n">
        <v>153.547685</v>
      </c>
      <c r="Y11" t="n">
        <v>154.538326</v>
      </c>
      <c r="Z11" t="n">
        <v>155.510112</v>
      </c>
      <c r="AA11" t="n">
        <v>156.482</v>
      </c>
      <c r="AB11" t="n">
        <v>157.450835</v>
      </c>
      <c r="AC11" t="n">
        <v>158.41834</v>
      </c>
      <c r="AD11" t="n">
        <v>159.384563</v>
      </c>
      <c r="AE11" t="n">
        <v>160.350679</v>
      </c>
      <c r="AF11" t="n">
        <v>161.313367</v>
      </c>
      <c r="AG11" s="42" t="n">
        <v>0.008999999999999999</v>
      </c>
    </row>
    <row r="12">
      <c r="A12" t="inlineStr">
        <is>
          <t>Average House Square Footage</t>
        </is>
      </c>
      <c r="B12" t="inlineStr">
        <is>
          <t>Residential: Key Indicators: Average House Square Footage: High Zero-Carbon Technology Cost</t>
        </is>
      </c>
      <c r="C12" t="inlineStr">
        <is>
          <t>AEO.2025.HIGHZTC.KEI_HHD_RESD_NA_NA_NA_USA_SQFT.A</t>
        </is>
      </c>
      <c r="D12" t="inlineStr">
        <is>
          <t>sq ft</t>
        </is>
      </c>
      <c r="F12" t="n">
        <v>1643.956909</v>
      </c>
      <c r="G12" t="n">
        <v>1650.516113</v>
      </c>
      <c r="H12" t="n">
        <v>1656.462036</v>
      </c>
      <c r="I12" t="n">
        <v>1662.160278</v>
      </c>
      <c r="J12" t="n">
        <v>1667.528687</v>
      </c>
      <c r="K12" t="n">
        <v>1672.544556</v>
      </c>
      <c r="L12" t="n">
        <v>1677.379395</v>
      </c>
      <c r="M12" t="n">
        <v>1682.07605</v>
      </c>
      <c r="N12" t="n">
        <v>1686.74707</v>
      </c>
      <c r="O12" t="n">
        <v>1691.494995</v>
      </c>
      <c r="P12" t="n">
        <v>1696.321777</v>
      </c>
      <c r="Q12" t="n">
        <v>1701.145996</v>
      </c>
      <c r="R12" t="n">
        <v>1705.9552</v>
      </c>
      <c r="S12" t="n">
        <v>1710.841187</v>
      </c>
      <c r="T12" t="n">
        <v>1715.764404</v>
      </c>
      <c r="U12" t="n">
        <v>1720.697754</v>
      </c>
      <c r="V12" t="n">
        <v>1725.613403</v>
      </c>
      <c r="W12" t="n">
        <v>1730.546265</v>
      </c>
      <c r="X12" t="n">
        <v>1735.488159</v>
      </c>
      <c r="Y12" t="n">
        <v>1740.372437</v>
      </c>
      <c r="Z12" t="n">
        <v>1745.155029</v>
      </c>
      <c r="AA12" t="n">
        <v>1749.875122</v>
      </c>
      <c r="AB12" t="n">
        <v>1754.534302</v>
      </c>
      <c r="AC12" t="n">
        <v>1759.140747</v>
      </c>
      <c r="AD12" t="n">
        <v>1763.687866</v>
      </c>
      <c r="AE12" t="n">
        <v>1768.173706</v>
      </c>
      <c r="AF12" t="n">
        <v>1772.605835</v>
      </c>
      <c r="AG12" s="42" t="n">
        <v>0.003</v>
      </c>
    </row>
    <row r="13">
      <c r="A13" t="inlineStr">
        <is>
          <t>Energy Intensity</t>
        </is>
      </c>
    </row>
    <row r="14">
      <c r="A14" t="inlineStr">
        <is>
          <t>(MMBtu per household)</t>
        </is>
      </c>
    </row>
    <row r="15">
      <c r="A15" t="inlineStr">
        <is>
          <t>Gross End-use Consumption</t>
        </is>
      </c>
      <c r="B15" t="inlineStr">
        <is>
          <t>Residential: Household Energy Intensity: Gross End-use Consumption: High Zero-Carbon Technology Cost</t>
        </is>
      </c>
      <c r="C15" t="inlineStr">
        <is>
          <t>AEO.2025.HIGHZTC.INY_HHD_RESD_DELE_NA_NA_USA_MILLBTUPHOSD.A</t>
        </is>
      </c>
      <c r="D15" t="inlineStr">
        <is>
          <t>MMBtu/household</t>
        </is>
      </c>
      <c r="F15" t="n">
        <v>85.992244</v>
      </c>
      <c r="G15" t="n">
        <v>87.9766</v>
      </c>
      <c r="H15" t="n">
        <v>87.58989</v>
      </c>
      <c r="I15" t="n">
        <v>87.16793199999999</v>
      </c>
      <c r="J15" t="n">
        <v>86.534193</v>
      </c>
      <c r="K15" t="n">
        <v>85.477507</v>
      </c>
      <c r="L15" t="n">
        <v>84.242287</v>
      </c>
      <c r="M15" t="n">
        <v>82.878242</v>
      </c>
      <c r="N15" t="n">
        <v>81.472909</v>
      </c>
      <c r="O15" t="n">
        <v>80.23763</v>
      </c>
      <c r="P15" t="n">
        <v>79.124025</v>
      </c>
      <c r="Q15" t="n">
        <v>78.223224</v>
      </c>
      <c r="R15" t="n">
        <v>77.510909</v>
      </c>
      <c r="S15" t="n">
        <v>76.934631</v>
      </c>
      <c r="T15" t="n">
        <v>76.394609</v>
      </c>
      <c r="U15" t="n">
        <v>75.93380000000001</v>
      </c>
      <c r="V15" t="n">
        <v>75.490184</v>
      </c>
      <c r="W15" t="n">
        <v>75.046198</v>
      </c>
      <c r="X15" t="n">
        <v>74.63334999999999</v>
      </c>
      <c r="Y15" t="n">
        <v>74.262238</v>
      </c>
      <c r="Z15" t="n">
        <v>73.916539</v>
      </c>
      <c r="AA15" t="n">
        <v>73.581211</v>
      </c>
      <c r="AB15" t="n">
        <v>73.25364</v>
      </c>
      <c r="AC15" t="n">
        <v>72.937099</v>
      </c>
      <c r="AD15" t="n">
        <v>72.637647</v>
      </c>
      <c r="AE15" t="n">
        <v>72.36142700000001</v>
      </c>
      <c r="AF15" t="n">
        <v>72.093053</v>
      </c>
      <c r="AG15" s="42" t="n">
        <v>-0.007</v>
      </c>
    </row>
    <row r="16">
      <c r="A16" t="inlineStr">
        <is>
          <t>Delivered Energy Consumption</t>
        </is>
      </c>
      <c r="B16" t="inlineStr">
        <is>
          <t>Residential: Household Energy Intensity: Delivered Energy Consumption: High Zero-Carbon Technology Cost</t>
        </is>
      </c>
      <c r="C16" t="inlineStr">
        <is>
          <t>AEO.2025.HIGHZTC.INY_HHD_RESD_TEN_NA_NA_USA_MILLBTUPHOSD.A</t>
        </is>
      </c>
      <c r="D16" t="inlineStr">
        <is>
          <t>MMBtu/household</t>
        </is>
      </c>
      <c r="F16" t="n">
        <v>84.632913</v>
      </c>
      <c r="G16" t="n">
        <v>86.447232</v>
      </c>
      <c r="H16" t="n">
        <v>85.892414</v>
      </c>
      <c r="I16" t="n">
        <v>85.317887</v>
      </c>
      <c r="J16" t="n">
        <v>84.531319</v>
      </c>
      <c r="K16" t="n">
        <v>83.322996</v>
      </c>
      <c r="L16" t="n">
        <v>81.928291</v>
      </c>
      <c r="M16" t="n">
        <v>80.396377</v>
      </c>
      <c r="N16" t="n">
        <v>78.827237</v>
      </c>
      <c r="O16" t="n">
        <v>77.431217</v>
      </c>
      <c r="P16" t="n">
        <v>76.16238800000001</v>
      </c>
      <c r="Q16" t="n">
        <v>75.148382</v>
      </c>
      <c r="R16" t="n">
        <v>74.320522</v>
      </c>
      <c r="S16" t="n">
        <v>73.627571</v>
      </c>
      <c r="T16" t="n">
        <v>72.966007</v>
      </c>
      <c r="U16" t="n">
        <v>72.38238200000001</v>
      </c>
      <c r="V16" t="n">
        <v>71.81378100000001</v>
      </c>
      <c r="W16" t="n">
        <v>71.24327</v>
      </c>
      <c r="X16" t="n">
        <v>70.70070800000001</v>
      </c>
      <c r="Y16" t="n">
        <v>70.19818100000001</v>
      </c>
      <c r="Z16" t="n">
        <v>69.719191</v>
      </c>
      <c r="AA16" t="n">
        <v>69.247444</v>
      </c>
      <c r="AB16" t="n">
        <v>68.781064</v>
      </c>
      <c r="AC16" t="n">
        <v>68.323618</v>
      </c>
      <c r="AD16" t="n">
        <v>67.880286</v>
      </c>
      <c r="AE16" t="n">
        <v>67.45863300000001</v>
      </c>
      <c r="AF16" t="n">
        <v>67.04382099999999</v>
      </c>
      <c r="AG16" s="42" t="n">
        <v>-0.008999999999999999</v>
      </c>
    </row>
    <row r="17">
      <c r="A17" t="inlineStr">
        <is>
          <t>(thousand Btu per square foot)</t>
        </is>
      </c>
    </row>
    <row r="18">
      <c r="A18" t="inlineStr">
        <is>
          <t>Gross End-use Consumption</t>
        </is>
      </c>
      <c r="B18" t="inlineStr">
        <is>
          <t>Residential: Energy Intensity per Square Foot: Gross End-use Consumption: High Zero-Carbon Technology Cost</t>
        </is>
      </c>
      <c r="C18" t="inlineStr">
        <is>
          <t>AEO.2025.HIGHZTC.INY_HHD_RESD_DELE_NA_NA_USA_THBTUPSQFT.A</t>
        </is>
      </c>
      <c r="D18" t="inlineStr">
        <is>
          <t>thousand Btu/sq ft</t>
        </is>
      </c>
      <c r="F18" t="n">
        <v>52.308089</v>
      </c>
      <c r="G18" t="n">
        <v>53.302479</v>
      </c>
      <c r="H18" t="n">
        <v>52.877692</v>
      </c>
      <c r="I18" t="n">
        <v>52.442555</v>
      </c>
      <c r="J18" t="n">
        <v>51.893676</v>
      </c>
      <c r="K18" t="n">
        <v>51.106266</v>
      </c>
      <c r="L18" t="n">
        <v>50.22256</v>
      </c>
      <c r="M18" t="n">
        <v>49.2714</v>
      </c>
      <c r="N18" t="n">
        <v>48.301794</v>
      </c>
      <c r="O18" t="n">
        <v>47.435925</v>
      </c>
      <c r="P18" t="n">
        <v>46.644467</v>
      </c>
      <c r="Q18" t="n">
        <v>45.982663</v>
      </c>
      <c r="R18" t="n">
        <v>45.435489</v>
      </c>
      <c r="S18" t="n">
        <v>44.968891</v>
      </c>
      <c r="T18" t="n">
        <v>44.525116</v>
      </c>
      <c r="U18" t="n">
        <v>44.129656</v>
      </c>
      <c r="V18" t="n">
        <v>43.74687</v>
      </c>
      <c r="W18" t="n">
        <v>43.365612</v>
      </c>
      <c r="X18" t="n">
        <v>43.00424</v>
      </c>
      <c r="Y18" t="n">
        <v>42.670314</v>
      </c>
      <c r="Z18" t="n">
        <v>42.355285</v>
      </c>
      <c r="AA18" t="n">
        <v>42.049407</v>
      </c>
      <c r="AB18" t="n">
        <v>41.751045</v>
      </c>
      <c r="AC18" t="n">
        <v>41.461776</v>
      </c>
      <c r="AD18" t="n">
        <v>41.185092</v>
      </c>
      <c r="AE18" t="n">
        <v>40.924388</v>
      </c>
      <c r="AF18" t="n">
        <v>40.670662</v>
      </c>
      <c r="AG18" s="42" t="n">
        <v>-0.01</v>
      </c>
    </row>
    <row r="19">
      <c r="A19" t="inlineStr">
        <is>
          <t>Delivered Energy Consumption</t>
        </is>
      </c>
      <c r="B19" t="inlineStr">
        <is>
          <t>Residential: Energy Intensity per Square Foot: Delivered Energy Consumption: High Zero-Carbon Technology Cost</t>
        </is>
      </c>
      <c r="C19" t="inlineStr">
        <is>
          <t>AEO.2025.HIGHZTC.INY_HHD_RESD_TEN_NA_NA_USA_THBTUPSQFT.A</t>
        </is>
      </c>
      <c r="D19" t="inlineStr">
        <is>
          <t>thousand Btu/sq ft</t>
        </is>
      </c>
      <c r="F19" t="n">
        <v>51.481224</v>
      </c>
      <c r="G19" t="n">
        <v>52.375879</v>
      </c>
      <c r="H19" t="n">
        <v>51.852933</v>
      </c>
      <c r="I19" t="n">
        <v>51.329518</v>
      </c>
      <c r="J19" t="n">
        <v>50.692573</v>
      </c>
      <c r="K19" t="n">
        <v>49.818103</v>
      </c>
      <c r="L19" t="n">
        <v>48.843029</v>
      </c>
      <c r="M19" t="n">
        <v>47.795923</v>
      </c>
      <c r="N19" t="n">
        <v>46.733288</v>
      </c>
      <c r="O19" t="n">
        <v>45.776794</v>
      </c>
      <c r="P19" t="n">
        <v>44.89855</v>
      </c>
      <c r="Q19" t="n">
        <v>44.175151</v>
      </c>
      <c r="R19" t="n">
        <v>43.565342</v>
      </c>
      <c r="S19" t="n">
        <v>43.035889</v>
      </c>
      <c r="T19" t="n">
        <v>42.526822</v>
      </c>
      <c r="U19" t="n">
        <v>42.065715</v>
      </c>
      <c r="V19" t="n">
        <v>41.616379</v>
      </c>
      <c r="W19" t="n">
        <v>41.168082</v>
      </c>
      <c r="X19" t="n">
        <v>40.738225</v>
      </c>
      <c r="Y19" t="n">
        <v>40.335149</v>
      </c>
      <c r="Z19" t="n">
        <v>39.950142</v>
      </c>
      <c r="AA19" t="n">
        <v>39.572792</v>
      </c>
      <c r="AB19" t="n">
        <v>39.201892</v>
      </c>
      <c r="AC19" t="n">
        <v>38.839199</v>
      </c>
      <c r="AD19" t="n">
        <v>38.487698</v>
      </c>
      <c r="AE19" t="n">
        <v>38.151587</v>
      </c>
      <c r="AF19" t="n">
        <v>37.822182</v>
      </c>
      <c r="AG19" s="42" t="n">
        <v>-0.012</v>
      </c>
    </row>
    <row r="20">
      <c r="A20" t="inlineStr">
        <is>
          <t>Energy Consumption by Fuel</t>
        </is>
      </c>
    </row>
    <row r="21">
      <c r="A21" t="inlineStr">
        <is>
          <t>Electricity</t>
        </is>
      </c>
    </row>
    <row r="22">
      <c r="A22" t="inlineStr">
        <is>
          <t>Space Heating</t>
        </is>
      </c>
      <c r="B22" t="inlineStr">
        <is>
          <t>Residential: Electricity: Space Heating: High Zero-Carbon Technology Cost</t>
        </is>
      </c>
      <c r="C22" t="inlineStr">
        <is>
          <t>AEO.2025.HIGHZTC.CNSM_HHD_RESD_SPH_ELC_NA_USA_QBTU.A</t>
        </is>
      </c>
      <c r="D22" t="inlineStr">
        <is>
          <t>quads</t>
        </is>
      </c>
      <c r="F22" t="n">
        <v>0.528061</v>
      </c>
      <c r="G22" t="n">
        <v>0.582562</v>
      </c>
      <c r="H22" t="n">
        <v>0.585545</v>
      </c>
      <c r="I22" t="n">
        <v>0.589188</v>
      </c>
      <c r="J22" t="n">
        <v>0.589904</v>
      </c>
      <c r="K22" t="n">
        <v>0.586412</v>
      </c>
      <c r="L22" t="n">
        <v>0.580551</v>
      </c>
      <c r="M22" t="n">
        <v>0.573595</v>
      </c>
      <c r="N22" t="n">
        <v>0.566739</v>
      </c>
      <c r="O22" t="n">
        <v>0.5607259999999999</v>
      </c>
      <c r="P22" t="n">
        <v>0.554572</v>
      </c>
      <c r="Q22" t="n">
        <v>0.550309</v>
      </c>
      <c r="R22" t="n">
        <v>0.5476569999999999</v>
      </c>
      <c r="S22" t="n">
        <v>0.545295</v>
      </c>
      <c r="T22" t="n">
        <v>0.542041</v>
      </c>
      <c r="U22" t="n">
        <v>0.538591</v>
      </c>
      <c r="V22" t="n">
        <v>0.534952</v>
      </c>
      <c r="W22" t="n">
        <v>0.530828</v>
      </c>
      <c r="X22" t="n">
        <v>0.526828</v>
      </c>
      <c r="Y22" t="n">
        <v>0.522867</v>
      </c>
      <c r="Z22" t="n">
        <v>0.518328</v>
      </c>
      <c r="AA22" t="n">
        <v>0.513525</v>
      </c>
      <c r="AB22" t="n">
        <v>0.508348</v>
      </c>
      <c r="AC22" t="n">
        <v>0.502928</v>
      </c>
      <c r="AD22" t="n">
        <v>0.497403</v>
      </c>
      <c r="AE22" t="n">
        <v>0.492208</v>
      </c>
      <c r="AF22" t="n">
        <v>0.4868</v>
      </c>
      <c r="AG22" s="42" t="n">
        <v>-0.003</v>
      </c>
    </row>
    <row r="23">
      <c r="A23" t="inlineStr">
        <is>
          <t>Space Cooling</t>
        </is>
      </c>
      <c r="B23" t="inlineStr">
        <is>
          <t>Residential: Electricity: Space Cooling: High Zero-Carbon Technology Cost</t>
        </is>
      </c>
      <c r="C23" t="inlineStr">
        <is>
          <t>AEO.2025.HIGHZTC.CNSM_NA_RESD_SPC_ELC_NA_USA_QBTU.A</t>
        </is>
      </c>
      <c r="D23" t="inlineStr">
        <is>
          <t>quads</t>
        </is>
      </c>
      <c r="F23" t="n">
        <v>0.997081</v>
      </c>
      <c r="G23" t="n">
        <v>0.952473</v>
      </c>
      <c r="H23" t="n">
        <v>0.9713540000000001</v>
      </c>
      <c r="I23" t="n">
        <v>0.98971</v>
      </c>
      <c r="J23" t="n">
        <v>1.002009</v>
      </c>
      <c r="K23" t="n">
        <v>1.00703</v>
      </c>
      <c r="L23" t="n">
        <v>1.009506</v>
      </c>
      <c r="M23" t="n">
        <v>1.010393</v>
      </c>
      <c r="N23" t="n">
        <v>1.012497</v>
      </c>
      <c r="O23" t="n">
        <v>1.019494</v>
      </c>
      <c r="P23" t="n">
        <v>1.028533</v>
      </c>
      <c r="Q23" t="n">
        <v>1.041697</v>
      </c>
      <c r="R23" t="n">
        <v>1.058786</v>
      </c>
      <c r="S23" t="n">
        <v>1.078113</v>
      </c>
      <c r="T23" t="n">
        <v>1.096537</v>
      </c>
      <c r="U23" t="n">
        <v>1.115933</v>
      </c>
      <c r="V23" t="n">
        <v>1.135576</v>
      </c>
      <c r="W23" t="n">
        <v>1.155665</v>
      </c>
      <c r="X23" t="n">
        <v>1.175584</v>
      </c>
      <c r="Y23" t="n">
        <v>1.195868</v>
      </c>
      <c r="Z23" t="n">
        <v>1.215889</v>
      </c>
      <c r="AA23" t="n">
        <v>1.235434</v>
      </c>
      <c r="AB23" t="n">
        <v>1.254577</v>
      </c>
      <c r="AC23" t="n">
        <v>1.273539</v>
      </c>
      <c r="AD23" t="n">
        <v>1.292448</v>
      </c>
      <c r="AE23" t="n">
        <v>1.311621</v>
      </c>
      <c r="AF23" t="n">
        <v>1.330636</v>
      </c>
      <c r="AG23" s="42" t="n">
        <v>0.011</v>
      </c>
    </row>
    <row r="24">
      <c r="A24" t="inlineStr">
        <is>
          <t>Water Heating</t>
        </is>
      </c>
      <c r="B24" t="inlineStr">
        <is>
          <t>Residential: Electricity: Water Heating: High Zero-Carbon Technology Cost</t>
        </is>
      </c>
      <c r="C24" t="inlineStr">
        <is>
          <t>AEO.2025.HIGHZTC.CNSM_NA_RESD_WTHT_ELC_NA_USA_QBTU.A</t>
        </is>
      </c>
      <c r="D24" t="inlineStr">
        <is>
          <t>quads</t>
        </is>
      </c>
      <c r="F24" t="n">
        <v>0.472693</v>
      </c>
      <c r="G24" t="n">
        <v>0.459259</v>
      </c>
      <c r="H24" t="n">
        <v>0.449699</v>
      </c>
      <c r="I24" t="n">
        <v>0.440442</v>
      </c>
      <c r="J24" t="n">
        <v>0.428544</v>
      </c>
      <c r="K24" t="n">
        <v>0.408148</v>
      </c>
      <c r="L24" t="n">
        <v>0.384946</v>
      </c>
      <c r="M24" t="n">
        <v>0.360722</v>
      </c>
      <c r="N24" t="n">
        <v>0.33842</v>
      </c>
      <c r="O24" t="n">
        <v>0.318282</v>
      </c>
      <c r="P24" t="n">
        <v>0.300561</v>
      </c>
      <c r="Q24" t="n">
        <v>0.285426</v>
      </c>
      <c r="R24" t="n">
        <v>0.272802</v>
      </c>
      <c r="S24" t="n">
        <v>0.262211</v>
      </c>
      <c r="T24" t="n">
        <v>0.253048</v>
      </c>
      <c r="U24" t="n">
        <v>0.245594</v>
      </c>
      <c r="V24" t="n">
        <v>0.239892</v>
      </c>
      <c r="W24" t="n">
        <v>0.23575</v>
      </c>
      <c r="X24" t="n">
        <v>0.233312</v>
      </c>
      <c r="Y24" t="n">
        <v>0.23256</v>
      </c>
      <c r="Z24" t="n">
        <v>0.231527</v>
      </c>
      <c r="AA24" t="n">
        <v>0.230325</v>
      </c>
      <c r="AB24" t="n">
        <v>0.228973</v>
      </c>
      <c r="AC24" t="n">
        <v>0.227549</v>
      </c>
      <c r="AD24" t="n">
        <v>0.226177</v>
      </c>
      <c r="AE24" t="n">
        <v>0.224938</v>
      </c>
      <c r="AF24" t="n">
        <v>0.223821</v>
      </c>
      <c r="AG24" s="42" t="n">
        <v>-0.028</v>
      </c>
    </row>
    <row r="25">
      <c r="A25" t="inlineStr">
        <is>
          <t>Refrigeration</t>
        </is>
      </c>
      <c r="B25" t="inlineStr">
        <is>
          <t>Residential: Electricity: Refrigeration: High Zero-Carbon Technology Cost</t>
        </is>
      </c>
      <c r="C25" t="inlineStr">
        <is>
          <t>AEO.2025.HIGHZTC.CNSM_NA_RESD_REFR_ELC_NA_USA_QBTU.A</t>
        </is>
      </c>
      <c r="D25" t="inlineStr">
        <is>
          <t>quads</t>
        </is>
      </c>
      <c r="F25" t="n">
        <v>0.351479</v>
      </c>
      <c r="G25" t="n">
        <v>0.349737</v>
      </c>
      <c r="H25" t="n">
        <v>0.34897</v>
      </c>
      <c r="I25" t="n">
        <v>0.348118</v>
      </c>
      <c r="J25" t="n">
        <v>0.347168</v>
      </c>
      <c r="K25" t="n">
        <v>0.346545</v>
      </c>
      <c r="L25" t="n">
        <v>0.343717</v>
      </c>
      <c r="M25" t="n">
        <v>0.341147</v>
      </c>
      <c r="N25" t="n">
        <v>0.338816</v>
      </c>
      <c r="O25" t="n">
        <v>0.336635</v>
      </c>
      <c r="P25" t="n">
        <v>0.334581</v>
      </c>
      <c r="Q25" t="n">
        <v>0.332782</v>
      </c>
      <c r="R25" t="n">
        <v>0.331396</v>
      </c>
      <c r="S25" t="n">
        <v>0.330414</v>
      </c>
      <c r="T25" t="n">
        <v>0.32985</v>
      </c>
      <c r="U25" t="n">
        <v>0.329701</v>
      </c>
      <c r="V25" t="n">
        <v>0.329972</v>
      </c>
      <c r="W25" t="n">
        <v>0.33064</v>
      </c>
      <c r="X25" t="n">
        <v>0.331706</v>
      </c>
      <c r="Y25" t="n">
        <v>0.333167</v>
      </c>
      <c r="Z25" t="n">
        <v>0.335038</v>
      </c>
      <c r="AA25" t="n">
        <v>0.337389</v>
      </c>
      <c r="AB25" t="n">
        <v>0.340228</v>
      </c>
      <c r="AC25" t="n">
        <v>0.343544</v>
      </c>
      <c r="AD25" t="n">
        <v>0.346847</v>
      </c>
      <c r="AE25" t="n">
        <v>0.350126</v>
      </c>
      <c r="AF25" t="n">
        <v>0.353358</v>
      </c>
      <c r="AG25" s="42" t="n">
        <v>0</v>
      </c>
    </row>
    <row r="26">
      <c r="A26" t="inlineStr">
        <is>
          <t>Cooking</t>
        </is>
      </c>
      <c r="B26" t="inlineStr">
        <is>
          <t>Residential: Electricity: Cooking: High Zero-Carbon Technology Cost</t>
        </is>
      </c>
      <c r="C26" t="inlineStr">
        <is>
          <t>AEO.2025.HIGHZTC.CNSM_NA_RESD_CGR_ELC_NA_USA_QBTU.A</t>
        </is>
      </c>
      <c r="D26" t="inlineStr">
        <is>
          <t>quads</t>
        </is>
      </c>
      <c r="F26" t="n">
        <v>0.06736399999999999</v>
      </c>
      <c r="G26" t="n">
        <v>0.06785099999999999</v>
      </c>
      <c r="H26" t="n">
        <v>0.06857099999999999</v>
      </c>
      <c r="I26" t="n">
        <v>0.069303</v>
      </c>
      <c r="J26" t="n">
        <v>0.07004000000000001</v>
      </c>
      <c r="K26" t="n">
        <v>0.070797</v>
      </c>
      <c r="L26" t="n">
        <v>0.07155400000000001</v>
      </c>
      <c r="M26" t="n">
        <v>0.072311</v>
      </c>
      <c r="N26" t="n">
        <v>0.07306</v>
      </c>
      <c r="O26" t="n">
        <v>0.073778</v>
      </c>
      <c r="P26" t="n">
        <v>0.074459</v>
      </c>
      <c r="Q26" t="n">
        <v>0.075123</v>
      </c>
      <c r="R26" t="n">
        <v>0.075764</v>
      </c>
      <c r="S26" t="n">
        <v>0.076366</v>
      </c>
      <c r="T26" t="n">
        <v>0.07692599999999999</v>
      </c>
      <c r="U26" t="n">
        <v>0.077443</v>
      </c>
      <c r="V26" t="n">
        <v>0.07792499999999999</v>
      </c>
      <c r="W26" t="n">
        <v>0.07836899999999999</v>
      </c>
      <c r="X26" t="n">
        <v>0.07878499999999999</v>
      </c>
      <c r="Y26" t="n">
        <v>0.079176</v>
      </c>
      <c r="Z26" t="n">
        <v>0.079553</v>
      </c>
      <c r="AA26" t="n">
        <v>0.07992299999999999</v>
      </c>
      <c r="AB26" t="n">
        <v>0.08028399999999999</v>
      </c>
      <c r="AC26" t="n">
        <v>0.080637</v>
      </c>
      <c r="AD26" t="n">
        <v>0.080982</v>
      </c>
      <c r="AE26" t="n">
        <v>0.081316</v>
      </c>
      <c r="AF26" t="n">
        <v>0.081638</v>
      </c>
      <c r="AG26" s="42" t="n">
        <v>0.007</v>
      </c>
    </row>
    <row r="27">
      <c r="A27" t="inlineStr">
        <is>
          <t>Clothes Dryers</t>
        </is>
      </c>
      <c r="B27" t="inlineStr">
        <is>
          <t>Residential: Electricity: Clothes Dryers: High Zero-Carbon Technology Cost</t>
        </is>
      </c>
      <c r="C27" t="inlineStr">
        <is>
          <t>AEO.2025.HIGHZTC.CNSM_NA_RESD_CDR_ELC_NA_USA_QBTU.A</t>
        </is>
      </c>
      <c r="D27" t="inlineStr">
        <is>
          <t>quads</t>
        </is>
      </c>
      <c r="F27" t="n">
        <v>0.191812</v>
      </c>
      <c r="G27" t="n">
        <v>0.193075</v>
      </c>
      <c r="H27" t="n">
        <v>0.196545</v>
      </c>
      <c r="I27" t="n">
        <v>0.200855</v>
      </c>
      <c r="J27" t="n">
        <v>0.204061</v>
      </c>
      <c r="K27" t="n">
        <v>0.20567</v>
      </c>
      <c r="L27" t="n">
        <v>0.206345</v>
      </c>
      <c r="M27" t="n">
        <v>0.206255</v>
      </c>
      <c r="N27" t="n">
        <v>0.205808</v>
      </c>
      <c r="O27" t="n">
        <v>0.205284</v>
      </c>
      <c r="P27" t="n">
        <v>0.205276</v>
      </c>
      <c r="Q27" t="n">
        <v>0.206284</v>
      </c>
      <c r="R27" t="n">
        <v>0.208278</v>
      </c>
      <c r="S27" t="n">
        <v>0.210919</v>
      </c>
      <c r="T27" t="n">
        <v>0.213722</v>
      </c>
      <c r="U27" t="n">
        <v>0.216924</v>
      </c>
      <c r="V27" t="n">
        <v>0.220611</v>
      </c>
      <c r="W27" t="n">
        <v>0.224674</v>
      </c>
      <c r="X27" t="n">
        <v>0.228576</v>
      </c>
      <c r="Y27" t="n">
        <v>0.232386</v>
      </c>
      <c r="Z27" t="n">
        <v>0.235967</v>
      </c>
      <c r="AA27" t="n">
        <v>0.239332</v>
      </c>
      <c r="AB27" t="n">
        <v>0.242476</v>
      </c>
      <c r="AC27" t="n">
        <v>0.245414</v>
      </c>
      <c r="AD27" t="n">
        <v>0.248235</v>
      </c>
      <c r="AE27" t="n">
        <v>0.250977</v>
      </c>
      <c r="AF27" t="n">
        <v>0.253559</v>
      </c>
      <c r="AG27" s="42" t="n">
        <v>0.011</v>
      </c>
    </row>
    <row r="28">
      <c r="A28" t="inlineStr">
        <is>
          <t>Freezers</t>
        </is>
      </c>
      <c r="B28" t="inlineStr">
        <is>
          <t>Residential: Electricity: Freezers: High Zero-Carbon Technology Cost</t>
        </is>
      </c>
      <c r="C28" t="inlineStr">
        <is>
          <t>AEO.2025.HIGHZTC.CNSM_NA_RESD_FRZ_ELC_NA_USA_QBTU.A</t>
        </is>
      </c>
      <c r="D28" t="inlineStr">
        <is>
          <t>quads</t>
        </is>
      </c>
      <c r="F28" t="n">
        <v>0.07954799999999999</v>
      </c>
      <c r="G28" t="n">
        <v>0.079317</v>
      </c>
      <c r="H28" t="n">
        <v>0.079323</v>
      </c>
      <c r="I28" t="n">
        <v>0.07932400000000001</v>
      </c>
      <c r="J28" t="n">
        <v>0.079287</v>
      </c>
      <c r="K28" t="n">
        <v>0.079225</v>
      </c>
      <c r="L28" t="n">
        <v>0.07876</v>
      </c>
      <c r="M28" t="n">
        <v>0.078245</v>
      </c>
      <c r="N28" t="n">
        <v>0.07769</v>
      </c>
      <c r="O28" t="n">
        <v>0.077149</v>
      </c>
      <c r="P28" t="n">
        <v>0.076617</v>
      </c>
      <c r="Q28" t="n">
        <v>0.076115</v>
      </c>
      <c r="R28" t="n">
        <v>0.075638</v>
      </c>
      <c r="S28" t="n">
        <v>0.07517500000000001</v>
      </c>
      <c r="T28" t="n">
        <v>0.074736</v>
      </c>
      <c r="U28" t="n">
        <v>0.07432</v>
      </c>
      <c r="V28" t="n">
        <v>0.073932</v>
      </c>
      <c r="W28" t="n">
        <v>0.07358099999999999</v>
      </c>
      <c r="X28" t="n">
        <v>0.073268</v>
      </c>
      <c r="Y28" t="n">
        <v>0.072993</v>
      </c>
      <c r="Z28" t="n">
        <v>0.07276100000000001</v>
      </c>
      <c r="AA28" t="n">
        <v>0.07258199999999999</v>
      </c>
      <c r="AB28" t="n">
        <v>0.072468</v>
      </c>
      <c r="AC28" t="n">
        <v>0.07241499999999999</v>
      </c>
      <c r="AD28" t="n">
        <v>0.072435</v>
      </c>
      <c r="AE28" t="n">
        <v>0.072536</v>
      </c>
      <c r="AF28" t="n">
        <v>0.072717</v>
      </c>
      <c r="AG28" s="42" t="n">
        <v>-0.003</v>
      </c>
    </row>
    <row r="29">
      <c r="A29" t="inlineStr">
        <is>
          <t>Lighting</t>
        </is>
      </c>
      <c r="B29" t="inlineStr">
        <is>
          <t>Residential: Electricity: Lighting: High Zero-Carbon Technology Cost</t>
        </is>
      </c>
      <c r="C29" t="inlineStr">
        <is>
          <t>AEO.2025.HIGHZTC.CNSM_NA_RESD_LGHTNG_ELC_NA_USA_QBTU.A</t>
        </is>
      </c>
      <c r="D29" t="inlineStr">
        <is>
          <t>quads</t>
        </is>
      </c>
      <c r="F29" t="n">
        <v>0.187371</v>
      </c>
      <c r="G29" t="n">
        <v>0.18539</v>
      </c>
      <c r="H29" t="n">
        <v>0.186964</v>
      </c>
      <c r="I29" t="n">
        <v>0.190632</v>
      </c>
      <c r="J29" t="n">
        <v>0.193727</v>
      </c>
      <c r="K29" t="n">
        <v>0.195604</v>
      </c>
      <c r="L29" t="n">
        <v>0.195166</v>
      </c>
      <c r="M29" t="n">
        <v>0.194531</v>
      </c>
      <c r="N29" t="n">
        <v>0.19432</v>
      </c>
      <c r="O29" t="n">
        <v>0.194149</v>
      </c>
      <c r="P29" t="n">
        <v>0.194404</v>
      </c>
      <c r="Q29" t="n">
        <v>0.195278</v>
      </c>
      <c r="R29" t="n">
        <v>0.196599</v>
      </c>
      <c r="S29" t="n">
        <v>0.198067</v>
      </c>
      <c r="T29" t="n">
        <v>0.199294</v>
      </c>
      <c r="U29" t="n">
        <v>0.200681</v>
      </c>
      <c r="V29" t="n">
        <v>0.198798</v>
      </c>
      <c r="W29" t="n">
        <v>0.197172</v>
      </c>
      <c r="X29" t="n">
        <v>0.195941</v>
      </c>
      <c r="Y29" t="n">
        <v>0.19514</v>
      </c>
      <c r="Z29" t="n">
        <v>0.194706</v>
      </c>
      <c r="AA29" t="n">
        <v>0.194468</v>
      </c>
      <c r="AB29" t="n">
        <v>0.194278</v>
      </c>
      <c r="AC29" t="n">
        <v>0.194106</v>
      </c>
      <c r="AD29" t="n">
        <v>0.194081</v>
      </c>
      <c r="AE29" t="n">
        <v>0.194207</v>
      </c>
      <c r="AF29" t="n">
        <v>0.194363</v>
      </c>
      <c r="AG29" s="42" t="n">
        <v>0.001</v>
      </c>
    </row>
    <row r="30">
      <c r="A30" t="inlineStr">
        <is>
          <t>Clothes Washers</t>
        </is>
      </c>
      <c r="B30" t="inlineStr">
        <is>
          <t>Residential: Electricity: Clothes Washers: High Zero-Carbon Technology Cost</t>
        </is>
      </c>
      <c r="C30" t="inlineStr">
        <is>
          <t>AEO.2025.HIGHZTC.CNSM_NA_RESD_CLW_ELC_NA_USA_QBTU.A</t>
        </is>
      </c>
      <c r="D30" t="inlineStr">
        <is>
          <t>quads</t>
        </is>
      </c>
      <c r="F30" t="n">
        <v>0.041807</v>
      </c>
      <c r="G30" t="n">
        <v>0.040731</v>
      </c>
      <c r="H30" t="n">
        <v>0.039766</v>
      </c>
      <c r="I30" t="n">
        <v>0.038787</v>
      </c>
      <c r="J30" t="n">
        <v>0.037633</v>
      </c>
      <c r="K30" t="n">
        <v>0.036454</v>
      </c>
      <c r="L30" t="n">
        <v>0.035086</v>
      </c>
      <c r="M30" t="n">
        <v>0.033659</v>
      </c>
      <c r="N30" t="n">
        <v>0.032143</v>
      </c>
      <c r="O30" t="n">
        <v>0.030826</v>
      </c>
      <c r="P30" t="n">
        <v>0.02971</v>
      </c>
      <c r="Q30" t="n">
        <v>0.028801</v>
      </c>
      <c r="R30" t="n">
        <v>0.028112</v>
      </c>
      <c r="S30" t="n">
        <v>0.027655</v>
      </c>
      <c r="T30" t="n">
        <v>0.027453</v>
      </c>
      <c r="U30" t="n">
        <v>0.027522</v>
      </c>
      <c r="V30" t="n">
        <v>0.02759</v>
      </c>
      <c r="W30" t="n">
        <v>0.027658</v>
      </c>
      <c r="X30" t="n">
        <v>0.027733</v>
      </c>
      <c r="Y30" t="n">
        <v>0.027815</v>
      </c>
      <c r="Z30" t="n">
        <v>0.027908</v>
      </c>
      <c r="AA30" t="n">
        <v>0.028016</v>
      </c>
      <c r="AB30" t="n">
        <v>0.028138</v>
      </c>
      <c r="AC30" t="n">
        <v>0.028273</v>
      </c>
      <c r="AD30" t="n">
        <v>0.02842</v>
      </c>
      <c r="AE30" t="n">
        <v>0.028576</v>
      </c>
      <c r="AF30" t="n">
        <v>0.028739</v>
      </c>
      <c r="AG30" s="42" t="n">
        <v>-0.014</v>
      </c>
    </row>
    <row r="31">
      <c r="A31" t="inlineStr">
        <is>
          <t>Dishwashers</t>
        </is>
      </c>
      <c r="B31" t="inlineStr">
        <is>
          <t>Residential: Electricity: Dishwashers: High Zero-Carbon Technology Cost</t>
        </is>
      </c>
      <c r="C31" t="inlineStr">
        <is>
          <t>AEO.2025.HIGHZTC.CNSM_NA_RESD_DSW_ELC_NA_USA_QBTU.A</t>
        </is>
      </c>
      <c r="D31" t="inlineStr">
        <is>
          <t>quads</t>
        </is>
      </c>
      <c r="F31" t="n">
        <v>0.036367</v>
      </c>
      <c r="G31" t="n">
        <v>0.037219</v>
      </c>
      <c r="H31" t="n">
        <v>0.038216</v>
      </c>
      <c r="I31" t="n">
        <v>0.038546</v>
      </c>
      <c r="J31" t="n">
        <v>0.038751</v>
      </c>
      <c r="K31" t="n">
        <v>0.038915</v>
      </c>
      <c r="L31" t="n">
        <v>0.039032</v>
      </c>
      <c r="M31" t="n">
        <v>0.039101</v>
      </c>
      <c r="N31" t="n">
        <v>0.039118</v>
      </c>
      <c r="O31" t="n">
        <v>0.039202</v>
      </c>
      <c r="P31" t="n">
        <v>0.039359</v>
      </c>
      <c r="Q31" t="n">
        <v>0.039601</v>
      </c>
      <c r="R31" t="n">
        <v>0.039936</v>
      </c>
      <c r="S31" t="n">
        <v>0.040364</v>
      </c>
      <c r="T31" t="n">
        <v>0.040896</v>
      </c>
      <c r="U31" t="n">
        <v>0.041538</v>
      </c>
      <c r="V31" t="n">
        <v>0.042178</v>
      </c>
      <c r="W31" t="n">
        <v>0.042812</v>
      </c>
      <c r="X31" t="n">
        <v>0.043444</v>
      </c>
      <c r="Y31" t="n">
        <v>0.044074</v>
      </c>
      <c r="Z31" t="n">
        <v>0.044708</v>
      </c>
      <c r="AA31" t="n">
        <v>0.045349</v>
      </c>
      <c r="AB31" t="n">
        <v>0.045998</v>
      </c>
      <c r="AC31" t="n">
        <v>0.046655</v>
      </c>
      <c r="AD31" t="n">
        <v>0.047318</v>
      </c>
      <c r="AE31" t="n">
        <v>0.047988</v>
      </c>
      <c r="AF31" t="n">
        <v>0.048663</v>
      </c>
      <c r="AG31" s="42" t="n">
        <v>0.011</v>
      </c>
    </row>
    <row r="32">
      <c r="A32" t="inlineStr">
        <is>
          <t>Televisions and Related Equipment</t>
        </is>
      </c>
      <c r="B32" t="inlineStr">
        <is>
          <t>Residential: Electricity: Televisions: High Zero-Carbon Technology Cost</t>
        </is>
      </c>
      <c r="C32" t="inlineStr">
        <is>
          <t>AEO.2025.HIGHZTC.CNSM_NA_RESD_TVR_ELC_NA_USA_QBTU.A</t>
        </is>
      </c>
      <c r="D32" t="inlineStr">
        <is>
          <t>quads</t>
        </is>
      </c>
      <c r="F32" t="n">
        <v>0.129374</v>
      </c>
      <c r="G32" t="n">
        <v>0.126544</v>
      </c>
      <c r="H32" t="n">
        <v>0.125215</v>
      </c>
      <c r="I32" t="n">
        <v>0.124316</v>
      </c>
      <c r="J32" t="n">
        <v>0.122902</v>
      </c>
      <c r="K32" t="n">
        <v>0.120777</v>
      </c>
      <c r="L32" t="n">
        <v>0.118375</v>
      </c>
      <c r="M32" t="n">
        <v>0.115926</v>
      </c>
      <c r="N32" t="n">
        <v>0.113659</v>
      </c>
      <c r="O32" t="n">
        <v>0.11144</v>
      </c>
      <c r="P32" t="n">
        <v>0.1095</v>
      </c>
      <c r="Q32" t="n">
        <v>0.10799</v>
      </c>
      <c r="R32" t="n">
        <v>0.106861</v>
      </c>
      <c r="S32" t="n">
        <v>0.105954</v>
      </c>
      <c r="T32" t="n">
        <v>0.105066</v>
      </c>
      <c r="U32" t="n">
        <v>0.104306</v>
      </c>
      <c r="V32" t="n">
        <v>0.103691</v>
      </c>
      <c r="W32" t="n">
        <v>0.103142</v>
      </c>
      <c r="X32" t="n">
        <v>0.102677</v>
      </c>
      <c r="Y32" t="n">
        <v>0.102345</v>
      </c>
      <c r="Z32" t="n">
        <v>0.102119</v>
      </c>
      <c r="AA32" t="n">
        <v>0.102036</v>
      </c>
      <c r="AB32" t="n">
        <v>0.102082</v>
      </c>
      <c r="AC32" t="n">
        <v>0.102176</v>
      </c>
      <c r="AD32" t="n">
        <v>0.10236</v>
      </c>
      <c r="AE32" t="n">
        <v>0.102613</v>
      </c>
      <c r="AF32" t="n">
        <v>0.102926</v>
      </c>
      <c r="AG32" s="42" t="n">
        <v>-0.008999999999999999</v>
      </c>
    </row>
    <row r="33">
      <c r="A33" t="inlineStr">
        <is>
          <t>Computers and Related Equipment</t>
        </is>
      </c>
      <c r="B33" t="inlineStr">
        <is>
          <t>Residential: Electricity: Computers: High Zero-Carbon Technology Cost</t>
        </is>
      </c>
      <c r="C33" t="inlineStr">
        <is>
          <t>AEO.2025.HIGHZTC.CNSM_NA_RESD_CMPR_ELC_NA_USA_QBTU.A</t>
        </is>
      </c>
      <c r="D33" t="inlineStr">
        <is>
          <t>quads</t>
        </is>
      </c>
      <c r="F33" t="n">
        <v>0.100147</v>
      </c>
      <c r="G33" t="n">
        <v>0.098312</v>
      </c>
      <c r="H33" t="n">
        <v>0.09771199999999999</v>
      </c>
      <c r="I33" t="n">
        <v>0.097344</v>
      </c>
      <c r="J33" t="n">
        <v>0.09639200000000001</v>
      </c>
      <c r="K33" t="n">
        <v>0.094706</v>
      </c>
      <c r="L33" t="n">
        <v>0.092653</v>
      </c>
      <c r="M33" t="n">
        <v>0.090438</v>
      </c>
      <c r="N33" t="n">
        <v>0.088259</v>
      </c>
      <c r="O33" t="n">
        <v>0.086025</v>
      </c>
      <c r="P33" t="n">
        <v>0.083927</v>
      </c>
      <c r="Q33" t="n">
        <v>0.082077</v>
      </c>
      <c r="R33" t="n">
        <v>0.08045099999999999</v>
      </c>
      <c r="S33" t="n">
        <v>0.078944</v>
      </c>
      <c r="T33" t="n">
        <v>0.077403</v>
      </c>
      <c r="U33" t="n">
        <v>0.07593</v>
      </c>
      <c r="V33" t="n">
        <v>0.074545</v>
      </c>
      <c r="W33" t="n">
        <v>0.073196</v>
      </c>
      <c r="X33" t="n">
        <v>0.071926</v>
      </c>
      <c r="Y33" t="n">
        <v>0.07076200000000001</v>
      </c>
      <c r="Z33" t="n">
        <v>0.069712</v>
      </c>
      <c r="AA33" t="n">
        <v>0.06880500000000001</v>
      </c>
      <c r="AB33" t="n">
        <v>0.068054</v>
      </c>
      <c r="AC33" t="n">
        <v>0.06742099999999999</v>
      </c>
      <c r="AD33" t="n">
        <v>0.066941</v>
      </c>
      <c r="AE33" t="n">
        <v>0.066635</v>
      </c>
      <c r="AF33" t="n">
        <v>0.066465</v>
      </c>
      <c r="AG33" s="42" t="n">
        <v>-0.016</v>
      </c>
    </row>
    <row r="34">
      <c r="A34" t="inlineStr">
        <is>
          <t>Furnace Fans and Boiler Circulation Pumps</t>
        </is>
      </c>
      <c r="B34" t="inlineStr">
        <is>
          <t>Residential: Electricity: Fans and Pumps: High Zero-Carbon Technology Cost</t>
        </is>
      </c>
      <c r="C34" t="inlineStr">
        <is>
          <t>AEO.2025.HIGHZTC.CNSM_NA_RESD_FPR_ELC_NA_USA_QBTU.A</t>
        </is>
      </c>
      <c r="D34" t="inlineStr">
        <is>
          <t>quads</t>
        </is>
      </c>
      <c r="F34" t="n">
        <v>0.137569</v>
      </c>
      <c r="G34" t="n">
        <v>0.158502</v>
      </c>
      <c r="H34" t="n">
        <v>0.160621</v>
      </c>
      <c r="I34" t="n">
        <v>0.16225</v>
      </c>
      <c r="J34" t="n">
        <v>0.16347</v>
      </c>
      <c r="K34" t="n">
        <v>0.164468</v>
      </c>
      <c r="L34" t="n">
        <v>0.165238</v>
      </c>
      <c r="M34" t="n">
        <v>0.165675</v>
      </c>
      <c r="N34" t="n">
        <v>0.165809</v>
      </c>
      <c r="O34" t="n">
        <v>0.165878</v>
      </c>
      <c r="P34" t="n">
        <v>0.165686</v>
      </c>
      <c r="Q34" t="n">
        <v>0.165527</v>
      </c>
      <c r="R34" t="n">
        <v>0.16534</v>
      </c>
      <c r="S34" t="n">
        <v>0.164941</v>
      </c>
      <c r="T34" t="n">
        <v>0.164175</v>
      </c>
      <c r="U34" t="n">
        <v>0.163033</v>
      </c>
      <c r="V34" t="n">
        <v>0.161423</v>
      </c>
      <c r="W34" t="n">
        <v>0.159333</v>
      </c>
      <c r="X34" t="n">
        <v>0.156941</v>
      </c>
      <c r="Y34" t="n">
        <v>0.154268</v>
      </c>
      <c r="Z34" t="n">
        <v>0.151514</v>
      </c>
      <c r="AA34" t="n">
        <v>0.14884</v>
      </c>
      <c r="AB34" t="n">
        <v>0.146261</v>
      </c>
      <c r="AC34" t="n">
        <v>0.143757</v>
      </c>
      <c r="AD34" t="n">
        <v>0.141437</v>
      </c>
      <c r="AE34" t="n">
        <v>0.139335</v>
      </c>
      <c r="AF34" t="n">
        <v>0.137382</v>
      </c>
      <c r="AG34" s="42" t="n">
        <v>0</v>
      </c>
    </row>
    <row r="35">
      <c r="A35" t="inlineStr">
        <is>
          <t>Other Uses</t>
        </is>
      </c>
      <c r="B35" t="inlineStr">
        <is>
          <t>Residential: Electricity: Other Uses: High Zero-Carbon Technology Cost</t>
        </is>
      </c>
      <c r="C35" t="inlineStr">
        <is>
          <t>AEO.2025.HIGHZTC.CNSM_NA_RESD_OTHU_ELC_NA_USA_QBTU.A</t>
        </is>
      </c>
      <c r="D35" t="inlineStr">
        <is>
          <t>quads</t>
        </is>
      </c>
      <c r="F35" t="n">
        <v>1.952824</v>
      </c>
      <c r="G35" t="n">
        <v>1.884647</v>
      </c>
      <c r="H35" t="n">
        <v>1.932471</v>
      </c>
      <c r="I35" t="n">
        <v>1.982553</v>
      </c>
      <c r="J35" t="n">
        <v>2.026002</v>
      </c>
      <c r="K35" t="n">
        <v>2.060349</v>
      </c>
      <c r="L35" t="n">
        <v>2.089833</v>
      </c>
      <c r="M35" t="n">
        <v>2.116131</v>
      </c>
      <c r="N35" t="n">
        <v>2.143497</v>
      </c>
      <c r="O35" t="n">
        <v>2.169753</v>
      </c>
      <c r="P35" t="n">
        <v>2.1988</v>
      </c>
      <c r="Q35" t="n">
        <v>2.230968</v>
      </c>
      <c r="R35" t="n">
        <v>2.267572</v>
      </c>
      <c r="S35" t="n">
        <v>2.306608</v>
      </c>
      <c r="T35" t="n">
        <v>2.344136</v>
      </c>
      <c r="U35" t="n">
        <v>2.383023</v>
      </c>
      <c r="V35" t="n">
        <v>2.422931</v>
      </c>
      <c r="W35" t="n">
        <v>2.460922</v>
      </c>
      <c r="X35" t="n">
        <v>2.499407</v>
      </c>
      <c r="Y35" t="n">
        <v>2.538354</v>
      </c>
      <c r="Z35" t="n">
        <v>2.577242</v>
      </c>
      <c r="AA35" t="n">
        <v>2.615968</v>
      </c>
      <c r="AB35" t="n">
        <v>2.654983</v>
      </c>
      <c r="AC35" t="n">
        <v>2.693921</v>
      </c>
      <c r="AD35" t="n">
        <v>2.732975</v>
      </c>
      <c r="AE35" t="n">
        <v>2.772807</v>
      </c>
      <c r="AF35" t="n">
        <v>2.812916</v>
      </c>
      <c r="AG35" s="42" t="n">
        <v>0.014</v>
      </c>
    </row>
    <row r="36">
      <c r="A36" t="inlineStr">
        <is>
          <t>Gross End-use Electricity Consumption</t>
        </is>
      </c>
      <c r="B36" t="inlineStr">
        <is>
          <t>Residential: Electricity: Gross End-use Electricity Consumption: High Zero-Carbon Technology Cost</t>
        </is>
      </c>
      <c r="C36" t="inlineStr">
        <is>
          <t>AEO.2025.HIGHZTC.CNSM_NA_RESD_DELE_ELC_NA_USA_QBTU.A</t>
        </is>
      </c>
      <c r="D36" t="inlineStr">
        <is>
          <t>quads</t>
        </is>
      </c>
      <c r="F36" t="n">
        <v>5.273498</v>
      </c>
      <c r="G36" t="n">
        <v>5.215618</v>
      </c>
      <c r="H36" t="n">
        <v>5.280972</v>
      </c>
      <c r="I36" t="n">
        <v>5.351367</v>
      </c>
      <c r="J36" t="n">
        <v>5.39989</v>
      </c>
      <c r="K36" t="n">
        <v>5.415101</v>
      </c>
      <c r="L36" t="n">
        <v>5.41076</v>
      </c>
      <c r="M36" t="n">
        <v>5.39813</v>
      </c>
      <c r="N36" t="n">
        <v>5.389836</v>
      </c>
      <c r="O36" t="n">
        <v>5.388621</v>
      </c>
      <c r="P36" t="n">
        <v>5.395986</v>
      </c>
      <c r="Q36" t="n">
        <v>5.417979</v>
      </c>
      <c r="R36" t="n">
        <v>5.455192</v>
      </c>
      <c r="S36" t="n">
        <v>5.501026</v>
      </c>
      <c r="T36" t="n">
        <v>5.545281</v>
      </c>
      <c r="U36" t="n">
        <v>5.594539</v>
      </c>
      <c r="V36" t="n">
        <v>5.644015</v>
      </c>
      <c r="W36" t="n">
        <v>5.693741</v>
      </c>
      <c r="X36" t="n">
        <v>5.746128</v>
      </c>
      <c r="Y36" t="n">
        <v>5.801775</v>
      </c>
      <c r="Z36" t="n">
        <v>5.85697</v>
      </c>
      <c r="AA36" t="n">
        <v>5.911991</v>
      </c>
      <c r="AB36" t="n">
        <v>5.967147</v>
      </c>
      <c r="AC36" t="n">
        <v>6.022335</v>
      </c>
      <c r="AD36" t="n">
        <v>6.078058</v>
      </c>
      <c r="AE36" t="n">
        <v>6.135883</v>
      </c>
      <c r="AF36" t="n">
        <v>6.193983</v>
      </c>
      <c r="AG36" s="42" t="n">
        <v>0.006</v>
      </c>
    </row>
    <row r="37">
      <c r="A37" t="inlineStr">
        <is>
          <t>Purchased Electricity for Electric Vehicle Charging</t>
        </is>
      </c>
      <c r="B37" t="inlineStr">
        <is>
          <t>Residential: Electricity: Purchased Electricity for EV Charging: High Zero-Carbon Technology Cost</t>
        </is>
      </c>
      <c r="C37" t="inlineStr">
        <is>
          <t>AEO.2025.HIGHZTC.CNSM_NA_RESD_EVCHRING_ELC_NA_USA_QBTU.A</t>
        </is>
      </c>
      <c r="D37" t="inlineStr">
        <is>
          <t>quads</t>
        </is>
      </c>
      <c r="F37" t="n">
        <v>0.044337</v>
      </c>
      <c r="G37" t="n">
        <v>0.066202</v>
      </c>
      <c r="H37" t="n">
        <v>0.098493</v>
      </c>
      <c r="I37" t="n">
        <v>0.141134</v>
      </c>
      <c r="J37" t="n">
        <v>0.193594</v>
      </c>
      <c r="K37" t="n">
        <v>0.256257</v>
      </c>
      <c r="L37" t="n">
        <v>0.332269</v>
      </c>
      <c r="M37" t="n">
        <v>0.409644</v>
      </c>
      <c r="N37" t="n">
        <v>0.496106</v>
      </c>
      <c r="O37" t="n">
        <v>0.582734</v>
      </c>
      <c r="P37" t="n">
        <v>0.671272</v>
      </c>
      <c r="Q37" t="n">
        <v>0.757746</v>
      </c>
      <c r="R37" t="n">
        <v>0.842552</v>
      </c>
      <c r="S37" t="n">
        <v>0.9256180000000001</v>
      </c>
      <c r="T37" t="n">
        <v>1.005299</v>
      </c>
      <c r="U37" t="n">
        <v>1.080718</v>
      </c>
      <c r="V37" t="n">
        <v>1.151586</v>
      </c>
      <c r="W37" t="n">
        <v>1.217442</v>
      </c>
      <c r="X37" t="n">
        <v>1.277585</v>
      </c>
      <c r="Y37" t="n">
        <v>1.331949</v>
      </c>
      <c r="Z37" t="n">
        <v>1.380314</v>
      </c>
      <c r="AA37" t="n">
        <v>1.423876</v>
      </c>
      <c r="AB37" t="n">
        <v>1.4637</v>
      </c>
      <c r="AC37" t="n">
        <v>1.499768</v>
      </c>
      <c r="AD37" t="n">
        <v>1.531489</v>
      </c>
      <c r="AE37" t="n">
        <v>1.559817</v>
      </c>
      <c r="AF37" t="n">
        <v>1.58514</v>
      </c>
      <c r="AG37" s="42" t="n">
        <v>0.147</v>
      </c>
    </row>
    <row r="38">
      <c r="A38" t="inlineStr">
        <is>
          <t>On-site Generation for Own Use</t>
        </is>
      </c>
      <c r="B38" t="inlineStr">
        <is>
          <t>Residential: Electricity: Generation for Own Use: High Zero-Carbon Technology Cost</t>
        </is>
      </c>
      <c r="C38" t="inlineStr">
        <is>
          <t>AEO.2025.HIGHZTC.GEN_NA_RESD_GFO_ELC_NA_USA_QBTU.A</t>
        </is>
      </c>
      <c r="D38" t="inlineStr">
        <is>
          <t>quads</t>
        </is>
      </c>
      <c r="F38" t="n">
        <v>0.175875</v>
      </c>
      <c r="G38" t="n">
        <v>0.199964</v>
      </c>
      <c r="H38" t="n">
        <v>0.224404</v>
      </c>
      <c r="I38" t="n">
        <v>0.247287</v>
      </c>
      <c r="J38" t="n">
        <v>0.270664</v>
      </c>
      <c r="K38" t="n">
        <v>0.294409</v>
      </c>
      <c r="L38" t="n">
        <v>0.319696</v>
      </c>
      <c r="M38" t="n">
        <v>0.346641</v>
      </c>
      <c r="N38" t="n">
        <v>0.373479</v>
      </c>
      <c r="O38" t="n">
        <v>0.400223</v>
      </c>
      <c r="P38" t="n">
        <v>0.426444</v>
      </c>
      <c r="Q38" t="n">
        <v>0.446916</v>
      </c>
      <c r="R38" t="n">
        <v>0.467945</v>
      </c>
      <c r="S38" t="n">
        <v>0.48926</v>
      </c>
      <c r="T38" t="n">
        <v>0.511423</v>
      </c>
      <c r="U38" t="n">
        <v>0.533874</v>
      </c>
      <c r="V38" t="n">
        <v>0.556782</v>
      </c>
      <c r="W38" t="n">
        <v>0.58001</v>
      </c>
      <c r="X38" t="n">
        <v>0.6038480000000001</v>
      </c>
      <c r="Y38" t="n">
        <v>0.628053</v>
      </c>
      <c r="Z38" t="n">
        <v>0.65273</v>
      </c>
      <c r="AA38" t="n">
        <v>0.678157</v>
      </c>
      <c r="AB38" t="n">
        <v>0.704211</v>
      </c>
      <c r="AC38" t="n">
        <v>0.73086</v>
      </c>
      <c r="AD38" t="n">
        <v>0.75825</v>
      </c>
      <c r="AE38" t="n">
        <v>0.786166</v>
      </c>
      <c r="AF38" t="n">
        <v>0.814509</v>
      </c>
      <c r="AG38" s="42" t="n">
        <v>0.061</v>
      </c>
    </row>
    <row r="39">
      <c r="A39" t="inlineStr">
        <is>
          <t>Purchased Electricity at Residential Location</t>
        </is>
      </c>
      <c r="B39" t="inlineStr">
        <is>
          <t>Residential: Electricity: Purchased Electricity at Residential Location: High Zero-Carbon Technology Cost</t>
        </is>
      </c>
      <c r="C39" t="inlineStr">
        <is>
          <t>AEO.2025.HIGHZTC.CNSM_NA_RESD_PURCHELEC_ELC_NA_USA_QBTU.A</t>
        </is>
      </c>
      <c r="D39" t="inlineStr">
        <is>
          <t>quads</t>
        </is>
      </c>
      <c r="F39" t="n">
        <v>5.141959</v>
      </c>
      <c r="G39" t="n">
        <v>5.081856</v>
      </c>
      <c r="H39" t="n">
        <v>5.155061</v>
      </c>
      <c r="I39" t="n">
        <v>5.245214</v>
      </c>
      <c r="J39" t="n">
        <v>5.322819</v>
      </c>
      <c r="K39" t="n">
        <v>5.376949</v>
      </c>
      <c r="L39" t="n">
        <v>5.423333</v>
      </c>
      <c r="M39" t="n">
        <v>5.461133</v>
      </c>
      <c r="N39" t="n">
        <v>5.512463</v>
      </c>
      <c r="O39" t="n">
        <v>5.571132</v>
      </c>
      <c r="P39" t="n">
        <v>5.640814</v>
      </c>
      <c r="Q39" t="n">
        <v>5.72881</v>
      </c>
      <c r="R39" t="n">
        <v>5.829799</v>
      </c>
      <c r="S39" t="n">
        <v>5.937385</v>
      </c>
      <c r="T39" t="n">
        <v>6.039158</v>
      </c>
      <c r="U39" t="n">
        <v>6.141384</v>
      </c>
      <c r="V39" t="n">
        <v>6.238818</v>
      </c>
      <c r="W39" t="n">
        <v>6.331173</v>
      </c>
      <c r="X39" t="n">
        <v>6.419865</v>
      </c>
      <c r="Y39" t="n">
        <v>6.505672</v>
      </c>
      <c r="Z39" t="n">
        <v>6.584554</v>
      </c>
      <c r="AA39" t="n">
        <v>6.65771</v>
      </c>
      <c r="AB39" t="n">
        <v>6.726636</v>
      </c>
      <c r="AC39" t="n">
        <v>6.791243</v>
      </c>
      <c r="AD39" t="n">
        <v>6.851297</v>
      </c>
      <c r="AE39" t="n">
        <v>6.909533</v>
      </c>
      <c r="AF39" t="n">
        <v>6.964614</v>
      </c>
      <c r="AG39" s="42" t="n">
        <v>0.012</v>
      </c>
    </row>
    <row r="40">
      <c r="A40" t="inlineStr">
        <is>
          <t>Natural Gas</t>
        </is>
      </c>
    </row>
    <row r="41">
      <c r="A41" t="inlineStr">
        <is>
          <t>Space Heating</t>
        </is>
      </c>
      <c r="B41" t="inlineStr">
        <is>
          <t>Residential: Natural Gas: Space Heating: High Zero-Carbon Technology Cost</t>
        </is>
      </c>
      <c r="C41" t="inlineStr">
        <is>
          <t>AEO.2025.HIGHZTC.CNSM_NA_RESD_SPH_NG_NA_USA_QBTU.A</t>
        </is>
      </c>
      <c r="D41" t="inlineStr">
        <is>
          <t>quads</t>
        </is>
      </c>
      <c r="F41" t="n">
        <v>2.777912</v>
      </c>
      <c r="G41" t="n">
        <v>3.12664</v>
      </c>
      <c r="H41" t="n">
        <v>3.141604</v>
      </c>
      <c r="I41" t="n">
        <v>3.146791</v>
      </c>
      <c r="J41" t="n">
        <v>3.143392</v>
      </c>
      <c r="K41" t="n">
        <v>3.126671</v>
      </c>
      <c r="L41" t="n">
        <v>3.103113</v>
      </c>
      <c r="M41" t="n">
        <v>3.069892</v>
      </c>
      <c r="N41" t="n">
        <v>3.026127</v>
      </c>
      <c r="O41" t="n">
        <v>2.987631</v>
      </c>
      <c r="P41" t="n">
        <v>2.946792</v>
      </c>
      <c r="Q41" t="n">
        <v>2.912199</v>
      </c>
      <c r="R41" t="n">
        <v>2.883551</v>
      </c>
      <c r="S41" t="n">
        <v>2.858295</v>
      </c>
      <c r="T41" t="n">
        <v>2.834296</v>
      </c>
      <c r="U41" t="n">
        <v>2.81154</v>
      </c>
      <c r="V41" t="n">
        <v>2.787776</v>
      </c>
      <c r="W41" t="n">
        <v>2.761015</v>
      </c>
      <c r="X41" t="n">
        <v>2.733698</v>
      </c>
      <c r="Y41" t="n">
        <v>2.706513</v>
      </c>
      <c r="Z41" t="n">
        <v>2.680865</v>
      </c>
      <c r="AA41" t="n">
        <v>2.657231</v>
      </c>
      <c r="AB41" t="n">
        <v>2.634207</v>
      </c>
      <c r="AC41" t="n">
        <v>2.611903</v>
      </c>
      <c r="AD41" t="n">
        <v>2.590528</v>
      </c>
      <c r="AE41" t="n">
        <v>2.569665</v>
      </c>
      <c r="AF41" t="n">
        <v>2.548368</v>
      </c>
      <c r="AG41" s="42" t="n">
        <v>-0.003</v>
      </c>
    </row>
    <row r="42">
      <c r="A42" t="inlineStr">
        <is>
          <t>Space Cooling</t>
        </is>
      </c>
      <c r="B42" t="inlineStr">
        <is>
          <t>Residential: Natural Gas: Space Cooling: High Zero-Carbon Technology Cost</t>
        </is>
      </c>
      <c r="C42" t="inlineStr">
        <is>
          <t>AEO.2025.HIGHZTC.CNSM_NA_RESD_SPC_NG_NA_USA_QBTU.A</t>
        </is>
      </c>
      <c r="D42" t="inlineStr">
        <is>
          <t>quads</t>
        </is>
      </c>
      <c r="F42" t="n">
        <v>0.063499</v>
      </c>
      <c r="G42" t="n">
        <v>0.061038</v>
      </c>
      <c r="H42" t="n">
        <v>0.061464</v>
      </c>
      <c r="I42" t="n">
        <v>0.061531</v>
      </c>
      <c r="J42" t="n">
        <v>0.061383</v>
      </c>
      <c r="K42" t="n">
        <v>0.061147</v>
      </c>
      <c r="L42" t="n">
        <v>0.060918</v>
      </c>
      <c r="M42" t="n">
        <v>0.060665</v>
      </c>
      <c r="N42" t="n">
        <v>0.060395</v>
      </c>
      <c r="O42" t="n">
        <v>0.060147</v>
      </c>
      <c r="P42" t="n">
        <v>0.059927</v>
      </c>
      <c r="Q42" t="n">
        <v>0.059807</v>
      </c>
      <c r="R42" t="n">
        <v>0.059799</v>
      </c>
      <c r="S42" t="n">
        <v>0.059868</v>
      </c>
      <c r="T42" t="n">
        <v>0.059965</v>
      </c>
      <c r="U42" t="n">
        <v>0.060137</v>
      </c>
      <c r="V42" t="n">
        <v>0.060331</v>
      </c>
      <c r="W42" t="n">
        <v>0.060539</v>
      </c>
      <c r="X42" t="n">
        <v>0.060751</v>
      </c>
      <c r="Y42" t="n">
        <v>0.060975</v>
      </c>
      <c r="Z42" t="n">
        <v>0.061196</v>
      </c>
      <c r="AA42" t="n">
        <v>0.061401</v>
      </c>
      <c r="AB42" t="n">
        <v>0.061602</v>
      </c>
      <c r="AC42" t="n">
        <v>0.061793</v>
      </c>
      <c r="AD42" t="n">
        <v>0.061997</v>
      </c>
      <c r="AE42" t="n">
        <v>0.062199</v>
      </c>
      <c r="AF42" t="n">
        <v>0.062392</v>
      </c>
      <c r="AG42" s="42" t="n">
        <v>-0.001</v>
      </c>
    </row>
    <row r="43">
      <c r="A43" t="inlineStr">
        <is>
          <t>Water Heating</t>
        </is>
      </c>
      <c r="B43" t="inlineStr">
        <is>
          <t>Residential: Natural Gas: Water Heating: High Zero-Carbon Technology Cost</t>
        </is>
      </c>
      <c r="C43" t="inlineStr">
        <is>
          <t>AEO.2025.HIGHZTC.CNSM_NA_RESD_WTHT_NG_NA_USA_QBTU.A</t>
        </is>
      </c>
      <c r="D43" t="inlineStr">
        <is>
          <t>quads</t>
        </is>
      </c>
      <c r="F43" t="n">
        <v>1.035874</v>
      </c>
      <c r="G43" t="n">
        <v>1.046498</v>
      </c>
      <c r="H43" t="n">
        <v>1.058767</v>
      </c>
      <c r="I43" t="n">
        <v>1.069351</v>
      </c>
      <c r="J43" t="n">
        <v>1.079818</v>
      </c>
      <c r="K43" t="n">
        <v>1.080751</v>
      </c>
      <c r="L43" t="n">
        <v>1.081037</v>
      </c>
      <c r="M43" t="n">
        <v>1.080496</v>
      </c>
      <c r="N43" t="n">
        <v>1.078113</v>
      </c>
      <c r="O43" t="n">
        <v>1.077774</v>
      </c>
      <c r="P43" t="n">
        <v>1.0797</v>
      </c>
      <c r="Q43" t="n">
        <v>1.084282</v>
      </c>
      <c r="R43" t="n">
        <v>1.088853</v>
      </c>
      <c r="S43" t="n">
        <v>1.093492</v>
      </c>
      <c r="T43" t="n">
        <v>1.09762</v>
      </c>
      <c r="U43" t="n">
        <v>1.101219</v>
      </c>
      <c r="V43" t="n">
        <v>1.10365</v>
      </c>
      <c r="W43" t="n">
        <v>1.104037</v>
      </c>
      <c r="X43" t="n">
        <v>1.102943</v>
      </c>
      <c r="Y43" t="n">
        <v>1.100647</v>
      </c>
      <c r="Z43" t="n">
        <v>1.097807</v>
      </c>
      <c r="AA43" t="n">
        <v>1.094437</v>
      </c>
      <c r="AB43" t="n">
        <v>1.09026</v>
      </c>
      <c r="AC43" t="n">
        <v>1.085951</v>
      </c>
      <c r="AD43" t="n">
        <v>1.081866</v>
      </c>
      <c r="AE43" t="n">
        <v>1.077826</v>
      </c>
      <c r="AF43" t="n">
        <v>1.074105</v>
      </c>
      <c r="AG43" s="42" t="n">
        <v>0.001</v>
      </c>
    </row>
    <row r="44">
      <c r="A44" t="inlineStr">
        <is>
          <t>Cooking</t>
        </is>
      </c>
      <c r="B44" t="inlineStr">
        <is>
          <t>Residential: Natural Gas: Cooking: High Zero-Carbon Technology Cost</t>
        </is>
      </c>
      <c r="C44" t="inlineStr">
        <is>
          <t>AEO.2025.HIGHZTC.CNSM_NA_RESD_CGR_NG_NA_USA_QBTU.A</t>
        </is>
      </c>
      <c r="D44" t="inlineStr">
        <is>
          <t>quads</t>
        </is>
      </c>
      <c r="F44" t="n">
        <v>0.077838</v>
      </c>
      <c r="G44" t="n">
        <v>0.07779899999999999</v>
      </c>
      <c r="H44" t="n">
        <v>0.077991</v>
      </c>
      <c r="I44" t="n">
        <v>0.07818600000000001</v>
      </c>
      <c r="J44" t="n">
        <v>0.078378</v>
      </c>
      <c r="K44" t="n">
        <v>0.078579</v>
      </c>
      <c r="L44" t="n">
        <v>0.078781</v>
      </c>
      <c r="M44" t="n">
        <v>0.078972</v>
      </c>
      <c r="N44" t="n">
        <v>0.07914499999999999</v>
      </c>
      <c r="O44" t="n">
        <v>0.079309</v>
      </c>
      <c r="P44" t="n">
        <v>0.079496</v>
      </c>
      <c r="Q44" t="n">
        <v>0.079723</v>
      </c>
      <c r="R44" t="n">
        <v>0.079999</v>
      </c>
      <c r="S44" t="n">
        <v>0.08032599999999999</v>
      </c>
      <c r="T44" t="n">
        <v>0.08072600000000001</v>
      </c>
      <c r="U44" t="n">
        <v>0.081166</v>
      </c>
      <c r="V44" t="n">
        <v>0.081648</v>
      </c>
      <c r="W44" t="n">
        <v>0.082162</v>
      </c>
      <c r="X44" t="n">
        <v>0.0827</v>
      </c>
      <c r="Y44" t="n">
        <v>0.083236</v>
      </c>
      <c r="Z44" t="n">
        <v>0.083776</v>
      </c>
      <c r="AA44" t="n">
        <v>0.084327</v>
      </c>
      <c r="AB44" t="n">
        <v>0.08488999999999999</v>
      </c>
      <c r="AC44" t="n">
        <v>0.085467</v>
      </c>
      <c r="AD44" t="n">
        <v>0.086059</v>
      </c>
      <c r="AE44" t="n">
        <v>0.08667</v>
      </c>
      <c r="AF44" t="n">
        <v>0.087302</v>
      </c>
      <c r="AG44" s="42" t="n">
        <v>0.004</v>
      </c>
    </row>
    <row r="45">
      <c r="A45" t="inlineStr">
        <is>
          <t>Clothes Dryers</t>
        </is>
      </c>
      <c r="B45" t="inlineStr">
        <is>
          <t>Residential: Natural Gas: Clothes Dryers: High Zero-Carbon Technology Cost</t>
        </is>
      </c>
      <c r="C45" t="inlineStr">
        <is>
          <t>AEO.2025.HIGHZTC.CNSM_NA_RESD_CDR_NG_NA_USA_QBTU.A</t>
        </is>
      </c>
      <c r="D45" t="inlineStr">
        <is>
          <t>quads</t>
        </is>
      </c>
      <c r="F45" t="n">
        <v>0.039583</v>
      </c>
      <c r="G45" t="n">
        <v>0.040486</v>
      </c>
      <c r="H45" t="n">
        <v>0.041405</v>
      </c>
      <c r="I45" t="n">
        <v>0.042257</v>
      </c>
      <c r="J45" t="n">
        <v>0.04311</v>
      </c>
      <c r="K45" t="n">
        <v>0.043956</v>
      </c>
      <c r="L45" t="n">
        <v>0.044797</v>
      </c>
      <c r="M45" t="n">
        <v>0.045565</v>
      </c>
      <c r="N45" t="n">
        <v>0.046229</v>
      </c>
      <c r="O45" t="n">
        <v>0.046833</v>
      </c>
      <c r="P45" t="n">
        <v>0.047464</v>
      </c>
      <c r="Q45" t="n">
        <v>0.048157</v>
      </c>
      <c r="R45" t="n">
        <v>0.04892</v>
      </c>
      <c r="S45" t="n">
        <v>0.049719</v>
      </c>
      <c r="T45" t="n">
        <v>0.050528</v>
      </c>
      <c r="U45" t="n">
        <v>0.051342</v>
      </c>
      <c r="V45" t="n">
        <v>0.052121</v>
      </c>
      <c r="W45" t="n">
        <v>0.052834</v>
      </c>
      <c r="X45" t="n">
        <v>0.053545</v>
      </c>
      <c r="Y45" t="n">
        <v>0.054265</v>
      </c>
      <c r="Z45" t="n">
        <v>0.055017</v>
      </c>
      <c r="AA45" t="n">
        <v>0.055794</v>
      </c>
      <c r="AB45" t="n">
        <v>0.056574</v>
      </c>
      <c r="AC45" t="n">
        <v>0.057377</v>
      </c>
      <c r="AD45" t="n">
        <v>0.058208</v>
      </c>
      <c r="AE45" t="n">
        <v>0.05904</v>
      </c>
      <c r="AF45" t="n">
        <v>0.059869</v>
      </c>
      <c r="AG45" s="42" t="n">
        <v>0.016</v>
      </c>
    </row>
    <row r="46">
      <c r="A46" t="inlineStr">
        <is>
          <t>Other Uses</t>
        </is>
      </c>
      <c r="B46" t="inlineStr">
        <is>
          <t>Residential: Natural Gas: Other Uses: High Zero-Carbon Technology Cost</t>
        </is>
      </c>
      <c r="C46" t="inlineStr">
        <is>
          <t>AEO.2025.HIGHZTC.CNSM_NA_RESD_OTHU_NG_NA_USA_QBTU.A</t>
        </is>
      </c>
      <c r="D46" t="inlineStr">
        <is>
          <t>quads</t>
        </is>
      </c>
      <c r="F46" t="n">
        <v>0.608734</v>
      </c>
      <c r="G46" t="n">
        <v>0.613747</v>
      </c>
      <c r="H46" t="n">
        <v>0.618291</v>
      </c>
      <c r="I46" t="n">
        <v>0.6214</v>
      </c>
      <c r="J46" t="n">
        <v>0.623526</v>
      </c>
      <c r="K46" t="n">
        <v>0.625004</v>
      </c>
      <c r="L46" t="n">
        <v>0.625873</v>
      </c>
      <c r="M46" t="n">
        <v>0.6253609999999999</v>
      </c>
      <c r="N46" t="n">
        <v>0.623064</v>
      </c>
      <c r="O46" t="n">
        <v>0.620104</v>
      </c>
      <c r="P46" t="n">
        <v>0.617586</v>
      </c>
      <c r="Q46" t="n">
        <v>0.615918</v>
      </c>
      <c r="R46" t="n">
        <v>0.6151450000000001</v>
      </c>
      <c r="S46" t="n">
        <v>0.61492</v>
      </c>
      <c r="T46" t="n">
        <v>0.614893</v>
      </c>
      <c r="U46" t="n">
        <v>0.6150949999999999</v>
      </c>
      <c r="V46" t="n">
        <v>0.6151180000000001</v>
      </c>
      <c r="W46" t="n">
        <v>0.614621</v>
      </c>
      <c r="X46" t="n">
        <v>0.613878</v>
      </c>
      <c r="Y46" t="n">
        <v>0.613063</v>
      </c>
      <c r="Z46" t="n">
        <v>0.612441</v>
      </c>
      <c r="AA46" t="n">
        <v>0.611882</v>
      </c>
      <c r="AB46" t="n">
        <v>0.611197</v>
      </c>
      <c r="AC46" t="n">
        <v>0.610648</v>
      </c>
      <c r="AD46" t="n">
        <v>0.610271</v>
      </c>
      <c r="AE46" t="n">
        <v>0.609813</v>
      </c>
      <c r="AF46" t="n">
        <v>0.6092689999999999</v>
      </c>
      <c r="AG46" s="42" t="n">
        <v>0</v>
      </c>
    </row>
    <row r="47">
      <c r="A47" t="inlineStr">
        <is>
          <t>Delivered Energy</t>
        </is>
      </c>
      <c r="B47" t="inlineStr">
        <is>
          <t>Residential: Natural Gas: Delivered Energy: High Zero-Carbon Technology Cost</t>
        </is>
      </c>
      <c r="C47" t="inlineStr">
        <is>
          <t>AEO.2025.HIGHZTC.CNSM_NA_RESD_DELE_NG_NA_USA_QBTU.A</t>
        </is>
      </c>
      <c r="D47" t="inlineStr">
        <is>
          <t>quads</t>
        </is>
      </c>
      <c r="F47" t="n">
        <v>4.60344</v>
      </c>
      <c r="G47" t="n">
        <v>4.966208</v>
      </c>
      <c r="H47" t="n">
        <v>4.999522</v>
      </c>
      <c r="I47" t="n">
        <v>5.019517</v>
      </c>
      <c r="J47" t="n">
        <v>5.029608</v>
      </c>
      <c r="K47" t="n">
        <v>5.016108</v>
      </c>
      <c r="L47" t="n">
        <v>4.994521</v>
      </c>
      <c r="M47" t="n">
        <v>4.960952</v>
      </c>
      <c r="N47" t="n">
        <v>4.913073</v>
      </c>
      <c r="O47" t="n">
        <v>4.871797</v>
      </c>
      <c r="P47" t="n">
        <v>4.830965</v>
      </c>
      <c r="Q47" t="n">
        <v>4.800086</v>
      </c>
      <c r="R47" t="n">
        <v>4.776269</v>
      </c>
      <c r="S47" t="n">
        <v>4.75662</v>
      </c>
      <c r="T47" t="n">
        <v>4.738029</v>
      </c>
      <c r="U47" t="n">
        <v>4.720499</v>
      </c>
      <c r="V47" t="n">
        <v>4.700645</v>
      </c>
      <c r="W47" t="n">
        <v>4.675209</v>
      </c>
      <c r="X47" t="n">
        <v>4.647515</v>
      </c>
      <c r="Y47" t="n">
        <v>4.6187</v>
      </c>
      <c r="Z47" t="n">
        <v>4.591101</v>
      </c>
      <c r="AA47" t="n">
        <v>4.565073</v>
      </c>
      <c r="AB47" t="n">
        <v>4.53873</v>
      </c>
      <c r="AC47" t="n">
        <v>4.513139</v>
      </c>
      <c r="AD47" t="n">
        <v>4.488929</v>
      </c>
      <c r="AE47" t="n">
        <v>4.465213</v>
      </c>
      <c r="AF47" t="n">
        <v>4.441305</v>
      </c>
      <c r="AG47" s="42" t="n">
        <v>-0.001</v>
      </c>
    </row>
    <row r="48">
      <c r="A48" t="inlineStr">
        <is>
          <t>Distillate Fuel Oil</t>
        </is>
      </c>
    </row>
    <row r="49">
      <c r="A49" t="inlineStr">
        <is>
          <t>Space Heating</t>
        </is>
      </c>
      <c r="B49" t="inlineStr">
        <is>
          <t>Residential: Distillate Fuel Oil: Space Heating: High Zero-Carbon Technology Cost</t>
        </is>
      </c>
      <c r="C49" t="inlineStr">
        <is>
          <t>AEO.2025.HIGHZTC.CNSM_NA_RESD_SPH_DFO_NA_USA_QBTU.A</t>
        </is>
      </c>
      <c r="D49" t="inlineStr">
        <is>
          <t>quads</t>
        </is>
      </c>
      <c r="F49" t="n">
        <v>0.379782</v>
      </c>
      <c r="G49" t="n">
        <v>0.410947</v>
      </c>
      <c r="H49" t="n">
        <v>0.40629</v>
      </c>
      <c r="I49" t="n">
        <v>0.399526</v>
      </c>
      <c r="J49" t="n">
        <v>0.391668</v>
      </c>
      <c r="K49" t="n">
        <v>0.383605</v>
      </c>
      <c r="L49" t="n">
        <v>0.375675</v>
      </c>
      <c r="M49" t="n">
        <v>0.368706</v>
      </c>
      <c r="N49" t="n">
        <v>0.36258</v>
      </c>
      <c r="O49" t="n">
        <v>0.357116</v>
      </c>
      <c r="P49" t="n">
        <v>0.351377</v>
      </c>
      <c r="Q49" t="n">
        <v>0.345757</v>
      </c>
      <c r="R49" t="n">
        <v>0.340382</v>
      </c>
      <c r="S49" t="n">
        <v>0.33508</v>
      </c>
      <c r="T49" t="n">
        <v>0.329944</v>
      </c>
      <c r="U49" t="n">
        <v>0.324954</v>
      </c>
      <c r="V49" t="n">
        <v>0.320003</v>
      </c>
      <c r="W49" t="n">
        <v>0.315094</v>
      </c>
      <c r="X49" t="n">
        <v>0.310324</v>
      </c>
      <c r="Y49" t="n">
        <v>0.305707</v>
      </c>
      <c r="Z49" t="n">
        <v>0.301</v>
      </c>
      <c r="AA49" t="n">
        <v>0.296803</v>
      </c>
      <c r="AB49" t="n">
        <v>0.292746</v>
      </c>
      <c r="AC49" t="n">
        <v>0.288855</v>
      </c>
      <c r="AD49" t="n">
        <v>0.285073</v>
      </c>
      <c r="AE49" t="n">
        <v>0.281366</v>
      </c>
      <c r="AF49" t="n">
        <v>0.277579</v>
      </c>
      <c r="AG49" s="42" t="n">
        <v>-0.012</v>
      </c>
    </row>
    <row r="50">
      <c r="A50" t="inlineStr">
        <is>
          <t>Water Heating</t>
        </is>
      </c>
      <c r="B50" t="inlineStr">
        <is>
          <t>Residential: Distillate Fuel Oil: Water Heating: High Zero-Carbon Technology Cost</t>
        </is>
      </c>
      <c r="C50" t="inlineStr">
        <is>
          <t>AEO.2025.HIGHZTC.CNSM_NA_RESD_WTHT_DFO_NA_USA_QBTU.A</t>
        </is>
      </c>
      <c r="D50" t="inlineStr">
        <is>
          <t>quads</t>
        </is>
      </c>
      <c r="F50" t="n">
        <v>0.04028</v>
      </c>
      <c r="G50" t="n">
        <v>0.038163</v>
      </c>
      <c r="H50" t="n">
        <v>0.035939</v>
      </c>
      <c r="I50" t="n">
        <v>0.033678</v>
      </c>
      <c r="J50" t="n">
        <v>0.031549</v>
      </c>
      <c r="K50" t="n">
        <v>0.029547</v>
      </c>
      <c r="L50" t="n">
        <v>0.027811</v>
      </c>
      <c r="M50" t="n">
        <v>0.026394</v>
      </c>
      <c r="N50" t="n">
        <v>0.025277</v>
      </c>
      <c r="O50" t="n">
        <v>0.0244</v>
      </c>
      <c r="P50" t="n">
        <v>0.023768</v>
      </c>
      <c r="Q50" t="n">
        <v>0.023374</v>
      </c>
      <c r="R50" t="n">
        <v>0.022939</v>
      </c>
      <c r="S50" t="n">
        <v>0.022479</v>
      </c>
      <c r="T50" t="n">
        <v>0.022013</v>
      </c>
      <c r="U50" t="n">
        <v>0.02154</v>
      </c>
      <c r="V50" t="n">
        <v>0.021059</v>
      </c>
      <c r="W50" t="n">
        <v>0.020565</v>
      </c>
      <c r="X50" t="n">
        <v>0.020063</v>
      </c>
      <c r="Y50" t="n">
        <v>0.019557</v>
      </c>
      <c r="Z50" t="n">
        <v>0.019034</v>
      </c>
      <c r="AA50" t="n">
        <v>0.018539</v>
      </c>
      <c r="AB50" t="n">
        <v>0.018051</v>
      </c>
      <c r="AC50" t="n">
        <v>0.017579</v>
      </c>
      <c r="AD50" t="n">
        <v>0.017124</v>
      </c>
      <c r="AE50" t="n">
        <v>0.016686</v>
      </c>
      <c r="AF50" t="n">
        <v>0.016261</v>
      </c>
      <c r="AG50" s="42" t="n">
        <v>-0.034</v>
      </c>
    </row>
    <row r="51">
      <c r="A51" t="inlineStr">
        <is>
          <t>Other Uses</t>
        </is>
      </c>
      <c r="B51" t="inlineStr">
        <is>
          <t>Residential: Distillate Fuel Oil: Other Uses: High Zero-Carbon Technology Cost</t>
        </is>
      </c>
      <c r="C51" t="inlineStr">
        <is>
          <t>AEO.2025.HIGHZTC.CNSM_NA_RESD_OTHU_DFO_NA_USA_QBTU.A</t>
        </is>
      </c>
      <c r="D51" t="inlineStr">
        <is>
          <t>quads</t>
        </is>
      </c>
      <c r="F51" t="n">
        <v>0.025815</v>
      </c>
      <c r="G51" t="n">
        <v>0.026125</v>
      </c>
      <c r="H51" t="n">
        <v>0.026247</v>
      </c>
      <c r="I51" t="n">
        <v>0.026216</v>
      </c>
      <c r="J51" t="n">
        <v>0.026099</v>
      </c>
      <c r="K51" t="n">
        <v>0.025952</v>
      </c>
      <c r="L51" t="n">
        <v>0.025805</v>
      </c>
      <c r="M51" t="n">
        <v>0.025722</v>
      </c>
      <c r="N51" t="n">
        <v>0.025691</v>
      </c>
      <c r="O51" t="n">
        <v>0.025659</v>
      </c>
      <c r="P51" t="n">
        <v>0.025626</v>
      </c>
      <c r="Q51" t="n">
        <v>0.025586</v>
      </c>
      <c r="R51" t="n">
        <v>0.025554</v>
      </c>
      <c r="S51" t="n">
        <v>0.025514</v>
      </c>
      <c r="T51" t="n">
        <v>0.025482</v>
      </c>
      <c r="U51" t="n">
        <v>0.025454</v>
      </c>
      <c r="V51" t="n">
        <v>0.025422</v>
      </c>
      <c r="W51" t="n">
        <v>0.025383</v>
      </c>
      <c r="X51" t="n">
        <v>0.025341</v>
      </c>
      <c r="Y51" t="n">
        <v>0.025298</v>
      </c>
      <c r="Z51" t="n">
        <v>0.025233</v>
      </c>
      <c r="AA51" t="n">
        <v>0.025202</v>
      </c>
      <c r="AB51" t="n">
        <v>0.025176</v>
      </c>
      <c r="AC51" t="n">
        <v>0.025159</v>
      </c>
      <c r="AD51" t="n">
        <v>0.025149</v>
      </c>
      <c r="AE51" t="n">
        <v>0.025135</v>
      </c>
      <c r="AF51" t="n">
        <v>0.025107</v>
      </c>
      <c r="AG51" s="42" t="n">
        <v>-0.001</v>
      </c>
    </row>
    <row r="52">
      <c r="A52" t="inlineStr">
        <is>
          <t>Delivered Energy</t>
        </is>
      </c>
      <c r="B52" t="inlineStr">
        <is>
          <t>Residential: Distillate Fuel Oil: Delivered Energy: High Zero-Carbon Technology Cost</t>
        </is>
      </c>
      <c r="C52" t="inlineStr">
        <is>
          <t>AEO.2025.HIGHZTC.CNSM_NA_RESD_NA_DFO_NA_USA_QBTU.A</t>
        </is>
      </c>
      <c r="D52" t="inlineStr">
        <is>
          <t>quads</t>
        </is>
      </c>
      <c r="F52" t="n">
        <v>0.445877</v>
      </c>
      <c r="G52" t="n">
        <v>0.475235</v>
      </c>
      <c r="H52" t="n">
        <v>0.468476</v>
      </c>
      <c r="I52" t="n">
        <v>0.459419</v>
      </c>
      <c r="J52" t="n">
        <v>0.449316</v>
      </c>
      <c r="K52" t="n">
        <v>0.439104</v>
      </c>
      <c r="L52" t="n">
        <v>0.429291</v>
      </c>
      <c r="M52" t="n">
        <v>0.420822</v>
      </c>
      <c r="N52" t="n">
        <v>0.413547</v>
      </c>
      <c r="O52" t="n">
        <v>0.407175</v>
      </c>
      <c r="P52" t="n">
        <v>0.400771</v>
      </c>
      <c r="Q52" t="n">
        <v>0.394716</v>
      </c>
      <c r="R52" t="n">
        <v>0.388874</v>
      </c>
      <c r="S52" t="n">
        <v>0.383074</v>
      </c>
      <c r="T52" t="n">
        <v>0.377439</v>
      </c>
      <c r="U52" t="n">
        <v>0.371949</v>
      </c>
      <c r="V52" t="n">
        <v>0.366483</v>
      </c>
      <c r="W52" t="n">
        <v>0.361042</v>
      </c>
      <c r="X52" t="n">
        <v>0.355729</v>
      </c>
      <c r="Y52" t="n">
        <v>0.350562</v>
      </c>
      <c r="Z52" t="n">
        <v>0.345267</v>
      </c>
      <c r="AA52" t="n">
        <v>0.340544</v>
      </c>
      <c r="AB52" t="n">
        <v>0.335973</v>
      </c>
      <c r="AC52" t="n">
        <v>0.331592</v>
      </c>
      <c r="AD52" t="n">
        <v>0.327346</v>
      </c>
      <c r="AE52" t="n">
        <v>0.323188</v>
      </c>
      <c r="AF52" t="n">
        <v>0.318975</v>
      </c>
      <c r="AG52" s="42" t="n">
        <v>-0.013</v>
      </c>
    </row>
    <row r="53">
      <c r="A53" t="inlineStr">
        <is>
          <t>Propane</t>
        </is>
      </c>
    </row>
    <row r="54">
      <c r="A54" t="inlineStr">
        <is>
          <t>Space Heating</t>
        </is>
      </c>
      <c r="B54" t="inlineStr">
        <is>
          <t>Residential: Propane: Space Heating: High Zero-Carbon Technology Cost</t>
        </is>
      </c>
      <c r="C54" t="inlineStr">
        <is>
          <t>AEO.2025.HIGHZTC.CNSM_NA_RESD_SPH_PROP_NA_USA_QBTU.A</t>
        </is>
      </c>
      <c r="D54" t="inlineStr">
        <is>
          <t>quads</t>
        </is>
      </c>
      <c r="F54" t="n">
        <v>0.303247</v>
      </c>
      <c r="G54" t="n">
        <v>0.337638</v>
      </c>
      <c r="H54" t="n">
        <v>0.333916</v>
      </c>
      <c r="I54" t="n">
        <v>0.329423</v>
      </c>
      <c r="J54" t="n">
        <v>0.324515</v>
      </c>
      <c r="K54" t="n">
        <v>0.318994</v>
      </c>
      <c r="L54" t="n">
        <v>0.31282</v>
      </c>
      <c r="M54" t="n">
        <v>0.306422</v>
      </c>
      <c r="N54" t="n">
        <v>0.299933</v>
      </c>
      <c r="O54" t="n">
        <v>0.293791</v>
      </c>
      <c r="P54" t="n">
        <v>0.287481</v>
      </c>
      <c r="Q54" t="n">
        <v>0.281694</v>
      </c>
      <c r="R54" t="n">
        <v>0.27654</v>
      </c>
      <c r="S54" t="n">
        <v>0.271931</v>
      </c>
      <c r="T54" t="n">
        <v>0.267676</v>
      </c>
      <c r="U54" t="n">
        <v>0.263745</v>
      </c>
      <c r="V54" t="n">
        <v>0.260081</v>
      </c>
      <c r="W54" t="n">
        <v>0.256547</v>
      </c>
      <c r="X54" t="n">
        <v>0.253138</v>
      </c>
      <c r="Y54" t="n">
        <v>0.249816</v>
      </c>
      <c r="Z54" t="n">
        <v>0.246655</v>
      </c>
      <c r="AA54" t="n">
        <v>0.24367</v>
      </c>
      <c r="AB54" t="n">
        <v>0.240954</v>
      </c>
      <c r="AC54" t="n">
        <v>0.238307</v>
      </c>
      <c r="AD54" t="n">
        <v>0.235689</v>
      </c>
      <c r="AE54" t="n">
        <v>0.233024</v>
      </c>
      <c r="AF54" t="n">
        <v>0.230162</v>
      </c>
      <c r="AG54" s="42" t="n">
        <v>-0.011</v>
      </c>
    </row>
    <row r="55">
      <c r="A55" t="inlineStr">
        <is>
          <t>Water Heating</t>
        </is>
      </c>
      <c r="B55" t="inlineStr">
        <is>
          <t>Residential: Propane: Water Heating: High Zero-Carbon Technology Cost</t>
        </is>
      </c>
      <c r="C55" t="inlineStr">
        <is>
          <t>AEO.2025.HIGHZTC.CNSM_NA_RESD_WTHT_PROP_NA_USA_QBTU.A</t>
        </is>
      </c>
      <c r="D55" t="inlineStr">
        <is>
          <t>quads</t>
        </is>
      </c>
      <c r="F55" t="n">
        <v>0.056642</v>
      </c>
      <c r="G55" t="n">
        <v>0.054625</v>
      </c>
      <c r="H55" t="n">
        <v>0.052684</v>
      </c>
      <c r="I55" t="n">
        <v>0.050775</v>
      </c>
      <c r="J55" t="n">
        <v>0.049031</v>
      </c>
      <c r="K55" t="n">
        <v>0.047143</v>
      </c>
      <c r="L55" t="n">
        <v>0.045398</v>
      </c>
      <c r="M55" t="n">
        <v>0.043868</v>
      </c>
      <c r="N55" t="n">
        <v>0.04252</v>
      </c>
      <c r="O55" t="n">
        <v>0.041422</v>
      </c>
      <c r="P55" t="n">
        <v>0.040549</v>
      </c>
      <c r="Q55" t="n">
        <v>0.039944</v>
      </c>
      <c r="R55" t="n">
        <v>0.039315</v>
      </c>
      <c r="S55" t="n">
        <v>0.038686</v>
      </c>
      <c r="T55" t="n">
        <v>0.038048</v>
      </c>
      <c r="U55" t="n">
        <v>0.037401</v>
      </c>
      <c r="V55" t="n">
        <v>0.03675</v>
      </c>
      <c r="W55" t="n">
        <v>0.036075</v>
      </c>
      <c r="X55" t="n">
        <v>0.035377</v>
      </c>
      <c r="Y55" t="n">
        <v>0.034657</v>
      </c>
      <c r="Z55" t="n">
        <v>0.033936</v>
      </c>
      <c r="AA55" t="n">
        <v>0.033213</v>
      </c>
      <c r="AB55" t="n">
        <v>0.032506</v>
      </c>
      <c r="AC55" t="n">
        <v>0.031829</v>
      </c>
      <c r="AD55" t="n">
        <v>0.031183</v>
      </c>
      <c r="AE55" t="n">
        <v>0.030557</v>
      </c>
      <c r="AF55" t="n">
        <v>0.029941</v>
      </c>
      <c r="AG55" s="42" t="n">
        <v>-0.024</v>
      </c>
    </row>
    <row r="56">
      <c r="A56" t="inlineStr">
        <is>
          <t>Cooking</t>
        </is>
      </c>
      <c r="B56" t="inlineStr">
        <is>
          <t>Residential: Propane: Cooking: High Zero-Carbon Technology Cost</t>
        </is>
      </c>
      <c r="C56" t="inlineStr">
        <is>
          <t>AEO.2025.HIGHZTC.CNSM_NA_RESD_CGR_PROP_NA_USA_QBTU.A</t>
        </is>
      </c>
      <c r="D56" t="inlineStr">
        <is>
          <t>quads</t>
        </is>
      </c>
      <c r="F56" t="n">
        <v>0.010414</v>
      </c>
      <c r="G56" t="n">
        <v>0.010315</v>
      </c>
      <c r="H56" t="n">
        <v>0.010249</v>
      </c>
      <c r="I56" t="n">
        <v>0.010179</v>
      </c>
      <c r="J56" t="n">
        <v>0.010103</v>
      </c>
      <c r="K56" t="n">
        <v>0.010025</v>
      </c>
      <c r="L56" t="n">
        <v>0.009944</v>
      </c>
      <c r="M56" t="n">
        <v>0.009859</v>
      </c>
      <c r="N56" t="n">
        <v>0.009767</v>
      </c>
      <c r="O56" t="n">
        <v>0.009671000000000001</v>
      </c>
      <c r="P56" t="n">
        <v>0.009571</v>
      </c>
      <c r="Q56" t="n">
        <v>0.009464999999999999</v>
      </c>
      <c r="R56" t="n">
        <v>0.009353999999999999</v>
      </c>
      <c r="S56" t="n">
        <v>0.009237</v>
      </c>
      <c r="T56" t="n">
        <v>0.009139</v>
      </c>
      <c r="U56" t="n">
        <v>0.009061</v>
      </c>
      <c r="V56" t="n">
        <v>0.009006</v>
      </c>
      <c r="W56" t="n">
        <v>0.008973999999999999</v>
      </c>
      <c r="X56" t="n">
        <v>0.008966</v>
      </c>
      <c r="Y56" t="n">
        <v>0.008956</v>
      </c>
      <c r="Z56" t="n">
        <v>0.008943</v>
      </c>
      <c r="AA56" t="n">
        <v>0.008928999999999999</v>
      </c>
      <c r="AB56" t="n">
        <v>0.008912</v>
      </c>
      <c r="AC56" t="n">
        <v>0.008894000000000001</v>
      </c>
      <c r="AD56" t="n">
        <v>0.008872</v>
      </c>
      <c r="AE56" t="n">
        <v>0.008848</v>
      </c>
      <c r="AF56" t="n">
        <v>0.008822999999999999</v>
      </c>
      <c r="AG56" s="42" t="n">
        <v>-0.006</v>
      </c>
    </row>
    <row r="57">
      <c r="A57" t="inlineStr">
        <is>
          <t>Other Uses</t>
        </is>
      </c>
      <c r="B57" t="inlineStr">
        <is>
          <t>Residential: Propane: Other Uses: High Zero-Carbon Technology Cost</t>
        </is>
      </c>
      <c r="C57" t="inlineStr">
        <is>
          <t>AEO.2025.HIGHZTC.CNSM_NA_RESD_OTHU_PROP_NA_USA_QBTU.A</t>
        </is>
      </c>
      <c r="D57" t="inlineStr">
        <is>
          <t>quads</t>
        </is>
      </c>
      <c r="F57" t="n">
        <v>0.075281</v>
      </c>
      <c r="G57" t="n">
        <v>0.07813199999999999</v>
      </c>
      <c r="H57" t="n">
        <v>0.080817</v>
      </c>
      <c r="I57" t="n">
        <v>0.08336499999999999</v>
      </c>
      <c r="J57" t="n">
        <v>0.085864</v>
      </c>
      <c r="K57" t="n">
        <v>0.088323</v>
      </c>
      <c r="L57" t="n">
        <v>0.090687</v>
      </c>
      <c r="M57" t="n">
        <v>0.093015</v>
      </c>
      <c r="N57" t="n">
        <v>0.095246</v>
      </c>
      <c r="O57" t="n">
        <v>0.097373</v>
      </c>
      <c r="P57" t="n">
        <v>0.099442</v>
      </c>
      <c r="Q57" t="n">
        <v>0.101583</v>
      </c>
      <c r="R57" t="n">
        <v>0.103856</v>
      </c>
      <c r="S57" t="n">
        <v>0.10623</v>
      </c>
      <c r="T57" t="n">
        <v>0.108665</v>
      </c>
      <c r="U57" t="n">
        <v>0.111141</v>
      </c>
      <c r="V57" t="n">
        <v>0.113638</v>
      </c>
      <c r="W57" t="n">
        <v>0.116105</v>
      </c>
      <c r="X57" t="n">
        <v>0.118547</v>
      </c>
      <c r="Y57" t="n">
        <v>0.120947</v>
      </c>
      <c r="Z57" t="n">
        <v>0.123361</v>
      </c>
      <c r="AA57" t="n">
        <v>0.125781</v>
      </c>
      <c r="AB57" t="n">
        <v>0.128248</v>
      </c>
      <c r="AC57" t="n">
        <v>0.130785</v>
      </c>
      <c r="AD57" t="n">
        <v>0.133369</v>
      </c>
      <c r="AE57" t="n">
        <v>0.13592</v>
      </c>
      <c r="AF57" t="n">
        <v>0.138362</v>
      </c>
      <c r="AG57" s="42" t="n">
        <v>0.024</v>
      </c>
    </row>
    <row r="58">
      <c r="A58" t="inlineStr">
        <is>
          <t>Delivered Energy</t>
        </is>
      </c>
      <c r="B58" t="inlineStr">
        <is>
          <t>Residential: Propane: Delivered Energy: High Zero-Carbon Technology Cost</t>
        </is>
      </c>
      <c r="C58" t="inlineStr">
        <is>
          <t>AEO.2025.HIGHZTC.CNSM_NA_RESD_DELE_PROP_NA_USA_QBTU.A</t>
        </is>
      </c>
      <c r="D58" t="inlineStr">
        <is>
          <t>quads</t>
        </is>
      </c>
      <c r="F58" t="n">
        <v>0.445585</v>
      </c>
      <c r="G58" t="n">
        <v>0.480711</v>
      </c>
      <c r="H58" t="n">
        <v>0.477666</v>
      </c>
      <c r="I58" t="n">
        <v>0.473743</v>
      </c>
      <c r="J58" t="n">
        <v>0.469514</v>
      </c>
      <c r="K58" t="n">
        <v>0.464486</v>
      </c>
      <c r="L58" t="n">
        <v>0.458849</v>
      </c>
      <c r="M58" t="n">
        <v>0.453163</v>
      </c>
      <c r="N58" t="n">
        <v>0.447466</v>
      </c>
      <c r="O58" t="n">
        <v>0.442258</v>
      </c>
      <c r="P58" t="n">
        <v>0.437043</v>
      </c>
      <c r="Q58" t="n">
        <v>0.432687</v>
      </c>
      <c r="R58" t="n">
        <v>0.429065</v>
      </c>
      <c r="S58" t="n">
        <v>0.426084</v>
      </c>
      <c r="T58" t="n">
        <v>0.423529</v>
      </c>
      <c r="U58" t="n">
        <v>0.421347</v>
      </c>
      <c r="V58" t="n">
        <v>0.419476</v>
      </c>
      <c r="W58" t="n">
        <v>0.417701</v>
      </c>
      <c r="X58" t="n">
        <v>0.416029</v>
      </c>
      <c r="Y58" t="n">
        <v>0.414376</v>
      </c>
      <c r="Z58" t="n">
        <v>0.412896</v>
      </c>
      <c r="AA58" t="n">
        <v>0.411593</v>
      </c>
      <c r="AB58" t="n">
        <v>0.41062</v>
      </c>
      <c r="AC58" t="n">
        <v>0.409815</v>
      </c>
      <c r="AD58" t="n">
        <v>0.409114</v>
      </c>
      <c r="AE58" t="n">
        <v>0.408349</v>
      </c>
      <c r="AF58" t="n">
        <v>0.407288</v>
      </c>
      <c r="AG58" s="42" t="n">
        <v>-0.003</v>
      </c>
    </row>
    <row r="59">
      <c r="A59" t="inlineStr">
        <is>
          <t>Marketed Renewables (wood)</t>
        </is>
      </c>
      <c r="B59" t="inlineStr">
        <is>
          <t>Residential: Marketed Renewables (wood): High Zero-Carbon Technology Cost</t>
        </is>
      </c>
      <c r="C59" t="inlineStr">
        <is>
          <t>AEO.2025.HIGHZTC.CNSM_NA_RESD_NA_MRW_NA_USA_QBTU.A</t>
        </is>
      </c>
      <c r="D59" t="inlineStr">
        <is>
          <t>quads</t>
        </is>
      </c>
      <c r="F59" t="n">
        <v>0.357583</v>
      </c>
      <c r="G59" t="n">
        <v>0.365094</v>
      </c>
      <c r="H59" t="n">
        <v>0.352654</v>
      </c>
      <c r="I59" t="n">
        <v>0.347295</v>
      </c>
      <c r="J59" t="n">
        <v>0.345718</v>
      </c>
      <c r="K59" t="n">
        <v>0.345503</v>
      </c>
      <c r="L59" t="n">
        <v>0.34529</v>
      </c>
      <c r="M59" t="n">
        <v>0.342499</v>
      </c>
      <c r="N59" t="n">
        <v>0.337295</v>
      </c>
      <c r="O59" t="n">
        <v>0.332838</v>
      </c>
      <c r="P59" t="n">
        <v>0.328234</v>
      </c>
      <c r="Q59" t="n">
        <v>0.323965</v>
      </c>
      <c r="R59" t="n">
        <v>0.319381</v>
      </c>
      <c r="S59" t="n">
        <v>0.315221</v>
      </c>
      <c r="T59" t="n">
        <v>0.311018</v>
      </c>
      <c r="U59" t="n">
        <v>0.306564</v>
      </c>
      <c r="V59" t="n">
        <v>0.302182</v>
      </c>
      <c r="W59" t="n">
        <v>0.2981</v>
      </c>
      <c r="X59" t="n">
        <v>0.294377</v>
      </c>
      <c r="Y59" t="n">
        <v>0.29095</v>
      </c>
      <c r="Z59" t="n">
        <v>0.288536</v>
      </c>
      <c r="AA59" t="n">
        <v>0.284935</v>
      </c>
      <c r="AB59" t="n">
        <v>0.281377</v>
      </c>
      <c r="AC59" t="n">
        <v>0.277692</v>
      </c>
      <c r="AD59" t="n">
        <v>0.273872</v>
      </c>
      <c r="AE59" t="n">
        <v>0.270572</v>
      </c>
      <c r="AF59" t="n">
        <v>0.26805</v>
      </c>
      <c r="AG59" s="42" t="n">
        <v>-0.011</v>
      </c>
    </row>
    <row r="60">
      <c r="A60" t="inlineStr">
        <is>
          <t>Energy Consumption by End Use</t>
        </is>
      </c>
    </row>
    <row r="61">
      <c r="A61" t="inlineStr">
        <is>
          <t>Space Heating</t>
        </is>
      </c>
      <c r="B61" t="inlineStr">
        <is>
          <t>Residential: Delivered Energy Use by End Use: Space Heating: High Zero-Carbon Technology Cost</t>
        </is>
      </c>
      <c r="C61" t="inlineStr">
        <is>
          <t>AEO.2025.HIGHZTC.CNSM_NA_RESD_SPH_DEE_NA_USA_QBTU.A</t>
        </is>
      </c>
      <c r="D61" t="inlineStr">
        <is>
          <t>quads</t>
        </is>
      </c>
      <c r="F61" t="n">
        <v>4.346586</v>
      </c>
      <c r="G61" t="n">
        <v>4.82288</v>
      </c>
      <c r="H61" t="n">
        <v>4.820008</v>
      </c>
      <c r="I61" t="n">
        <v>4.812223</v>
      </c>
      <c r="J61" t="n">
        <v>4.795197</v>
      </c>
      <c r="K61" t="n">
        <v>4.761184</v>
      </c>
      <c r="L61" t="n">
        <v>4.717449</v>
      </c>
      <c r="M61" t="n">
        <v>4.661115</v>
      </c>
      <c r="N61" t="n">
        <v>4.592674</v>
      </c>
      <c r="O61" t="n">
        <v>4.532102</v>
      </c>
      <c r="P61" t="n">
        <v>4.468456</v>
      </c>
      <c r="Q61" t="n">
        <v>4.413923</v>
      </c>
      <c r="R61" t="n">
        <v>4.367511</v>
      </c>
      <c r="S61" t="n">
        <v>4.325822</v>
      </c>
      <c r="T61" t="n">
        <v>4.284976</v>
      </c>
      <c r="U61" t="n">
        <v>4.245395</v>
      </c>
      <c r="V61" t="n">
        <v>4.204994</v>
      </c>
      <c r="W61" t="n">
        <v>4.161585</v>
      </c>
      <c r="X61" t="n">
        <v>4.118366</v>
      </c>
      <c r="Y61" t="n">
        <v>4.075853</v>
      </c>
      <c r="Z61" t="n">
        <v>4.035384</v>
      </c>
      <c r="AA61" t="n">
        <v>3.996163</v>
      </c>
      <c r="AB61" t="n">
        <v>3.957632</v>
      </c>
      <c r="AC61" t="n">
        <v>3.919685</v>
      </c>
      <c r="AD61" t="n">
        <v>3.882566</v>
      </c>
      <c r="AE61" t="n">
        <v>3.846835</v>
      </c>
      <c r="AF61" t="n">
        <v>3.810959</v>
      </c>
      <c r="AG61" s="42" t="n">
        <v>-0.005</v>
      </c>
    </row>
    <row r="62">
      <c r="A62" t="inlineStr">
        <is>
          <t>Space Cooling</t>
        </is>
      </c>
      <c r="B62" t="inlineStr">
        <is>
          <t>Residential: Delivered Energy Use by End Use: Space Cooling: High Zero-Carbon Technology Cost</t>
        </is>
      </c>
      <c r="C62" t="inlineStr">
        <is>
          <t>AEO.2025.HIGHZTC.CNSM_NA_RESD_SPC_DEE_NA_USA_QBTU.A</t>
        </is>
      </c>
      <c r="D62" t="inlineStr">
        <is>
          <t>quads</t>
        </is>
      </c>
      <c r="F62" t="n">
        <v>1.06058</v>
      </c>
      <c r="G62" t="n">
        <v>1.013512</v>
      </c>
      <c r="H62" t="n">
        <v>1.032818</v>
      </c>
      <c r="I62" t="n">
        <v>1.051242</v>
      </c>
      <c r="J62" t="n">
        <v>1.063392</v>
      </c>
      <c r="K62" t="n">
        <v>1.068177</v>
      </c>
      <c r="L62" t="n">
        <v>1.070424</v>
      </c>
      <c r="M62" t="n">
        <v>1.071058</v>
      </c>
      <c r="N62" t="n">
        <v>1.072892</v>
      </c>
      <c r="O62" t="n">
        <v>1.07964</v>
      </c>
      <c r="P62" t="n">
        <v>1.088461</v>
      </c>
      <c r="Q62" t="n">
        <v>1.101504</v>
      </c>
      <c r="R62" t="n">
        <v>1.118585</v>
      </c>
      <c r="S62" t="n">
        <v>1.137981</v>
      </c>
      <c r="T62" t="n">
        <v>1.156502</v>
      </c>
      <c r="U62" t="n">
        <v>1.17607</v>
      </c>
      <c r="V62" t="n">
        <v>1.195907</v>
      </c>
      <c r="W62" t="n">
        <v>1.216205</v>
      </c>
      <c r="X62" t="n">
        <v>1.236335</v>
      </c>
      <c r="Y62" t="n">
        <v>1.256843</v>
      </c>
      <c r="Z62" t="n">
        <v>1.277084</v>
      </c>
      <c r="AA62" t="n">
        <v>1.296835</v>
      </c>
      <c r="AB62" t="n">
        <v>1.316179</v>
      </c>
      <c r="AC62" t="n">
        <v>1.335333</v>
      </c>
      <c r="AD62" t="n">
        <v>1.354445</v>
      </c>
      <c r="AE62" t="n">
        <v>1.37382</v>
      </c>
      <c r="AF62" t="n">
        <v>1.393028</v>
      </c>
      <c r="AG62" s="42" t="n">
        <v>0.011</v>
      </c>
    </row>
    <row r="63">
      <c r="A63" t="inlineStr">
        <is>
          <t>Water Heating</t>
        </is>
      </c>
      <c r="B63" t="inlineStr">
        <is>
          <t>Residential: Delivered Energy Use by End Use: Water Heating: High Zero-Carbon Technology Cost</t>
        </is>
      </c>
      <c r="C63" t="inlineStr">
        <is>
          <t>AEO.2025.HIGHZTC.CNSM_NA_RESD_WTHT_DEE_NA_USA_QBTU.A</t>
        </is>
      </c>
      <c r="D63" t="inlineStr">
        <is>
          <t>quads</t>
        </is>
      </c>
      <c r="F63" t="n">
        <v>1.605489</v>
      </c>
      <c r="G63" t="n">
        <v>1.598546</v>
      </c>
      <c r="H63" t="n">
        <v>1.597089</v>
      </c>
      <c r="I63" t="n">
        <v>1.594245</v>
      </c>
      <c r="J63" t="n">
        <v>1.588942</v>
      </c>
      <c r="K63" t="n">
        <v>1.56559</v>
      </c>
      <c r="L63" t="n">
        <v>1.539192</v>
      </c>
      <c r="M63" t="n">
        <v>1.511479</v>
      </c>
      <c r="N63" t="n">
        <v>1.484329</v>
      </c>
      <c r="O63" t="n">
        <v>1.461879</v>
      </c>
      <c r="P63" t="n">
        <v>1.444578</v>
      </c>
      <c r="Q63" t="n">
        <v>1.433026</v>
      </c>
      <c r="R63" t="n">
        <v>1.423908</v>
      </c>
      <c r="S63" t="n">
        <v>1.416868</v>
      </c>
      <c r="T63" t="n">
        <v>1.410729</v>
      </c>
      <c r="U63" t="n">
        <v>1.405754</v>
      </c>
      <c r="V63" t="n">
        <v>1.401351</v>
      </c>
      <c r="W63" t="n">
        <v>1.396427</v>
      </c>
      <c r="X63" t="n">
        <v>1.391695</v>
      </c>
      <c r="Y63" t="n">
        <v>1.387422</v>
      </c>
      <c r="Z63" t="n">
        <v>1.382303</v>
      </c>
      <c r="AA63" t="n">
        <v>1.376514</v>
      </c>
      <c r="AB63" t="n">
        <v>1.36979</v>
      </c>
      <c r="AC63" t="n">
        <v>1.362908</v>
      </c>
      <c r="AD63" t="n">
        <v>1.356351</v>
      </c>
      <c r="AE63" t="n">
        <v>1.350008</v>
      </c>
      <c r="AF63" t="n">
        <v>1.344129</v>
      </c>
      <c r="AG63" s="42" t="n">
        <v>-0.007</v>
      </c>
    </row>
    <row r="64">
      <c r="A64" t="inlineStr">
        <is>
          <t>Refrigeration</t>
        </is>
      </c>
      <c r="B64" t="inlineStr">
        <is>
          <t>Residential: Delivered Energy Use by End Use: Refrigeration: High Zero-Carbon Technology Cost</t>
        </is>
      </c>
      <c r="C64" t="inlineStr">
        <is>
          <t>AEO.2025.HIGHZTC.CNSM_NA_RESD_REFR_DEE_NA_USA_QBTU.A</t>
        </is>
      </c>
      <c r="D64" t="inlineStr">
        <is>
          <t>quads</t>
        </is>
      </c>
      <c r="F64" t="n">
        <v>0.351479</v>
      </c>
      <c r="G64" t="n">
        <v>0.349737</v>
      </c>
      <c r="H64" t="n">
        <v>0.34897</v>
      </c>
      <c r="I64" t="n">
        <v>0.348118</v>
      </c>
      <c r="J64" t="n">
        <v>0.347168</v>
      </c>
      <c r="K64" t="n">
        <v>0.346545</v>
      </c>
      <c r="L64" t="n">
        <v>0.343717</v>
      </c>
      <c r="M64" t="n">
        <v>0.341147</v>
      </c>
      <c r="N64" t="n">
        <v>0.338816</v>
      </c>
      <c r="O64" t="n">
        <v>0.336635</v>
      </c>
      <c r="P64" t="n">
        <v>0.334581</v>
      </c>
      <c r="Q64" t="n">
        <v>0.332782</v>
      </c>
      <c r="R64" t="n">
        <v>0.331396</v>
      </c>
      <c r="S64" t="n">
        <v>0.330414</v>
      </c>
      <c r="T64" t="n">
        <v>0.32985</v>
      </c>
      <c r="U64" t="n">
        <v>0.329701</v>
      </c>
      <c r="V64" t="n">
        <v>0.329972</v>
      </c>
      <c r="W64" t="n">
        <v>0.33064</v>
      </c>
      <c r="X64" t="n">
        <v>0.331706</v>
      </c>
      <c r="Y64" t="n">
        <v>0.333167</v>
      </c>
      <c r="Z64" t="n">
        <v>0.335038</v>
      </c>
      <c r="AA64" t="n">
        <v>0.337389</v>
      </c>
      <c r="AB64" t="n">
        <v>0.340228</v>
      </c>
      <c r="AC64" t="n">
        <v>0.343544</v>
      </c>
      <c r="AD64" t="n">
        <v>0.346847</v>
      </c>
      <c r="AE64" t="n">
        <v>0.350126</v>
      </c>
      <c r="AF64" t="n">
        <v>0.353358</v>
      </c>
      <c r="AG64" s="42" t="n">
        <v>0</v>
      </c>
    </row>
    <row r="65">
      <c r="A65" t="inlineStr">
        <is>
          <t>Cooking</t>
        </is>
      </c>
      <c r="B65" t="inlineStr">
        <is>
          <t>Residential: Delivered Energy Use by End Use: Cooking: High Zero-Carbon Technology Cost</t>
        </is>
      </c>
      <c r="C65" t="inlineStr">
        <is>
          <t>AEO.2025.HIGHZTC.CNSM_NA_RESD_CGR_DEE_NA_USA_QBTU.A</t>
        </is>
      </c>
      <c r="D65" t="inlineStr">
        <is>
          <t>quads</t>
        </is>
      </c>
      <c r="F65" t="n">
        <v>0.155616</v>
      </c>
      <c r="G65" t="n">
        <v>0.155966</v>
      </c>
      <c r="H65" t="n">
        <v>0.15681</v>
      </c>
      <c r="I65" t="n">
        <v>0.157668</v>
      </c>
      <c r="J65" t="n">
        <v>0.158521</v>
      </c>
      <c r="K65" t="n">
        <v>0.159401</v>
      </c>
      <c r="L65" t="n">
        <v>0.160279</v>
      </c>
      <c r="M65" t="n">
        <v>0.161142</v>
      </c>
      <c r="N65" t="n">
        <v>0.161972</v>
      </c>
      <c r="O65" t="n">
        <v>0.162759</v>
      </c>
      <c r="P65" t="n">
        <v>0.163526</v>
      </c>
      <c r="Q65" t="n">
        <v>0.164311</v>
      </c>
      <c r="R65" t="n">
        <v>0.165117</v>
      </c>
      <c r="S65" t="n">
        <v>0.165929</v>
      </c>
      <c r="T65" t="n">
        <v>0.166792</v>
      </c>
      <c r="U65" t="n">
        <v>0.16767</v>
      </c>
      <c r="V65" t="n">
        <v>0.168579</v>
      </c>
      <c r="W65" t="n">
        <v>0.169504</v>
      </c>
      <c r="X65" t="n">
        <v>0.170452</v>
      </c>
      <c r="Y65" t="n">
        <v>0.171368</v>
      </c>
      <c r="Z65" t="n">
        <v>0.172272</v>
      </c>
      <c r="AA65" t="n">
        <v>0.173179</v>
      </c>
      <c r="AB65" t="n">
        <v>0.174087</v>
      </c>
      <c r="AC65" t="n">
        <v>0.174998</v>
      </c>
      <c r="AD65" t="n">
        <v>0.175913</v>
      </c>
      <c r="AE65" t="n">
        <v>0.176835</v>
      </c>
      <c r="AF65" t="n">
        <v>0.177762</v>
      </c>
      <c r="AG65" s="42" t="n">
        <v>0.005</v>
      </c>
    </row>
    <row r="66">
      <c r="A66" t="inlineStr">
        <is>
          <t>Clothes Dryers</t>
        </is>
      </c>
      <c r="B66" t="inlineStr">
        <is>
          <t>Residential: Delivered Energy Use by End Use: Clothes Dryers: High Zero-Carbon Technology Cost</t>
        </is>
      </c>
      <c r="C66" t="inlineStr">
        <is>
          <t>AEO.2025.HIGHZTC.CNSM_NA_RESD_CDR_DEE_NA_USA_QBTU.A</t>
        </is>
      </c>
      <c r="D66" t="inlineStr">
        <is>
          <t>quads</t>
        </is>
      </c>
      <c r="F66" t="n">
        <v>0.231395</v>
      </c>
      <c r="G66" t="n">
        <v>0.233561</v>
      </c>
      <c r="H66" t="n">
        <v>0.237949</v>
      </c>
      <c r="I66" t="n">
        <v>0.243112</v>
      </c>
      <c r="J66" t="n">
        <v>0.247172</v>
      </c>
      <c r="K66" t="n">
        <v>0.249626</v>
      </c>
      <c r="L66" t="n">
        <v>0.251142</v>
      </c>
      <c r="M66" t="n">
        <v>0.251821</v>
      </c>
      <c r="N66" t="n">
        <v>0.252038</v>
      </c>
      <c r="O66" t="n">
        <v>0.252117</v>
      </c>
      <c r="P66" t="n">
        <v>0.25274</v>
      </c>
      <c r="Q66" t="n">
        <v>0.254441</v>
      </c>
      <c r="R66" t="n">
        <v>0.257198</v>
      </c>
      <c r="S66" t="n">
        <v>0.260638</v>
      </c>
      <c r="T66" t="n">
        <v>0.26425</v>
      </c>
      <c r="U66" t="n">
        <v>0.268266</v>
      </c>
      <c r="V66" t="n">
        <v>0.272733</v>
      </c>
      <c r="W66" t="n">
        <v>0.277508</v>
      </c>
      <c r="X66" t="n">
        <v>0.282121</v>
      </c>
      <c r="Y66" t="n">
        <v>0.28665</v>
      </c>
      <c r="Z66" t="n">
        <v>0.290984</v>
      </c>
      <c r="AA66" t="n">
        <v>0.295126</v>
      </c>
      <c r="AB66" t="n">
        <v>0.29905</v>
      </c>
      <c r="AC66" t="n">
        <v>0.302791</v>
      </c>
      <c r="AD66" t="n">
        <v>0.306443</v>
      </c>
      <c r="AE66" t="n">
        <v>0.310017</v>
      </c>
      <c r="AF66" t="n">
        <v>0.313427</v>
      </c>
      <c r="AG66" s="42" t="n">
        <v>0.012</v>
      </c>
    </row>
    <row r="67">
      <c r="A67" t="inlineStr">
        <is>
          <t>Freezers</t>
        </is>
      </c>
      <c r="B67" t="inlineStr">
        <is>
          <t>Residential: Delivered Energy Use by End Use: Freezers: High Zero-Carbon Technology Cost</t>
        </is>
      </c>
      <c r="C67" t="inlineStr">
        <is>
          <t>AEO.2025.HIGHZTC.CNSM_NA_RESD_FRZ_DEE_NA_USA_QBTU.A</t>
        </is>
      </c>
      <c r="D67" t="inlineStr">
        <is>
          <t>quads</t>
        </is>
      </c>
      <c r="F67" t="n">
        <v>0.07954799999999999</v>
      </c>
      <c r="G67" t="n">
        <v>0.079317</v>
      </c>
      <c r="H67" t="n">
        <v>0.079323</v>
      </c>
      <c r="I67" t="n">
        <v>0.07932400000000001</v>
      </c>
      <c r="J67" t="n">
        <v>0.079287</v>
      </c>
      <c r="K67" t="n">
        <v>0.079225</v>
      </c>
      <c r="L67" t="n">
        <v>0.07876</v>
      </c>
      <c r="M67" t="n">
        <v>0.078245</v>
      </c>
      <c r="N67" t="n">
        <v>0.07769</v>
      </c>
      <c r="O67" t="n">
        <v>0.077149</v>
      </c>
      <c r="P67" t="n">
        <v>0.076617</v>
      </c>
      <c r="Q67" t="n">
        <v>0.076115</v>
      </c>
      <c r="R67" t="n">
        <v>0.075638</v>
      </c>
      <c r="S67" t="n">
        <v>0.07517500000000001</v>
      </c>
      <c r="T67" t="n">
        <v>0.074736</v>
      </c>
      <c r="U67" t="n">
        <v>0.07432</v>
      </c>
      <c r="V67" t="n">
        <v>0.073932</v>
      </c>
      <c r="W67" t="n">
        <v>0.07358099999999999</v>
      </c>
      <c r="X67" t="n">
        <v>0.073268</v>
      </c>
      <c r="Y67" t="n">
        <v>0.072993</v>
      </c>
      <c r="Z67" t="n">
        <v>0.07276100000000001</v>
      </c>
      <c r="AA67" t="n">
        <v>0.07258199999999999</v>
      </c>
      <c r="AB67" t="n">
        <v>0.072468</v>
      </c>
      <c r="AC67" t="n">
        <v>0.07241499999999999</v>
      </c>
      <c r="AD67" t="n">
        <v>0.072435</v>
      </c>
      <c r="AE67" t="n">
        <v>0.072536</v>
      </c>
      <c r="AF67" t="n">
        <v>0.072717</v>
      </c>
      <c r="AG67" s="42" t="n">
        <v>-0.003</v>
      </c>
    </row>
    <row r="68">
      <c r="A68" t="inlineStr">
        <is>
          <t>Lighting</t>
        </is>
      </c>
      <c r="B68" t="inlineStr">
        <is>
          <t>Residential: Delivered Energy Use by End Use: Lighting: High Zero-Carbon Technology Cost</t>
        </is>
      </c>
      <c r="C68" t="inlineStr">
        <is>
          <t>AEO.2025.HIGHZTC.CNSM_NA_RESD_LGHTNG_DEE_NA_USA_QBTU.A</t>
        </is>
      </c>
      <c r="D68" t="inlineStr">
        <is>
          <t>quads</t>
        </is>
      </c>
      <c r="F68" t="n">
        <v>0.187371</v>
      </c>
      <c r="G68" t="n">
        <v>0.18539</v>
      </c>
      <c r="H68" t="n">
        <v>0.186964</v>
      </c>
      <c r="I68" t="n">
        <v>0.190632</v>
      </c>
      <c r="J68" t="n">
        <v>0.193727</v>
      </c>
      <c r="K68" t="n">
        <v>0.195604</v>
      </c>
      <c r="L68" t="n">
        <v>0.195166</v>
      </c>
      <c r="M68" t="n">
        <v>0.194531</v>
      </c>
      <c r="N68" t="n">
        <v>0.19432</v>
      </c>
      <c r="O68" t="n">
        <v>0.194149</v>
      </c>
      <c r="P68" t="n">
        <v>0.194404</v>
      </c>
      <c r="Q68" t="n">
        <v>0.195278</v>
      </c>
      <c r="R68" t="n">
        <v>0.196599</v>
      </c>
      <c r="S68" t="n">
        <v>0.198067</v>
      </c>
      <c r="T68" t="n">
        <v>0.199294</v>
      </c>
      <c r="U68" t="n">
        <v>0.200681</v>
      </c>
      <c r="V68" t="n">
        <v>0.198798</v>
      </c>
      <c r="W68" t="n">
        <v>0.197172</v>
      </c>
      <c r="X68" t="n">
        <v>0.195941</v>
      </c>
      <c r="Y68" t="n">
        <v>0.19514</v>
      </c>
      <c r="Z68" t="n">
        <v>0.194706</v>
      </c>
      <c r="AA68" t="n">
        <v>0.194468</v>
      </c>
      <c r="AB68" t="n">
        <v>0.194278</v>
      </c>
      <c r="AC68" t="n">
        <v>0.194106</v>
      </c>
      <c r="AD68" t="n">
        <v>0.194081</v>
      </c>
      <c r="AE68" t="n">
        <v>0.194207</v>
      </c>
      <c r="AF68" t="n">
        <v>0.194363</v>
      </c>
      <c r="AG68" s="42" t="n">
        <v>0.001</v>
      </c>
    </row>
    <row r="69">
      <c r="A69" t="inlineStr">
        <is>
          <t>Clothes Washers</t>
        </is>
      </c>
      <c r="B69" t="inlineStr">
        <is>
          <t>Residential: Delivered Energy Use by End Use: Clothes Washers: High Zero-Carbon Technology Cost</t>
        </is>
      </c>
      <c r="C69" t="inlineStr">
        <is>
          <t>AEO.2025.HIGHZTC.CNSM_NA_RESD_CLW_DEE_NA_USA_QBTU.A</t>
        </is>
      </c>
      <c r="D69" t="inlineStr">
        <is>
          <t>quads</t>
        </is>
      </c>
      <c r="F69" t="n">
        <v>0.041807</v>
      </c>
      <c r="G69" t="n">
        <v>0.040731</v>
      </c>
      <c r="H69" t="n">
        <v>0.039766</v>
      </c>
      <c r="I69" t="n">
        <v>0.038787</v>
      </c>
      <c r="J69" t="n">
        <v>0.037633</v>
      </c>
      <c r="K69" t="n">
        <v>0.036454</v>
      </c>
      <c r="L69" t="n">
        <v>0.035086</v>
      </c>
      <c r="M69" t="n">
        <v>0.033659</v>
      </c>
      <c r="N69" t="n">
        <v>0.032143</v>
      </c>
      <c r="O69" t="n">
        <v>0.030826</v>
      </c>
      <c r="P69" t="n">
        <v>0.02971</v>
      </c>
      <c r="Q69" t="n">
        <v>0.028801</v>
      </c>
      <c r="R69" t="n">
        <v>0.028112</v>
      </c>
      <c r="S69" t="n">
        <v>0.027655</v>
      </c>
      <c r="T69" t="n">
        <v>0.027453</v>
      </c>
      <c r="U69" t="n">
        <v>0.027522</v>
      </c>
      <c r="V69" t="n">
        <v>0.02759</v>
      </c>
      <c r="W69" t="n">
        <v>0.027658</v>
      </c>
      <c r="X69" t="n">
        <v>0.027733</v>
      </c>
      <c r="Y69" t="n">
        <v>0.027815</v>
      </c>
      <c r="Z69" t="n">
        <v>0.027908</v>
      </c>
      <c r="AA69" t="n">
        <v>0.028016</v>
      </c>
      <c r="AB69" t="n">
        <v>0.028138</v>
      </c>
      <c r="AC69" t="n">
        <v>0.028273</v>
      </c>
      <c r="AD69" t="n">
        <v>0.02842</v>
      </c>
      <c r="AE69" t="n">
        <v>0.028576</v>
      </c>
      <c r="AF69" t="n">
        <v>0.028739</v>
      </c>
      <c r="AG69" s="42" t="n">
        <v>-0.014</v>
      </c>
    </row>
    <row r="70">
      <c r="A70" t="inlineStr">
        <is>
          <t>Dishwashers</t>
        </is>
      </c>
      <c r="B70" t="inlineStr">
        <is>
          <t>Residential: Delivered Energy Use by End Use: Dishwashers: High Zero-Carbon Technology Cost</t>
        </is>
      </c>
      <c r="C70" t="inlineStr">
        <is>
          <t>AEO.2025.HIGHZTC.CNSM_NA_RESD_DSW_DEE_NA_USA_QBTU.A</t>
        </is>
      </c>
      <c r="D70" t="inlineStr">
        <is>
          <t>quads</t>
        </is>
      </c>
      <c r="F70" t="n">
        <v>0.036367</v>
      </c>
      <c r="G70" t="n">
        <v>0.037219</v>
      </c>
      <c r="H70" t="n">
        <v>0.038216</v>
      </c>
      <c r="I70" t="n">
        <v>0.038546</v>
      </c>
      <c r="J70" t="n">
        <v>0.038751</v>
      </c>
      <c r="K70" t="n">
        <v>0.038915</v>
      </c>
      <c r="L70" t="n">
        <v>0.039032</v>
      </c>
      <c r="M70" t="n">
        <v>0.039101</v>
      </c>
      <c r="N70" t="n">
        <v>0.039118</v>
      </c>
      <c r="O70" t="n">
        <v>0.039202</v>
      </c>
      <c r="P70" t="n">
        <v>0.039359</v>
      </c>
      <c r="Q70" t="n">
        <v>0.039601</v>
      </c>
      <c r="R70" t="n">
        <v>0.039936</v>
      </c>
      <c r="S70" t="n">
        <v>0.040364</v>
      </c>
      <c r="T70" t="n">
        <v>0.040896</v>
      </c>
      <c r="U70" t="n">
        <v>0.041538</v>
      </c>
      <c r="V70" t="n">
        <v>0.042178</v>
      </c>
      <c r="W70" t="n">
        <v>0.042812</v>
      </c>
      <c r="X70" t="n">
        <v>0.043444</v>
      </c>
      <c r="Y70" t="n">
        <v>0.044074</v>
      </c>
      <c r="Z70" t="n">
        <v>0.044708</v>
      </c>
      <c r="AA70" t="n">
        <v>0.045349</v>
      </c>
      <c r="AB70" t="n">
        <v>0.045998</v>
      </c>
      <c r="AC70" t="n">
        <v>0.046655</v>
      </c>
      <c r="AD70" t="n">
        <v>0.047318</v>
      </c>
      <c r="AE70" t="n">
        <v>0.047988</v>
      </c>
      <c r="AF70" t="n">
        <v>0.048663</v>
      </c>
      <c r="AG70" s="42" t="n">
        <v>0.011</v>
      </c>
    </row>
    <row r="71">
      <c r="A71" t="inlineStr">
        <is>
          <t>Televisions and Related Equipment</t>
        </is>
      </c>
      <c r="B71" t="inlineStr">
        <is>
          <t>Residential: Delivered Energy Use by End Use: Televisions: High Zero-Carbon Technology Cost</t>
        </is>
      </c>
      <c r="C71" t="inlineStr">
        <is>
          <t>AEO.2025.HIGHZTC.CNSM_NA_RESD_TVR_DEE_NA_USA_QBTU.A</t>
        </is>
      </c>
      <c r="D71" t="inlineStr">
        <is>
          <t>quads</t>
        </is>
      </c>
      <c r="F71" t="n">
        <v>0.129374</v>
      </c>
      <c r="G71" t="n">
        <v>0.126544</v>
      </c>
      <c r="H71" t="n">
        <v>0.125215</v>
      </c>
      <c r="I71" t="n">
        <v>0.124316</v>
      </c>
      <c r="J71" t="n">
        <v>0.122902</v>
      </c>
      <c r="K71" t="n">
        <v>0.120777</v>
      </c>
      <c r="L71" t="n">
        <v>0.118375</v>
      </c>
      <c r="M71" t="n">
        <v>0.115926</v>
      </c>
      <c r="N71" t="n">
        <v>0.113659</v>
      </c>
      <c r="O71" t="n">
        <v>0.11144</v>
      </c>
      <c r="P71" t="n">
        <v>0.1095</v>
      </c>
      <c r="Q71" t="n">
        <v>0.10799</v>
      </c>
      <c r="R71" t="n">
        <v>0.106861</v>
      </c>
      <c r="S71" t="n">
        <v>0.105954</v>
      </c>
      <c r="T71" t="n">
        <v>0.105066</v>
      </c>
      <c r="U71" t="n">
        <v>0.104306</v>
      </c>
      <c r="V71" t="n">
        <v>0.103691</v>
      </c>
      <c r="W71" t="n">
        <v>0.103142</v>
      </c>
      <c r="X71" t="n">
        <v>0.102677</v>
      </c>
      <c r="Y71" t="n">
        <v>0.102345</v>
      </c>
      <c r="Z71" t="n">
        <v>0.102119</v>
      </c>
      <c r="AA71" t="n">
        <v>0.102036</v>
      </c>
      <c r="AB71" t="n">
        <v>0.102082</v>
      </c>
      <c r="AC71" t="n">
        <v>0.102176</v>
      </c>
      <c r="AD71" t="n">
        <v>0.10236</v>
      </c>
      <c r="AE71" t="n">
        <v>0.102613</v>
      </c>
      <c r="AF71" t="n">
        <v>0.102926</v>
      </c>
      <c r="AG71" s="42" t="n">
        <v>-0.008999999999999999</v>
      </c>
    </row>
    <row r="72">
      <c r="A72" t="inlineStr">
        <is>
          <t>Computers and Related Equipment</t>
        </is>
      </c>
      <c r="B72" t="inlineStr">
        <is>
          <t>Residential: Delivered Energy Use by End Use: Computers: High Zero-Carbon Technology Cost</t>
        </is>
      </c>
      <c r="C72" t="inlineStr">
        <is>
          <t>AEO.2025.HIGHZTC.CNSM_NA_RESD_CMPR_DEE_NA_USA_QBTU.A</t>
        </is>
      </c>
      <c r="D72" t="inlineStr">
        <is>
          <t>quads</t>
        </is>
      </c>
      <c r="F72" t="n">
        <v>0.100147</v>
      </c>
      <c r="G72" t="n">
        <v>0.098312</v>
      </c>
      <c r="H72" t="n">
        <v>0.09771199999999999</v>
      </c>
      <c r="I72" t="n">
        <v>0.097344</v>
      </c>
      <c r="J72" t="n">
        <v>0.09639200000000001</v>
      </c>
      <c r="K72" t="n">
        <v>0.094706</v>
      </c>
      <c r="L72" t="n">
        <v>0.092653</v>
      </c>
      <c r="M72" t="n">
        <v>0.090438</v>
      </c>
      <c r="N72" t="n">
        <v>0.088259</v>
      </c>
      <c r="O72" t="n">
        <v>0.086025</v>
      </c>
      <c r="P72" t="n">
        <v>0.083927</v>
      </c>
      <c r="Q72" t="n">
        <v>0.082077</v>
      </c>
      <c r="R72" t="n">
        <v>0.08045099999999999</v>
      </c>
      <c r="S72" t="n">
        <v>0.078944</v>
      </c>
      <c r="T72" t="n">
        <v>0.077403</v>
      </c>
      <c r="U72" t="n">
        <v>0.07593</v>
      </c>
      <c r="V72" t="n">
        <v>0.074545</v>
      </c>
      <c r="W72" t="n">
        <v>0.073196</v>
      </c>
      <c r="X72" t="n">
        <v>0.071926</v>
      </c>
      <c r="Y72" t="n">
        <v>0.07076200000000001</v>
      </c>
      <c r="Z72" t="n">
        <v>0.069712</v>
      </c>
      <c r="AA72" t="n">
        <v>0.06880500000000001</v>
      </c>
      <c r="AB72" t="n">
        <v>0.068054</v>
      </c>
      <c r="AC72" t="n">
        <v>0.06742099999999999</v>
      </c>
      <c r="AD72" t="n">
        <v>0.066941</v>
      </c>
      <c r="AE72" t="n">
        <v>0.066635</v>
      </c>
      <c r="AF72" t="n">
        <v>0.066465</v>
      </c>
      <c r="AG72" s="42" t="n">
        <v>-0.016</v>
      </c>
    </row>
    <row r="73">
      <c r="A73" t="inlineStr">
        <is>
          <t>Furnace Fans and Boiler Circulation Pumps</t>
        </is>
      </c>
      <c r="B73" t="inlineStr">
        <is>
          <t>Residential: Delivered Energy Use by End Use: Fans and Pumps: High Zero-Carbon Technology Cost</t>
        </is>
      </c>
      <c r="C73" t="inlineStr">
        <is>
          <t>AEO.2025.HIGHZTC.CNSM_NA_RESD_FPR_DEE_NA_USA_QBTU.A</t>
        </is>
      </c>
      <c r="D73" t="inlineStr">
        <is>
          <t>quads</t>
        </is>
      </c>
      <c r="F73" t="n">
        <v>0.137569</v>
      </c>
      <c r="G73" t="n">
        <v>0.158502</v>
      </c>
      <c r="H73" t="n">
        <v>0.160621</v>
      </c>
      <c r="I73" t="n">
        <v>0.16225</v>
      </c>
      <c r="J73" t="n">
        <v>0.16347</v>
      </c>
      <c r="K73" t="n">
        <v>0.164468</v>
      </c>
      <c r="L73" t="n">
        <v>0.165238</v>
      </c>
      <c r="M73" t="n">
        <v>0.165675</v>
      </c>
      <c r="N73" t="n">
        <v>0.165809</v>
      </c>
      <c r="O73" t="n">
        <v>0.165878</v>
      </c>
      <c r="P73" t="n">
        <v>0.165686</v>
      </c>
      <c r="Q73" t="n">
        <v>0.165527</v>
      </c>
      <c r="R73" t="n">
        <v>0.16534</v>
      </c>
      <c r="S73" t="n">
        <v>0.164941</v>
      </c>
      <c r="T73" t="n">
        <v>0.164175</v>
      </c>
      <c r="U73" t="n">
        <v>0.163033</v>
      </c>
      <c r="V73" t="n">
        <v>0.161423</v>
      </c>
      <c r="W73" t="n">
        <v>0.159333</v>
      </c>
      <c r="X73" t="n">
        <v>0.156941</v>
      </c>
      <c r="Y73" t="n">
        <v>0.154268</v>
      </c>
      <c r="Z73" t="n">
        <v>0.151514</v>
      </c>
      <c r="AA73" t="n">
        <v>0.14884</v>
      </c>
      <c r="AB73" t="n">
        <v>0.146261</v>
      </c>
      <c r="AC73" t="n">
        <v>0.143757</v>
      </c>
      <c r="AD73" t="n">
        <v>0.141437</v>
      </c>
      <c r="AE73" t="n">
        <v>0.139335</v>
      </c>
      <c r="AF73" t="n">
        <v>0.137382</v>
      </c>
      <c r="AG73" s="42" t="n">
        <v>0</v>
      </c>
    </row>
    <row r="74">
      <c r="A74" t="inlineStr">
        <is>
          <t>Other Uses</t>
        </is>
      </c>
      <c r="B74" t="inlineStr">
        <is>
          <t>Residential: Delivered Energy Use by End Use: Other Uses: High Zero-Carbon Technology Cost</t>
        </is>
      </c>
      <c r="C74" t="inlineStr">
        <is>
          <t>AEO.2025.HIGHZTC.CNSM_NA_RESD_OTHU_DEE_NA_USA_QBTU.A</t>
        </is>
      </c>
      <c r="D74" t="inlineStr">
        <is>
          <t>quads</t>
        </is>
      </c>
      <c r="F74" t="n">
        <v>2.662653</v>
      </c>
      <c r="G74" t="n">
        <v>2.602651</v>
      </c>
      <c r="H74" t="n">
        <v>2.657826</v>
      </c>
      <c r="I74" t="n">
        <v>2.713535</v>
      </c>
      <c r="J74" t="n">
        <v>2.761492</v>
      </c>
      <c r="K74" t="n">
        <v>2.799629</v>
      </c>
      <c r="L74" t="n">
        <v>2.832198</v>
      </c>
      <c r="M74" t="n">
        <v>2.860229</v>
      </c>
      <c r="N74" t="n">
        <v>2.887497</v>
      </c>
      <c r="O74" t="n">
        <v>2.91289</v>
      </c>
      <c r="P74" t="n">
        <v>2.941453</v>
      </c>
      <c r="Q74" t="n">
        <v>2.974055</v>
      </c>
      <c r="R74" t="n">
        <v>3.012127</v>
      </c>
      <c r="S74" t="n">
        <v>3.053272</v>
      </c>
      <c r="T74" t="n">
        <v>3.093176</v>
      </c>
      <c r="U74" t="n">
        <v>3.134712</v>
      </c>
      <c r="V74" t="n">
        <v>3.17711</v>
      </c>
      <c r="W74" t="n">
        <v>3.217032</v>
      </c>
      <c r="X74" t="n">
        <v>3.257173</v>
      </c>
      <c r="Y74" t="n">
        <v>3.297661</v>
      </c>
      <c r="Z74" t="n">
        <v>3.338277</v>
      </c>
      <c r="AA74" t="n">
        <v>3.378833</v>
      </c>
      <c r="AB74" t="n">
        <v>3.419604</v>
      </c>
      <c r="AC74" t="n">
        <v>3.460513</v>
      </c>
      <c r="AD74" t="n">
        <v>3.501765</v>
      </c>
      <c r="AE74" t="n">
        <v>3.543675</v>
      </c>
      <c r="AF74" t="n">
        <v>3.585654</v>
      </c>
      <c r="AG74" s="42" t="n">
        <v>0.012</v>
      </c>
    </row>
    <row r="75">
      <c r="A75" t="inlineStr">
        <is>
          <t>Gross End-use Electricity Consumption</t>
        </is>
      </c>
      <c r="B75" t="inlineStr">
        <is>
          <t>Residential: Energy Consumption by End Use: Gross End-use Consumption: High Zero-Carbon Technology Cost</t>
        </is>
      </c>
      <c r="C75" t="inlineStr">
        <is>
          <t>AEO.2025.HIGHZTC.CNSM_NA_RESD_TUS_DEE_NA_USA_QBTU.A</t>
        </is>
      </c>
      <c r="D75" t="inlineStr">
        <is>
          <t>quads</t>
        </is>
      </c>
      <c r="F75" t="n">
        <v>11.125982</v>
      </c>
      <c r="G75" t="n">
        <v>11.502867</v>
      </c>
      <c r="H75" t="n">
        <v>11.579289</v>
      </c>
      <c r="I75" t="n">
        <v>11.651342</v>
      </c>
      <c r="J75" t="n">
        <v>11.694045</v>
      </c>
      <c r="K75" t="n">
        <v>11.680302</v>
      </c>
      <c r="L75" t="n">
        <v>11.63871</v>
      </c>
      <c r="M75" t="n">
        <v>11.575567</v>
      </c>
      <c r="N75" t="n">
        <v>11.501217</v>
      </c>
      <c r="O75" t="n">
        <v>11.442689</v>
      </c>
      <c r="P75" t="n">
        <v>11.392999</v>
      </c>
      <c r="Q75" t="n">
        <v>11.369433</v>
      </c>
      <c r="R75" t="n">
        <v>11.36878</v>
      </c>
      <c r="S75" t="n">
        <v>11.382025</v>
      </c>
      <c r="T75" t="n">
        <v>11.395297</v>
      </c>
      <c r="U75" t="n">
        <v>11.414899</v>
      </c>
      <c r="V75" t="n">
        <v>11.4328</v>
      </c>
      <c r="W75" t="n">
        <v>11.445793</v>
      </c>
      <c r="X75" t="n">
        <v>11.459778</v>
      </c>
      <c r="Y75" t="n">
        <v>11.476362</v>
      </c>
      <c r="Z75" t="n">
        <v>11.494769</v>
      </c>
      <c r="AA75" t="n">
        <v>11.514135</v>
      </c>
      <c r="AB75" t="n">
        <v>11.533847</v>
      </c>
      <c r="AC75" t="n">
        <v>11.554574</v>
      </c>
      <c r="AD75" t="n">
        <v>11.57732</v>
      </c>
      <c r="AE75" t="n">
        <v>11.603204</v>
      </c>
      <c r="AF75" t="n">
        <v>11.629573</v>
      </c>
      <c r="AG75" s="42" t="n">
        <v>0.002</v>
      </c>
    </row>
    <row r="76">
      <c r="A76" t="inlineStr">
        <is>
          <t>Purchased Electricity for Electric Vehicle Charging</t>
        </is>
      </c>
      <c r="B76" t="inlineStr">
        <is>
          <t>Residential: Energy Consumption by End Use: Purchased Electricity for EV Charging: High Zero-Carbon Technology Cost</t>
        </is>
      </c>
      <c r="C76" t="inlineStr">
        <is>
          <t>AEO.2025.HIGHZTC.CNSM_NA_RESD_PUELEVCHRG_DEE_NA_USA_QBTU.A</t>
        </is>
      </c>
      <c r="D76" t="inlineStr">
        <is>
          <t>quads</t>
        </is>
      </c>
      <c r="F76" t="n">
        <v>0.044337</v>
      </c>
      <c r="G76" t="n">
        <v>0.066202</v>
      </c>
      <c r="H76" t="n">
        <v>0.098493</v>
      </c>
      <c r="I76" t="n">
        <v>0.141134</v>
      </c>
      <c r="J76" t="n">
        <v>0.193594</v>
      </c>
      <c r="K76" t="n">
        <v>0.256257</v>
      </c>
      <c r="L76" t="n">
        <v>0.332269</v>
      </c>
      <c r="M76" t="n">
        <v>0.409644</v>
      </c>
      <c r="N76" t="n">
        <v>0.496106</v>
      </c>
      <c r="O76" t="n">
        <v>0.582734</v>
      </c>
      <c r="P76" t="n">
        <v>0.671272</v>
      </c>
      <c r="Q76" t="n">
        <v>0.757746</v>
      </c>
      <c r="R76" t="n">
        <v>0.842552</v>
      </c>
      <c r="S76" t="n">
        <v>0.9256180000000001</v>
      </c>
      <c r="T76" t="n">
        <v>1.005299</v>
      </c>
      <c r="U76" t="n">
        <v>1.080718</v>
      </c>
      <c r="V76" t="n">
        <v>1.151586</v>
      </c>
      <c r="W76" t="n">
        <v>1.217442</v>
      </c>
      <c r="X76" t="n">
        <v>1.277585</v>
      </c>
      <c r="Y76" t="n">
        <v>1.331949</v>
      </c>
      <c r="Z76" t="n">
        <v>1.380314</v>
      </c>
      <c r="AA76" t="n">
        <v>1.423876</v>
      </c>
      <c r="AB76" t="n">
        <v>1.4637</v>
      </c>
      <c r="AC76" t="n">
        <v>1.499768</v>
      </c>
      <c r="AD76" t="n">
        <v>1.531489</v>
      </c>
      <c r="AE76" t="n">
        <v>1.559817</v>
      </c>
      <c r="AF76" t="n">
        <v>1.58514</v>
      </c>
      <c r="AG76" s="42" t="n">
        <v>0.147</v>
      </c>
    </row>
    <row r="77">
      <c r="A77" t="inlineStr">
        <is>
          <t>On-site Generation for Own Use</t>
        </is>
      </c>
      <c r="B77" t="inlineStr">
        <is>
          <t>Residential: Energy Consumption by End Use: Generation for Own Use: High Zero-Carbon Technology Cost</t>
        </is>
      </c>
      <c r="C77" t="inlineStr">
        <is>
          <t>AEO.2025.HIGHZTC.GEN_NA_RESD_GFO_DEE_NA_USA_QBTU.A</t>
        </is>
      </c>
      <c r="D77" t="inlineStr">
        <is>
          <t>quads</t>
        </is>
      </c>
      <c r="F77" t="n">
        <v>0.175875</v>
      </c>
      <c r="G77" t="n">
        <v>0.199964</v>
      </c>
      <c r="H77" t="n">
        <v>0.224404</v>
      </c>
      <c r="I77" t="n">
        <v>0.247287</v>
      </c>
      <c r="J77" t="n">
        <v>0.270664</v>
      </c>
      <c r="K77" t="n">
        <v>0.294409</v>
      </c>
      <c r="L77" t="n">
        <v>0.319696</v>
      </c>
      <c r="M77" t="n">
        <v>0.346641</v>
      </c>
      <c r="N77" t="n">
        <v>0.373479</v>
      </c>
      <c r="O77" t="n">
        <v>0.400223</v>
      </c>
      <c r="P77" t="n">
        <v>0.426444</v>
      </c>
      <c r="Q77" t="n">
        <v>0.446916</v>
      </c>
      <c r="R77" t="n">
        <v>0.467945</v>
      </c>
      <c r="S77" t="n">
        <v>0.48926</v>
      </c>
      <c r="T77" t="n">
        <v>0.511423</v>
      </c>
      <c r="U77" t="n">
        <v>0.533874</v>
      </c>
      <c r="V77" t="n">
        <v>0.556782</v>
      </c>
      <c r="W77" t="n">
        <v>0.58001</v>
      </c>
      <c r="X77" t="n">
        <v>0.6038480000000001</v>
      </c>
      <c r="Y77" t="n">
        <v>0.628053</v>
      </c>
      <c r="Z77" t="n">
        <v>0.65273</v>
      </c>
      <c r="AA77" t="n">
        <v>0.678157</v>
      </c>
      <c r="AB77" t="n">
        <v>0.704211</v>
      </c>
      <c r="AC77" t="n">
        <v>0.73086</v>
      </c>
      <c r="AD77" t="n">
        <v>0.75825</v>
      </c>
      <c r="AE77" t="n">
        <v>0.786166</v>
      </c>
      <c r="AF77" t="n">
        <v>0.814509</v>
      </c>
      <c r="AG77" s="42" t="n">
        <v>0.061</v>
      </c>
    </row>
    <row r="78">
      <c r="A78" t="inlineStr">
        <is>
          <t>Delivered Energy</t>
        </is>
      </c>
      <c r="B78" t="inlineStr">
        <is>
          <t>Residential: Energy Consumption by End Use: Delivered Energy: High Zero-Carbon Technology Cost</t>
        </is>
      </c>
      <c r="C78" t="inlineStr">
        <is>
          <t>AEO.2025.HIGHZTC.CNSM_NA_RESD_DELE_DEE_NA_USA_QBTU.A</t>
        </is>
      </c>
      <c r="D78" t="inlineStr">
        <is>
          <t>quads</t>
        </is>
      </c>
      <c r="F78" t="n">
        <v>10.994444</v>
      </c>
      <c r="G78" t="n">
        <v>11.369105</v>
      </c>
      <c r="H78" t="n">
        <v>11.453377</v>
      </c>
      <c r="I78" t="n">
        <v>11.545189</v>
      </c>
      <c r="J78" t="n">
        <v>11.616975</v>
      </c>
      <c r="K78" t="n">
        <v>11.64215</v>
      </c>
      <c r="L78" t="n">
        <v>11.651283</v>
      </c>
      <c r="M78" t="n">
        <v>11.63857</v>
      </c>
      <c r="N78" t="n">
        <v>11.623844</v>
      </c>
      <c r="O78" t="n">
        <v>11.625201</v>
      </c>
      <c r="P78" t="n">
        <v>11.637828</v>
      </c>
      <c r="Q78" t="n">
        <v>11.680264</v>
      </c>
      <c r="R78" t="n">
        <v>11.743387</v>
      </c>
      <c r="S78" t="n">
        <v>11.818383</v>
      </c>
      <c r="T78" t="n">
        <v>11.889173</v>
      </c>
      <c r="U78" t="n">
        <v>11.961743</v>
      </c>
      <c r="V78" t="n">
        <v>12.027604</v>
      </c>
      <c r="W78" t="n">
        <v>12.083225</v>
      </c>
      <c r="X78" t="n">
        <v>12.133515</v>
      </c>
      <c r="Y78" t="n">
        <v>12.180259</v>
      </c>
      <c r="Z78" t="n">
        <v>12.222354</v>
      </c>
      <c r="AA78" t="n">
        <v>12.259854</v>
      </c>
      <c r="AB78" t="n">
        <v>12.293336</v>
      </c>
      <c r="AC78" t="n">
        <v>12.323482</v>
      </c>
      <c r="AD78" t="n">
        <v>12.350558</v>
      </c>
      <c r="AE78" t="n">
        <v>12.376855</v>
      </c>
      <c r="AF78" t="n">
        <v>12.400204</v>
      </c>
      <c r="AG78" s="42" t="n">
        <v>0.005</v>
      </c>
    </row>
    <row r="79">
      <c r="A79" t="inlineStr">
        <is>
          <t>Electricity Related Losses</t>
        </is>
      </c>
      <c r="B79" t="inlineStr">
        <is>
          <t>Residential: Electricity Related Losses: High Zero-Carbon Technology Cost</t>
        </is>
      </c>
      <c r="C79" t="inlineStr">
        <is>
          <t>AEO.2025.HIGHZTC.CNSM_LOSSES_RESD_NA_ENRL_NA_USA_QBTU.A</t>
        </is>
      </c>
      <c r="D79" t="inlineStr">
        <is>
          <t>quads</t>
        </is>
      </c>
      <c r="F79" t="n">
        <v>7.308165</v>
      </c>
      <c r="G79" t="n">
        <v>7.003442</v>
      </c>
      <c r="H79" t="n">
        <v>6.681392</v>
      </c>
      <c r="I79" t="n">
        <v>6.538555</v>
      </c>
      <c r="J79" t="n">
        <v>6.488052</v>
      </c>
      <c r="K79" t="n">
        <v>6.438865</v>
      </c>
      <c r="L79" t="n">
        <v>6.233474</v>
      </c>
      <c r="M79" t="n">
        <v>6.076113</v>
      </c>
      <c r="N79" t="n">
        <v>5.736357</v>
      </c>
      <c r="O79" t="n">
        <v>5.608802</v>
      </c>
      <c r="P79" t="n">
        <v>5.473529</v>
      </c>
      <c r="Q79" t="n">
        <v>5.314852</v>
      </c>
      <c r="R79" t="n">
        <v>5.178302</v>
      </c>
      <c r="S79" t="n">
        <v>4.998352</v>
      </c>
      <c r="T79" t="n">
        <v>4.923231</v>
      </c>
      <c r="U79" t="n">
        <v>4.706847</v>
      </c>
      <c r="V79" t="n">
        <v>4.695487</v>
      </c>
      <c r="W79" t="n">
        <v>4.754326</v>
      </c>
      <c r="X79" t="n">
        <v>4.81075</v>
      </c>
      <c r="Y79" t="n">
        <v>4.841031</v>
      </c>
      <c r="Z79" t="n">
        <v>4.874164</v>
      </c>
      <c r="AA79" t="n">
        <v>4.873587</v>
      </c>
      <c r="AB79" t="n">
        <v>4.868451</v>
      </c>
      <c r="AC79" t="n">
        <v>4.876808</v>
      </c>
      <c r="AD79" t="n">
        <v>4.895246</v>
      </c>
      <c r="AE79" t="n">
        <v>4.921697</v>
      </c>
      <c r="AF79" t="n">
        <v>4.907921</v>
      </c>
      <c r="AG79" s="42" t="n">
        <v>-0.015</v>
      </c>
    </row>
    <row r="80">
      <c r="A80" t="inlineStr">
        <is>
          <t>Total Energy Consumption by End Use</t>
        </is>
      </c>
    </row>
    <row r="81">
      <c r="A81" t="inlineStr">
        <is>
          <t>Space Heating</t>
        </is>
      </c>
      <c r="B81" t="inlineStr">
        <is>
          <t>Residential: Total Energy Use by End Use: Space Heating: High Zero-Carbon Technology Cost</t>
        </is>
      </c>
      <c r="C81" t="inlineStr">
        <is>
          <t>AEO.2025.HIGHZTC.CNSM_NA_RESD_SPH_TEE_NA_USA_QBTU.A</t>
        </is>
      </c>
      <c r="D81" t="inlineStr">
        <is>
          <t>quads</t>
        </is>
      </c>
      <c r="F81" t="n">
        <v>5.072077</v>
      </c>
      <c r="G81" t="n">
        <v>5.594944</v>
      </c>
      <c r="H81" t="n">
        <v>5.546676</v>
      </c>
      <c r="I81" t="n">
        <v>5.512751</v>
      </c>
      <c r="J81" t="n">
        <v>5.478197</v>
      </c>
      <c r="K81" t="n">
        <v>5.42523</v>
      </c>
      <c r="L81" t="n">
        <v>5.345297</v>
      </c>
      <c r="M81" t="n">
        <v>5.258322</v>
      </c>
      <c r="N81" t="n">
        <v>5.141565</v>
      </c>
      <c r="O81" t="n">
        <v>5.054691</v>
      </c>
      <c r="P81" t="n">
        <v>4.964053</v>
      </c>
      <c r="Q81" t="n">
        <v>4.882354</v>
      </c>
      <c r="R81" t="n">
        <v>4.812238</v>
      </c>
      <c r="S81" t="n">
        <v>4.744048</v>
      </c>
      <c r="T81" t="n">
        <v>4.686104</v>
      </c>
      <c r="U81" t="n">
        <v>4.618788</v>
      </c>
      <c r="V81" t="n">
        <v>4.567894</v>
      </c>
      <c r="W81" t="n">
        <v>4.519598</v>
      </c>
      <c r="X81" t="n">
        <v>4.471659</v>
      </c>
      <c r="Y81" t="n">
        <v>4.422812</v>
      </c>
      <c r="Z81" t="n">
        <v>4.376312</v>
      </c>
      <c r="AA81" t="n">
        <v>4.328954</v>
      </c>
      <c r="AB81" t="n">
        <v>4.282132</v>
      </c>
      <c r="AC81" t="n">
        <v>4.23701</v>
      </c>
      <c r="AD81" t="n">
        <v>4.193624</v>
      </c>
      <c r="AE81" t="n">
        <v>4.152516</v>
      </c>
      <c r="AF81" t="n">
        <v>4.108894</v>
      </c>
      <c r="AG81" s="42" t="n">
        <v>-0.008</v>
      </c>
    </row>
    <row r="82">
      <c r="A82" t="inlineStr">
        <is>
          <t>Space Cooling</t>
        </is>
      </c>
      <c r="B82" t="inlineStr">
        <is>
          <t>Residential: Total Energy Use by End Use: Space Cooling: High Zero-Carbon Technology Cost</t>
        </is>
      </c>
      <c r="C82" t="inlineStr">
        <is>
          <t>AEO.2025.HIGHZTC.CNSM_NA_RESD_SPC_TEE_NA_USA_QBTU.A</t>
        </is>
      </c>
      <c r="D82" t="inlineStr">
        <is>
          <t>quads</t>
        </is>
      </c>
      <c r="F82" t="n">
        <v>2.430449</v>
      </c>
      <c r="G82" t="n">
        <v>2.275815</v>
      </c>
      <c r="H82" t="n">
        <v>2.238277</v>
      </c>
      <c r="I82" t="n">
        <v>2.227978</v>
      </c>
      <c r="J82" t="n">
        <v>2.223534</v>
      </c>
      <c r="K82" t="n">
        <v>2.208526</v>
      </c>
      <c r="L82" t="n">
        <v>2.162174</v>
      </c>
      <c r="M82" t="n">
        <v>2.123043</v>
      </c>
      <c r="N82" t="n">
        <v>2.053504</v>
      </c>
      <c r="O82" t="n">
        <v>2.029796</v>
      </c>
      <c r="P82" t="n">
        <v>2.007618</v>
      </c>
      <c r="Q82" t="n">
        <v>1.988211</v>
      </c>
      <c r="R82" t="n">
        <v>1.978376</v>
      </c>
      <c r="S82" t="n">
        <v>1.964862</v>
      </c>
      <c r="T82" t="n">
        <v>1.967977</v>
      </c>
      <c r="U82" t="n">
        <v>1.949721</v>
      </c>
      <c r="V82" t="n">
        <v>1.966256</v>
      </c>
      <c r="W82" t="n">
        <v>1.995634</v>
      </c>
      <c r="X82" t="n">
        <v>2.024689</v>
      </c>
      <c r="Y82" t="n">
        <v>2.050387</v>
      </c>
      <c r="Z82" t="n">
        <v>2.07683</v>
      </c>
      <c r="AA82" t="n">
        <v>2.09746</v>
      </c>
      <c r="AB82" t="n">
        <v>2.117029</v>
      </c>
      <c r="AC82" t="n">
        <v>2.138878</v>
      </c>
      <c r="AD82" t="n">
        <v>2.162695</v>
      </c>
      <c r="AE82" t="n">
        <v>2.18839</v>
      </c>
      <c r="AF82" t="n">
        <v>2.207412</v>
      </c>
      <c r="AG82" s="42" t="n">
        <v>-0.004</v>
      </c>
    </row>
    <row r="83">
      <c r="A83" t="inlineStr">
        <is>
          <t>Water Heating</t>
        </is>
      </c>
      <c r="B83" t="inlineStr">
        <is>
          <t>Residential: Total Energy Use by End Use: Water Heating: High Zero-Carbon Technology Cost</t>
        </is>
      </c>
      <c r="C83" t="inlineStr">
        <is>
          <t>AEO.2025.HIGHZTC.CNSM_NA_RESD_WTHT_TEE_NA_USA_QBTU.A</t>
        </is>
      </c>
      <c r="D83" t="inlineStr">
        <is>
          <t>quads</t>
        </is>
      </c>
      <c r="F83" t="n">
        <v>2.254912</v>
      </c>
      <c r="G83" t="n">
        <v>2.207198</v>
      </c>
      <c r="H83" t="n">
        <v>2.15517</v>
      </c>
      <c r="I83" t="n">
        <v>2.117918</v>
      </c>
      <c r="J83" t="n">
        <v>2.085118</v>
      </c>
      <c r="K83" t="n">
        <v>2.027772</v>
      </c>
      <c r="L83" t="n">
        <v>1.955499</v>
      </c>
      <c r="M83" t="n">
        <v>1.88705</v>
      </c>
      <c r="N83" t="n">
        <v>1.812092</v>
      </c>
      <c r="O83" t="n">
        <v>1.758513</v>
      </c>
      <c r="P83" t="n">
        <v>1.713177</v>
      </c>
      <c r="Q83" t="n">
        <v>1.675984</v>
      </c>
      <c r="R83" t="n">
        <v>1.645438</v>
      </c>
      <c r="S83" t="n">
        <v>1.617976</v>
      </c>
      <c r="T83" t="n">
        <v>1.597992</v>
      </c>
      <c r="U83" t="n">
        <v>1.576019</v>
      </c>
      <c r="V83" t="n">
        <v>1.564088</v>
      </c>
      <c r="W83" t="n">
        <v>1.555426</v>
      </c>
      <c r="X83" t="n">
        <v>1.548156</v>
      </c>
      <c r="Y83" t="n">
        <v>1.541742</v>
      </c>
      <c r="Z83" t="n">
        <v>1.534589</v>
      </c>
      <c r="AA83" t="n">
        <v>1.525777</v>
      </c>
      <c r="AB83" t="n">
        <v>1.515953</v>
      </c>
      <c r="AC83" t="n">
        <v>1.506481</v>
      </c>
      <c r="AD83" t="n">
        <v>1.497794</v>
      </c>
      <c r="AE83" t="n">
        <v>1.489704</v>
      </c>
      <c r="AF83" t="n">
        <v>1.481113</v>
      </c>
      <c r="AG83" s="42" t="n">
        <v>-0.016</v>
      </c>
    </row>
    <row r="84">
      <c r="A84" t="inlineStr">
        <is>
          <t>Refrigeration</t>
        </is>
      </c>
      <c r="B84" t="inlineStr">
        <is>
          <t>Residential: Total Energy Use by End Use: Refrigeration: High Zero-Carbon Technology Cost</t>
        </is>
      </c>
      <c r="C84" t="inlineStr">
        <is>
          <t>AEO.2025.HIGHZTC.CNSM_NA_RESD_REFR_TEE_NA_USA_QBTU.A</t>
        </is>
      </c>
      <c r="D84" t="inlineStr">
        <is>
          <t>quads</t>
        </is>
      </c>
      <c r="F84" t="n">
        <v>0.834369</v>
      </c>
      <c r="G84" t="n">
        <v>0.81324</v>
      </c>
      <c r="H84" t="n">
        <v>0.782045</v>
      </c>
      <c r="I84" t="n">
        <v>0.76202</v>
      </c>
      <c r="J84" t="n">
        <v>0.749124</v>
      </c>
      <c r="K84" t="n">
        <v>0.738968</v>
      </c>
      <c r="L84" t="n">
        <v>0.715436</v>
      </c>
      <c r="M84" t="n">
        <v>0.696337</v>
      </c>
      <c r="N84" t="n">
        <v>0.6669620000000001</v>
      </c>
      <c r="O84" t="n">
        <v>0.650374</v>
      </c>
      <c r="P84" t="n">
        <v>0.6335809999999999</v>
      </c>
      <c r="Q84" t="n">
        <v>0.61605</v>
      </c>
      <c r="R84" t="n">
        <v>0.600507</v>
      </c>
      <c r="S84" t="n">
        <v>0.583832</v>
      </c>
      <c r="T84" t="n">
        <v>0.57395</v>
      </c>
      <c r="U84" t="n">
        <v>0.558276</v>
      </c>
      <c r="V84" t="n">
        <v>0.553818</v>
      </c>
      <c r="W84" t="n">
        <v>0.553637</v>
      </c>
      <c r="X84" t="n">
        <v>0.55415</v>
      </c>
      <c r="Y84" t="n">
        <v>0.554248</v>
      </c>
      <c r="Z84" t="n">
        <v>0.555408</v>
      </c>
      <c r="AA84" t="n">
        <v>0.556034</v>
      </c>
      <c r="AB84" t="n">
        <v>0.55741</v>
      </c>
      <c r="AC84" t="n">
        <v>0.560304</v>
      </c>
      <c r="AD84" t="n">
        <v>0.563752</v>
      </c>
      <c r="AE84" t="n">
        <v>0.567568</v>
      </c>
      <c r="AF84" t="n">
        <v>0.569623</v>
      </c>
      <c r="AG84" s="42" t="n">
        <v>-0.015</v>
      </c>
    </row>
    <row r="85">
      <c r="A85" t="inlineStr">
        <is>
          <t>Cooking</t>
        </is>
      </c>
      <c r="B85" t="inlineStr">
        <is>
          <t>Residential: Total Energy Use by End Use: Cooking: High Zero-Carbon Technology Cost</t>
        </is>
      </c>
      <c r="C85" t="inlineStr">
        <is>
          <t>AEO.2025.HIGHZTC.CNSM_NA_RESD_CGR_TEE_NA_USA_QBTU.A</t>
        </is>
      </c>
      <c r="D85" t="inlineStr">
        <is>
          <t>quads</t>
        </is>
      </c>
      <c r="F85" t="n">
        <v>0.248167</v>
      </c>
      <c r="G85" t="n">
        <v>0.245888</v>
      </c>
      <c r="H85" t="n">
        <v>0.241907</v>
      </c>
      <c r="I85" t="n">
        <v>0.240067</v>
      </c>
      <c r="J85" t="n">
        <v>0.239614</v>
      </c>
      <c r="K85" t="n">
        <v>0.23957</v>
      </c>
      <c r="L85" t="n">
        <v>0.237662</v>
      </c>
      <c r="M85" t="n">
        <v>0.23643</v>
      </c>
      <c r="N85" t="n">
        <v>0.232731</v>
      </c>
      <c r="O85" t="n">
        <v>0.231519</v>
      </c>
      <c r="P85" t="n">
        <v>0.230068</v>
      </c>
      <c r="Q85" t="n">
        <v>0.228257</v>
      </c>
      <c r="R85" t="n">
        <v>0.226642</v>
      </c>
      <c r="S85" t="n">
        <v>0.224499</v>
      </c>
      <c r="T85" t="n">
        <v>0.22372</v>
      </c>
      <c r="U85" t="n">
        <v>0.22136</v>
      </c>
      <c r="V85" t="n">
        <v>0.221442</v>
      </c>
      <c r="W85" t="n">
        <v>0.22236</v>
      </c>
      <c r="X85" t="n">
        <v>0.223285</v>
      </c>
      <c r="Y85" t="n">
        <v>0.223908</v>
      </c>
      <c r="Z85" t="n">
        <v>0.224597</v>
      </c>
      <c r="AA85" t="n">
        <v>0.224973</v>
      </c>
      <c r="AB85" t="n">
        <v>0.225335</v>
      </c>
      <c r="AC85" t="n">
        <v>0.225876</v>
      </c>
      <c r="AD85" t="n">
        <v>0.226556</v>
      </c>
      <c r="AE85" t="n">
        <v>0.227335</v>
      </c>
      <c r="AF85" t="n">
        <v>0.227726</v>
      </c>
      <c r="AG85" s="42" t="n">
        <v>-0.003</v>
      </c>
    </row>
    <row r="86">
      <c r="A86" t="inlineStr">
        <is>
          <t>Clothes Dryers</t>
        </is>
      </c>
      <c r="B86" t="inlineStr">
        <is>
          <t>Residential: Total Energy Use by End Use: Clothes Dryers: High Zero-Carbon Technology Cost</t>
        </is>
      </c>
      <c r="C86" t="inlineStr">
        <is>
          <t>AEO.2025.HIGHZTC.CNSM_NA_RESD_CDR_TEE_NA_USA_QBTU.A</t>
        </is>
      </c>
      <c r="D86" t="inlineStr">
        <is>
          <t>quads</t>
        </is>
      </c>
      <c r="F86" t="n">
        <v>0.494922</v>
      </c>
      <c r="G86" t="n">
        <v>0.489441</v>
      </c>
      <c r="H86" t="n">
        <v>0.481863</v>
      </c>
      <c r="I86" t="n">
        <v>0.481922</v>
      </c>
      <c r="J86" t="n">
        <v>0.483437</v>
      </c>
      <c r="K86" t="n">
        <v>0.482524</v>
      </c>
      <c r="L86" t="n">
        <v>0.474297</v>
      </c>
      <c r="M86" t="n">
        <v>0.466567</v>
      </c>
      <c r="N86" t="n">
        <v>0.451365</v>
      </c>
      <c r="O86" t="n">
        <v>0.443439</v>
      </c>
      <c r="P86" t="n">
        <v>0.436187</v>
      </c>
      <c r="Q86" t="n">
        <v>0.430033</v>
      </c>
      <c r="R86" t="n">
        <v>0.426331</v>
      </c>
      <c r="S86" t="n">
        <v>0.422407</v>
      </c>
      <c r="T86" t="n">
        <v>0.422411</v>
      </c>
      <c r="U86" t="n">
        <v>0.418654</v>
      </c>
      <c r="V86" t="n">
        <v>0.42239</v>
      </c>
      <c r="W86" t="n">
        <v>0.429038</v>
      </c>
      <c r="X86" t="n">
        <v>0.435405</v>
      </c>
      <c r="Y86" t="n">
        <v>0.440855</v>
      </c>
      <c r="Z86" t="n">
        <v>0.44619</v>
      </c>
      <c r="AA86" t="n">
        <v>0.450226</v>
      </c>
      <c r="AB86" t="n">
        <v>0.453832</v>
      </c>
      <c r="AC86" t="n">
        <v>0.457635</v>
      </c>
      <c r="AD86" t="n">
        <v>0.46168</v>
      </c>
      <c r="AE86" t="n">
        <v>0.465884</v>
      </c>
      <c r="AF86" t="n">
        <v>0.468612</v>
      </c>
      <c r="AG86" s="42" t="n">
        <v>-0.002</v>
      </c>
    </row>
    <row r="87">
      <c r="A87" t="inlineStr">
        <is>
          <t>Freezers</t>
        </is>
      </c>
      <c r="B87" t="inlineStr">
        <is>
          <t>Residential: Total Energy Use by End Use: Freezers: High Zero-Carbon Technology Cost</t>
        </is>
      </c>
      <c r="C87" t="inlineStr">
        <is>
          <t>AEO.2025.HIGHZTC.CNSM_NA_RESD_FRZ_TEE_NA_USA_QBTU.A</t>
        </is>
      </c>
      <c r="D87" t="inlineStr">
        <is>
          <t>quads</t>
        </is>
      </c>
      <c r="F87" t="n">
        <v>0.188837</v>
      </c>
      <c r="G87" t="n">
        <v>0.184434</v>
      </c>
      <c r="H87" t="n">
        <v>0.177765</v>
      </c>
      <c r="I87" t="n">
        <v>0.173638</v>
      </c>
      <c r="J87" t="n">
        <v>0.171087</v>
      </c>
      <c r="K87" t="n">
        <v>0.168939</v>
      </c>
      <c r="L87" t="n">
        <v>0.163936</v>
      </c>
      <c r="M87" t="n">
        <v>0.159711</v>
      </c>
      <c r="N87" t="n">
        <v>0.152933</v>
      </c>
      <c r="O87" t="n">
        <v>0.149051</v>
      </c>
      <c r="P87" t="n">
        <v>0.145087</v>
      </c>
      <c r="Q87" t="n">
        <v>0.140906</v>
      </c>
      <c r="R87" t="n">
        <v>0.137059</v>
      </c>
      <c r="S87" t="n">
        <v>0.132833</v>
      </c>
      <c r="T87" t="n">
        <v>0.130043</v>
      </c>
      <c r="U87" t="n">
        <v>0.125845</v>
      </c>
      <c r="V87" t="n">
        <v>0.124086</v>
      </c>
      <c r="W87" t="n">
        <v>0.123207</v>
      </c>
      <c r="X87" t="n">
        <v>0.122402</v>
      </c>
      <c r="Y87" t="n">
        <v>0.121429</v>
      </c>
      <c r="Z87" t="n">
        <v>0.120619</v>
      </c>
      <c r="AA87" t="n">
        <v>0.119619</v>
      </c>
      <c r="AB87" t="n">
        <v>0.118727</v>
      </c>
      <c r="AC87" t="n">
        <v>0.118106</v>
      </c>
      <c r="AD87" t="n">
        <v>0.117734</v>
      </c>
      <c r="AE87" t="n">
        <v>0.117583</v>
      </c>
      <c r="AF87" t="n">
        <v>0.117221</v>
      </c>
      <c r="AG87" s="42" t="n">
        <v>-0.018</v>
      </c>
    </row>
    <row r="88">
      <c r="A88" t="inlineStr">
        <is>
          <t>Lighting</t>
        </is>
      </c>
      <c r="B88" t="inlineStr">
        <is>
          <t>Residential: Total Energy Use by End Use: Lighting: High Zero-Carbon Technology Cost</t>
        </is>
      </c>
      <c r="C88" t="inlineStr">
        <is>
          <t>AEO.2025.HIGHZTC.CNSM_NA_RESD_LGHTNG_TEE_NA_USA_QBTU.A</t>
        </is>
      </c>
      <c r="D88" t="inlineStr">
        <is>
          <t>quads</t>
        </is>
      </c>
      <c r="F88" t="n">
        <v>0.444797</v>
      </c>
      <c r="G88" t="n">
        <v>0.431085</v>
      </c>
      <c r="H88" t="n">
        <v>0.418989</v>
      </c>
      <c r="I88" t="n">
        <v>0.417288</v>
      </c>
      <c r="J88" t="n">
        <v>0.418027</v>
      </c>
      <c r="K88" t="n">
        <v>0.417105</v>
      </c>
      <c r="L88" t="n">
        <v>0.406232</v>
      </c>
      <c r="M88" t="n">
        <v>0.39707</v>
      </c>
      <c r="N88" t="n">
        <v>0.382521</v>
      </c>
      <c r="O88" t="n">
        <v>0.375093</v>
      </c>
      <c r="P88" t="n">
        <v>0.368135</v>
      </c>
      <c r="Q88" t="n">
        <v>0.361501</v>
      </c>
      <c r="R88" t="n">
        <v>0.356248</v>
      </c>
      <c r="S88" t="n">
        <v>0.349978</v>
      </c>
      <c r="T88" t="n">
        <v>0.346777</v>
      </c>
      <c r="U88" t="n">
        <v>0.339808</v>
      </c>
      <c r="V88" t="n">
        <v>0.333658</v>
      </c>
      <c r="W88" t="n">
        <v>0.330153</v>
      </c>
      <c r="X88" t="n">
        <v>0.327341</v>
      </c>
      <c r="Y88" t="n">
        <v>0.32463</v>
      </c>
      <c r="Z88" t="n">
        <v>0.322772</v>
      </c>
      <c r="AA88" t="n">
        <v>0.320494</v>
      </c>
      <c r="AB88" t="n">
        <v>0.318293</v>
      </c>
      <c r="AC88" t="n">
        <v>0.316578</v>
      </c>
      <c r="AD88" t="n">
        <v>0.315452</v>
      </c>
      <c r="AE88" t="n">
        <v>0.314817</v>
      </c>
      <c r="AF88" t="n">
        <v>0.313318</v>
      </c>
      <c r="AG88" s="42" t="n">
        <v>-0.013</v>
      </c>
    </row>
    <row r="89">
      <c r="A89" t="inlineStr">
        <is>
          <t>Clothes Washers</t>
        </is>
      </c>
      <c r="B89" t="inlineStr">
        <is>
          <t>Residential: Total Energy Use by End Use: Clothes Washers: High Zero-Carbon Technology Cost</t>
        </is>
      </c>
      <c r="C89" t="inlineStr">
        <is>
          <t>AEO.2025.HIGHZTC.CNSM_NA_RESD_CLW_TEE_NA_USA_QBTU.A</t>
        </is>
      </c>
      <c r="D89" t="inlineStr">
        <is>
          <t>quads</t>
        </is>
      </c>
      <c r="F89" t="n">
        <v>0.099244</v>
      </c>
      <c r="G89" t="n">
        <v>0.09471</v>
      </c>
      <c r="H89" t="n">
        <v>0.089117</v>
      </c>
      <c r="I89" t="n">
        <v>0.08490399999999999</v>
      </c>
      <c r="J89" t="n">
        <v>0.081205</v>
      </c>
      <c r="K89" t="n">
        <v>0.077735</v>
      </c>
      <c r="L89" t="n">
        <v>0.07303</v>
      </c>
      <c r="M89" t="n">
        <v>0.068704</v>
      </c>
      <c r="N89" t="n">
        <v>0.063274</v>
      </c>
      <c r="O89" t="n">
        <v>0.059556</v>
      </c>
      <c r="P89" t="n">
        <v>0.056261</v>
      </c>
      <c r="Q89" t="n">
        <v>0.053317</v>
      </c>
      <c r="R89" t="n">
        <v>0.050941</v>
      </c>
      <c r="S89" t="n">
        <v>0.048865</v>
      </c>
      <c r="T89" t="n">
        <v>0.047769</v>
      </c>
      <c r="U89" t="n">
        <v>0.046602</v>
      </c>
      <c r="V89" t="n">
        <v>0.046306</v>
      </c>
      <c r="W89" t="n">
        <v>0.046312</v>
      </c>
      <c r="X89" t="n">
        <v>0.046331</v>
      </c>
      <c r="Y89" t="n">
        <v>0.046272</v>
      </c>
      <c r="Z89" t="n">
        <v>0.046264</v>
      </c>
      <c r="AA89" t="n">
        <v>0.046172</v>
      </c>
      <c r="AB89" t="n">
        <v>0.0461</v>
      </c>
      <c r="AC89" t="n">
        <v>0.046112</v>
      </c>
      <c r="AD89" t="n">
        <v>0.046192</v>
      </c>
      <c r="AE89" t="n">
        <v>0.046323</v>
      </c>
      <c r="AF89" t="n">
        <v>0.046328</v>
      </c>
      <c r="AG89" s="42" t="n">
        <v>-0.029</v>
      </c>
    </row>
    <row r="90">
      <c r="A90" t="inlineStr">
        <is>
          <t>Dishwashers</t>
        </is>
      </c>
      <c r="B90" t="inlineStr">
        <is>
          <t>Residential: Total Energy Use by End Use: Dishwashers: High Zero-Carbon Technology Cost</t>
        </is>
      </c>
      <c r="C90" t="inlineStr">
        <is>
          <t>AEO.2025.HIGHZTC.CNSM_NA_RESD_DSW_TEE_NA_USA_QBTU.A</t>
        </is>
      </c>
      <c r="D90" t="inlineStr">
        <is>
          <t>quads</t>
        </is>
      </c>
      <c r="F90" t="n">
        <v>0.086331</v>
      </c>
      <c r="G90" t="n">
        <v>0.086545</v>
      </c>
      <c r="H90" t="n">
        <v>0.085642</v>
      </c>
      <c r="I90" t="n">
        <v>0.08437600000000001</v>
      </c>
      <c r="J90" t="n">
        <v>0.083618</v>
      </c>
      <c r="K90" t="n">
        <v>0.082981</v>
      </c>
      <c r="L90" t="n">
        <v>0.081243</v>
      </c>
      <c r="M90" t="n">
        <v>0.07981100000000001</v>
      </c>
      <c r="N90" t="n">
        <v>0.077004</v>
      </c>
      <c r="O90" t="n">
        <v>0.075737</v>
      </c>
      <c r="P90" t="n">
        <v>0.074533</v>
      </c>
      <c r="Q90" t="n">
        <v>0.073311</v>
      </c>
      <c r="R90" t="n">
        <v>0.072366</v>
      </c>
      <c r="S90" t="n">
        <v>0.071323</v>
      </c>
      <c r="T90" t="n">
        <v>0.071161</v>
      </c>
      <c r="U90" t="n">
        <v>0.070336</v>
      </c>
      <c r="V90" t="n">
        <v>0.07079000000000001</v>
      </c>
      <c r="W90" t="n">
        <v>0.071685</v>
      </c>
      <c r="X90" t="n">
        <v>0.072578</v>
      </c>
      <c r="Y90" t="n">
        <v>0.073321</v>
      </c>
      <c r="Z90" t="n">
        <v>0.074114</v>
      </c>
      <c r="AA90" t="n">
        <v>0.074738</v>
      </c>
      <c r="AB90" t="n">
        <v>0.075361</v>
      </c>
      <c r="AC90" t="n">
        <v>0.07609200000000001</v>
      </c>
      <c r="AD90" t="n">
        <v>0.07690900000000001</v>
      </c>
      <c r="AE90" t="n">
        <v>0.07779</v>
      </c>
      <c r="AF90" t="n">
        <v>0.078446</v>
      </c>
      <c r="AG90" s="42" t="n">
        <v>-0.004</v>
      </c>
    </row>
    <row r="91">
      <c r="A91" t="inlineStr">
        <is>
          <t>Televisions and Related Equipment</t>
        </is>
      </c>
      <c r="B91" t="inlineStr">
        <is>
          <t>Residential: Total Energy Use by End Use: Televisions: High Zero-Carbon Technology Cost</t>
        </is>
      </c>
      <c r="C91" t="inlineStr">
        <is>
          <t>AEO.2025.HIGHZTC.CNSM_NA_RESD_TVR_TEE_NA_USA_QBTU.A</t>
        </is>
      </c>
      <c r="D91" t="inlineStr">
        <is>
          <t>quads</t>
        </is>
      </c>
      <c r="F91" t="n">
        <v>0.307119</v>
      </c>
      <c r="G91" t="n">
        <v>0.294251</v>
      </c>
      <c r="H91" t="n">
        <v>0.280609</v>
      </c>
      <c r="I91" t="n">
        <v>0.272123</v>
      </c>
      <c r="J91" t="n">
        <v>0.265199</v>
      </c>
      <c r="K91" t="n">
        <v>0.257544</v>
      </c>
      <c r="L91" t="n">
        <v>0.246393</v>
      </c>
      <c r="M91" t="n">
        <v>0.236623</v>
      </c>
      <c r="N91" t="n">
        <v>0.223739</v>
      </c>
      <c r="O91" t="n">
        <v>0.2153</v>
      </c>
      <c r="P91" t="n">
        <v>0.207355</v>
      </c>
      <c r="Q91" t="n">
        <v>0.199913</v>
      </c>
      <c r="R91" t="n">
        <v>0.193637</v>
      </c>
      <c r="S91" t="n">
        <v>0.187217</v>
      </c>
      <c r="T91" t="n">
        <v>0.182818</v>
      </c>
      <c r="U91" t="n">
        <v>0.17662</v>
      </c>
      <c r="V91" t="n">
        <v>0.174033</v>
      </c>
      <c r="W91" t="n">
        <v>0.172705</v>
      </c>
      <c r="X91" t="n">
        <v>0.171532</v>
      </c>
      <c r="Y91" t="n">
        <v>0.170258</v>
      </c>
      <c r="Z91" t="n">
        <v>0.169288</v>
      </c>
      <c r="AA91" t="n">
        <v>0.168161</v>
      </c>
      <c r="AB91" t="n">
        <v>0.167245</v>
      </c>
      <c r="AC91" t="n">
        <v>0.166644</v>
      </c>
      <c r="AD91" t="n">
        <v>0.166372</v>
      </c>
      <c r="AE91" t="n">
        <v>0.16634</v>
      </c>
      <c r="AF91" t="n">
        <v>0.16592</v>
      </c>
      <c r="AG91" s="42" t="n">
        <v>-0.023</v>
      </c>
    </row>
    <row r="92">
      <c r="A92" t="inlineStr">
        <is>
          <t>Computers and Related Equipment</t>
        </is>
      </c>
      <c r="B92" t="inlineStr">
        <is>
          <t>Residential: Total Energy Use by End Use: Computers: High Zero-Carbon Technology Cost</t>
        </is>
      </c>
      <c r="C92" t="inlineStr">
        <is>
          <t>AEO.2025.HIGHZTC.CNSM_NA_RESD_CMPR_TEE_NA_USA_QBTU.A</t>
        </is>
      </c>
      <c r="D92" t="inlineStr">
        <is>
          <t>quads</t>
        </is>
      </c>
      <c r="F92" t="n">
        <v>0.237738</v>
      </c>
      <c r="G92" t="n">
        <v>0.228604</v>
      </c>
      <c r="H92" t="n">
        <v>0.218973</v>
      </c>
      <c r="I92" t="n">
        <v>0.213083</v>
      </c>
      <c r="J92" t="n">
        <v>0.207996</v>
      </c>
      <c r="K92" t="n">
        <v>0.20195</v>
      </c>
      <c r="L92" t="n">
        <v>0.192855</v>
      </c>
      <c r="M92" t="n">
        <v>0.184598</v>
      </c>
      <c r="N92" t="n">
        <v>0.173739</v>
      </c>
      <c r="O92" t="n">
        <v>0.166199</v>
      </c>
      <c r="P92" t="n">
        <v>0.15893</v>
      </c>
      <c r="Q92" t="n">
        <v>0.151943</v>
      </c>
      <c r="R92" t="n">
        <v>0.145781</v>
      </c>
      <c r="S92" t="n">
        <v>0.139492</v>
      </c>
      <c r="T92" t="n">
        <v>0.134683</v>
      </c>
      <c r="U92" t="n">
        <v>0.12857</v>
      </c>
      <c r="V92" t="n">
        <v>0.125114</v>
      </c>
      <c r="W92" t="n">
        <v>0.122562</v>
      </c>
      <c r="X92" t="n">
        <v>0.12016</v>
      </c>
      <c r="Y92" t="n">
        <v>0.117718</v>
      </c>
      <c r="Z92" t="n">
        <v>0.115565</v>
      </c>
      <c r="AA92" t="n">
        <v>0.113394</v>
      </c>
      <c r="AB92" t="n">
        <v>0.111496</v>
      </c>
      <c r="AC92" t="n">
        <v>0.109961</v>
      </c>
      <c r="AD92" t="n">
        <v>0.108803</v>
      </c>
      <c r="AE92" t="n">
        <v>0.108018</v>
      </c>
      <c r="AF92" t="n">
        <v>0.107144</v>
      </c>
      <c r="AG92" s="42" t="n">
        <v>-0.03</v>
      </c>
    </row>
    <row r="93">
      <c r="A93" t="inlineStr">
        <is>
          <t>Furnace Fans and Boiler Circulation Pumps</t>
        </is>
      </c>
      <c r="B93" t="inlineStr">
        <is>
          <t>Residential: Total Energy Use by End Use: Fans and Pumps: High Zero-Carbon Technology Cost</t>
        </is>
      </c>
      <c r="C93" t="inlineStr">
        <is>
          <t>AEO.2025.HIGHZTC.CNSM_NA_RESD_FPR_TEE_NA_USA_QBTU.A</t>
        </is>
      </c>
      <c r="D93" t="inlineStr">
        <is>
          <t>quads</t>
        </is>
      </c>
      <c r="F93" t="n">
        <v>0.326573</v>
      </c>
      <c r="G93" t="n">
        <v>0.368564</v>
      </c>
      <c r="H93" t="n">
        <v>0.359953</v>
      </c>
      <c r="I93" t="n">
        <v>0.355162</v>
      </c>
      <c r="J93" t="n">
        <v>0.352739</v>
      </c>
      <c r="K93" t="n">
        <v>0.350711</v>
      </c>
      <c r="L93" t="n">
        <v>0.343937</v>
      </c>
      <c r="M93" t="n">
        <v>0.33817</v>
      </c>
      <c r="N93" t="n">
        <v>0.326396</v>
      </c>
      <c r="O93" t="n">
        <v>0.320475</v>
      </c>
      <c r="P93" t="n">
        <v>0.313752</v>
      </c>
      <c r="Q93" t="n">
        <v>0.306426</v>
      </c>
      <c r="R93" t="n">
        <v>0.299606</v>
      </c>
      <c r="S93" t="n">
        <v>0.291446</v>
      </c>
      <c r="T93" t="n">
        <v>0.285669</v>
      </c>
      <c r="U93" t="n">
        <v>0.276061</v>
      </c>
      <c r="V93" t="n">
        <v>0.270928</v>
      </c>
      <c r="W93" t="n">
        <v>0.266793</v>
      </c>
      <c r="X93" t="n">
        <v>0.262186</v>
      </c>
      <c r="Y93" t="n">
        <v>0.256636</v>
      </c>
      <c r="Z93" t="n">
        <v>0.251172</v>
      </c>
      <c r="AA93" t="n">
        <v>0.245296</v>
      </c>
      <c r="AB93" t="n">
        <v>0.239625</v>
      </c>
      <c r="AC93" t="n">
        <v>0.234462</v>
      </c>
      <c r="AD93" t="n">
        <v>0.229887</v>
      </c>
      <c r="AE93" t="n">
        <v>0.225867</v>
      </c>
      <c r="AF93" t="n">
        <v>0.221464</v>
      </c>
      <c r="AG93" s="42" t="n">
        <v>-0.015</v>
      </c>
    </row>
    <row r="94">
      <c r="A94" t="inlineStr">
        <is>
          <t>Other Uses</t>
        </is>
      </c>
      <c r="B94" t="inlineStr">
        <is>
          <t>Residential: Total Energy Use by End Use: Other Uses: High Zero-Carbon Technology Cost</t>
        </is>
      </c>
      <c r="C94" t="inlineStr">
        <is>
          <t>AEO.2025.HIGHZTC.CNSM_NA_RESD_OTHU_TEE_NA_USA_QBTU.A</t>
        </is>
      </c>
      <c r="D94" t="inlineStr">
        <is>
          <t>quads</t>
        </is>
      </c>
      <c r="F94" t="n">
        <v>5.345598</v>
      </c>
      <c r="G94" t="n">
        <v>5.100354</v>
      </c>
      <c r="H94" t="n">
        <v>5.056042</v>
      </c>
      <c r="I94" t="n">
        <v>5.070733</v>
      </c>
      <c r="J94" t="n">
        <v>5.10723</v>
      </c>
      <c r="K94" t="n">
        <v>5.132744</v>
      </c>
      <c r="L94" t="n">
        <v>5.092288</v>
      </c>
      <c r="M94" t="n">
        <v>5.063469</v>
      </c>
      <c r="N94" t="n">
        <v>4.963491</v>
      </c>
      <c r="O94" t="n">
        <v>4.935073</v>
      </c>
      <c r="P94" t="n">
        <v>4.906428</v>
      </c>
      <c r="Q94" t="n">
        <v>4.873086</v>
      </c>
      <c r="R94" t="n">
        <v>4.853517</v>
      </c>
      <c r="S94" t="n">
        <v>4.822372</v>
      </c>
      <c r="T94" t="n">
        <v>4.827915</v>
      </c>
      <c r="U94" t="n">
        <v>4.786808</v>
      </c>
      <c r="V94" t="n">
        <v>4.820773</v>
      </c>
      <c r="W94" t="n">
        <v>4.876782</v>
      </c>
      <c r="X94" t="n">
        <v>4.933289</v>
      </c>
      <c r="Y94" t="n">
        <v>4.982041</v>
      </c>
      <c r="Z94" t="n">
        <v>5.033447</v>
      </c>
      <c r="AA94" t="n">
        <v>5.074116</v>
      </c>
      <c r="AB94" t="n">
        <v>5.114394</v>
      </c>
      <c r="AC94" t="n">
        <v>5.160255</v>
      </c>
      <c r="AD94" t="n">
        <v>5.210869</v>
      </c>
      <c r="AE94" t="n">
        <v>5.2657</v>
      </c>
      <c r="AF94" t="n">
        <v>5.307234</v>
      </c>
      <c r="AG94" s="42" t="n">
        <v>0</v>
      </c>
    </row>
    <row r="95">
      <c r="A95" t="inlineStr">
        <is>
          <t>Total Gross End-use Consumption</t>
        </is>
      </c>
      <c r="B95" t="inlineStr">
        <is>
          <t>Residential: Total Energy Use by End Use: Total Gross End-use Consumption: High Zero-Carbon Technology Cost</t>
        </is>
      </c>
      <c r="C95" t="inlineStr">
        <is>
          <t>AEO.2025.HIGHZTC.CNSM_NA_RESD_TOTENCONS_TEE_NA_USA_QBTU.A</t>
        </is>
      </c>
      <c r="D95" t="inlineStr">
        <is>
          <t>quads</t>
        </is>
      </c>
      <c r="F95" t="n">
        <v>18.371132</v>
      </c>
      <c r="G95" t="n">
        <v>18.415074</v>
      </c>
      <c r="H95" t="n">
        <v>18.133026</v>
      </c>
      <c r="I95" t="n">
        <v>18.013962</v>
      </c>
      <c r="J95" t="n">
        <v>17.946123</v>
      </c>
      <c r="K95" t="n">
        <v>17.8123</v>
      </c>
      <c r="L95" t="n">
        <v>17.490281</v>
      </c>
      <c r="M95" t="n">
        <v>17.195905</v>
      </c>
      <c r="N95" t="n">
        <v>16.721317</v>
      </c>
      <c r="O95" t="n">
        <v>16.464817</v>
      </c>
      <c r="P95" t="n">
        <v>16.215164</v>
      </c>
      <c r="Q95" t="n">
        <v>15.981293</v>
      </c>
      <c r="R95" t="n">
        <v>15.798687</v>
      </c>
      <c r="S95" t="n">
        <v>15.60115</v>
      </c>
      <c r="T95" t="n">
        <v>15.49899</v>
      </c>
      <c r="U95" t="n">
        <v>15.293468</v>
      </c>
      <c r="V95" t="n">
        <v>15.261576</v>
      </c>
      <c r="W95" t="n">
        <v>15.285894</v>
      </c>
      <c r="X95" t="n">
        <v>15.313164</v>
      </c>
      <c r="Y95" t="n">
        <v>15.326256</v>
      </c>
      <c r="Z95" t="n">
        <v>15.347167</v>
      </c>
      <c r="AA95" t="n">
        <v>15.345414</v>
      </c>
      <c r="AB95" t="n">
        <v>15.342934</v>
      </c>
      <c r="AC95" t="n">
        <v>15.354395</v>
      </c>
      <c r="AD95" t="n">
        <v>15.378318</v>
      </c>
      <c r="AE95" t="n">
        <v>15.413835</v>
      </c>
      <c r="AF95" t="n">
        <v>15.420456</v>
      </c>
      <c r="AG95" s="42" t="n">
        <v>-0.007</v>
      </c>
    </row>
    <row r="96">
      <c r="A96" t="inlineStr">
        <is>
          <t>Purchased Electricity for Electric Vehicle Charging</t>
        </is>
      </c>
      <c r="B96" t="inlineStr">
        <is>
          <t>Residential: Generation for Own Use: Purchased Electricity for EV Charging: High Zero-Carbon Technology Cost</t>
        </is>
      </c>
      <c r="C96" t="inlineStr">
        <is>
          <t>AEO.2025.HIGHZTC.GEN_NA_RESD_PUELEVCHRG_TEE_NA_USA_QBTU.A</t>
        </is>
      </c>
      <c r="D96" t="inlineStr">
        <is>
          <t>quads</t>
        </is>
      </c>
      <c r="F96" t="n">
        <v>0.107354</v>
      </c>
      <c r="G96" t="n">
        <v>0.157442</v>
      </c>
      <c r="H96" t="n">
        <v>0.226154</v>
      </c>
      <c r="I96" t="n">
        <v>0.317077</v>
      </c>
      <c r="J96" t="n">
        <v>0.429581</v>
      </c>
      <c r="K96" t="n">
        <v>0.563141</v>
      </c>
      <c r="L96" t="n">
        <v>0.714192</v>
      </c>
      <c r="M96" t="n">
        <v>0.8654500000000001</v>
      </c>
      <c r="N96" t="n">
        <v>1.012404</v>
      </c>
      <c r="O96" t="n">
        <v>1.16945</v>
      </c>
      <c r="P96" t="n">
        <v>1.322692</v>
      </c>
      <c r="Q96" t="n">
        <v>1.460805</v>
      </c>
      <c r="R96" t="n">
        <v>1.591019</v>
      </c>
      <c r="S96" t="n">
        <v>1.704921</v>
      </c>
      <c r="T96" t="n">
        <v>1.824918</v>
      </c>
      <c r="U96" t="n">
        <v>1.909082</v>
      </c>
      <c r="V96" t="n">
        <v>2.018399</v>
      </c>
      <c r="W96" t="n">
        <v>2.131766</v>
      </c>
      <c r="X96" t="n">
        <v>2.235059</v>
      </c>
      <c r="Y96" t="n">
        <v>2.323231</v>
      </c>
      <c r="Z96" t="n">
        <v>2.402205</v>
      </c>
      <c r="AA96" t="n">
        <v>2.466298</v>
      </c>
      <c r="AB96" t="n">
        <v>2.523196</v>
      </c>
      <c r="AC96" t="n">
        <v>2.576895</v>
      </c>
      <c r="AD96" t="n">
        <v>2.62587</v>
      </c>
      <c r="AE96" t="n">
        <v>2.671029</v>
      </c>
      <c r="AF96" t="n">
        <v>2.702327</v>
      </c>
      <c r="AG96" s="42" t="n">
        <v>0.132</v>
      </c>
    </row>
    <row r="97">
      <c r="A97" t="inlineStr">
        <is>
          <t>On-site Generation for Own Use</t>
        </is>
      </c>
      <c r="B97" t="inlineStr">
        <is>
          <t>Residential: Generation for Own Use: Total Gross End-use Consumption: High Zero-Carbon Technology Cost</t>
        </is>
      </c>
      <c r="C97" t="inlineStr">
        <is>
          <t>AEO.2025.HIGHZTC.GEN_NA_RESD_GFO_TEE_NA_USA_QBTU.A</t>
        </is>
      </c>
      <c r="D97" t="inlineStr">
        <is>
          <t>quads</t>
        </is>
      </c>
      <c r="F97" t="n">
        <v>0.175875</v>
      </c>
      <c r="G97" t="n">
        <v>0.199964</v>
      </c>
      <c r="H97" t="n">
        <v>0.224404</v>
      </c>
      <c r="I97" t="n">
        <v>0.247287</v>
      </c>
      <c r="J97" t="n">
        <v>0.270664</v>
      </c>
      <c r="K97" t="n">
        <v>0.294409</v>
      </c>
      <c r="L97" t="n">
        <v>0.319696</v>
      </c>
      <c r="M97" t="n">
        <v>0.346641</v>
      </c>
      <c r="N97" t="n">
        <v>0.373479</v>
      </c>
      <c r="O97" t="n">
        <v>0.400223</v>
      </c>
      <c r="P97" t="n">
        <v>0.426444</v>
      </c>
      <c r="Q97" t="n">
        <v>0.446916</v>
      </c>
      <c r="R97" t="n">
        <v>0.467945</v>
      </c>
      <c r="S97" t="n">
        <v>0.48926</v>
      </c>
      <c r="T97" t="n">
        <v>0.511423</v>
      </c>
      <c r="U97" t="n">
        <v>0.533874</v>
      </c>
      <c r="V97" t="n">
        <v>0.556782</v>
      </c>
      <c r="W97" t="n">
        <v>0.58001</v>
      </c>
      <c r="X97" t="n">
        <v>0.6038480000000001</v>
      </c>
      <c r="Y97" t="n">
        <v>0.628053</v>
      </c>
      <c r="Z97" t="n">
        <v>0.65273</v>
      </c>
      <c r="AA97" t="n">
        <v>0.678157</v>
      </c>
      <c r="AB97" t="n">
        <v>0.704211</v>
      </c>
      <c r="AC97" t="n">
        <v>0.73086</v>
      </c>
      <c r="AD97" t="n">
        <v>0.75825</v>
      </c>
      <c r="AE97" t="n">
        <v>0.786166</v>
      </c>
      <c r="AF97" t="n">
        <v>0.814509</v>
      </c>
      <c r="AG97" s="42" t="n">
        <v>0.061</v>
      </c>
    </row>
    <row r="98">
      <c r="A98" t="inlineStr">
        <is>
          <t>Total Energy</t>
        </is>
      </c>
      <c r="B98" t="inlineStr">
        <is>
          <t>Residential: Total Net Own-use Generation: Total Gross End-use Consumption: High Zero-Carbon Technology Cost</t>
        </is>
      </c>
      <c r="C98" t="inlineStr">
        <is>
          <t>AEO.2025.HIGHZTC.GEN_NA_RESD_TTG_TEE_NA_USA_QBTU.A</t>
        </is>
      </c>
      <c r="D98" t="inlineStr">
        <is>
          <t>quads</t>
        </is>
      </c>
      <c r="F98" t="n">
        <v>18.302611</v>
      </c>
      <c r="G98" t="n">
        <v>18.372553</v>
      </c>
      <c r="H98" t="n">
        <v>18.134776</v>
      </c>
      <c r="I98" t="n">
        <v>18.083752</v>
      </c>
      <c r="J98" t="n">
        <v>18.10504</v>
      </c>
      <c r="K98" t="n">
        <v>18.081033</v>
      </c>
      <c r="L98" t="n">
        <v>17.884776</v>
      </c>
      <c r="M98" t="n">
        <v>17.714714</v>
      </c>
      <c r="N98" t="n">
        <v>17.360242</v>
      </c>
      <c r="O98" t="n">
        <v>17.234044</v>
      </c>
      <c r="P98" t="n">
        <v>17.111412</v>
      </c>
      <c r="Q98" t="n">
        <v>16.995181</v>
      </c>
      <c r="R98" t="n">
        <v>16.921761</v>
      </c>
      <c r="S98" t="n">
        <v>16.816811</v>
      </c>
      <c r="T98" t="n">
        <v>16.812485</v>
      </c>
      <c r="U98" t="n">
        <v>16.668676</v>
      </c>
      <c r="V98" t="n">
        <v>16.723193</v>
      </c>
      <c r="W98" t="n">
        <v>16.83765</v>
      </c>
      <c r="X98" t="n">
        <v>16.944375</v>
      </c>
      <c r="Y98" t="n">
        <v>17.021435</v>
      </c>
      <c r="Z98" t="n">
        <v>17.096641</v>
      </c>
      <c r="AA98" t="n">
        <v>17.133556</v>
      </c>
      <c r="AB98" t="n">
        <v>17.16192</v>
      </c>
      <c r="AC98" t="n">
        <v>17.20043</v>
      </c>
      <c r="AD98" t="n">
        <v>17.245937</v>
      </c>
      <c r="AE98" t="n">
        <v>17.298698</v>
      </c>
      <c r="AF98" t="n">
        <v>17.308274</v>
      </c>
      <c r="AG98" s="42" t="n">
        <v>-0.002</v>
      </c>
    </row>
    <row r="99">
      <c r="A99" t="inlineStr">
        <is>
          <t>Nonmarketed Renewables</t>
        </is>
      </c>
    </row>
    <row r="100">
      <c r="A100" t="inlineStr">
        <is>
          <t>Solar Hot Water Heating</t>
        </is>
      </c>
      <c r="B100" t="inlineStr">
        <is>
          <t>Residential: Nonmarketed Renewables: Solar Hot Water Heating: High Zero-Carbon Technology Cost</t>
        </is>
      </c>
      <c r="C100" t="inlineStr">
        <is>
          <t>AEO.2025.HIGHZTC.CNSM_NA_RESD_SHW_NRW_NA_USA_QBTU.A</t>
        </is>
      </c>
      <c r="D100" t="inlineStr">
        <is>
          <t>quads</t>
        </is>
      </c>
      <c r="F100" t="n">
        <v>0.035525</v>
      </c>
      <c r="G100" t="n">
        <v>0.042155</v>
      </c>
      <c r="H100" t="n">
        <v>0.049198</v>
      </c>
      <c r="I100" t="n">
        <v>0.055102</v>
      </c>
      <c r="J100" t="n">
        <v>0.061131</v>
      </c>
      <c r="K100" t="n">
        <v>0.06332699999999999</v>
      </c>
      <c r="L100" t="n">
        <v>0.066036</v>
      </c>
      <c r="M100" t="n">
        <v>0.06847399999999999</v>
      </c>
      <c r="N100" t="n">
        <v>0.07106899999999999</v>
      </c>
      <c r="O100" t="n">
        <v>0.07102899999999999</v>
      </c>
      <c r="P100" t="n">
        <v>0.07183</v>
      </c>
      <c r="Q100" t="n">
        <v>0.071849</v>
      </c>
      <c r="R100" t="n">
        <v>0.07191599999999999</v>
      </c>
      <c r="S100" t="n">
        <v>0.071802</v>
      </c>
      <c r="T100" t="n">
        <v>0.071685</v>
      </c>
      <c r="U100" t="n">
        <v>0.071601</v>
      </c>
      <c r="V100" t="n">
        <v>0.070627</v>
      </c>
      <c r="W100" t="n">
        <v>0.07049900000000001</v>
      </c>
      <c r="X100" t="n">
        <v>0.070575</v>
      </c>
      <c r="Y100" t="n">
        <v>0.070644</v>
      </c>
      <c r="Z100" t="n">
        <v>0.070711</v>
      </c>
      <c r="AA100" t="n">
        <v>0.070803</v>
      </c>
      <c r="AB100" t="n">
        <v>0.071024</v>
      </c>
      <c r="AC100" t="n">
        <v>0.070883</v>
      </c>
      <c r="AD100" t="n">
        <v>0.070941</v>
      </c>
      <c r="AE100" t="n">
        <v>0.070838</v>
      </c>
      <c r="AF100" t="n">
        <v>0.07093000000000001</v>
      </c>
      <c r="AG100" s="42" t="n">
        <v>0.027</v>
      </c>
    </row>
    <row r="101">
      <c r="A101" t="inlineStr">
        <is>
          <t>Solar Photovoltaic</t>
        </is>
      </c>
      <c r="B101" t="inlineStr">
        <is>
          <t>Residential: Nonmarketed Renewables: Solar Photovoltaic: High Zero-Carbon Technology Cost</t>
        </is>
      </c>
      <c r="C101" t="inlineStr">
        <is>
          <t>AEO.2025.HIGHZTC.CNSM_NA_RESD_SOPH_NRW_NA_USA_QBTU.A</t>
        </is>
      </c>
      <c r="D101" t="inlineStr">
        <is>
          <t>quads</t>
        </is>
      </c>
      <c r="F101" t="n">
        <v>0.213925</v>
      </c>
      <c r="G101" t="n">
        <v>0.243256</v>
      </c>
      <c r="H101" t="n">
        <v>0.272936</v>
      </c>
      <c r="I101" t="n">
        <v>0.300863</v>
      </c>
      <c r="J101" t="n">
        <v>0.329338</v>
      </c>
      <c r="K101" t="n">
        <v>0.358154</v>
      </c>
      <c r="L101" t="n">
        <v>0.388935</v>
      </c>
      <c r="M101" t="n">
        <v>0.422001</v>
      </c>
      <c r="N101" t="n">
        <v>0.45468</v>
      </c>
      <c r="O101" t="n">
        <v>0.488552</v>
      </c>
      <c r="P101" t="n">
        <v>0.522083</v>
      </c>
      <c r="Q101" t="n">
        <v>0.548214</v>
      </c>
      <c r="R101" t="n">
        <v>0.575139</v>
      </c>
      <c r="S101" t="n">
        <v>0.602267</v>
      </c>
      <c r="T101" t="n">
        <v>0.630719</v>
      </c>
      <c r="U101" t="n">
        <v>0.659294</v>
      </c>
      <c r="V101" t="n">
        <v>0.6884</v>
      </c>
      <c r="W101" t="n">
        <v>0.717651</v>
      </c>
      <c r="X101" t="n">
        <v>0.7477240000000001</v>
      </c>
      <c r="Y101" t="n">
        <v>0.778135</v>
      </c>
      <c r="Z101" t="n">
        <v>0.8089730000000001</v>
      </c>
      <c r="AA101" t="n">
        <v>0.840843</v>
      </c>
      <c r="AB101" t="n">
        <v>0.873347</v>
      </c>
      <c r="AC101" t="n">
        <v>0.906792</v>
      </c>
      <c r="AD101" t="n">
        <v>0.9409920000000001</v>
      </c>
      <c r="AE101" t="n">
        <v>0.975945</v>
      </c>
      <c r="AF101" t="n">
        <v>1.011262</v>
      </c>
      <c r="AG101" s="42" t="n">
        <v>0.062</v>
      </c>
    </row>
    <row r="102">
      <c r="A102" t="inlineStr">
        <is>
          <t>Wind</t>
        </is>
      </c>
      <c r="B102" t="inlineStr">
        <is>
          <t>Residential: Nonmarketed Renewables: Wind: High Zero-Carbon Technology Cost</t>
        </is>
      </c>
      <c r="C102" t="inlineStr">
        <is>
          <t>AEO.2025.HIGHZTC.CNSM_NA_RESD_WND_NRW_NA_USA_QBTU.A</t>
        </is>
      </c>
      <c r="D102" t="inlineStr">
        <is>
          <t>quads</t>
        </is>
      </c>
      <c r="F102" t="n">
        <v>0.00126</v>
      </c>
      <c r="G102" t="n">
        <v>0.00214</v>
      </c>
      <c r="H102" t="n">
        <v>0.003001</v>
      </c>
      <c r="I102" t="n">
        <v>0.003401</v>
      </c>
      <c r="J102" t="n">
        <v>0.003849</v>
      </c>
      <c r="K102" t="n">
        <v>0.004333</v>
      </c>
      <c r="L102" t="n">
        <v>0.005261</v>
      </c>
      <c r="M102" t="n">
        <v>0.006483</v>
      </c>
      <c r="N102" t="n">
        <v>0.007725</v>
      </c>
      <c r="O102" t="n">
        <v>0.008146</v>
      </c>
      <c r="P102" t="n">
        <v>0.008342</v>
      </c>
      <c r="Q102" t="n">
        <v>0.008347</v>
      </c>
      <c r="R102" t="n">
        <v>0.008352999999999999</v>
      </c>
      <c r="S102" t="n">
        <v>0.008359</v>
      </c>
      <c r="T102" t="n">
        <v>0.008366999999999999</v>
      </c>
      <c r="U102" t="n">
        <v>0.008375</v>
      </c>
      <c r="V102" t="n">
        <v>0.008385</v>
      </c>
      <c r="W102" t="n">
        <v>0.008395</v>
      </c>
      <c r="X102" t="n">
        <v>0.008406</v>
      </c>
      <c r="Y102" t="n">
        <v>0.008416999999999999</v>
      </c>
      <c r="Z102" t="n">
        <v>0.008429000000000001</v>
      </c>
      <c r="AA102" t="n">
        <v>0.008441000000000001</v>
      </c>
      <c r="AB102" t="n">
        <v>0.008453</v>
      </c>
      <c r="AC102" t="n">
        <v>0.008466</v>
      </c>
      <c r="AD102" t="n">
        <v>0.00848</v>
      </c>
      <c r="AE102" t="n">
        <v>0.008494</v>
      </c>
      <c r="AF102" t="n">
        <v>0.008508999999999999</v>
      </c>
      <c r="AG102" s="42" t="n">
        <v>0.076</v>
      </c>
    </row>
    <row r="103">
      <c r="A103" t="inlineStr">
        <is>
          <t>Total</t>
        </is>
      </c>
      <c r="B103" t="inlineStr">
        <is>
          <t>Residential: Nonmarketed Renewables: Total: High Zero-Carbon Technology Cost</t>
        </is>
      </c>
      <c r="C103" t="inlineStr">
        <is>
          <t>AEO.2025.HIGHZTC.CNSM_NA_RESD_NA_NRW_NA_USA_QBTU.A</t>
        </is>
      </c>
      <c r="D103" t="inlineStr">
        <is>
          <t>quads</t>
        </is>
      </c>
      <c r="F103" t="n">
        <v>0.25071</v>
      </c>
      <c r="G103" t="n">
        <v>0.287551</v>
      </c>
      <c r="H103" t="n">
        <v>0.325135</v>
      </c>
      <c r="I103" t="n">
        <v>0.359367</v>
      </c>
      <c r="J103" t="n">
        <v>0.394318</v>
      </c>
      <c r="K103" t="n">
        <v>0.425814</v>
      </c>
      <c r="L103" t="n">
        <v>0.460232</v>
      </c>
      <c r="M103" t="n">
        <v>0.496958</v>
      </c>
      <c r="N103" t="n">
        <v>0.533473</v>
      </c>
      <c r="O103" t="n">
        <v>0.567727</v>
      </c>
      <c r="P103" t="n">
        <v>0.602256</v>
      </c>
      <c r="Q103" t="n">
        <v>0.6284110000000001</v>
      </c>
      <c r="R103" t="n">
        <v>0.655407</v>
      </c>
      <c r="S103" t="n">
        <v>0.682429</v>
      </c>
      <c r="T103" t="n">
        <v>0.710772</v>
      </c>
      <c r="U103" t="n">
        <v>0.73927</v>
      </c>
      <c r="V103" t="n">
        <v>0.767411</v>
      </c>
      <c r="W103" t="n">
        <v>0.7965449999999999</v>
      </c>
      <c r="X103" t="n">
        <v>0.8267060000000001</v>
      </c>
      <c r="Y103" t="n">
        <v>0.857196</v>
      </c>
      <c r="Z103" t="n">
        <v>0.888113</v>
      </c>
      <c r="AA103" t="n">
        <v>0.920087</v>
      </c>
      <c r="AB103" t="n">
        <v>0.952824</v>
      </c>
      <c r="AC103" t="n">
        <v>0.986141</v>
      </c>
      <c r="AD103" t="n">
        <v>1.020414</v>
      </c>
      <c r="AE103" t="n">
        <v>1.055277</v>
      </c>
      <c r="AF103" t="n">
        <v>1.090701</v>
      </c>
      <c r="AG103" s="42" t="n">
        <v>0.058</v>
      </c>
    </row>
    <row r="104">
      <c r="A104" t="inlineStr">
        <is>
          <t>Heating Degree Days</t>
        </is>
      </c>
    </row>
    <row r="105">
      <c r="A105" t="inlineStr">
        <is>
          <t>New England</t>
        </is>
      </c>
      <c r="B105" t="inlineStr">
        <is>
          <t>Residential: Heating Degree Days: New England: High Zero-Carbon Technology Cost</t>
        </is>
      </c>
      <c r="C105" t="inlineStr">
        <is>
          <t>AEO.2025.HIGHZTC.KEI_HDD_RESD_NA_NA_NA_NENGL_HDD.A</t>
        </is>
      </c>
      <c r="D105" t="inlineStr">
        <is>
          <t>HDD</t>
        </is>
      </c>
      <c r="F105" t="n">
        <v>5643</v>
      </c>
      <c r="G105" t="n">
        <v>5924</v>
      </c>
      <c r="H105" t="n">
        <v>5901</v>
      </c>
      <c r="I105" t="n">
        <v>5879</v>
      </c>
      <c r="J105" t="n">
        <v>5856</v>
      </c>
      <c r="K105" t="n">
        <v>5833</v>
      </c>
      <c r="L105" t="n">
        <v>5810</v>
      </c>
      <c r="M105" t="n">
        <v>5787</v>
      </c>
      <c r="N105" t="n">
        <v>5764</v>
      </c>
      <c r="O105" t="n">
        <v>5741</v>
      </c>
      <c r="P105" t="n">
        <v>5718</v>
      </c>
      <c r="Q105" t="n">
        <v>5695</v>
      </c>
      <c r="R105" t="n">
        <v>5672</v>
      </c>
      <c r="S105" t="n">
        <v>5649</v>
      </c>
      <c r="T105" t="n">
        <v>5626</v>
      </c>
      <c r="U105" t="n">
        <v>5603</v>
      </c>
      <c r="V105" t="n">
        <v>5579</v>
      </c>
      <c r="W105" t="n">
        <v>5556</v>
      </c>
      <c r="X105" t="n">
        <v>5533</v>
      </c>
      <c r="Y105" t="n">
        <v>5510</v>
      </c>
      <c r="Z105" t="n">
        <v>5487</v>
      </c>
      <c r="AA105" t="n">
        <v>5464</v>
      </c>
      <c r="AB105" t="n">
        <v>5440</v>
      </c>
      <c r="AC105" t="n">
        <v>5417</v>
      </c>
      <c r="AD105" t="n">
        <v>5394</v>
      </c>
      <c r="AE105" t="n">
        <v>5371</v>
      </c>
      <c r="AF105" t="n">
        <v>5348</v>
      </c>
      <c r="AG105" s="42" t="n">
        <v>-0.002</v>
      </c>
    </row>
    <row r="106">
      <c r="A106" t="inlineStr">
        <is>
          <t>Middle Atlantic</t>
        </is>
      </c>
      <c r="B106" t="inlineStr">
        <is>
          <t>Residential: Heating Degree Days: Middle Atlantic: High Zero-Carbon Technology Cost</t>
        </is>
      </c>
      <c r="C106" t="inlineStr">
        <is>
          <t>AEO.2025.HIGHZTC.KEI_HDD_RESD_NA_NA_NA_MATL_HDD.A</t>
        </is>
      </c>
      <c r="D106" t="inlineStr">
        <is>
          <t>HDD</t>
        </is>
      </c>
      <c r="F106" t="n">
        <v>4981</v>
      </c>
      <c r="G106" t="n">
        <v>5319</v>
      </c>
      <c r="H106" t="n">
        <v>5298</v>
      </c>
      <c r="I106" t="n">
        <v>5277</v>
      </c>
      <c r="J106" t="n">
        <v>5256</v>
      </c>
      <c r="K106" t="n">
        <v>5235</v>
      </c>
      <c r="L106" t="n">
        <v>5214</v>
      </c>
      <c r="M106" t="n">
        <v>5193</v>
      </c>
      <c r="N106" t="n">
        <v>5172</v>
      </c>
      <c r="O106" t="n">
        <v>5151</v>
      </c>
      <c r="P106" t="n">
        <v>5130</v>
      </c>
      <c r="Q106" t="n">
        <v>5109</v>
      </c>
      <c r="R106" t="n">
        <v>5088</v>
      </c>
      <c r="S106" t="n">
        <v>5068</v>
      </c>
      <c r="T106" t="n">
        <v>5047</v>
      </c>
      <c r="U106" t="n">
        <v>5026</v>
      </c>
      <c r="V106" t="n">
        <v>5005</v>
      </c>
      <c r="W106" t="n">
        <v>4984</v>
      </c>
      <c r="X106" t="n">
        <v>4963</v>
      </c>
      <c r="Y106" t="n">
        <v>4943</v>
      </c>
      <c r="Z106" t="n">
        <v>4922</v>
      </c>
      <c r="AA106" t="n">
        <v>4901</v>
      </c>
      <c r="AB106" t="n">
        <v>4880</v>
      </c>
      <c r="AC106" t="n">
        <v>4859</v>
      </c>
      <c r="AD106" t="n">
        <v>4838</v>
      </c>
      <c r="AE106" t="n">
        <v>4818</v>
      </c>
      <c r="AF106" t="n">
        <v>4797</v>
      </c>
      <c r="AG106" s="42" t="n">
        <v>-0.001</v>
      </c>
    </row>
    <row r="107">
      <c r="A107" t="inlineStr">
        <is>
          <t>East North Central</t>
        </is>
      </c>
      <c r="B107" t="inlineStr">
        <is>
          <t>Residential: Heating Degree Days: East North Central: High Zero-Carbon Technology Cost</t>
        </is>
      </c>
      <c r="C107" t="inlineStr">
        <is>
          <t>AEO.2025.HIGHZTC.KEI_HDD_RESD_NA_NA_NA_ENC_HDD.A</t>
        </is>
      </c>
      <c r="D107" t="inlineStr">
        <is>
          <t>HDD</t>
        </is>
      </c>
      <c r="F107" t="n">
        <v>5306</v>
      </c>
      <c r="G107" t="n">
        <v>5952</v>
      </c>
      <c r="H107" t="n">
        <v>5937</v>
      </c>
      <c r="I107" t="n">
        <v>5923</v>
      </c>
      <c r="J107" t="n">
        <v>5908</v>
      </c>
      <c r="K107" t="n">
        <v>5894</v>
      </c>
      <c r="L107" t="n">
        <v>5879</v>
      </c>
      <c r="M107" t="n">
        <v>5864</v>
      </c>
      <c r="N107" t="n">
        <v>5850</v>
      </c>
      <c r="O107" t="n">
        <v>5835</v>
      </c>
      <c r="P107" t="n">
        <v>5820</v>
      </c>
      <c r="Q107" t="n">
        <v>5806</v>
      </c>
      <c r="R107" t="n">
        <v>5791</v>
      </c>
      <c r="S107" t="n">
        <v>5776</v>
      </c>
      <c r="T107" t="n">
        <v>5762</v>
      </c>
      <c r="U107" t="n">
        <v>5747</v>
      </c>
      <c r="V107" t="n">
        <v>5732</v>
      </c>
      <c r="W107" t="n">
        <v>5717</v>
      </c>
      <c r="X107" t="n">
        <v>5703</v>
      </c>
      <c r="Y107" t="n">
        <v>5688</v>
      </c>
      <c r="Z107" t="n">
        <v>5673</v>
      </c>
      <c r="AA107" t="n">
        <v>5658</v>
      </c>
      <c r="AB107" t="n">
        <v>5644</v>
      </c>
      <c r="AC107" t="n">
        <v>5629</v>
      </c>
      <c r="AD107" t="n">
        <v>5614</v>
      </c>
      <c r="AE107" t="n">
        <v>5599</v>
      </c>
      <c r="AF107" t="n">
        <v>5585</v>
      </c>
      <c r="AG107" s="42" t="n">
        <v>0.002</v>
      </c>
    </row>
    <row r="108">
      <c r="A108" t="inlineStr">
        <is>
          <t>West North Central</t>
        </is>
      </c>
      <c r="B108" t="inlineStr">
        <is>
          <t>Residential: Heating Degree Days: West North Central: High Zero-Carbon Technology Cost</t>
        </is>
      </c>
      <c r="C108" t="inlineStr">
        <is>
          <t>AEO.2025.HIGHZTC.KEI_HDD_RESD_NA_NA_NA_WNC_HDD.A</t>
        </is>
      </c>
      <c r="D108" t="inlineStr">
        <is>
          <t>HDD</t>
        </is>
      </c>
      <c r="F108" t="n">
        <v>5716</v>
      </c>
      <c r="G108" t="n">
        <v>6383</v>
      </c>
      <c r="H108" t="n">
        <v>6376</v>
      </c>
      <c r="I108" t="n">
        <v>6369</v>
      </c>
      <c r="J108" t="n">
        <v>6362</v>
      </c>
      <c r="K108" t="n">
        <v>6355</v>
      </c>
      <c r="L108" t="n">
        <v>6348</v>
      </c>
      <c r="M108" t="n">
        <v>6341</v>
      </c>
      <c r="N108" t="n">
        <v>6334</v>
      </c>
      <c r="O108" t="n">
        <v>6327</v>
      </c>
      <c r="P108" t="n">
        <v>6319</v>
      </c>
      <c r="Q108" t="n">
        <v>6312</v>
      </c>
      <c r="R108" t="n">
        <v>6304</v>
      </c>
      <c r="S108" t="n">
        <v>6297</v>
      </c>
      <c r="T108" t="n">
        <v>6289</v>
      </c>
      <c r="U108" t="n">
        <v>6282</v>
      </c>
      <c r="V108" t="n">
        <v>6274</v>
      </c>
      <c r="W108" t="n">
        <v>6267</v>
      </c>
      <c r="X108" t="n">
        <v>6259</v>
      </c>
      <c r="Y108" t="n">
        <v>6252</v>
      </c>
      <c r="Z108" t="n">
        <v>6244</v>
      </c>
      <c r="AA108" t="n">
        <v>6236</v>
      </c>
      <c r="AB108" t="n">
        <v>6229</v>
      </c>
      <c r="AC108" t="n">
        <v>6221</v>
      </c>
      <c r="AD108" t="n">
        <v>6213</v>
      </c>
      <c r="AE108" t="n">
        <v>6206</v>
      </c>
      <c r="AF108" t="n">
        <v>6198</v>
      </c>
      <c r="AG108" s="42" t="n">
        <v>0.003</v>
      </c>
    </row>
    <row r="109">
      <c r="A109" t="inlineStr">
        <is>
          <t>South Atlantic</t>
        </is>
      </c>
      <c r="B109" t="inlineStr">
        <is>
          <t>Residential: Heating Degree Days: South Atlantic: High Zero-Carbon Technology Cost</t>
        </is>
      </c>
      <c r="C109" t="inlineStr">
        <is>
          <t>AEO.2025.HIGHZTC.KEI_HDD_RESD_NA_NA_NA_SATL_HDD.A</t>
        </is>
      </c>
      <c r="D109" t="inlineStr">
        <is>
          <t>HDD</t>
        </is>
      </c>
      <c r="F109" t="n">
        <v>2271</v>
      </c>
      <c r="G109" t="n">
        <v>2344</v>
      </c>
      <c r="H109" t="n">
        <v>2329</v>
      </c>
      <c r="I109" t="n">
        <v>2313</v>
      </c>
      <c r="J109" t="n">
        <v>2298</v>
      </c>
      <c r="K109" t="n">
        <v>2283</v>
      </c>
      <c r="L109" t="n">
        <v>2267</v>
      </c>
      <c r="M109" t="n">
        <v>2251</v>
      </c>
      <c r="N109" t="n">
        <v>2235</v>
      </c>
      <c r="O109" t="n">
        <v>2220</v>
      </c>
      <c r="P109" t="n">
        <v>2204</v>
      </c>
      <c r="Q109" t="n">
        <v>2188</v>
      </c>
      <c r="R109" t="n">
        <v>2173</v>
      </c>
      <c r="S109" t="n">
        <v>2157</v>
      </c>
      <c r="T109" t="n">
        <v>2141</v>
      </c>
      <c r="U109" t="n">
        <v>2125</v>
      </c>
      <c r="V109" t="n">
        <v>2110</v>
      </c>
      <c r="W109" t="n">
        <v>2094</v>
      </c>
      <c r="X109" t="n">
        <v>2079</v>
      </c>
      <c r="Y109" t="n">
        <v>2063</v>
      </c>
      <c r="Z109" t="n">
        <v>2047</v>
      </c>
      <c r="AA109" t="n">
        <v>2032</v>
      </c>
      <c r="AB109" t="n">
        <v>2016</v>
      </c>
      <c r="AC109" t="n">
        <v>2001</v>
      </c>
      <c r="AD109" t="n">
        <v>1985</v>
      </c>
      <c r="AE109" t="n">
        <v>1970</v>
      </c>
      <c r="AF109" t="n">
        <v>1955</v>
      </c>
      <c r="AG109" s="42" t="n">
        <v>-0.006</v>
      </c>
    </row>
    <row r="110">
      <c r="A110" t="inlineStr">
        <is>
          <t>East South Central</t>
        </is>
      </c>
      <c r="B110" t="inlineStr">
        <is>
          <t>Residential: Heating Degree Days: East South Central: High Zero-Carbon Technology Cost</t>
        </is>
      </c>
      <c r="C110" t="inlineStr">
        <is>
          <t>AEO.2025.HIGHZTC.KEI_HDD_RESD_NA_NA_NA_ESC_HDD.A</t>
        </is>
      </c>
      <c r="D110" t="inlineStr">
        <is>
          <t>HDD</t>
        </is>
      </c>
      <c r="F110" t="n">
        <v>3024</v>
      </c>
      <c r="G110" t="n">
        <v>3161</v>
      </c>
      <c r="H110" t="n">
        <v>3148</v>
      </c>
      <c r="I110" t="n">
        <v>3136</v>
      </c>
      <c r="J110" t="n">
        <v>3123</v>
      </c>
      <c r="K110" t="n">
        <v>3111</v>
      </c>
      <c r="L110" t="n">
        <v>3098</v>
      </c>
      <c r="M110" t="n">
        <v>3086</v>
      </c>
      <c r="N110" t="n">
        <v>3073</v>
      </c>
      <c r="O110" t="n">
        <v>3060</v>
      </c>
      <c r="P110" t="n">
        <v>3048</v>
      </c>
      <c r="Q110" t="n">
        <v>3035</v>
      </c>
      <c r="R110" t="n">
        <v>3022</v>
      </c>
      <c r="S110" t="n">
        <v>3009</v>
      </c>
      <c r="T110" t="n">
        <v>2996</v>
      </c>
      <c r="U110" t="n">
        <v>2984</v>
      </c>
      <c r="V110" t="n">
        <v>2971</v>
      </c>
      <c r="W110" t="n">
        <v>2958</v>
      </c>
      <c r="X110" t="n">
        <v>2945</v>
      </c>
      <c r="Y110" t="n">
        <v>2933</v>
      </c>
      <c r="Z110" t="n">
        <v>2920</v>
      </c>
      <c r="AA110" t="n">
        <v>2907</v>
      </c>
      <c r="AB110" t="n">
        <v>2894</v>
      </c>
      <c r="AC110" t="n">
        <v>2881</v>
      </c>
      <c r="AD110" t="n">
        <v>2869</v>
      </c>
      <c r="AE110" t="n">
        <v>2856</v>
      </c>
      <c r="AF110" t="n">
        <v>2843</v>
      </c>
      <c r="AG110" s="42" t="n">
        <v>-0.002</v>
      </c>
    </row>
    <row r="111">
      <c r="A111" t="inlineStr">
        <is>
          <t>West South Central</t>
        </is>
      </c>
      <c r="B111" t="inlineStr">
        <is>
          <t>Residential: Heating Degree Days: West South Central: High Zero-Carbon Technology Cost</t>
        </is>
      </c>
      <c r="C111" t="inlineStr">
        <is>
          <t>AEO.2025.HIGHZTC.KEI_HDD_RESD_NA_NA_NA_WSC_HDD.A</t>
        </is>
      </c>
      <c r="D111" t="inlineStr">
        <is>
          <t>HDD</t>
        </is>
      </c>
      <c r="F111" t="n">
        <v>1844</v>
      </c>
      <c r="G111" t="n">
        <v>1949</v>
      </c>
      <c r="H111" t="n">
        <v>1942</v>
      </c>
      <c r="I111" t="n">
        <v>1935</v>
      </c>
      <c r="J111" t="n">
        <v>1928</v>
      </c>
      <c r="K111" t="n">
        <v>1921</v>
      </c>
      <c r="L111" t="n">
        <v>1914</v>
      </c>
      <c r="M111" t="n">
        <v>1907</v>
      </c>
      <c r="N111" t="n">
        <v>1900</v>
      </c>
      <c r="O111" t="n">
        <v>1893</v>
      </c>
      <c r="P111" t="n">
        <v>1886</v>
      </c>
      <c r="Q111" t="n">
        <v>1879</v>
      </c>
      <c r="R111" t="n">
        <v>1872</v>
      </c>
      <c r="S111" t="n">
        <v>1865</v>
      </c>
      <c r="T111" t="n">
        <v>1858</v>
      </c>
      <c r="U111" t="n">
        <v>1852</v>
      </c>
      <c r="V111" t="n">
        <v>1845</v>
      </c>
      <c r="W111" t="n">
        <v>1838</v>
      </c>
      <c r="X111" t="n">
        <v>1831</v>
      </c>
      <c r="Y111" t="n">
        <v>1825</v>
      </c>
      <c r="Z111" t="n">
        <v>1818</v>
      </c>
      <c r="AA111" t="n">
        <v>1811</v>
      </c>
      <c r="AB111" t="n">
        <v>1805</v>
      </c>
      <c r="AC111" t="n">
        <v>1798</v>
      </c>
      <c r="AD111" t="n">
        <v>1791</v>
      </c>
      <c r="AE111" t="n">
        <v>1785</v>
      </c>
      <c r="AF111" t="n">
        <v>1778</v>
      </c>
      <c r="AG111" s="42" t="n">
        <v>-0.001</v>
      </c>
    </row>
    <row r="112">
      <c r="A112" t="inlineStr">
        <is>
          <t>Mountain</t>
        </is>
      </c>
      <c r="B112" t="inlineStr">
        <is>
          <t>Residential: Heating Degree Days: Mountain: High Zero-Carbon Technology Cost</t>
        </is>
      </c>
      <c r="C112" t="inlineStr">
        <is>
          <t>AEO.2025.HIGHZTC.KEI_HDD_RESD_NA_NA_NA_MTN_HDD.A</t>
        </is>
      </c>
      <c r="D112" t="inlineStr">
        <is>
          <t>HDD</t>
        </is>
      </c>
      <c r="F112" t="n">
        <v>4753</v>
      </c>
      <c r="G112" t="n">
        <v>4877</v>
      </c>
      <c r="H112" t="n">
        <v>4871</v>
      </c>
      <c r="I112" t="n">
        <v>4865</v>
      </c>
      <c r="J112" t="n">
        <v>4858</v>
      </c>
      <c r="K112" t="n">
        <v>4851</v>
      </c>
      <c r="L112" t="n">
        <v>4844</v>
      </c>
      <c r="M112" t="n">
        <v>4837</v>
      </c>
      <c r="N112" t="n">
        <v>4830</v>
      </c>
      <c r="O112" t="n">
        <v>4823</v>
      </c>
      <c r="P112" t="n">
        <v>4816</v>
      </c>
      <c r="Q112" t="n">
        <v>4809</v>
      </c>
      <c r="R112" t="n">
        <v>4802</v>
      </c>
      <c r="S112" t="n">
        <v>4796</v>
      </c>
      <c r="T112" t="n">
        <v>4789</v>
      </c>
      <c r="U112" t="n">
        <v>4782</v>
      </c>
      <c r="V112" t="n">
        <v>4776</v>
      </c>
      <c r="W112" t="n">
        <v>4769</v>
      </c>
      <c r="X112" t="n">
        <v>4763</v>
      </c>
      <c r="Y112" t="n">
        <v>4756</v>
      </c>
      <c r="Z112" t="n">
        <v>4750</v>
      </c>
      <c r="AA112" t="n">
        <v>4744</v>
      </c>
      <c r="AB112" t="n">
        <v>4737</v>
      </c>
      <c r="AC112" t="n">
        <v>4731</v>
      </c>
      <c r="AD112" t="n">
        <v>4725</v>
      </c>
      <c r="AE112" t="n">
        <v>4718</v>
      </c>
      <c r="AF112" t="n">
        <v>4712</v>
      </c>
      <c r="AG112" s="42" t="n">
        <v>0</v>
      </c>
    </row>
    <row r="113">
      <c r="A113" t="inlineStr">
        <is>
          <t>Pacific</t>
        </is>
      </c>
      <c r="B113" t="inlineStr">
        <is>
          <t>Residential: Heating Degree Days: Pacific: High Zero-Carbon Technology Cost</t>
        </is>
      </c>
      <c r="C113" t="inlineStr">
        <is>
          <t>AEO.2025.HIGHZTC.KEI_HDD_RESD_NA_NA_NA_PCF_HDD.A</t>
        </is>
      </c>
      <c r="D113" t="inlineStr">
        <is>
          <t>HDD</t>
        </is>
      </c>
      <c r="F113" t="n">
        <v>3352</v>
      </c>
      <c r="G113" t="n">
        <v>3290</v>
      </c>
      <c r="H113" t="n">
        <v>3283</v>
      </c>
      <c r="I113" t="n">
        <v>3277</v>
      </c>
      <c r="J113" t="n">
        <v>3270</v>
      </c>
      <c r="K113" t="n">
        <v>3263</v>
      </c>
      <c r="L113" t="n">
        <v>3256</v>
      </c>
      <c r="M113" t="n">
        <v>3249</v>
      </c>
      <c r="N113" t="n">
        <v>3242</v>
      </c>
      <c r="O113" t="n">
        <v>3234</v>
      </c>
      <c r="P113" t="n">
        <v>3227</v>
      </c>
      <c r="Q113" t="n">
        <v>3219</v>
      </c>
      <c r="R113" t="n">
        <v>3212</v>
      </c>
      <c r="S113" t="n">
        <v>3204</v>
      </c>
      <c r="T113" t="n">
        <v>3197</v>
      </c>
      <c r="U113" t="n">
        <v>3189</v>
      </c>
      <c r="V113" t="n">
        <v>3181</v>
      </c>
      <c r="W113" t="n">
        <v>3174</v>
      </c>
      <c r="X113" t="n">
        <v>3166</v>
      </c>
      <c r="Y113" t="n">
        <v>3158</v>
      </c>
      <c r="Z113" t="n">
        <v>3150</v>
      </c>
      <c r="AA113" t="n">
        <v>3143</v>
      </c>
      <c r="AB113" t="n">
        <v>3135</v>
      </c>
      <c r="AC113" t="n">
        <v>3127</v>
      </c>
      <c r="AD113" t="n">
        <v>3119</v>
      </c>
      <c r="AE113" t="n">
        <v>3112</v>
      </c>
      <c r="AF113" t="n">
        <v>3104</v>
      </c>
      <c r="AG113" s="42" t="n">
        <v>-0.003</v>
      </c>
    </row>
    <row r="114">
      <c r="A114" t="inlineStr">
        <is>
          <t>United States</t>
        </is>
      </c>
      <c r="B114" t="inlineStr">
        <is>
          <t>Residential: Heating Degree Days: United States: High Zero-Carbon Technology Cost</t>
        </is>
      </c>
      <c r="C114" t="inlineStr">
        <is>
          <t>AEO.2025.HIGHZTC.KEI_HDD_RESD_NA_NA_NA_USA_HDD.A</t>
        </is>
      </c>
      <c r="D114" t="inlineStr">
        <is>
          <t>HDD</t>
        </is>
      </c>
      <c r="F114" t="n">
        <v>3753.963623</v>
      </c>
      <c r="G114" t="n">
        <v>3970.740234</v>
      </c>
      <c r="H114" t="n">
        <v>3953.677002</v>
      </c>
      <c r="I114" t="n">
        <v>3936.880859</v>
      </c>
      <c r="J114" t="n">
        <v>3919.869385</v>
      </c>
      <c r="K114" t="n">
        <v>3903.102051</v>
      </c>
      <c r="L114" t="n">
        <v>3885.979736</v>
      </c>
      <c r="M114" t="n">
        <v>3868.949219</v>
      </c>
      <c r="N114" t="n">
        <v>3852.031982</v>
      </c>
      <c r="O114" t="n">
        <v>3835.063477</v>
      </c>
      <c r="P114" t="n">
        <v>3818.086426</v>
      </c>
      <c r="Q114" t="n">
        <v>3801.113525</v>
      </c>
      <c r="R114" t="n">
        <v>3784.343506</v>
      </c>
      <c r="S114" t="n">
        <v>3767.477539</v>
      </c>
      <c r="T114" t="n">
        <v>3750.667725</v>
      </c>
      <c r="U114" t="n">
        <v>3733.826904</v>
      </c>
      <c r="V114" t="n">
        <v>3716.998779</v>
      </c>
      <c r="W114" t="n">
        <v>3700.157715</v>
      </c>
      <c r="X114" t="n">
        <v>3683.523926</v>
      </c>
      <c r="Y114" t="n">
        <v>3666.836426</v>
      </c>
      <c r="Z114" t="n">
        <v>3649.887939</v>
      </c>
      <c r="AA114" t="n">
        <v>3633.344727</v>
      </c>
      <c r="AB114" t="n">
        <v>3616.676758</v>
      </c>
      <c r="AC114" t="n">
        <v>3600.134277</v>
      </c>
      <c r="AD114" t="n">
        <v>3583.570068</v>
      </c>
      <c r="AE114" t="n">
        <v>3567.737793</v>
      </c>
      <c r="AF114" t="n">
        <v>3551.74585</v>
      </c>
      <c r="AG114" s="42" t="n">
        <v>-0.002</v>
      </c>
    </row>
    <row r="115">
      <c r="A115" t="inlineStr">
        <is>
          <t>Cooling Degree Days</t>
        </is>
      </c>
    </row>
    <row r="116">
      <c r="A116" t="inlineStr">
        <is>
          <t>New England</t>
        </is>
      </c>
      <c r="B116" t="inlineStr">
        <is>
          <t>Residential: Cooling Degree Days: New England: High Zero-Carbon Technology Cost</t>
        </is>
      </c>
      <c r="C116" t="inlineStr">
        <is>
          <t>AEO.2025.HIGHZTC.KEI_CDD_RESD_NA_NA_NA_NENGL_CDD.A</t>
        </is>
      </c>
      <c r="D116" t="inlineStr">
        <is>
          <t>CDD</t>
        </is>
      </c>
      <c r="F116" t="n">
        <v>620</v>
      </c>
      <c r="G116" t="n">
        <v>609</v>
      </c>
      <c r="H116" t="n">
        <v>615</v>
      </c>
      <c r="I116" t="n">
        <v>621</v>
      </c>
      <c r="J116" t="n">
        <v>627</v>
      </c>
      <c r="K116" t="n">
        <v>633</v>
      </c>
      <c r="L116" t="n">
        <v>640</v>
      </c>
      <c r="M116" t="n">
        <v>646</v>
      </c>
      <c r="N116" t="n">
        <v>652</v>
      </c>
      <c r="O116" t="n">
        <v>659</v>
      </c>
      <c r="P116" t="n">
        <v>665</v>
      </c>
      <c r="Q116" t="n">
        <v>671</v>
      </c>
      <c r="R116" t="n">
        <v>678</v>
      </c>
      <c r="S116" t="n">
        <v>684</v>
      </c>
      <c r="T116" t="n">
        <v>690</v>
      </c>
      <c r="U116" t="n">
        <v>697</v>
      </c>
      <c r="V116" t="n">
        <v>703</v>
      </c>
      <c r="W116" t="n">
        <v>710</v>
      </c>
      <c r="X116" t="n">
        <v>716</v>
      </c>
      <c r="Y116" t="n">
        <v>722</v>
      </c>
      <c r="Z116" t="n">
        <v>729</v>
      </c>
      <c r="AA116" t="n">
        <v>735</v>
      </c>
      <c r="AB116" t="n">
        <v>741</v>
      </c>
      <c r="AC116" t="n">
        <v>748</v>
      </c>
      <c r="AD116" t="n">
        <v>754</v>
      </c>
      <c r="AE116" t="n">
        <v>760</v>
      </c>
      <c r="AF116" t="n">
        <v>767</v>
      </c>
      <c r="AG116" s="42" t="n">
        <v>0.008</v>
      </c>
    </row>
    <row r="117">
      <c r="A117" t="inlineStr">
        <is>
          <t>Middle Atlantic</t>
        </is>
      </c>
      <c r="B117" t="inlineStr">
        <is>
          <t>Residential: Cooling Degree Days: Middle Atlantic: High Zero-Carbon Technology Cost</t>
        </is>
      </c>
      <c r="C117" t="inlineStr">
        <is>
          <t>AEO.2025.HIGHZTC.KEI_CDD_RESD_NA_NA_NA_MATL_CDD.A</t>
        </is>
      </c>
      <c r="D117" t="inlineStr">
        <is>
          <t>CDD</t>
        </is>
      </c>
      <c r="F117" t="n">
        <v>867</v>
      </c>
      <c r="G117" t="n">
        <v>845</v>
      </c>
      <c r="H117" t="n">
        <v>853</v>
      </c>
      <c r="I117" t="n">
        <v>860</v>
      </c>
      <c r="J117" t="n">
        <v>868</v>
      </c>
      <c r="K117" t="n">
        <v>876</v>
      </c>
      <c r="L117" t="n">
        <v>884</v>
      </c>
      <c r="M117" t="n">
        <v>892</v>
      </c>
      <c r="N117" t="n">
        <v>900</v>
      </c>
      <c r="O117" t="n">
        <v>908</v>
      </c>
      <c r="P117" t="n">
        <v>915</v>
      </c>
      <c r="Q117" t="n">
        <v>923</v>
      </c>
      <c r="R117" t="n">
        <v>931</v>
      </c>
      <c r="S117" t="n">
        <v>939</v>
      </c>
      <c r="T117" t="n">
        <v>947</v>
      </c>
      <c r="U117" t="n">
        <v>955</v>
      </c>
      <c r="V117" t="n">
        <v>963</v>
      </c>
      <c r="W117" t="n">
        <v>971</v>
      </c>
      <c r="X117" t="n">
        <v>978</v>
      </c>
      <c r="Y117" t="n">
        <v>986</v>
      </c>
      <c r="Z117" t="n">
        <v>994</v>
      </c>
      <c r="AA117" t="n">
        <v>1002</v>
      </c>
      <c r="AB117" t="n">
        <v>1010</v>
      </c>
      <c r="AC117" t="n">
        <v>1018</v>
      </c>
      <c r="AD117" t="n">
        <v>1026</v>
      </c>
      <c r="AE117" t="n">
        <v>1033</v>
      </c>
      <c r="AF117" t="n">
        <v>1041</v>
      </c>
      <c r="AG117" s="42" t="n">
        <v>0.007</v>
      </c>
    </row>
    <row r="118">
      <c r="A118" t="inlineStr">
        <is>
          <t>East North Central</t>
        </is>
      </c>
      <c r="B118" t="inlineStr">
        <is>
          <t>Residential: Cooling Degree Days: East North Central: High Zero-Carbon Technology Cost</t>
        </is>
      </c>
      <c r="C118" t="inlineStr">
        <is>
          <t>AEO.2025.HIGHZTC.KEI_CDD_RESD_NA_NA_NA_ENC_CDD.A</t>
        </is>
      </c>
      <c r="D118" t="inlineStr">
        <is>
          <t>CDD</t>
        </is>
      </c>
      <c r="F118" t="n">
        <v>899</v>
      </c>
      <c r="G118" t="n">
        <v>851</v>
      </c>
      <c r="H118" t="n">
        <v>856</v>
      </c>
      <c r="I118" t="n">
        <v>861</v>
      </c>
      <c r="J118" t="n">
        <v>866</v>
      </c>
      <c r="K118" t="n">
        <v>871</v>
      </c>
      <c r="L118" t="n">
        <v>876</v>
      </c>
      <c r="M118" t="n">
        <v>881</v>
      </c>
      <c r="N118" t="n">
        <v>886</v>
      </c>
      <c r="O118" t="n">
        <v>890</v>
      </c>
      <c r="P118" t="n">
        <v>895</v>
      </c>
      <c r="Q118" t="n">
        <v>900</v>
      </c>
      <c r="R118" t="n">
        <v>905</v>
      </c>
      <c r="S118" t="n">
        <v>910</v>
      </c>
      <c r="T118" t="n">
        <v>915</v>
      </c>
      <c r="U118" t="n">
        <v>920</v>
      </c>
      <c r="V118" t="n">
        <v>925</v>
      </c>
      <c r="W118" t="n">
        <v>930</v>
      </c>
      <c r="X118" t="n">
        <v>935</v>
      </c>
      <c r="Y118" t="n">
        <v>940</v>
      </c>
      <c r="Z118" t="n">
        <v>945</v>
      </c>
      <c r="AA118" t="n">
        <v>950</v>
      </c>
      <c r="AB118" t="n">
        <v>955</v>
      </c>
      <c r="AC118" t="n">
        <v>960</v>
      </c>
      <c r="AD118" t="n">
        <v>965</v>
      </c>
      <c r="AE118" t="n">
        <v>970</v>
      </c>
      <c r="AF118" t="n">
        <v>975</v>
      </c>
      <c r="AG118" s="42" t="n">
        <v>0.003</v>
      </c>
    </row>
    <row r="119">
      <c r="A119" t="inlineStr">
        <is>
          <t>West North Central</t>
        </is>
      </c>
      <c r="B119" t="inlineStr">
        <is>
          <t>Residential: Cooling Degree Days: West North Central: High Zero-Carbon Technology Cost</t>
        </is>
      </c>
      <c r="C119" t="inlineStr">
        <is>
          <t>AEO.2025.HIGHZTC.KEI_CDD_RESD_NA_NA_NA_WNC_CDD.A</t>
        </is>
      </c>
      <c r="D119" t="inlineStr">
        <is>
          <t>CDD</t>
        </is>
      </c>
      <c r="F119" t="n">
        <v>1046</v>
      </c>
      <c r="G119" t="n">
        <v>1046</v>
      </c>
      <c r="H119" t="n">
        <v>1051</v>
      </c>
      <c r="I119" t="n">
        <v>1056</v>
      </c>
      <c r="J119" t="n">
        <v>1061</v>
      </c>
      <c r="K119" t="n">
        <v>1066</v>
      </c>
      <c r="L119" t="n">
        <v>1071</v>
      </c>
      <c r="M119" t="n">
        <v>1076</v>
      </c>
      <c r="N119" t="n">
        <v>1081</v>
      </c>
      <c r="O119" t="n">
        <v>1086</v>
      </c>
      <c r="P119" t="n">
        <v>1092</v>
      </c>
      <c r="Q119" t="n">
        <v>1097</v>
      </c>
      <c r="R119" t="n">
        <v>1102</v>
      </c>
      <c r="S119" t="n">
        <v>1107</v>
      </c>
      <c r="T119" t="n">
        <v>1112</v>
      </c>
      <c r="U119" t="n">
        <v>1117</v>
      </c>
      <c r="V119" t="n">
        <v>1122</v>
      </c>
      <c r="W119" t="n">
        <v>1128</v>
      </c>
      <c r="X119" t="n">
        <v>1133</v>
      </c>
      <c r="Y119" t="n">
        <v>1138</v>
      </c>
      <c r="Z119" t="n">
        <v>1143</v>
      </c>
      <c r="AA119" t="n">
        <v>1148</v>
      </c>
      <c r="AB119" t="n">
        <v>1153</v>
      </c>
      <c r="AC119" t="n">
        <v>1159</v>
      </c>
      <c r="AD119" t="n">
        <v>1164</v>
      </c>
      <c r="AE119" t="n">
        <v>1169</v>
      </c>
      <c r="AF119" t="n">
        <v>1174</v>
      </c>
      <c r="AG119" s="42" t="n">
        <v>0.004</v>
      </c>
    </row>
    <row r="120">
      <c r="A120" t="inlineStr">
        <is>
          <t>South Atlantic</t>
        </is>
      </c>
      <c r="B120" t="inlineStr">
        <is>
          <t>Residential: Cooling Degree Days: South Atlantic: High Zero-Carbon Technology Cost</t>
        </is>
      </c>
      <c r="C120" t="inlineStr">
        <is>
          <t>AEO.2025.HIGHZTC.KEI_CDD_RESD_NA_NA_NA_SATL_CDD.A</t>
        </is>
      </c>
      <c r="D120" t="inlineStr">
        <is>
          <t>CDD</t>
        </is>
      </c>
      <c r="F120" t="n">
        <v>2399</v>
      </c>
      <c r="G120" t="n">
        <v>2400</v>
      </c>
      <c r="H120" t="n">
        <v>2415</v>
      </c>
      <c r="I120" t="n">
        <v>2430</v>
      </c>
      <c r="J120" t="n">
        <v>2445</v>
      </c>
      <c r="K120" t="n">
        <v>2460</v>
      </c>
      <c r="L120" t="n">
        <v>2476</v>
      </c>
      <c r="M120" t="n">
        <v>2491</v>
      </c>
      <c r="N120" t="n">
        <v>2507</v>
      </c>
      <c r="O120" t="n">
        <v>2522</v>
      </c>
      <c r="P120" t="n">
        <v>2538</v>
      </c>
      <c r="Q120" t="n">
        <v>2553</v>
      </c>
      <c r="R120" t="n">
        <v>2569</v>
      </c>
      <c r="S120" t="n">
        <v>2585</v>
      </c>
      <c r="T120" t="n">
        <v>2600</v>
      </c>
      <c r="U120" t="n">
        <v>2616</v>
      </c>
      <c r="V120" t="n">
        <v>2632</v>
      </c>
      <c r="W120" t="n">
        <v>2648</v>
      </c>
      <c r="X120" t="n">
        <v>2663</v>
      </c>
      <c r="Y120" t="n">
        <v>2679</v>
      </c>
      <c r="Z120" t="n">
        <v>2695</v>
      </c>
      <c r="AA120" t="n">
        <v>2711</v>
      </c>
      <c r="AB120" t="n">
        <v>2727</v>
      </c>
      <c r="AC120" t="n">
        <v>2742</v>
      </c>
      <c r="AD120" t="n">
        <v>2758</v>
      </c>
      <c r="AE120" t="n">
        <v>2774</v>
      </c>
      <c r="AF120" t="n">
        <v>2790</v>
      </c>
      <c r="AG120" s="42" t="n">
        <v>0.006</v>
      </c>
    </row>
    <row r="121">
      <c r="A121" t="inlineStr">
        <is>
          <t>East South Central</t>
        </is>
      </c>
      <c r="B121" t="inlineStr">
        <is>
          <t>Residential: Cooling Degree Days: East South Central: High Zero-Carbon Technology Cost</t>
        </is>
      </c>
      <c r="C121" t="inlineStr">
        <is>
          <t>AEO.2025.HIGHZTC.KEI_CDD_RESD_NA_NA_NA_ESC_CDD.A</t>
        </is>
      </c>
      <c r="D121" t="inlineStr">
        <is>
          <t>CDD</t>
        </is>
      </c>
      <c r="F121" t="n">
        <v>1859</v>
      </c>
      <c r="G121" t="n">
        <v>1773</v>
      </c>
      <c r="H121" t="n">
        <v>1781</v>
      </c>
      <c r="I121" t="n">
        <v>1788</v>
      </c>
      <c r="J121" t="n">
        <v>1796</v>
      </c>
      <c r="K121" t="n">
        <v>1803</v>
      </c>
      <c r="L121" t="n">
        <v>1811</v>
      </c>
      <c r="M121" t="n">
        <v>1818</v>
      </c>
      <c r="N121" t="n">
        <v>1826</v>
      </c>
      <c r="O121" t="n">
        <v>1834</v>
      </c>
      <c r="P121" t="n">
        <v>1841</v>
      </c>
      <c r="Q121" t="n">
        <v>1849</v>
      </c>
      <c r="R121" t="n">
        <v>1857</v>
      </c>
      <c r="S121" t="n">
        <v>1864</v>
      </c>
      <c r="T121" t="n">
        <v>1872</v>
      </c>
      <c r="U121" t="n">
        <v>1879</v>
      </c>
      <c r="V121" t="n">
        <v>1887</v>
      </c>
      <c r="W121" t="n">
        <v>1895</v>
      </c>
      <c r="X121" t="n">
        <v>1902</v>
      </c>
      <c r="Y121" t="n">
        <v>1910</v>
      </c>
      <c r="Z121" t="n">
        <v>1918</v>
      </c>
      <c r="AA121" t="n">
        <v>1925</v>
      </c>
      <c r="AB121" t="n">
        <v>1933</v>
      </c>
      <c r="AC121" t="n">
        <v>1940</v>
      </c>
      <c r="AD121" t="n">
        <v>1948</v>
      </c>
      <c r="AE121" t="n">
        <v>1956</v>
      </c>
      <c r="AF121" t="n">
        <v>1963</v>
      </c>
      <c r="AG121" s="42" t="n">
        <v>0.002</v>
      </c>
    </row>
    <row r="122">
      <c r="A122" t="inlineStr">
        <is>
          <t>West South Central</t>
        </is>
      </c>
      <c r="B122" t="inlineStr">
        <is>
          <t>Residential: Cooling Degree Days: West South Central: High Zero-Carbon Technology Cost</t>
        </is>
      </c>
      <c r="C122" t="inlineStr">
        <is>
          <t>AEO.2025.HIGHZTC.KEI_CDD_RESD_NA_NA_NA_WSC_CDD.A</t>
        </is>
      </c>
      <c r="D122" t="inlineStr">
        <is>
          <t>CDD</t>
        </is>
      </c>
      <c r="F122" t="n">
        <v>3073</v>
      </c>
      <c r="G122" t="n">
        <v>2901</v>
      </c>
      <c r="H122" t="n">
        <v>2915</v>
      </c>
      <c r="I122" t="n">
        <v>2928</v>
      </c>
      <c r="J122" t="n">
        <v>2942</v>
      </c>
      <c r="K122" t="n">
        <v>2955</v>
      </c>
      <c r="L122" t="n">
        <v>2969</v>
      </c>
      <c r="M122" t="n">
        <v>2982</v>
      </c>
      <c r="N122" t="n">
        <v>2996</v>
      </c>
      <c r="O122" t="n">
        <v>3010</v>
      </c>
      <c r="P122" t="n">
        <v>3023</v>
      </c>
      <c r="Q122" t="n">
        <v>3037</v>
      </c>
      <c r="R122" t="n">
        <v>3050</v>
      </c>
      <c r="S122" t="n">
        <v>3064</v>
      </c>
      <c r="T122" t="n">
        <v>3077</v>
      </c>
      <c r="U122" t="n">
        <v>3091</v>
      </c>
      <c r="V122" t="n">
        <v>3104</v>
      </c>
      <c r="W122" t="n">
        <v>3118</v>
      </c>
      <c r="X122" t="n">
        <v>3131</v>
      </c>
      <c r="Y122" t="n">
        <v>3145</v>
      </c>
      <c r="Z122" t="n">
        <v>3158</v>
      </c>
      <c r="AA122" t="n">
        <v>3172</v>
      </c>
      <c r="AB122" t="n">
        <v>3185</v>
      </c>
      <c r="AC122" t="n">
        <v>3199</v>
      </c>
      <c r="AD122" t="n">
        <v>3212</v>
      </c>
      <c r="AE122" t="n">
        <v>3226</v>
      </c>
      <c r="AF122" t="n">
        <v>3239</v>
      </c>
      <c r="AG122" s="42" t="n">
        <v>0.002</v>
      </c>
    </row>
    <row r="123">
      <c r="A123" t="inlineStr">
        <is>
          <t>Mountain</t>
        </is>
      </c>
      <c r="B123" t="inlineStr">
        <is>
          <t>Residential: Cooling Degree Days: Mountain: High Zero-Carbon Technology Cost</t>
        </is>
      </c>
      <c r="C123" t="inlineStr">
        <is>
          <t>AEO.2025.HIGHZTC.KEI_CDD_RESD_NA_NA_NA_MTN_CDD.A</t>
        </is>
      </c>
      <c r="D123" t="inlineStr">
        <is>
          <t>CDD</t>
        </is>
      </c>
      <c r="F123" t="n">
        <v>1710</v>
      </c>
      <c r="G123" t="n">
        <v>1568</v>
      </c>
      <c r="H123" t="n">
        <v>1575</v>
      </c>
      <c r="I123" t="n">
        <v>1583</v>
      </c>
      <c r="J123" t="n">
        <v>1591</v>
      </c>
      <c r="K123" t="n">
        <v>1598</v>
      </c>
      <c r="L123" t="n">
        <v>1606</v>
      </c>
      <c r="M123" t="n">
        <v>1613</v>
      </c>
      <c r="N123" t="n">
        <v>1621</v>
      </c>
      <c r="O123" t="n">
        <v>1629</v>
      </c>
      <c r="P123" t="n">
        <v>1636</v>
      </c>
      <c r="Q123" t="n">
        <v>1644</v>
      </c>
      <c r="R123" t="n">
        <v>1651</v>
      </c>
      <c r="S123" t="n">
        <v>1659</v>
      </c>
      <c r="T123" t="n">
        <v>1666</v>
      </c>
      <c r="U123" t="n">
        <v>1674</v>
      </c>
      <c r="V123" t="n">
        <v>1681</v>
      </c>
      <c r="W123" t="n">
        <v>1689</v>
      </c>
      <c r="X123" t="n">
        <v>1696</v>
      </c>
      <c r="Y123" t="n">
        <v>1703</v>
      </c>
      <c r="Z123" t="n">
        <v>1711</v>
      </c>
      <c r="AA123" t="n">
        <v>1718</v>
      </c>
      <c r="AB123" t="n">
        <v>1725</v>
      </c>
      <c r="AC123" t="n">
        <v>1733</v>
      </c>
      <c r="AD123" t="n">
        <v>1740</v>
      </c>
      <c r="AE123" t="n">
        <v>1747</v>
      </c>
      <c r="AF123" t="n">
        <v>1755</v>
      </c>
      <c r="AG123" s="42" t="n">
        <v>0.001</v>
      </c>
    </row>
    <row r="124">
      <c r="A124" t="inlineStr">
        <is>
          <t>Pacific</t>
        </is>
      </c>
      <c r="B124" t="inlineStr">
        <is>
          <t>Residential: Cooling Degree Days: Pacific: High Zero-Carbon Technology Cost</t>
        </is>
      </c>
      <c r="C124" t="inlineStr">
        <is>
          <t>AEO.2025.HIGHZTC.KEI_CDD_RESD_NA_NA_NA_PCF_CDD.A</t>
        </is>
      </c>
      <c r="D124" t="inlineStr">
        <is>
          <t>CDD</t>
        </is>
      </c>
      <c r="F124" t="n">
        <v>1056</v>
      </c>
      <c r="G124" t="n">
        <v>1023</v>
      </c>
      <c r="H124" t="n">
        <v>1032</v>
      </c>
      <c r="I124" t="n">
        <v>1040</v>
      </c>
      <c r="J124" t="n">
        <v>1049</v>
      </c>
      <c r="K124" t="n">
        <v>1057</v>
      </c>
      <c r="L124" t="n">
        <v>1066</v>
      </c>
      <c r="M124" t="n">
        <v>1075</v>
      </c>
      <c r="N124" t="n">
        <v>1083</v>
      </c>
      <c r="O124" t="n">
        <v>1092</v>
      </c>
      <c r="P124" t="n">
        <v>1101</v>
      </c>
      <c r="Q124" t="n">
        <v>1109</v>
      </c>
      <c r="R124" t="n">
        <v>1118</v>
      </c>
      <c r="S124" t="n">
        <v>1127</v>
      </c>
      <c r="T124" t="n">
        <v>1135</v>
      </c>
      <c r="U124" t="n">
        <v>1144</v>
      </c>
      <c r="V124" t="n">
        <v>1153</v>
      </c>
      <c r="W124" t="n">
        <v>1161</v>
      </c>
      <c r="X124" t="n">
        <v>1170</v>
      </c>
      <c r="Y124" t="n">
        <v>1179</v>
      </c>
      <c r="Z124" t="n">
        <v>1188</v>
      </c>
      <c r="AA124" t="n">
        <v>1196</v>
      </c>
      <c r="AB124" t="n">
        <v>1205</v>
      </c>
      <c r="AC124" t="n">
        <v>1214</v>
      </c>
      <c r="AD124" t="n">
        <v>1222</v>
      </c>
      <c r="AE124" t="n">
        <v>1231</v>
      </c>
      <c r="AF124" t="n">
        <v>1240</v>
      </c>
      <c r="AG124" s="42" t="n">
        <v>0.006</v>
      </c>
    </row>
    <row r="125">
      <c r="A125" t="inlineStr">
        <is>
          <t>United States</t>
        </is>
      </c>
      <c r="B125" t="inlineStr">
        <is>
          <t>Residential: Cooling Degree Days: United States: High Zero-Carbon Technology Cost</t>
        </is>
      </c>
      <c r="C125" t="inlineStr">
        <is>
          <t>AEO.2025.HIGHZTC.KEI_CDD_RESD_NA_NA_NA_USA_CDD.A</t>
        </is>
      </c>
      <c r="D125" t="inlineStr">
        <is>
          <t>CDD</t>
        </is>
      </c>
      <c r="F125" t="n">
        <v>1616.899048</v>
      </c>
      <c r="G125" t="n">
        <v>1566.379517</v>
      </c>
      <c r="H125" t="n">
        <v>1578.362671</v>
      </c>
      <c r="I125" t="n">
        <v>1589.96106</v>
      </c>
      <c r="J125" t="n">
        <v>1602.043945</v>
      </c>
      <c r="K125" t="n">
        <v>1613.705811</v>
      </c>
      <c r="L125" t="n">
        <v>1626.06604</v>
      </c>
      <c r="M125" t="n">
        <v>1637.931152</v>
      </c>
      <c r="N125" t="n">
        <v>1650.127319</v>
      </c>
      <c r="O125" t="n">
        <v>1662.213379</v>
      </c>
      <c r="P125" t="n">
        <v>1674.297119</v>
      </c>
      <c r="Q125" t="n">
        <v>1686.352173</v>
      </c>
      <c r="R125" t="n">
        <v>1698.634277</v>
      </c>
      <c r="S125" t="n">
        <v>1711.057495</v>
      </c>
      <c r="T125" t="n">
        <v>1722.959839</v>
      </c>
      <c r="U125" t="n">
        <v>1735.467896</v>
      </c>
      <c r="V125" t="n">
        <v>1747.792114</v>
      </c>
      <c r="W125" t="n">
        <v>1760.29248</v>
      </c>
      <c r="X125" t="n">
        <v>1772.279053</v>
      </c>
      <c r="Y125" t="n">
        <v>1784.803711</v>
      </c>
      <c r="Z125" t="n">
        <v>1797.338501</v>
      </c>
      <c r="AA125" t="n">
        <v>1809.679199</v>
      </c>
      <c r="AB125" t="n">
        <v>1822.108643</v>
      </c>
      <c r="AC125" t="n">
        <v>1834.589722</v>
      </c>
      <c r="AD125" t="n">
        <v>1846.810181</v>
      </c>
      <c r="AE125" t="n">
        <v>1859.140259</v>
      </c>
      <c r="AF125" t="n">
        <v>1871.439209</v>
      </c>
      <c r="AG125" s="42" t="n">
        <v>0.006</v>
      </c>
    </row>
  </sheetData>
  <conditionalFormatting sqref="B1:B1048576">
    <cfRule type="duplicateValues" priority="1" dxfId="0"/>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G102"/>
  <sheetViews>
    <sheetView workbookViewId="0">
      <selection activeCell="A16" sqref="A16:A30"/>
    </sheetView>
  </sheetViews>
  <sheetFormatPr baseColWidth="8" defaultRowHeight="14.25"/>
  <cols>
    <col width="55" customWidth="1" min="1" max="1"/>
    <col width="108.73046875" bestFit="1" customWidth="1" min="2" max="2"/>
  </cols>
  <sheetData>
    <row r="1">
      <c r="A1" t="inlineStr">
        <is>
          <t>Table 5.  Commercial Sector Key Indicators and Consumption</t>
        </is>
      </c>
    </row>
    <row r="2">
      <c r="A2" t="inlineStr">
        <is>
          <t>https://www.eia.gov/outlooks/aeo/data/browser/#/?id=5-AEO2025&amp;cases=highZTC&amp;sourcekey=0</t>
        </is>
      </c>
    </row>
    <row r="3">
      <c r="A3" t="inlineStr">
        <is>
          <t>Tue Dec 02 2025 13:13:07 GMT-0800 (Pacific Standard Time)</t>
        </is>
      </c>
    </row>
    <row r="4">
      <c r="A4" t="inlineStr">
        <is>
          <t>Source: U.S. Energy Information Administration</t>
        </is>
      </c>
    </row>
    <row r="5">
      <c r="B5" t="inlineStr">
        <is>
          <t>full name</t>
        </is>
      </c>
      <c r="C5" t="inlineStr">
        <is>
          <t>api key</t>
        </is>
      </c>
      <c r="D5" t="inlineStr">
        <is>
          <t>units</t>
        </is>
      </c>
      <c r="E5" t="n">
        <v>2023</v>
      </c>
      <c r="F5" t="n">
        <v>2024</v>
      </c>
      <c r="G5" t="n">
        <v>2025</v>
      </c>
      <c r="H5" t="n">
        <v>2026</v>
      </c>
      <c r="I5" t="n">
        <v>2027</v>
      </c>
      <c r="J5" t="n">
        <v>2028</v>
      </c>
      <c r="K5" t="n">
        <v>2029</v>
      </c>
      <c r="L5" t="n">
        <v>2030</v>
      </c>
      <c r="M5" t="n">
        <v>2031</v>
      </c>
      <c r="N5" t="n">
        <v>2032</v>
      </c>
      <c r="O5" t="n">
        <v>2033</v>
      </c>
      <c r="P5" t="n">
        <v>2034</v>
      </c>
      <c r="Q5" t="n">
        <v>2035</v>
      </c>
      <c r="R5" t="n">
        <v>2036</v>
      </c>
      <c r="S5" t="n">
        <v>2037</v>
      </c>
      <c r="T5" t="n">
        <v>2038</v>
      </c>
      <c r="U5" t="n">
        <v>2039</v>
      </c>
      <c r="V5" t="n">
        <v>2040</v>
      </c>
      <c r="W5" t="n">
        <v>2041</v>
      </c>
      <c r="X5" t="n">
        <v>2042</v>
      </c>
      <c r="Y5" t="n">
        <v>2043</v>
      </c>
      <c r="Z5" t="n">
        <v>2044</v>
      </c>
      <c r="AA5" t="n">
        <v>2045</v>
      </c>
      <c r="AB5" t="n">
        <v>2046</v>
      </c>
      <c r="AC5" t="n">
        <v>2047</v>
      </c>
      <c r="AD5" t="n">
        <v>2048</v>
      </c>
      <c r="AE5" t="n">
        <v>2049</v>
      </c>
      <c r="AF5" t="n">
        <v>2050</v>
      </c>
      <c r="AG5" t="inlineStr">
        <is>
          <t>Growth (2024-2050)</t>
        </is>
      </c>
    </row>
    <row r="6">
      <c r="A6" t="inlineStr">
        <is>
          <t>Key Indicators</t>
        </is>
      </c>
    </row>
    <row r="7">
      <c r="A7" t="inlineStr">
        <is>
          <t>Total Floorspace (billion square feet)</t>
        </is>
      </c>
    </row>
    <row r="8">
      <c r="A8" t="inlineStr">
        <is>
          <t>Surviving</t>
        </is>
      </c>
      <c r="B8" t="inlineStr">
        <is>
          <t>Commercial: Total Floorspace: Surviving: High Zero-Carbon Technology Cost</t>
        </is>
      </c>
      <c r="C8" t="inlineStr">
        <is>
          <t>AEO.2025.HIGHZTC.KEI_NA_COMM_NA_TFP_SURV_USA_BLNSQFT.A</t>
        </is>
      </c>
      <c r="D8" t="inlineStr">
        <is>
          <t>billion sq ft</t>
        </is>
      </c>
      <c r="F8" t="n">
        <v>100.629799</v>
      </c>
      <c r="G8" t="n">
        <v>101.845505</v>
      </c>
      <c r="H8" t="n">
        <v>102.983406</v>
      </c>
      <c r="I8" t="n">
        <v>104.382309</v>
      </c>
      <c r="J8" t="n">
        <v>105.949738</v>
      </c>
      <c r="K8" t="n">
        <v>107.606689</v>
      </c>
      <c r="L8" t="n">
        <v>109.257599</v>
      </c>
      <c r="M8" t="n">
        <v>110.864998</v>
      </c>
      <c r="N8" t="n">
        <v>112.443481</v>
      </c>
      <c r="O8" t="n">
        <v>114.027519</v>
      </c>
      <c r="P8" t="n">
        <v>115.627022</v>
      </c>
      <c r="Q8" t="n">
        <v>117.233688</v>
      </c>
      <c r="R8" t="n">
        <v>118.833</v>
      </c>
      <c r="S8" t="n">
        <v>120.408638</v>
      </c>
      <c r="T8" t="n">
        <v>121.952621</v>
      </c>
      <c r="U8" t="n">
        <v>123.467499</v>
      </c>
      <c r="V8" t="n">
        <v>124.958244</v>
      </c>
      <c r="W8" t="n">
        <v>126.430229</v>
      </c>
      <c r="X8" t="n">
        <v>127.888809</v>
      </c>
      <c r="Y8" t="n">
        <v>129.337433</v>
      </c>
      <c r="Z8" t="n">
        <v>130.779205</v>
      </c>
      <c r="AA8" t="n">
        <v>132.217987</v>
      </c>
      <c r="AB8" t="n">
        <v>133.657303</v>
      </c>
      <c r="AC8" t="n">
        <v>135.100433</v>
      </c>
      <c r="AD8" t="n">
        <v>136.550049</v>
      </c>
      <c r="AE8" t="n">
        <v>138.00769</v>
      </c>
      <c r="AF8" t="n">
        <v>139.473953</v>
      </c>
      <c r="AG8" s="42" t="n">
        <v>0.013</v>
      </c>
    </row>
    <row r="9">
      <c r="A9" t="inlineStr">
        <is>
          <t>New Additions</t>
        </is>
      </c>
      <c r="B9" t="inlineStr">
        <is>
          <t>Commercial: Total Floorspace: New Additions: High Zero-Carbon Technology Cost</t>
        </is>
      </c>
      <c r="C9" t="inlineStr">
        <is>
          <t>AEO.2025.HIGHZTC.KEI_NA_COMM_NA_TFP_NADN_USA_BLNSQFT.A</t>
        </is>
      </c>
      <c r="D9" t="inlineStr">
        <is>
          <t>billion sq ft</t>
        </is>
      </c>
      <c r="F9" t="n">
        <v>2.742075</v>
      </c>
      <c r="G9" t="n">
        <v>2.676447</v>
      </c>
      <c r="H9" t="n">
        <v>2.951616</v>
      </c>
      <c r="I9" t="n">
        <v>3.136872</v>
      </c>
      <c r="J9" t="n">
        <v>3.245102</v>
      </c>
      <c r="K9" t="n">
        <v>3.258995</v>
      </c>
      <c r="L9" t="n">
        <v>3.235985</v>
      </c>
      <c r="M9" t="n">
        <v>3.227938</v>
      </c>
      <c r="N9" t="n">
        <v>3.254824</v>
      </c>
      <c r="O9" t="n">
        <v>3.292159</v>
      </c>
      <c r="P9" t="n">
        <v>3.321622</v>
      </c>
      <c r="Q9" t="n">
        <v>3.336882</v>
      </c>
      <c r="R9" t="n">
        <v>3.335924</v>
      </c>
      <c r="S9" t="n">
        <v>3.326909</v>
      </c>
      <c r="T9" t="n">
        <v>3.320311</v>
      </c>
      <c r="U9" t="n">
        <v>3.318532</v>
      </c>
      <c r="V9" t="n">
        <v>3.321972</v>
      </c>
      <c r="W9" t="n">
        <v>3.3306</v>
      </c>
      <c r="X9" t="n">
        <v>3.342516</v>
      </c>
      <c r="Y9" t="n">
        <v>3.357474</v>
      </c>
      <c r="Z9" t="n">
        <v>3.376159</v>
      </c>
      <c r="AA9" t="n">
        <v>3.398343</v>
      </c>
      <c r="AB9" t="n">
        <v>3.423773</v>
      </c>
      <c r="AC9" t="n">
        <v>3.451868</v>
      </c>
      <c r="AD9" t="n">
        <v>3.481559</v>
      </c>
      <c r="AE9" t="n">
        <v>3.51192</v>
      </c>
      <c r="AF9" t="n">
        <v>3.542278</v>
      </c>
      <c r="AG9" s="42" t="n">
        <v>0.01</v>
      </c>
    </row>
    <row r="10">
      <c r="A10" t="inlineStr">
        <is>
          <t>Total</t>
        </is>
      </c>
      <c r="B10" t="inlineStr">
        <is>
          <t>Commercial: Total Floorspace: Total: High Zero-Carbon Technology Cost</t>
        </is>
      </c>
      <c r="C10" t="inlineStr">
        <is>
          <t>AEO.2025.HIGHZTC.KEI_NA_COMM_NA_TFP_TOT_USA_BLNSQFT.A</t>
        </is>
      </c>
      <c r="D10" t="inlineStr">
        <is>
          <t>billion sq ft</t>
        </is>
      </c>
      <c r="F10" t="n">
        <v>103.371872</v>
      </c>
      <c r="G10" t="n">
        <v>104.52195</v>
      </c>
      <c r="H10" t="n">
        <v>105.93502</v>
      </c>
      <c r="I10" t="n">
        <v>107.51918</v>
      </c>
      <c r="J10" t="n">
        <v>109.194839</v>
      </c>
      <c r="K10" t="n">
        <v>110.865685</v>
      </c>
      <c r="L10" t="n">
        <v>112.493584</v>
      </c>
      <c r="M10" t="n">
        <v>114.092934</v>
      </c>
      <c r="N10" t="n">
        <v>115.698303</v>
      </c>
      <c r="O10" t="n">
        <v>117.319679</v>
      </c>
      <c r="P10" t="n">
        <v>118.948647</v>
      </c>
      <c r="Q10" t="n">
        <v>120.570572</v>
      </c>
      <c r="R10" t="n">
        <v>122.168922</v>
      </c>
      <c r="S10" t="n">
        <v>123.73555</v>
      </c>
      <c r="T10" t="n">
        <v>125.272934</v>
      </c>
      <c r="U10" t="n">
        <v>126.786034</v>
      </c>
      <c r="V10" t="n">
        <v>128.280212</v>
      </c>
      <c r="W10" t="n">
        <v>129.760834</v>
      </c>
      <c r="X10" t="n">
        <v>131.231323</v>
      </c>
      <c r="Y10" t="n">
        <v>132.694901</v>
      </c>
      <c r="Z10" t="n">
        <v>134.155365</v>
      </c>
      <c r="AA10" t="n">
        <v>135.616333</v>
      </c>
      <c r="AB10" t="n">
        <v>137.08107</v>
      </c>
      <c r="AC10" t="n">
        <v>138.552307</v>
      </c>
      <c r="AD10" t="n">
        <v>140.031601</v>
      </c>
      <c r="AE10" t="n">
        <v>141.519608</v>
      </c>
      <c r="AF10" t="n">
        <v>143.016235</v>
      </c>
      <c r="AG10" s="42" t="n">
        <v>0.013</v>
      </c>
    </row>
    <row r="11">
      <c r="A11" t="inlineStr">
        <is>
          <t>Energy Consumption Intensity</t>
        </is>
      </c>
    </row>
    <row r="12">
      <c r="A12" t="inlineStr">
        <is>
          <t>(thousand Btu per square foot)</t>
        </is>
      </c>
    </row>
    <row r="13">
      <c r="A13" t="inlineStr">
        <is>
          <t>Gross End-use Consumption</t>
        </is>
      </c>
      <c r="B13" t="inlineStr">
        <is>
          <t>Commercial: Energy Use Intensity: Gross End-use Consumption: High Zero-Carbon Technology Cost</t>
        </is>
      </c>
      <c r="C13" t="inlineStr">
        <is>
          <t>AEO.2025.HIGHZTC.INY_NA_COMM_NA_EUI_DLENCONS_USA_THBTUPSQFT.A</t>
        </is>
      </c>
      <c r="D13" t="inlineStr">
        <is>
          <t>thousand Btu/sq ft</t>
        </is>
      </c>
      <c r="F13" t="n">
        <v>91.297417</v>
      </c>
      <c r="G13" t="n">
        <v>93.06604</v>
      </c>
      <c r="H13" t="n">
        <v>92.122139</v>
      </c>
      <c r="I13" t="n">
        <v>91.445877</v>
      </c>
      <c r="J13" t="n">
        <v>90.48034699999999</v>
      </c>
      <c r="K13" t="n">
        <v>89.907692</v>
      </c>
      <c r="L13" t="n">
        <v>89.112656</v>
      </c>
      <c r="M13" t="n">
        <v>88.37957</v>
      </c>
      <c r="N13" t="n">
        <v>87.62248200000001</v>
      </c>
      <c r="O13" t="n">
        <v>86.837357</v>
      </c>
      <c r="P13" t="n">
        <v>86.167732</v>
      </c>
      <c r="Q13" t="n">
        <v>85.690338</v>
      </c>
      <c r="R13" t="n">
        <v>85.397949</v>
      </c>
      <c r="S13" t="n">
        <v>85.214699</v>
      </c>
      <c r="T13" t="n">
        <v>85.04439499999999</v>
      </c>
      <c r="U13" t="n">
        <v>84.943207</v>
      </c>
      <c r="V13" t="n">
        <v>84.840546</v>
      </c>
      <c r="W13" t="n">
        <v>84.73361199999999</v>
      </c>
      <c r="X13" t="n">
        <v>84.622826</v>
      </c>
      <c r="Y13" t="n">
        <v>84.529892</v>
      </c>
      <c r="Z13" t="n">
        <v>84.476494</v>
      </c>
      <c r="AA13" t="n">
        <v>84.450005</v>
      </c>
      <c r="AB13" t="n">
        <v>84.41683999999999</v>
      </c>
      <c r="AC13" t="n">
        <v>84.42102800000001</v>
      </c>
      <c r="AD13" t="n">
        <v>84.46035000000001</v>
      </c>
      <c r="AE13" t="n">
        <v>84.503151</v>
      </c>
      <c r="AF13" t="n">
        <v>84.55549600000001</v>
      </c>
      <c r="AG13" s="42" t="n">
        <v>-0.003</v>
      </c>
    </row>
    <row r="14">
      <c r="A14" t="inlineStr">
        <is>
          <t>Delivered Energy Consumption</t>
        </is>
      </c>
      <c r="B14" t="inlineStr">
        <is>
          <t>Commercial: Energy Use Intensity: Delivered Energy Consumption: High Zero-Carbon Technology Cost</t>
        </is>
      </c>
      <c r="C14" t="inlineStr">
        <is>
          <t>AEO.2025.HIGHZTC.INY_NA_COMM_NA_EUI_ERL_USA_THBTUPSQFT.A</t>
        </is>
      </c>
      <c r="D14" t="inlineStr">
        <is>
          <t>thousand Btu/sq ft</t>
        </is>
      </c>
      <c r="F14" t="n">
        <v>89.926224</v>
      </c>
      <c r="G14" t="n">
        <v>91.548019</v>
      </c>
      <c r="H14" t="n">
        <v>90.468704</v>
      </c>
      <c r="I14" t="n">
        <v>89.75157900000001</v>
      </c>
      <c r="J14" t="n">
        <v>88.74955</v>
      </c>
      <c r="K14" t="n">
        <v>88.113716</v>
      </c>
      <c r="L14" t="n">
        <v>87.240326</v>
      </c>
      <c r="M14" t="n">
        <v>86.402924</v>
      </c>
      <c r="N14" t="n">
        <v>85.555893</v>
      </c>
      <c r="O14" t="n">
        <v>84.661987</v>
      </c>
      <c r="P14" t="n">
        <v>83.932785</v>
      </c>
      <c r="Q14" t="n">
        <v>83.432762</v>
      </c>
      <c r="R14" t="n">
        <v>83.12537399999999</v>
      </c>
      <c r="S14" t="n">
        <v>82.923317</v>
      </c>
      <c r="T14" t="n">
        <v>82.710251</v>
      </c>
      <c r="U14" t="n">
        <v>82.59719800000001</v>
      </c>
      <c r="V14" t="n">
        <v>82.477486</v>
      </c>
      <c r="W14" t="n">
        <v>82.33297</v>
      </c>
      <c r="X14" t="n">
        <v>82.186722</v>
      </c>
      <c r="Y14" t="n">
        <v>82.053062</v>
      </c>
      <c r="Z14" t="n">
        <v>81.959312</v>
      </c>
      <c r="AA14" t="n">
        <v>81.89110599999999</v>
      </c>
      <c r="AB14" t="n">
        <v>81.823502</v>
      </c>
      <c r="AC14" t="n">
        <v>81.78409600000001</v>
      </c>
      <c r="AD14" t="n">
        <v>81.778503</v>
      </c>
      <c r="AE14" t="n">
        <v>81.779785</v>
      </c>
      <c r="AF14" t="n">
        <v>81.785347</v>
      </c>
      <c r="AG14" s="42" t="n">
        <v>-0.004</v>
      </c>
    </row>
    <row r="15">
      <c r="A15" t="inlineStr">
        <is>
          <t>Energy Consumption by Fuel</t>
        </is>
      </c>
    </row>
    <row r="16">
      <c r="A16" t="inlineStr">
        <is>
          <t>Electricity</t>
        </is>
      </c>
    </row>
    <row r="17">
      <c r="A17" t="inlineStr">
        <is>
          <t>Space Heating</t>
        </is>
      </c>
      <c r="B17" t="inlineStr">
        <is>
          <t>Commercial: Purchased Electricity: Space Heating: High Zero-Carbon Technology Cost</t>
        </is>
      </c>
      <c r="C17" t="inlineStr">
        <is>
          <t>AEO.2025.HIGHZTC.CNSM_NA_COMM_NA_PRC_SPH_USA_QBTU.A</t>
        </is>
      </c>
      <c r="D17" t="inlineStr">
        <is>
          <t>quads</t>
        </is>
      </c>
      <c r="F17" t="n">
        <v>0.186541</v>
      </c>
      <c r="G17" t="n">
        <v>0.197985</v>
      </c>
      <c r="H17" t="n">
        <v>0.198076</v>
      </c>
      <c r="I17" t="n">
        <v>0.199054</v>
      </c>
      <c r="J17" t="n">
        <v>0.199048</v>
      </c>
      <c r="K17" t="n">
        <v>0.197891</v>
      </c>
      <c r="L17" t="n">
        <v>0.196351</v>
      </c>
      <c r="M17" t="n">
        <v>0.19459</v>
      </c>
      <c r="N17" t="n">
        <v>0.192773</v>
      </c>
      <c r="O17" t="n">
        <v>0.190066</v>
      </c>
      <c r="P17" t="n">
        <v>0.187679</v>
      </c>
      <c r="Q17" t="n">
        <v>0.186546</v>
      </c>
      <c r="R17" t="n">
        <v>0.185712</v>
      </c>
      <c r="S17" t="n">
        <v>0.184911</v>
      </c>
      <c r="T17" t="n">
        <v>0.183733</v>
      </c>
      <c r="U17" t="n">
        <v>0.182497</v>
      </c>
      <c r="V17" t="n">
        <v>0.181191</v>
      </c>
      <c r="W17" t="n">
        <v>0.179785</v>
      </c>
      <c r="X17" t="n">
        <v>0.178212</v>
      </c>
      <c r="Y17" t="n">
        <v>0.176566</v>
      </c>
      <c r="Z17" t="n">
        <v>0.174797</v>
      </c>
      <c r="AA17" t="n">
        <v>0.172949</v>
      </c>
      <c r="AB17" t="n">
        <v>0.171014</v>
      </c>
      <c r="AC17" t="n">
        <v>0.169022</v>
      </c>
      <c r="AD17" t="n">
        <v>0.166995</v>
      </c>
      <c r="AE17" t="n">
        <v>0.165017</v>
      </c>
      <c r="AF17" t="n">
        <v>0.163026</v>
      </c>
      <c r="AG17" s="42" t="n">
        <v>-0.005</v>
      </c>
    </row>
    <row r="18">
      <c r="A18" t="inlineStr">
        <is>
          <t>Space Cooling 3/</t>
        </is>
      </c>
      <c r="B18" t="inlineStr">
        <is>
          <t>Commercial: Purchased Electricity: Space Cooling: High Zero-Carbon Technology Cost</t>
        </is>
      </c>
      <c r="C18" t="inlineStr">
        <is>
          <t>AEO.2025.HIGHZTC.CNSM_NA_COMM_NA_PRC_SPC_USA_QBTU.A</t>
        </is>
      </c>
      <c r="D18" t="inlineStr">
        <is>
          <t>quads</t>
        </is>
      </c>
      <c r="F18" t="n">
        <v>0.572863</v>
      </c>
      <c r="G18" t="n">
        <v>0.555504</v>
      </c>
      <c r="H18" t="n">
        <v>0.567101</v>
      </c>
      <c r="I18" t="n">
        <v>0.581417</v>
      </c>
      <c r="J18" t="n">
        <v>0.593019</v>
      </c>
      <c r="K18" t="n">
        <v>0.600526</v>
      </c>
      <c r="L18" t="n">
        <v>0.605656</v>
      </c>
      <c r="M18" t="n">
        <v>0.610511</v>
      </c>
      <c r="N18" t="n">
        <v>0.615916</v>
      </c>
      <c r="O18" t="n">
        <v>0.620551</v>
      </c>
      <c r="P18" t="n">
        <v>0.626405</v>
      </c>
      <c r="Q18" t="n">
        <v>0.6342370000000001</v>
      </c>
      <c r="R18" t="n">
        <v>0.6438199999999999</v>
      </c>
      <c r="S18" t="n">
        <v>0.653979</v>
      </c>
      <c r="T18" t="n">
        <v>0.663072</v>
      </c>
      <c r="U18" t="n">
        <v>0.672389</v>
      </c>
      <c r="V18" t="n">
        <v>0.681693</v>
      </c>
      <c r="W18" t="n">
        <v>0.691424</v>
      </c>
      <c r="X18" t="n">
        <v>0.700888</v>
      </c>
      <c r="Y18" t="n">
        <v>0.710873</v>
      </c>
      <c r="Z18" t="n">
        <v>0.720879</v>
      </c>
      <c r="AA18" t="n">
        <v>0.730822</v>
      </c>
      <c r="AB18" t="n">
        <v>0.740723</v>
      </c>
      <c r="AC18" t="n">
        <v>0.750737</v>
      </c>
      <c r="AD18" t="n">
        <v>0.760976</v>
      </c>
      <c r="AE18" t="n">
        <v>0.77153</v>
      </c>
      <c r="AF18" t="n">
        <v>0.7822249999999999</v>
      </c>
      <c r="AG18" s="42" t="n">
        <v>0.012</v>
      </c>
    </row>
    <row r="19">
      <c r="A19" t="inlineStr">
        <is>
          <t>Water Heating</t>
        </is>
      </c>
      <c r="B19" t="inlineStr">
        <is>
          <t>Commercial: Purchased Electricity: Water Heating: High Zero-Carbon Technology Cost</t>
        </is>
      </c>
      <c r="C19" t="inlineStr">
        <is>
          <t>AEO.2025.HIGHZTC.CNSM_NA_COMM_NA_PRC_WTHT_USA_QBTU.A</t>
        </is>
      </c>
      <c r="D19" t="inlineStr">
        <is>
          <t>quads</t>
        </is>
      </c>
      <c r="F19" t="n">
        <v>0.07449799999999999</v>
      </c>
      <c r="G19" t="n">
        <v>0.074071</v>
      </c>
      <c r="H19" t="n">
        <v>0.074182</v>
      </c>
      <c r="I19" t="n">
        <v>0.074694</v>
      </c>
      <c r="J19" t="n">
        <v>0.074824</v>
      </c>
      <c r="K19" t="n">
        <v>0.07444199999999999</v>
      </c>
      <c r="L19" t="n">
        <v>0.073763</v>
      </c>
      <c r="M19" t="n">
        <v>0.072947</v>
      </c>
      <c r="N19" t="n">
        <v>0.072144</v>
      </c>
      <c r="O19" t="n">
        <v>0.07123</v>
      </c>
      <c r="P19" t="n">
        <v>0.070423</v>
      </c>
      <c r="Q19" t="n">
        <v>0.069795</v>
      </c>
      <c r="R19" t="n">
        <v>0.06930600000000001</v>
      </c>
      <c r="S19" t="n">
        <v>0.06884999999999999</v>
      </c>
      <c r="T19" t="n">
        <v>0.068283</v>
      </c>
      <c r="U19" t="n">
        <v>0.067699</v>
      </c>
      <c r="V19" t="n">
        <v>0.067105</v>
      </c>
      <c r="W19" t="n">
        <v>0.066492</v>
      </c>
      <c r="X19" t="n">
        <v>0.06585199999999999</v>
      </c>
      <c r="Y19" t="n">
        <v>0.06521100000000001</v>
      </c>
      <c r="Z19" t="n">
        <v>0.06455</v>
      </c>
      <c r="AA19" t="n">
        <v>0.063869</v>
      </c>
      <c r="AB19" t="n">
        <v>0.063171</v>
      </c>
      <c r="AC19" t="n">
        <v>0.062463</v>
      </c>
      <c r="AD19" t="n">
        <v>0.061751</v>
      </c>
      <c r="AE19" t="n">
        <v>0.061051</v>
      </c>
      <c r="AF19" t="n">
        <v>0.060345</v>
      </c>
      <c r="AG19" s="42" t="n">
        <v>-0.008</v>
      </c>
    </row>
    <row r="20">
      <c r="A20" t="inlineStr">
        <is>
          <t>Ventilation</t>
        </is>
      </c>
      <c r="B20" t="inlineStr">
        <is>
          <t>Commercial: Purchased Electricity: Ventilation: High Zero-Carbon Technology Cost</t>
        </is>
      </c>
      <c r="C20" t="inlineStr">
        <is>
          <t>AEO.2025.HIGHZTC.CNSM_NA_COMM_NA_PRC_VNTC_USA_QBTU.A</t>
        </is>
      </c>
      <c r="D20" t="inlineStr">
        <is>
          <t>quads</t>
        </is>
      </c>
      <c r="F20" t="n">
        <v>0.744661</v>
      </c>
      <c r="G20" t="n">
        <v>0.756603</v>
      </c>
      <c r="H20" t="n">
        <v>0.773226</v>
      </c>
      <c r="I20" t="n">
        <v>0.794686</v>
      </c>
      <c r="J20" t="n">
        <v>0.812654</v>
      </c>
      <c r="K20" t="n">
        <v>0.825388</v>
      </c>
      <c r="L20" t="n">
        <v>0.832556</v>
      </c>
      <c r="M20" t="n">
        <v>0.83919</v>
      </c>
      <c r="N20" t="n">
        <v>0.846238</v>
      </c>
      <c r="O20" t="n">
        <v>0.852703</v>
      </c>
      <c r="P20" t="n">
        <v>0.860542</v>
      </c>
      <c r="Q20" t="n">
        <v>0.870582</v>
      </c>
      <c r="R20" t="n">
        <v>0.882446</v>
      </c>
      <c r="S20" t="n">
        <v>0.894907</v>
      </c>
      <c r="T20" t="n">
        <v>0.906128</v>
      </c>
      <c r="U20" t="n">
        <v>0.91749</v>
      </c>
      <c r="V20" t="n">
        <v>0.928914</v>
      </c>
      <c r="W20" t="n">
        <v>0.940408</v>
      </c>
      <c r="X20" t="n">
        <v>0.951505</v>
      </c>
      <c r="Y20" t="n">
        <v>0.962645</v>
      </c>
      <c r="Z20" t="n">
        <v>0.973623</v>
      </c>
      <c r="AA20" t="n">
        <v>0.984451</v>
      </c>
      <c r="AB20" t="n">
        <v>0.995252</v>
      </c>
      <c r="AC20" t="n">
        <v>1.006035</v>
      </c>
      <c r="AD20" t="n">
        <v>1.016947</v>
      </c>
      <c r="AE20" t="n">
        <v>1.028129</v>
      </c>
      <c r="AF20" t="n">
        <v>1.039459</v>
      </c>
      <c r="AG20" s="42" t="n">
        <v>0.013</v>
      </c>
    </row>
    <row r="21">
      <c r="A21" t="inlineStr">
        <is>
          <t>Cooking</t>
        </is>
      </c>
      <c r="B21" t="inlineStr">
        <is>
          <t>Commercial: Purchased Electricity: Cooking: High Zero-Carbon Technology Cost</t>
        </is>
      </c>
      <c r="C21" t="inlineStr">
        <is>
          <t>AEO.2025.HIGHZTC.CNSM_NA_COMM_NA_PRC_CGR_USA_QBTU.A</t>
        </is>
      </c>
      <c r="D21" t="inlineStr">
        <is>
          <t>quads</t>
        </is>
      </c>
      <c r="F21" t="n">
        <v>0.08436299999999999</v>
      </c>
      <c r="G21" t="n">
        <v>0.08458300000000001</v>
      </c>
      <c r="H21" t="n">
        <v>0.085052</v>
      </c>
      <c r="I21" t="n">
        <v>0.085953</v>
      </c>
      <c r="J21" t="n">
        <v>0.086428</v>
      </c>
      <c r="K21" t="n">
        <v>0.086317</v>
      </c>
      <c r="L21" t="n">
        <v>0.085872</v>
      </c>
      <c r="M21" t="n">
        <v>0.085313</v>
      </c>
      <c r="N21" t="n">
        <v>0.084775</v>
      </c>
      <c r="O21" t="n">
        <v>0.08415</v>
      </c>
      <c r="P21" t="n">
        <v>0.08364099999999999</v>
      </c>
      <c r="Q21" t="n">
        <v>0.083324</v>
      </c>
      <c r="R21" t="n">
        <v>0.08315500000000001</v>
      </c>
      <c r="S21" t="n">
        <v>0.08300399999999999</v>
      </c>
      <c r="T21" t="n">
        <v>0.082701</v>
      </c>
      <c r="U21" t="n">
        <v>0.08237</v>
      </c>
      <c r="V21" t="n">
        <v>0.08201</v>
      </c>
      <c r="W21" t="n">
        <v>0.081651</v>
      </c>
      <c r="X21" t="n">
        <v>0.081245</v>
      </c>
      <c r="Y21" t="n">
        <v>0.080829</v>
      </c>
      <c r="Z21" t="n">
        <v>0.08037</v>
      </c>
      <c r="AA21" t="n">
        <v>0.079869</v>
      </c>
      <c r="AB21" t="n">
        <v>0.07933800000000001</v>
      </c>
      <c r="AC21" t="n">
        <v>0.07878599999999999</v>
      </c>
      <c r="AD21" t="n">
        <v>0.078226</v>
      </c>
      <c r="AE21" t="n">
        <v>0.077667</v>
      </c>
      <c r="AF21" t="n">
        <v>0.077102</v>
      </c>
      <c r="AG21" s="42" t="n">
        <v>-0.003</v>
      </c>
    </row>
    <row r="22">
      <c r="A22" t="inlineStr">
        <is>
          <t>Lighting</t>
        </is>
      </c>
      <c r="B22" t="inlineStr">
        <is>
          <t>Commercial: Purchased Electricity: Lighting: High Zero-Carbon Technology Cost</t>
        </is>
      </c>
      <c r="C22" t="inlineStr">
        <is>
          <t>AEO.2025.HIGHZTC.CNSM_NA_COMM_NA_PRC_LGHTNG_USA_QBTU.A</t>
        </is>
      </c>
      <c r="D22" t="inlineStr">
        <is>
          <t>quads</t>
        </is>
      </c>
      <c r="F22" t="n">
        <v>0.5756289999999999</v>
      </c>
      <c r="G22" t="n">
        <v>0.564073</v>
      </c>
      <c r="H22" t="n">
        <v>0.561419</v>
      </c>
      <c r="I22" t="n">
        <v>0.564836</v>
      </c>
      <c r="J22" t="n">
        <v>0.567739</v>
      </c>
      <c r="K22" t="n">
        <v>0.568038</v>
      </c>
      <c r="L22" t="n">
        <v>0.557796</v>
      </c>
      <c r="M22" t="n">
        <v>0.548668</v>
      </c>
      <c r="N22" t="n">
        <v>0.540723</v>
      </c>
      <c r="O22" t="n">
        <v>0.532836</v>
      </c>
      <c r="P22" t="n">
        <v>0.525787</v>
      </c>
      <c r="Q22" t="n">
        <v>0.520252</v>
      </c>
      <c r="R22" t="n">
        <v>0.516397</v>
      </c>
      <c r="S22" t="n">
        <v>0.513764</v>
      </c>
      <c r="T22" t="n">
        <v>0.5110980000000001</v>
      </c>
      <c r="U22" t="n">
        <v>0.509139</v>
      </c>
      <c r="V22" t="n">
        <v>0.506221</v>
      </c>
      <c r="W22" t="n">
        <v>0.504248</v>
      </c>
      <c r="X22" t="n">
        <v>0.502663</v>
      </c>
      <c r="Y22" t="n">
        <v>0.501633</v>
      </c>
      <c r="Z22" t="n">
        <v>0.500871</v>
      </c>
      <c r="AA22" t="n">
        <v>0.50037</v>
      </c>
      <c r="AB22" t="n">
        <v>0.500099</v>
      </c>
      <c r="AC22" t="n">
        <v>0.499308</v>
      </c>
      <c r="AD22" t="n">
        <v>0.498756</v>
      </c>
      <c r="AE22" t="n">
        <v>0.498499</v>
      </c>
      <c r="AF22" t="n">
        <v>0.498199</v>
      </c>
      <c r="AG22" s="42" t="n">
        <v>-0.006</v>
      </c>
    </row>
    <row r="23">
      <c r="A23" t="inlineStr">
        <is>
          <t>Refrigeration</t>
        </is>
      </c>
      <c r="B23" t="inlineStr">
        <is>
          <t>Commercial: Purchased Electricity: Refrigeration: High Zero-Carbon Technology Cost</t>
        </is>
      </c>
      <c r="C23" t="inlineStr">
        <is>
          <t>AEO.2025.HIGHZTC.CNSM_NA_COMM_NA_PRC_REFR_USA_QBTU.A</t>
        </is>
      </c>
      <c r="D23" t="inlineStr">
        <is>
          <t>quads</t>
        </is>
      </c>
      <c r="F23" t="n">
        <v>0.367309</v>
      </c>
      <c r="G23" t="n">
        <v>0.368624</v>
      </c>
      <c r="H23" t="n">
        <v>0.370766</v>
      </c>
      <c r="I23" t="n">
        <v>0.374365</v>
      </c>
      <c r="J23" t="n">
        <v>0.377621</v>
      </c>
      <c r="K23" t="n">
        <v>0.380001</v>
      </c>
      <c r="L23" t="n">
        <v>0.380716</v>
      </c>
      <c r="M23" t="n">
        <v>0.381667</v>
      </c>
      <c r="N23" t="n">
        <v>0.382904</v>
      </c>
      <c r="O23" t="n">
        <v>0.384225</v>
      </c>
      <c r="P23" t="n">
        <v>0.385941</v>
      </c>
      <c r="Q23" t="n">
        <v>0.38814</v>
      </c>
      <c r="R23" t="n">
        <v>0.39069</v>
      </c>
      <c r="S23" t="n">
        <v>0.393327</v>
      </c>
      <c r="T23" t="n">
        <v>0.395723</v>
      </c>
      <c r="U23" t="n">
        <v>0.398099</v>
      </c>
      <c r="V23" t="n">
        <v>0.400438</v>
      </c>
      <c r="W23" t="n">
        <v>0.403045</v>
      </c>
      <c r="X23" t="n">
        <v>0.405577</v>
      </c>
      <c r="Y23" t="n">
        <v>0.408103</v>
      </c>
      <c r="Z23" t="n">
        <v>0.410566</v>
      </c>
      <c r="AA23" t="n">
        <v>0.412967</v>
      </c>
      <c r="AB23" t="n">
        <v>0.415333</v>
      </c>
      <c r="AC23" t="n">
        <v>0.417661</v>
      </c>
      <c r="AD23" t="n">
        <v>0.419969</v>
      </c>
      <c r="AE23" t="n">
        <v>0.422275</v>
      </c>
      <c r="AF23" t="n">
        <v>0.424554</v>
      </c>
      <c r="AG23" s="42" t="n">
        <v>0.006</v>
      </c>
    </row>
    <row r="24">
      <c r="A24" t="inlineStr">
        <is>
          <t>Computing</t>
        </is>
      </c>
      <c r="B24" t="inlineStr">
        <is>
          <t>Commercial: Purchased Electricity: Computing: High Zero-Carbon Technology Cost</t>
        </is>
      </c>
      <c r="C24" t="inlineStr">
        <is>
          <t>AEO.2025.HIGHZTC.CNSM_NA_COMM_NA_PRC_OTHEQPPC_USA_QBTU.A</t>
        </is>
      </c>
      <c r="D24" t="inlineStr">
        <is>
          <t>quads</t>
        </is>
      </c>
      <c r="F24" t="n">
        <v>0.341028</v>
      </c>
      <c r="G24" t="n">
        <v>0.357353</v>
      </c>
      <c r="H24" t="n">
        <v>0.375373</v>
      </c>
      <c r="I24" t="n">
        <v>0.394874</v>
      </c>
      <c r="J24" t="n">
        <v>0.415307</v>
      </c>
      <c r="K24" t="n">
        <v>0.435397</v>
      </c>
      <c r="L24" t="n">
        <v>0.45559</v>
      </c>
      <c r="M24" t="n">
        <v>0.476515</v>
      </c>
      <c r="N24" t="n">
        <v>0.498559</v>
      </c>
      <c r="O24" t="n">
        <v>0.521742</v>
      </c>
      <c r="P24" t="n">
        <v>0.546356</v>
      </c>
      <c r="Q24" t="n">
        <v>0.572547</v>
      </c>
      <c r="R24" t="n">
        <v>0.600297</v>
      </c>
      <c r="S24" t="n">
        <v>0.630078</v>
      </c>
      <c r="T24" t="n">
        <v>0.6606030000000001</v>
      </c>
      <c r="U24" t="n">
        <v>0.692721</v>
      </c>
      <c r="V24" t="n">
        <v>0.726536</v>
      </c>
      <c r="W24" t="n">
        <v>0.76207</v>
      </c>
      <c r="X24" t="n">
        <v>0.798772</v>
      </c>
      <c r="Y24" t="n">
        <v>0.836762</v>
      </c>
      <c r="Z24" t="n">
        <v>0.876796</v>
      </c>
      <c r="AA24" t="n">
        <v>0.918226</v>
      </c>
      <c r="AB24" t="n">
        <v>0.961156</v>
      </c>
      <c r="AC24" t="n">
        <v>1.006466</v>
      </c>
      <c r="AD24" t="n">
        <v>1.053483</v>
      </c>
      <c r="AE24" t="n">
        <v>1.101443</v>
      </c>
      <c r="AF24" t="n">
        <v>1.152105</v>
      </c>
      <c r="AG24" s="42" t="n">
        <v>0.048</v>
      </c>
    </row>
    <row r="25">
      <c r="A25" t="inlineStr">
        <is>
          <t>Office Equipment</t>
        </is>
      </c>
      <c r="B25" t="inlineStr">
        <is>
          <t>Commercial: Purchased Electricity: Office Equipment: High Zero-Carbon Technology Cost</t>
        </is>
      </c>
      <c r="C25" t="inlineStr">
        <is>
          <t>AEO.2025.HIGHZTC.CNSM_NA_COMM_NA_PRC_OTHEQPNPC_USA_QBTU.A</t>
        </is>
      </c>
      <c r="D25" t="inlineStr">
        <is>
          <t>quads</t>
        </is>
      </c>
      <c r="F25" t="n">
        <v>0.043232</v>
      </c>
      <c r="G25" t="n">
        <v>0.043304</v>
      </c>
      <c r="H25" t="n">
        <v>0.043522</v>
      </c>
      <c r="I25" t="n">
        <v>0.043887</v>
      </c>
      <c r="J25" t="n">
        <v>0.044332</v>
      </c>
      <c r="K25" t="n">
        <v>0.044707</v>
      </c>
      <c r="L25" t="n">
        <v>0.045026</v>
      </c>
      <c r="M25" t="n">
        <v>0.045362</v>
      </c>
      <c r="N25" t="n">
        <v>0.045696</v>
      </c>
      <c r="O25" t="n">
        <v>0.046077</v>
      </c>
      <c r="P25" t="n">
        <v>0.046523</v>
      </c>
      <c r="Q25" t="n">
        <v>0.046986</v>
      </c>
      <c r="R25" t="n">
        <v>0.047455</v>
      </c>
      <c r="S25" t="n">
        <v>0.047915</v>
      </c>
      <c r="T25" t="n">
        <v>0.048288</v>
      </c>
      <c r="U25" t="n">
        <v>0.048647</v>
      </c>
      <c r="V25" t="n">
        <v>0.048933</v>
      </c>
      <c r="W25" t="n">
        <v>0.04908</v>
      </c>
      <c r="X25" t="n">
        <v>0.049147</v>
      </c>
      <c r="Y25" t="n">
        <v>0.04914</v>
      </c>
      <c r="Z25" t="n">
        <v>0.048991</v>
      </c>
      <c r="AA25" t="n">
        <v>0.048634</v>
      </c>
      <c r="AB25" t="n">
        <v>0.048195</v>
      </c>
      <c r="AC25" t="n">
        <v>0.047543</v>
      </c>
      <c r="AD25" t="n">
        <v>0.046675</v>
      </c>
      <c r="AE25" t="n">
        <v>0.045653</v>
      </c>
      <c r="AF25" t="n">
        <v>0.044405</v>
      </c>
      <c r="AG25" s="42" t="n">
        <v>0.001</v>
      </c>
    </row>
    <row r="26">
      <c r="A26" t="inlineStr">
        <is>
          <t>Other Uses</t>
        </is>
      </c>
      <c r="B26" t="inlineStr">
        <is>
          <t>Commercial: Purchased Electricity: Other Uses: High Zero-Carbon Technology Cost</t>
        </is>
      </c>
      <c r="C26" t="inlineStr">
        <is>
          <t>AEO.2025.HIGHZTC.CNSM_NA_COMM_NA_PRC_OTHU_USA_QBTU.A</t>
        </is>
      </c>
      <c r="D26" t="inlineStr">
        <is>
          <t>quads</t>
        </is>
      </c>
      <c r="F26" t="n">
        <v>1.900956</v>
      </c>
      <c r="G26" t="n">
        <v>1.978316</v>
      </c>
      <c r="H26" t="n">
        <v>1.908781</v>
      </c>
      <c r="I26" t="n">
        <v>1.89502</v>
      </c>
      <c r="J26" t="n">
        <v>1.879119</v>
      </c>
      <c r="K26" t="n">
        <v>1.913518</v>
      </c>
      <c r="L26" t="n">
        <v>1.944432</v>
      </c>
      <c r="M26" t="n">
        <v>1.974445</v>
      </c>
      <c r="N26" t="n">
        <v>2.004845</v>
      </c>
      <c r="O26" t="n">
        <v>2.035856</v>
      </c>
      <c r="P26" t="n">
        <v>2.068322</v>
      </c>
      <c r="Q26" t="n">
        <v>2.102765</v>
      </c>
      <c r="R26" t="n">
        <v>2.139369</v>
      </c>
      <c r="S26" t="n">
        <v>2.1765</v>
      </c>
      <c r="T26" t="n">
        <v>2.213699</v>
      </c>
      <c r="U26" t="n">
        <v>2.251456</v>
      </c>
      <c r="V26" t="n">
        <v>2.289937</v>
      </c>
      <c r="W26" t="n">
        <v>2.329063</v>
      </c>
      <c r="X26" t="n">
        <v>2.368841</v>
      </c>
      <c r="Y26" t="n">
        <v>2.409592</v>
      </c>
      <c r="Z26" t="n">
        <v>2.451186</v>
      </c>
      <c r="AA26" t="n">
        <v>2.493665</v>
      </c>
      <c r="AB26" t="n">
        <v>2.536645</v>
      </c>
      <c r="AC26" t="n">
        <v>2.580551</v>
      </c>
      <c r="AD26" t="n">
        <v>2.62578</v>
      </c>
      <c r="AE26" t="n">
        <v>2.671892</v>
      </c>
      <c r="AF26" t="n">
        <v>2.719254</v>
      </c>
      <c r="AG26" s="42" t="n">
        <v>0.014</v>
      </c>
    </row>
    <row r="27">
      <c r="A27" t="inlineStr">
        <is>
          <t>Gross End-use Electricity Consumption</t>
        </is>
      </c>
      <c r="B27" t="inlineStr">
        <is>
          <t>Commercial: Energy Consumption by Fuel: Electricity Subtotal: High Zero-Carbon Technology Cost</t>
        </is>
      </c>
      <c r="C27" t="inlineStr">
        <is>
          <t>AEO.2025.HIGHZTC.CNSM_NA_COMM_NA_PRC_DELE_USA_QBTU.A</t>
        </is>
      </c>
      <c r="D27" t="inlineStr">
        <is>
          <t>quads</t>
        </is>
      </c>
      <c r="F27" t="n">
        <v>4.891081</v>
      </c>
      <c r="G27" t="n">
        <v>4.980416</v>
      </c>
      <c r="H27" t="n">
        <v>4.957498</v>
      </c>
      <c r="I27" t="n">
        <v>5.008786</v>
      </c>
      <c r="J27" t="n">
        <v>5.050092</v>
      </c>
      <c r="K27" t="n">
        <v>5.126225</v>
      </c>
      <c r="L27" t="n">
        <v>5.177759</v>
      </c>
      <c r="M27" t="n">
        <v>5.229208</v>
      </c>
      <c r="N27" t="n">
        <v>5.284572</v>
      </c>
      <c r="O27" t="n">
        <v>5.339435</v>
      </c>
      <c r="P27" t="n">
        <v>5.40162</v>
      </c>
      <c r="Q27" t="n">
        <v>5.475173</v>
      </c>
      <c r="R27" t="n">
        <v>5.558648</v>
      </c>
      <c r="S27" t="n">
        <v>5.647235</v>
      </c>
      <c r="T27" t="n">
        <v>5.733328</v>
      </c>
      <c r="U27" t="n">
        <v>5.822506</v>
      </c>
      <c r="V27" t="n">
        <v>5.912979</v>
      </c>
      <c r="W27" t="n">
        <v>6.007267</v>
      </c>
      <c r="X27" t="n">
        <v>6.102704</v>
      </c>
      <c r="Y27" t="n">
        <v>6.201353</v>
      </c>
      <c r="Z27" t="n">
        <v>6.302629</v>
      </c>
      <c r="AA27" t="n">
        <v>6.405821</v>
      </c>
      <c r="AB27" t="n">
        <v>6.510925</v>
      </c>
      <c r="AC27" t="n">
        <v>6.618572</v>
      </c>
      <c r="AD27" t="n">
        <v>6.729558</v>
      </c>
      <c r="AE27" t="n">
        <v>6.843156</v>
      </c>
      <c r="AF27" t="n">
        <v>6.960674</v>
      </c>
      <c r="AG27" s="42" t="n">
        <v>0.014</v>
      </c>
    </row>
    <row r="28">
      <c r="A28" t="inlineStr">
        <is>
          <t>Purchased Electricity for Electric Vehicle Charging</t>
        </is>
      </c>
      <c r="B28" t="inlineStr">
        <is>
          <t>Commercial: Energy Consumption by Fuel: Purchased Electricity for EV Charging: High Zero-Carbon Technology Cost</t>
        </is>
      </c>
      <c r="C28" t="inlineStr">
        <is>
          <t>AEO.2025.HIGHZTC.GEN_NA_COMM_NA_PRC_EVCHA_USA_QBTU.A</t>
        </is>
      </c>
      <c r="D28" t="inlineStr">
        <is>
          <t>quads</t>
        </is>
      </c>
      <c r="F28" t="n">
        <v>0.018762</v>
      </c>
      <c r="G28" t="n">
        <v>0.028121</v>
      </c>
      <c r="H28" t="n">
        <v>0.042235</v>
      </c>
      <c r="I28" t="n">
        <v>0.061641</v>
      </c>
      <c r="J28" t="n">
        <v>0.08624999999999999</v>
      </c>
      <c r="K28" t="n">
        <v>0.117048</v>
      </c>
      <c r="L28" t="n">
        <v>0.159369</v>
      </c>
      <c r="M28" t="n">
        <v>0.212916</v>
      </c>
      <c r="N28" t="n">
        <v>0.284019</v>
      </c>
      <c r="O28" t="n">
        <v>0.359777</v>
      </c>
      <c r="P28" t="n">
        <v>0.434374</v>
      </c>
      <c r="Q28" t="n">
        <v>0.506031</v>
      </c>
      <c r="R28" t="n">
        <v>0.5740960000000001</v>
      </c>
      <c r="S28" t="n">
        <v>0.638567</v>
      </c>
      <c r="T28" t="n">
        <v>0.698516</v>
      </c>
      <c r="U28" t="n">
        <v>0.754337</v>
      </c>
      <c r="V28" t="n">
        <v>0.806113</v>
      </c>
      <c r="W28" t="n">
        <v>0.85333</v>
      </c>
      <c r="X28" t="n">
        <v>0.895904</v>
      </c>
      <c r="Y28" t="n">
        <v>0.9333129999999999</v>
      </c>
      <c r="Z28" t="n">
        <v>0.966346</v>
      </c>
      <c r="AA28" t="n">
        <v>0.995626</v>
      </c>
      <c r="AB28" t="n">
        <v>1.021931</v>
      </c>
      <c r="AC28" t="n">
        <v>1.045841</v>
      </c>
      <c r="AD28" t="n">
        <v>1.066279</v>
      </c>
      <c r="AE28" t="n">
        <v>1.084419</v>
      </c>
      <c r="AF28" t="n">
        <v>1.100623</v>
      </c>
      <c r="AG28" s="42" t="n">
        <v>0.17</v>
      </c>
    </row>
    <row r="29">
      <c r="A29" t="inlineStr">
        <is>
          <t>On-site Generation for Own Use</t>
        </is>
      </c>
      <c r="B29" t="inlineStr">
        <is>
          <t>Commercial: Energy Consumption by Fuel: Generation for Own Use: High Zero-Carbon Technology Cost</t>
        </is>
      </c>
      <c r="C29" t="inlineStr">
        <is>
          <t>AEO.2025.HIGHZTC.GEN_NA_COMM_NA_GFO_ELC_USA_QBTU.A</t>
        </is>
      </c>
      <c r="D29" t="inlineStr">
        <is>
          <t>quads</t>
        </is>
      </c>
      <c r="F29" t="n">
        <v>0.141743</v>
      </c>
      <c r="G29" t="n">
        <v>0.158667</v>
      </c>
      <c r="H29" t="n">
        <v>0.175158</v>
      </c>
      <c r="I29" t="n">
        <v>0.182169</v>
      </c>
      <c r="J29" t="n">
        <v>0.188994</v>
      </c>
      <c r="K29" t="n">
        <v>0.198891</v>
      </c>
      <c r="L29" t="n">
        <v>0.210624</v>
      </c>
      <c r="M29" t="n">
        <v>0.225521</v>
      </c>
      <c r="N29" t="n">
        <v>0.2391</v>
      </c>
      <c r="O29" t="n">
        <v>0.255213</v>
      </c>
      <c r="P29" t="n">
        <v>0.265844</v>
      </c>
      <c r="Q29" t="n">
        <v>0.272197</v>
      </c>
      <c r="R29" t="n">
        <v>0.277639</v>
      </c>
      <c r="S29" t="n">
        <v>0.283525</v>
      </c>
      <c r="T29" t="n">
        <v>0.292406</v>
      </c>
      <c r="U29" t="n">
        <v>0.297442</v>
      </c>
      <c r="V29" t="n">
        <v>0.303134</v>
      </c>
      <c r="W29" t="n">
        <v>0.31151</v>
      </c>
      <c r="X29" t="n">
        <v>0.319694</v>
      </c>
      <c r="Y29" t="n">
        <v>0.328662</v>
      </c>
      <c r="Z29" t="n">
        <v>0.337693</v>
      </c>
      <c r="AA29" t="n">
        <v>0.347028</v>
      </c>
      <c r="AB29" t="n">
        <v>0.355497</v>
      </c>
      <c r="AC29" t="n">
        <v>0.365354</v>
      </c>
      <c r="AD29" t="n">
        <v>0.375543</v>
      </c>
      <c r="AE29" t="n">
        <v>0.385409</v>
      </c>
      <c r="AF29" t="n">
        <v>0.396175</v>
      </c>
      <c r="AG29" s="42" t="n">
        <v>0.04</v>
      </c>
    </row>
    <row r="30">
      <c r="A30" t="inlineStr">
        <is>
          <t>Purchased Electricity at Commercial Location</t>
        </is>
      </c>
      <c r="B30" t="inlineStr">
        <is>
          <t>Commercial: Energy Consumption by Fuel: Purchased Electricity: High Zero-Carbon Technology Cost</t>
        </is>
      </c>
      <c r="C30" t="inlineStr">
        <is>
          <t>AEO.2025.HIGHZTC.CNSM_NA_COMM_NA_DELE_ELC_USA_QBTU.A</t>
        </is>
      </c>
      <c r="D30" t="inlineStr">
        <is>
          <t>quads</t>
        </is>
      </c>
      <c r="F30" t="n">
        <v>4.7681</v>
      </c>
      <c r="G30" t="n">
        <v>4.849871</v>
      </c>
      <c r="H30" t="n">
        <v>4.824575</v>
      </c>
      <c r="I30" t="n">
        <v>4.888259</v>
      </c>
      <c r="J30" t="n">
        <v>4.947349</v>
      </c>
      <c r="K30" t="n">
        <v>5.044383</v>
      </c>
      <c r="L30" t="n">
        <v>5.126503</v>
      </c>
      <c r="M30" t="n">
        <v>5.216602</v>
      </c>
      <c r="N30" t="n">
        <v>5.329492</v>
      </c>
      <c r="O30" t="n">
        <v>5.444</v>
      </c>
      <c r="P30" t="n">
        <v>5.570151</v>
      </c>
      <c r="Q30" t="n">
        <v>5.709007</v>
      </c>
      <c r="R30" t="n">
        <v>5.855105</v>
      </c>
      <c r="S30" t="n">
        <v>6.002276</v>
      </c>
      <c r="T30" t="n">
        <v>6.139438</v>
      </c>
      <c r="U30" t="n">
        <v>6.279403</v>
      </c>
      <c r="V30" t="n">
        <v>6.415958</v>
      </c>
      <c r="W30" t="n">
        <v>6.549087</v>
      </c>
      <c r="X30" t="n">
        <v>6.678914</v>
      </c>
      <c r="Y30" t="n">
        <v>6.806004</v>
      </c>
      <c r="Z30" t="n">
        <v>6.931282</v>
      </c>
      <c r="AA30" t="n">
        <v>7.05442</v>
      </c>
      <c r="AB30" t="n">
        <v>7.177359</v>
      </c>
      <c r="AC30" t="n">
        <v>7.299059</v>
      </c>
      <c r="AD30" t="n">
        <v>7.420295</v>
      </c>
      <c r="AE30" t="n">
        <v>7.542165</v>
      </c>
      <c r="AF30" t="n">
        <v>7.665122</v>
      </c>
      <c r="AG30" s="42" t="n">
        <v>0.018</v>
      </c>
    </row>
    <row r="31">
      <c r="A31" t="inlineStr">
        <is>
          <t>Natural Gas</t>
        </is>
      </c>
    </row>
    <row r="32">
      <c r="A32" t="inlineStr">
        <is>
          <t>Space Heating</t>
        </is>
      </c>
      <c r="B32" t="inlineStr">
        <is>
          <t>Commercial: Natural Gas: Space Heating: High Zero-Carbon Technology Cost</t>
        </is>
      </c>
      <c r="C32" t="inlineStr">
        <is>
          <t>AEO.2025.HIGHZTC.CNSM_NA_COMM_NA_NG_SPH_USA_QBTU.A</t>
        </is>
      </c>
      <c r="D32" t="inlineStr">
        <is>
          <t>quads</t>
        </is>
      </c>
      <c r="F32" t="n">
        <v>1.537413</v>
      </c>
      <c r="G32" t="n">
        <v>1.697475</v>
      </c>
      <c r="H32" t="n">
        <v>1.716881</v>
      </c>
      <c r="I32" t="n">
        <v>1.721059</v>
      </c>
      <c r="J32" t="n">
        <v>1.717088</v>
      </c>
      <c r="K32" t="n">
        <v>1.708489</v>
      </c>
      <c r="L32" t="n">
        <v>1.695878</v>
      </c>
      <c r="M32" t="n">
        <v>1.685565</v>
      </c>
      <c r="N32" t="n">
        <v>1.671333</v>
      </c>
      <c r="O32" t="n">
        <v>1.655639</v>
      </c>
      <c r="P32" t="n">
        <v>1.641919</v>
      </c>
      <c r="Q32" t="n">
        <v>1.633058</v>
      </c>
      <c r="R32" t="n">
        <v>1.628727</v>
      </c>
      <c r="S32" t="n">
        <v>1.626826</v>
      </c>
      <c r="T32" t="n">
        <v>1.625526</v>
      </c>
      <c r="U32" t="n">
        <v>1.62533</v>
      </c>
      <c r="V32" t="n">
        <v>1.623697</v>
      </c>
      <c r="W32" t="n">
        <v>1.619696</v>
      </c>
      <c r="X32" t="n">
        <v>1.614416</v>
      </c>
      <c r="Y32" t="n">
        <v>1.608446</v>
      </c>
      <c r="Z32" t="n">
        <v>1.603702</v>
      </c>
      <c r="AA32" t="n">
        <v>1.599288</v>
      </c>
      <c r="AB32" t="n">
        <v>1.593816</v>
      </c>
      <c r="AC32" t="n">
        <v>1.589346</v>
      </c>
      <c r="AD32" t="n">
        <v>1.585737</v>
      </c>
      <c r="AE32" t="n">
        <v>1.581855</v>
      </c>
      <c r="AF32" t="n">
        <v>1.577464</v>
      </c>
      <c r="AG32" s="42" t="n">
        <v>0.001</v>
      </c>
    </row>
    <row r="33">
      <c r="A33" t="inlineStr">
        <is>
          <t>Space Cooling</t>
        </is>
      </c>
      <c r="B33" t="inlineStr">
        <is>
          <t>Commercial: Natural Gas: Space Cooling: High Zero-Carbon Technology Cost</t>
        </is>
      </c>
      <c r="C33" t="inlineStr">
        <is>
          <t>AEO.2025.HIGHZTC.CNSM_NA_COMM_NA_NG_SPC_USA_QBTU.A</t>
        </is>
      </c>
      <c r="D33" t="inlineStr">
        <is>
          <t>quads</t>
        </is>
      </c>
      <c r="F33" t="n">
        <v>0.01832</v>
      </c>
      <c r="G33" t="n">
        <v>0.01762</v>
      </c>
      <c r="H33" t="n">
        <v>0.017856</v>
      </c>
      <c r="I33" t="n">
        <v>0.017985</v>
      </c>
      <c r="J33" t="n">
        <v>0.018026</v>
      </c>
      <c r="K33" t="n">
        <v>0.018042</v>
      </c>
      <c r="L33" t="n">
        <v>0.018032</v>
      </c>
      <c r="M33" t="n">
        <v>0.018032</v>
      </c>
      <c r="N33" t="n">
        <v>0.017987</v>
      </c>
      <c r="O33" t="n">
        <v>0.017929</v>
      </c>
      <c r="P33" t="n">
        <v>0.017896</v>
      </c>
      <c r="Q33" t="n">
        <v>0.017929</v>
      </c>
      <c r="R33" t="n">
        <v>0.018024</v>
      </c>
      <c r="S33" t="n">
        <v>0.01816</v>
      </c>
      <c r="T33" t="n">
        <v>0.01831</v>
      </c>
      <c r="U33" t="n">
        <v>0.018494</v>
      </c>
      <c r="V33" t="n">
        <v>0.018663</v>
      </c>
      <c r="W33" t="n">
        <v>0.018817</v>
      </c>
      <c r="X33" t="n">
        <v>0.018945</v>
      </c>
      <c r="Y33" t="n">
        <v>0.019081</v>
      </c>
      <c r="Z33" t="n">
        <v>0.019247</v>
      </c>
      <c r="AA33" t="n">
        <v>0.019418</v>
      </c>
      <c r="AB33" t="n">
        <v>0.019581</v>
      </c>
      <c r="AC33" t="n">
        <v>0.019763</v>
      </c>
      <c r="AD33" t="n">
        <v>0.019966</v>
      </c>
      <c r="AE33" t="n">
        <v>0.020156</v>
      </c>
      <c r="AF33" t="n">
        <v>0.020358</v>
      </c>
      <c r="AG33" s="42" t="n">
        <v>0.004</v>
      </c>
    </row>
    <row r="34">
      <c r="A34" t="inlineStr">
        <is>
          <t>Water Heating</t>
        </is>
      </c>
      <c r="B34" t="inlineStr">
        <is>
          <t>Commercial: Natural Gas: Water Heating: High Zero-Carbon Technology Cost</t>
        </is>
      </c>
      <c r="C34" t="inlineStr">
        <is>
          <t>AEO.2025.HIGHZTC.CNSM_NA_COMM_NA_NG_WTHT_USA_QBTU.A</t>
        </is>
      </c>
      <c r="D34" t="inlineStr">
        <is>
          <t>quads</t>
        </is>
      </c>
      <c r="F34" t="n">
        <v>0.269945</v>
      </c>
      <c r="G34" t="n">
        <v>0.282625</v>
      </c>
      <c r="H34" t="n">
        <v>0.290403</v>
      </c>
      <c r="I34" t="n">
        <v>0.2948</v>
      </c>
      <c r="J34" t="n">
        <v>0.298126</v>
      </c>
      <c r="K34" t="n">
        <v>0.300994</v>
      </c>
      <c r="L34" t="n">
        <v>0.303366</v>
      </c>
      <c r="M34" t="n">
        <v>0.305882</v>
      </c>
      <c r="N34" t="n">
        <v>0.30765</v>
      </c>
      <c r="O34" t="n">
        <v>0.309273</v>
      </c>
      <c r="P34" t="n">
        <v>0.311314</v>
      </c>
      <c r="Q34" t="n">
        <v>0.314163</v>
      </c>
      <c r="R34" t="n">
        <v>0.317874</v>
      </c>
      <c r="S34" t="n">
        <v>0.322065</v>
      </c>
      <c r="T34" t="n">
        <v>0.326389</v>
      </c>
      <c r="U34" t="n">
        <v>0.330938</v>
      </c>
      <c r="V34" t="n">
        <v>0.335197</v>
      </c>
      <c r="W34" t="n">
        <v>0.339036</v>
      </c>
      <c r="X34" t="n">
        <v>0.342592</v>
      </c>
      <c r="Y34" t="n">
        <v>0.346006</v>
      </c>
      <c r="Z34" t="n">
        <v>0.349657</v>
      </c>
      <c r="AA34" t="n">
        <v>0.353361</v>
      </c>
      <c r="AB34" t="n">
        <v>0.356839</v>
      </c>
      <c r="AC34" t="n">
        <v>0.360547</v>
      </c>
      <c r="AD34" t="n">
        <v>0.364444</v>
      </c>
      <c r="AE34" t="n">
        <v>0.368194</v>
      </c>
      <c r="AF34" t="n">
        <v>0.371812</v>
      </c>
      <c r="AG34" s="42" t="n">
        <v>0.012</v>
      </c>
    </row>
    <row r="35">
      <c r="A35" t="inlineStr">
        <is>
          <t>Cooking</t>
        </is>
      </c>
      <c r="B35" t="inlineStr">
        <is>
          <t>Commercial: Natural Gas: Cooking: High Zero-Carbon Technology Cost</t>
        </is>
      </c>
      <c r="C35" t="inlineStr">
        <is>
          <t>AEO.2025.HIGHZTC.CNSM_NA_COMM_NA_NG_CGR_USA_QBTU.A</t>
        </is>
      </c>
      <c r="D35" t="inlineStr">
        <is>
          <t>quads</t>
        </is>
      </c>
      <c r="F35" t="n">
        <v>0.400883</v>
      </c>
      <c r="G35" t="n">
        <v>0.418216</v>
      </c>
      <c r="H35" t="n">
        <v>0.427767</v>
      </c>
      <c r="I35" t="n">
        <v>0.434062</v>
      </c>
      <c r="J35" t="n">
        <v>0.438574</v>
      </c>
      <c r="K35" t="n">
        <v>0.442312</v>
      </c>
      <c r="L35" t="n">
        <v>0.445268</v>
      </c>
      <c r="M35" t="n">
        <v>0.448634</v>
      </c>
      <c r="N35" t="n">
        <v>0.451018</v>
      </c>
      <c r="O35" t="n">
        <v>0.453211</v>
      </c>
      <c r="P35" t="n">
        <v>0.455967</v>
      </c>
      <c r="Q35" t="n">
        <v>0.459839</v>
      </c>
      <c r="R35" t="n">
        <v>0.464891</v>
      </c>
      <c r="S35" t="n">
        <v>0.470575</v>
      </c>
      <c r="T35" t="n">
        <v>0.476397</v>
      </c>
      <c r="U35" t="n">
        <v>0.482477</v>
      </c>
      <c r="V35" t="n">
        <v>0.488085</v>
      </c>
      <c r="W35" t="n">
        <v>0.493181</v>
      </c>
      <c r="X35" t="n">
        <v>0.497859</v>
      </c>
      <c r="Y35" t="n">
        <v>0.502327</v>
      </c>
      <c r="Z35" t="n">
        <v>0.507092</v>
      </c>
      <c r="AA35" t="n">
        <v>0.511912</v>
      </c>
      <c r="AB35" t="n">
        <v>0.516398</v>
      </c>
      <c r="AC35" t="n">
        <v>0.521192</v>
      </c>
      <c r="AD35" t="n">
        <v>0.526222</v>
      </c>
      <c r="AE35" t="n">
        <v>0.531022</v>
      </c>
      <c r="AF35" t="n">
        <v>0.535618</v>
      </c>
      <c r="AG35" s="42" t="n">
        <v>0.011</v>
      </c>
    </row>
    <row r="36">
      <c r="A36" t="inlineStr">
        <is>
          <t>Other Uses</t>
        </is>
      </c>
      <c r="B36" t="inlineStr">
        <is>
          <t>Commercial: Natural Gas: Other Uses: High Zero-Carbon Technology Cost</t>
        </is>
      </c>
      <c r="C36" t="inlineStr">
        <is>
          <t>AEO.2025.HIGHZTC.CNSM_NA_COMM_NA_NG_OTHU_USA_QBTU.A</t>
        </is>
      </c>
      <c r="D36" t="inlineStr">
        <is>
          <t>quads</t>
        </is>
      </c>
      <c r="F36" t="n">
        <v>1.200143</v>
      </c>
      <c r="G36" t="n">
        <v>1.195241</v>
      </c>
      <c r="H36" t="n">
        <v>1.192541</v>
      </c>
      <c r="I36" t="n">
        <v>1.18453</v>
      </c>
      <c r="J36" t="n">
        <v>1.172073</v>
      </c>
      <c r="K36" t="n">
        <v>1.174134</v>
      </c>
      <c r="L36" t="n">
        <v>1.174214</v>
      </c>
      <c r="M36" t="n">
        <v>1.173943</v>
      </c>
      <c r="N36" t="n">
        <v>1.170539</v>
      </c>
      <c r="O36" t="n">
        <v>1.1664</v>
      </c>
      <c r="P36" t="n">
        <v>1.16325</v>
      </c>
      <c r="Q36" t="n">
        <v>1.162672</v>
      </c>
      <c r="R36" t="n">
        <v>1.164979</v>
      </c>
      <c r="S36" t="n">
        <v>1.16898</v>
      </c>
      <c r="T36" t="n">
        <v>1.173669</v>
      </c>
      <c r="U36" t="n">
        <v>1.179099</v>
      </c>
      <c r="V36" t="n">
        <v>1.183828</v>
      </c>
      <c r="W36" t="n">
        <v>1.186681</v>
      </c>
      <c r="X36" t="n">
        <v>1.188695</v>
      </c>
      <c r="Y36" t="n">
        <v>1.190251</v>
      </c>
      <c r="Z36" t="n">
        <v>1.192779</v>
      </c>
      <c r="AA36" t="n">
        <v>1.19538</v>
      </c>
      <c r="AB36" t="n">
        <v>1.197174</v>
      </c>
      <c r="AC36" t="n">
        <v>1.199681</v>
      </c>
      <c r="AD36" t="n">
        <v>1.202824</v>
      </c>
      <c r="AE36" t="n">
        <v>1.205542</v>
      </c>
      <c r="AF36" t="n">
        <v>1.207929</v>
      </c>
      <c r="AG36" s="42" t="n">
        <v>0</v>
      </c>
    </row>
    <row r="37">
      <c r="A37" t="inlineStr">
        <is>
          <t>Delivered Energy</t>
        </is>
      </c>
      <c r="B37" t="inlineStr">
        <is>
          <t>Commercial: Natural Gas: Delivered Energy: High Zero-Carbon Technology Cost</t>
        </is>
      </c>
      <c r="C37" t="inlineStr">
        <is>
          <t>AEO.2025.HIGHZTC.CNSM_NA_COMM_NA_NG_DELE_USA_QBTU.A</t>
        </is>
      </c>
      <c r="D37" t="inlineStr">
        <is>
          <t>quads</t>
        </is>
      </c>
      <c r="F37" t="n">
        <v>3.426704</v>
      </c>
      <c r="G37" t="n">
        <v>3.611178</v>
      </c>
      <c r="H37" t="n">
        <v>3.645448</v>
      </c>
      <c r="I37" t="n">
        <v>3.652436</v>
      </c>
      <c r="J37" t="n">
        <v>3.643887</v>
      </c>
      <c r="K37" t="n">
        <v>3.643972</v>
      </c>
      <c r="L37" t="n">
        <v>3.636758</v>
      </c>
      <c r="M37" t="n">
        <v>3.632056</v>
      </c>
      <c r="N37" t="n">
        <v>3.618527</v>
      </c>
      <c r="O37" t="n">
        <v>3.602453</v>
      </c>
      <c r="P37" t="n">
        <v>3.590345</v>
      </c>
      <c r="Q37" t="n">
        <v>3.58766</v>
      </c>
      <c r="R37" t="n">
        <v>3.594494</v>
      </c>
      <c r="S37" t="n">
        <v>3.606606</v>
      </c>
      <c r="T37" t="n">
        <v>3.620292</v>
      </c>
      <c r="U37" t="n">
        <v>3.636338</v>
      </c>
      <c r="V37" t="n">
        <v>3.64947</v>
      </c>
      <c r="W37" t="n">
        <v>3.657411</v>
      </c>
      <c r="X37" t="n">
        <v>3.662507</v>
      </c>
      <c r="Y37" t="n">
        <v>3.666111</v>
      </c>
      <c r="Z37" t="n">
        <v>3.672477</v>
      </c>
      <c r="AA37" t="n">
        <v>3.67936</v>
      </c>
      <c r="AB37" t="n">
        <v>3.683807</v>
      </c>
      <c r="AC37" t="n">
        <v>3.690529</v>
      </c>
      <c r="AD37" t="n">
        <v>3.699193</v>
      </c>
      <c r="AE37" t="n">
        <v>3.706769</v>
      </c>
      <c r="AF37" t="n">
        <v>3.713181</v>
      </c>
      <c r="AG37" s="42" t="n">
        <v>0.003</v>
      </c>
    </row>
    <row r="38">
      <c r="A38" t="inlineStr">
        <is>
          <t>Distillate Fuel Oil</t>
        </is>
      </c>
    </row>
    <row r="39">
      <c r="A39" t="inlineStr">
        <is>
          <t>Space Heating</t>
        </is>
      </c>
      <c r="B39" t="inlineStr">
        <is>
          <t>Commercial: Distillate Fuel Oil: Space Heating: High Zero-Carbon Technology Cost</t>
        </is>
      </c>
      <c r="C39" t="inlineStr">
        <is>
          <t>AEO.2025.HIGHZTC.CNSM_NA_COMM_NA_DFO_SPH_USA_QBTU.A</t>
        </is>
      </c>
      <c r="D39" t="inlineStr">
        <is>
          <t>quads</t>
        </is>
      </c>
      <c r="F39" t="n">
        <v>0.069269</v>
      </c>
      <c r="G39" t="n">
        <v>0.074071</v>
      </c>
      <c r="H39" t="n">
        <v>0.073987</v>
      </c>
      <c r="I39" t="n">
        <v>0.073583</v>
      </c>
      <c r="J39" t="n">
        <v>0.072936</v>
      </c>
      <c r="K39" t="n">
        <v>0.071975</v>
      </c>
      <c r="L39" t="n">
        <v>0.07098599999999999</v>
      </c>
      <c r="M39" t="n">
        <v>0.069949</v>
      </c>
      <c r="N39" t="n">
        <v>0.068908</v>
      </c>
      <c r="O39" t="n">
        <v>0.067778</v>
      </c>
      <c r="P39" t="n">
        <v>0.06664200000000001</v>
      </c>
      <c r="Q39" t="n">
        <v>0.065496</v>
      </c>
      <c r="R39" t="n">
        <v>0.064415</v>
      </c>
      <c r="S39" t="n">
        <v>0.06329799999999999</v>
      </c>
      <c r="T39" t="n">
        <v>0.06222</v>
      </c>
      <c r="U39" t="n">
        <v>0.061174</v>
      </c>
      <c r="V39" t="n">
        <v>0.060119</v>
      </c>
      <c r="W39" t="n">
        <v>0.059095</v>
      </c>
      <c r="X39" t="n">
        <v>0.058066</v>
      </c>
      <c r="Y39" t="n">
        <v>0.057049</v>
      </c>
      <c r="Z39" t="n">
        <v>0.055952</v>
      </c>
      <c r="AA39" t="n">
        <v>0.055022</v>
      </c>
      <c r="AB39" t="n">
        <v>0.054114</v>
      </c>
      <c r="AC39" t="n">
        <v>0.053304</v>
      </c>
      <c r="AD39" t="n">
        <v>0.052548</v>
      </c>
      <c r="AE39" t="n">
        <v>0.051773</v>
      </c>
      <c r="AF39" t="n">
        <v>0.050965</v>
      </c>
      <c r="AG39" s="42" t="n">
        <v>-0.012</v>
      </c>
    </row>
    <row r="40">
      <c r="A40" t="inlineStr">
        <is>
          <t>Water Heating</t>
        </is>
      </c>
      <c r="B40" t="inlineStr">
        <is>
          <t>Commercial: Distillate Fuel Oil: Water Heating: High Zero-Carbon Technology Cost</t>
        </is>
      </c>
      <c r="C40" t="inlineStr">
        <is>
          <t>AEO.2025.HIGHZTC.CNSM_NA_COMM_NA_DFO_WTHT_USA_QBTU.A</t>
        </is>
      </c>
      <c r="D40" t="inlineStr">
        <is>
          <t>quads</t>
        </is>
      </c>
      <c r="F40" t="n">
        <v>0.003746</v>
      </c>
      <c r="G40" t="n">
        <v>0.003811</v>
      </c>
      <c r="H40" t="n">
        <v>0.003828</v>
      </c>
      <c r="I40" t="n">
        <v>0.003833</v>
      </c>
      <c r="J40" t="n">
        <v>0.003829</v>
      </c>
      <c r="K40" t="n">
        <v>0.003819</v>
      </c>
      <c r="L40" t="n">
        <v>0.00381</v>
      </c>
      <c r="M40" t="n">
        <v>0.003796</v>
      </c>
      <c r="N40" t="n">
        <v>0.003782</v>
      </c>
      <c r="O40" t="n">
        <v>0.003765</v>
      </c>
      <c r="P40" t="n">
        <v>0.003747</v>
      </c>
      <c r="Q40" t="n">
        <v>0.003729</v>
      </c>
      <c r="R40" t="n">
        <v>0.003714</v>
      </c>
      <c r="S40" t="n">
        <v>0.003697</v>
      </c>
      <c r="T40" t="n">
        <v>0.003681</v>
      </c>
      <c r="U40" t="n">
        <v>0.003667</v>
      </c>
      <c r="V40" t="n">
        <v>0.003652</v>
      </c>
      <c r="W40" t="n">
        <v>0.003637</v>
      </c>
      <c r="X40" t="n">
        <v>0.003621</v>
      </c>
      <c r="Y40" t="n">
        <v>0.003606</v>
      </c>
      <c r="Z40" t="n">
        <v>0.003584</v>
      </c>
      <c r="AA40" t="n">
        <v>0.003572</v>
      </c>
      <c r="AB40" t="n">
        <v>0.003561</v>
      </c>
      <c r="AC40" t="n">
        <v>0.003556</v>
      </c>
      <c r="AD40" t="n">
        <v>0.003553</v>
      </c>
      <c r="AE40" t="n">
        <v>0.003548</v>
      </c>
      <c r="AF40" t="n">
        <v>0.00354</v>
      </c>
      <c r="AG40" s="42" t="n">
        <v>-0.002</v>
      </c>
    </row>
    <row r="41">
      <c r="A41" t="inlineStr">
        <is>
          <t>Other Uses</t>
        </is>
      </c>
      <c r="B41" t="inlineStr">
        <is>
          <t>Commercial: Distillate Fuel Oil: Other Uses: High Zero-Carbon Technology Cost</t>
        </is>
      </c>
      <c r="C41" t="inlineStr">
        <is>
          <t>AEO.2025.HIGHZTC.CNSM_NA_COMM_NA_DFO_OTHU_USA_QBTU.A</t>
        </is>
      </c>
      <c r="D41" t="inlineStr">
        <is>
          <t>quads</t>
        </is>
      </c>
      <c r="F41" t="n">
        <v>0.235269</v>
      </c>
      <c r="G41" t="n">
        <v>0.238648</v>
      </c>
      <c r="H41" t="n">
        <v>0.242276</v>
      </c>
      <c r="I41" t="n">
        <v>0.244607</v>
      </c>
      <c r="J41" t="n">
        <v>0.246048</v>
      </c>
      <c r="K41" t="n">
        <v>0.247077</v>
      </c>
      <c r="L41" t="n">
        <v>0.248054</v>
      </c>
      <c r="M41" t="n">
        <v>0.248537</v>
      </c>
      <c r="N41" t="n">
        <v>0.24897</v>
      </c>
      <c r="O41" t="n">
        <v>0.248937</v>
      </c>
      <c r="P41" t="n">
        <v>0.248789</v>
      </c>
      <c r="Q41" t="n">
        <v>0.248491</v>
      </c>
      <c r="R41" t="n">
        <v>0.248383</v>
      </c>
      <c r="S41" t="n">
        <v>0.24808</v>
      </c>
      <c r="T41" t="n">
        <v>0.247905</v>
      </c>
      <c r="U41" t="n">
        <v>0.247811</v>
      </c>
      <c r="V41" t="n">
        <v>0.247625</v>
      </c>
      <c r="W41" t="n">
        <v>0.247337</v>
      </c>
      <c r="X41" t="n">
        <v>0.246923</v>
      </c>
      <c r="Y41" t="n">
        <v>0.246471</v>
      </c>
      <c r="Z41" t="n">
        <v>0.245575</v>
      </c>
      <c r="AA41" t="n">
        <v>0.245337</v>
      </c>
      <c r="AB41" t="n">
        <v>0.245137</v>
      </c>
      <c r="AC41" t="n">
        <v>0.245284</v>
      </c>
      <c r="AD41" t="n">
        <v>0.245618</v>
      </c>
      <c r="AE41" t="n">
        <v>0.24574</v>
      </c>
      <c r="AF41" t="n">
        <v>0.245625</v>
      </c>
      <c r="AG41" s="42" t="n">
        <v>0.002</v>
      </c>
    </row>
    <row r="42">
      <c r="A42" t="inlineStr">
        <is>
          <t>Delivered Energy</t>
        </is>
      </c>
      <c r="B42" t="inlineStr">
        <is>
          <t>Commercial: Distillate Fuel Oil: Delivered Energy: High Zero-Carbon Technology Cost</t>
        </is>
      </c>
      <c r="C42" t="inlineStr">
        <is>
          <t>AEO.2025.HIGHZTC.CNSM_NA_COMM_NA_DFO_DELE_USA_QBTU.A</t>
        </is>
      </c>
      <c r="D42" t="inlineStr">
        <is>
          <t>quads</t>
        </is>
      </c>
      <c r="F42" t="n">
        <v>0.308284</v>
      </c>
      <c r="G42" t="n">
        <v>0.316531</v>
      </c>
      <c r="H42" t="n">
        <v>0.320091</v>
      </c>
      <c r="I42" t="n">
        <v>0.322023</v>
      </c>
      <c r="J42" t="n">
        <v>0.322813</v>
      </c>
      <c r="K42" t="n">
        <v>0.322871</v>
      </c>
      <c r="L42" t="n">
        <v>0.32285</v>
      </c>
      <c r="M42" t="n">
        <v>0.322282</v>
      </c>
      <c r="N42" t="n">
        <v>0.32166</v>
      </c>
      <c r="O42" t="n">
        <v>0.320479</v>
      </c>
      <c r="P42" t="n">
        <v>0.319178</v>
      </c>
      <c r="Q42" t="n">
        <v>0.317716</v>
      </c>
      <c r="R42" t="n">
        <v>0.316511</v>
      </c>
      <c r="S42" t="n">
        <v>0.315075</v>
      </c>
      <c r="T42" t="n">
        <v>0.313805</v>
      </c>
      <c r="U42" t="n">
        <v>0.312652</v>
      </c>
      <c r="V42" t="n">
        <v>0.311396</v>
      </c>
      <c r="W42" t="n">
        <v>0.310069</v>
      </c>
      <c r="X42" t="n">
        <v>0.30861</v>
      </c>
      <c r="Y42" t="n">
        <v>0.307126</v>
      </c>
      <c r="Z42" t="n">
        <v>0.305111</v>
      </c>
      <c r="AA42" t="n">
        <v>0.303931</v>
      </c>
      <c r="AB42" t="n">
        <v>0.302812</v>
      </c>
      <c r="AC42" t="n">
        <v>0.302144</v>
      </c>
      <c r="AD42" t="n">
        <v>0.301719</v>
      </c>
      <c r="AE42" t="n">
        <v>0.30106</v>
      </c>
      <c r="AF42" t="n">
        <v>0.30013</v>
      </c>
      <c r="AG42" s="42" t="n">
        <v>-0.001</v>
      </c>
    </row>
    <row r="43">
      <c r="A43" t="inlineStr">
        <is>
          <t>Marketed Renewables (biomass)</t>
        </is>
      </c>
      <c r="B43" t="inlineStr">
        <is>
          <t>Commercial: Marketed Renewables (biomass): High Zero-Carbon Technology Cost</t>
        </is>
      </c>
      <c r="C43" t="inlineStr">
        <is>
          <t>AEO.2025.HIGHZTC.CNSM_NA_COMM_NA_BMS_NA_USA_QBTU.A</t>
        </is>
      </c>
      <c r="D43" t="inlineStr">
        <is>
          <t>quads</t>
        </is>
      </c>
      <c r="F43" t="n">
        <v>0.158104</v>
      </c>
      <c r="G43" t="n">
        <v>0.158104</v>
      </c>
      <c r="H43" t="n">
        <v>0.158104</v>
      </c>
      <c r="I43" t="n">
        <v>0.158104</v>
      </c>
      <c r="J43" t="n">
        <v>0.158104</v>
      </c>
      <c r="K43" t="n">
        <v>0.158104</v>
      </c>
      <c r="L43" t="n">
        <v>0.158104</v>
      </c>
      <c r="M43" t="n">
        <v>0.158104</v>
      </c>
      <c r="N43" t="n">
        <v>0.158104</v>
      </c>
      <c r="O43" t="n">
        <v>0.158104</v>
      </c>
      <c r="P43" t="n">
        <v>0.158104</v>
      </c>
      <c r="Q43" t="n">
        <v>0.158104</v>
      </c>
      <c r="R43" t="n">
        <v>0.158104</v>
      </c>
      <c r="S43" t="n">
        <v>0.158104</v>
      </c>
      <c r="T43" t="n">
        <v>0.158104</v>
      </c>
      <c r="U43" t="n">
        <v>0.158104</v>
      </c>
      <c r="V43" t="n">
        <v>0.158104</v>
      </c>
      <c r="W43" t="n">
        <v>0.158104</v>
      </c>
      <c r="X43" t="n">
        <v>0.158104</v>
      </c>
      <c r="Y43" t="n">
        <v>0.158104</v>
      </c>
      <c r="Z43" t="n">
        <v>0.158104</v>
      </c>
      <c r="AA43" t="n">
        <v>0.158104</v>
      </c>
      <c r="AB43" t="n">
        <v>0.158104</v>
      </c>
      <c r="AC43" t="n">
        <v>0.158104</v>
      </c>
      <c r="AD43" t="n">
        <v>0.158104</v>
      </c>
      <c r="AE43" t="n">
        <v>0.158104</v>
      </c>
      <c r="AF43" t="n">
        <v>0.158104</v>
      </c>
      <c r="AG43" s="42" t="n">
        <v>0</v>
      </c>
    </row>
    <row r="44">
      <c r="A44" t="inlineStr">
        <is>
          <t>Other Fuels</t>
        </is>
      </c>
      <c r="B44" t="inlineStr">
        <is>
          <t>Commercial: Other Fuels: High Zero-Carbon Technology Cost</t>
        </is>
      </c>
      <c r="C44" t="inlineStr">
        <is>
          <t>AEO.2025.HIGHZTC.CNSM_NA_COMM_NA_OFU_NA_USA_QBTU.A</t>
        </is>
      </c>
      <c r="D44" t="inlineStr">
        <is>
          <t>quads</t>
        </is>
      </c>
      <c r="F44" t="n">
        <v>0.653411</v>
      </c>
      <c r="G44" t="n">
        <v>0.661214</v>
      </c>
      <c r="H44" t="n">
        <v>0.677821</v>
      </c>
      <c r="I44" t="n">
        <v>0.690836</v>
      </c>
      <c r="J44" t="n">
        <v>0.705091</v>
      </c>
      <c r="K44" t="n">
        <v>0.716506</v>
      </c>
      <c r="L44" t="n">
        <v>0.729131</v>
      </c>
      <c r="M44" t="n">
        <v>0.741835</v>
      </c>
      <c r="N44" t="n">
        <v>0.7549090000000001</v>
      </c>
      <c r="O44" t="n">
        <v>0.7672600000000001</v>
      </c>
      <c r="P44" t="n">
        <v>0.780288</v>
      </c>
      <c r="Q44" t="n">
        <v>0.79308</v>
      </c>
      <c r="R44" t="n">
        <v>0.805218</v>
      </c>
      <c r="S44" t="n">
        <v>0.817067</v>
      </c>
      <c r="T44" t="n">
        <v>0.8282310000000001</v>
      </c>
      <c r="U44" t="n">
        <v>0.840011</v>
      </c>
      <c r="V44" t="n">
        <v>0.851415</v>
      </c>
      <c r="W44" t="n">
        <v>0.862254</v>
      </c>
      <c r="X44" t="n">
        <v>0.873242</v>
      </c>
      <c r="Y44" t="n">
        <v>0.883991</v>
      </c>
      <c r="Z44" t="n">
        <v>0.8946539999999999</v>
      </c>
      <c r="AA44" t="n">
        <v>0.905585</v>
      </c>
      <c r="AB44" t="n">
        <v>0.916303</v>
      </c>
      <c r="AC44" t="n">
        <v>0.927382</v>
      </c>
      <c r="AD44" t="n">
        <v>0.938543</v>
      </c>
      <c r="AE44" t="n">
        <v>0.9497640000000001</v>
      </c>
      <c r="AF44" t="n">
        <v>0.960719</v>
      </c>
      <c r="AG44" s="42" t="n">
        <v>0.015</v>
      </c>
    </row>
    <row r="45">
      <c r="A45" t="inlineStr">
        <is>
          <t>Energy Consumption by End Use</t>
        </is>
      </c>
    </row>
    <row r="46">
      <c r="A46" t="inlineStr">
        <is>
          <t>Space Heating</t>
        </is>
      </c>
      <c r="B46" t="inlineStr">
        <is>
          <t>Commercial: Delivered Energy Use by End Use: Space Heating: High Zero-Carbon Technology Cost</t>
        </is>
      </c>
      <c r="C46" t="inlineStr">
        <is>
          <t>AEO.2025.HIGHZTC.CNSM_NA_COMM_NA_DEE_SPH_USA_QBTU.A</t>
        </is>
      </c>
      <c r="D46" t="inlineStr">
        <is>
          <t>quads</t>
        </is>
      </c>
      <c r="F46" t="n">
        <v>1.793223</v>
      </c>
      <c r="G46" t="n">
        <v>1.969532</v>
      </c>
      <c r="H46" t="n">
        <v>1.988944</v>
      </c>
      <c r="I46" t="n">
        <v>1.993697</v>
      </c>
      <c r="J46" t="n">
        <v>1.989073</v>
      </c>
      <c r="K46" t="n">
        <v>1.978354</v>
      </c>
      <c r="L46" t="n">
        <v>1.963215</v>
      </c>
      <c r="M46" t="n">
        <v>1.950104</v>
      </c>
      <c r="N46" t="n">
        <v>1.933014</v>
      </c>
      <c r="O46" t="n">
        <v>1.913483</v>
      </c>
      <c r="P46" t="n">
        <v>1.89624</v>
      </c>
      <c r="Q46" t="n">
        <v>1.8851</v>
      </c>
      <c r="R46" t="n">
        <v>1.878854</v>
      </c>
      <c r="S46" t="n">
        <v>1.875036</v>
      </c>
      <c r="T46" t="n">
        <v>1.871479</v>
      </c>
      <c r="U46" t="n">
        <v>1.869001</v>
      </c>
      <c r="V46" t="n">
        <v>1.865007</v>
      </c>
      <c r="W46" t="n">
        <v>1.858576</v>
      </c>
      <c r="X46" t="n">
        <v>1.850695</v>
      </c>
      <c r="Y46" t="n">
        <v>1.842061</v>
      </c>
      <c r="Z46" t="n">
        <v>1.834451</v>
      </c>
      <c r="AA46" t="n">
        <v>1.827259</v>
      </c>
      <c r="AB46" t="n">
        <v>1.818943</v>
      </c>
      <c r="AC46" t="n">
        <v>1.811671</v>
      </c>
      <c r="AD46" t="n">
        <v>1.80528</v>
      </c>
      <c r="AE46" t="n">
        <v>1.798646</v>
      </c>
      <c r="AF46" t="n">
        <v>1.791455</v>
      </c>
      <c r="AG46" s="42" t="n">
        <v>0</v>
      </c>
    </row>
    <row r="47">
      <c r="A47" t="inlineStr">
        <is>
          <t>Space Cooling</t>
        </is>
      </c>
      <c r="B47" t="inlineStr">
        <is>
          <t>Commercial: Delivered Energy Use by End Use: Space Cooling: High Zero-Carbon Technology Cost</t>
        </is>
      </c>
      <c r="C47" t="inlineStr">
        <is>
          <t>AEO.2025.HIGHZTC.CNSM_NA_COMM_NA_DEE_SPC_USA_QBTU.A</t>
        </is>
      </c>
      <c r="D47" t="inlineStr">
        <is>
          <t>quads</t>
        </is>
      </c>
      <c r="F47" t="n">
        <v>0.591183</v>
      </c>
      <c r="G47" t="n">
        <v>0.573124</v>
      </c>
      <c r="H47" t="n">
        <v>0.5849569999999999</v>
      </c>
      <c r="I47" t="n">
        <v>0.599402</v>
      </c>
      <c r="J47" t="n">
        <v>0.6110449999999999</v>
      </c>
      <c r="K47" t="n">
        <v>0.618568</v>
      </c>
      <c r="L47" t="n">
        <v>0.623688</v>
      </c>
      <c r="M47" t="n">
        <v>0.628543</v>
      </c>
      <c r="N47" t="n">
        <v>0.633903</v>
      </c>
      <c r="O47" t="n">
        <v>0.63848</v>
      </c>
      <c r="P47" t="n">
        <v>0.644301</v>
      </c>
      <c r="Q47" t="n">
        <v>0.652166</v>
      </c>
      <c r="R47" t="n">
        <v>0.661844</v>
      </c>
      <c r="S47" t="n">
        <v>0.672138</v>
      </c>
      <c r="T47" t="n">
        <v>0.681383</v>
      </c>
      <c r="U47" t="n">
        <v>0.690883</v>
      </c>
      <c r="V47" t="n">
        <v>0.700357</v>
      </c>
      <c r="W47" t="n">
        <v>0.710241</v>
      </c>
      <c r="X47" t="n">
        <v>0.7198329999999999</v>
      </c>
      <c r="Y47" t="n">
        <v>0.729954</v>
      </c>
      <c r="Z47" t="n">
        <v>0.740125</v>
      </c>
      <c r="AA47" t="n">
        <v>0.75024</v>
      </c>
      <c r="AB47" t="n">
        <v>0.760304</v>
      </c>
      <c r="AC47" t="n">
        <v>0.7705</v>
      </c>
      <c r="AD47" t="n">
        <v>0.780941</v>
      </c>
      <c r="AE47" t="n">
        <v>0.791686</v>
      </c>
      <c r="AF47" t="n">
        <v>0.802583</v>
      </c>
      <c r="AG47" s="42" t="n">
        <v>0.012</v>
      </c>
    </row>
    <row r="48">
      <c r="A48" t="inlineStr">
        <is>
          <t>Water Heating</t>
        </is>
      </c>
      <c r="B48" t="inlineStr">
        <is>
          <t>Commercial: Delivered Energy Use by End Use: Water Heating: High Zero-Carbon Technology Cost</t>
        </is>
      </c>
      <c r="C48" t="inlineStr">
        <is>
          <t>AEO.2025.HIGHZTC.CNSM_NA_COMM_NA_DEE_WTHT_USA_QBTU.A</t>
        </is>
      </c>
      <c r="D48" t="inlineStr">
        <is>
          <t>quads</t>
        </is>
      </c>
      <c r="F48" t="n">
        <v>0.348189</v>
      </c>
      <c r="G48" t="n">
        <v>0.360507</v>
      </c>
      <c r="H48" t="n">
        <v>0.368414</v>
      </c>
      <c r="I48" t="n">
        <v>0.373327</v>
      </c>
      <c r="J48" t="n">
        <v>0.376779</v>
      </c>
      <c r="K48" t="n">
        <v>0.379255</v>
      </c>
      <c r="L48" t="n">
        <v>0.380939</v>
      </c>
      <c r="M48" t="n">
        <v>0.382625</v>
      </c>
      <c r="N48" t="n">
        <v>0.383577</v>
      </c>
      <c r="O48" t="n">
        <v>0.384267</v>
      </c>
      <c r="P48" t="n">
        <v>0.385484</v>
      </c>
      <c r="Q48" t="n">
        <v>0.387687</v>
      </c>
      <c r="R48" t="n">
        <v>0.390894</v>
      </c>
      <c r="S48" t="n">
        <v>0.394612</v>
      </c>
      <c r="T48" t="n">
        <v>0.398352</v>
      </c>
      <c r="U48" t="n">
        <v>0.402303</v>
      </c>
      <c r="V48" t="n">
        <v>0.405953</v>
      </c>
      <c r="W48" t="n">
        <v>0.409165</v>
      </c>
      <c r="X48" t="n">
        <v>0.412065</v>
      </c>
      <c r="Y48" t="n">
        <v>0.414822</v>
      </c>
      <c r="Z48" t="n">
        <v>0.417791</v>
      </c>
      <c r="AA48" t="n">
        <v>0.420802</v>
      </c>
      <c r="AB48" t="n">
        <v>0.42357</v>
      </c>
      <c r="AC48" t="n">
        <v>0.426566</v>
      </c>
      <c r="AD48" t="n">
        <v>0.429748</v>
      </c>
      <c r="AE48" t="n">
        <v>0.432792</v>
      </c>
      <c r="AF48" t="n">
        <v>0.435698</v>
      </c>
      <c r="AG48" s="42" t="n">
        <v>0.008999999999999999</v>
      </c>
    </row>
    <row r="49">
      <c r="A49" t="inlineStr">
        <is>
          <t>Ventilation</t>
        </is>
      </c>
      <c r="B49" t="inlineStr">
        <is>
          <t>Commercial: Delivered Energy Use by End Use: Ventilation: High Zero-Carbon Technology Cost</t>
        </is>
      </c>
      <c r="C49" t="inlineStr">
        <is>
          <t>AEO.2025.HIGHZTC.CNSM_NA_COMM_NA_DEE_VNTC_USA_QBTU.A</t>
        </is>
      </c>
      <c r="D49" t="inlineStr">
        <is>
          <t>quads</t>
        </is>
      </c>
      <c r="F49" t="n">
        <v>0.744661</v>
      </c>
      <c r="G49" t="n">
        <v>0.756603</v>
      </c>
      <c r="H49" t="n">
        <v>0.773226</v>
      </c>
      <c r="I49" t="n">
        <v>0.794686</v>
      </c>
      <c r="J49" t="n">
        <v>0.812654</v>
      </c>
      <c r="K49" t="n">
        <v>0.825388</v>
      </c>
      <c r="L49" t="n">
        <v>0.832556</v>
      </c>
      <c r="M49" t="n">
        <v>0.83919</v>
      </c>
      <c r="N49" t="n">
        <v>0.846238</v>
      </c>
      <c r="O49" t="n">
        <v>0.852703</v>
      </c>
      <c r="P49" t="n">
        <v>0.860542</v>
      </c>
      <c r="Q49" t="n">
        <v>0.870582</v>
      </c>
      <c r="R49" t="n">
        <v>0.882446</v>
      </c>
      <c r="S49" t="n">
        <v>0.894907</v>
      </c>
      <c r="T49" t="n">
        <v>0.906128</v>
      </c>
      <c r="U49" t="n">
        <v>0.91749</v>
      </c>
      <c r="V49" t="n">
        <v>0.928914</v>
      </c>
      <c r="W49" t="n">
        <v>0.940408</v>
      </c>
      <c r="X49" t="n">
        <v>0.951505</v>
      </c>
      <c r="Y49" t="n">
        <v>0.962645</v>
      </c>
      <c r="Z49" t="n">
        <v>0.973623</v>
      </c>
      <c r="AA49" t="n">
        <v>0.984451</v>
      </c>
      <c r="AB49" t="n">
        <v>0.995252</v>
      </c>
      <c r="AC49" t="n">
        <v>1.006035</v>
      </c>
      <c r="AD49" t="n">
        <v>1.016947</v>
      </c>
      <c r="AE49" t="n">
        <v>1.028129</v>
      </c>
      <c r="AF49" t="n">
        <v>1.039459</v>
      </c>
      <c r="AG49" s="42" t="n">
        <v>0.013</v>
      </c>
    </row>
    <row r="50">
      <c r="A50" t="inlineStr">
        <is>
          <t>Cooking</t>
        </is>
      </c>
      <c r="B50" t="inlineStr">
        <is>
          <t>Commercial: Delivered Energy Use by End Use: Cooking: High Zero-Carbon Technology Cost</t>
        </is>
      </c>
      <c r="C50" t="inlineStr">
        <is>
          <t>AEO.2025.HIGHZTC.CNSM_NA_COMM_NA_DEE_CGR_USA_QBTU.A</t>
        </is>
      </c>
      <c r="D50" t="inlineStr">
        <is>
          <t>quads</t>
        </is>
      </c>
      <c r="F50" t="n">
        <v>0.485247</v>
      </c>
      <c r="G50" t="n">
        <v>0.502799</v>
      </c>
      <c r="H50" t="n">
        <v>0.512819</v>
      </c>
      <c r="I50" t="n">
        <v>0.520016</v>
      </c>
      <c r="J50" t="n">
        <v>0.525002</v>
      </c>
      <c r="K50" t="n">
        <v>0.528629</v>
      </c>
      <c r="L50" t="n">
        <v>0.5311399999999999</v>
      </c>
      <c r="M50" t="n">
        <v>0.5339469999999999</v>
      </c>
      <c r="N50" t="n">
        <v>0.535792</v>
      </c>
      <c r="O50" t="n">
        <v>0.537361</v>
      </c>
      <c r="P50" t="n">
        <v>0.539608</v>
      </c>
      <c r="Q50" t="n">
        <v>0.543163</v>
      </c>
      <c r="R50" t="n">
        <v>0.548046</v>
      </c>
      <c r="S50" t="n">
        <v>0.553579</v>
      </c>
      <c r="T50" t="n">
        <v>0.559098</v>
      </c>
      <c r="U50" t="n">
        <v>0.564847</v>
      </c>
      <c r="V50" t="n">
        <v>0.570095</v>
      </c>
      <c r="W50" t="n">
        <v>0.574832</v>
      </c>
      <c r="X50" t="n">
        <v>0.579104</v>
      </c>
      <c r="Y50" t="n">
        <v>0.583157</v>
      </c>
      <c r="Z50" t="n">
        <v>0.587462</v>
      </c>
      <c r="AA50" t="n">
        <v>0.591781</v>
      </c>
      <c r="AB50" t="n">
        <v>0.595736</v>
      </c>
      <c r="AC50" t="n">
        <v>0.599977</v>
      </c>
      <c r="AD50" t="n">
        <v>0.604447</v>
      </c>
      <c r="AE50" t="n">
        <v>0.608689</v>
      </c>
      <c r="AF50" t="n">
        <v>0.61272</v>
      </c>
      <c r="AG50" s="42" t="n">
        <v>0.008999999999999999</v>
      </c>
    </row>
    <row r="51">
      <c r="A51" t="inlineStr">
        <is>
          <t>Lighting</t>
        </is>
      </c>
      <c r="B51" t="inlineStr">
        <is>
          <t>Commercial: Delivered Energy Use by End Use: Lighting: High Zero-Carbon Technology Cost</t>
        </is>
      </c>
      <c r="C51" t="inlineStr">
        <is>
          <t>AEO.2025.HIGHZTC.CNSM_NA_COMM_NA_DEE_LGHTNG_USA_QBTU.A</t>
        </is>
      </c>
      <c r="D51" t="inlineStr">
        <is>
          <t>quads</t>
        </is>
      </c>
      <c r="F51" t="n">
        <v>0.5756289999999999</v>
      </c>
      <c r="G51" t="n">
        <v>0.564073</v>
      </c>
      <c r="H51" t="n">
        <v>0.561419</v>
      </c>
      <c r="I51" t="n">
        <v>0.564836</v>
      </c>
      <c r="J51" t="n">
        <v>0.567739</v>
      </c>
      <c r="K51" t="n">
        <v>0.568038</v>
      </c>
      <c r="L51" t="n">
        <v>0.557796</v>
      </c>
      <c r="M51" t="n">
        <v>0.548668</v>
      </c>
      <c r="N51" t="n">
        <v>0.540723</v>
      </c>
      <c r="O51" t="n">
        <v>0.532836</v>
      </c>
      <c r="P51" t="n">
        <v>0.525787</v>
      </c>
      <c r="Q51" t="n">
        <v>0.520252</v>
      </c>
      <c r="R51" t="n">
        <v>0.516397</v>
      </c>
      <c r="S51" t="n">
        <v>0.513764</v>
      </c>
      <c r="T51" t="n">
        <v>0.5110980000000001</v>
      </c>
      <c r="U51" t="n">
        <v>0.509139</v>
      </c>
      <c r="V51" t="n">
        <v>0.506221</v>
      </c>
      <c r="W51" t="n">
        <v>0.504248</v>
      </c>
      <c r="X51" t="n">
        <v>0.502663</v>
      </c>
      <c r="Y51" t="n">
        <v>0.501633</v>
      </c>
      <c r="Z51" t="n">
        <v>0.500871</v>
      </c>
      <c r="AA51" t="n">
        <v>0.50037</v>
      </c>
      <c r="AB51" t="n">
        <v>0.500099</v>
      </c>
      <c r="AC51" t="n">
        <v>0.499308</v>
      </c>
      <c r="AD51" t="n">
        <v>0.498756</v>
      </c>
      <c r="AE51" t="n">
        <v>0.498499</v>
      </c>
      <c r="AF51" t="n">
        <v>0.498199</v>
      </c>
      <c r="AG51" s="42" t="n">
        <v>-0.006</v>
      </c>
    </row>
    <row r="52">
      <c r="A52" t="inlineStr">
        <is>
          <t>Refrigeration</t>
        </is>
      </c>
      <c r="B52" t="inlineStr">
        <is>
          <t>Commercial: Delivered Energy Use by End Use: Refrigeration: High Zero-Carbon Technology Cost</t>
        </is>
      </c>
      <c r="C52" t="inlineStr">
        <is>
          <t>AEO.2025.HIGHZTC.CNSM_NA_COMM_NA_DEE_REFR_USA_QBTU.A</t>
        </is>
      </c>
      <c r="D52" t="inlineStr">
        <is>
          <t>quads</t>
        </is>
      </c>
      <c r="F52" t="n">
        <v>0.367309</v>
      </c>
      <c r="G52" t="n">
        <v>0.368624</v>
      </c>
      <c r="H52" t="n">
        <v>0.370766</v>
      </c>
      <c r="I52" t="n">
        <v>0.374365</v>
      </c>
      <c r="J52" t="n">
        <v>0.377621</v>
      </c>
      <c r="K52" t="n">
        <v>0.380001</v>
      </c>
      <c r="L52" t="n">
        <v>0.380716</v>
      </c>
      <c r="M52" t="n">
        <v>0.381667</v>
      </c>
      <c r="N52" t="n">
        <v>0.382904</v>
      </c>
      <c r="O52" t="n">
        <v>0.384225</v>
      </c>
      <c r="P52" t="n">
        <v>0.385941</v>
      </c>
      <c r="Q52" t="n">
        <v>0.38814</v>
      </c>
      <c r="R52" t="n">
        <v>0.39069</v>
      </c>
      <c r="S52" t="n">
        <v>0.393327</v>
      </c>
      <c r="T52" t="n">
        <v>0.395723</v>
      </c>
      <c r="U52" t="n">
        <v>0.398099</v>
      </c>
      <c r="V52" t="n">
        <v>0.400438</v>
      </c>
      <c r="W52" t="n">
        <v>0.403045</v>
      </c>
      <c r="X52" t="n">
        <v>0.405577</v>
      </c>
      <c r="Y52" t="n">
        <v>0.408103</v>
      </c>
      <c r="Z52" t="n">
        <v>0.410566</v>
      </c>
      <c r="AA52" t="n">
        <v>0.412967</v>
      </c>
      <c r="AB52" t="n">
        <v>0.415333</v>
      </c>
      <c r="AC52" t="n">
        <v>0.417661</v>
      </c>
      <c r="AD52" t="n">
        <v>0.419969</v>
      </c>
      <c r="AE52" t="n">
        <v>0.422275</v>
      </c>
      <c r="AF52" t="n">
        <v>0.424554</v>
      </c>
      <c r="AG52" s="42" t="n">
        <v>0.006</v>
      </c>
    </row>
    <row r="53">
      <c r="A53" t="inlineStr">
        <is>
          <t>Computing</t>
        </is>
      </c>
      <c r="B53" t="inlineStr">
        <is>
          <t>Commercial: Delivered Energy Use by End Use: Computing: High Zero-Carbon Technology Cost</t>
        </is>
      </c>
      <c r="C53" t="inlineStr">
        <is>
          <t>AEO.2025.HIGHZTC.CNSM_NA_COMM_NA_DEE_OFEQPC_USA_QBTU.A</t>
        </is>
      </c>
      <c r="D53" t="inlineStr">
        <is>
          <t>quads</t>
        </is>
      </c>
      <c r="F53" t="n">
        <v>0.341028</v>
      </c>
      <c r="G53" t="n">
        <v>0.357353</v>
      </c>
      <c r="H53" t="n">
        <v>0.375373</v>
      </c>
      <c r="I53" t="n">
        <v>0.394874</v>
      </c>
      <c r="J53" t="n">
        <v>0.415307</v>
      </c>
      <c r="K53" t="n">
        <v>0.435397</v>
      </c>
      <c r="L53" t="n">
        <v>0.45559</v>
      </c>
      <c r="M53" t="n">
        <v>0.476515</v>
      </c>
      <c r="N53" t="n">
        <v>0.498559</v>
      </c>
      <c r="O53" t="n">
        <v>0.521742</v>
      </c>
      <c r="P53" t="n">
        <v>0.546356</v>
      </c>
      <c r="Q53" t="n">
        <v>0.572547</v>
      </c>
      <c r="R53" t="n">
        <v>0.600297</v>
      </c>
      <c r="S53" t="n">
        <v>0.630078</v>
      </c>
      <c r="T53" t="n">
        <v>0.6606030000000001</v>
      </c>
      <c r="U53" t="n">
        <v>0.692721</v>
      </c>
      <c r="V53" t="n">
        <v>0.726536</v>
      </c>
      <c r="W53" t="n">
        <v>0.76207</v>
      </c>
      <c r="X53" t="n">
        <v>0.798772</v>
      </c>
      <c r="Y53" t="n">
        <v>0.836762</v>
      </c>
      <c r="Z53" t="n">
        <v>0.876796</v>
      </c>
      <c r="AA53" t="n">
        <v>0.918226</v>
      </c>
      <c r="AB53" t="n">
        <v>0.961156</v>
      </c>
      <c r="AC53" t="n">
        <v>1.006466</v>
      </c>
      <c r="AD53" t="n">
        <v>1.053483</v>
      </c>
      <c r="AE53" t="n">
        <v>1.101443</v>
      </c>
      <c r="AF53" t="n">
        <v>1.152105</v>
      </c>
      <c r="AG53" s="42" t="n">
        <v>0.048</v>
      </c>
    </row>
    <row r="54">
      <c r="A54" t="inlineStr">
        <is>
          <t>Office Equipment</t>
        </is>
      </c>
      <c r="B54" t="inlineStr">
        <is>
          <t>Commercial: Delivered Energy Use by End Use: Office Equipment: High Zero-Carbon Technology Cost</t>
        </is>
      </c>
      <c r="C54" t="inlineStr">
        <is>
          <t>AEO.2025.HIGHZTC.CNSM_NA_COMM_NA_DEE_OFEQPNPC_USA_QBTU.A</t>
        </is>
      </c>
      <c r="D54" t="inlineStr">
        <is>
          <t>quads</t>
        </is>
      </c>
      <c r="F54" t="n">
        <v>0.043232</v>
      </c>
      <c r="G54" t="n">
        <v>0.043304</v>
      </c>
      <c r="H54" t="n">
        <v>0.043522</v>
      </c>
      <c r="I54" t="n">
        <v>0.043887</v>
      </c>
      <c r="J54" t="n">
        <v>0.044332</v>
      </c>
      <c r="K54" t="n">
        <v>0.044707</v>
      </c>
      <c r="L54" t="n">
        <v>0.045026</v>
      </c>
      <c r="M54" t="n">
        <v>0.045362</v>
      </c>
      <c r="N54" t="n">
        <v>0.045696</v>
      </c>
      <c r="O54" t="n">
        <v>0.046077</v>
      </c>
      <c r="P54" t="n">
        <v>0.046523</v>
      </c>
      <c r="Q54" t="n">
        <v>0.046986</v>
      </c>
      <c r="R54" t="n">
        <v>0.047455</v>
      </c>
      <c r="S54" t="n">
        <v>0.047915</v>
      </c>
      <c r="T54" t="n">
        <v>0.048288</v>
      </c>
      <c r="U54" t="n">
        <v>0.048647</v>
      </c>
      <c r="V54" t="n">
        <v>0.048933</v>
      </c>
      <c r="W54" t="n">
        <v>0.04908</v>
      </c>
      <c r="X54" t="n">
        <v>0.049147</v>
      </c>
      <c r="Y54" t="n">
        <v>0.04914</v>
      </c>
      <c r="Z54" t="n">
        <v>0.048991</v>
      </c>
      <c r="AA54" t="n">
        <v>0.048634</v>
      </c>
      <c r="AB54" t="n">
        <v>0.048195</v>
      </c>
      <c r="AC54" t="n">
        <v>0.047543</v>
      </c>
      <c r="AD54" t="n">
        <v>0.046675</v>
      </c>
      <c r="AE54" t="n">
        <v>0.045653</v>
      </c>
      <c r="AF54" t="n">
        <v>0.044405</v>
      </c>
      <c r="AG54" s="42" t="n">
        <v>0.001</v>
      </c>
    </row>
    <row r="55">
      <c r="A55" t="inlineStr">
        <is>
          <t>Other Uses</t>
        </is>
      </c>
      <c r="B55" t="inlineStr">
        <is>
          <t>Commercial: Delivered Energy Use by End Use: Other Uses: High Zero-Carbon Technology Cost</t>
        </is>
      </c>
      <c r="C55" t="inlineStr">
        <is>
          <t>AEO.2025.HIGHZTC.CNSM_NA_COMM_NA_DEE_OTHU_USA_QBTU.A</t>
        </is>
      </c>
      <c r="D55" t="inlineStr">
        <is>
          <t>quads</t>
        </is>
      </c>
      <c r="F55" t="n">
        <v>4.147883</v>
      </c>
      <c r="G55" t="n">
        <v>4.231525</v>
      </c>
      <c r="H55" t="n">
        <v>4.179523</v>
      </c>
      <c r="I55" t="n">
        <v>4.173097</v>
      </c>
      <c r="J55" t="n">
        <v>4.160436</v>
      </c>
      <c r="K55" t="n">
        <v>4.20934</v>
      </c>
      <c r="L55" t="n">
        <v>4.253935</v>
      </c>
      <c r="M55" t="n">
        <v>4.296864</v>
      </c>
      <c r="N55" t="n">
        <v>4.337367</v>
      </c>
      <c r="O55" t="n">
        <v>4.376558</v>
      </c>
      <c r="P55" t="n">
        <v>4.418754</v>
      </c>
      <c r="Q55" t="n">
        <v>4.465113</v>
      </c>
      <c r="R55" t="n">
        <v>4.516052</v>
      </c>
      <c r="S55" t="n">
        <v>4.568731</v>
      </c>
      <c r="T55" t="n">
        <v>4.621608</v>
      </c>
      <c r="U55" t="n">
        <v>4.676483</v>
      </c>
      <c r="V55" t="n">
        <v>4.730909</v>
      </c>
      <c r="W55" t="n">
        <v>4.78344</v>
      </c>
      <c r="X55" t="n">
        <v>4.835805</v>
      </c>
      <c r="Y55" t="n">
        <v>4.888411</v>
      </c>
      <c r="Z55" t="n">
        <v>4.942298</v>
      </c>
      <c r="AA55" t="n">
        <v>4.998072</v>
      </c>
      <c r="AB55" t="n">
        <v>5.053363</v>
      </c>
      <c r="AC55" t="n">
        <v>5.111002</v>
      </c>
      <c r="AD55" t="n">
        <v>5.170872</v>
      </c>
      <c r="AE55" t="n">
        <v>5.231041</v>
      </c>
      <c r="AF55" t="n">
        <v>5.291631</v>
      </c>
      <c r="AG55" s="42" t="n">
        <v>0.008999999999999999</v>
      </c>
    </row>
    <row r="56">
      <c r="A56" t="inlineStr">
        <is>
          <t>Gross End-use Consumption</t>
        </is>
      </c>
      <c r="B56" t="inlineStr">
        <is>
          <t>Commercial: Delivered Energy Use by End Use: Gross End-use Consumption: High Zero-Carbon Technology Cost</t>
        </is>
      </c>
      <c r="C56" t="inlineStr">
        <is>
          <t>AEO.2025.HIGHZTC.CNSM_NA_COMM_NA_DEE_NA_USA_QBTU.A</t>
        </is>
      </c>
      <c r="D56" t="inlineStr">
        <is>
          <t>quads</t>
        </is>
      </c>
      <c r="F56" t="n">
        <v>9.437585</v>
      </c>
      <c r="G56" t="n">
        <v>9.727444999999999</v>
      </c>
      <c r="H56" t="n">
        <v>9.758962</v>
      </c>
      <c r="I56" t="n">
        <v>9.832186</v>
      </c>
      <c r="J56" t="n">
        <v>9.879988000000001</v>
      </c>
      <c r="K56" t="n">
        <v>9.967677999999999</v>
      </c>
      <c r="L56" t="n">
        <v>10.024602</v>
      </c>
      <c r="M56" t="n">
        <v>10.083485</v>
      </c>
      <c r="N56" t="n">
        <v>10.137773</v>
      </c>
      <c r="O56" t="n">
        <v>10.187731</v>
      </c>
      <c r="P56" t="n">
        <v>10.249536</v>
      </c>
      <c r="Q56" t="n">
        <v>10.331735</v>
      </c>
      <c r="R56" t="n">
        <v>10.432977</v>
      </c>
      <c r="S56" t="n">
        <v>10.544087</v>
      </c>
      <c r="T56" t="n">
        <v>10.653761</v>
      </c>
      <c r="U56" t="n">
        <v>10.769613</v>
      </c>
      <c r="V56" t="n">
        <v>10.883364</v>
      </c>
      <c r="W56" t="n">
        <v>10.995106</v>
      </c>
      <c r="X56" t="n">
        <v>11.105165</v>
      </c>
      <c r="Y56" t="n">
        <v>11.216686</v>
      </c>
      <c r="Z56" t="n">
        <v>11.332975</v>
      </c>
      <c r="AA56" t="n">
        <v>11.452801</v>
      </c>
      <c r="AB56" t="n">
        <v>11.57195</v>
      </c>
      <c r="AC56" t="n">
        <v>11.696729</v>
      </c>
      <c r="AD56" t="n">
        <v>11.827118</v>
      </c>
      <c r="AE56" t="n">
        <v>11.958854</v>
      </c>
      <c r="AF56" t="n">
        <v>12.092809</v>
      </c>
      <c r="AG56" s="42" t="n">
        <v>0.01</v>
      </c>
    </row>
    <row r="57">
      <c r="A57" t="inlineStr">
        <is>
          <t>Purchased Electricity for Electric Vehicle Charging</t>
        </is>
      </c>
      <c r="B57" t="inlineStr">
        <is>
          <t>Commercial: Energy Consumption by End Use: Purchased Electricity for EV Charging: High Zero-Carbon Technology Cost</t>
        </is>
      </c>
      <c r="C57" t="inlineStr">
        <is>
          <t>AEO.2025.HIGHZTC.CNSM_NA_COMM_NA_DEE_EVCHA_USA_QBTU.A</t>
        </is>
      </c>
      <c r="D57" t="inlineStr">
        <is>
          <t>quads</t>
        </is>
      </c>
      <c r="F57" t="n">
        <v>0.018762</v>
      </c>
      <c r="G57" t="n">
        <v>0.028121</v>
      </c>
      <c r="H57" t="n">
        <v>0.042235</v>
      </c>
      <c r="I57" t="n">
        <v>0.061641</v>
      </c>
      <c r="J57" t="n">
        <v>0.08624999999999999</v>
      </c>
      <c r="K57" t="n">
        <v>0.117048</v>
      </c>
      <c r="L57" t="n">
        <v>0.159369</v>
      </c>
      <c r="M57" t="n">
        <v>0.212916</v>
      </c>
      <c r="N57" t="n">
        <v>0.284019</v>
      </c>
      <c r="O57" t="n">
        <v>0.359777</v>
      </c>
      <c r="P57" t="n">
        <v>0.434374</v>
      </c>
      <c r="Q57" t="n">
        <v>0.506031</v>
      </c>
      <c r="R57" t="n">
        <v>0.5740960000000001</v>
      </c>
      <c r="S57" t="n">
        <v>0.638567</v>
      </c>
      <c r="T57" t="n">
        <v>0.698516</v>
      </c>
      <c r="U57" t="n">
        <v>0.754337</v>
      </c>
      <c r="V57" t="n">
        <v>0.806113</v>
      </c>
      <c r="W57" t="n">
        <v>0.85333</v>
      </c>
      <c r="X57" t="n">
        <v>0.895904</v>
      </c>
      <c r="Y57" t="n">
        <v>0.9333129999999999</v>
      </c>
      <c r="Z57" t="n">
        <v>0.966346</v>
      </c>
      <c r="AA57" t="n">
        <v>0.995626</v>
      </c>
      <c r="AB57" t="n">
        <v>1.021931</v>
      </c>
      <c r="AC57" t="n">
        <v>1.045841</v>
      </c>
      <c r="AD57" t="n">
        <v>1.066279</v>
      </c>
      <c r="AE57" t="n">
        <v>1.084419</v>
      </c>
      <c r="AF57" t="n">
        <v>1.100623</v>
      </c>
      <c r="AG57" s="42" t="n">
        <v>0.17</v>
      </c>
    </row>
    <row r="58">
      <c r="A58" t="inlineStr">
        <is>
          <t>On-site Generation for Own Use</t>
        </is>
      </c>
      <c r="B58" t="inlineStr">
        <is>
          <t>Commercial: Energy Consumption by End Use: Generation for Own Use: High Zero-Carbon Technology Cost</t>
        </is>
      </c>
      <c r="C58" t="inlineStr">
        <is>
          <t>AEO.2025.HIGHZTC.GEN_NA_COMM_NA_DEE_GFO_USA_QBTU.A</t>
        </is>
      </c>
      <c r="D58" t="inlineStr">
        <is>
          <t>quads</t>
        </is>
      </c>
      <c r="F58" t="n">
        <v>0.141743</v>
      </c>
      <c r="G58" t="n">
        <v>0.158667</v>
      </c>
      <c r="H58" t="n">
        <v>0.175158</v>
      </c>
      <c r="I58" t="n">
        <v>0.182169</v>
      </c>
      <c r="J58" t="n">
        <v>0.188994</v>
      </c>
      <c r="K58" t="n">
        <v>0.198891</v>
      </c>
      <c r="L58" t="n">
        <v>0.210624</v>
      </c>
      <c r="M58" t="n">
        <v>0.225521</v>
      </c>
      <c r="N58" t="n">
        <v>0.2391</v>
      </c>
      <c r="O58" t="n">
        <v>0.255213</v>
      </c>
      <c r="P58" t="n">
        <v>0.265844</v>
      </c>
      <c r="Q58" t="n">
        <v>0.272197</v>
      </c>
      <c r="R58" t="n">
        <v>0.277639</v>
      </c>
      <c r="S58" t="n">
        <v>0.283525</v>
      </c>
      <c r="T58" t="n">
        <v>0.292406</v>
      </c>
      <c r="U58" t="n">
        <v>0.297442</v>
      </c>
      <c r="V58" t="n">
        <v>0.303134</v>
      </c>
      <c r="W58" t="n">
        <v>0.31151</v>
      </c>
      <c r="X58" t="n">
        <v>0.319694</v>
      </c>
      <c r="Y58" t="n">
        <v>0.328662</v>
      </c>
      <c r="Z58" t="n">
        <v>0.337693</v>
      </c>
      <c r="AA58" t="n">
        <v>0.347028</v>
      </c>
      <c r="AB58" t="n">
        <v>0.355497</v>
      </c>
      <c r="AC58" t="n">
        <v>0.365354</v>
      </c>
      <c r="AD58" t="n">
        <v>0.375543</v>
      </c>
      <c r="AE58" t="n">
        <v>0.385409</v>
      </c>
      <c r="AF58" t="n">
        <v>0.396175</v>
      </c>
      <c r="AG58" s="42" t="n">
        <v>0.04</v>
      </c>
    </row>
    <row r="59">
      <c r="A59" t="inlineStr">
        <is>
          <t>Delivered Energy</t>
        </is>
      </c>
      <c r="B59" t="inlineStr">
        <is>
          <t>Commercial: Energy Consumption by End Use: Delivered Energy: High Zero-Carbon Technology Cost</t>
        </is>
      </c>
      <c r="C59" t="inlineStr">
        <is>
          <t>AEO.2025.HIGHZTC.CNSM_NA_COMM_NA_DEE_NA_USA_QBTU.A</t>
        </is>
      </c>
      <c r="D59" t="inlineStr">
        <is>
          <t>quads</t>
        </is>
      </c>
      <c r="F59" t="n">
        <v>9.314603999999999</v>
      </c>
      <c r="G59" t="n">
        <v>9.596899000000001</v>
      </c>
      <c r="H59" t="n">
        <v>9.626039</v>
      </c>
      <c r="I59" t="n">
        <v>9.711658</v>
      </c>
      <c r="J59" t="n">
        <v>9.777244</v>
      </c>
      <c r="K59" t="n">
        <v>9.885835999999999</v>
      </c>
      <c r="L59" t="n">
        <v>9.973347</v>
      </c>
      <c r="M59" t="n">
        <v>10.070879</v>
      </c>
      <c r="N59" t="n">
        <v>10.182692</v>
      </c>
      <c r="O59" t="n">
        <v>10.292295</v>
      </c>
      <c r="P59" t="n">
        <v>10.418066</v>
      </c>
      <c r="Q59" t="n">
        <v>10.565568</v>
      </c>
      <c r="R59" t="n">
        <v>10.729433</v>
      </c>
      <c r="S59" t="n">
        <v>10.89913</v>
      </c>
      <c r="T59" t="n">
        <v>11.059872</v>
      </c>
      <c r="U59" t="n">
        <v>11.226509</v>
      </c>
      <c r="V59" t="n">
        <v>11.386343</v>
      </c>
      <c r="W59" t="n">
        <v>11.536926</v>
      </c>
      <c r="X59" t="n">
        <v>11.681376</v>
      </c>
      <c r="Y59" t="n">
        <v>11.821337</v>
      </c>
      <c r="Z59" t="n">
        <v>11.961628</v>
      </c>
      <c r="AA59" t="n">
        <v>12.101398</v>
      </c>
      <c r="AB59" t="n">
        <v>12.238384</v>
      </c>
      <c r="AC59" t="n">
        <v>12.377216</v>
      </c>
      <c r="AD59" t="n">
        <v>12.517853</v>
      </c>
      <c r="AE59" t="n">
        <v>12.657863</v>
      </c>
      <c r="AF59" t="n">
        <v>12.797256</v>
      </c>
      <c r="AG59" s="42" t="n">
        <v>0.012</v>
      </c>
    </row>
    <row r="60">
      <c r="A60" t="inlineStr">
        <is>
          <t>Electricity Related Losses</t>
        </is>
      </c>
      <c r="B60" t="inlineStr">
        <is>
          <t>Commercial: Electricity Related Losses: High Zero-Carbon Technology Cost</t>
        </is>
      </c>
      <c r="C60" t="inlineStr">
        <is>
          <t>AEO.2025.HIGHZTC.CNSM_NA_COMM_NA_ERL_NA_USA_QBTU.A</t>
        </is>
      </c>
      <c r="D60" t="inlineStr">
        <is>
          <t>quads</t>
        </is>
      </c>
      <c r="F60" t="n">
        <v>6.777106</v>
      </c>
      <c r="G60" t="n">
        <v>6.684136</v>
      </c>
      <c r="H60" t="n">
        <v>6.253369</v>
      </c>
      <c r="I60" t="n">
        <v>6.093877</v>
      </c>
      <c r="J60" t="n">
        <v>6.030732</v>
      </c>
      <c r="K60" t="n">
        <v>6.040976</v>
      </c>
      <c r="L60" t="n">
        <v>5.892607</v>
      </c>
      <c r="M60" t="n">
        <v>5.804432</v>
      </c>
      <c r="N60" t="n">
        <v>5.546403</v>
      </c>
      <c r="O60" t="n">
        <v>5.481199</v>
      </c>
      <c r="P60" t="n">
        <v>5.405417</v>
      </c>
      <c r="Q60" t="n">
        <v>5.296977</v>
      </c>
      <c r="R60" t="n">
        <v>5.201281</v>
      </c>
      <c r="S60" t="n">
        <v>5.053478</v>
      </c>
      <c r="T60" t="n">
        <v>5.005479</v>
      </c>
      <c r="U60" t="n">
        <v>4.813126</v>
      </c>
      <c r="V60" t="n">
        <v>4.829375</v>
      </c>
      <c r="W60" t="n">
        <v>4.918497</v>
      </c>
      <c r="X60" t="n">
        <v>5.005445</v>
      </c>
      <c r="Y60" t="n">
        <v>5.065261</v>
      </c>
      <c r="Z60" t="n">
        <v>5.131445</v>
      </c>
      <c r="AA60" t="n">
        <v>5.164556</v>
      </c>
      <c r="AB60" t="n">
        <v>5.195317</v>
      </c>
      <c r="AC60" t="n">
        <v>5.242154</v>
      </c>
      <c r="AD60" t="n">
        <v>5.302442</v>
      </c>
      <c r="AE60" t="n">
        <v>5.373029</v>
      </c>
      <c r="AF60" t="n">
        <v>5.402284</v>
      </c>
      <c r="AG60" s="42" t="n">
        <v>-0.008999999999999999</v>
      </c>
    </row>
    <row r="61">
      <c r="A61" t="inlineStr">
        <is>
          <t>Total Energy Consumption by End Use</t>
        </is>
      </c>
    </row>
    <row r="62">
      <c r="A62" t="inlineStr">
        <is>
          <t>Space Heating</t>
        </is>
      </c>
      <c r="B62" t="inlineStr">
        <is>
          <t>Commercial: Total Energy Use by End Use: Space Heating: High Zero-Carbon Technology Cost</t>
        </is>
      </c>
      <c r="C62" t="inlineStr">
        <is>
          <t>AEO.2025.HIGHZTC.CNSM_NA_COMM_NA_TEE_SPH_USA_QBTU.A</t>
        </is>
      </c>
      <c r="D62" t="inlineStr">
        <is>
          <t>quads</t>
        </is>
      </c>
      <c r="F62" t="n">
        <v>2.050678</v>
      </c>
      <c r="G62" t="n">
        <v>2.233704</v>
      </c>
      <c r="H62" t="n">
        <v>2.23661</v>
      </c>
      <c r="I62" t="n">
        <v>2.232819</v>
      </c>
      <c r="J62" t="n">
        <v>2.22263</v>
      </c>
      <c r="K62" t="n">
        <v>2.206147</v>
      </c>
      <c r="L62" t="n">
        <v>2.179727</v>
      </c>
      <c r="M62" t="n">
        <v>2.157284</v>
      </c>
      <c r="N62" t="n">
        <v>2.124557</v>
      </c>
      <c r="O62" t="n">
        <v>2.0957</v>
      </c>
      <c r="P62" t="n">
        <v>2.069406</v>
      </c>
      <c r="Q62" t="n">
        <v>2.049578</v>
      </c>
      <c r="R62" t="n">
        <v>2.035589</v>
      </c>
      <c r="S62" t="n">
        <v>2.022901</v>
      </c>
      <c r="T62" t="n">
        <v>2.013637</v>
      </c>
      <c r="U62" t="n">
        <v>2.001738</v>
      </c>
      <c r="V62" t="n">
        <v>1.9944</v>
      </c>
      <c r="W62" t="n">
        <v>1.986596</v>
      </c>
      <c r="X62" t="n">
        <v>1.977257</v>
      </c>
      <c r="Y62" t="n">
        <v>1.966503</v>
      </c>
      <c r="Z62" t="n">
        <v>1.956925</v>
      </c>
      <c r="AA62" t="n">
        <v>1.947016</v>
      </c>
      <c r="AB62" t="n">
        <v>1.935972</v>
      </c>
      <c r="AC62" t="n">
        <v>1.926361</v>
      </c>
      <c r="AD62" t="n">
        <v>1.917953</v>
      </c>
      <c r="AE62" t="n">
        <v>1.909583</v>
      </c>
      <c r="AF62" t="n">
        <v>1.899814</v>
      </c>
      <c r="AG62" s="42" t="n">
        <v>-0.003</v>
      </c>
    </row>
    <row r="63">
      <c r="A63" t="inlineStr">
        <is>
          <t>Space Cooling</t>
        </is>
      </c>
      <c r="B63" t="inlineStr">
        <is>
          <t>Commercial: Total Energy Use by End Use: Space Cooling: High Zero-Carbon Technology Cost</t>
        </is>
      </c>
      <c r="C63" t="inlineStr">
        <is>
          <t>AEO.2025.HIGHZTC.CNSM_NA_COMM_NA_TEE_SPC_USA_QBTU.A</t>
        </is>
      </c>
      <c r="D63" t="inlineStr">
        <is>
          <t>quads</t>
        </is>
      </c>
      <c r="F63" t="n">
        <v>1.381821</v>
      </c>
      <c r="G63" t="n">
        <v>1.314333</v>
      </c>
      <c r="H63" t="n">
        <v>1.294033</v>
      </c>
      <c r="I63" t="n">
        <v>1.297857</v>
      </c>
      <c r="J63" t="n">
        <v>1.306872</v>
      </c>
      <c r="K63" t="n">
        <v>1.309834</v>
      </c>
      <c r="L63" t="n">
        <v>1.291535</v>
      </c>
      <c r="M63" t="n">
        <v>1.278553</v>
      </c>
      <c r="N63" t="n">
        <v>1.245885</v>
      </c>
      <c r="O63" t="n">
        <v>1.233408</v>
      </c>
      <c r="P63" t="n">
        <v>1.222264</v>
      </c>
      <c r="Q63" t="n">
        <v>1.211373</v>
      </c>
      <c r="R63" t="n">
        <v>1.205205</v>
      </c>
      <c r="S63" t="n">
        <v>1.195097</v>
      </c>
      <c r="T63" t="n">
        <v>1.194414</v>
      </c>
      <c r="U63" t="n">
        <v>1.179938</v>
      </c>
      <c r="V63" t="n">
        <v>1.187171</v>
      </c>
      <c r="W63" t="n">
        <v>1.202587</v>
      </c>
      <c r="X63" t="n">
        <v>1.21759</v>
      </c>
      <c r="Y63" t="n">
        <v>1.230971</v>
      </c>
      <c r="Z63" t="n">
        <v>1.24522</v>
      </c>
      <c r="AA63" t="n">
        <v>1.256291</v>
      </c>
      <c r="AB63" t="n">
        <v>1.2672</v>
      </c>
      <c r="AC63" t="n">
        <v>1.279913</v>
      </c>
      <c r="AD63" t="n">
        <v>1.294379</v>
      </c>
      <c r="AE63" t="n">
        <v>1.310367</v>
      </c>
      <c r="AF63" t="n">
        <v>1.322507</v>
      </c>
      <c r="AG63" s="42" t="n">
        <v>-0.002</v>
      </c>
    </row>
    <row r="64">
      <c r="A64" t="inlineStr">
        <is>
          <t>Water Heating</t>
        </is>
      </c>
      <c r="B64" t="inlineStr">
        <is>
          <t>Commercial: Total Energy Use by End Use: Water Heating: High Zero-Carbon Technology Cost</t>
        </is>
      </c>
      <c r="C64" t="inlineStr">
        <is>
          <t>AEO.2025.HIGHZTC.CNSM_NA_COMM_NA_TEE_WTHT_USA_QBTU.A</t>
        </is>
      </c>
      <c r="D64" t="inlineStr">
        <is>
          <t>quads</t>
        </is>
      </c>
      <c r="F64" t="n">
        <v>0.451008</v>
      </c>
      <c r="G64" t="n">
        <v>0.459339</v>
      </c>
      <c r="H64" t="n">
        <v>0.461168</v>
      </c>
      <c r="I64" t="n">
        <v>0.463057</v>
      </c>
      <c r="J64" t="n">
        <v>0.464576</v>
      </c>
      <c r="K64" t="n">
        <v>0.464945</v>
      </c>
      <c r="L64" t="n">
        <v>0.462276</v>
      </c>
      <c r="M64" t="n">
        <v>0.460291</v>
      </c>
      <c r="N64" t="n">
        <v>0.45526</v>
      </c>
      <c r="O64" t="n">
        <v>0.452555</v>
      </c>
      <c r="P64" t="n">
        <v>0.450461</v>
      </c>
      <c r="Q64" t="n">
        <v>0.449225</v>
      </c>
      <c r="R64" t="n">
        <v>0.449385</v>
      </c>
      <c r="S64" t="n">
        <v>0.449668</v>
      </c>
      <c r="T64" t="n">
        <v>0.451184</v>
      </c>
      <c r="U64" t="n">
        <v>0.451543</v>
      </c>
      <c r="V64" t="n">
        <v>0.453875</v>
      </c>
      <c r="W64" t="n">
        <v>0.456513</v>
      </c>
      <c r="X64" t="n">
        <v>0.458832</v>
      </c>
      <c r="Y64" t="n">
        <v>0.460782</v>
      </c>
      <c r="Z64" t="n">
        <v>0.463019</v>
      </c>
      <c r="AA64" t="n">
        <v>0.465027</v>
      </c>
      <c r="AB64" t="n">
        <v>0.4668</v>
      </c>
      <c r="AC64" t="n">
        <v>0.46895</v>
      </c>
      <c r="AD64" t="n">
        <v>0.471413</v>
      </c>
      <c r="AE64" t="n">
        <v>0.473835</v>
      </c>
      <c r="AF64" t="n">
        <v>0.475808</v>
      </c>
      <c r="AG64" s="42" t="n">
        <v>0.002</v>
      </c>
    </row>
    <row r="65">
      <c r="A65" t="inlineStr">
        <is>
          <t>Ventilation</t>
        </is>
      </c>
      <c r="B65" t="inlineStr">
        <is>
          <t>Commercial: Total Energy Use by End Use: Ventilation: High Zero-Carbon Technology Cost</t>
        </is>
      </c>
      <c r="C65" t="inlineStr">
        <is>
          <t>AEO.2025.HIGHZTC.CNSM_NA_COMM_NA_TEE_VNTC_USA_QBTU.A</t>
        </is>
      </c>
      <c r="D65" t="inlineStr">
        <is>
          <t>quads</t>
        </is>
      </c>
      <c r="F65" t="n">
        <v>1.772406</v>
      </c>
      <c r="G65" t="n">
        <v>1.76614</v>
      </c>
      <c r="H65" t="n">
        <v>1.740031</v>
      </c>
      <c r="I65" t="n">
        <v>1.749339</v>
      </c>
      <c r="J65" t="n">
        <v>1.766192</v>
      </c>
      <c r="K65" t="n">
        <v>1.775494</v>
      </c>
      <c r="L65" t="n">
        <v>1.750602</v>
      </c>
      <c r="M65" t="n">
        <v>1.732674</v>
      </c>
      <c r="N65" t="n">
        <v>1.687071</v>
      </c>
      <c r="O65" t="n">
        <v>1.670197</v>
      </c>
      <c r="P65" t="n">
        <v>1.654535</v>
      </c>
      <c r="Q65" t="n">
        <v>1.638175</v>
      </c>
      <c r="R65" t="n">
        <v>1.627198</v>
      </c>
      <c r="S65" t="n">
        <v>1.610526</v>
      </c>
      <c r="T65" t="n">
        <v>1.607216</v>
      </c>
      <c r="U65" t="n">
        <v>1.584815</v>
      </c>
      <c r="V65" t="n">
        <v>1.592274</v>
      </c>
      <c r="W65" t="n">
        <v>1.61005</v>
      </c>
      <c r="X65" t="n">
        <v>1.627245</v>
      </c>
      <c r="Y65" t="n">
        <v>1.641109</v>
      </c>
      <c r="Z65" t="n">
        <v>1.655806</v>
      </c>
      <c r="AA65" t="n">
        <v>1.666126</v>
      </c>
      <c r="AB65" t="n">
        <v>1.676329</v>
      </c>
      <c r="AC65" t="n">
        <v>1.68868</v>
      </c>
      <c r="AD65" t="n">
        <v>1.703091</v>
      </c>
      <c r="AE65" t="n">
        <v>1.719316</v>
      </c>
      <c r="AF65" t="n">
        <v>1.730359</v>
      </c>
      <c r="AG65" s="42" t="n">
        <v>-0.001</v>
      </c>
    </row>
    <row r="66">
      <c r="A66" t="inlineStr">
        <is>
          <t>Cooking</t>
        </is>
      </c>
      <c r="B66" t="inlineStr">
        <is>
          <t>Commercial: Total Energy Use by End Use: Cooking: High Zero-Carbon Technology Cost</t>
        </is>
      </c>
      <c r="C66" t="inlineStr">
        <is>
          <t>AEO.2025.HIGHZTC.CNSM_NA_COMM_NA_TEE_CGR_USA_QBTU.A</t>
        </is>
      </c>
      <c r="D66" t="inlineStr">
        <is>
          <t>quads</t>
        </is>
      </c>
      <c r="F66" t="n">
        <v>0.601681</v>
      </c>
      <c r="G66" t="n">
        <v>0.615658</v>
      </c>
      <c r="H66" t="n">
        <v>0.619164</v>
      </c>
      <c r="I66" t="n">
        <v>0.623271</v>
      </c>
      <c r="J66" t="n">
        <v>0.626414</v>
      </c>
      <c r="K66" t="n">
        <v>0.627988</v>
      </c>
      <c r="L66" t="n">
        <v>0.62583</v>
      </c>
      <c r="M66" t="n">
        <v>0.62478</v>
      </c>
      <c r="N66" t="n">
        <v>0.620026</v>
      </c>
      <c r="O66" t="n">
        <v>0.618036</v>
      </c>
      <c r="P66" t="n">
        <v>0.616781</v>
      </c>
      <c r="Q66" t="n">
        <v>0.616629</v>
      </c>
      <c r="R66" t="n">
        <v>0.6182260000000001</v>
      </c>
      <c r="S66" t="n">
        <v>0.619953</v>
      </c>
      <c r="T66" t="n">
        <v>0.623085</v>
      </c>
      <c r="U66" t="n">
        <v>0.624758</v>
      </c>
      <c r="V66" t="n">
        <v>0.628661</v>
      </c>
      <c r="W66" t="n">
        <v>0.632974</v>
      </c>
      <c r="X66" t="n">
        <v>0.636802</v>
      </c>
      <c r="Y66" t="n">
        <v>0.6401250000000001</v>
      </c>
      <c r="Z66" t="n">
        <v>0.643775</v>
      </c>
      <c r="AA66" t="n">
        <v>0.647085</v>
      </c>
      <c r="AB66" t="n">
        <v>0.650029</v>
      </c>
      <c r="AC66" t="n">
        <v>0.653437</v>
      </c>
      <c r="AD66" t="n">
        <v>0.657227</v>
      </c>
      <c r="AE66" t="n">
        <v>0.660902</v>
      </c>
      <c r="AF66" t="n">
        <v>0.663967</v>
      </c>
      <c r="AG66" s="42" t="n">
        <v>0.004</v>
      </c>
    </row>
    <row r="67">
      <c r="A67" t="inlineStr">
        <is>
          <t>Lighting</t>
        </is>
      </c>
      <c r="B67" t="inlineStr">
        <is>
          <t>Commercial: Total Energy Use by End Use: Lighting: High Zero-Carbon Technology Cost</t>
        </is>
      </c>
      <c r="C67" t="inlineStr">
        <is>
          <t>AEO.2025.HIGHZTC.CNSM_NA_COMM_NA_TEE_LGHTNG_USA_QBTU.A</t>
        </is>
      </c>
      <c r="D67" t="inlineStr">
        <is>
          <t>quads</t>
        </is>
      </c>
      <c r="F67" t="n">
        <v>1.370086</v>
      </c>
      <c r="G67" t="n">
        <v>1.316717</v>
      </c>
      <c r="H67" t="n">
        <v>1.26339</v>
      </c>
      <c r="I67" t="n">
        <v>1.243371</v>
      </c>
      <c r="J67" t="n">
        <v>1.233902</v>
      </c>
      <c r="K67" t="n">
        <v>1.221908</v>
      </c>
      <c r="L67" t="n">
        <v>1.172867</v>
      </c>
      <c r="M67" t="n">
        <v>1.132833</v>
      </c>
      <c r="N67" t="n">
        <v>1.077994</v>
      </c>
      <c r="O67" t="n">
        <v>1.04367</v>
      </c>
      <c r="P67" t="n">
        <v>1.010913</v>
      </c>
      <c r="Q67" t="n">
        <v>0.978958</v>
      </c>
      <c r="R67" t="n">
        <v>0.952216</v>
      </c>
      <c r="S67" t="n">
        <v>0.9246</v>
      </c>
      <c r="T67" t="n">
        <v>0.906543</v>
      </c>
      <c r="U67" t="n">
        <v>0.879455</v>
      </c>
      <c r="V67" t="n">
        <v>0.867725</v>
      </c>
      <c r="W67" t="n">
        <v>0.8633110000000001</v>
      </c>
      <c r="X67" t="n">
        <v>0.859644</v>
      </c>
      <c r="Y67" t="n">
        <v>0.855179</v>
      </c>
      <c r="Z67" t="n">
        <v>0.851814</v>
      </c>
      <c r="AA67" t="n">
        <v>0.846846</v>
      </c>
      <c r="AB67" t="n">
        <v>0.84233</v>
      </c>
      <c r="AC67" t="n">
        <v>0.838114</v>
      </c>
      <c r="AD67" t="n">
        <v>0.835271</v>
      </c>
      <c r="AE67" t="n">
        <v>0.833629</v>
      </c>
      <c r="AF67" t="n">
        <v>0.82934</v>
      </c>
      <c r="AG67" s="42" t="n">
        <v>-0.019</v>
      </c>
    </row>
    <row r="68">
      <c r="A68" t="inlineStr">
        <is>
          <t>Refrigeration</t>
        </is>
      </c>
      <c r="B68" t="inlineStr">
        <is>
          <t>Commercial: Total Energy Use by End Use: Refrigeration: High Zero-Carbon Technology Cost</t>
        </is>
      </c>
      <c r="C68" t="inlineStr">
        <is>
          <t>AEO.2025.HIGHZTC.CNSM_NA_COMM_NA_TEE_REFR_USA_QBTU.A</t>
        </is>
      </c>
      <c r="D68" t="inlineStr">
        <is>
          <t>quads</t>
        </is>
      </c>
      <c r="F68" t="n">
        <v>0.874252</v>
      </c>
      <c r="G68" t="n">
        <v>0.86048</v>
      </c>
      <c r="H68" t="n">
        <v>0.834356</v>
      </c>
      <c r="I68" t="n">
        <v>0.824088</v>
      </c>
      <c r="J68" t="n">
        <v>0.820707</v>
      </c>
      <c r="K68" t="n">
        <v>0.817421</v>
      </c>
      <c r="L68" t="n">
        <v>0.800525</v>
      </c>
      <c r="M68" t="n">
        <v>0.788026</v>
      </c>
      <c r="N68" t="n">
        <v>0.763362</v>
      </c>
      <c r="O68" t="n">
        <v>0.752586</v>
      </c>
      <c r="P68" t="n">
        <v>0.742035</v>
      </c>
      <c r="Q68" t="n">
        <v>0.730364</v>
      </c>
      <c r="R68" t="n">
        <v>0.720418</v>
      </c>
      <c r="S68" t="n">
        <v>0.707854</v>
      </c>
      <c r="T68" t="n">
        <v>0.701901</v>
      </c>
      <c r="U68" t="n">
        <v>0.687652</v>
      </c>
      <c r="V68" t="n">
        <v>0.686401</v>
      </c>
      <c r="W68" t="n">
        <v>0.690044</v>
      </c>
      <c r="X68" t="n">
        <v>0.6936099999999999</v>
      </c>
      <c r="Y68" t="n">
        <v>0.69573</v>
      </c>
      <c r="Z68" t="n">
        <v>0.6982350000000001</v>
      </c>
      <c r="AA68" t="n">
        <v>0.698922</v>
      </c>
      <c r="AB68" t="n">
        <v>0.699556</v>
      </c>
      <c r="AC68" t="n">
        <v>0.701065</v>
      </c>
      <c r="AD68" t="n">
        <v>0.703325</v>
      </c>
      <c r="AE68" t="n">
        <v>0.70616</v>
      </c>
      <c r="AF68" t="n">
        <v>0.706743</v>
      </c>
      <c r="AG68" s="42" t="n">
        <v>-0.008</v>
      </c>
    </row>
    <row r="69">
      <c r="A69" t="inlineStr">
        <is>
          <t>Computing</t>
        </is>
      </c>
      <c r="B69" t="inlineStr">
        <is>
          <t>Commercial: Total Energy Use by End Use: Computing: High Zero-Carbon Technology Cost</t>
        </is>
      </c>
      <c r="C69" t="inlineStr">
        <is>
          <t>AEO.2025.HIGHZTC.CNSM_NA_COMM_NA_TEE_OFEQPC_USA_QBTU.A</t>
        </is>
      </c>
      <c r="D69" t="inlineStr">
        <is>
          <t>quads</t>
        </is>
      </c>
      <c r="F69" t="n">
        <v>0.811698</v>
      </c>
      <c r="G69" t="n">
        <v>0.834171</v>
      </c>
      <c r="H69" t="n">
        <v>0.844722</v>
      </c>
      <c r="I69" t="n">
        <v>0.869234</v>
      </c>
      <c r="J69" t="n">
        <v>0.902613</v>
      </c>
      <c r="K69" t="n">
        <v>0.936584</v>
      </c>
      <c r="L69" t="n">
        <v>0.957962</v>
      </c>
      <c r="M69" t="n">
        <v>0.983859</v>
      </c>
      <c r="N69" t="n">
        <v>0.993933</v>
      </c>
      <c r="O69" t="n">
        <v>1.02194</v>
      </c>
      <c r="P69" t="n">
        <v>1.05046</v>
      </c>
      <c r="Q69" t="n">
        <v>1.077362</v>
      </c>
      <c r="R69" t="n">
        <v>1.106925</v>
      </c>
      <c r="S69" t="n">
        <v>1.133924</v>
      </c>
      <c r="T69" t="n">
        <v>1.171724</v>
      </c>
      <c r="U69" t="n">
        <v>1.196563</v>
      </c>
      <c r="V69" t="n">
        <v>1.245374</v>
      </c>
      <c r="W69" t="n">
        <v>1.304722</v>
      </c>
      <c r="X69" t="n">
        <v>1.366045</v>
      </c>
      <c r="Y69" t="n">
        <v>1.426504</v>
      </c>
      <c r="Z69" t="n">
        <v>1.491137</v>
      </c>
      <c r="AA69" t="n">
        <v>1.554044</v>
      </c>
      <c r="AB69" t="n">
        <v>1.6189</v>
      </c>
      <c r="AC69" t="n">
        <v>1.689404</v>
      </c>
      <c r="AD69" t="n">
        <v>1.764277</v>
      </c>
      <c r="AE69" t="n">
        <v>1.841917</v>
      </c>
      <c r="AF69" t="n">
        <v>1.917879</v>
      </c>
      <c r="AG69" s="42" t="n">
        <v>0.034</v>
      </c>
    </row>
    <row r="70">
      <c r="A70" t="inlineStr">
        <is>
          <t>Office Equipment</t>
        </is>
      </c>
      <c r="B70" t="inlineStr">
        <is>
          <t>Commercial: Total Energy Use by End Use: Office Equipment: High Zero-Carbon Technology Cost</t>
        </is>
      </c>
      <c r="C70" t="inlineStr">
        <is>
          <t>AEO.2025.HIGHZTC.CNSM_NA_COMM_NA_TEE_OFEQPNPC_USA_QBTU.A</t>
        </is>
      </c>
      <c r="D70" t="inlineStr">
        <is>
          <t>quads</t>
        </is>
      </c>
      <c r="F70" t="n">
        <v>0.1029</v>
      </c>
      <c r="G70" t="n">
        <v>0.101085</v>
      </c>
      <c r="H70" t="n">
        <v>0.09794</v>
      </c>
      <c r="I70" t="n">
        <v>0.096608</v>
      </c>
      <c r="J70" t="n">
        <v>0.09635000000000001</v>
      </c>
      <c r="K70" t="n">
        <v>0.09617000000000001</v>
      </c>
      <c r="L70" t="n">
        <v>0.094675</v>
      </c>
      <c r="M70" t="n">
        <v>0.09365900000000001</v>
      </c>
      <c r="N70" t="n">
        <v>0.091101</v>
      </c>
      <c r="O70" t="n">
        <v>0.090251</v>
      </c>
      <c r="P70" t="n">
        <v>0.089448</v>
      </c>
      <c r="Q70" t="n">
        <v>0.08841300000000001</v>
      </c>
      <c r="R70" t="n">
        <v>0.087506</v>
      </c>
      <c r="S70" t="n">
        <v>0.086231</v>
      </c>
      <c r="T70" t="n">
        <v>0.085649</v>
      </c>
      <c r="U70" t="n">
        <v>0.08402999999999999</v>
      </c>
      <c r="V70" t="n">
        <v>0.08387799999999999</v>
      </c>
      <c r="W70" t="n">
        <v>0.08402800000000001</v>
      </c>
      <c r="X70" t="n">
        <v>0.084051</v>
      </c>
      <c r="Y70" t="n">
        <v>0.083773</v>
      </c>
      <c r="Z70" t="n">
        <v>0.083317</v>
      </c>
      <c r="AA70" t="n">
        <v>0.08230999999999999</v>
      </c>
      <c r="AB70" t="n">
        <v>0.081175</v>
      </c>
      <c r="AC70" t="n">
        <v>0.079803</v>
      </c>
      <c r="AD70" t="n">
        <v>0.078167</v>
      </c>
      <c r="AE70" t="n">
        <v>0.076344</v>
      </c>
      <c r="AF70" t="n">
        <v>0.07392</v>
      </c>
      <c r="AG70" s="42" t="n">
        <v>-0.013</v>
      </c>
    </row>
    <row r="71">
      <c r="A71" t="inlineStr">
        <is>
          <t>Other Uses</t>
        </is>
      </c>
      <c r="B71" t="inlineStr">
        <is>
          <t>Commercial: Total Energy Use by End Use: Other Uses: High Zero-Carbon Technology Cost</t>
        </is>
      </c>
      <c r="C71" t="inlineStr">
        <is>
          <t>AEO.2025.HIGHZTC.CNSM_NA_COMM_NA_TEE_OTHU_USA_QBTU.A</t>
        </is>
      </c>
      <c r="D71" t="inlineStr">
        <is>
          <t>quads</t>
        </is>
      </c>
      <c r="F71" t="n">
        <v>6.771493</v>
      </c>
      <c r="G71" t="n">
        <v>6.871196</v>
      </c>
      <c r="H71" t="n">
        <v>6.566175</v>
      </c>
      <c r="I71" t="n">
        <v>6.449575</v>
      </c>
      <c r="J71" t="n">
        <v>6.365326</v>
      </c>
      <c r="K71" t="n">
        <v>6.411992</v>
      </c>
      <c r="L71" t="n">
        <v>6.398026</v>
      </c>
      <c r="M71" t="n">
        <v>6.39905</v>
      </c>
      <c r="N71" t="n">
        <v>6.329408</v>
      </c>
      <c r="O71" t="n">
        <v>6.328351</v>
      </c>
      <c r="P71" t="n">
        <v>6.327124</v>
      </c>
      <c r="Q71" t="n">
        <v>6.319124</v>
      </c>
      <c r="R71" t="n">
        <v>6.3216</v>
      </c>
      <c r="S71" t="n">
        <v>6.309186</v>
      </c>
      <c r="T71" t="n">
        <v>6.334388</v>
      </c>
      <c r="U71" t="n">
        <v>6.314053</v>
      </c>
      <c r="V71" t="n">
        <v>6.366209</v>
      </c>
      <c r="W71" t="n">
        <v>6.44191</v>
      </c>
      <c r="X71" t="n">
        <v>6.51811</v>
      </c>
      <c r="Y71" t="n">
        <v>6.586669</v>
      </c>
      <c r="Z71" t="n">
        <v>6.659758</v>
      </c>
      <c r="AA71" t="n">
        <v>6.724789</v>
      </c>
      <c r="AB71" t="n">
        <v>6.789255</v>
      </c>
      <c r="AC71" t="n">
        <v>6.862036</v>
      </c>
      <c r="AD71" t="n">
        <v>6.942509</v>
      </c>
      <c r="AE71" t="n">
        <v>7.02729</v>
      </c>
      <c r="AF71" t="n">
        <v>7.099048</v>
      </c>
      <c r="AG71" s="42" t="n">
        <v>0.002</v>
      </c>
    </row>
    <row r="72">
      <c r="A72" t="inlineStr">
        <is>
          <t>Total Gross End-use Consumption</t>
        </is>
      </c>
      <c r="B72" t="inlineStr">
        <is>
          <t>Commercial: Total Energy Use by End Use: Total Gross End-use Consumption: High Zero-Carbon Technology Cost</t>
        </is>
      </c>
      <c r="C72" t="inlineStr">
        <is>
          <t>AEO.2025.HIGHZTC.CNSM_NA_COMM_NA_TEE_NA_USA_QBTU.A</t>
        </is>
      </c>
      <c r="D72" t="inlineStr">
        <is>
          <t>quads</t>
        </is>
      </c>
      <c r="F72" t="n">
        <v>16.188023</v>
      </c>
      <c r="G72" t="n">
        <v>16.372822</v>
      </c>
      <c r="H72" t="n">
        <v>15.957589</v>
      </c>
      <c r="I72" t="n">
        <v>15.849218</v>
      </c>
      <c r="J72" t="n">
        <v>15.805582</v>
      </c>
      <c r="K72" t="n">
        <v>15.868482</v>
      </c>
      <c r="L72" t="n">
        <v>15.734024</v>
      </c>
      <c r="M72" t="n">
        <v>15.651011</v>
      </c>
      <c r="N72" t="n">
        <v>15.388597</v>
      </c>
      <c r="O72" t="n">
        <v>15.306694</v>
      </c>
      <c r="P72" t="n">
        <v>15.233425</v>
      </c>
      <c r="Q72" t="n">
        <v>15.159203</v>
      </c>
      <c r="R72" t="n">
        <v>15.124268</v>
      </c>
      <c r="S72" t="n">
        <v>15.059938</v>
      </c>
      <c r="T72" t="n">
        <v>15.08974</v>
      </c>
      <c r="U72" t="n">
        <v>15.004543</v>
      </c>
      <c r="V72" t="n">
        <v>15.105967</v>
      </c>
      <c r="W72" t="n">
        <v>15.272736</v>
      </c>
      <c r="X72" t="n">
        <v>15.439186</v>
      </c>
      <c r="Y72" t="n">
        <v>15.587345</v>
      </c>
      <c r="Z72" t="n">
        <v>15.749004</v>
      </c>
      <c r="AA72" t="n">
        <v>15.888456</v>
      </c>
      <c r="AB72" t="n">
        <v>16.027546</v>
      </c>
      <c r="AC72" t="n">
        <v>16.187763</v>
      </c>
      <c r="AD72" t="n">
        <v>16.367611</v>
      </c>
      <c r="AE72" t="n">
        <v>16.559345</v>
      </c>
      <c r="AF72" t="n">
        <v>16.719385</v>
      </c>
      <c r="AG72" s="42" t="n">
        <v>0.001</v>
      </c>
    </row>
    <row r="73">
      <c r="A73" t="inlineStr">
        <is>
          <t>Purchased Electricity for Electric Vehicle Charging</t>
        </is>
      </c>
      <c r="B73" t="inlineStr">
        <is>
          <t>Commercial: Total Energy Use by End Use: Purchased Electricity for EV Charging: High Zero-Carbon Technology Cost</t>
        </is>
      </c>
      <c r="C73" t="inlineStr">
        <is>
          <t>AEO.2025.HIGHZTC.GEN_GFO_COMM_NA_TEE_NA_USA_QBTU.A</t>
        </is>
      </c>
      <c r="D73" t="inlineStr">
        <is>
          <t>quads</t>
        </is>
      </c>
      <c r="F73" t="n">
        <v>0.045429</v>
      </c>
      <c r="G73" t="n">
        <v>0.06687700000000001</v>
      </c>
      <c r="H73" t="n">
        <v>0.09697699999999999</v>
      </c>
      <c r="I73" t="n">
        <v>0.138486</v>
      </c>
      <c r="J73" t="n">
        <v>0.191387</v>
      </c>
      <c r="K73" t="n">
        <v>0.257221</v>
      </c>
      <c r="L73" t="n">
        <v>0.342553</v>
      </c>
      <c r="M73" t="n">
        <v>0.449824</v>
      </c>
      <c r="N73" t="n">
        <v>0.5795979999999999</v>
      </c>
      <c r="O73" t="n">
        <v>0.722013</v>
      </c>
      <c r="P73" t="n">
        <v>0.8559020000000001</v>
      </c>
      <c r="Q73" t="n">
        <v>0.97554</v>
      </c>
      <c r="R73" t="n">
        <v>1.084083</v>
      </c>
      <c r="S73" t="n">
        <v>1.176193</v>
      </c>
      <c r="T73" t="n">
        <v>1.268015</v>
      </c>
      <c r="U73" t="n">
        <v>1.332532</v>
      </c>
      <c r="V73" t="n">
        <v>1.412885</v>
      </c>
      <c r="W73" t="n">
        <v>1.494198</v>
      </c>
      <c r="X73" t="n">
        <v>1.56733</v>
      </c>
      <c r="Y73" t="n">
        <v>1.627916</v>
      </c>
      <c r="Z73" t="n">
        <v>1.681762</v>
      </c>
      <c r="AA73" t="n">
        <v>1.724526</v>
      </c>
      <c r="AB73" t="n">
        <v>1.761653</v>
      </c>
      <c r="AC73" t="n">
        <v>1.79696</v>
      </c>
      <c r="AD73" t="n">
        <v>1.828227</v>
      </c>
      <c r="AE73" t="n">
        <v>1.856957</v>
      </c>
      <c r="AF73" t="n">
        <v>1.876329</v>
      </c>
      <c r="AG73" s="42" t="n">
        <v>0.154</v>
      </c>
    </row>
    <row r="74">
      <c r="A74" t="inlineStr">
        <is>
          <t>On-site Generation for Own Use</t>
        </is>
      </c>
      <c r="B74" t="inlineStr">
        <is>
          <t>Commercial: Total Energy Use by End Use: Generation for Own Use: High Zero-Carbon Technology Cost</t>
        </is>
      </c>
      <c r="C74" t="inlineStr">
        <is>
          <t>AEO.2025.HIGHZTC.GEN_GFO_COMM_NA_TEE_NA_USA_QBTU.A</t>
        </is>
      </c>
      <c r="D74" t="inlineStr">
        <is>
          <t>quads</t>
        </is>
      </c>
      <c r="F74" t="n">
        <v>0.141743</v>
      </c>
      <c r="G74" t="n">
        <v>0.158667</v>
      </c>
      <c r="H74" t="n">
        <v>0.175158</v>
      </c>
      <c r="I74" t="n">
        <v>0.182169</v>
      </c>
      <c r="J74" t="n">
        <v>0.188994</v>
      </c>
      <c r="K74" t="n">
        <v>0.198891</v>
      </c>
      <c r="L74" t="n">
        <v>0.210624</v>
      </c>
      <c r="M74" t="n">
        <v>0.225521</v>
      </c>
      <c r="N74" t="n">
        <v>0.2391</v>
      </c>
      <c r="O74" t="n">
        <v>0.255213</v>
      </c>
      <c r="P74" t="n">
        <v>0.265844</v>
      </c>
      <c r="Q74" t="n">
        <v>0.272197</v>
      </c>
      <c r="R74" t="n">
        <v>0.277639</v>
      </c>
      <c r="S74" t="n">
        <v>0.283525</v>
      </c>
      <c r="T74" t="n">
        <v>0.292406</v>
      </c>
      <c r="U74" t="n">
        <v>0.297442</v>
      </c>
      <c r="V74" t="n">
        <v>0.303134</v>
      </c>
      <c r="W74" t="n">
        <v>0.31151</v>
      </c>
      <c r="X74" t="n">
        <v>0.319694</v>
      </c>
      <c r="Y74" t="n">
        <v>0.328662</v>
      </c>
      <c r="Z74" t="n">
        <v>0.337693</v>
      </c>
      <c r="AA74" t="n">
        <v>0.347028</v>
      </c>
      <c r="AB74" t="n">
        <v>0.355497</v>
      </c>
      <c r="AC74" t="n">
        <v>0.365354</v>
      </c>
      <c r="AD74" t="n">
        <v>0.375543</v>
      </c>
      <c r="AE74" t="n">
        <v>0.385409</v>
      </c>
      <c r="AF74" t="n">
        <v>0.396175</v>
      </c>
      <c r="AG74" s="42" t="n">
        <v>0.04</v>
      </c>
    </row>
    <row r="75">
      <c r="A75" t="inlineStr">
        <is>
          <t>Total Energy</t>
        </is>
      </c>
      <c r="B75" t="inlineStr">
        <is>
          <t>Commercial: Total Energy Use by End Use: Total Net Own-use Generation: High Zero-Carbon Technology Cost</t>
        </is>
      </c>
      <c r="C75" t="inlineStr">
        <is>
          <t>AEO.2025.HIGHZTC.GEN_GFO_COMM_NA_TEE_TOT_USA_QBTU.A</t>
        </is>
      </c>
      <c r="D75" t="inlineStr">
        <is>
          <t>quads</t>
        </is>
      </c>
      <c r="F75" t="n">
        <v>16.091709</v>
      </c>
      <c r="G75" t="n">
        <v>16.281033</v>
      </c>
      <c r="H75" t="n">
        <v>15.879408</v>
      </c>
      <c r="I75" t="n">
        <v>15.805535</v>
      </c>
      <c r="J75" t="n">
        <v>15.807975</v>
      </c>
      <c r="K75" t="n">
        <v>15.926811</v>
      </c>
      <c r="L75" t="n">
        <v>15.865954</v>
      </c>
      <c r="M75" t="n">
        <v>15.875313</v>
      </c>
      <c r="N75" t="n">
        <v>15.729095</v>
      </c>
      <c r="O75" t="n">
        <v>15.773493</v>
      </c>
      <c r="P75" t="n">
        <v>15.823483</v>
      </c>
      <c r="Q75" t="n">
        <v>15.862545</v>
      </c>
      <c r="R75" t="n">
        <v>15.930712</v>
      </c>
      <c r="S75" t="n">
        <v>15.952607</v>
      </c>
      <c r="T75" t="n">
        <v>16.065348</v>
      </c>
      <c r="U75" t="n">
        <v>16.039635</v>
      </c>
      <c r="V75" t="n">
        <v>16.215719</v>
      </c>
      <c r="W75" t="n">
        <v>16.455423</v>
      </c>
      <c r="X75" t="n">
        <v>16.686821</v>
      </c>
      <c r="Y75" t="n">
        <v>16.886599</v>
      </c>
      <c r="Z75" t="n">
        <v>17.093075</v>
      </c>
      <c r="AA75" t="n">
        <v>17.265953</v>
      </c>
      <c r="AB75" t="n">
        <v>17.433702</v>
      </c>
      <c r="AC75" t="n">
        <v>17.61937</v>
      </c>
      <c r="AD75" t="n">
        <v>17.820293</v>
      </c>
      <c r="AE75" t="n">
        <v>18.030891</v>
      </c>
      <c r="AF75" t="n">
        <v>18.199539</v>
      </c>
      <c r="AG75" s="42" t="n">
        <v>0.005</v>
      </c>
    </row>
    <row r="76">
      <c r="A76" t="inlineStr">
        <is>
          <t>Nonmarketed Renewable Fuels</t>
        </is>
      </c>
    </row>
    <row r="77">
      <c r="A77" t="inlineStr">
        <is>
          <t>Solar Thermal</t>
        </is>
      </c>
      <c r="B77" t="inlineStr">
        <is>
          <t>Commercial: Nonmarketed Renewable Fuels: Solar Thermal: High Zero-Carbon Technology Cost</t>
        </is>
      </c>
      <c r="C77" t="inlineStr">
        <is>
          <t>AEO.2025.HIGHZTC.CNSM_NA_COMM_NA_NRF_SOTH_USA_QBTU.A</t>
        </is>
      </c>
      <c r="D77" t="inlineStr">
        <is>
          <t>quads</t>
        </is>
      </c>
      <c r="F77" t="n">
        <v>0.06597</v>
      </c>
      <c r="G77" t="n">
        <v>0.063523</v>
      </c>
      <c r="H77" t="n">
        <v>0.063384</v>
      </c>
      <c r="I77" t="n">
        <v>0.062599</v>
      </c>
      <c r="J77" t="n">
        <v>0.061945</v>
      </c>
      <c r="K77" t="n">
        <v>0.061423</v>
      </c>
      <c r="L77" t="n">
        <v>0.061378</v>
      </c>
      <c r="M77" t="n">
        <v>0.060735</v>
      </c>
      <c r="N77" t="n">
        <v>0.060531</v>
      </c>
      <c r="O77" t="n">
        <v>0.05826</v>
      </c>
      <c r="P77" t="n">
        <v>0.058207</v>
      </c>
      <c r="Q77" t="n">
        <v>0.058237</v>
      </c>
      <c r="R77" t="n">
        <v>0.05822</v>
      </c>
      <c r="S77" t="n">
        <v>0.058091</v>
      </c>
      <c r="T77" t="n">
        <v>0.057848</v>
      </c>
      <c r="U77" t="n">
        <v>0.057545</v>
      </c>
      <c r="V77" t="n">
        <v>0.056179</v>
      </c>
      <c r="W77" t="n">
        <v>0.05599</v>
      </c>
      <c r="X77" t="n">
        <v>0.055925</v>
      </c>
      <c r="Y77" t="n">
        <v>0.055866</v>
      </c>
      <c r="Z77" t="n">
        <v>0.055858</v>
      </c>
      <c r="AA77" t="n">
        <v>0.055775</v>
      </c>
      <c r="AB77" t="n">
        <v>0.055778</v>
      </c>
      <c r="AC77" t="n">
        <v>0.055605</v>
      </c>
      <c r="AD77" t="n">
        <v>0.055572</v>
      </c>
      <c r="AE77" t="n">
        <v>0.055527</v>
      </c>
      <c r="AF77" t="n">
        <v>0.05545</v>
      </c>
      <c r="AG77" s="42" t="n">
        <v>-0.007</v>
      </c>
    </row>
    <row r="78">
      <c r="A78" t="inlineStr">
        <is>
          <t>Solar Photovoltaic</t>
        </is>
      </c>
      <c r="B78" t="inlineStr">
        <is>
          <t>Commercial: Nonmarketed Renewable Fuels: Solar Photovoltaic: High Zero-Carbon Technology Cost</t>
        </is>
      </c>
      <c r="C78" t="inlineStr">
        <is>
          <t>AEO.2025.HIGHZTC.CNSM_NA_COMM_NA_NRF_SOPH_USA_QBTU.A</t>
        </is>
      </c>
      <c r="D78" t="inlineStr">
        <is>
          <t>quads</t>
        </is>
      </c>
      <c r="F78" t="n">
        <v>0.139688</v>
      </c>
      <c r="G78" t="n">
        <v>0.156569</v>
      </c>
      <c r="H78" t="n">
        <v>0.173044</v>
      </c>
      <c r="I78" t="n">
        <v>0.180036</v>
      </c>
      <c r="J78" t="n">
        <v>0.186819</v>
      </c>
      <c r="K78" t="n">
        <v>0.196667</v>
      </c>
      <c r="L78" t="n">
        <v>0.208341</v>
      </c>
      <c r="M78" t="n">
        <v>0.223166</v>
      </c>
      <c r="N78" t="n">
        <v>0.2367</v>
      </c>
      <c r="O78" t="n">
        <v>0.252736</v>
      </c>
      <c r="P78" t="n">
        <v>0.263313</v>
      </c>
      <c r="Q78" t="n">
        <v>0.269636</v>
      </c>
      <c r="R78" t="n">
        <v>0.275047</v>
      </c>
      <c r="S78" t="n">
        <v>0.280907</v>
      </c>
      <c r="T78" t="n">
        <v>0.289735</v>
      </c>
      <c r="U78" t="n">
        <v>0.29475</v>
      </c>
      <c r="V78" t="n">
        <v>0.300421</v>
      </c>
      <c r="W78" t="n">
        <v>0.308763</v>
      </c>
      <c r="X78" t="n">
        <v>0.316904</v>
      </c>
      <c r="Y78" t="n">
        <v>0.325831</v>
      </c>
      <c r="Z78" t="n">
        <v>0.334814</v>
      </c>
      <c r="AA78" t="n">
        <v>0.34411</v>
      </c>
      <c r="AB78" t="n">
        <v>0.352546</v>
      </c>
      <c r="AC78" t="n">
        <v>0.362357</v>
      </c>
      <c r="AD78" t="n">
        <v>0.372492</v>
      </c>
      <c r="AE78" t="n">
        <v>0.382311</v>
      </c>
      <c r="AF78" t="n">
        <v>0.393028</v>
      </c>
      <c r="AG78" s="42" t="n">
        <v>0.041</v>
      </c>
    </row>
    <row r="79">
      <c r="A79" t="inlineStr">
        <is>
          <t>Wind</t>
        </is>
      </c>
      <c r="B79" t="inlineStr">
        <is>
          <t>Commercial: Nonmarketed Renewable Fuels: Wind: High Zero-Carbon Technology Cost</t>
        </is>
      </c>
      <c r="C79" t="inlineStr">
        <is>
          <t>AEO.2025.HIGHZTC.CNSM_NA_COMM_NA_NRF_WND_USA_QBTU.A</t>
        </is>
      </c>
      <c r="D79" t="inlineStr">
        <is>
          <t>quads</t>
        </is>
      </c>
      <c r="F79" t="n">
        <v>0.002529</v>
      </c>
      <c r="G79" t="n">
        <v>0.002531</v>
      </c>
      <c r="H79" t="n">
        <v>0.00253</v>
      </c>
      <c r="I79" t="n">
        <v>0.00253</v>
      </c>
      <c r="J79" t="n">
        <v>0.00253</v>
      </c>
      <c r="K79" t="n">
        <v>0.002536</v>
      </c>
      <c r="L79" t="n">
        <v>0.002542</v>
      </c>
      <c r="M79" t="n">
        <v>0.002549</v>
      </c>
      <c r="N79" t="n">
        <v>0.00256</v>
      </c>
      <c r="O79" t="n">
        <v>0.002576</v>
      </c>
      <c r="P79" t="n">
        <v>0.002582</v>
      </c>
      <c r="Q79" t="n">
        <v>0.002583</v>
      </c>
      <c r="R79" t="n">
        <v>0.002584</v>
      </c>
      <c r="S79" t="n">
        <v>0.002585</v>
      </c>
      <c r="T79" t="n">
        <v>0.002588</v>
      </c>
      <c r="U79" t="n">
        <v>0.00259</v>
      </c>
      <c r="V79" t="n">
        <v>0.002593</v>
      </c>
      <c r="W79" t="n">
        <v>0.002597</v>
      </c>
      <c r="X79" t="n">
        <v>0.0026</v>
      </c>
      <c r="Y79" t="n">
        <v>0.002602</v>
      </c>
      <c r="Z79" t="n">
        <v>0.002606</v>
      </c>
      <c r="AA79" t="n">
        <v>0.002611</v>
      </c>
      <c r="AB79" t="n">
        <v>0.002614</v>
      </c>
      <c r="AC79" t="n">
        <v>0.002618</v>
      </c>
      <c r="AD79" t="n">
        <v>0.002622</v>
      </c>
      <c r="AE79" t="n">
        <v>0.002626</v>
      </c>
      <c r="AF79" t="n">
        <v>0.002632</v>
      </c>
      <c r="AG79" s="42" t="n">
        <v>0.002</v>
      </c>
    </row>
    <row r="80">
      <c r="A80" t="inlineStr">
        <is>
          <t>Total</t>
        </is>
      </c>
      <c r="B80" t="inlineStr">
        <is>
          <t>Commercial: Nonmarketed Renewable Fuels: Total: High Zero-Carbon Technology Cost</t>
        </is>
      </c>
      <c r="C80" t="inlineStr">
        <is>
          <t>AEO.2025.HIGHZTC.CNSM_NA_COMM_NA_NRF_TOT_USA_QBTU.A</t>
        </is>
      </c>
      <c r="D80" t="inlineStr">
        <is>
          <t>quads</t>
        </is>
      </c>
      <c r="F80" t="n">
        <v>0.208187</v>
      </c>
      <c r="G80" t="n">
        <v>0.222623</v>
      </c>
      <c r="H80" t="n">
        <v>0.238958</v>
      </c>
      <c r="I80" t="n">
        <v>0.245164</v>
      </c>
      <c r="J80" t="n">
        <v>0.251295</v>
      </c>
      <c r="K80" t="n">
        <v>0.260626</v>
      </c>
      <c r="L80" t="n">
        <v>0.272261</v>
      </c>
      <c r="M80" t="n">
        <v>0.286451</v>
      </c>
      <c r="N80" t="n">
        <v>0.299791</v>
      </c>
      <c r="O80" t="n">
        <v>0.313572</v>
      </c>
      <c r="P80" t="n">
        <v>0.324101</v>
      </c>
      <c r="Q80" t="n">
        <v>0.330456</v>
      </c>
      <c r="R80" t="n">
        <v>0.335851</v>
      </c>
      <c r="S80" t="n">
        <v>0.341582</v>
      </c>
      <c r="T80" t="n">
        <v>0.35017</v>
      </c>
      <c r="U80" t="n">
        <v>0.354886</v>
      </c>
      <c r="V80" t="n">
        <v>0.359193</v>
      </c>
      <c r="W80" t="n">
        <v>0.36735</v>
      </c>
      <c r="X80" t="n">
        <v>0.375429</v>
      </c>
      <c r="Y80" t="n">
        <v>0.384299</v>
      </c>
      <c r="Z80" t="n">
        <v>0.393278</v>
      </c>
      <c r="AA80" t="n">
        <v>0.402496</v>
      </c>
      <c r="AB80" t="n">
        <v>0.410938</v>
      </c>
      <c r="AC80" t="n">
        <v>0.42058</v>
      </c>
      <c r="AD80" t="n">
        <v>0.430687</v>
      </c>
      <c r="AE80" t="n">
        <v>0.440464</v>
      </c>
      <c r="AF80" t="n">
        <v>0.451111</v>
      </c>
      <c r="AG80" s="42" t="n">
        <v>0.03</v>
      </c>
    </row>
    <row r="81">
      <c r="A81" t="inlineStr">
        <is>
          <t>Heating Degree Days</t>
        </is>
      </c>
    </row>
    <row r="82">
      <c r="A82" t="inlineStr">
        <is>
          <t>New England</t>
        </is>
      </c>
      <c r="B82" t="inlineStr">
        <is>
          <t>Commercial: Heating Degree Days: New England: High Zero-Carbon Technology Cost</t>
        </is>
      </c>
      <c r="C82" t="inlineStr">
        <is>
          <t>AEO.2025.HIGHZTC.KEI_NA_COMM_NA_NA_NA_NENGL_HDD.A</t>
        </is>
      </c>
      <c r="D82" t="inlineStr">
        <is>
          <t>HDD</t>
        </is>
      </c>
      <c r="F82" t="n">
        <v>5643</v>
      </c>
      <c r="G82" t="n">
        <v>5924</v>
      </c>
      <c r="H82" t="n">
        <v>5901</v>
      </c>
      <c r="I82" t="n">
        <v>5879</v>
      </c>
      <c r="J82" t="n">
        <v>5856</v>
      </c>
      <c r="K82" t="n">
        <v>5833</v>
      </c>
      <c r="L82" t="n">
        <v>5810</v>
      </c>
      <c r="M82" t="n">
        <v>5787</v>
      </c>
      <c r="N82" t="n">
        <v>5764</v>
      </c>
      <c r="O82" t="n">
        <v>5741</v>
      </c>
      <c r="P82" t="n">
        <v>5718</v>
      </c>
      <c r="Q82" t="n">
        <v>5695</v>
      </c>
      <c r="R82" t="n">
        <v>5672</v>
      </c>
      <c r="S82" t="n">
        <v>5649</v>
      </c>
      <c r="T82" t="n">
        <v>5626</v>
      </c>
      <c r="U82" t="n">
        <v>5603</v>
      </c>
      <c r="V82" t="n">
        <v>5579</v>
      </c>
      <c r="W82" t="n">
        <v>5556</v>
      </c>
      <c r="X82" t="n">
        <v>5533</v>
      </c>
      <c r="Y82" t="n">
        <v>5510</v>
      </c>
      <c r="Z82" t="n">
        <v>5487</v>
      </c>
      <c r="AA82" t="n">
        <v>5464</v>
      </c>
      <c r="AB82" t="n">
        <v>5440</v>
      </c>
      <c r="AC82" t="n">
        <v>5417</v>
      </c>
      <c r="AD82" t="n">
        <v>5394</v>
      </c>
      <c r="AE82" t="n">
        <v>5371</v>
      </c>
      <c r="AF82" t="n">
        <v>5348</v>
      </c>
      <c r="AG82" s="42" t="n">
        <v>-0.002</v>
      </c>
    </row>
    <row r="83">
      <c r="A83" t="inlineStr">
        <is>
          <t>Middle Atlantic</t>
        </is>
      </c>
      <c r="B83" t="inlineStr">
        <is>
          <t>Commercial: Heating Degree Days: Middle Atlantic: High Zero-Carbon Technology Cost</t>
        </is>
      </c>
      <c r="C83" t="inlineStr">
        <is>
          <t>AEO.2025.HIGHZTC.KEI_NA_COMM_NA_NA_NA_MATL_HDD.A</t>
        </is>
      </c>
      <c r="D83" t="inlineStr">
        <is>
          <t>HDD</t>
        </is>
      </c>
      <c r="F83" t="n">
        <v>4981</v>
      </c>
      <c r="G83" t="n">
        <v>5319</v>
      </c>
      <c r="H83" t="n">
        <v>5298</v>
      </c>
      <c r="I83" t="n">
        <v>5277</v>
      </c>
      <c r="J83" t="n">
        <v>5256</v>
      </c>
      <c r="K83" t="n">
        <v>5235</v>
      </c>
      <c r="L83" t="n">
        <v>5214</v>
      </c>
      <c r="M83" t="n">
        <v>5193</v>
      </c>
      <c r="N83" t="n">
        <v>5172</v>
      </c>
      <c r="O83" t="n">
        <v>5151</v>
      </c>
      <c r="P83" t="n">
        <v>5130</v>
      </c>
      <c r="Q83" t="n">
        <v>5109</v>
      </c>
      <c r="R83" t="n">
        <v>5088</v>
      </c>
      <c r="S83" t="n">
        <v>5068</v>
      </c>
      <c r="T83" t="n">
        <v>5047</v>
      </c>
      <c r="U83" t="n">
        <v>5026</v>
      </c>
      <c r="V83" t="n">
        <v>5005</v>
      </c>
      <c r="W83" t="n">
        <v>4984</v>
      </c>
      <c r="X83" t="n">
        <v>4963</v>
      </c>
      <c r="Y83" t="n">
        <v>4943</v>
      </c>
      <c r="Z83" t="n">
        <v>4922</v>
      </c>
      <c r="AA83" t="n">
        <v>4901</v>
      </c>
      <c r="AB83" t="n">
        <v>4880</v>
      </c>
      <c r="AC83" t="n">
        <v>4859</v>
      </c>
      <c r="AD83" t="n">
        <v>4838</v>
      </c>
      <c r="AE83" t="n">
        <v>4818</v>
      </c>
      <c r="AF83" t="n">
        <v>4797</v>
      </c>
      <c r="AG83" s="42" t="n">
        <v>-0.001</v>
      </c>
    </row>
    <row r="84">
      <c r="A84" t="inlineStr">
        <is>
          <t>East North Central</t>
        </is>
      </c>
      <c r="B84" t="inlineStr">
        <is>
          <t>Commercial: Heating Degree Days: East North Central: High Zero-Carbon Technology Cost</t>
        </is>
      </c>
      <c r="C84" t="inlineStr">
        <is>
          <t>AEO.2025.HIGHZTC.KEI_NA_COMM_NA_NA_NA_ENC_HDD.A</t>
        </is>
      </c>
      <c r="D84" t="inlineStr">
        <is>
          <t>HDD</t>
        </is>
      </c>
      <c r="F84" t="n">
        <v>5306</v>
      </c>
      <c r="G84" t="n">
        <v>5952</v>
      </c>
      <c r="H84" t="n">
        <v>5937</v>
      </c>
      <c r="I84" t="n">
        <v>5923</v>
      </c>
      <c r="J84" t="n">
        <v>5908</v>
      </c>
      <c r="K84" t="n">
        <v>5894</v>
      </c>
      <c r="L84" t="n">
        <v>5879</v>
      </c>
      <c r="M84" t="n">
        <v>5864</v>
      </c>
      <c r="N84" t="n">
        <v>5850</v>
      </c>
      <c r="O84" t="n">
        <v>5835</v>
      </c>
      <c r="P84" t="n">
        <v>5820</v>
      </c>
      <c r="Q84" t="n">
        <v>5806</v>
      </c>
      <c r="R84" t="n">
        <v>5791</v>
      </c>
      <c r="S84" t="n">
        <v>5776</v>
      </c>
      <c r="T84" t="n">
        <v>5762</v>
      </c>
      <c r="U84" t="n">
        <v>5747</v>
      </c>
      <c r="V84" t="n">
        <v>5732</v>
      </c>
      <c r="W84" t="n">
        <v>5717</v>
      </c>
      <c r="X84" t="n">
        <v>5703</v>
      </c>
      <c r="Y84" t="n">
        <v>5688</v>
      </c>
      <c r="Z84" t="n">
        <v>5673</v>
      </c>
      <c r="AA84" t="n">
        <v>5658</v>
      </c>
      <c r="AB84" t="n">
        <v>5644</v>
      </c>
      <c r="AC84" t="n">
        <v>5629</v>
      </c>
      <c r="AD84" t="n">
        <v>5614</v>
      </c>
      <c r="AE84" t="n">
        <v>5599</v>
      </c>
      <c r="AF84" t="n">
        <v>5585</v>
      </c>
      <c r="AG84" s="42" t="n">
        <v>0.002</v>
      </c>
    </row>
    <row r="85">
      <c r="A85" t="inlineStr">
        <is>
          <t>West North Central</t>
        </is>
      </c>
      <c r="B85" t="inlineStr">
        <is>
          <t>Commercial: Heating Degree Days: West North Central: High Zero-Carbon Technology Cost</t>
        </is>
      </c>
      <c r="C85" t="inlineStr">
        <is>
          <t>AEO.2025.HIGHZTC.KEI_NA_COMM_NA_NA_NA_WNC_HDD.A</t>
        </is>
      </c>
      <c r="D85" t="inlineStr">
        <is>
          <t>HDD</t>
        </is>
      </c>
      <c r="F85" t="n">
        <v>5716</v>
      </c>
      <c r="G85" t="n">
        <v>6383</v>
      </c>
      <c r="H85" t="n">
        <v>6376</v>
      </c>
      <c r="I85" t="n">
        <v>6369</v>
      </c>
      <c r="J85" t="n">
        <v>6362</v>
      </c>
      <c r="K85" t="n">
        <v>6355</v>
      </c>
      <c r="L85" t="n">
        <v>6348</v>
      </c>
      <c r="M85" t="n">
        <v>6341</v>
      </c>
      <c r="N85" t="n">
        <v>6334</v>
      </c>
      <c r="O85" t="n">
        <v>6327</v>
      </c>
      <c r="P85" t="n">
        <v>6319</v>
      </c>
      <c r="Q85" t="n">
        <v>6312</v>
      </c>
      <c r="R85" t="n">
        <v>6304</v>
      </c>
      <c r="S85" t="n">
        <v>6297</v>
      </c>
      <c r="T85" t="n">
        <v>6289</v>
      </c>
      <c r="U85" t="n">
        <v>6282</v>
      </c>
      <c r="V85" t="n">
        <v>6274</v>
      </c>
      <c r="W85" t="n">
        <v>6267</v>
      </c>
      <c r="X85" t="n">
        <v>6259</v>
      </c>
      <c r="Y85" t="n">
        <v>6252</v>
      </c>
      <c r="Z85" t="n">
        <v>6244</v>
      </c>
      <c r="AA85" t="n">
        <v>6236</v>
      </c>
      <c r="AB85" t="n">
        <v>6229</v>
      </c>
      <c r="AC85" t="n">
        <v>6221</v>
      </c>
      <c r="AD85" t="n">
        <v>6213</v>
      </c>
      <c r="AE85" t="n">
        <v>6206</v>
      </c>
      <c r="AF85" t="n">
        <v>6198</v>
      </c>
      <c r="AG85" s="42" t="n">
        <v>0.003</v>
      </c>
    </row>
    <row r="86">
      <c r="A86" t="inlineStr">
        <is>
          <t>South Atlantic</t>
        </is>
      </c>
      <c r="B86" t="inlineStr">
        <is>
          <t>Commercial: Heating Degree Days: South Atlantic: High Zero-Carbon Technology Cost</t>
        </is>
      </c>
      <c r="C86" t="inlineStr">
        <is>
          <t>AEO.2025.HIGHZTC.KEI_NA_COMM_NA_NA_NA_SATL_HDD.A</t>
        </is>
      </c>
      <c r="D86" t="inlineStr">
        <is>
          <t>HDD</t>
        </is>
      </c>
      <c r="F86" t="n">
        <v>2271</v>
      </c>
      <c r="G86" t="n">
        <v>2344</v>
      </c>
      <c r="H86" t="n">
        <v>2329</v>
      </c>
      <c r="I86" t="n">
        <v>2313</v>
      </c>
      <c r="J86" t="n">
        <v>2298</v>
      </c>
      <c r="K86" t="n">
        <v>2283</v>
      </c>
      <c r="L86" t="n">
        <v>2267</v>
      </c>
      <c r="M86" t="n">
        <v>2251</v>
      </c>
      <c r="N86" t="n">
        <v>2235</v>
      </c>
      <c r="O86" t="n">
        <v>2220</v>
      </c>
      <c r="P86" t="n">
        <v>2204</v>
      </c>
      <c r="Q86" t="n">
        <v>2188</v>
      </c>
      <c r="R86" t="n">
        <v>2173</v>
      </c>
      <c r="S86" t="n">
        <v>2157</v>
      </c>
      <c r="T86" t="n">
        <v>2141</v>
      </c>
      <c r="U86" t="n">
        <v>2125</v>
      </c>
      <c r="V86" t="n">
        <v>2110</v>
      </c>
      <c r="W86" t="n">
        <v>2094</v>
      </c>
      <c r="X86" t="n">
        <v>2079</v>
      </c>
      <c r="Y86" t="n">
        <v>2063</v>
      </c>
      <c r="Z86" t="n">
        <v>2047</v>
      </c>
      <c r="AA86" t="n">
        <v>2032</v>
      </c>
      <c r="AB86" t="n">
        <v>2016</v>
      </c>
      <c r="AC86" t="n">
        <v>2001</v>
      </c>
      <c r="AD86" t="n">
        <v>1985</v>
      </c>
      <c r="AE86" t="n">
        <v>1970</v>
      </c>
      <c r="AF86" t="n">
        <v>1955</v>
      </c>
      <c r="AG86" s="42" t="n">
        <v>-0.006</v>
      </c>
    </row>
    <row r="87">
      <c r="A87" t="inlineStr">
        <is>
          <t>East South Central</t>
        </is>
      </c>
      <c r="B87" t="inlineStr">
        <is>
          <t>Commercial: Heating Degree Days: East South Central: High Zero-Carbon Technology Cost</t>
        </is>
      </c>
      <c r="C87" t="inlineStr">
        <is>
          <t>AEO.2025.HIGHZTC.KEI_NA_COMM_NA_NA_NA_ESC_HDD.A</t>
        </is>
      </c>
      <c r="D87" t="inlineStr">
        <is>
          <t>HDD</t>
        </is>
      </c>
      <c r="F87" t="n">
        <v>3024</v>
      </c>
      <c r="G87" t="n">
        <v>3161</v>
      </c>
      <c r="H87" t="n">
        <v>3148</v>
      </c>
      <c r="I87" t="n">
        <v>3136</v>
      </c>
      <c r="J87" t="n">
        <v>3123</v>
      </c>
      <c r="K87" t="n">
        <v>3111</v>
      </c>
      <c r="L87" t="n">
        <v>3098</v>
      </c>
      <c r="M87" t="n">
        <v>3086</v>
      </c>
      <c r="N87" t="n">
        <v>3073</v>
      </c>
      <c r="O87" t="n">
        <v>3060</v>
      </c>
      <c r="P87" t="n">
        <v>3048</v>
      </c>
      <c r="Q87" t="n">
        <v>3035</v>
      </c>
      <c r="R87" t="n">
        <v>3022</v>
      </c>
      <c r="S87" t="n">
        <v>3009</v>
      </c>
      <c r="T87" t="n">
        <v>2996</v>
      </c>
      <c r="U87" t="n">
        <v>2984</v>
      </c>
      <c r="V87" t="n">
        <v>2971</v>
      </c>
      <c r="W87" t="n">
        <v>2958</v>
      </c>
      <c r="X87" t="n">
        <v>2945</v>
      </c>
      <c r="Y87" t="n">
        <v>2933</v>
      </c>
      <c r="Z87" t="n">
        <v>2920</v>
      </c>
      <c r="AA87" t="n">
        <v>2907</v>
      </c>
      <c r="AB87" t="n">
        <v>2894</v>
      </c>
      <c r="AC87" t="n">
        <v>2881</v>
      </c>
      <c r="AD87" t="n">
        <v>2869</v>
      </c>
      <c r="AE87" t="n">
        <v>2856</v>
      </c>
      <c r="AF87" t="n">
        <v>2843</v>
      </c>
      <c r="AG87" s="42" t="n">
        <v>-0.002</v>
      </c>
    </row>
    <row r="88">
      <c r="A88" t="inlineStr">
        <is>
          <t>West South Central</t>
        </is>
      </c>
      <c r="B88" t="inlineStr">
        <is>
          <t>Commercial: Heating Degree Days: West South Central: High Zero-Carbon Technology Cost</t>
        </is>
      </c>
      <c r="C88" t="inlineStr">
        <is>
          <t>AEO.2025.HIGHZTC.KEI_NA_COMM_NA_NA_NA_WSC_HDD.A</t>
        </is>
      </c>
      <c r="D88" t="inlineStr">
        <is>
          <t>HDD</t>
        </is>
      </c>
      <c r="F88" t="n">
        <v>1844</v>
      </c>
      <c r="G88" t="n">
        <v>1949</v>
      </c>
      <c r="H88" t="n">
        <v>1942</v>
      </c>
      <c r="I88" t="n">
        <v>1935</v>
      </c>
      <c r="J88" t="n">
        <v>1928</v>
      </c>
      <c r="K88" t="n">
        <v>1921</v>
      </c>
      <c r="L88" t="n">
        <v>1914</v>
      </c>
      <c r="M88" t="n">
        <v>1907</v>
      </c>
      <c r="N88" t="n">
        <v>1900</v>
      </c>
      <c r="O88" t="n">
        <v>1893</v>
      </c>
      <c r="P88" t="n">
        <v>1886</v>
      </c>
      <c r="Q88" t="n">
        <v>1879</v>
      </c>
      <c r="R88" t="n">
        <v>1872</v>
      </c>
      <c r="S88" t="n">
        <v>1865</v>
      </c>
      <c r="T88" t="n">
        <v>1858</v>
      </c>
      <c r="U88" t="n">
        <v>1852</v>
      </c>
      <c r="V88" t="n">
        <v>1845</v>
      </c>
      <c r="W88" t="n">
        <v>1838</v>
      </c>
      <c r="X88" t="n">
        <v>1831</v>
      </c>
      <c r="Y88" t="n">
        <v>1825</v>
      </c>
      <c r="Z88" t="n">
        <v>1818</v>
      </c>
      <c r="AA88" t="n">
        <v>1811</v>
      </c>
      <c r="AB88" t="n">
        <v>1805</v>
      </c>
      <c r="AC88" t="n">
        <v>1798</v>
      </c>
      <c r="AD88" t="n">
        <v>1791</v>
      </c>
      <c r="AE88" t="n">
        <v>1785</v>
      </c>
      <c r="AF88" t="n">
        <v>1778</v>
      </c>
      <c r="AG88" s="42" t="n">
        <v>-0.001</v>
      </c>
    </row>
    <row r="89">
      <c r="A89" t="inlineStr">
        <is>
          <t>Mountain</t>
        </is>
      </c>
      <c r="B89" t="inlineStr">
        <is>
          <t>Commercial: Heating Degree Days: Mountain: High Zero-Carbon Technology Cost</t>
        </is>
      </c>
      <c r="C89" t="inlineStr">
        <is>
          <t>AEO.2025.HIGHZTC.KEI_NA_COMM_NA_NA_NA_MTN_HDD.A</t>
        </is>
      </c>
      <c r="D89" t="inlineStr">
        <is>
          <t>HDD</t>
        </is>
      </c>
      <c r="F89" t="n">
        <v>4753</v>
      </c>
      <c r="G89" t="n">
        <v>4877</v>
      </c>
      <c r="H89" t="n">
        <v>4871</v>
      </c>
      <c r="I89" t="n">
        <v>4865</v>
      </c>
      <c r="J89" t="n">
        <v>4858</v>
      </c>
      <c r="K89" t="n">
        <v>4851</v>
      </c>
      <c r="L89" t="n">
        <v>4844</v>
      </c>
      <c r="M89" t="n">
        <v>4837</v>
      </c>
      <c r="N89" t="n">
        <v>4830</v>
      </c>
      <c r="O89" t="n">
        <v>4823</v>
      </c>
      <c r="P89" t="n">
        <v>4816</v>
      </c>
      <c r="Q89" t="n">
        <v>4809</v>
      </c>
      <c r="R89" t="n">
        <v>4802</v>
      </c>
      <c r="S89" t="n">
        <v>4796</v>
      </c>
      <c r="T89" t="n">
        <v>4789</v>
      </c>
      <c r="U89" t="n">
        <v>4782</v>
      </c>
      <c r="V89" t="n">
        <v>4776</v>
      </c>
      <c r="W89" t="n">
        <v>4769</v>
      </c>
      <c r="X89" t="n">
        <v>4763</v>
      </c>
      <c r="Y89" t="n">
        <v>4756</v>
      </c>
      <c r="Z89" t="n">
        <v>4750</v>
      </c>
      <c r="AA89" t="n">
        <v>4744</v>
      </c>
      <c r="AB89" t="n">
        <v>4737</v>
      </c>
      <c r="AC89" t="n">
        <v>4731</v>
      </c>
      <c r="AD89" t="n">
        <v>4725</v>
      </c>
      <c r="AE89" t="n">
        <v>4718</v>
      </c>
      <c r="AF89" t="n">
        <v>4712</v>
      </c>
      <c r="AG89" s="42" t="n">
        <v>0</v>
      </c>
    </row>
    <row r="90">
      <c r="A90" t="inlineStr">
        <is>
          <t>Pacific</t>
        </is>
      </c>
      <c r="B90" t="inlineStr">
        <is>
          <t>Commercial: Heating Degree Days: Pacific: High Zero-Carbon Technology Cost</t>
        </is>
      </c>
      <c r="C90" t="inlineStr">
        <is>
          <t>AEO.2025.HIGHZTC.KEI_NA_COMM_NA_NA_NA_PCF_HDD.A</t>
        </is>
      </c>
      <c r="D90" t="inlineStr">
        <is>
          <t>HDD</t>
        </is>
      </c>
      <c r="F90" t="n">
        <v>3352</v>
      </c>
      <c r="G90" t="n">
        <v>3290</v>
      </c>
      <c r="H90" t="n">
        <v>3283</v>
      </c>
      <c r="I90" t="n">
        <v>3277</v>
      </c>
      <c r="J90" t="n">
        <v>3270</v>
      </c>
      <c r="K90" t="n">
        <v>3263</v>
      </c>
      <c r="L90" t="n">
        <v>3256</v>
      </c>
      <c r="M90" t="n">
        <v>3249</v>
      </c>
      <c r="N90" t="n">
        <v>3242</v>
      </c>
      <c r="O90" t="n">
        <v>3234</v>
      </c>
      <c r="P90" t="n">
        <v>3227</v>
      </c>
      <c r="Q90" t="n">
        <v>3219</v>
      </c>
      <c r="R90" t="n">
        <v>3212</v>
      </c>
      <c r="S90" t="n">
        <v>3204</v>
      </c>
      <c r="T90" t="n">
        <v>3197</v>
      </c>
      <c r="U90" t="n">
        <v>3189</v>
      </c>
      <c r="V90" t="n">
        <v>3181</v>
      </c>
      <c r="W90" t="n">
        <v>3174</v>
      </c>
      <c r="X90" t="n">
        <v>3166</v>
      </c>
      <c r="Y90" t="n">
        <v>3158</v>
      </c>
      <c r="Z90" t="n">
        <v>3150</v>
      </c>
      <c r="AA90" t="n">
        <v>3143</v>
      </c>
      <c r="AB90" t="n">
        <v>3135</v>
      </c>
      <c r="AC90" t="n">
        <v>3127</v>
      </c>
      <c r="AD90" t="n">
        <v>3119</v>
      </c>
      <c r="AE90" t="n">
        <v>3112</v>
      </c>
      <c r="AF90" t="n">
        <v>3104</v>
      </c>
      <c r="AG90" s="42" t="n">
        <v>-0.003</v>
      </c>
    </row>
    <row r="91">
      <c r="A91" t="inlineStr">
        <is>
          <t>United States</t>
        </is>
      </c>
      <c r="B91" t="inlineStr">
        <is>
          <t>Commercial: Heating Degree Days: United States: High Zero-Carbon Technology Cost</t>
        </is>
      </c>
      <c r="C91" t="inlineStr">
        <is>
          <t>AEO.2025.HIGHZTC.KEI_NA_COMM_NA_NA_NA_USA_HDD.A</t>
        </is>
      </c>
      <c r="D91" t="inlineStr">
        <is>
          <t>HDD</t>
        </is>
      </c>
      <c r="F91" t="n">
        <v>3753.963623</v>
      </c>
      <c r="G91" t="n">
        <v>3970.740234</v>
      </c>
      <c r="H91" t="n">
        <v>3953.677002</v>
      </c>
      <c r="I91" t="n">
        <v>3936.880859</v>
      </c>
      <c r="J91" t="n">
        <v>3919.869385</v>
      </c>
      <c r="K91" t="n">
        <v>3903.102051</v>
      </c>
      <c r="L91" t="n">
        <v>3885.979736</v>
      </c>
      <c r="M91" t="n">
        <v>3868.949219</v>
      </c>
      <c r="N91" t="n">
        <v>3852.031982</v>
      </c>
      <c r="O91" t="n">
        <v>3835.063477</v>
      </c>
      <c r="P91" t="n">
        <v>3818.086426</v>
      </c>
      <c r="Q91" t="n">
        <v>3801.113525</v>
      </c>
      <c r="R91" t="n">
        <v>3784.343506</v>
      </c>
      <c r="S91" t="n">
        <v>3767.477539</v>
      </c>
      <c r="T91" t="n">
        <v>3750.667725</v>
      </c>
      <c r="U91" t="n">
        <v>3733.826904</v>
      </c>
      <c r="V91" t="n">
        <v>3716.998779</v>
      </c>
      <c r="W91" t="n">
        <v>3700.157715</v>
      </c>
      <c r="X91" t="n">
        <v>3683.523926</v>
      </c>
      <c r="Y91" t="n">
        <v>3666.836426</v>
      </c>
      <c r="Z91" t="n">
        <v>3649.887939</v>
      </c>
      <c r="AA91" t="n">
        <v>3633.344727</v>
      </c>
      <c r="AB91" t="n">
        <v>3616.676758</v>
      </c>
      <c r="AC91" t="n">
        <v>3600.134277</v>
      </c>
      <c r="AD91" t="n">
        <v>3583.570068</v>
      </c>
      <c r="AE91" t="n">
        <v>3567.737793</v>
      </c>
      <c r="AF91" t="n">
        <v>3551.74585</v>
      </c>
      <c r="AG91" s="42" t="n">
        <v>-0.002</v>
      </c>
    </row>
    <row r="92">
      <c r="A92" t="inlineStr">
        <is>
          <t>Cooling Degree Days</t>
        </is>
      </c>
    </row>
    <row r="93">
      <c r="A93" t="inlineStr">
        <is>
          <t>New England</t>
        </is>
      </c>
      <c r="B93" t="inlineStr">
        <is>
          <t>Commercial: Cooling Degree Days: New England: High Zero-Carbon Technology Cost</t>
        </is>
      </c>
      <c r="C93" t="inlineStr">
        <is>
          <t>AEO.2025.HIGHZTC.KEI_NA_COMM_NA_NA_NA_NENGL_CDD.A</t>
        </is>
      </c>
      <c r="D93" t="inlineStr">
        <is>
          <t>CDD</t>
        </is>
      </c>
      <c r="F93" t="n">
        <v>620</v>
      </c>
      <c r="G93" t="n">
        <v>609</v>
      </c>
      <c r="H93" t="n">
        <v>615</v>
      </c>
      <c r="I93" t="n">
        <v>621</v>
      </c>
      <c r="J93" t="n">
        <v>627</v>
      </c>
      <c r="K93" t="n">
        <v>633</v>
      </c>
      <c r="L93" t="n">
        <v>640</v>
      </c>
      <c r="M93" t="n">
        <v>646</v>
      </c>
      <c r="N93" t="n">
        <v>652</v>
      </c>
      <c r="O93" t="n">
        <v>659</v>
      </c>
      <c r="P93" t="n">
        <v>665</v>
      </c>
      <c r="Q93" t="n">
        <v>671</v>
      </c>
      <c r="R93" t="n">
        <v>678</v>
      </c>
      <c r="S93" t="n">
        <v>684</v>
      </c>
      <c r="T93" t="n">
        <v>690</v>
      </c>
      <c r="U93" t="n">
        <v>697</v>
      </c>
      <c r="V93" t="n">
        <v>703</v>
      </c>
      <c r="W93" t="n">
        <v>710</v>
      </c>
      <c r="X93" t="n">
        <v>716</v>
      </c>
      <c r="Y93" t="n">
        <v>722</v>
      </c>
      <c r="Z93" t="n">
        <v>729</v>
      </c>
      <c r="AA93" t="n">
        <v>735</v>
      </c>
      <c r="AB93" t="n">
        <v>741</v>
      </c>
      <c r="AC93" t="n">
        <v>748</v>
      </c>
      <c r="AD93" t="n">
        <v>754</v>
      </c>
      <c r="AE93" t="n">
        <v>760</v>
      </c>
      <c r="AF93" t="n">
        <v>767</v>
      </c>
      <c r="AG93" s="42" t="n">
        <v>0.008</v>
      </c>
    </row>
    <row r="94">
      <c r="A94" t="inlineStr">
        <is>
          <t>Middle Atlantic</t>
        </is>
      </c>
      <c r="B94" t="inlineStr">
        <is>
          <t>Commercial: Cooling Degree Days: Middle Atlantic: High Zero-Carbon Technology Cost</t>
        </is>
      </c>
      <c r="C94" t="inlineStr">
        <is>
          <t>AEO.2025.HIGHZTC.KEI_NA_COMM_NA_NA_NA_MATL_CDD.A</t>
        </is>
      </c>
      <c r="D94" t="inlineStr">
        <is>
          <t>CDD</t>
        </is>
      </c>
      <c r="F94" t="n">
        <v>867</v>
      </c>
      <c r="G94" t="n">
        <v>845</v>
      </c>
      <c r="H94" t="n">
        <v>853</v>
      </c>
      <c r="I94" t="n">
        <v>860</v>
      </c>
      <c r="J94" t="n">
        <v>868</v>
      </c>
      <c r="K94" t="n">
        <v>876</v>
      </c>
      <c r="L94" t="n">
        <v>884</v>
      </c>
      <c r="M94" t="n">
        <v>892</v>
      </c>
      <c r="N94" t="n">
        <v>900</v>
      </c>
      <c r="O94" t="n">
        <v>908</v>
      </c>
      <c r="P94" t="n">
        <v>915</v>
      </c>
      <c r="Q94" t="n">
        <v>923</v>
      </c>
      <c r="R94" t="n">
        <v>931</v>
      </c>
      <c r="S94" t="n">
        <v>939</v>
      </c>
      <c r="T94" t="n">
        <v>947</v>
      </c>
      <c r="U94" t="n">
        <v>955</v>
      </c>
      <c r="V94" t="n">
        <v>963</v>
      </c>
      <c r="W94" t="n">
        <v>971</v>
      </c>
      <c r="X94" t="n">
        <v>978</v>
      </c>
      <c r="Y94" t="n">
        <v>986</v>
      </c>
      <c r="Z94" t="n">
        <v>994</v>
      </c>
      <c r="AA94" t="n">
        <v>1002</v>
      </c>
      <c r="AB94" t="n">
        <v>1010</v>
      </c>
      <c r="AC94" t="n">
        <v>1018</v>
      </c>
      <c r="AD94" t="n">
        <v>1026</v>
      </c>
      <c r="AE94" t="n">
        <v>1033</v>
      </c>
      <c r="AF94" t="n">
        <v>1041</v>
      </c>
      <c r="AG94" s="42" t="n">
        <v>0.007</v>
      </c>
    </row>
    <row r="95">
      <c r="A95" t="inlineStr">
        <is>
          <t>East North Central</t>
        </is>
      </c>
      <c r="B95" t="inlineStr">
        <is>
          <t>Commercial: Cooling Degree Days: East North Central: High Zero-Carbon Technology Cost</t>
        </is>
      </c>
      <c r="C95" t="inlineStr">
        <is>
          <t>AEO.2025.HIGHZTC.KEI_NA_COMM_NA_NA_NA_ENC_CDD.A</t>
        </is>
      </c>
      <c r="D95" t="inlineStr">
        <is>
          <t>CDD</t>
        </is>
      </c>
      <c r="F95" t="n">
        <v>899</v>
      </c>
      <c r="G95" t="n">
        <v>851</v>
      </c>
      <c r="H95" t="n">
        <v>856</v>
      </c>
      <c r="I95" t="n">
        <v>861</v>
      </c>
      <c r="J95" t="n">
        <v>866</v>
      </c>
      <c r="K95" t="n">
        <v>871</v>
      </c>
      <c r="L95" t="n">
        <v>876</v>
      </c>
      <c r="M95" t="n">
        <v>881</v>
      </c>
      <c r="N95" t="n">
        <v>886</v>
      </c>
      <c r="O95" t="n">
        <v>890</v>
      </c>
      <c r="P95" t="n">
        <v>895</v>
      </c>
      <c r="Q95" t="n">
        <v>900</v>
      </c>
      <c r="R95" t="n">
        <v>905</v>
      </c>
      <c r="S95" t="n">
        <v>910</v>
      </c>
      <c r="T95" t="n">
        <v>915</v>
      </c>
      <c r="U95" t="n">
        <v>920</v>
      </c>
      <c r="V95" t="n">
        <v>925</v>
      </c>
      <c r="W95" t="n">
        <v>930</v>
      </c>
      <c r="X95" t="n">
        <v>935</v>
      </c>
      <c r="Y95" t="n">
        <v>940</v>
      </c>
      <c r="Z95" t="n">
        <v>945</v>
      </c>
      <c r="AA95" t="n">
        <v>950</v>
      </c>
      <c r="AB95" t="n">
        <v>955</v>
      </c>
      <c r="AC95" t="n">
        <v>960</v>
      </c>
      <c r="AD95" t="n">
        <v>965</v>
      </c>
      <c r="AE95" t="n">
        <v>970</v>
      </c>
      <c r="AF95" t="n">
        <v>975</v>
      </c>
      <c r="AG95" s="42" t="n">
        <v>0.003</v>
      </c>
    </row>
    <row r="96">
      <c r="A96" t="inlineStr">
        <is>
          <t>West North Central</t>
        </is>
      </c>
      <c r="B96" t="inlineStr">
        <is>
          <t>Commercial: Cooling Degree Days: West North Central: High Zero-Carbon Technology Cost</t>
        </is>
      </c>
      <c r="C96" t="inlineStr">
        <is>
          <t>AEO.2025.HIGHZTC.KEI_NA_COMM_NA_NA_NA_WNC_CDD.A</t>
        </is>
      </c>
      <c r="D96" t="inlineStr">
        <is>
          <t>CDD</t>
        </is>
      </c>
      <c r="F96" t="n">
        <v>1046</v>
      </c>
      <c r="G96" t="n">
        <v>1046</v>
      </c>
      <c r="H96" t="n">
        <v>1051</v>
      </c>
      <c r="I96" t="n">
        <v>1056</v>
      </c>
      <c r="J96" t="n">
        <v>1061</v>
      </c>
      <c r="K96" t="n">
        <v>1066</v>
      </c>
      <c r="L96" t="n">
        <v>1071</v>
      </c>
      <c r="M96" t="n">
        <v>1076</v>
      </c>
      <c r="N96" t="n">
        <v>1081</v>
      </c>
      <c r="O96" t="n">
        <v>1086</v>
      </c>
      <c r="P96" t="n">
        <v>1092</v>
      </c>
      <c r="Q96" t="n">
        <v>1097</v>
      </c>
      <c r="R96" t="n">
        <v>1102</v>
      </c>
      <c r="S96" t="n">
        <v>1107</v>
      </c>
      <c r="T96" t="n">
        <v>1112</v>
      </c>
      <c r="U96" t="n">
        <v>1117</v>
      </c>
      <c r="V96" t="n">
        <v>1122</v>
      </c>
      <c r="W96" t="n">
        <v>1128</v>
      </c>
      <c r="X96" t="n">
        <v>1133</v>
      </c>
      <c r="Y96" t="n">
        <v>1138</v>
      </c>
      <c r="Z96" t="n">
        <v>1143</v>
      </c>
      <c r="AA96" t="n">
        <v>1148</v>
      </c>
      <c r="AB96" t="n">
        <v>1153</v>
      </c>
      <c r="AC96" t="n">
        <v>1159</v>
      </c>
      <c r="AD96" t="n">
        <v>1164</v>
      </c>
      <c r="AE96" t="n">
        <v>1169</v>
      </c>
      <c r="AF96" t="n">
        <v>1174</v>
      </c>
      <c r="AG96" s="42" t="n">
        <v>0.004</v>
      </c>
    </row>
    <row r="97">
      <c r="A97" t="inlineStr">
        <is>
          <t>South Atlantic</t>
        </is>
      </c>
      <c r="B97" t="inlineStr">
        <is>
          <t>Commercial: Cooling Degree Days: South Atlantic: High Zero-Carbon Technology Cost</t>
        </is>
      </c>
      <c r="C97" t="inlineStr">
        <is>
          <t>AEO.2025.HIGHZTC.KEI_NA_COMM_NA_NA_NA_SATL_CDD.A</t>
        </is>
      </c>
      <c r="D97" t="inlineStr">
        <is>
          <t>CDD</t>
        </is>
      </c>
      <c r="F97" t="n">
        <v>2399</v>
      </c>
      <c r="G97" t="n">
        <v>2400</v>
      </c>
      <c r="H97" t="n">
        <v>2415</v>
      </c>
      <c r="I97" t="n">
        <v>2430</v>
      </c>
      <c r="J97" t="n">
        <v>2445</v>
      </c>
      <c r="K97" t="n">
        <v>2460</v>
      </c>
      <c r="L97" t="n">
        <v>2476</v>
      </c>
      <c r="M97" t="n">
        <v>2491</v>
      </c>
      <c r="N97" t="n">
        <v>2507</v>
      </c>
      <c r="O97" t="n">
        <v>2522</v>
      </c>
      <c r="P97" t="n">
        <v>2538</v>
      </c>
      <c r="Q97" t="n">
        <v>2553</v>
      </c>
      <c r="R97" t="n">
        <v>2569</v>
      </c>
      <c r="S97" t="n">
        <v>2585</v>
      </c>
      <c r="T97" t="n">
        <v>2600</v>
      </c>
      <c r="U97" t="n">
        <v>2616</v>
      </c>
      <c r="V97" t="n">
        <v>2632</v>
      </c>
      <c r="W97" t="n">
        <v>2648</v>
      </c>
      <c r="X97" t="n">
        <v>2663</v>
      </c>
      <c r="Y97" t="n">
        <v>2679</v>
      </c>
      <c r="Z97" t="n">
        <v>2695</v>
      </c>
      <c r="AA97" t="n">
        <v>2711</v>
      </c>
      <c r="AB97" t="n">
        <v>2727</v>
      </c>
      <c r="AC97" t="n">
        <v>2742</v>
      </c>
      <c r="AD97" t="n">
        <v>2758</v>
      </c>
      <c r="AE97" t="n">
        <v>2774</v>
      </c>
      <c r="AF97" t="n">
        <v>2790</v>
      </c>
      <c r="AG97" s="42" t="n">
        <v>0.006</v>
      </c>
    </row>
    <row r="98">
      <c r="A98" t="inlineStr">
        <is>
          <t>East South Central</t>
        </is>
      </c>
      <c r="B98" t="inlineStr">
        <is>
          <t>Commercial: Cooling Degree Days: East South Central: High Zero-Carbon Technology Cost</t>
        </is>
      </c>
      <c r="C98" t="inlineStr">
        <is>
          <t>AEO.2025.HIGHZTC.KEI_NA_COMM_NA_NA_NA_ESC_CDD.A</t>
        </is>
      </c>
      <c r="D98" t="inlineStr">
        <is>
          <t>CDD</t>
        </is>
      </c>
      <c r="F98" t="n">
        <v>1859</v>
      </c>
      <c r="G98" t="n">
        <v>1773</v>
      </c>
      <c r="H98" t="n">
        <v>1781</v>
      </c>
      <c r="I98" t="n">
        <v>1788</v>
      </c>
      <c r="J98" t="n">
        <v>1796</v>
      </c>
      <c r="K98" t="n">
        <v>1803</v>
      </c>
      <c r="L98" t="n">
        <v>1811</v>
      </c>
      <c r="M98" t="n">
        <v>1818</v>
      </c>
      <c r="N98" t="n">
        <v>1826</v>
      </c>
      <c r="O98" t="n">
        <v>1834</v>
      </c>
      <c r="P98" t="n">
        <v>1841</v>
      </c>
      <c r="Q98" t="n">
        <v>1849</v>
      </c>
      <c r="R98" t="n">
        <v>1857</v>
      </c>
      <c r="S98" t="n">
        <v>1864</v>
      </c>
      <c r="T98" t="n">
        <v>1872</v>
      </c>
      <c r="U98" t="n">
        <v>1879</v>
      </c>
      <c r="V98" t="n">
        <v>1887</v>
      </c>
      <c r="W98" t="n">
        <v>1895</v>
      </c>
      <c r="X98" t="n">
        <v>1902</v>
      </c>
      <c r="Y98" t="n">
        <v>1910</v>
      </c>
      <c r="Z98" t="n">
        <v>1918</v>
      </c>
      <c r="AA98" t="n">
        <v>1925</v>
      </c>
      <c r="AB98" t="n">
        <v>1933</v>
      </c>
      <c r="AC98" t="n">
        <v>1940</v>
      </c>
      <c r="AD98" t="n">
        <v>1948</v>
      </c>
      <c r="AE98" t="n">
        <v>1956</v>
      </c>
      <c r="AF98" t="n">
        <v>1963</v>
      </c>
      <c r="AG98" s="42" t="n">
        <v>0.002</v>
      </c>
    </row>
    <row r="99">
      <c r="A99" t="inlineStr">
        <is>
          <t>West South Central</t>
        </is>
      </c>
      <c r="B99" t="inlineStr">
        <is>
          <t>Commercial: Cooling Degree Days: West South Central: High Zero-Carbon Technology Cost</t>
        </is>
      </c>
      <c r="C99" t="inlineStr">
        <is>
          <t>AEO.2025.HIGHZTC.KEI_NA_COMM_NA_NA_NA_WSC_CDD.A</t>
        </is>
      </c>
      <c r="D99" t="inlineStr">
        <is>
          <t>CDD</t>
        </is>
      </c>
      <c r="F99" t="n">
        <v>3073</v>
      </c>
      <c r="G99" t="n">
        <v>2901</v>
      </c>
      <c r="H99" t="n">
        <v>2915</v>
      </c>
      <c r="I99" t="n">
        <v>2928</v>
      </c>
      <c r="J99" t="n">
        <v>2942</v>
      </c>
      <c r="K99" t="n">
        <v>2955</v>
      </c>
      <c r="L99" t="n">
        <v>2969</v>
      </c>
      <c r="M99" t="n">
        <v>2982</v>
      </c>
      <c r="N99" t="n">
        <v>2996</v>
      </c>
      <c r="O99" t="n">
        <v>3010</v>
      </c>
      <c r="P99" t="n">
        <v>3023</v>
      </c>
      <c r="Q99" t="n">
        <v>3037</v>
      </c>
      <c r="R99" t="n">
        <v>3050</v>
      </c>
      <c r="S99" t="n">
        <v>3064</v>
      </c>
      <c r="T99" t="n">
        <v>3077</v>
      </c>
      <c r="U99" t="n">
        <v>3091</v>
      </c>
      <c r="V99" t="n">
        <v>3104</v>
      </c>
      <c r="W99" t="n">
        <v>3118</v>
      </c>
      <c r="X99" t="n">
        <v>3131</v>
      </c>
      <c r="Y99" t="n">
        <v>3145</v>
      </c>
      <c r="Z99" t="n">
        <v>3158</v>
      </c>
      <c r="AA99" t="n">
        <v>3172</v>
      </c>
      <c r="AB99" t="n">
        <v>3185</v>
      </c>
      <c r="AC99" t="n">
        <v>3199</v>
      </c>
      <c r="AD99" t="n">
        <v>3212</v>
      </c>
      <c r="AE99" t="n">
        <v>3226</v>
      </c>
      <c r="AF99" t="n">
        <v>3239</v>
      </c>
      <c r="AG99" s="42" t="n">
        <v>0.002</v>
      </c>
    </row>
    <row r="100">
      <c r="A100" t="inlineStr">
        <is>
          <t>Mountain</t>
        </is>
      </c>
      <c r="B100" t="inlineStr">
        <is>
          <t>Commercial: Cooling Degree Days: Mountain: High Zero-Carbon Technology Cost</t>
        </is>
      </c>
      <c r="C100" t="inlineStr">
        <is>
          <t>AEO.2025.HIGHZTC.KEI_NA_COMM_NA_NA_NA_MTN_CDD.A</t>
        </is>
      </c>
      <c r="D100" t="inlineStr">
        <is>
          <t>CDD</t>
        </is>
      </c>
      <c r="F100" t="n">
        <v>1710</v>
      </c>
      <c r="G100" t="n">
        <v>1568</v>
      </c>
      <c r="H100" t="n">
        <v>1575</v>
      </c>
      <c r="I100" t="n">
        <v>1583</v>
      </c>
      <c r="J100" t="n">
        <v>1591</v>
      </c>
      <c r="K100" t="n">
        <v>1598</v>
      </c>
      <c r="L100" t="n">
        <v>1606</v>
      </c>
      <c r="M100" t="n">
        <v>1613</v>
      </c>
      <c r="N100" t="n">
        <v>1621</v>
      </c>
      <c r="O100" t="n">
        <v>1629</v>
      </c>
      <c r="P100" t="n">
        <v>1636</v>
      </c>
      <c r="Q100" t="n">
        <v>1644</v>
      </c>
      <c r="R100" t="n">
        <v>1651</v>
      </c>
      <c r="S100" t="n">
        <v>1659</v>
      </c>
      <c r="T100" t="n">
        <v>1666</v>
      </c>
      <c r="U100" t="n">
        <v>1674</v>
      </c>
      <c r="V100" t="n">
        <v>1681</v>
      </c>
      <c r="W100" t="n">
        <v>1689</v>
      </c>
      <c r="X100" t="n">
        <v>1696</v>
      </c>
      <c r="Y100" t="n">
        <v>1703</v>
      </c>
      <c r="Z100" t="n">
        <v>1711</v>
      </c>
      <c r="AA100" t="n">
        <v>1718</v>
      </c>
      <c r="AB100" t="n">
        <v>1725</v>
      </c>
      <c r="AC100" t="n">
        <v>1733</v>
      </c>
      <c r="AD100" t="n">
        <v>1740</v>
      </c>
      <c r="AE100" t="n">
        <v>1747</v>
      </c>
      <c r="AF100" t="n">
        <v>1755</v>
      </c>
      <c r="AG100" s="42" t="n">
        <v>0.001</v>
      </c>
    </row>
    <row r="101">
      <c r="A101" t="inlineStr">
        <is>
          <t>Pacific</t>
        </is>
      </c>
      <c r="B101" t="inlineStr">
        <is>
          <t>Commercial: Cooling Degree Days: Pacific: High Zero-Carbon Technology Cost</t>
        </is>
      </c>
      <c r="C101" t="inlineStr">
        <is>
          <t>AEO.2025.HIGHZTC.KEI_NA_COMM_NA_NA_NA_PCF_CDD.A</t>
        </is>
      </c>
      <c r="D101" t="inlineStr">
        <is>
          <t>CDD</t>
        </is>
      </c>
      <c r="F101" t="n">
        <v>1056</v>
      </c>
      <c r="G101" t="n">
        <v>1023</v>
      </c>
      <c r="H101" t="n">
        <v>1032</v>
      </c>
      <c r="I101" t="n">
        <v>1040</v>
      </c>
      <c r="J101" t="n">
        <v>1049</v>
      </c>
      <c r="K101" t="n">
        <v>1057</v>
      </c>
      <c r="L101" t="n">
        <v>1066</v>
      </c>
      <c r="M101" t="n">
        <v>1075</v>
      </c>
      <c r="N101" t="n">
        <v>1083</v>
      </c>
      <c r="O101" t="n">
        <v>1092</v>
      </c>
      <c r="P101" t="n">
        <v>1101</v>
      </c>
      <c r="Q101" t="n">
        <v>1109</v>
      </c>
      <c r="R101" t="n">
        <v>1118</v>
      </c>
      <c r="S101" t="n">
        <v>1127</v>
      </c>
      <c r="T101" t="n">
        <v>1135</v>
      </c>
      <c r="U101" t="n">
        <v>1144</v>
      </c>
      <c r="V101" t="n">
        <v>1153</v>
      </c>
      <c r="W101" t="n">
        <v>1161</v>
      </c>
      <c r="X101" t="n">
        <v>1170</v>
      </c>
      <c r="Y101" t="n">
        <v>1179</v>
      </c>
      <c r="Z101" t="n">
        <v>1188</v>
      </c>
      <c r="AA101" t="n">
        <v>1196</v>
      </c>
      <c r="AB101" t="n">
        <v>1205</v>
      </c>
      <c r="AC101" t="n">
        <v>1214</v>
      </c>
      <c r="AD101" t="n">
        <v>1222</v>
      </c>
      <c r="AE101" t="n">
        <v>1231</v>
      </c>
      <c r="AF101" t="n">
        <v>1240</v>
      </c>
      <c r="AG101" s="42" t="n">
        <v>0.006</v>
      </c>
    </row>
    <row r="102">
      <c r="A102" t="inlineStr">
        <is>
          <t>United States</t>
        </is>
      </c>
      <c r="B102" t="inlineStr">
        <is>
          <t>Commercial: Cooling Degree Days: United States: High Zero-Carbon Technology Cost</t>
        </is>
      </c>
      <c r="C102" t="inlineStr">
        <is>
          <t>AEO.2025.HIGHZTC.KEI_NA_COMM_NA_NA_NA_USA_CDD.A</t>
        </is>
      </c>
      <c r="D102" t="inlineStr">
        <is>
          <t>CDD</t>
        </is>
      </c>
      <c r="F102" t="n">
        <v>1616.899048</v>
      </c>
      <c r="G102" t="n">
        <v>1566.379517</v>
      </c>
      <c r="H102" t="n">
        <v>1578.362671</v>
      </c>
      <c r="I102" t="n">
        <v>1589.96106</v>
      </c>
      <c r="J102" t="n">
        <v>1602.043945</v>
      </c>
      <c r="K102" t="n">
        <v>1613.705811</v>
      </c>
      <c r="L102" t="n">
        <v>1626.06604</v>
      </c>
      <c r="M102" t="n">
        <v>1637.931152</v>
      </c>
      <c r="N102" t="n">
        <v>1650.127319</v>
      </c>
      <c r="O102" t="n">
        <v>1662.213379</v>
      </c>
      <c r="P102" t="n">
        <v>1674.297119</v>
      </c>
      <c r="Q102" t="n">
        <v>1686.352173</v>
      </c>
      <c r="R102" t="n">
        <v>1698.634277</v>
      </c>
      <c r="S102" t="n">
        <v>1711.057495</v>
      </c>
      <c r="T102" t="n">
        <v>1722.959839</v>
      </c>
      <c r="U102" t="n">
        <v>1735.467896</v>
      </c>
      <c r="V102" t="n">
        <v>1747.792114</v>
      </c>
      <c r="W102" t="n">
        <v>1760.29248</v>
      </c>
      <c r="X102" t="n">
        <v>1772.279053</v>
      </c>
      <c r="Y102" t="n">
        <v>1784.803711</v>
      </c>
      <c r="Z102" t="n">
        <v>1797.338501</v>
      </c>
      <c r="AA102" t="n">
        <v>1809.679199</v>
      </c>
      <c r="AB102" t="n">
        <v>1822.108643</v>
      </c>
      <c r="AC102" t="n">
        <v>1834.589722</v>
      </c>
      <c r="AD102" t="n">
        <v>1846.810181</v>
      </c>
      <c r="AE102" t="n">
        <v>1859.140259</v>
      </c>
      <c r="AF102" t="n">
        <v>1871.439209</v>
      </c>
      <c r="AG102" s="42" t="n">
        <v>0.006</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I99"/>
  <sheetViews>
    <sheetView workbookViewId="0">
      <selection activeCell="A16" sqref="A16:A30"/>
    </sheetView>
  </sheetViews>
  <sheetFormatPr baseColWidth="8" defaultRowHeight="14.25"/>
  <cols>
    <col width="22.796875" customWidth="1" min="1" max="1"/>
  </cols>
  <sheetData>
    <row r="1">
      <c r="A1" t="inlineStr">
        <is>
          <t>Table 5.  Commercial Sector Key Indicators and Consumption</t>
        </is>
      </c>
    </row>
    <row r="2">
      <c r="A2" t="inlineStr">
        <is>
          <t>https://www.eia.gov/outlooks/aeo/data/browser/#/?id=5-AEO2023&amp;sourcekey=0</t>
        </is>
      </c>
    </row>
    <row r="3">
      <c r="A3" t="inlineStr">
        <is>
          <t>Fri Jan 30 2026 11:55:45 GMT-0800 (Pacific Standard Time)</t>
        </is>
      </c>
    </row>
    <row r="4">
      <c r="A4" t="inlineStr">
        <is>
          <t>Source: U.S. Energy Information Administration</t>
        </is>
      </c>
    </row>
    <row r="5">
      <c r="B5" t="inlineStr">
        <is>
          <t>full name</t>
        </is>
      </c>
      <c r="C5" t="inlineStr">
        <is>
          <t>api key</t>
        </is>
      </c>
      <c r="D5" t="inlineStr">
        <is>
          <t>units</t>
        </is>
      </c>
      <c r="E5" t="n">
        <v>2021</v>
      </c>
      <c r="F5" t="n">
        <v>2022</v>
      </c>
      <c r="G5" t="n">
        <v>2023</v>
      </c>
      <c r="H5" t="n">
        <v>2024</v>
      </c>
      <c r="I5" t="n">
        <v>2025</v>
      </c>
      <c r="J5" t="n">
        <v>2026</v>
      </c>
      <c r="K5" t="n">
        <v>2027</v>
      </c>
      <c r="L5" t="n">
        <v>2028</v>
      </c>
      <c r="M5" t="n">
        <v>2029</v>
      </c>
      <c r="N5" t="n">
        <v>2030</v>
      </c>
      <c r="O5" t="n">
        <v>2031</v>
      </c>
      <c r="P5" t="n">
        <v>2032</v>
      </c>
      <c r="Q5" t="n">
        <v>2033</v>
      </c>
      <c r="R5" t="n">
        <v>2034</v>
      </c>
      <c r="S5" t="n">
        <v>2035</v>
      </c>
      <c r="T5" t="n">
        <v>2036</v>
      </c>
      <c r="U5" t="n">
        <v>2037</v>
      </c>
      <c r="V5" t="n">
        <v>2038</v>
      </c>
      <c r="W5" t="n">
        <v>2039</v>
      </c>
      <c r="X5" t="n">
        <v>2040</v>
      </c>
      <c r="Y5" t="n">
        <v>2041</v>
      </c>
      <c r="Z5" t="n">
        <v>2042</v>
      </c>
      <c r="AA5" t="n">
        <v>2043</v>
      </c>
      <c r="AB5" t="n">
        <v>2044</v>
      </c>
      <c r="AC5" t="n">
        <v>2045</v>
      </c>
      <c r="AD5" t="n">
        <v>2046</v>
      </c>
      <c r="AE5" t="n">
        <v>2047</v>
      </c>
      <c r="AF5" t="n">
        <v>2048</v>
      </c>
      <c r="AG5" t="n">
        <v>2049</v>
      </c>
      <c r="AH5" t="n">
        <v>2050</v>
      </c>
      <c r="AI5" t="inlineStr">
        <is>
          <t>Growth (2022-2050)</t>
        </is>
      </c>
    </row>
    <row r="6">
      <c r="A6" t="inlineStr">
        <is>
          <t>Key Indicators</t>
        </is>
      </c>
    </row>
    <row r="7">
      <c r="A7" t="inlineStr">
        <is>
          <t>Total Floorspace (billion square feet)</t>
        </is>
      </c>
    </row>
    <row r="8">
      <c r="A8" t="inlineStr">
        <is>
          <t>Surviving</t>
        </is>
      </c>
      <c r="B8" t="inlineStr">
        <is>
          <t>Commercial: Total Floorspace: Surviving: Reference case</t>
        </is>
      </c>
      <c r="C8" t="inlineStr">
        <is>
          <t>AEO.2023.REF2023.KEI_NA_COMM_NA_TFP_SURV_USA_BLNSQFT.A</t>
        </is>
      </c>
      <c r="D8" t="inlineStr">
        <is>
          <t>billion sq ft</t>
        </is>
      </c>
      <c r="F8" t="n">
        <v>93.44426</v>
      </c>
      <c r="G8" t="n">
        <v>94.36694300000001</v>
      </c>
      <c r="H8" t="n">
        <v>95.261948</v>
      </c>
      <c r="I8" t="n">
        <v>96.23369599999999</v>
      </c>
      <c r="J8" t="n">
        <v>97.372681</v>
      </c>
      <c r="K8" t="n">
        <v>98.426239</v>
      </c>
      <c r="L8" t="n">
        <v>99.43583700000001</v>
      </c>
      <c r="M8" t="n">
        <v>100.540588</v>
      </c>
      <c r="N8" t="n">
        <v>101.747238</v>
      </c>
      <c r="O8" t="n">
        <v>103.031937</v>
      </c>
      <c r="P8" t="n">
        <v>104.364388</v>
      </c>
      <c r="Q8" t="n">
        <v>105.671158</v>
      </c>
      <c r="R8" t="n">
        <v>106.90464</v>
      </c>
      <c r="S8" t="n">
        <v>108.064949</v>
      </c>
      <c r="T8" t="n">
        <v>109.148827</v>
      </c>
      <c r="U8" t="n">
        <v>110.162224</v>
      </c>
      <c r="V8" t="n">
        <v>111.118996</v>
      </c>
      <c r="W8" t="n">
        <v>112.022484</v>
      </c>
      <c r="X8" t="n">
        <v>112.878952</v>
      </c>
      <c r="Y8" t="n">
        <v>113.69973</v>
      </c>
      <c r="Z8" t="n">
        <v>114.495079</v>
      </c>
      <c r="AA8" t="n">
        <v>115.27697</v>
      </c>
      <c r="AB8" t="n">
        <v>116.05735</v>
      </c>
      <c r="AC8" t="n">
        <v>116.844925</v>
      </c>
      <c r="AD8" t="n">
        <v>117.646149</v>
      </c>
      <c r="AE8" t="n">
        <v>118.46553</v>
      </c>
      <c r="AF8" t="n">
        <v>119.305115</v>
      </c>
      <c r="AG8" t="n">
        <v>120.165375</v>
      </c>
      <c r="AH8" t="n">
        <v>121.045486</v>
      </c>
      <c r="AI8" s="42" t="n">
        <v>0.008999999999999999</v>
      </c>
    </row>
    <row r="9">
      <c r="A9" t="inlineStr">
        <is>
          <t>New Additions</t>
        </is>
      </c>
      <c r="B9" t="inlineStr">
        <is>
          <t>Commercial: Total Floorspace: New Additions: Reference case</t>
        </is>
      </c>
      <c r="C9" t="inlineStr">
        <is>
          <t>AEO.2023.REF2023.KEI_NA_COMM_NA_TFP_NADN_USA_BLNSQFT.A</t>
        </is>
      </c>
      <c r="D9" t="inlineStr">
        <is>
          <t>billion sq ft</t>
        </is>
      </c>
      <c r="F9" t="n">
        <v>2.027277</v>
      </c>
      <c r="G9" t="n">
        <v>2.008512</v>
      </c>
      <c r="H9" t="n">
        <v>2.0946</v>
      </c>
      <c r="I9" t="n">
        <v>2.272168</v>
      </c>
      <c r="J9" t="n">
        <v>2.197147</v>
      </c>
      <c r="K9" t="n">
        <v>2.163451</v>
      </c>
      <c r="L9" t="n">
        <v>2.269371</v>
      </c>
      <c r="M9" t="n">
        <v>2.382768</v>
      </c>
      <c r="N9" t="n">
        <v>2.473055</v>
      </c>
      <c r="O9" t="n">
        <v>2.533678</v>
      </c>
      <c r="P9" t="n">
        <v>2.521117</v>
      </c>
      <c r="Q9" t="n">
        <v>2.460828</v>
      </c>
      <c r="R9" t="n">
        <v>2.400291</v>
      </c>
      <c r="S9" t="n">
        <v>2.336108</v>
      </c>
      <c r="T9" t="n">
        <v>2.277334</v>
      </c>
      <c r="U9" t="n">
        <v>2.231909</v>
      </c>
      <c r="V9" t="n">
        <v>2.189344</v>
      </c>
      <c r="W9" t="n">
        <v>2.152566</v>
      </c>
      <c r="X9" t="n">
        <v>2.126638</v>
      </c>
      <c r="Y9" t="n">
        <v>2.110632</v>
      </c>
      <c r="Z9" t="n">
        <v>2.106252</v>
      </c>
      <c r="AA9" t="n">
        <v>2.113633</v>
      </c>
      <c r="AB9" t="n">
        <v>2.129588</v>
      </c>
      <c r="AC9" t="n">
        <v>2.151935</v>
      </c>
      <c r="AD9" t="n">
        <v>2.178813</v>
      </c>
      <c r="AE9" t="n">
        <v>2.207783</v>
      </c>
      <c r="AF9" t="n">
        <v>2.237309</v>
      </c>
      <c r="AG9" t="n">
        <v>2.266142</v>
      </c>
      <c r="AH9" t="n">
        <v>2.292936</v>
      </c>
      <c r="AI9" s="42" t="n">
        <v>0.004</v>
      </c>
    </row>
    <row r="10">
      <c r="A10" t="inlineStr">
        <is>
          <t>Total</t>
        </is>
      </c>
      <c r="B10" t="inlineStr">
        <is>
          <t>Commercial: Total Floorspace: Total: Reference case</t>
        </is>
      </c>
      <c r="C10" t="inlineStr">
        <is>
          <t>AEO.2023.REF2023.KEI_NA_COMM_NA_TFP_TOT_USA_BLNSQFT.A</t>
        </is>
      </c>
      <c r="D10" t="inlineStr">
        <is>
          <t>billion sq ft</t>
        </is>
      </c>
      <c r="F10" t="n">
        <v>95.471535</v>
      </c>
      <c r="G10" t="n">
        <v>96.37545799999999</v>
      </c>
      <c r="H10" t="n">
        <v>97.356544</v>
      </c>
      <c r="I10" t="n">
        <v>98.50586699999999</v>
      </c>
      <c r="J10" t="n">
        <v>99.569824</v>
      </c>
      <c r="K10" t="n">
        <v>100.589691</v>
      </c>
      <c r="L10" t="n">
        <v>101.705208</v>
      </c>
      <c r="M10" t="n">
        <v>102.923355</v>
      </c>
      <c r="N10" t="n">
        <v>104.220291</v>
      </c>
      <c r="O10" t="n">
        <v>105.565613</v>
      </c>
      <c r="P10" t="n">
        <v>106.885506</v>
      </c>
      <c r="Q10" t="n">
        <v>108.131989</v>
      </c>
      <c r="R10" t="n">
        <v>109.304932</v>
      </c>
      <c r="S10" t="n">
        <v>110.401054</v>
      </c>
      <c r="T10" t="n">
        <v>111.426163</v>
      </c>
      <c r="U10" t="n">
        <v>112.394135</v>
      </c>
      <c r="V10" t="n">
        <v>113.308342</v>
      </c>
      <c r="W10" t="n">
        <v>114.175049</v>
      </c>
      <c r="X10" t="n">
        <v>115.005592</v>
      </c>
      <c r="Y10" t="n">
        <v>115.810364</v>
      </c>
      <c r="Z10" t="n">
        <v>116.601334</v>
      </c>
      <c r="AA10" t="n">
        <v>117.390602</v>
      </c>
      <c r="AB10" t="n">
        <v>118.186935</v>
      </c>
      <c r="AC10" t="n">
        <v>118.996857</v>
      </c>
      <c r="AD10" t="n">
        <v>119.824959</v>
      </c>
      <c r="AE10" t="n">
        <v>120.673317</v>
      </c>
      <c r="AF10" t="n">
        <v>121.542419</v>
      </c>
      <c r="AG10" t="n">
        <v>122.431519</v>
      </c>
      <c r="AH10" t="n">
        <v>123.338425</v>
      </c>
      <c r="AI10" s="42" t="n">
        <v>0.008999999999999999</v>
      </c>
    </row>
    <row r="11">
      <c r="A11" t="inlineStr">
        <is>
          <t>Energy Consumption Intensity</t>
        </is>
      </c>
    </row>
    <row r="12">
      <c r="A12" t="inlineStr">
        <is>
          <t>(thousand Btu per square foot)</t>
        </is>
      </c>
    </row>
    <row r="13">
      <c r="A13" t="inlineStr">
        <is>
          <t>Gross End-use Consumption</t>
        </is>
      </c>
      <c r="B13" t="inlineStr">
        <is>
          <t>Commercial: Energy Use Intensity: Gross End-use Consumption: Reference case</t>
        </is>
      </c>
      <c r="C13" t="inlineStr">
        <is>
          <t>AEO.2023.REF2023.INY_NA_COMM_NA_EUI_DLENCONS_USA_THBTUPSQFT.A</t>
        </is>
      </c>
      <c r="D13" t="inlineStr">
        <is>
          <t>thousand Btu/sq ft</t>
        </is>
      </c>
      <c r="F13" t="n">
        <v>97.783371</v>
      </c>
      <c r="G13" t="n">
        <v>96.37367999999999</v>
      </c>
      <c r="H13" t="n">
        <v>94.586517</v>
      </c>
      <c r="I13" t="n">
        <v>93.94135300000001</v>
      </c>
      <c r="J13" t="n">
        <v>93.461243</v>
      </c>
      <c r="K13" t="n">
        <v>92.806595</v>
      </c>
      <c r="L13" t="n">
        <v>92.46199799999999</v>
      </c>
      <c r="M13" t="n">
        <v>91.902512</v>
      </c>
      <c r="N13" t="n">
        <v>91.177719</v>
      </c>
      <c r="O13" t="n">
        <v>90.426102</v>
      </c>
      <c r="P13" t="n">
        <v>89.704483</v>
      </c>
      <c r="Q13" t="n">
        <v>88.94278</v>
      </c>
      <c r="R13" t="n">
        <v>88.20341500000001</v>
      </c>
      <c r="S13" t="n">
        <v>87.533478</v>
      </c>
      <c r="T13" t="n">
        <v>86.942825</v>
      </c>
      <c r="U13" t="n">
        <v>86.362343</v>
      </c>
      <c r="V13" t="n">
        <v>85.767792</v>
      </c>
      <c r="W13" t="n">
        <v>85.219444</v>
      </c>
      <c r="X13" t="n">
        <v>84.72036</v>
      </c>
      <c r="Y13" t="n">
        <v>84.269615</v>
      </c>
      <c r="Z13" t="n">
        <v>83.86412799999999</v>
      </c>
      <c r="AA13" t="n">
        <v>83.519119</v>
      </c>
      <c r="AB13" t="n">
        <v>83.214996</v>
      </c>
      <c r="AC13" t="n">
        <v>82.896759</v>
      </c>
      <c r="AD13" t="n">
        <v>82.531181</v>
      </c>
      <c r="AE13" t="n">
        <v>82.224678</v>
      </c>
      <c r="AF13" t="n">
        <v>81.96669</v>
      </c>
      <c r="AG13" t="n">
        <v>81.719337</v>
      </c>
      <c r="AH13" t="n">
        <v>81.461876</v>
      </c>
      <c r="AI13" s="42" t="n">
        <v>-0.007</v>
      </c>
    </row>
    <row r="14">
      <c r="A14" t="inlineStr">
        <is>
          <t>Delivered Energy Consumption</t>
        </is>
      </c>
      <c r="B14" t="inlineStr">
        <is>
          <t>Commercial: Energy Use Intensity: Delivered Energy Consumption: Reference case</t>
        </is>
      </c>
      <c r="C14" t="inlineStr">
        <is>
          <t>AEO.2023.REF2023.INY_NA_COMM_NA_EUI_ERL_USA_THBTUPSQFT.A</t>
        </is>
      </c>
      <c r="D14" t="inlineStr">
        <is>
          <t>thousand Btu/sq ft</t>
        </is>
      </c>
      <c r="F14" t="n">
        <v>96.52018700000001</v>
      </c>
      <c r="G14" t="n">
        <v>94.9076</v>
      </c>
      <c r="H14" t="n">
        <v>92.965706</v>
      </c>
      <c r="I14" t="n">
        <v>92.204842</v>
      </c>
      <c r="J14" t="n">
        <v>91.668808</v>
      </c>
      <c r="K14" t="n">
        <v>90.94574</v>
      </c>
      <c r="L14" t="n">
        <v>90.54761499999999</v>
      </c>
      <c r="M14" t="n">
        <v>89.89782</v>
      </c>
      <c r="N14" t="n">
        <v>89.117981</v>
      </c>
      <c r="O14" t="n">
        <v>88.313622</v>
      </c>
      <c r="P14" t="n">
        <v>87.548271</v>
      </c>
      <c r="Q14" t="n">
        <v>86.710747</v>
      </c>
      <c r="R14" t="n">
        <v>85.890129</v>
      </c>
      <c r="S14" t="n">
        <v>85.181641</v>
      </c>
      <c r="T14" t="n">
        <v>84.502602</v>
      </c>
      <c r="U14" t="n">
        <v>83.87790699999999</v>
      </c>
      <c r="V14" t="n">
        <v>83.211494</v>
      </c>
      <c r="W14" t="n">
        <v>82.597618</v>
      </c>
      <c r="X14" t="n">
        <v>82.04258</v>
      </c>
      <c r="Y14" t="n">
        <v>81.545753</v>
      </c>
      <c r="Z14" t="n">
        <v>81.10485799999999</v>
      </c>
      <c r="AA14" t="n">
        <v>80.731537</v>
      </c>
      <c r="AB14" t="n">
        <v>80.40325199999999</v>
      </c>
      <c r="AC14" t="n">
        <v>80.062279</v>
      </c>
      <c r="AD14" t="n">
        <v>79.64553100000001</v>
      </c>
      <c r="AE14" t="n">
        <v>79.33513600000001</v>
      </c>
      <c r="AF14" t="n">
        <v>79.057587</v>
      </c>
      <c r="AG14" t="n">
        <v>78.810997</v>
      </c>
      <c r="AH14" t="n">
        <v>78.56098900000001</v>
      </c>
      <c r="AI14" s="42" t="n">
        <v>-0.007</v>
      </c>
    </row>
    <row r="15">
      <c r="A15" t="inlineStr">
        <is>
          <t>Energy Consumption by Fuel</t>
        </is>
      </c>
    </row>
    <row r="16">
      <c r="A16" t="inlineStr">
        <is>
          <t>Electricity</t>
        </is>
      </c>
    </row>
    <row r="17">
      <c r="A17" t="inlineStr">
        <is>
          <t>Space Heating</t>
        </is>
      </c>
      <c r="B17" t="inlineStr">
        <is>
          <t>Commercial: Purchased Electricity: Space Heating: Reference case</t>
        </is>
      </c>
      <c r="C17" t="inlineStr">
        <is>
          <t>AEO.2023.REF2023.CNSM_NA_COMM_NA_PRC_SPH_USA_QBTU.A</t>
        </is>
      </c>
      <c r="D17" t="inlineStr">
        <is>
          <t>quads</t>
        </is>
      </c>
      <c r="F17" t="n">
        <v>0.119273</v>
      </c>
      <c r="G17" t="n">
        <v>0.118361</v>
      </c>
      <c r="H17" t="n">
        <v>0.110862</v>
      </c>
      <c r="I17" t="n">
        <v>0.111099</v>
      </c>
      <c r="J17" t="n">
        <v>0.111147</v>
      </c>
      <c r="K17" t="n">
        <v>0.110854</v>
      </c>
      <c r="L17" t="n">
        <v>0.110384</v>
      </c>
      <c r="M17" t="n">
        <v>0.109759</v>
      </c>
      <c r="N17" t="n">
        <v>0.108987</v>
      </c>
      <c r="O17" t="n">
        <v>0.108285</v>
      </c>
      <c r="P17" t="n">
        <v>0.107479</v>
      </c>
      <c r="Q17" t="n">
        <v>0.106449</v>
      </c>
      <c r="R17" t="n">
        <v>0.105275</v>
      </c>
      <c r="S17" t="n">
        <v>0.104142</v>
      </c>
      <c r="T17" t="n">
        <v>0.102983</v>
      </c>
      <c r="U17" t="n">
        <v>0.101737</v>
      </c>
      <c r="V17" t="n">
        <v>0.100347</v>
      </c>
      <c r="W17" t="n">
        <v>0.098874</v>
      </c>
      <c r="X17" t="n">
        <v>0.097414</v>
      </c>
      <c r="Y17" t="n">
        <v>0.09606000000000001</v>
      </c>
      <c r="Z17" t="n">
        <v>0.094758</v>
      </c>
      <c r="AA17" t="n">
        <v>0.093488</v>
      </c>
      <c r="AB17" t="n">
        <v>0.09221600000000001</v>
      </c>
      <c r="AC17" t="n">
        <v>0.09093900000000001</v>
      </c>
      <c r="AD17" t="n">
        <v>0.089708</v>
      </c>
      <c r="AE17" t="n">
        <v>0.088523</v>
      </c>
      <c r="AF17" t="n">
        <v>0.087315</v>
      </c>
      <c r="AG17" t="n">
        <v>0.086134</v>
      </c>
      <c r="AH17" t="n">
        <v>0.08499</v>
      </c>
      <c r="AI17" s="42" t="n">
        <v>-0.012</v>
      </c>
    </row>
    <row r="18">
      <c r="A18" t="inlineStr">
        <is>
          <t>Space Cooling</t>
        </is>
      </c>
      <c r="B18" t="inlineStr">
        <is>
          <t>Commercial: Purchased Electricity: Space Cooling: Reference case</t>
        </is>
      </c>
      <c r="C18" t="inlineStr">
        <is>
          <t>AEO.2023.REF2023.CNSM_NA_COMM_NA_PRC_SPC_USA_QBTU.A</t>
        </is>
      </c>
      <c r="D18" t="inlineStr">
        <is>
          <t>quads</t>
        </is>
      </c>
      <c r="F18" t="n">
        <v>0.54288</v>
      </c>
      <c r="G18" t="n">
        <v>0.477379</v>
      </c>
      <c r="H18" t="n">
        <v>0.550791</v>
      </c>
      <c r="I18" t="n">
        <v>0.560045</v>
      </c>
      <c r="J18" t="n">
        <v>0.56775</v>
      </c>
      <c r="K18" t="n">
        <v>0.575085</v>
      </c>
      <c r="L18" t="n">
        <v>0.582462</v>
      </c>
      <c r="M18" t="n">
        <v>0.589573</v>
      </c>
      <c r="N18" t="n">
        <v>0.595396</v>
      </c>
      <c r="O18" t="n">
        <v>0.601495</v>
      </c>
      <c r="P18" t="n">
        <v>0.607785</v>
      </c>
      <c r="Q18" t="n">
        <v>0.612405</v>
      </c>
      <c r="R18" t="n">
        <v>0.616628</v>
      </c>
      <c r="S18" t="n">
        <v>0.621292</v>
      </c>
      <c r="T18" t="n">
        <v>0.626046</v>
      </c>
      <c r="U18" t="n">
        <v>0.630735</v>
      </c>
      <c r="V18" t="n">
        <v>0.6349359999999999</v>
      </c>
      <c r="W18" t="n">
        <v>0.639136</v>
      </c>
      <c r="X18" t="n">
        <v>0.642875</v>
      </c>
      <c r="Y18" t="n">
        <v>0.647011</v>
      </c>
      <c r="Z18" t="n">
        <v>0.651487</v>
      </c>
      <c r="AA18" t="n">
        <v>0.656187</v>
      </c>
      <c r="AB18" t="n">
        <v>0.6612749999999999</v>
      </c>
      <c r="AC18" t="n">
        <v>0.666915</v>
      </c>
      <c r="AD18" t="n">
        <v>0.673704</v>
      </c>
      <c r="AE18" t="n">
        <v>0.681264</v>
      </c>
      <c r="AF18" t="n">
        <v>0.6890540000000001</v>
      </c>
      <c r="AG18" t="n">
        <v>0.696994</v>
      </c>
      <c r="AH18" t="n">
        <v>0.705699</v>
      </c>
      <c r="AI18" s="42" t="n">
        <v>0.008999999999999999</v>
      </c>
    </row>
    <row r="19">
      <c r="A19" t="inlineStr">
        <is>
          <t>Water Heating</t>
        </is>
      </c>
      <c r="B19" t="inlineStr">
        <is>
          <t>Commercial: Purchased Electricity: Water Heating: Reference case</t>
        </is>
      </c>
      <c r="C19" t="inlineStr">
        <is>
          <t>AEO.2023.REF2023.CNSM_NA_COMM_NA_PRC_WTHT_USA_QBTU.A</t>
        </is>
      </c>
      <c r="D19" t="inlineStr">
        <is>
          <t>quads</t>
        </is>
      </c>
      <c r="F19" t="n">
        <v>0.024215</v>
      </c>
      <c r="G19" t="n">
        <v>0.023555</v>
      </c>
      <c r="H19" t="n">
        <v>0.02313</v>
      </c>
      <c r="I19" t="n">
        <v>0.02287</v>
      </c>
      <c r="J19" t="n">
        <v>0.022632</v>
      </c>
      <c r="K19" t="n">
        <v>0.022556</v>
      </c>
      <c r="L19" t="n">
        <v>0.022463</v>
      </c>
      <c r="M19" t="n">
        <v>0.02235</v>
      </c>
      <c r="N19" t="n">
        <v>0.022206</v>
      </c>
      <c r="O19" t="n">
        <v>0.022059</v>
      </c>
      <c r="P19" t="n">
        <v>0.021899</v>
      </c>
      <c r="Q19" t="n">
        <v>0.021688</v>
      </c>
      <c r="R19" t="n">
        <v>0.021453</v>
      </c>
      <c r="S19" t="n">
        <v>0.021236</v>
      </c>
      <c r="T19" t="n">
        <v>0.021016</v>
      </c>
      <c r="U19" t="n">
        <v>0.020783</v>
      </c>
      <c r="V19" t="n">
        <v>0.020526</v>
      </c>
      <c r="W19" t="n">
        <v>0.020267</v>
      </c>
      <c r="X19" t="n">
        <v>0.02001</v>
      </c>
      <c r="Y19" t="n">
        <v>0.019778</v>
      </c>
      <c r="Z19" t="n">
        <v>0.019556</v>
      </c>
      <c r="AA19" t="n">
        <v>0.019342</v>
      </c>
      <c r="AB19" t="n">
        <v>0.019133</v>
      </c>
      <c r="AC19" t="n">
        <v>0.01893</v>
      </c>
      <c r="AD19" t="n">
        <v>0.018741</v>
      </c>
      <c r="AE19" t="n">
        <v>0.01857</v>
      </c>
      <c r="AF19" t="n">
        <v>0.0184</v>
      </c>
      <c r="AG19" t="n">
        <v>0.018239</v>
      </c>
      <c r="AH19" t="n">
        <v>0.018094</v>
      </c>
      <c r="AI19" s="42" t="n">
        <v>-0.01</v>
      </c>
    </row>
    <row r="20">
      <c r="A20" t="inlineStr">
        <is>
          <t>Ventilation</t>
        </is>
      </c>
      <c r="B20" t="inlineStr">
        <is>
          <t>Commercial: Purchased Electricity: Ventilation: Reference case</t>
        </is>
      </c>
      <c r="C20" t="inlineStr">
        <is>
          <t>AEO.2023.REF2023.CNSM_NA_COMM_NA_PRC_VNTC_USA_QBTU.A</t>
        </is>
      </c>
      <c r="D20" t="inlineStr">
        <is>
          <t>quads</t>
        </is>
      </c>
      <c r="F20" t="n">
        <v>0.418793</v>
      </c>
      <c r="G20" t="n">
        <v>0.407891</v>
      </c>
      <c r="H20" t="n">
        <v>0.400019</v>
      </c>
      <c r="I20" t="n">
        <v>0.394285</v>
      </c>
      <c r="J20" t="n">
        <v>0.38814</v>
      </c>
      <c r="K20" t="n">
        <v>0.381195</v>
      </c>
      <c r="L20" t="n">
        <v>0.373949</v>
      </c>
      <c r="M20" t="n">
        <v>0.366494</v>
      </c>
      <c r="N20" t="n">
        <v>0.358411</v>
      </c>
      <c r="O20" t="n">
        <v>0.350666</v>
      </c>
      <c r="P20" t="n">
        <v>0.342958</v>
      </c>
      <c r="Q20" t="n">
        <v>0.334873</v>
      </c>
      <c r="R20" t="n">
        <v>0.326773</v>
      </c>
      <c r="S20" t="n">
        <v>0.319148</v>
      </c>
      <c r="T20" t="n">
        <v>0.311811</v>
      </c>
      <c r="U20" t="n">
        <v>0.30456</v>
      </c>
      <c r="V20" t="n">
        <v>0.297195</v>
      </c>
      <c r="W20" t="n">
        <v>0.289957</v>
      </c>
      <c r="X20" t="n">
        <v>0.283031</v>
      </c>
      <c r="Y20" t="n">
        <v>0.276615</v>
      </c>
      <c r="Z20" t="n">
        <v>0.270569</v>
      </c>
      <c r="AA20" t="n">
        <v>0.264814</v>
      </c>
      <c r="AB20" t="n">
        <v>0.259292</v>
      </c>
      <c r="AC20" t="n">
        <v>0.253978</v>
      </c>
      <c r="AD20" t="n">
        <v>0.248923</v>
      </c>
      <c r="AE20" t="n">
        <v>0.244183</v>
      </c>
      <c r="AF20" t="n">
        <v>0.239593</v>
      </c>
      <c r="AG20" t="n">
        <v>0.235279</v>
      </c>
      <c r="AH20" t="n">
        <v>0.231259</v>
      </c>
      <c r="AI20" s="42" t="n">
        <v>-0.021</v>
      </c>
    </row>
    <row r="21">
      <c r="A21" t="inlineStr">
        <is>
          <t>Cooking</t>
        </is>
      </c>
      <c r="B21" t="inlineStr">
        <is>
          <t>Commercial: Purchased Electricity: Cooking: Reference case</t>
        </is>
      </c>
      <c r="C21" t="inlineStr">
        <is>
          <t>AEO.2023.REF2023.CNSM_NA_COMM_NA_PRC_CGR_USA_QBTU.A</t>
        </is>
      </c>
      <c r="D21" t="inlineStr">
        <is>
          <t>quads</t>
        </is>
      </c>
      <c r="F21" t="n">
        <v>0.08237700000000001</v>
      </c>
      <c r="G21" t="n">
        <v>0.08171100000000001</v>
      </c>
      <c r="H21" t="n">
        <v>0.081787</v>
      </c>
      <c r="I21" t="n">
        <v>0.082301</v>
      </c>
      <c r="J21" t="n">
        <v>0.08263</v>
      </c>
      <c r="K21" t="n">
        <v>0.082722</v>
      </c>
      <c r="L21" t="n">
        <v>0.082723</v>
      </c>
      <c r="M21" t="n">
        <v>0.08264000000000001</v>
      </c>
      <c r="N21" t="n">
        <v>0.082438</v>
      </c>
      <c r="O21" t="n">
        <v>0.08223999999999999</v>
      </c>
      <c r="P21" t="n">
        <v>0.081999</v>
      </c>
      <c r="Q21" t="n">
        <v>0.081577</v>
      </c>
      <c r="R21" t="n">
        <v>0.08106099999999999</v>
      </c>
      <c r="S21" t="n">
        <v>0.080577</v>
      </c>
      <c r="T21" t="n">
        <v>0.080065</v>
      </c>
      <c r="U21" t="n">
        <v>0.07949100000000001</v>
      </c>
      <c r="V21" t="n">
        <v>0.07882699999999999</v>
      </c>
      <c r="W21" t="n">
        <v>0.07813000000000001</v>
      </c>
      <c r="X21" t="n">
        <v>0.077413</v>
      </c>
      <c r="Y21" t="n">
        <v>0.07677100000000001</v>
      </c>
      <c r="Z21" t="n">
        <v>0.076153</v>
      </c>
      <c r="AA21" t="n">
        <v>0.075557</v>
      </c>
      <c r="AB21" t="n">
        <v>0.074978</v>
      </c>
      <c r="AC21" t="n">
        <v>0.074415</v>
      </c>
      <c r="AD21" t="n">
        <v>0.073904</v>
      </c>
      <c r="AE21" t="n">
        <v>0.07345599999999999</v>
      </c>
      <c r="AF21" t="n">
        <v>0.072993</v>
      </c>
      <c r="AG21" t="n">
        <v>0.072537</v>
      </c>
      <c r="AH21" t="n">
        <v>0.07212200000000001</v>
      </c>
      <c r="AI21" s="42" t="n">
        <v>-0.005</v>
      </c>
    </row>
    <row r="22">
      <c r="A22" t="inlineStr">
        <is>
          <t>Lighting</t>
        </is>
      </c>
      <c r="B22" t="inlineStr">
        <is>
          <t>Commercial: Purchased Electricity: Lighting: Reference case</t>
        </is>
      </c>
      <c r="C22" t="inlineStr">
        <is>
          <t>AEO.2023.REF2023.CNSM_NA_COMM_NA_PRC_LGHTNG_USA_QBTU.A</t>
        </is>
      </c>
      <c r="D22" t="inlineStr">
        <is>
          <t>quads</t>
        </is>
      </c>
      <c r="F22" t="n">
        <v>0.497281</v>
      </c>
      <c r="G22" t="n">
        <v>0.48856</v>
      </c>
      <c r="H22" t="n">
        <v>0.485795</v>
      </c>
      <c r="I22" t="n">
        <v>0.487572</v>
      </c>
      <c r="J22" t="n">
        <v>0.489366</v>
      </c>
      <c r="K22" t="n">
        <v>0.490566</v>
      </c>
      <c r="L22" t="n">
        <v>0.492025</v>
      </c>
      <c r="M22" t="n">
        <v>0.493689</v>
      </c>
      <c r="N22" t="n">
        <v>0.491019</v>
      </c>
      <c r="O22" t="n">
        <v>0.488961</v>
      </c>
      <c r="P22" t="n">
        <v>0.486973</v>
      </c>
      <c r="Q22" t="n">
        <v>0.484227</v>
      </c>
      <c r="R22" t="n">
        <v>0.480979</v>
      </c>
      <c r="S22" t="n">
        <v>0.47801</v>
      </c>
      <c r="T22" t="n">
        <v>0.474966</v>
      </c>
      <c r="U22" t="n">
        <v>0.470955</v>
      </c>
      <c r="V22" t="n">
        <v>0.46601</v>
      </c>
      <c r="W22" t="n">
        <v>0.459942</v>
      </c>
      <c r="X22" t="n">
        <v>0.457929</v>
      </c>
      <c r="Y22" t="n">
        <v>0.456811</v>
      </c>
      <c r="Z22" t="n">
        <v>0.455971</v>
      </c>
      <c r="AA22" t="n">
        <v>0.45553</v>
      </c>
      <c r="AB22" t="n">
        <v>0.455459</v>
      </c>
      <c r="AC22" t="n">
        <v>0.45568</v>
      </c>
      <c r="AD22" t="n">
        <v>0.456329</v>
      </c>
      <c r="AE22" t="n">
        <v>0.457722</v>
      </c>
      <c r="AF22" t="n">
        <v>0.459158</v>
      </c>
      <c r="AG22" t="n">
        <v>0.460843</v>
      </c>
      <c r="AH22" t="n">
        <v>0.463004</v>
      </c>
      <c r="AI22" s="42" t="n">
        <v>-0.003</v>
      </c>
    </row>
    <row r="23">
      <c r="A23" t="inlineStr">
        <is>
          <t>Refrigeration</t>
        </is>
      </c>
      <c r="B23" t="inlineStr">
        <is>
          <t>Commercial: Purchased Electricity: Refrigeration: Reference case</t>
        </is>
      </c>
      <c r="C23" t="inlineStr">
        <is>
          <t>AEO.2023.REF2023.CNSM_NA_COMM_NA_PRC_REFR_USA_QBTU.A</t>
        </is>
      </c>
      <c r="D23" t="inlineStr">
        <is>
          <t>quads</t>
        </is>
      </c>
      <c r="F23" t="n">
        <v>0.603352</v>
      </c>
      <c r="G23" t="n">
        <v>0.601355</v>
      </c>
      <c r="H23" t="n">
        <v>0.60268</v>
      </c>
      <c r="I23" t="n">
        <v>0.606446</v>
      </c>
      <c r="J23" t="n">
        <v>0.609686</v>
      </c>
      <c r="K23" t="n">
        <v>0.612279</v>
      </c>
      <c r="L23" t="n">
        <v>0.615204</v>
      </c>
      <c r="M23" t="n">
        <v>0.618493</v>
      </c>
      <c r="N23" t="n">
        <v>0.620748</v>
      </c>
      <c r="O23" t="n">
        <v>0.6239</v>
      </c>
      <c r="P23" t="n">
        <v>0.62699</v>
      </c>
      <c r="Q23" t="n">
        <v>0.629387</v>
      </c>
      <c r="R23" t="n">
        <v>0.631325</v>
      </c>
      <c r="S23" t="n">
        <v>0.6332140000000001</v>
      </c>
      <c r="T23" t="n">
        <v>0.6348549999999999</v>
      </c>
      <c r="U23" t="n">
        <v>0.636155</v>
      </c>
      <c r="V23" t="n">
        <v>0.636938</v>
      </c>
      <c r="W23" t="n">
        <v>0.637474</v>
      </c>
      <c r="X23" t="n">
        <v>0.637919</v>
      </c>
      <c r="Y23" t="n">
        <v>0.639058</v>
      </c>
      <c r="Z23" t="n">
        <v>0.640294</v>
      </c>
      <c r="AA23" t="n">
        <v>0.641609</v>
      </c>
      <c r="AB23" t="n">
        <v>0.642984</v>
      </c>
      <c r="AC23" t="n">
        <v>0.644417</v>
      </c>
      <c r="AD23" t="n">
        <v>0.645996</v>
      </c>
      <c r="AE23" t="n">
        <v>0.647793</v>
      </c>
      <c r="AF23" t="n">
        <v>0.649657</v>
      </c>
      <c r="AG23" t="n">
        <v>0.651697</v>
      </c>
      <c r="AH23" t="n">
        <v>0.653934</v>
      </c>
      <c r="AI23" s="42" t="n">
        <v>0.003</v>
      </c>
    </row>
    <row r="24">
      <c r="A24" t="inlineStr">
        <is>
          <t>Computing</t>
        </is>
      </c>
      <c r="B24" t="inlineStr">
        <is>
          <t>Commercial: Purchased Electricity: Computing: Reference case</t>
        </is>
      </c>
      <c r="C24" t="inlineStr">
        <is>
          <t>AEO.2023.REF2023.CNSM_NA_COMM_NA_PRC_OTHEQPPC_USA_QBTU.A</t>
        </is>
      </c>
      <c r="D24" t="inlineStr">
        <is>
          <t>quads</t>
        </is>
      </c>
      <c r="F24" t="n">
        <v>0.430736</v>
      </c>
      <c r="G24" t="n">
        <v>0.434585</v>
      </c>
      <c r="H24" t="n">
        <v>0.439935</v>
      </c>
      <c r="I24" t="n">
        <v>0.447378</v>
      </c>
      <c r="J24" t="n">
        <v>0.454369</v>
      </c>
      <c r="K24" t="n">
        <v>0.460986</v>
      </c>
      <c r="L24" t="n">
        <v>0.468872</v>
      </c>
      <c r="M24" t="n">
        <v>0.477159</v>
      </c>
      <c r="N24" t="n">
        <v>0.486197</v>
      </c>
      <c r="O24" t="n">
        <v>0.495433</v>
      </c>
      <c r="P24" t="n">
        <v>0.505082</v>
      </c>
      <c r="Q24" t="n">
        <v>0.514312</v>
      </c>
      <c r="R24" t="n">
        <v>0.523711</v>
      </c>
      <c r="S24" t="n">
        <v>0.532915</v>
      </c>
      <c r="T24" t="n">
        <v>0.5429040000000001</v>
      </c>
      <c r="U24" t="n">
        <v>0.552165</v>
      </c>
      <c r="V24" t="n">
        <v>0.562175</v>
      </c>
      <c r="W24" t="n">
        <v>0.572007</v>
      </c>
      <c r="X24" t="n">
        <v>0.581746</v>
      </c>
      <c r="Y24" t="n">
        <v>0.591454</v>
      </c>
      <c r="Z24" t="n">
        <v>0.601737</v>
      </c>
      <c r="AA24" t="n">
        <v>0.612648</v>
      </c>
      <c r="AB24" t="n">
        <v>0.623171</v>
      </c>
      <c r="AC24" t="n">
        <v>0.634406</v>
      </c>
      <c r="AD24" t="n">
        <v>0.646435</v>
      </c>
      <c r="AE24" t="n">
        <v>0.6582209999999999</v>
      </c>
      <c r="AF24" t="n">
        <v>0.670737</v>
      </c>
      <c r="AG24" t="n">
        <v>0.683498</v>
      </c>
      <c r="AH24" t="n">
        <v>0.69654</v>
      </c>
      <c r="AI24" s="42" t="n">
        <v>0.017</v>
      </c>
    </row>
    <row r="25">
      <c r="A25" t="inlineStr">
        <is>
          <t>Office Equipment</t>
        </is>
      </c>
      <c r="B25" t="inlineStr">
        <is>
          <t>Commercial: Purchased Electricity: Office Equipment: Reference case</t>
        </is>
      </c>
      <c r="C25" t="inlineStr">
        <is>
          <t>AEO.2023.REF2023.CNSM_NA_COMM_NA_PRC_OTHEQPNPC_USA_QBTU.A</t>
        </is>
      </c>
      <c r="D25" t="inlineStr">
        <is>
          <t>quads</t>
        </is>
      </c>
      <c r="F25" t="n">
        <v>0.174708</v>
      </c>
      <c r="G25" t="n">
        <v>0.173262</v>
      </c>
      <c r="H25" t="n">
        <v>0.172777</v>
      </c>
      <c r="I25" t="n">
        <v>0.173193</v>
      </c>
      <c r="J25" t="n">
        <v>0.173864</v>
      </c>
      <c r="K25" t="n">
        <v>0.174594</v>
      </c>
      <c r="L25" t="n">
        <v>0.175666</v>
      </c>
      <c r="M25" t="n">
        <v>0.177107</v>
      </c>
      <c r="N25" t="n">
        <v>0.178874</v>
      </c>
      <c r="O25" t="n">
        <v>0.180673</v>
      </c>
      <c r="P25" t="n">
        <v>0.182679</v>
      </c>
      <c r="Q25" t="n">
        <v>0.184498</v>
      </c>
      <c r="R25" t="n">
        <v>0.185888</v>
      </c>
      <c r="S25" t="n">
        <v>0.187457</v>
      </c>
      <c r="T25" t="n">
        <v>0.188627</v>
      </c>
      <c r="U25" t="n">
        <v>0.189682</v>
      </c>
      <c r="V25" t="n">
        <v>0.190608</v>
      </c>
      <c r="W25" t="n">
        <v>0.190859</v>
      </c>
      <c r="X25" t="n">
        <v>0.19104</v>
      </c>
      <c r="Y25" t="n">
        <v>0.190877</v>
      </c>
      <c r="Z25" t="n">
        <v>0.19009</v>
      </c>
      <c r="AA25" t="n">
        <v>0.188979</v>
      </c>
      <c r="AB25" t="n">
        <v>0.18755</v>
      </c>
      <c r="AC25" t="n">
        <v>0.1855</v>
      </c>
      <c r="AD25" t="n">
        <v>0.183143</v>
      </c>
      <c r="AE25" t="n">
        <v>0.180174</v>
      </c>
      <c r="AF25" t="n">
        <v>0.176542</v>
      </c>
      <c r="AG25" t="n">
        <v>0.172244</v>
      </c>
      <c r="AH25" t="n">
        <v>0.166953</v>
      </c>
      <c r="AI25" s="42" t="n">
        <v>-0.002</v>
      </c>
    </row>
    <row r="26">
      <c r="A26" t="inlineStr">
        <is>
          <t>Other Uses</t>
        </is>
      </c>
      <c r="B26" t="inlineStr">
        <is>
          <t>Commercial: Purchased Electricity: Other Uses: Reference case</t>
        </is>
      </c>
      <c r="C26" t="inlineStr">
        <is>
          <t>AEO.2023.REF2023.CNSM_NA_COMM_NA_PRC_OTHU_USA_QBTU.A</t>
        </is>
      </c>
      <c r="D26" t="inlineStr">
        <is>
          <t>quads</t>
        </is>
      </c>
      <c r="F26" t="n">
        <v>1.8215</v>
      </c>
      <c r="G26" t="n">
        <v>1.853537</v>
      </c>
      <c r="H26" t="n">
        <v>1.835454</v>
      </c>
      <c r="I26" t="n">
        <v>1.821644</v>
      </c>
      <c r="J26" t="n">
        <v>1.820174</v>
      </c>
      <c r="K26" t="n">
        <v>1.817382</v>
      </c>
      <c r="L26" t="n">
        <v>1.837756</v>
      </c>
      <c r="M26" t="n">
        <v>1.859593</v>
      </c>
      <c r="N26" t="n">
        <v>1.882188</v>
      </c>
      <c r="O26" t="n">
        <v>1.90582</v>
      </c>
      <c r="P26" t="n">
        <v>1.929482</v>
      </c>
      <c r="Q26" t="n">
        <v>1.951943</v>
      </c>
      <c r="R26" t="n">
        <v>1.973375</v>
      </c>
      <c r="S26" t="n">
        <v>1.994686</v>
      </c>
      <c r="T26" t="n">
        <v>2.015948</v>
      </c>
      <c r="U26" t="n">
        <v>2.036447</v>
      </c>
      <c r="V26" t="n">
        <v>2.056621</v>
      </c>
      <c r="W26" t="n">
        <v>2.076788</v>
      </c>
      <c r="X26" t="n">
        <v>2.096851</v>
      </c>
      <c r="Y26" t="n">
        <v>2.117749</v>
      </c>
      <c r="Z26" t="n">
        <v>2.13926</v>
      </c>
      <c r="AA26" t="n">
        <v>2.161906</v>
      </c>
      <c r="AB26" t="n">
        <v>2.185556</v>
      </c>
      <c r="AC26" t="n">
        <v>2.21069</v>
      </c>
      <c r="AD26" t="n">
        <v>2.236834</v>
      </c>
      <c r="AE26" t="n">
        <v>2.264744</v>
      </c>
      <c r="AF26" t="n">
        <v>2.293979</v>
      </c>
      <c r="AG26" t="n">
        <v>2.324365</v>
      </c>
      <c r="AH26" t="n">
        <v>2.356389</v>
      </c>
      <c r="AI26" s="42" t="n">
        <v>0.008999999999999999</v>
      </c>
    </row>
    <row r="27">
      <c r="A27" t="inlineStr">
        <is>
          <t>Electricity Subtotal</t>
        </is>
      </c>
      <c r="B27" t="inlineStr">
        <is>
          <t>Commercial: Energy Consumption by Fuel: Electricity Subtotal: Reference case</t>
        </is>
      </c>
      <c r="C27" t="inlineStr">
        <is>
          <t>AEO.2023.REF2023.CNSM_NA_COMM_NA_PRC_DELE_USA_QBTU.A</t>
        </is>
      </c>
      <c r="D27" t="inlineStr">
        <is>
          <t>quads</t>
        </is>
      </c>
      <c r="F27" t="n">
        <v>4.715115</v>
      </c>
      <c r="G27" t="n">
        <v>4.660196</v>
      </c>
      <c r="H27" t="n">
        <v>4.703229</v>
      </c>
      <c r="I27" t="n">
        <v>4.706833</v>
      </c>
      <c r="J27" t="n">
        <v>4.719758</v>
      </c>
      <c r="K27" t="n">
        <v>4.728219</v>
      </c>
      <c r="L27" t="n">
        <v>4.761503</v>
      </c>
      <c r="M27" t="n">
        <v>4.796856</v>
      </c>
      <c r="N27" t="n">
        <v>4.826465</v>
      </c>
      <c r="O27" t="n">
        <v>4.859533</v>
      </c>
      <c r="P27" t="n">
        <v>4.893326</v>
      </c>
      <c r="Q27" t="n">
        <v>4.92136</v>
      </c>
      <c r="R27" t="n">
        <v>4.946467</v>
      </c>
      <c r="S27" t="n">
        <v>4.972676</v>
      </c>
      <c r="T27" t="n">
        <v>4.99922</v>
      </c>
      <c r="U27" t="n">
        <v>5.022711</v>
      </c>
      <c r="V27" t="n">
        <v>5.044183</v>
      </c>
      <c r="W27" t="n">
        <v>5.063434</v>
      </c>
      <c r="X27" t="n">
        <v>5.086228</v>
      </c>
      <c r="Y27" t="n">
        <v>5.112185</v>
      </c>
      <c r="Z27" t="n">
        <v>5.139875</v>
      </c>
      <c r="AA27" t="n">
        <v>5.170059</v>
      </c>
      <c r="AB27" t="n">
        <v>5.201613</v>
      </c>
      <c r="AC27" t="n">
        <v>5.235871</v>
      </c>
      <c r="AD27" t="n">
        <v>5.273718</v>
      </c>
      <c r="AE27" t="n">
        <v>5.314649</v>
      </c>
      <c r="AF27" t="n">
        <v>5.357429</v>
      </c>
      <c r="AG27" t="n">
        <v>5.401831</v>
      </c>
      <c r="AH27" t="n">
        <v>5.448982</v>
      </c>
      <c r="AI27" s="42" t="n">
        <v>0.005</v>
      </c>
    </row>
    <row r="28">
      <c r="A28" t="inlineStr">
        <is>
          <t>On-site Generation for Own Use</t>
        </is>
      </c>
      <c r="B28" t="inlineStr">
        <is>
          <t>Commercial: Energy Consumption by Fuel: Generation for Own Use: Reference case</t>
        </is>
      </c>
      <c r="C28" t="inlineStr">
        <is>
          <t>AEO.2023.REF2023.GEN_NA_COMM_NA_GFO_ELC_USA_QBTU.A</t>
        </is>
      </c>
      <c r="D28" t="inlineStr">
        <is>
          <t>quads</t>
        </is>
      </c>
      <c r="F28" t="n">
        <v>0.120598</v>
      </c>
      <c r="G28" t="n">
        <v>0.141293</v>
      </c>
      <c r="H28" t="n">
        <v>0.157796</v>
      </c>
      <c r="I28" t="n">
        <v>0.171057</v>
      </c>
      <c r="J28" t="n">
        <v>0.178473</v>
      </c>
      <c r="K28" t="n">
        <v>0.187182</v>
      </c>
      <c r="L28" t="n">
        <v>0.194703</v>
      </c>
      <c r="M28" t="n">
        <v>0.206329</v>
      </c>
      <c r="N28" t="n">
        <v>0.214666</v>
      </c>
      <c r="O28" t="n">
        <v>0.223006</v>
      </c>
      <c r="P28" t="n">
        <v>0.230468</v>
      </c>
      <c r="Q28" t="n">
        <v>0.241354</v>
      </c>
      <c r="R28" t="n">
        <v>0.252853</v>
      </c>
      <c r="S28" t="n">
        <v>0.259646</v>
      </c>
      <c r="T28" t="n">
        <v>0.271905</v>
      </c>
      <c r="U28" t="n">
        <v>0.279236</v>
      </c>
      <c r="V28" t="n">
        <v>0.289649</v>
      </c>
      <c r="W28" t="n">
        <v>0.299346</v>
      </c>
      <c r="X28" t="n">
        <v>0.307959</v>
      </c>
      <c r="Y28" t="n">
        <v>0.31545</v>
      </c>
      <c r="Z28" t="n">
        <v>0.321735</v>
      </c>
      <c r="AA28" t="n">
        <v>0.327236</v>
      </c>
      <c r="AB28" t="n">
        <v>0.332311</v>
      </c>
      <c r="AC28" t="n">
        <v>0.337295</v>
      </c>
      <c r="AD28" t="n">
        <v>0.345774</v>
      </c>
      <c r="AE28" t="n">
        <v>0.34869</v>
      </c>
      <c r="AF28" t="n">
        <v>0.35358</v>
      </c>
      <c r="AG28" t="n">
        <v>0.356073</v>
      </c>
      <c r="AH28" t="n">
        <v>0.357791</v>
      </c>
      <c r="AI28" s="42" t="n">
        <v>0.04</v>
      </c>
    </row>
    <row r="29">
      <c r="A29" t="inlineStr">
        <is>
          <t>Purchased Electricity</t>
        </is>
      </c>
      <c r="B29" t="inlineStr">
        <is>
          <t>Commercial: Energy Consumption by Fuel: Purchased Electricity: Reference case</t>
        </is>
      </c>
      <c r="C29" t="inlineStr">
        <is>
          <t>AEO.2023.REF2023.CNSM_NA_COMM_NA_DELE_ELC_USA_QBTU.A</t>
        </is>
      </c>
      <c r="D29" t="inlineStr">
        <is>
          <t>quads</t>
        </is>
      </c>
      <c r="F29" t="n">
        <v>4.594516</v>
      </c>
      <c r="G29" t="n">
        <v>4.518903</v>
      </c>
      <c r="H29" t="n">
        <v>4.545434</v>
      </c>
      <c r="I29" t="n">
        <v>4.535777</v>
      </c>
      <c r="J29" t="n">
        <v>4.541285</v>
      </c>
      <c r="K29" t="n">
        <v>4.541036</v>
      </c>
      <c r="L29" t="n">
        <v>4.5668</v>
      </c>
      <c r="M29" t="n">
        <v>4.590527</v>
      </c>
      <c r="N29" t="n">
        <v>4.611798</v>
      </c>
      <c r="O29" t="n">
        <v>4.636527</v>
      </c>
      <c r="P29" t="n">
        <v>4.662858</v>
      </c>
      <c r="Q29" t="n">
        <v>4.680006</v>
      </c>
      <c r="R29" t="n">
        <v>4.693614</v>
      </c>
      <c r="S29" t="n">
        <v>4.71303</v>
      </c>
      <c r="T29" t="n">
        <v>4.727315</v>
      </c>
      <c r="U29" t="n">
        <v>4.743475</v>
      </c>
      <c r="V29" t="n">
        <v>4.754533</v>
      </c>
      <c r="W29" t="n">
        <v>4.764088</v>
      </c>
      <c r="X29" t="n">
        <v>4.77827</v>
      </c>
      <c r="Y29" t="n">
        <v>4.796735</v>
      </c>
      <c r="Z29" t="n">
        <v>4.818141</v>
      </c>
      <c r="AA29" t="n">
        <v>4.842824</v>
      </c>
      <c r="AB29" t="n">
        <v>4.869302</v>
      </c>
      <c r="AC29" t="n">
        <v>4.898576</v>
      </c>
      <c r="AD29" t="n">
        <v>4.927944</v>
      </c>
      <c r="AE29" t="n">
        <v>4.965959</v>
      </c>
      <c r="AF29" t="n">
        <v>5.003849</v>
      </c>
      <c r="AG29" t="n">
        <v>5.045757</v>
      </c>
      <c r="AH29" t="n">
        <v>5.091191</v>
      </c>
      <c r="AI29" s="42" t="n">
        <v>0.004</v>
      </c>
    </row>
    <row r="30">
      <c r="A30" t="inlineStr">
        <is>
          <t>Natural Gas</t>
        </is>
      </c>
    </row>
    <row r="31">
      <c r="A31" t="inlineStr">
        <is>
          <t>Space Heating</t>
        </is>
      </c>
      <c r="B31" t="inlineStr">
        <is>
          <t>Commercial: Natural Gas: Space Heating: Reference case</t>
        </is>
      </c>
      <c r="C31" t="inlineStr">
        <is>
          <t>AEO.2023.REF2023.CNSM_NA_COMM_NA_NG_SPH_USA_QBTU.A</t>
        </is>
      </c>
      <c r="D31" t="inlineStr">
        <is>
          <t>quads</t>
        </is>
      </c>
      <c r="F31" t="n">
        <v>1.825454</v>
      </c>
      <c r="G31" t="n">
        <v>1.7947</v>
      </c>
      <c r="H31" t="n">
        <v>1.706173</v>
      </c>
      <c r="I31" t="n">
        <v>1.738566</v>
      </c>
      <c r="J31" t="n">
        <v>1.76394</v>
      </c>
      <c r="K31" t="n">
        <v>1.779544</v>
      </c>
      <c r="L31" t="n">
        <v>1.788921</v>
      </c>
      <c r="M31" t="n">
        <v>1.79061</v>
      </c>
      <c r="N31" t="n">
        <v>1.7891</v>
      </c>
      <c r="O31" t="n">
        <v>1.787161</v>
      </c>
      <c r="P31" t="n">
        <v>1.78353</v>
      </c>
      <c r="Q31" t="n">
        <v>1.776289</v>
      </c>
      <c r="R31" t="n">
        <v>1.767478</v>
      </c>
      <c r="S31" t="n">
        <v>1.757646</v>
      </c>
      <c r="T31" t="n">
        <v>1.748321</v>
      </c>
      <c r="U31" t="n">
        <v>1.738137</v>
      </c>
      <c r="V31" t="n">
        <v>1.725022</v>
      </c>
      <c r="W31" t="n">
        <v>1.712733</v>
      </c>
      <c r="X31" t="n">
        <v>1.699783</v>
      </c>
      <c r="Y31" t="n">
        <v>1.686558</v>
      </c>
      <c r="Z31" t="n">
        <v>1.673985</v>
      </c>
      <c r="AA31" t="n">
        <v>1.663169</v>
      </c>
      <c r="AB31" t="n">
        <v>1.653979</v>
      </c>
      <c r="AC31" t="n">
        <v>1.642917</v>
      </c>
      <c r="AD31" t="n">
        <v>1.629286</v>
      </c>
      <c r="AE31" t="n">
        <v>1.617342</v>
      </c>
      <c r="AF31" t="n">
        <v>1.607314</v>
      </c>
      <c r="AG31" t="n">
        <v>1.597087</v>
      </c>
      <c r="AH31" t="n">
        <v>1.585169</v>
      </c>
      <c r="AI31" s="42" t="n">
        <v>-0.005</v>
      </c>
    </row>
    <row r="32">
      <c r="A32" t="inlineStr">
        <is>
          <t>Space Cooling</t>
        </is>
      </c>
      <c r="B32" t="inlineStr">
        <is>
          <t>Commercial: Natural Gas: Space Cooling: Reference case</t>
        </is>
      </c>
      <c r="C32" t="inlineStr">
        <is>
          <t>AEO.2023.REF2023.CNSM_NA_COMM_NA_NG_SPC_USA_QBTU.A</t>
        </is>
      </c>
      <c r="D32" t="inlineStr">
        <is>
          <t>quads</t>
        </is>
      </c>
      <c r="F32" t="n">
        <v>0.024829</v>
      </c>
      <c r="G32" t="n">
        <v>0.019927</v>
      </c>
      <c r="H32" t="n">
        <v>0.025627</v>
      </c>
      <c r="I32" t="n">
        <v>0.025995</v>
      </c>
      <c r="J32" t="n">
        <v>0.026232</v>
      </c>
      <c r="K32" t="n">
        <v>0.026372</v>
      </c>
      <c r="L32" t="n">
        <v>0.026435</v>
      </c>
      <c r="M32" t="n">
        <v>0.026429</v>
      </c>
      <c r="N32" t="n">
        <v>0.026391</v>
      </c>
      <c r="O32" t="n">
        <v>0.026353</v>
      </c>
      <c r="P32" t="n">
        <v>0.026314</v>
      </c>
      <c r="Q32" t="n">
        <v>0.026221</v>
      </c>
      <c r="R32" t="n">
        <v>0.026135</v>
      </c>
      <c r="S32" t="n">
        <v>0.026053</v>
      </c>
      <c r="T32" t="n">
        <v>0.025982</v>
      </c>
      <c r="U32" t="n">
        <v>0.025909</v>
      </c>
      <c r="V32" t="n">
        <v>0.025794</v>
      </c>
      <c r="W32" t="n">
        <v>0.025696</v>
      </c>
      <c r="X32" t="n">
        <v>0.025607</v>
      </c>
      <c r="Y32" t="n">
        <v>0.025509</v>
      </c>
      <c r="Z32" t="n">
        <v>0.025444</v>
      </c>
      <c r="AA32" t="n">
        <v>0.025413</v>
      </c>
      <c r="AB32" t="n">
        <v>0.025411</v>
      </c>
      <c r="AC32" t="n">
        <v>0.025387</v>
      </c>
      <c r="AD32" t="n">
        <v>0.025342</v>
      </c>
      <c r="AE32" t="n">
        <v>0.025319</v>
      </c>
      <c r="AF32" t="n">
        <v>0.025355</v>
      </c>
      <c r="AG32" t="n">
        <v>0.025379</v>
      </c>
      <c r="AH32" t="n">
        <v>0.025378</v>
      </c>
      <c r="AI32" s="42" t="n">
        <v>0.001</v>
      </c>
    </row>
    <row r="33">
      <c r="A33" t="inlineStr">
        <is>
          <t>Water Heating</t>
        </is>
      </c>
      <c r="B33" t="inlineStr">
        <is>
          <t>Commercial: Natural Gas: Water Heating: Reference case</t>
        </is>
      </c>
      <c r="C33" t="inlineStr">
        <is>
          <t>AEO.2023.REF2023.CNSM_NA_COMM_NA_NG_WTHT_USA_QBTU.A</t>
        </is>
      </c>
      <c r="D33" t="inlineStr">
        <is>
          <t>quads</t>
        </is>
      </c>
      <c r="F33" t="n">
        <v>0.592038</v>
      </c>
      <c r="G33" t="n">
        <v>0.587033</v>
      </c>
      <c r="H33" t="n">
        <v>0.59738</v>
      </c>
      <c r="I33" t="n">
        <v>0.612751</v>
      </c>
      <c r="J33" t="n">
        <v>0.625663</v>
      </c>
      <c r="K33" t="n">
        <v>0.635529</v>
      </c>
      <c r="L33" t="n">
        <v>0.643779</v>
      </c>
      <c r="M33" t="n">
        <v>0.6500359999999999</v>
      </c>
      <c r="N33" t="n">
        <v>0.65564</v>
      </c>
      <c r="O33" t="n">
        <v>0.661104</v>
      </c>
      <c r="P33" t="n">
        <v>0.666126</v>
      </c>
      <c r="Q33" t="n">
        <v>0.669921</v>
      </c>
      <c r="R33" t="n">
        <v>0.673173</v>
      </c>
      <c r="S33" t="n">
        <v>0.676108</v>
      </c>
      <c r="T33" t="n">
        <v>0.679318</v>
      </c>
      <c r="U33" t="n">
        <v>0.682179</v>
      </c>
      <c r="V33" t="n">
        <v>0.683963</v>
      </c>
      <c r="W33" t="n">
        <v>0.686183</v>
      </c>
      <c r="X33" t="n">
        <v>0.688062</v>
      </c>
      <c r="Y33" t="n">
        <v>0.689956</v>
      </c>
      <c r="Z33" t="n">
        <v>0.692163</v>
      </c>
      <c r="AA33" t="n">
        <v>0.69516</v>
      </c>
      <c r="AB33" t="n">
        <v>0.6989340000000001</v>
      </c>
      <c r="AC33" t="n">
        <v>0.701843</v>
      </c>
      <c r="AD33" t="n">
        <v>0.702562</v>
      </c>
      <c r="AE33" t="n">
        <v>0.704524</v>
      </c>
      <c r="AF33" t="n">
        <v>0.7079569999999999</v>
      </c>
      <c r="AG33" t="n">
        <v>0.711782</v>
      </c>
      <c r="AH33" t="n">
        <v>0.714992</v>
      </c>
      <c r="AI33" s="42" t="n">
        <v>0.007</v>
      </c>
    </row>
    <row r="34">
      <c r="A34" t="inlineStr">
        <is>
          <t>Cooking</t>
        </is>
      </c>
      <c r="B34" t="inlineStr">
        <is>
          <t>Commercial: Natural Gas: Cooking: Reference case</t>
        </is>
      </c>
      <c r="C34" t="inlineStr">
        <is>
          <t>AEO.2023.REF2023.CNSM_NA_COMM_NA_NG_CGR_USA_QBTU.A</t>
        </is>
      </c>
      <c r="D34" t="inlineStr">
        <is>
          <t>quads</t>
        </is>
      </c>
      <c r="F34" t="n">
        <v>0.330657</v>
      </c>
      <c r="G34" t="n">
        <v>0.330951</v>
      </c>
      <c r="H34" t="n">
        <v>0.339432</v>
      </c>
      <c r="I34" t="n">
        <v>0.350318</v>
      </c>
      <c r="J34" t="n">
        <v>0.359456</v>
      </c>
      <c r="K34" t="n">
        <v>0.366753</v>
      </c>
      <c r="L34" t="n">
        <v>0.373101</v>
      </c>
      <c r="M34" t="n">
        <v>0.378484</v>
      </c>
      <c r="N34" t="n">
        <v>0.383503</v>
      </c>
      <c r="O34" t="n">
        <v>0.388504</v>
      </c>
      <c r="P34" t="n">
        <v>0.393151</v>
      </c>
      <c r="Q34" t="n">
        <v>0.397004</v>
      </c>
      <c r="R34" t="n">
        <v>0.400425</v>
      </c>
      <c r="S34" t="n">
        <v>0.403553</v>
      </c>
      <c r="T34" t="n">
        <v>0.406752</v>
      </c>
      <c r="U34" t="n">
        <v>0.409697</v>
      </c>
      <c r="V34" t="n">
        <v>0.411976</v>
      </c>
      <c r="W34" t="n">
        <v>0.414445</v>
      </c>
      <c r="X34" t="n">
        <v>0.416588</v>
      </c>
      <c r="Y34" t="n">
        <v>0.418795</v>
      </c>
      <c r="Z34" t="n">
        <v>0.421125</v>
      </c>
      <c r="AA34" t="n">
        <v>0.423867</v>
      </c>
      <c r="AB34" t="n">
        <v>0.426979</v>
      </c>
      <c r="AC34" t="n">
        <v>0.429664</v>
      </c>
      <c r="AD34" t="n">
        <v>0.4306</v>
      </c>
      <c r="AE34" t="n">
        <v>0.432317</v>
      </c>
      <c r="AF34" t="n">
        <v>0.434994</v>
      </c>
      <c r="AG34" t="n">
        <v>0.438022</v>
      </c>
      <c r="AH34" t="n">
        <v>0.440721</v>
      </c>
      <c r="AI34" s="42" t="n">
        <v>0.01</v>
      </c>
    </row>
    <row r="35">
      <c r="A35" t="inlineStr">
        <is>
          <t>Other Uses</t>
        </is>
      </c>
      <c r="B35" t="inlineStr">
        <is>
          <t>Commercial: Natural Gas: Other Uses: Reference case</t>
        </is>
      </c>
      <c r="C35" t="inlineStr">
        <is>
          <t>AEO.2023.REF2023.CNSM_NA_COMM_NA_NG_OTHU_USA_QBTU.A</t>
        </is>
      </c>
      <c r="D35" t="inlineStr">
        <is>
          <t>quads</t>
        </is>
      </c>
      <c r="F35" t="n">
        <v>0.829705</v>
      </c>
      <c r="G35" t="n">
        <v>0.877519</v>
      </c>
      <c r="H35" t="n">
        <v>0.834122</v>
      </c>
      <c r="I35" t="n">
        <v>0.813466</v>
      </c>
      <c r="J35" t="n">
        <v>0.803619</v>
      </c>
      <c r="K35" t="n">
        <v>0.790551</v>
      </c>
      <c r="L35" t="n">
        <v>0.796054</v>
      </c>
      <c r="M35" t="n">
        <v>0.799018</v>
      </c>
      <c r="N35" t="n">
        <v>0.801052</v>
      </c>
      <c r="O35" t="n">
        <v>0.802318</v>
      </c>
      <c r="P35" t="n">
        <v>0.8034790000000001</v>
      </c>
      <c r="Q35" t="n">
        <v>0.803824</v>
      </c>
      <c r="R35" t="n">
        <v>0.803934</v>
      </c>
      <c r="S35" t="n">
        <v>0.804007</v>
      </c>
      <c r="T35" t="n">
        <v>0.804495</v>
      </c>
      <c r="U35" t="n">
        <v>0.804872</v>
      </c>
      <c r="V35" t="n">
        <v>0.804778</v>
      </c>
      <c r="W35" t="n">
        <v>0.805447</v>
      </c>
      <c r="X35" t="n">
        <v>0.805684</v>
      </c>
      <c r="Y35" t="n">
        <v>0.80564</v>
      </c>
      <c r="Z35" t="n">
        <v>0.805986</v>
      </c>
      <c r="AA35" t="n">
        <v>0.807134</v>
      </c>
      <c r="AB35" t="n">
        <v>0.808823</v>
      </c>
      <c r="AC35" t="n">
        <v>0.809986</v>
      </c>
      <c r="AD35" t="n">
        <v>0.810499</v>
      </c>
      <c r="AE35" t="n">
        <v>0.811488</v>
      </c>
      <c r="AF35" t="n">
        <v>0.813177</v>
      </c>
      <c r="AG35" t="n">
        <v>0.814774</v>
      </c>
      <c r="AH35" t="n">
        <v>0.815962</v>
      </c>
      <c r="AI35" s="42" t="n">
        <v>-0.001</v>
      </c>
    </row>
    <row r="36">
      <c r="A36" t="inlineStr">
        <is>
          <t>Delivered Energy</t>
        </is>
      </c>
      <c r="B36" t="inlineStr">
        <is>
          <t>Commercial: Natural Gas: Delivered Energy: Reference case</t>
        </is>
      </c>
      <c r="C36" t="inlineStr">
        <is>
          <t>AEO.2023.REF2023.CNSM_NA_COMM_NA_NG_DELE_USA_QBTU.A</t>
        </is>
      </c>
      <c r="D36" t="inlineStr">
        <is>
          <t>quads</t>
        </is>
      </c>
      <c r="F36" t="n">
        <v>3.602684</v>
      </c>
      <c r="G36" t="n">
        <v>3.610131</v>
      </c>
      <c r="H36" t="n">
        <v>3.502734</v>
      </c>
      <c r="I36" t="n">
        <v>3.541095</v>
      </c>
      <c r="J36" t="n">
        <v>3.578909</v>
      </c>
      <c r="K36" t="n">
        <v>3.598749</v>
      </c>
      <c r="L36" t="n">
        <v>3.628291</v>
      </c>
      <c r="M36" t="n">
        <v>3.644576</v>
      </c>
      <c r="N36" t="n">
        <v>3.655685</v>
      </c>
      <c r="O36" t="n">
        <v>3.66544</v>
      </c>
      <c r="P36" t="n">
        <v>3.672601</v>
      </c>
      <c r="Q36" t="n">
        <v>3.673259</v>
      </c>
      <c r="R36" t="n">
        <v>3.671146</v>
      </c>
      <c r="S36" t="n">
        <v>3.667367</v>
      </c>
      <c r="T36" t="n">
        <v>3.664868</v>
      </c>
      <c r="U36" t="n">
        <v>3.660794</v>
      </c>
      <c r="V36" t="n">
        <v>3.651533</v>
      </c>
      <c r="W36" t="n">
        <v>3.644504</v>
      </c>
      <c r="X36" t="n">
        <v>3.635725</v>
      </c>
      <c r="Y36" t="n">
        <v>3.626458</v>
      </c>
      <c r="Z36" t="n">
        <v>3.618704</v>
      </c>
      <c r="AA36" t="n">
        <v>3.614743</v>
      </c>
      <c r="AB36" t="n">
        <v>3.614126</v>
      </c>
      <c r="AC36" t="n">
        <v>3.609797</v>
      </c>
      <c r="AD36" t="n">
        <v>3.598289</v>
      </c>
      <c r="AE36" t="n">
        <v>3.59099</v>
      </c>
      <c r="AF36" t="n">
        <v>3.588797</v>
      </c>
      <c r="AG36" t="n">
        <v>3.587044</v>
      </c>
      <c r="AH36" t="n">
        <v>3.582223</v>
      </c>
      <c r="AI36" s="42" t="n">
        <v>0</v>
      </c>
    </row>
    <row r="37">
      <c r="A37" t="inlineStr">
        <is>
          <t>Distillate Fuel Oil</t>
        </is>
      </c>
    </row>
    <row r="38">
      <c r="A38" t="inlineStr">
        <is>
          <t>Space Heating</t>
        </is>
      </c>
      <c r="B38" t="inlineStr">
        <is>
          <t>Commercial: Distillate Fuel Oil: Space Heating: Reference case</t>
        </is>
      </c>
      <c r="C38" t="inlineStr">
        <is>
          <t>AEO.2023.REF2023.CNSM_NA_COMM_NA_DFO_SPH_USA_QBTU.A</t>
        </is>
      </c>
      <c r="D38" t="inlineStr">
        <is>
          <t>quads</t>
        </is>
      </c>
      <c r="F38" t="n">
        <v>0.212071</v>
      </c>
      <c r="G38" t="n">
        <v>0.20616</v>
      </c>
      <c r="H38" t="n">
        <v>0.189944</v>
      </c>
      <c r="I38" t="n">
        <v>0.191777</v>
      </c>
      <c r="J38" t="n">
        <v>0.193137</v>
      </c>
      <c r="K38" t="n">
        <v>0.194076</v>
      </c>
      <c r="L38" t="n">
        <v>0.194863</v>
      </c>
      <c r="M38" t="n">
        <v>0.194118</v>
      </c>
      <c r="N38" t="n">
        <v>0.192428</v>
      </c>
      <c r="O38" t="n">
        <v>0.190378</v>
      </c>
      <c r="P38" t="n">
        <v>0.188286</v>
      </c>
      <c r="Q38" t="n">
        <v>0.186091</v>
      </c>
      <c r="R38" t="n">
        <v>0.183872</v>
      </c>
      <c r="S38" t="n">
        <v>0.181496</v>
      </c>
      <c r="T38" t="n">
        <v>0.179108</v>
      </c>
      <c r="U38" t="n">
        <v>0.176649</v>
      </c>
      <c r="V38" t="n">
        <v>0.17415</v>
      </c>
      <c r="W38" t="n">
        <v>0.171617</v>
      </c>
      <c r="X38" t="n">
        <v>0.169061</v>
      </c>
      <c r="Y38" t="n">
        <v>0.166513</v>
      </c>
      <c r="Z38" t="n">
        <v>0.164037</v>
      </c>
      <c r="AA38" t="n">
        <v>0.161519</v>
      </c>
      <c r="AB38" t="n">
        <v>0.159163</v>
      </c>
      <c r="AC38" t="n">
        <v>0.156796</v>
      </c>
      <c r="AD38" t="n">
        <v>0.154307</v>
      </c>
      <c r="AE38" t="n">
        <v>0.15187</v>
      </c>
      <c r="AF38" t="n">
        <v>0.149531</v>
      </c>
      <c r="AG38" t="n">
        <v>0.1472</v>
      </c>
      <c r="AH38" t="n">
        <v>0.144935</v>
      </c>
      <c r="AI38" s="42" t="n">
        <v>-0.014</v>
      </c>
    </row>
    <row r="39">
      <c r="A39" t="inlineStr">
        <is>
          <t>Water Heating</t>
        </is>
      </c>
      <c r="B39" t="inlineStr">
        <is>
          <t>Commercial: Distillate Fuel Oil: Water Heating: Reference case</t>
        </is>
      </c>
      <c r="C39" t="inlineStr">
        <is>
          <t>AEO.2023.REF2023.CNSM_NA_COMM_NA_DFO_WTHT_USA_QBTU.A</t>
        </is>
      </c>
      <c r="D39" t="inlineStr">
        <is>
          <t>quads</t>
        </is>
      </c>
      <c r="F39" t="n">
        <v>0.006139</v>
      </c>
      <c r="G39" t="n">
        <v>0.005899</v>
      </c>
      <c r="H39" t="n">
        <v>0.005873</v>
      </c>
      <c r="I39" t="n">
        <v>0.00598</v>
      </c>
      <c r="J39" t="n">
        <v>0.006072</v>
      </c>
      <c r="K39" t="n">
        <v>0.006151</v>
      </c>
      <c r="L39" t="n">
        <v>0.006232</v>
      </c>
      <c r="M39" t="n">
        <v>0.006269</v>
      </c>
      <c r="N39" t="n">
        <v>0.006277</v>
      </c>
      <c r="O39" t="n">
        <v>0.00627</v>
      </c>
      <c r="P39" t="n">
        <v>0.006262</v>
      </c>
      <c r="Q39" t="n">
        <v>0.006249</v>
      </c>
      <c r="R39" t="n">
        <v>0.006235</v>
      </c>
      <c r="S39" t="n">
        <v>0.006215</v>
      </c>
      <c r="T39" t="n">
        <v>0.006193</v>
      </c>
      <c r="U39" t="n">
        <v>0.006167</v>
      </c>
      <c r="V39" t="n">
        <v>0.006139</v>
      </c>
      <c r="W39" t="n">
        <v>0.006109</v>
      </c>
      <c r="X39" t="n">
        <v>0.00608</v>
      </c>
      <c r="Y39" t="n">
        <v>0.006048</v>
      </c>
      <c r="Z39" t="n">
        <v>0.006018</v>
      </c>
      <c r="AA39" t="n">
        <v>0.005986</v>
      </c>
      <c r="AB39" t="n">
        <v>0.00596</v>
      </c>
      <c r="AC39" t="n">
        <v>0.005933</v>
      </c>
      <c r="AD39" t="n">
        <v>0.005901</v>
      </c>
      <c r="AE39" t="n">
        <v>0.005871</v>
      </c>
      <c r="AF39" t="n">
        <v>0.005839</v>
      </c>
      <c r="AG39" t="n">
        <v>0.005809</v>
      </c>
      <c r="AH39" t="n">
        <v>0.00578</v>
      </c>
      <c r="AI39" s="42" t="n">
        <v>-0.002</v>
      </c>
    </row>
    <row r="40">
      <c r="A40" t="inlineStr">
        <is>
          <t>Other Uses</t>
        </is>
      </c>
      <c r="B40" t="inlineStr">
        <is>
          <t>Commercial: Distillate Fuel Oil: Other Uses: Reference case</t>
        </is>
      </c>
      <c r="C40" t="inlineStr">
        <is>
          <t>AEO.2023.REF2023.CNSM_NA_COMM_NA_DFO_OTHU_USA_QBTU.A</t>
        </is>
      </c>
      <c r="D40" t="inlineStr">
        <is>
          <t>quads</t>
        </is>
      </c>
      <c r="F40" t="n">
        <v>0.079483</v>
      </c>
      <c r="G40" t="n">
        <v>0.080017</v>
      </c>
      <c r="H40" t="n">
        <v>0.081899</v>
      </c>
      <c r="I40" t="n">
        <v>0.082917</v>
      </c>
      <c r="J40" t="n">
        <v>0.083774</v>
      </c>
      <c r="K40" t="n">
        <v>0.084482</v>
      </c>
      <c r="L40" t="n">
        <v>0.086216</v>
      </c>
      <c r="M40" t="n">
        <v>0.08727600000000001</v>
      </c>
      <c r="N40" t="n">
        <v>0.087908</v>
      </c>
      <c r="O40" t="n">
        <v>0.088286</v>
      </c>
      <c r="P40" t="n">
        <v>0.088642</v>
      </c>
      <c r="Q40" t="n">
        <v>0.08895</v>
      </c>
      <c r="R40" t="n">
        <v>0.08927400000000001</v>
      </c>
      <c r="S40" t="n">
        <v>0.08953999999999999</v>
      </c>
      <c r="T40" t="n">
        <v>0.08981</v>
      </c>
      <c r="U40" t="n">
        <v>0.09005199999999999</v>
      </c>
      <c r="V40" t="n">
        <v>0.090278</v>
      </c>
      <c r="W40" t="n">
        <v>0.09049599999999999</v>
      </c>
      <c r="X40" t="n">
        <v>0.09071700000000001</v>
      </c>
      <c r="Y40" t="n">
        <v>0.09088599999999999</v>
      </c>
      <c r="Z40" t="n">
        <v>0.091096</v>
      </c>
      <c r="AA40" t="n">
        <v>0.09127399999999999</v>
      </c>
      <c r="AB40" t="n">
        <v>0.091533</v>
      </c>
      <c r="AC40" t="n">
        <v>0.091761</v>
      </c>
      <c r="AD40" t="n">
        <v>0.09155199999999999</v>
      </c>
      <c r="AE40" t="n">
        <v>0.091488</v>
      </c>
      <c r="AF40" t="n">
        <v>0.091623</v>
      </c>
      <c r="AG40" t="n">
        <v>0.091867</v>
      </c>
      <c r="AH40" t="n">
        <v>0.092141</v>
      </c>
      <c r="AI40" s="42" t="n">
        <v>0.005</v>
      </c>
    </row>
    <row r="41">
      <c r="A41" t="inlineStr">
        <is>
          <t>Delivered Energy</t>
        </is>
      </c>
      <c r="B41" t="inlineStr">
        <is>
          <t>Commercial: Distillate Fuel Oil: Delivered Energy: Reference case</t>
        </is>
      </c>
      <c r="C41" t="inlineStr">
        <is>
          <t>AEO.2023.REF2023.CNSM_NA_COMM_NA_DFO_DELE_USA_QBTU.A</t>
        </is>
      </c>
      <c r="D41" t="inlineStr">
        <is>
          <t>quads</t>
        </is>
      </c>
      <c r="F41" t="n">
        <v>0.297694</v>
      </c>
      <c r="G41" t="n">
        <v>0.292076</v>
      </c>
      <c r="H41" t="n">
        <v>0.277716</v>
      </c>
      <c r="I41" t="n">
        <v>0.280674</v>
      </c>
      <c r="J41" t="n">
        <v>0.282983</v>
      </c>
      <c r="K41" t="n">
        <v>0.284708</v>
      </c>
      <c r="L41" t="n">
        <v>0.287311</v>
      </c>
      <c r="M41" t="n">
        <v>0.287663</v>
      </c>
      <c r="N41" t="n">
        <v>0.286613</v>
      </c>
      <c r="O41" t="n">
        <v>0.284934</v>
      </c>
      <c r="P41" t="n">
        <v>0.28319</v>
      </c>
      <c r="Q41" t="n">
        <v>0.28129</v>
      </c>
      <c r="R41" t="n">
        <v>0.27938</v>
      </c>
      <c r="S41" t="n">
        <v>0.277251</v>
      </c>
      <c r="T41" t="n">
        <v>0.275111</v>
      </c>
      <c r="U41" t="n">
        <v>0.272868</v>
      </c>
      <c r="V41" t="n">
        <v>0.270568</v>
      </c>
      <c r="W41" t="n">
        <v>0.268223</v>
      </c>
      <c r="X41" t="n">
        <v>0.265857</v>
      </c>
      <c r="Y41" t="n">
        <v>0.263447</v>
      </c>
      <c r="Z41" t="n">
        <v>0.26115</v>
      </c>
      <c r="AA41" t="n">
        <v>0.258779</v>
      </c>
      <c r="AB41" t="n">
        <v>0.256655</v>
      </c>
      <c r="AC41" t="n">
        <v>0.25449</v>
      </c>
      <c r="AD41" t="n">
        <v>0.251759</v>
      </c>
      <c r="AE41" t="n">
        <v>0.249229</v>
      </c>
      <c r="AF41" t="n">
        <v>0.246993</v>
      </c>
      <c r="AG41" t="n">
        <v>0.244876</v>
      </c>
      <c r="AH41" t="n">
        <v>0.242856</v>
      </c>
      <c r="AI41" s="42" t="n">
        <v>-0.007</v>
      </c>
    </row>
    <row r="42">
      <c r="A42" t="inlineStr">
        <is>
          <t>Marketed Renewables (biomass)</t>
        </is>
      </c>
      <c r="B42" t="inlineStr">
        <is>
          <t>Commercial: Marketed Renewables (biomass): Reference case</t>
        </is>
      </c>
      <c r="C42" t="inlineStr">
        <is>
          <t>AEO.2023.REF2023.CNSM_NA_COMM_NA_BMS_NA_USA_QBTU.A</t>
        </is>
      </c>
      <c r="D42" t="inlineStr">
        <is>
          <t>quads</t>
        </is>
      </c>
      <c r="F42" t="n">
        <v>0.120805</v>
      </c>
      <c r="G42" t="n">
        <v>0.120805</v>
      </c>
      <c r="H42" t="n">
        <v>0.120805</v>
      </c>
      <c r="I42" t="n">
        <v>0.120805</v>
      </c>
      <c r="J42" t="n">
        <v>0.120805</v>
      </c>
      <c r="K42" t="n">
        <v>0.120805</v>
      </c>
      <c r="L42" t="n">
        <v>0.120805</v>
      </c>
      <c r="M42" t="n">
        <v>0.120805</v>
      </c>
      <c r="N42" t="n">
        <v>0.120805</v>
      </c>
      <c r="O42" t="n">
        <v>0.120805</v>
      </c>
      <c r="P42" t="n">
        <v>0.120805</v>
      </c>
      <c r="Q42" t="n">
        <v>0.120805</v>
      </c>
      <c r="R42" t="n">
        <v>0.120805</v>
      </c>
      <c r="S42" t="n">
        <v>0.120805</v>
      </c>
      <c r="T42" t="n">
        <v>0.120805</v>
      </c>
      <c r="U42" t="n">
        <v>0.120805</v>
      </c>
      <c r="V42" t="n">
        <v>0.120805</v>
      </c>
      <c r="W42" t="n">
        <v>0.120805</v>
      </c>
      <c r="X42" t="n">
        <v>0.120805</v>
      </c>
      <c r="Y42" t="n">
        <v>0.120805</v>
      </c>
      <c r="Z42" t="n">
        <v>0.120805</v>
      </c>
      <c r="AA42" t="n">
        <v>0.120805</v>
      </c>
      <c r="AB42" t="n">
        <v>0.120805</v>
      </c>
      <c r="AC42" t="n">
        <v>0.120805</v>
      </c>
      <c r="AD42" t="n">
        <v>0.120805</v>
      </c>
      <c r="AE42" t="n">
        <v>0.120805</v>
      </c>
      <c r="AF42" t="n">
        <v>0.120805</v>
      </c>
      <c r="AG42" t="n">
        <v>0.120805</v>
      </c>
      <c r="AH42" t="n">
        <v>0.120805</v>
      </c>
      <c r="AI42" s="42" t="n">
        <v>0</v>
      </c>
    </row>
    <row r="43">
      <c r="A43" t="inlineStr">
        <is>
          <t>Other Fuels</t>
        </is>
      </c>
      <c r="B43" t="inlineStr">
        <is>
          <t>Commercial: Other Fuels: Reference case</t>
        </is>
      </c>
      <c r="C43" t="inlineStr">
        <is>
          <t>AEO.2023.REF2023.CNSM_NA_COMM_NA_OFU_NA_USA_QBTU.A</t>
        </is>
      </c>
      <c r="D43" t="inlineStr">
        <is>
          <t>quads</t>
        </is>
      </c>
      <c r="F43" t="n">
        <v>0.599232</v>
      </c>
      <c r="G43" t="n">
        <v>0.604849</v>
      </c>
      <c r="H43" t="n">
        <v>0.604131</v>
      </c>
      <c r="I43" t="n">
        <v>0.604367</v>
      </c>
      <c r="J43" t="n">
        <v>0.6034659999999999</v>
      </c>
      <c r="K43" t="n">
        <v>0.602905</v>
      </c>
      <c r="L43" t="n">
        <v>0.6059560000000001</v>
      </c>
      <c r="M43" t="n">
        <v>0.609015</v>
      </c>
      <c r="N43" t="n">
        <v>0.613001</v>
      </c>
      <c r="O43" t="n">
        <v>0.6151759999999999</v>
      </c>
      <c r="P43" t="n">
        <v>0.618187</v>
      </c>
      <c r="Q43" t="n">
        <v>0.620845</v>
      </c>
      <c r="R43" t="n">
        <v>0.623269</v>
      </c>
      <c r="S43" t="n">
        <v>0.6256890000000001</v>
      </c>
      <c r="T43" t="n">
        <v>0.627701</v>
      </c>
      <c r="U43" t="n">
        <v>0.6294419999999999</v>
      </c>
      <c r="V43" t="n">
        <v>0.631117</v>
      </c>
      <c r="W43" t="n">
        <v>0.632968</v>
      </c>
      <c r="X43" t="n">
        <v>0.634698</v>
      </c>
      <c r="Y43" t="n">
        <v>0.6364</v>
      </c>
      <c r="Z43" t="n">
        <v>0.638135</v>
      </c>
      <c r="AA43" t="n">
        <v>0.639972</v>
      </c>
      <c r="AB43" t="n">
        <v>0.641725</v>
      </c>
      <c r="AC43" t="n">
        <v>0.643492</v>
      </c>
      <c r="AD43" t="n">
        <v>0.644724</v>
      </c>
      <c r="AE43" t="n">
        <v>0.646651</v>
      </c>
      <c r="AF43" t="n">
        <v>0.648406</v>
      </c>
      <c r="AG43" t="n">
        <v>0.650468</v>
      </c>
      <c r="AH43" t="n">
        <v>0.652513</v>
      </c>
      <c r="AI43" s="42" t="n">
        <v>0.003</v>
      </c>
    </row>
    <row r="44">
      <c r="A44" t="inlineStr">
        <is>
          <t>Energy Consumption by End Use</t>
        </is>
      </c>
    </row>
    <row r="45">
      <c r="A45" t="inlineStr">
        <is>
          <t>Space Heating</t>
        </is>
      </c>
      <c r="B45" t="inlineStr">
        <is>
          <t>Commercial: Delivered Energy Use by End Use: Space Heating: Reference case</t>
        </is>
      </c>
      <c r="C45" t="inlineStr">
        <is>
          <t>AEO.2023.REF2023.CNSM_NA_COMM_NA_DEE_SPH_USA_QBTU.A</t>
        </is>
      </c>
      <c r="D45" t="inlineStr">
        <is>
          <t>quads</t>
        </is>
      </c>
      <c r="F45" t="n">
        <v>2.156799</v>
      </c>
      <c r="G45" t="n">
        <v>2.119221</v>
      </c>
      <c r="H45" t="n">
        <v>2.006979</v>
      </c>
      <c r="I45" t="n">
        <v>2.041441</v>
      </c>
      <c r="J45" t="n">
        <v>2.068224</v>
      </c>
      <c r="K45" t="n">
        <v>2.084474</v>
      </c>
      <c r="L45" t="n">
        <v>2.094169</v>
      </c>
      <c r="M45" t="n">
        <v>2.094486</v>
      </c>
      <c r="N45" t="n">
        <v>2.090514</v>
      </c>
      <c r="O45" t="n">
        <v>2.085824</v>
      </c>
      <c r="P45" t="n">
        <v>2.079295</v>
      </c>
      <c r="Q45" t="n">
        <v>2.06883</v>
      </c>
      <c r="R45" t="n">
        <v>2.056624</v>
      </c>
      <c r="S45" t="n">
        <v>2.043284</v>
      </c>
      <c r="T45" t="n">
        <v>2.030412</v>
      </c>
      <c r="U45" t="n">
        <v>2.016523</v>
      </c>
      <c r="V45" t="n">
        <v>1.999519</v>
      </c>
      <c r="W45" t="n">
        <v>1.983224</v>
      </c>
      <c r="X45" t="n">
        <v>1.966258</v>
      </c>
      <c r="Y45" t="n">
        <v>1.949131</v>
      </c>
      <c r="Z45" t="n">
        <v>1.93278</v>
      </c>
      <c r="AA45" t="n">
        <v>1.918176</v>
      </c>
      <c r="AB45" t="n">
        <v>1.905357</v>
      </c>
      <c r="AC45" t="n">
        <v>1.890653</v>
      </c>
      <c r="AD45" t="n">
        <v>1.8733</v>
      </c>
      <c r="AE45" t="n">
        <v>1.857735</v>
      </c>
      <c r="AF45" t="n">
        <v>1.84416</v>
      </c>
      <c r="AG45" t="n">
        <v>1.830421</v>
      </c>
      <c r="AH45" t="n">
        <v>1.815094</v>
      </c>
      <c r="AI45" s="42" t="n">
        <v>-0.006</v>
      </c>
    </row>
    <row r="46">
      <c r="A46" t="inlineStr">
        <is>
          <t>Space Cooling</t>
        </is>
      </c>
      <c r="B46" t="inlineStr">
        <is>
          <t>Commercial: Delivered Energy Use by End Use: Space Cooling: Reference case</t>
        </is>
      </c>
      <c r="C46" t="inlineStr">
        <is>
          <t>AEO.2023.REF2023.CNSM_NA_COMM_NA_DEE_SPC_USA_QBTU.A</t>
        </is>
      </c>
      <c r="D46" t="inlineStr">
        <is>
          <t>quads</t>
        </is>
      </c>
      <c r="F46" t="n">
        <v>0.567709</v>
      </c>
      <c r="G46" t="n">
        <v>0.497307</v>
      </c>
      <c r="H46" t="n">
        <v>0.576418</v>
      </c>
      <c r="I46" t="n">
        <v>0.58604</v>
      </c>
      <c r="J46" t="n">
        <v>0.593982</v>
      </c>
      <c r="K46" t="n">
        <v>0.601457</v>
      </c>
      <c r="L46" t="n">
        <v>0.608897</v>
      </c>
      <c r="M46" t="n">
        <v>0.616002</v>
      </c>
      <c r="N46" t="n">
        <v>0.621787</v>
      </c>
      <c r="O46" t="n">
        <v>0.627848</v>
      </c>
      <c r="P46" t="n">
        <v>0.634099</v>
      </c>
      <c r="Q46" t="n">
        <v>0.638626</v>
      </c>
      <c r="R46" t="n">
        <v>0.642763</v>
      </c>
      <c r="S46" t="n">
        <v>0.6473449999999999</v>
      </c>
      <c r="T46" t="n">
        <v>0.6520280000000001</v>
      </c>
      <c r="U46" t="n">
        <v>0.656644</v>
      </c>
      <c r="V46" t="n">
        <v>0.66073</v>
      </c>
      <c r="W46" t="n">
        <v>0.664832</v>
      </c>
      <c r="X46" t="n">
        <v>0.668482</v>
      </c>
      <c r="Y46" t="n">
        <v>0.67252</v>
      </c>
      <c r="Z46" t="n">
        <v>0.6769309999999999</v>
      </c>
      <c r="AA46" t="n">
        <v>0.681601</v>
      </c>
      <c r="AB46" t="n">
        <v>0.686685</v>
      </c>
      <c r="AC46" t="n">
        <v>0.692302</v>
      </c>
      <c r="AD46" t="n">
        <v>0.699047</v>
      </c>
      <c r="AE46" t="n">
        <v>0.706583</v>
      </c>
      <c r="AF46" t="n">
        <v>0.714408</v>
      </c>
      <c r="AG46" t="n">
        <v>0.722373</v>
      </c>
      <c r="AH46" t="n">
        <v>0.731077</v>
      </c>
      <c r="AI46" s="42" t="n">
        <v>0.008999999999999999</v>
      </c>
    </row>
    <row r="47">
      <c r="A47" t="inlineStr">
        <is>
          <t>Water Heating</t>
        </is>
      </c>
      <c r="B47" t="inlineStr">
        <is>
          <t>Commercial: Delivered Energy Use by End Use: Water Heating: Reference case</t>
        </is>
      </c>
      <c r="C47" t="inlineStr">
        <is>
          <t>AEO.2023.REF2023.CNSM_NA_COMM_NA_DEE_WTHT_USA_QBTU.A</t>
        </is>
      </c>
      <c r="D47" t="inlineStr">
        <is>
          <t>quads</t>
        </is>
      </c>
      <c r="F47" t="n">
        <v>0.6223919999999999</v>
      </c>
      <c r="G47" t="n">
        <v>0.616487</v>
      </c>
      <c r="H47" t="n">
        <v>0.626382</v>
      </c>
      <c r="I47" t="n">
        <v>0.641601</v>
      </c>
      <c r="J47" t="n">
        <v>0.654367</v>
      </c>
      <c r="K47" t="n">
        <v>0.664236</v>
      </c>
      <c r="L47" t="n">
        <v>0.672475</v>
      </c>
      <c r="M47" t="n">
        <v>0.678654</v>
      </c>
      <c r="N47" t="n">
        <v>0.684122</v>
      </c>
      <c r="O47" t="n">
        <v>0.689432</v>
      </c>
      <c r="P47" t="n">
        <v>0.694287</v>
      </c>
      <c r="Q47" t="n">
        <v>0.697859</v>
      </c>
      <c r="R47" t="n">
        <v>0.70086</v>
      </c>
      <c r="S47" t="n">
        <v>0.703559</v>
      </c>
      <c r="T47" t="n">
        <v>0.706527</v>
      </c>
      <c r="U47" t="n">
        <v>0.709129</v>
      </c>
      <c r="V47" t="n">
        <v>0.710628</v>
      </c>
      <c r="W47" t="n">
        <v>0.7125590000000001</v>
      </c>
      <c r="X47" t="n">
        <v>0.714152</v>
      </c>
      <c r="Y47" t="n">
        <v>0.715782</v>
      </c>
      <c r="Z47" t="n">
        <v>0.717737</v>
      </c>
      <c r="AA47" t="n">
        <v>0.720488</v>
      </c>
      <c r="AB47" t="n">
        <v>0.724027</v>
      </c>
      <c r="AC47" t="n">
        <v>0.726705</v>
      </c>
      <c r="AD47" t="n">
        <v>0.727204</v>
      </c>
      <c r="AE47" t="n">
        <v>0.7289639999999999</v>
      </c>
      <c r="AF47" t="n">
        <v>0.732197</v>
      </c>
      <c r="AG47" t="n">
        <v>0.73583</v>
      </c>
      <c r="AH47" t="n">
        <v>0.738865</v>
      </c>
      <c r="AI47" s="42" t="n">
        <v>0.006</v>
      </c>
    </row>
    <row r="48">
      <c r="A48" t="inlineStr">
        <is>
          <t>Ventilation</t>
        </is>
      </c>
      <c r="B48" t="inlineStr">
        <is>
          <t>Commercial: Delivered Energy Use by End Use: Ventilation: Reference case</t>
        </is>
      </c>
      <c r="C48" t="inlineStr">
        <is>
          <t>AEO.2023.REF2023.CNSM_NA_COMM_NA_DEE_VNTC_USA_QBTU.A</t>
        </is>
      </c>
      <c r="D48" t="inlineStr">
        <is>
          <t>quads</t>
        </is>
      </c>
      <c r="F48" t="n">
        <v>0.418793</v>
      </c>
      <c r="G48" t="n">
        <v>0.407891</v>
      </c>
      <c r="H48" t="n">
        <v>0.400019</v>
      </c>
      <c r="I48" t="n">
        <v>0.394285</v>
      </c>
      <c r="J48" t="n">
        <v>0.38814</v>
      </c>
      <c r="K48" t="n">
        <v>0.381195</v>
      </c>
      <c r="L48" t="n">
        <v>0.373949</v>
      </c>
      <c r="M48" t="n">
        <v>0.366494</v>
      </c>
      <c r="N48" t="n">
        <v>0.358411</v>
      </c>
      <c r="O48" t="n">
        <v>0.350666</v>
      </c>
      <c r="P48" t="n">
        <v>0.342958</v>
      </c>
      <c r="Q48" t="n">
        <v>0.334873</v>
      </c>
      <c r="R48" t="n">
        <v>0.326773</v>
      </c>
      <c r="S48" t="n">
        <v>0.319148</v>
      </c>
      <c r="T48" t="n">
        <v>0.311811</v>
      </c>
      <c r="U48" t="n">
        <v>0.30456</v>
      </c>
      <c r="V48" t="n">
        <v>0.297195</v>
      </c>
      <c r="W48" t="n">
        <v>0.289957</v>
      </c>
      <c r="X48" t="n">
        <v>0.283031</v>
      </c>
      <c r="Y48" t="n">
        <v>0.276615</v>
      </c>
      <c r="Z48" t="n">
        <v>0.270569</v>
      </c>
      <c r="AA48" t="n">
        <v>0.264814</v>
      </c>
      <c r="AB48" t="n">
        <v>0.259292</v>
      </c>
      <c r="AC48" t="n">
        <v>0.253978</v>
      </c>
      <c r="AD48" t="n">
        <v>0.248923</v>
      </c>
      <c r="AE48" t="n">
        <v>0.244183</v>
      </c>
      <c r="AF48" t="n">
        <v>0.239593</v>
      </c>
      <c r="AG48" t="n">
        <v>0.235279</v>
      </c>
      <c r="AH48" t="n">
        <v>0.231259</v>
      </c>
      <c r="AI48" s="42" t="n">
        <v>-0.021</v>
      </c>
    </row>
    <row r="49">
      <c r="A49" t="inlineStr">
        <is>
          <t>Cooking</t>
        </is>
      </c>
      <c r="B49" t="inlineStr">
        <is>
          <t>Commercial: Delivered Energy Use by End Use: Cooking: Reference case</t>
        </is>
      </c>
      <c r="C49" t="inlineStr">
        <is>
          <t>AEO.2023.REF2023.CNSM_NA_COMM_NA_DEE_CGR_USA_QBTU.A</t>
        </is>
      </c>
      <c r="D49" t="inlineStr">
        <is>
          <t>quads</t>
        </is>
      </c>
      <c r="F49" t="n">
        <v>0.413035</v>
      </c>
      <c r="G49" t="n">
        <v>0.412662</v>
      </c>
      <c r="H49" t="n">
        <v>0.421219</v>
      </c>
      <c r="I49" t="n">
        <v>0.432619</v>
      </c>
      <c r="J49" t="n">
        <v>0.442085</v>
      </c>
      <c r="K49" t="n">
        <v>0.449475</v>
      </c>
      <c r="L49" t="n">
        <v>0.455824</v>
      </c>
      <c r="M49" t="n">
        <v>0.461124</v>
      </c>
      <c r="N49" t="n">
        <v>0.465941</v>
      </c>
      <c r="O49" t="n">
        <v>0.470744</v>
      </c>
      <c r="P49" t="n">
        <v>0.47515</v>
      </c>
      <c r="Q49" t="n">
        <v>0.478581</v>
      </c>
      <c r="R49" t="n">
        <v>0.481486</v>
      </c>
      <c r="S49" t="n">
        <v>0.48413</v>
      </c>
      <c r="T49" t="n">
        <v>0.486817</v>
      </c>
      <c r="U49" t="n">
        <v>0.489188</v>
      </c>
      <c r="V49" t="n">
        <v>0.490804</v>
      </c>
      <c r="W49" t="n">
        <v>0.492575</v>
      </c>
      <c r="X49" t="n">
        <v>0.494001</v>
      </c>
      <c r="Y49" t="n">
        <v>0.495566</v>
      </c>
      <c r="Z49" t="n">
        <v>0.497278</v>
      </c>
      <c r="AA49" t="n">
        <v>0.499424</v>
      </c>
      <c r="AB49" t="n">
        <v>0.501957</v>
      </c>
      <c r="AC49" t="n">
        <v>0.504078</v>
      </c>
      <c r="AD49" t="n">
        <v>0.504504</v>
      </c>
      <c r="AE49" t="n">
        <v>0.505773</v>
      </c>
      <c r="AF49" t="n">
        <v>0.507987</v>
      </c>
      <c r="AG49" t="n">
        <v>0.510559</v>
      </c>
      <c r="AH49" t="n">
        <v>0.512843</v>
      </c>
      <c r="AI49" s="42" t="n">
        <v>0.008</v>
      </c>
    </row>
    <row r="50">
      <c r="A50" t="inlineStr">
        <is>
          <t>Lighting</t>
        </is>
      </c>
      <c r="B50" t="inlineStr">
        <is>
          <t>Commercial: Delivered Energy Use by End Use: Lighting: Reference case</t>
        </is>
      </c>
      <c r="C50" t="inlineStr">
        <is>
          <t>AEO.2023.REF2023.CNSM_NA_COMM_NA_DEE_LGHTNG_USA_QBTU.A</t>
        </is>
      </c>
      <c r="D50" t="inlineStr">
        <is>
          <t>quads</t>
        </is>
      </c>
      <c r="F50" t="n">
        <v>0.497281</v>
      </c>
      <c r="G50" t="n">
        <v>0.48856</v>
      </c>
      <c r="H50" t="n">
        <v>0.485795</v>
      </c>
      <c r="I50" t="n">
        <v>0.487572</v>
      </c>
      <c r="J50" t="n">
        <v>0.489366</v>
      </c>
      <c r="K50" t="n">
        <v>0.490566</v>
      </c>
      <c r="L50" t="n">
        <v>0.492025</v>
      </c>
      <c r="M50" t="n">
        <v>0.493689</v>
      </c>
      <c r="N50" t="n">
        <v>0.491019</v>
      </c>
      <c r="O50" t="n">
        <v>0.488961</v>
      </c>
      <c r="P50" t="n">
        <v>0.486973</v>
      </c>
      <c r="Q50" t="n">
        <v>0.484227</v>
      </c>
      <c r="R50" t="n">
        <v>0.480979</v>
      </c>
      <c r="S50" t="n">
        <v>0.47801</v>
      </c>
      <c r="T50" t="n">
        <v>0.474966</v>
      </c>
      <c r="U50" t="n">
        <v>0.470955</v>
      </c>
      <c r="V50" t="n">
        <v>0.46601</v>
      </c>
      <c r="W50" t="n">
        <v>0.459942</v>
      </c>
      <c r="X50" t="n">
        <v>0.457929</v>
      </c>
      <c r="Y50" t="n">
        <v>0.456811</v>
      </c>
      <c r="Z50" t="n">
        <v>0.455971</v>
      </c>
      <c r="AA50" t="n">
        <v>0.45553</v>
      </c>
      <c r="AB50" t="n">
        <v>0.455459</v>
      </c>
      <c r="AC50" t="n">
        <v>0.45568</v>
      </c>
      <c r="AD50" t="n">
        <v>0.456329</v>
      </c>
      <c r="AE50" t="n">
        <v>0.457722</v>
      </c>
      <c r="AF50" t="n">
        <v>0.459158</v>
      </c>
      <c r="AG50" t="n">
        <v>0.460843</v>
      </c>
      <c r="AH50" t="n">
        <v>0.463004</v>
      </c>
      <c r="AI50" s="42" t="n">
        <v>-0.003</v>
      </c>
    </row>
    <row r="51">
      <c r="A51" t="inlineStr">
        <is>
          <t>Refrigeration</t>
        </is>
      </c>
      <c r="B51" t="inlineStr">
        <is>
          <t>Commercial: Delivered Energy Use by End Use: Refrigeration: Reference case</t>
        </is>
      </c>
      <c r="C51" t="inlineStr">
        <is>
          <t>AEO.2023.REF2023.CNSM_NA_COMM_NA_DEE_REFR_USA_QBTU.A</t>
        </is>
      </c>
      <c r="D51" t="inlineStr">
        <is>
          <t>quads</t>
        </is>
      </c>
      <c r="F51" t="n">
        <v>0.603352</v>
      </c>
      <c r="G51" t="n">
        <v>0.601355</v>
      </c>
      <c r="H51" t="n">
        <v>0.60268</v>
      </c>
      <c r="I51" t="n">
        <v>0.606446</v>
      </c>
      <c r="J51" t="n">
        <v>0.609686</v>
      </c>
      <c r="K51" t="n">
        <v>0.612279</v>
      </c>
      <c r="L51" t="n">
        <v>0.615204</v>
      </c>
      <c r="M51" t="n">
        <v>0.618493</v>
      </c>
      <c r="N51" t="n">
        <v>0.620748</v>
      </c>
      <c r="O51" t="n">
        <v>0.6239</v>
      </c>
      <c r="P51" t="n">
        <v>0.62699</v>
      </c>
      <c r="Q51" t="n">
        <v>0.629387</v>
      </c>
      <c r="R51" t="n">
        <v>0.631325</v>
      </c>
      <c r="S51" t="n">
        <v>0.6332140000000001</v>
      </c>
      <c r="T51" t="n">
        <v>0.6348549999999999</v>
      </c>
      <c r="U51" t="n">
        <v>0.636155</v>
      </c>
      <c r="V51" t="n">
        <v>0.636938</v>
      </c>
      <c r="W51" t="n">
        <v>0.637474</v>
      </c>
      <c r="X51" t="n">
        <v>0.637919</v>
      </c>
      <c r="Y51" t="n">
        <v>0.639058</v>
      </c>
      <c r="Z51" t="n">
        <v>0.640294</v>
      </c>
      <c r="AA51" t="n">
        <v>0.641609</v>
      </c>
      <c r="AB51" t="n">
        <v>0.642984</v>
      </c>
      <c r="AC51" t="n">
        <v>0.644417</v>
      </c>
      <c r="AD51" t="n">
        <v>0.645996</v>
      </c>
      <c r="AE51" t="n">
        <v>0.647793</v>
      </c>
      <c r="AF51" t="n">
        <v>0.649657</v>
      </c>
      <c r="AG51" t="n">
        <v>0.651697</v>
      </c>
      <c r="AH51" t="n">
        <v>0.653934</v>
      </c>
      <c r="AI51" s="42" t="n">
        <v>0.003</v>
      </c>
    </row>
    <row r="52">
      <c r="A52" t="inlineStr">
        <is>
          <t>Computing</t>
        </is>
      </c>
      <c r="B52" t="inlineStr">
        <is>
          <t>Commercial: Delivered Energy Use by End Use: Computing: Reference case</t>
        </is>
      </c>
      <c r="C52" t="inlineStr">
        <is>
          <t>AEO.2023.REF2023.CNSM_NA_COMM_NA_DEE_OFEQPC_USA_QBTU.A</t>
        </is>
      </c>
      <c r="D52" t="inlineStr">
        <is>
          <t>quads</t>
        </is>
      </c>
      <c r="F52" t="n">
        <v>0.430736</v>
      </c>
      <c r="G52" t="n">
        <v>0.434585</v>
      </c>
      <c r="H52" t="n">
        <v>0.439935</v>
      </c>
      <c r="I52" t="n">
        <v>0.447378</v>
      </c>
      <c r="J52" t="n">
        <v>0.454369</v>
      </c>
      <c r="K52" t="n">
        <v>0.460986</v>
      </c>
      <c r="L52" t="n">
        <v>0.468872</v>
      </c>
      <c r="M52" t="n">
        <v>0.477159</v>
      </c>
      <c r="N52" t="n">
        <v>0.486197</v>
      </c>
      <c r="O52" t="n">
        <v>0.495433</v>
      </c>
      <c r="P52" t="n">
        <v>0.505082</v>
      </c>
      <c r="Q52" t="n">
        <v>0.514312</v>
      </c>
      <c r="R52" t="n">
        <v>0.523711</v>
      </c>
      <c r="S52" t="n">
        <v>0.532915</v>
      </c>
      <c r="T52" t="n">
        <v>0.5429040000000001</v>
      </c>
      <c r="U52" t="n">
        <v>0.552165</v>
      </c>
      <c r="V52" t="n">
        <v>0.562175</v>
      </c>
      <c r="W52" t="n">
        <v>0.572007</v>
      </c>
      <c r="X52" t="n">
        <v>0.581746</v>
      </c>
      <c r="Y52" t="n">
        <v>0.591454</v>
      </c>
      <c r="Z52" t="n">
        <v>0.601737</v>
      </c>
      <c r="AA52" t="n">
        <v>0.612648</v>
      </c>
      <c r="AB52" t="n">
        <v>0.623171</v>
      </c>
      <c r="AC52" t="n">
        <v>0.634406</v>
      </c>
      <c r="AD52" t="n">
        <v>0.646435</v>
      </c>
      <c r="AE52" t="n">
        <v>0.6582209999999999</v>
      </c>
      <c r="AF52" t="n">
        <v>0.670737</v>
      </c>
      <c r="AG52" t="n">
        <v>0.683498</v>
      </c>
      <c r="AH52" t="n">
        <v>0.69654</v>
      </c>
      <c r="AI52" s="42" t="n">
        <v>0.017</v>
      </c>
    </row>
    <row r="53">
      <c r="A53" t="inlineStr">
        <is>
          <t>Office Equipment</t>
        </is>
      </c>
      <c r="B53" t="inlineStr">
        <is>
          <t>Commercial: Delivered Energy Use by End Use: Office Equipment: Reference case</t>
        </is>
      </c>
      <c r="C53" t="inlineStr">
        <is>
          <t>AEO.2023.REF2023.CNSM_NA_COMM_NA_DEE_OFEQPNPC_USA_QBTU.A</t>
        </is>
      </c>
      <c r="D53" t="inlineStr">
        <is>
          <t>quads</t>
        </is>
      </c>
      <c r="F53" t="n">
        <v>0.174708</v>
      </c>
      <c r="G53" t="n">
        <v>0.173262</v>
      </c>
      <c r="H53" t="n">
        <v>0.172777</v>
      </c>
      <c r="I53" t="n">
        <v>0.173193</v>
      </c>
      <c r="J53" t="n">
        <v>0.173864</v>
      </c>
      <c r="K53" t="n">
        <v>0.174594</v>
      </c>
      <c r="L53" t="n">
        <v>0.175666</v>
      </c>
      <c r="M53" t="n">
        <v>0.177107</v>
      </c>
      <c r="N53" t="n">
        <v>0.178874</v>
      </c>
      <c r="O53" t="n">
        <v>0.180673</v>
      </c>
      <c r="P53" t="n">
        <v>0.182679</v>
      </c>
      <c r="Q53" t="n">
        <v>0.184498</v>
      </c>
      <c r="R53" t="n">
        <v>0.185888</v>
      </c>
      <c r="S53" t="n">
        <v>0.187457</v>
      </c>
      <c r="T53" t="n">
        <v>0.188627</v>
      </c>
      <c r="U53" t="n">
        <v>0.189682</v>
      </c>
      <c r="V53" t="n">
        <v>0.190608</v>
      </c>
      <c r="W53" t="n">
        <v>0.190859</v>
      </c>
      <c r="X53" t="n">
        <v>0.19104</v>
      </c>
      <c r="Y53" t="n">
        <v>0.190877</v>
      </c>
      <c r="Z53" t="n">
        <v>0.19009</v>
      </c>
      <c r="AA53" t="n">
        <v>0.188979</v>
      </c>
      <c r="AB53" t="n">
        <v>0.18755</v>
      </c>
      <c r="AC53" t="n">
        <v>0.1855</v>
      </c>
      <c r="AD53" t="n">
        <v>0.183143</v>
      </c>
      <c r="AE53" t="n">
        <v>0.180174</v>
      </c>
      <c r="AF53" t="n">
        <v>0.176542</v>
      </c>
      <c r="AG53" t="n">
        <v>0.172244</v>
      </c>
      <c r="AH53" t="n">
        <v>0.166953</v>
      </c>
      <c r="AI53" s="42" t="n">
        <v>-0.002</v>
      </c>
    </row>
    <row r="54">
      <c r="A54" t="inlineStr">
        <is>
          <t>Other Uses</t>
        </is>
      </c>
      <c r="B54" t="inlineStr">
        <is>
          <t>Commercial: Delivered Energy Use by End Use: Other Uses: Reference case</t>
        </is>
      </c>
      <c r="C54" t="inlineStr">
        <is>
          <t>AEO.2023.REF2023.CNSM_NA_COMM_NA_DEE_OTHU_USA_QBTU.A</t>
        </is>
      </c>
      <c r="D54" t="inlineStr">
        <is>
          <t>quads</t>
        </is>
      </c>
      <c r="F54" t="n">
        <v>3.450725</v>
      </c>
      <c r="G54" t="n">
        <v>3.536727</v>
      </c>
      <c r="H54" t="n">
        <v>3.476412</v>
      </c>
      <c r="I54" t="n">
        <v>3.443199</v>
      </c>
      <c r="J54" t="n">
        <v>3.431837</v>
      </c>
      <c r="K54" t="n">
        <v>3.416125</v>
      </c>
      <c r="L54" t="n">
        <v>3.446787</v>
      </c>
      <c r="M54" t="n">
        <v>3.475707</v>
      </c>
      <c r="N54" t="n">
        <v>3.504954</v>
      </c>
      <c r="O54" t="n">
        <v>3.532405</v>
      </c>
      <c r="P54" t="n">
        <v>3.560595</v>
      </c>
      <c r="Q54" t="n">
        <v>3.586367</v>
      </c>
      <c r="R54" t="n">
        <v>3.610657</v>
      </c>
      <c r="S54" t="n">
        <v>3.634727</v>
      </c>
      <c r="T54" t="n">
        <v>3.658757</v>
      </c>
      <c r="U54" t="n">
        <v>3.681617</v>
      </c>
      <c r="V54" t="n">
        <v>3.703599</v>
      </c>
      <c r="W54" t="n">
        <v>3.726506</v>
      </c>
      <c r="X54" t="n">
        <v>3.748755</v>
      </c>
      <c r="Y54" t="n">
        <v>3.77148</v>
      </c>
      <c r="Z54" t="n">
        <v>3.795282</v>
      </c>
      <c r="AA54" t="n">
        <v>3.821091</v>
      </c>
      <c r="AB54" t="n">
        <v>3.848442</v>
      </c>
      <c r="AC54" t="n">
        <v>3.876735</v>
      </c>
      <c r="AD54" t="n">
        <v>3.904414</v>
      </c>
      <c r="AE54" t="n">
        <v>3.935176</v>
      </c>
      <c r="AF54" t="n">
        <v>3.967991</v>
      </c>
      <c r="AG54" t="n">
        <v>4.002277</v>
      </c>
      <c r="AH54" t="n">
        <v>4.037809</v>
      </c>
      <c r="AI54" s="42" t="n">
        <v>0.006</v>
      </c>
    </row>
    <row r="55">
      <c r="A55" t="inlineStr">
        <is>
          <t>Gross End-use Consumption</t>
        </is>
      </c>
      <c r="B55" t="inlineStr">
        <is>
          <t>Commercial: Delivered Energy Use by End Use: Gross End-use Consumption: Reference case</t>
        </is>
      </c>
      <c r="C55" t="inlineStr">
        <is>
          <t>AEO.2023.REF2023.CNSM_NA_COMM_NA_DEE_NA_USA_QBTU.A</t>
        </is>
      </c>
      <c r="D55" t="inlineStr">
        <is>
          <t>quads</t>
        </is>
      </c>
      <c r="F55" t="n">
        <v>9.335528</v>
      </c>
      <c r="G55" t="n">
        <v>9.288057</v>
      </c>
      <c r="H55" t="n">
        <v>9.208615999999999</v>
      </c>
      <c r="I55" t="n">
        <v>9.253774999999999</v>
      </c>
      <c r="J55" t="n">
        <v>9.30592</v>
      </c>
      <c r="K55" t="n">
        <v>9.335386</v>
      </c>
      <c r="L55" t="n">
        <v>9.403867</v>
      </c>
      <c r="M55" t="n">
        <v>9.458914999999999</v>
      </c>
      <c r="N55" t="n">
        <v>9.502568</v>
      </c>
      <c r="O55" t="n">
        <v>9.545887</v>
      </c>
      <c r="P55" t="n">
        <v>9.588108999999999</v>
      </c>
      <c r="Q55" t="n">
        <v>9.617559</v>
      </c>
      <c r="R55" t="n">
        <v>9.641068000000001</v>
      </c>
      <c r="S55" t="n">
        <v>9.663788</v>
      </c>
      <c r="T55" t="n">
        <v>9.687704999999999</v>
      </c>
      <c r="U55" t="n">
        <v>9.706619999999999</v>
      </c>
      <c r="V55" t="n">
        <v>9.718206</v>
      </c>
      <c r="W55" t="n">
        <v>9.729934</v>
      </c>
      <c r="X55" t="n">
        <v>9.743315000000001</v>
      </c>
      <c r="Y55" t="n">
        <v>9.759295</v>
      </c>
      <c r="Z55" t="n">
        <v>9.778669000000001</v>
      </c>
      <c r="AA55" t="n">
        <v>9.804359</v>
      </c>
      <c r="AB55" t="n">
        <v>9.834925999999999</v>
      </c>
      <c r="AC55" t="n">
        <v>9.864454</v>
      </c>
      <c r="AD55" t="n">
        <v>9.889296</v>
      </c>
      <c r="AE55" t="n">
        <v>9.922324</v>
      </c>
      <c r="AF55" t="n">
        <v>9.962429999999999</v>
      </c>
      <c r="AG55" t="n">
        <v>10.005023</v>
      </c>
      <c r="AH55" t="n">
        <v>10.047379</v>
      </c>
      <c r="AI55" s="42" t="n">
        <v>0.003</v>
      </c>
    </row>
    <row r="56">
      <c r="A56" t="inlineStr">
        <is>
          <t>On-site Generation for Own Use</t>
        </is>
      </c>
      <c r="B56" t="inlineStr">
        <is>
          <t>Commercial: Energy Consumption by End Use: Generation for Own Use: Reference case</t>
        </is>
      </c>
      <c r="C56" t="inlineStr">
        <is>
          <t>AEO.2023.REF2023.GEN_NA_COMM_NA_DEE_GFO_USA_QBTU.A</t>
        </is>
      </c>
      <c r="D56" t="inlineStr">
        <is>
          <t>quads</t>
        </is>
      </c>
      <c r="F56" t="n">
        <v>0.120598</v>
      </c>
      <c r="G56" t="n">
        <v>0.141293</v>
      </c>
      <c r="H56" t="n">
        <v>0.157796</v>
      </c>
      <c r="I56" t="n">
        <v>0.171057</v>
      </c>
      <c r="J56" t="n">
        <v>0.178473</v>
      </c>
      <c r="K56" t="n">
        <v>0.187182</v>
      </c>
      <c r="L56" t="n">
        <v>0.194703</v>
      </c>
      <c r="M56" t="n">
        <v>0.206329</v>
      </c>
      <c r="N56" t="n">
        <v>0.214666</v>
      </c>
      <c r="O56" t="n">
        <v>0.223006</v>
      </c>
      <c r="P56" t="n">
        <v>0.230468</v>
      </c>
      <c r="Q56" t="n">
        <v>0.241354</v>
      </c>
      <c r="R56" t="n">
        <v>0.252853</v>
      </c>
      <c r="S56" t="n">
        <v>0.259646</v>
      </c>
      <c r="T56" t="n">
        <v>0.271905</v>
      </c>
      <c r="U56" t="n">
        <v>0.279236</v>
      </c>
      <c r="V56" t="n">
        <v>0.289649</v>
      </c>
      <c r="W56" t="n">
        <v>0.299346</v>
      </c>
      <c r="X56" t="n">
        <v>0.307959</v>
      </c>
      <c r="Y56" t="n">
        <v>0.31545</v>
      </c>
      <c r="Z56" t="n">
        <v>0.321735</v>
      </c>
      <c r="AA56" t="n">
        <v>0.327236</v>
      </c>
      <c r="AB56" t="n">
        <v>0.332311</v>
      </c>
      <c r="AC56" t="n">
        <v>0.337295</v>
      </c>
      <c r="AD56" t="n">
        <v>0.345774</v>
      </c>
      <c r="AE56" t="n">
        <v>0.34869</v>
      </c>
      <c r="AF56" t="n">
        <v>0.35358</v>
      </c>
      <c r="AG56" t="n">
        <v>0.356073</v>
      </c>
      <c r="AH56" t="n">
        <v>0.357791</v>
      </c>
      <c r="AI56" s="42" t="n">
        <v>0.04</v>
      </c>
    </row>
    <row r="57">
      <c r="A57" t="inlineStr">
        <is>
          <t>Delivered Energy</t>
        </is>
      </c>
      <c r="B57" t="inlineStr">
        <is>
          <t>Commercial: Energy Consumption by End Use: Delivered Energy: Reference case</t>
        </is>
      </c>
      <c r="C57" t="inlineStr">
        <is>
          <t>AEO.2023.REF2023.CNSM_NA_COMM_NA_DEE_NA_USA_QBTU.A</t>
        </is>
      </c>
      <c r="D57" t="inlineStr">
        <is>
          <t>quads</t>
        </is>
      </c>
      <c r="F57" t="n">
        <v>9.214931</v>
      </c>
      <c r="G57" t="n">
        <v>9.146763999999999</v>
      </c>
      <c r="H57" t="n">
        <v>9.05082</v>
      </c>
      <c r="I57" t="n">
        <v>9.082718</v>
      </c>
      <c r="J57" t="n">
        <v>9.127447</v>
      </c>
      <c r="K57" t="n">
        <v>9.148204</v>
      </c>
      <c r="L57" t="n">
        <v>9.209163999999999</v>
      </c>
      <c r="M57" t="n">
        <v>9.252585</v>
      </c>
      <c r="N57" t="n">
        <v>9.287902000000001</v>
      </c>
      <c r="O57" t="n">
        <v>9.322882</v>
      </c>
      <c r="P57" t="n">
        <v>9.357640999999999</v>
      </c>
      <c r="Q57" t="n">
        <v>9.376205000000001</v>
      </c>
      <c r="R57" t="n">
        <v>9.388215000000001</v>
      </c>
      <c r="S57" t="n">
        <v>9.404142</v>
      </c>
      <c r="T57" t="n">
        <v>9.415800000000001</v>
      </c>
      <c r="U57" t="n">
        <v>9.427384</v>
      </c>
      <c r="V57" t="n">
        <v>9.428556</v>
      </c>
      <c r="W57" t="n">
        <v>9.430588</v>
      </c>
      <c r="X57" t="n">
        <v>9.435356000000001</v>
      </c>
      <c r="Y57" t="n">
        <v>9.443844</v>
      </c>
      <c r="Z57" t="n">
        <v>9.456935</v>
      </c>
      <c r="AA57" t="n">
        <v>9.477123000000001</v>
      </c>
      <c r="AB57" t="n">
        <v>9.502613999999999</v>
      </c>
      <c r="AC57" t="n">
        <v>9.52716</v>
      </c>
      <c r="AD57" t="n">
        <v>9.543521999999999</v>
      </c>
      <c r="AE57" t="n">
        <v>9.573634</v>
      </c>
      <c r="AF57" t="n">
        <v>9.60885</v>
      </c>
      <c r="AG57" t="n">
        <v>9.648949999999999</v>
      </c>
      <c r="AH57" t="n">
        <v>9.689589</v>
      </c>
      <c r="AI57" s="42" t="n">
        <v>0.002</v>
      </c>
    </row>
    <row r="58">
      <c r="A58" t="inlineStr">
        <is>
          <t>Electricity Related Losses</t>
        </is>
      </c>
      <c r="B58" t="inlineStr">
        <is>
          <t>Commercial: Electricity Related Losses: Reference case</t>
        </is>
      </c>
      <c r="C58" t="inlineStr">
        <is>
          <t>AEO.2023.REF2023.CNSM_NA_COMM_NA_ERL_NA_USA_QBTU.A</t>
        </is>
      </c>
      <c r="D58" t="inlineStr">
        <is>
          <t>quads</t>
        </is>
      </c>
      <c r="F58" t="n">
        <v>8.418628</v>
      </c>
      <c r="G58" t="n">
        <v>8.114022</v>
      </c>
      <c r="H58" t="n">
        <v>8.191725999999999</v>
      </c>
      <c r="I58" t="n">
        <v>8.159428999999999</v>
      </c>
      <c r="J58" t="n">
        <v>8.091991999999999</v>
      </c>
      <c r="K58" t="n">
        <v>8.006085000000001</v>
      </c>
      <c r="L58" t="n">
        <v>7.955819</v>
      </c>
      <c r="M58" t="n">
        <v>7.915802</v>
      </c>
      <c r="N58" t="n">
        <v>7.896358</v>
      </c>
      <c r="O58" t="n">
        <v>7.930013</v>
      </c>
      <c r="P58" t="n">
        <v>8.003522</v>
      </c>
      <c r="Q58" t="n">
        <v>8.026731</v>
      </c>
      <c r="R58" t="n">
        <v>8.080197</v>
      </c>
      <c r="S58" t="n">
        <v>8.120834</v>
      </c>
      <c r="T58" t="n">
        <v>8.149742</v>
      </c>
      <c r="U58" t="n">
        <v>8.150817999999999</v>
      </c>
      <c r="V58" t="n">
        <v>8.118296000000001</v>
      </c>
      <c r="W58" t="n">
        <v>8.079234</v>
      </c>
      <c r="X58" t="n">
        <v>8.068868</v>
      </c>
      <c r="Y58" t="n">
        <v>8.079834999999999</v>
      </c>
      <c r="Z58" t="n">
        <v>8.125821</v>
      </c>
      <c r="AA58" t="n">
        <v>8.163304</v>
      </c>
      <c r="AB58" t="n">
        <v>8.210293</v>
      </c>
      <c r="AC58" t="n">
        <v>8.270638999999999</v>
      </c>
      <c r="AD58" t="n">
        <v>8.296746000000001</v>
      </c>
      <c r="AE58" t="n">
        <v>8.347886000000001</v>
      </c>
      <c r="AF58" t="n">
        <v>8.401999</v>
      </c>
      <c r="AG58" t="n">
        <v>8.450187</v>
      </c>
      <c r="AH58" t="n">
        <v>8.512757000000001</v>
      </c>
      <c r="AI58" s="42" t="n">
        <v>0</v>
      </c>
    </row>
    <row r="59">
      <c r="A59" t="inlineStr">
        <is>
          <t>Total Energy Consumption by End Use</t>
        </is>
      </c>
    </row>
    <row r="60">
      <c r="A60" t="inlineStr">
        <is>
          <t>Space Heating</t>
        </is>
      </c>
      <c r="B60" t="inlineStr">
        <is>
          <t>Commercial: Total Energy Use by End Use: Space Heating: Reference case</t>
        </is>
      </c>
      <c r="C60" t="inlineStr">
        <is>
          <t>AEO.2023.REF2023.CNSM_NA_COMM_NA_TEE_SPH_USA_QBTU.A</t>
        </is>
      </c>
      <c r="D60" t="inlineStr">
        <is>
          <t>quads</t>
        </is>
      </c>
      <c r="F60" t="n">
        <v>2.369756</v>
      </c>
      <c r="G60" t="n">
        <v>2.325303</v>
      </c>
      <c r="H60" t="n">
        <v>2.200071</v>
      </c>
      <c r="I60" t="n">
        <v>2.234034</v>
      </c>
      <c r="J60" t="n">
        <v>2.258785</v>
      </c>
      <c r="K60" t="n">
        <v>2.272178</v>
      </c>
      <c r="L60" t="n">
        <v>2.278605</v>
      </c>
      <c r="M60" t="n">
        <v>2.27561</v>
      </c>
      <c r="N60" t="n">
        <v>2.268822</v>
      </c>
      <c r="O60" t="n">
        <v>2.26253</v>
      </c>
      <c r="P60" t="n">
        <v>2.255087</v>
      </c>
      <c r="Q60" t="n">
        <v>2.242448</v>
      </c>
      <c r="R60" t="n">
        <v>2.228594</v>
      </c>
      <c r="S60" t="n">
        <v>2.213358</v>
      </c>
      <c r="T60" t="n">
        <v>2.198295</v>
      </c>
      <c r="U60" t="n">
        <v>2.181622</v>
      </c>
      <c r="V60" t="n">
        <v>2.161021</v>
      </c>
      <c r="W60" t="n">
        <v>2.140987</v>
      </c>
      <c r="X60" t="n">
        <v>2.120797</v>
      </c>
      <c r="Y60" t="n">
        <v>2.100954</v>
      </c>
      <c r="Z60" t="n">
        <v>2.082587</v>
      </c>
      <c r="AA60" t="n">
        <v>2.065789</v>
      </c>
      <c r="AB60" t="n">
        <v>2.050912</v>
      </c>
      <c r="AC60" t="n">
        <v>2.034301</v>
      </c>
      <c r="AD60" t="n">
        <v>2.014431</v>
      </c>
      <c r="AE60" t="n">
        <v>1.996781</v>
      </c>
      <c r="AF60" t="n">
        <v>1.981096</v>
      </c>
      <c r="AG60" t="n">
        <v>1.965162</v>
      </c>
      <c r="AH60" t="n">
        <v>1.94787</v>
      </c>
      <c r="AI60" s="42" t="n">
        <v>-0.007</v>
      </c>
    </row>
    <row r="61">
      <c r="A61" t="inlineStr">
        <is>
          <t>Space Cooling</t>
        </is>
      </c>
      <c r="B61" t="inlineStr">
        <is>
          <t>Commercial: Total Energy Use by End Use: Space Cooling: Reference case</t>
        </is>
      </c>
      <c r="C61" t="inlineStr">
        <is>
          <t>AEO.2023.REF2023.CNSM_NA_COMM_NA_TEE_SPC_USA_QBTU.A</t>
        </is>
      </c>
      <c r="D61" t="inlineStr">
        <is>
          <t>quads</t>
        </is>
      </c>
      <c r="F61" t="n">
        <v>1.536997</v>
      </c>
      <c r="G61" t="n">
        <v>1.328487</v>
      </c>
      <c r="H61" t="n">
        <v>1.535744</v>
      </c>
      <c r="I61" t="n">
        <v>1.556894</v>
      </c>
      <c r="J61" t="n">
        <v>1.567385</v>
      </c>
      <c r="K61" t="n">
        <v>1.575223</v>
      </c>
      <c r="L61" t="n">
        <v>1.582111</v>
      </c>
      <c r="M61" t="n">
        <v>1.588919</v>
      </c>
      <c r="N61" t="n">
        <v>1.595887</v>
      </c>
      <c r="O61" t="n">
        <v>1.609396</v>
      </c>
      <c r="P61" t="n">
        <v>1.628192</v>
      </c>
      <c r="Q61" t="n">
        <v>1.637458</v>
      </c>
      <c r="R61" t="n">
        <v>1.650042</v>
      </c>
      <c r="S61" t="n">
        <v>1.661971</v>
      </c>
      <c r="T61" t="n">
        <v>1.672609</v>
      </c>
      <c r="U61" t="n">
        <v>1.680196</v>
      </c>
      <c r="V61" t="n">
        <v>1.682619</v>
      </c>
      <c r="W61" t="n">
        <v>1.684639</v>
      </c>
      <c r="X61" t="n">
        <v>1.688349</v>
      </c>
      <c r="Y61" t="n">
        <v>1.695125</v>
      </c>
      <c r="Z61" t="n">
        <v>1.706891</v>
      </c>
      <c r="AA61" t="n">
        <v>1.717692</v>
      </c>
      <c r="AB61" t="n">
        <v>1.73045</v>
      </c>
      <c r="AC61" t="n">
        <v>1.745769</v>
      </c>
      <c r="AD61" t="n">
        <v>1.758936</v>
      </c>
      <c r="AE61" t="n">
        <v>1.776665</v>
      </c>
      <c r="AF61" t="n">
        <v>1.795044</v>
      </c>
      <c r="AG61" t="n">
        <v>1.812694</v>
      </c>
      <c r="AH61" t="n">
        <v>1.833566</v>
      </c>
      <c r="AI61" s="42" t="n">
        <v>0.006</v>
      </c>
    </row>
    <row r="62">
      <c r="A62" t="inlineStr">
        <is>
          <t>Water Heating</t>
        </is>
      </c>
      <c r="B62" t="inlineStr">
        <is>
          <t>Commercial: Total Energy Use by End Use: Water Heating: Reference case</t>
        </is>
      </c>
      <c r="C62" t="inlineStr">
        <is>
          <t>AEO.2023.REF2023.CNSM_NA_COMM_NA_TEE_WTHT_USA_QBTU.A</t>
        </is>
      </c>
      <c r="D62" t="inlineStr">
        <is>
          <t>quads</t>
        </is>
      </c>
      <c r="F62" t="n">
        <v>0.665627</v>
      </c>
      <c r="G62" t="n">
        <v>0.6574989999999999</v>
      </c>
      <c r="H62" t="n">
        <v>0.666669</v>
      </c>
      <c r="I62" t="n">
        <v>0.681247</v>
      </c>
      <c r="J62" t="n">
        <v>0.693169</v>
      </c>
      <c r="K62" t="n">
        <v>0.702429</v>
      </c>
      <c r="L62" t="n">
        <v>0.7100070000000001</v>
      </c>
      <c r="M62" t="n">
        <v>0.7155359999999999</v>
      </c>
      <c r="N62" t="n">
        <v>0.720452</v>
      </c>
      <c r="O62" t="n">
        <v>0.725429</v>
      </c>
      <c r="P62" t="n">
        <v>0.730105</v>
      </c>
      <c r="Q62" t="n">
        <v>0.733232</v>
      </c>
      <c r="R62" t="n">
        <v>0.735904</v>
      </c>
      <c r="S62" t="n">
        <v>0.738239</v>
      </c>
      <c r="T62" t="n">
        <v>0.740788</v>
      </c>
      <c r="U62" t="n">
        <v>0.742856</v>
      </c>
      <c r="V62" t="n">
        <v>0.743663</v>
      </c>
      <c r="W62" t="n">
        <v>0.744897</v>
      </c>
      <c r="X62" t="n">
        <v>0.745897</v>
      </c>
      <c r="Y62" t="n">
        <v>0.747042</v>
      </c>
      <c r="Z62" t="n">
        <v>0.748654</v>
      </c>
      <c r="AA62" t="n">
        <v>0.751028</v>
      </c>
      <c r="AB62" t="n">
        <v>0.754226</v>
      </c>
      <c r="AC62" t="n">
        <v>0.756606</v>
      </c>
      <c r="AD62" t="n">
        <v>0.756688</v>
      </c>
      <c r="AE62" t="n">
        <v>0.758132</v>
      </c>
      <c r="AF62" t="n">
        <v>0.761054</v>
      </c>
      <c r="AG62" t="n">
        <v>0.764363</v>
      </c>
      <c r="AH62" t="n">
        <v>0.767133</v>
      </c>
      <c r="AI62" s="42" t="n">
        <v>0.005</v>
      </c>
    </row>
    <row r="63">
      <c r="A63" t="inlineStr">
        <is>
          <t>Ventilation</t>
        </is>
      </c>
      <c r="B63" t="inlineStr">
        <is>
          <t>Commercial: Total Energy Use by End Use: Ventilation: Reference case</t>
        </is>
      </c>
      <c r="C63" t="inlineStr">
        <is>
          <t>AEO.2023.REF2023.CNSM_NA_COMM_NA_TEE_VNTC_USA_QBTU.A</t>
        </is>
      </c>
      <c r="D63" t="inlineStr">
        <is>
          <t>quads</t>
        </is>
      </c>
      <c r="F63" t="n">
        <v>1.166529</v>
      </c>
      <c r="G63" t="n">
        <v>1.118084</v>
      </c>
      <c r="H63" t="n">
        <v>1.096742</v>
      </c>
      <c r="I63" t="n">
        <v>1.077789</v>
      </c>
      <c r="J63" t="n">
        <v>1.053604</v>
      </c>
      <c r="K63" t="n">
        <v>1.026656</v>
      </c>
      <c r="L63" t="n">
        <v>0.998766</v>
      </c>
      <c r="M63" t="n">
        <v>0.971284</v>
      </c>
      <c r="N63" t="n">
        <v>0.944791</v>
      </c>
      <c r="O63" t="n">
        <v>0.9229000000000001</v>
      </c>
      <c r="P63" t="n">
        <v>0.903901</v>
      </c>
      <c r="Q63" t="n">
        <v>0.88105</v>
      </c>
      <c r="R63" t="n">
        <v>0.8605660000000001</v>
      </c>
      <c r="S63" t="n">
        <v>0.840346</v>
      </c>
      <c r="T63" t="n">
        <v>0.820125</v>
      </c>
      <c r="U63" t="n">
        <v>0.798799</v>
      </c>
      <c r="V63" t="n">
        <v>0.775511</v>
      </c>
      <c r="W63" t="n">
        <v>0.752614</v>
      </c>
      <c r="X63" t="n">
        <v>0.732036</v>
      </c>
      <c r="Y63" t="n">
        <v>0.713807</v>
      </c>
      <c r="Z63" t="n">
        <v>0.698323</v>
      </c>
      <c r="AA63" t="n">
        <v>0.682943</v>
      </c>
      <c r="AB63" t="n">
        <v>0.668563</v>
      </c>
      <c r="AC63" t="n">
        <v>0.655164</v>
      </c>
      <c r="AD63" t="n">
        <v>0.640535</v>
      </c>
      <c r="AE63" t="n">
        <v>0.627728</v>
      </c>
      <c r="AF63" t="n">
        <v>0.615343</v>
      </c>
      <c r="AG63" t="n">
        <v>0.603332</v>
      </c>
      <c r="AH63" t="n">
        <v>0.592547</v>
      </c>
      <c r="AI63" s="42" t="n">
        <v>-0.024</v>
      </c>
    </row>
    <row r="64">
      <c r="A64" t="inlineStr">
        <is>
          <t>Cooking</t>
        </is>
      </c>
      <c r="B64" t="inlineStr">
        <is>
          <t>Commercial: Total Energy Use by End Use: Cooking: Reference case</t>
        </is>
      </c>
      <c r="C64" t="inlineStr">
        <is>
          <t>AEO.2023.REF2023.CNSM_NA_COMM_NA_TEE_CGR_USA_QBTU.A</t>
        </is>
      </c>
      <c r="D64" t="inlineStr">
        <is>
          <t>quads</t>
        </is>
      </c>
      <c r="F64" t="n">
        <v>0.560115</v>
      </c>
      <c r="G64" t="n">
        <v>0.554933</v>
      </c>
      <c r="H64" t="n">
        <v>0.5636679999999999</v>
      </c>
      <c r="I64" t="n">
        <v>0.57529</v>
      </c>
      <c r="J64" t="n">
        <v>0.583754</v>
      </c>
      <c r="K64" t="n">
        <v>0.589544</v>
      </c>
      <c r="L64" t="n">
        <v>0.594042</v>
      </c>
      <c r="M64" t="n">
        <v>0.5974969999999999</v>
      </c>
      <c r="N64" t="n">
        <v>0.600815</v>
      </c>
      <c r="O64" t="n">
        <v>0.604947</v>
      </c>
      <c r="P64" t="n">
        <v>0.609268</v>
      </c>
      <c r="Q64" t="n">
        <v>0.611633</v>
      </c>
      <c r="R64" t="n">
        <v>0.6139019999999999</v>
      </c>
      <c r="S64" t="n">
        <v>0.615721</v>
      </c>
      <c r="T64" t="n">
        <v>0.6173380000000001</v>
      </c>
      <c r="U64" t="n">
        <v>0.618186</v>
      </c>
      <c r="V64" t="n">
        <v>0.617672</v>
      </c>
      <c r="W64" t="n">
        <v>0.617239</v>
      </c>
      <c r="X64" t="n">
        <v>0.61681</v>
      </c>
      <c r="Y64" t="n">
        <v>0.616903</v>
      </c>
      <c r="Z64" t="n">
        <v>0.617671</v>
      </c>
      <c r="AA64" t="n">
        <v>0.618726</v>
      </c>
      <c r="AB64" t="n">
        <v>0.620303</v>
      </c>
      <c r="AC64" t="n">
        <v>0.621624</v>
      </c>
      <c r="AD64" t="n">
        <v>0.620771</v>
      </c>
      <c r="AE64" t="n">
        <v>0.621152</v>
      </c>
      <c r="AF64" t="n">
        <v>0.622461</v>
      </c>
      <c r="AG64" t="n">
        <v>0.62403</v>
      </c>
      <c r="AH64" t="n">
        <v>0.625516</v>
      </c>
      <c r="AI64" s="42" t="n">
        <v>0.004</v>
      </c>
    </row>
    <row r="65">
      <c r="A65" t="inlineStr">
        <is>
          <t>Lighting</t>
        </is>
      </c>
      <c r="B65" t="inlineStr">
        <is>
          <t>Commercial: Total Energy Use by End Use: Lighting: Reference case</t>
        </is>
      </c>
      <c r="C65" t="inlineStr">
        <is>
          <t>AEO.2023.REF2023.CNSM_NA_COMM_NA_TEE_LGHTNG_USA_QBTU.A</t>
        </is>
      </c>
      <c r="D65" t="inlineStr">
        <is>
          <t>quads</t>
        </is>
      </c>
      <c r="F65" t="n">
        <v>1.385153</v>
      </c>
      <c r="G65" t="n">
        <v>1.339207</v>
      </c>
      <c r="H65" t="n">
        <v>1.331915</v>
      </c>
      <c r="I65" t="n">
        <v>1.332792</v>
      </c>
      <c r="J65" t="n">
        <v>1.32838</v>
      </c>
      <c r="K65" t="n">
        <v>1.321219</v>
      </c>
      <c r="L65" t="n">
        <v>1.314132</v>
      </c>
      <c r="M65" t="n">
        <v>1.308378</v>
      </c>
      <c r="N65" t="n">
        <v>1.294353</v>
      </c>
      <c r="O65" t="n">
        <v>1.286871</v>
      </c>
      <c r="P65" t="n">
        <v>1.283467</v>
      </c>
      <c r="Q65" t="n">
        <v>1.274002</v>
      </c>
      <c r="R65" t="n">
        <v>1.266673</v>
      </c>
      <c r="S65" t="n">
        <v>1.258643</v>
      </c>
      <c r="T65" t="n">
        <v>1.249258</v>
      </c>
      <c r="U65" t="n">
        <v>1.235217</v>
      </c>
      <c r="V65" t="n">
        <v>1.216023</v>
      </c>
      <c r="W65" t="n">
        <v>1.193826</v>
      </c>
      <c r="X65" t="n">
        <v>1.184395</v>
      </c>
      <c r="Y65" t="n">
        <v>1.178803</v>
      </c>
      <c r="Z65" t="n">
        <v>1.176833</v>
      </c>
      <c r="AA65" t="n">
        <v>1.174792</v>
      </c>
      <c r="AB65" t="n">
        <v>1.174362</v>
      </c>
      <c r="AC65" t="n">
        <v>1.175478</v>
      </c>
      <c r="AD65" t="n">
        <v>1.174237</v>
      </c>
      <c r="AE65" t="n">
        <v>1.17668</v>
      </c>
      <c r="AF65" t="n">
        <v>1.179251</v>
      </c>
      <c r="AG65" t="n">
        <v>1.181748</v>
      </c>
      <c r="AH65" t="n">
        <v>1.186339</v>
      </c>
      <c r="AI65" s="42" t="n">
        <v>-0.006</v>
      </c>
    </row>
    <row r="66">
      <c r="A66" t="inlineStr">
        <is>
          <t>Refrigeration</t>
        </is>
      </c>
      <c r="B66" t="inlineStr">
        <is>
          <t>Commercial: Total Energy Use by End Use: Refrigeration: Reference case</t>
        </is>
      </c>
      <c r="C66" t="inlineStr">
        <is>
          <t>AEO.2023.REF2023.CNSM_NA_COMM_NA_TEE_REFR_USA_QBTU.A</t>
        </is>
      </c>
      <c r="D66" t="inlineStr">
        <is>
          <t>quads</t>
        </is>
      </c>
      <c r="F66" t="n">
        <v>1.680609</v>
      </c>
      <c r="G66" t="n">
        <v>1.648395</v>
      </c>
      <c r="H66" t="n">
        <v>1.652382</v>
      </c>
      <c r="I66" t="n">
        <v>1.657738</v>
      </c>
      <c r="J66" t="n">
        <v>1.654988</v>
      </c>
      <c r="K66" t="n">
        <v>1.649023</v>
      </c>
      <c r="L66" t="n">
        <v>1.643127</v>
      </c>
      <c r="M66" t="n">
        <v>1.639134</v>
      </c>
      <c r="N66" t="n">
        <v>1.636326</v>
      </c>
      <c r="O66" t="n">
        <v>1.642009</v>
      </c>
      <c r="P66" t="n">
        <v>1.652495</v>
      </c>
      <c r="Q66" t="n">
        <v>1.655916</v>
      </c>
      <c r="R66" t="n">
        <v>1.662613</v>
      </c>
      <c r="S66" t="n">
        <v>1.66731</v>
      </c>
      <c r="T66" t="n">
        <v>1.669798</v>
      </c>
      <c r="U66" t="n">
        <v>1.668502</v>
      </c>
      <c r="V66" t="n">
        <v>1.66205</v>
      </c>
      <c r="W66" t="n">
        <v>1.654631</v>
      </c>
      <c r="X66" t="n">
        <v>1.649924</v>
      </c>
      <c r="Y66" t="n">
        <v>1.649092</v>
      </c>
      <c r="Z66" t="n">
        <v>1.65256</v>
      </c>
      <c r="AA66" t="n">
        <v>1.654683</v>
      </c>
      <c r="AB66" t="n">
        <v>1.657877</v>
      </c>
      <c r="AC66" t="n">
        <v>1.662347</v>
      </c>
      <c r="AD66" t="n">
        <v>1.662294</v>
      </c>
      <c r="AE66" t="n">
        <v>1.665301</v>
      </c>
      <c r="AF66" t="n">
        <v>1.668507</v>
      </c>
      <c r="AG66" t="n">
        <v>1.671159</v>
      </c>
      <c r="AH66" t="n">
        <v>1.675552</v>
      </c>
      <c r="AI66" s="42" t="n">
        <v>0</v>
      </c>
    </row>
    <row r="67">
      <c r="A67" t="inlineStr">
        <is>
          <t>Computing</t>
        </is>
      </c>
      <c r="B67" t="inlineStr">
        <is>
          <t>Commercial: Total Energy Use by End Use: Computing: Reference case</t>
        </is>
      </c>
      <c r="C67" t="inlineStr">
        <is>
          <t>AEO.2023.REF2023.CNSM_NA_COMM_NA_TEE_OFEQPC_USA_QBTU.A</t>
        </is>
      </c>
      <c r="D67" t="inlineStr">
        <is>
          <t>quads</t>
        </is>
      </c>
      <c r="F67" t="n">
        <v>1.199797</v>
      </c>
      <c r="G67" t="n">
        <v>1.191255</v>
      </c>
      <c r="H67" t="n">
        <v>1.206181</v>
      </c>
      <c r="I67" t="n">
        <v>1.22292</v>
      </c>
      <c r="J67" t="n">
        <v>1.233381</v>
      </c>
      <c r="K67" t="n">
        <v>1.241554</v>
      </c>
      <c r="L67" t="n">
        <v>1.252292</v>
      </c>
      <c r="M67" t="n">
        <v>1.26457</v>
      </c>
      <c r="N67" t="n">
        <v>1.281642</v>
      </c>
      <c r="O67" t="n">
        <v>1.303904</v>
      </c>
      <c r="P67" t="n">
        <v>1.331193</v>
      </c>
      <c r="Q67" t="n">
        <v>1.353154</v>
      </c>
      <c r="R67" t="n">
        <v>1.379209</v>
      </c>
      <c r="S67" t="n">
        <v>1.403213</v>
      </c>
      <c r="T67" t="n">
        <v>1.427948</v>
      </c>
      <c r="U67" t="n">
        <v>1.448214</v>
      </c>
      <c r="V67" t="n">
        <v>1.466961</v>
      </c>
      <c r="W67" t="n">
        <v>1.484703</v>
      </c>
      <c r="X67" t="n">
        <v>1.504636</v>
      </c>
      <c r="Y67" t="n">
        <v>1.526249</v>
      </c>
      <c r="Z67" t="n">
        <v>1.553045</v>
      </c>
      <c r="AA67" t="n">
        <v>1.579993</v>
      </c>
      <c r="AB67" t="n">
        <v>1.606792</v>
      </c>
      <c r="AC67" t="n">
        <v>1.636521</v>
      </c>
      <c r="AD67" t="n">
        <v>1.663424</v>
      </c>
      <c r="AE67" t="n">
        <v>1.69211</v>
      </c>
      <c r="AF67" t="n">
        <v>1.722647</v>
      </c>
      <c r="AG67" t="n">
        <v>1.752706</v>
      </c>
      <c r="AH67" t="n">
        <v>1.784721</v>
      </c>
      <c r="AI67" s="42" t="n">
        <v>0.014</v>
      </c>
    </row>
    <row r="68">
      <c r="A68" t="inlineStr">
        <is>
          <t>Office Equipment</t>
        </is>
      </c>
      <c r="B68" t="inlineStr">
        <is>
          <t>Commercial: Total Energy Use by End Use: Office Equipment: Reference case</t>
        </is>
      </c>
      <c r="C68" t="inlineStr">
        <is>
          <t>AEO.2023.REF2023.CNSM_NA_COMM_NA_TEE_OFEQPNPC_USA_QBTU.A</t>
        </is>
      </c>
      <c r="D68" t="inlineStr">
        <is>
          <t>quads</t>
        </is>
      </c>
      <c r="F68" t="n">
        <v>0.486641</v>
      </c>
      <c r="G68" t="n">
        <v>0.474933</v>
      </c>
      <c r="H68" t="n">
        <v>0.473706</v>
      </c>
      <c r="I68" t="n">
        <v>0.473428</v>
      </c>
      <c r="J68" t="n">
        <v>0.471953</v>
      </c>
      <c r="K68" t="n">
        <v>0.470228</v>
      </c>
      <c r="L68" t="n">
        <v>0.46918</v>
      </c>
      <c r="M68" t="n">
        <v>0.469369</v>
      </c>
      <c r="N68" t="n">
        <v>0.471521</v>
      </c>
      <c r="O68" t="n">
        <v>0.475505</v>
      </c>
      <c r="P68" t="n">
        <v>0.481469</v>
      </c>
      <c r="Q68" t="n">
        <v>0.485415</v>
      </c>
      <c r="R68" t="n">
        <v>0.489541</v>
      </c>
      <c r="S68" t="n">
        <v>0.493592</v>
      </c>
      <c r="T68" t="n">
        <v>0.496127</v>
      </c>
      <c r="U68" t="n">
        <v>0.497496</v>
      </c>
      <c r="V68" t="n">
        <v>0.49738</v>
      </c>
      <c r="W68" t="n">
        <v>0.495395</v>
      </c>
      <c r="X68" t="n">
        <v>0.494109</v>
      </c>
      <c r="Y68" t="n">
        <v>0.492559</v>
      </c>
      <c r="Z68" t="n">
        <v>0.490609</v>
      </c>
      <c r="AA68" t="n">
        <v>0.487368</v>
      </c>
      <c r="AB68" t="n">
        <v>0.483581</v>
      </c>
      <c r="AC68" t="n">
        <v>0.478517</v>
      </c>
      <c r="AD68" t="n">
        <v>0.471269</v>
      </c>
      <c r="AE68" t="n">
        <v>0.463179</v>
      </c>
      <c r="AF68" t="n">
        <v>0.453412</v>
      </c>
      <c r="AG68" t="n">
        <v>0.44169</v>
      </c>
      <c r="AH68" t="n">
        <v>0.427778</v>
      </c>
      <c r="AI68" s="42" t="n">
        <v>-0.005</v>
      </c>
    </row>
    <row r="69">
      <c r="A69" t="inlineStr">
        <is>
          <t>Other Uses</t>
        </is>
      </c>
      <c r="B69" t="inlineStr">
        <is>
          <t>Commercial: Total Energy Use by End Use: Other Uses: Reference case</t>
        </is>
      </c>
      <c r="C69" t="inlineStr">
        <is>
          <t>AEO.2023.REF2023.CNSM_NA_COMM_NA_TEE_OTHU_USA_QBTU.A</t>
        </is>
      </c>
      <c r="D69" t="inlineStr">
        <is>
          <t>quads</t>
        </is>
      </c>
      <c r="F69" t="n">
        <v>6.702933</v>
      </c>
      <c r="G69" t="n">
        <v>6.763982</v>
      </c>
      <c r="H69" t="n">
        <v>6.673265</v>
      </c>
      <c r="I69" t="n">
        <v>6.601071</v>
      </c>
      <c r="J69" t="n">
        <v>6.552513</v>
      </c>
      <c r="K69" t="n">
        <v>6.493419</v>
      </c>
      <c r="L69" t="n">
        <v>6.517425</v>
      </c>
      <c r="M69" t="n">
        <v>6.544419</v>
      </c>
      <c r="N69" t="n">
        <v>6.584316</v>
      </c>
      <c r="O69" t="n">
        <v>6.64241</v>
      </c>
      <c r="P69" t="n">
        <v>6.716454</v>
      </c>
      <c r="Q69" t="n">
        <v>6.769983</v>
      </c>
      <c r="R69" t="n">
        <v>6.834221</v>
      </c>
      <c r="S69" t="n">
        <v>6.892231</v>
      </c>
      <c r="T69" t="n">
        <v>6.945162</v>
      </c>
      <c r="U69" t="n">
        <v>6.986348</v>
      </c>
      <c r="V69" t="n">
        <v>7.013602</v>
      </c>
      <c r="W69" t="n">
        <v>7.040237</v>
      </c>
      <c r="X69" t="n">
        <v>7.07523</v>
      </c>
      <c r="Y69" t="n">
        <v>7.118594</v>
      </c>
      <c r="Z69" t="n">
        <v>7.177317</v>
      </c>
      <c r="AA69" t="n">
        <v>7.234649</v>
      </c>
      <c r="AB69" t="n">
        <v>7.298151</v>
      </c>
      <c r="AC69" t="n">
        <v>7.368766</v>
      </c>
      <c r="AD69" t="n">
        <v>7.423457</v>
      </c>
      <c r="AE69" t="n">
        <v>7.492481</v>
      </c>
      <c r="AF69" t="n">
        <v>7.565614</v>
      </c>
      <c r="AG69" t="n">
        <v>7.638326</v>
      </c>
      <c r="AH69" t="n">
        <v>7.719114</v>
      </c>
      <c r="AI69" s="42" t="n">
        <v>0.005</v>
      </c>
    </row>
    <row r="70">
      <c r="A70" t="inlineStr">
        <is>
          <t>Total Gross End-use Consumption</t>
        </is>
      </c>
      <c r="B70" t="inlineStr">
        <is>
          <t>Commercial: Total Energy Use by End Use: Total Gross End-use Consumption: Reference case</t>
        </is>
      </c>
      <c r="C70" t="inlineStr">
        <is>
          <t>AEO.2023.REF2023.CNSM_NA_COMM_NA_TEE_NA_USA_QBTU.A</t>
        </is>
      </c>
      <c r="D70" t="inlineStr">
        <is>
          <t>quads</t>
        </is>
      </c>
      <c r="F70" t="n">
        <v>17.754156</v>
      </c>
      <c r="G70" t="n">
        <v>17.402081</v>
      </c>
      <c r="H70" t="n">
        <v>17.400341</v>
      </c>
      <c r="I70" t="n">
        <v>17.413204</v>
      </c>
      <c r="J70" t="n">
        <v>17.397911</v>
      </c>
      <c r="K70" t="n">
        <v>17.341473</v>
      </c>
      <c r="L70" t="n">
        <v>17.359686</v>
      </c>
      <c r="M70" t="n">
        <v>17.374718</v>
      </c>
      <c r="N70" t="n">
        <v>17.398926</v>
      </c>
      <c r="O70" t="n">
        <v>17.475899</v>
      </c>
      <c r="P70" t="n">
        <v>17.591631</v>
      </c>
      <c r="Q70" t="n">
        <v>17.644291</v>
      </c>
      <c r="R70" t="n">
        <v>17.721266</v>
      </c>
      <c r="S70" t="n">
        <v>17.784622</v>
      </c>
      <c r="T70" t="n">
        <v>17.837448</v>
      </c>
      <c r="U70" t="n">
        <v>17.857437</v>
      </c>
      <c r="V70" t="n">
        <v>17.836502</v>
      </c>
      <c r="W70" t="n">
        <v>17.809168</v>
      </c>
      <c r="X70" t="n">
        <v>17.812183</v>
      </c>
      <c r="Y70" t="n">
        <v>17.83913</v>
      </c>
      <c r="Z70" t="n">
        <v>17.904491</v>
      </c>
      <c r="AA70" t="n">
        <v>17.967663</v>
      </c>
      <c r="AB70" t="n">
        <v>18.045219</v>
      </c>
      <c r="AC70" t="n">
        <v>18.135094</v>
      </c>
      <c r="AD70" t="n">
        <v>18.186043</v>
      </c>
      <c r="AE70" t="n">
        <v>18.27021</v>
      </c>
      <c r="AF70" t="n">
        <v>18.364429</v>
      </c>
      <c r="AG70" t="n">
        <v>18.45521</v>
      </c>
      <c r="AH70" t="n">
        <v>18.560137</v>
      </c>
      <c r="AI70" s="42" t="n">
        <v>0.002</v>
      </c>
    </row>
    <row r="71">
      <c r="A71" t="inlineStr">
        <is>
          <t>On-site Generation for Own Use</t>
        </is>
      </c>
      <c r="B71" t="inlineStr">
        <is>
          <t>Commercial: Total Energy Use by End Use: Generation for Own Use: Reference case</t>
        </is>
      </c>
      <c r="C71" t="inlineStr">
        <is>
          <t>AEO.2023.REF2023.GEN_GFO_COMM_NA_TEE_NA_USA_QBTU.A</t>
        </is>
      </c>
      <c r="D71" t="inlineStr">
        <is>
          <t>quads</t>
        </is>
      </c>
      <c r="F71" t="n">
        <v>0.120598</v>
      </c>
      <c r="G71" t="n">
        <v>0.141293</v>
      </c>
      <c r="H71" t="n">
        <v>0.157796</v>
      </c>
      <c r="I71" t="n">
        <v>0.171057</v>
      </c>
      <c r="J71" t="n">
        <v>0.178473</v>
      </c>
      <c r="K71" t="n">
        <v>0.187182</v>
      </c>
      <c r="L71" t="n">
        <v>0.194703</v>
      </c>
      <c r="M71" t="n">
        <v>0.206329</v>
      </c>
      <c r="N71" t="n">
        <v>0.214666</v>
      </c>
      <c r="O71" t="n">
        <v>0.223006</v>
      </c>
      <c r="P71" t="n">
        <v>0.230468</v>
      </c>
      <c r="Q71" t="n">
        <v>0.241354</v>
      </c>
      <c r="R71" t="n">
        <v>0.252853</v>
      </c>
      <c r="S71" t="n">
        <v>0.259646</v>
      </c>
      <c r="T71" t="n">
        <v>0.271905</v>
      </c>
      <c r="U71" t="n">
        <v>0.279236</v>
      </c>
      <c r="V71" t="n">
        <v>0.289649</v>
      </c>
      <c r="W71" t="n">
        <v>0.299346</v>
      </c>
      <c r="X71" t="n">
        <v>0.307959</v>
      </c>
      <c r="Y71" t="n">
        <v>0.31545</v>
      </c>
      <c r="Z71" t="n">
        <v>0.321735</v>
      </c>
      <c r="AA71" t="n">
        <v>0.327236</v>
      </c>
      <c r="AB71" t="n">
        <v>0.332311</v>
      </c>
      <c r="AC71" t="n">
        <v>0.337295</v>
      </c>
      <c r="AD71" t="n">
        <v>0.345774</v>
      </c>
      <c r="AE71" t="n">
        <v>0.34869</v>
      </c>
      <c r="AF71" t="n">
        <v>0.35358</v>
      </c>
      <c r="AG71" t="n">
        <v>0.356073</v>
      </c>
      <c r="AH71" t="n">
        <v>0.357791</v>
      </c>
      <c r="AI71" s="42" t="n">
        <v>0.04</v>
      </c>
    </row>
    <row r="72">
      <c r="A72" t="inlineStr">
        <is>
          <t>Total Net Own-use Generation</t>
        </is>
      </c>
      <c r="B72" t="inlineStr">
        <is>
          <t>Commercial: Total Energy Use by End Use: Total Net Own-use Generation: Reference case</t>
        </is>
      </c>
      <c r="C72" t="inlineStr">
        <is>
          <t>AEO.2023.REF2023.GEN_GFO_COMM_NA_TEE_TOT_USA_QBTU.A</t>
        </is>
      </c>
      <c r="D72" t="inlineStr">
        <is>
          <t>quads</t>
        </is>
      </c>
      <c r="F72" t="n">
        <v>17.633558</v>
      </c>
      <c r="G72" t="n">
        <v>17.260786</v>
      </c>
      <c r="H72" t="n">
        <v>17.242546</v>
      </c>
      <c r="I72" t="n">
        <v>17.242146</v>
      </c>
      <c r="J72" t="n">
        <v>17.21944</v>
      </c>
      <c r="K72" t="n">
        <v>17.154289</v>
      </c>
      <c r="L72" t="n">
        <v>17.164982</v>
      </c>
      <c r="M72" t="n">
        <v>17.168388</v>
      </c>
      <c r="N72" t="n">
        <v>17.184261</v>
      </c>
      <c r="O72" t="n">
        <v>17.252895</v>
      </c>
      <c r="P72" t="n">
        <v>17.361164</v>
      </c>
      <c r="Q72" t="n">
        <v>17.402935</v>
      </c>
      <c r="R72" t="n">
        <v>17.468412</v>
      </c>
      <c r="S72" t="n">
        <v>17.524977</v>
      </c>
      <c r="T72" t="n">
        <v>17.565542</v>
      </c>
      <c r="U72" t="n">
        <v>17.578201</v>
      </c>
      <c r="V72" t="n">
        <v>17.546852</v>
      </c>
      <c r="W72" t="n">
        <v>17.509823</v>
      </c>
      <c r="X72" t="n">
        <v>17.504223</v>
      </c>
      <c r="Y72" t="n">
        <v>17.523678</v>
      </c>
      <c r="Z72" t="n">
        <v>17.582756</v>
      </c>
      <c r="AA72" t="n">
        <v>17.640427</v>
      </c>
      <c r="AB72" t="n">
        <v>17.712906</v>
      </c>
      <c r="AC72" t="n">
        <v>17.797798</v>
      </c>
      <c r="AD72" t="n">
        <v>17.840267</v>
      </c>
      <c r="AE72" t="n">
        <v>17.92152</v>
      </c>
      <c r="AF72" t="n">
        <v>18.010849</v>
      </c>
      <c r="AG72" t="n">
        <v>18.099136</v>
      </c>
      <c r="AH72" t="n">
        <v>18.202347</v>
      </c>
      <c r="AI72" s="42" t="n">
        <v>0.001</v>
      </c>
    </row>
    <row r="73">
      <c r="A73" t="inlineStr">
        <is>
          <t>Nonmarketed Renewable Fuels</t>
        </is>
      </c>
    </row>
    <row r="74">
      <c r="A74" t="inlineStr">
        <is>
          <t>Solar Thermal</t>
        </is>
      </c>
      <c r="B74" t="inlineStr">
        <is>
          <t>Commercial: Nonmarketed Renewable Fuels: Solar Thermal: Reference case</t>
        </is>
      </c>
      <c r="C74" t="inlineStr">
        <is>
          <t>AEO.2023.REF2023.CNSM_NA_COMM_NA_NRF_SOTH_USA_QBTU.A</t>
        </is>
      </c>
      <c r="D74" t="inlineStr">
        <is>
          <t>quads</t>
        </is>
      </c>
      <c r="F74" t="n">
        <v>0.073909</v>
      </c>
      <c r="G74" t="n">
        <v>0.07415099999999999</v>
      </c>
      <c r="H74" t="n">
        <v>0.07585699999999999</v>
      </c>
      <c r="I74" t="n">
        <v>0.076403</v>
      </c>
      <c r="J74" t="n">
        <v>0.076692</v>
      </c>
      <c r="K74" t="n">
        <v>0.076408</v>
      </c>
      <c r="L74" t="n">
        <v>0.075979</v>
      </c>
      <c r="M74" t="n">
        <v>0.075916</v>
      </c>
      <c r="N74" t="n">
        <v>0.075721</v>
      </c>
      <c r="O74" t="n">
        <v>0.075837</v>
      </c>
      <c r="P74" t="n">
        <v>0.07584</v>
      </c>
      <c r="Q74" t="n">
        <v>0.07571899999999999</v>
      </c>
      <c r="R74" t="n">
        <v>0.075756</v>
      </c>
      <c r="S74" t="n">
        <v>0.07595200000000001</v>
      </c>
      <c r="T74" t="n">
        <v>0.075837</v>
      </c>
      <c r="U74" t="n">
        <v>0.075588</v>
      </c>
      <c r="V74" t="n">
        <v>0.07488</v>
      </c>
      <c r="W74" t="n">
        <v>0.074639</v>
      </c>
      <c r="X74" t="n">
        <v>0.07434</v>
      </c>
      <c r="Y74" t="n">
        <v>0.074429</v>
      </c>
      <c r="Z74" t="n">
        <v>0.074297</v>
      </c>
      <c r="AA74" t="n">
        <v>0.074153</v>
      </c>
      <c r="AB74" t="n">
        <v>0.07410700000000001</v>
      </c>
      <c r="AC74" t="n">
        <v>0.07401199999999999</v>
      </c>
      <c r="AD74" t="n">
        <v>0.07380100000000001</v>
      </c>
      <c r="AE74" t="n">
        <v>0.073765</v>
      </c>
      <c r="AF74" t="n">
        <v>0.07353700000000001</v>
      </c>
      <c r="AG74" t="n">
        <v>0.073493</v>
      </c>
      <c r="AH74" t="n">
        <v>0.073127</v>
      </c>
      <c r="AI74" s="42" t="n">
        <v>0</v>
      </c>
    </row>
    <row r="75">
      <c r="A75" t="inlineStr">
        <is>
          <t>Solar Photovoltaic</t>
        </is>
      </c>
      <c r="B75" t="inlineStr">
        <is>
          <t>Commercial: Nonmarketed Renewable Fuels: Solar Photovoltaic: Reference case</t>
        </is>
      </c>
      <c r="C75" t="inlineStr">
        <is>
          <t>AEO.2023.REF2023.CNSM_NA_COMM_NA_NRF_SOPH_USA_QBTU.A</t>
        </is>
      </c>
      <c r="D75" t="inlineStr">
        <is>
          <t>quads</t>
        </is>
      </c>
      <c r="F75" t="n">
        <v>0.261815</v>
      </c>
      <c r="G75" t="n">
        <v>0.308044</v>
      </c>
      <c r="H75" t="n">
        <v>0.349125</v>
      </c>
      <c r="I75" t="n">
        <v>0.378463</v>
      </c>
      <c r="J75" t="n">
        <v>0.393909</v>
      </c>
      <c r="K75" t="n">
        <v>0.41462</v>
      </c>
      <c r="L75" t="n">
        <v>0.431876</v>
      </c>
      <c r="M75" t="n">
        <v>0.460305</v>
      </c>
      <c r="N75" t="n">
        <v>0.480624</v>
      </c>
      <c r="O75" t="n">
        <v>0.5018280000000001</v>
      </c>
      <c r="P75" t="n">
        <v>0.519754</v>
      </c>
      <c r="Q75" t="n">
        <v>0.54558</v>
      </c>
      <c r="R75" t="n">
        <v>0.57358</v>
      </c>
      <c r="S75" t="n">
        <v>0.591709</v>
      </c>
      <c r="T75" t="n">
        <v>0.620738</v>
      </c>
      <c r="U75" t="n">
        <v>0.637336</v>
      </c>
      <c r="V75" t="n">
        <v>0.65884</v>
      </c>
      <c r="W75" t="n">
        <v>0.681914</v>
      </c>
      <c r="X75" t="n">
        <v>0.701094</v>
      </c>
      <c r="Y75" t="n">
        <v>0.720852</v>
      </c>
      <c r="Z75" t="n">
        <v>0.735415</v>
      </c>
      <c r="AA75" t="n">
        <v>0.748405</v>
      </c>
      <c r="AB75" t="n">
        <v>0.761182</v>
      </c>
      <c r="AC75" t="n">
        <v>0.772834</v>
      </c>
      <c r="AD75" t="n">
        <v>0.793086</v>
      </c>
      <c r="AE75" t="n">
        <v>0.800969</v>
      </c>
      <c r="AF75" t="n">
        <v>0.811401</v>
      </c>
      <c r="AG75" t="n">
        <v>0.818581</v>
      </c>
      <c r="AH75" t="n">
        <v>0.819181</v>
      </c>
      <c r="AI75" s="42" t="n">
        <v>0.042</v>
      </c>
    </row>
    <row r="76">
      <c r="A76" t="inlineStr">
        <is>
          <t>Wind</t>
        </is>
      </c>
      <c r="B76" t="inlineStr">
        <is>
          <t>Commercial: Nonmarketed Renewable Fuels: Wind: Reference case</t>
        </is>
      </c>
      <c r="C76" t="inlineStr">
        <is>
          <t>AEO.2023.REF2023.CNSM_NA_COMM_NA_NRF_WND_USA_QBTU.A</t>
        </is>
      </c>
      <c r="D76" t="inlineStr">
        <is>
          <t>quads</t>
        </is>
      </c>
      <c r="F76" t="n">
        <v>0.006792</v>
      </c>
      <c r="G76" t="n">
        <v>0.006789</v>
      </c>
      <c r="H76" t="n">
        <v>0.006849</v>
      </c>
      <c r="I76" t="n">
        <v>0.006794</v>
      </c>
      <c r="J76" t="n">
        <v>0.00673</v>
      </c>
      <c r="K76" t="n">
        <v>0.006714</v>
      </c>
      <c r="L76" t="n">
        <v>0.006732</v>
      </c>
      <c r="M76" t="n">
        <v>0.006796</v>
      </c>
      <c r="N76" t="n">
        <v>0.006782</v>
      </c>
      <c r="O76" t="n">
        <v>0.00682</v>
      </c>
      <c r="P76" t="n">
        <v>0.006835</v>
      </c>
      <c r="Q76" t="n">
        <v>0.006836</v>
      </c>
      <c r="R76" t="n">
        <v>0.006857</v>
      </c>
      <c r="S76" t="n">
        <v>0.006903</v>
      </c>
      <c r="T76" t="n">
        <v>0.006914</v>
      </c>
      <c r="U76" t="n">
        <v>0.006883</v>
      </c>
      <c r="V76" t="n">
        <v>0.0068</v>
      </c>
      <c r="W76" t="n">
        <v>0.006808</v>
      </c>
      <c r="X76" t="n">
        <v>0.006781</v>
      </c>
      <c r="Y76" t="n">
        <v>0.006804</v>
      </c>
      <c r="Z76" t="n">
        <v>0.006803</v>
      </c>
      <c r="AA76" t="n">
        <v>0.006792</v>
      </c>
      <c r="AB76" t="n">
        <v>0.006783</v>
      </c>
      <c r="AC76" t="n">
        <v>0.006769</v>
      </c>
      <c r="AD76" t="n">
        <v>0.006765</v>
      </c>
      <c r="AE76" t="n">
        <v>0.006767</v>
      </c>
      <c r="AF76" t="n">
        <v>0.00676</v>
      </c>
      <c r="AG76" t="n">
        <v>0.006754</v>
      </c>
      <c r="AH76" t="n">
        <v>0.006743</v>
      </c>
      <c r="AI76" s="42" t="n">
        <v>0</v>
      </c>
    </row>
    <row r="77">
      <c r="A77" t="inlineStr">
        <is>
          <t>Total</t>
        </is>
      </c>
      <c r="B77" t="inlineStr">
        <is>
          <t>Commercial: Nonmarketed Renewable Fuels: Total: Reference case</t>
        </is>
      </c>
      <c r="C77" t="inlineStr">
        <is>
          <t>AEO.2023.REF2023.CNSM_NA_COMM_NA_NRF_TOT_USA_QBTU.A</t>
        </is>
      </c>
      <c r="D77" t="inlineStr">
        <is>
          <t>quads</t>
        </is>
      </c>
      <c r="F77" t="n">
        <v>0.342516</v>
      </c>
      <c r="G77" t="n">
        <v>0.388984</v>
      </c>
      <c r="H77" t="n">
        <v>0.431831</v>
      </c>
      <c r="I77" t="n">
        <v>0.461659</v>
      </c>
      <c r="J77" t="n">
        <v>0.477331</v>
      </c>
      <c r="K77" t="n">
        <v>0.497743</v>
      </c>
      <c r="L77" t="n">
        <v>0.514586</v>
      </c>
      <c r="M77" t="n">
        <v>0.543017</v>
      </c>
      <c r="N77" t="n">
        <v>0.563127</v>
      </c>
      <c r="O77" t="n">
        <v>0.584484</v>
      </c>
      <c r="P77" t="n">
        <v>0.602429</v>
      </c>
      <c r="Q77" t="n">
        <v>0.628135</v>
      </c>
      <c r="R77" t="n">
        <v>0.656193</v>
      </c>
      <c r="S77" t="n">
        <v>0.674563</v>
      </c>
      <c r="T77" t="n">
        <v>0.703489</v>
      </c>
      <c r="U77" t="n">
        <v>0.719807</v>
      </c>
      <c r="V77" t="n">
        <v>0.74052</v>
      </c>
      <c r="W77" t="n">
        <v>0.763362</v>
      </c>
      <c r="X77" t="n">
        <v>0.782215</v>
      </c>
      <c r="Y77" t="n">
        <v>0.802085</v>
      </c>
      <c r="Z77" t="n">
        <v>0.816515</v>
      </c>
      <c r="AA77" t="n">
        <v>0.829349</v>
      </c>
      <c r="AB77" t="n">
        <v>0.842072</v>
      </c>
      <c r="AC77" t="n">
        <v>0.853616</v>
      </c>
      <c r="AD77" t="n">
        <v>0.873652</v>
      </c>
      <c r="AE77" t="n">
        <v>0.881501</v>
      </c>
      <c r="AF77" t="n">
        <v>0.891699</v>
      </c>
      <c r="AG77" t="n">
        <v>0.898828</v>
      </c>
      <c r="AH77" t="n">
        <v>0.899051</v>
      </c>
      <c r="AI77" s="42" t="n">
        <v>0.035</v>
      </c>
    </row>
    <row r="78">
      <c r="A78" t="inlineStr">
        <is>
          <t>Heating Degree Days</t>
        </is>
      </c>
    </row>
    <row r="79">
      <c r="A79" t="inlineStr">
        <is>
          <t>New England</t>
        </is>
      </c>
      <c r="B79" t="inlineStr">
        <is>
          <t>Commercial: Heating Degree Days: New England: Reference case</t>
        </is>
      </c>
      <c r="C79" t="inlineStr">
        <is>
          <t>AEO.2023.REF2023.KEI_NA_COMM_NA_NA_NA_NENGL_HDD.A</t>
        </is>
      </c>
      <c r="D79" t="inlineStr">
        <is>
          <t>HDD</t>
        </is>
      </c>
      <c r="F79" t="n">
        <v>6198</v>
      </c>
      <c r="G79" t="n">
        <v>6420</v>
      </c>
      <c r="H79" t="n">
        <v>5972</v>
      </c>
      <c r="I79" t="n">
        <v>5949</v>
      </c>
      <c r="J79" t="n">
        <v>5925</v>
      </c>
      <c r="K79" t="n">
        <v>5902</v>
      </c>
      <c r="L79" t="n">
        <v>5878</v>
      </c>
      <c r="M79" t="n">
        <v>5854</v>
      </c>
      <c r="N79" t="n">
        <v>5830</v>
      </c>
      <c r="O79" t="n">
        <v>5807</v>
      </c>
      <c r="P79" t="n">
        <v>5783</v>
      </c>
      <c r="Q79" t="n">
        <v>5759</v>
      </c>
      <c r="R79" t="n">
        <v>5735</v>
      </c>
      <c r="S79" t="n">
        <v>5711</v>
      </c>
      <c r="T79" t="n">
        <v>5687</v>
      </c>
      <c r="U79" t="n">
        <v>5663</v>
      </c>
      <c r="V79" t="n">
        <v>5639</v>
      </c>
      <c r="W79" t="n">
        <v>5615</v>
      </c>
      <c r="X79" t="n">
        <v>5591</v>
      </c>
      <c r="Y79" t="n">
        <v>5567</v>
      </c>
      <c r="Z79" t="n">
        <v>5543</v>
      </c>
      <c r="AA79" t="n">
        <v>5519</v>
      </c>
      <c r="AB79" t="n">
        <v>5495</v>
      </c>
      <c r="AC79" t="n">
        <v>5471</v>
      </c>
      <c r="AD79" t="n">
        <v>5447</v>
      </c>
      <c r="AE79" t="n">
        <v>5423</v>
      </c>
      <c r="AF79" t="n">
        <v>5399</v>
      </c>
      <c r="AG79" t="n">
        <v>5374</v>
      </c>
      <c r="AH79" t="n">
        <v>5350</v>
      </c>
      <c r="AI79" s="42" t="n">
        <v>-0.005</v>
      </c>
    </row>
    <row r="80">
      <c r="A80" t="inlineStr">
        <is>
          <t>Middle Atlantic</t>
        </is>
      </c>
      <c r="B80" t="inlineStr">
        <is>
          <t>Commercial: Heating Degree Days: Middle Atlantic: Reference case</t>
        </is>
      </c>
      <c r="C80" t="inlineStr">
        <is>
          <t>AEO.2023.REF2023.KEI_NA_COMM_NA_NA_NA_MATL_HDD.A</t>
        </is>
      </c>
      <c r="D80" t="inlineStr">
        <is>
          <t>HDD</t>
        </is>
      </c>
      <c r="F80" t="n">
        <v>5742</v>
      </c>
      <c r="G80" t="n">
        <v>5779</v>
      </c>
      <c r="H80" t="n">
        <v>5348</v>
      </c>
      <c r="I80" t="n">
        <v>5325</v>
      </c>
      <c r="J80" t="n">
        <v>5303</v>
      </c>
      <c r="K80" t="n">
        <v>5281</v>
      </c>
      <c r="L80" t="n">
        <v>5259</v>
      </c>
      <c r="M80" t="n">
        <v>5236</v>
      </c>
      <c r="N80" t="n">
        <v>5214</v>
      </c>
      <c r="O80" t="n">
        <v>5192</v>
      </c>
      <c r="P80" t="n">
        <v>5169</v>
      </c>
      <c r="Q80" t="n">
        <v>5147</v>
      </c>
      <c r="R80" t="n">
        <v>5125</v>
      </c>
      <c r="S80" t="n">
        <v>5102</v>
      </c>
      <c r="T80" t="n">
        <v>5080</v>
      </c>
      <c r="U80" t="n">
        <v>5058</v>
      </c>
      <c r="V80" t="n">
        <v>5036</v>
      </c>
      <c r="W80" t="n">
        <v>5013</v>
      </c>
      <c r="X80" t="n">
        <v>4991</v>
      </c>
      <c r="Y80" t="n">
        <v>4969</v>
      </c>
      <c r="Z80" t="n">
        <v>4947</v>
      </c>
      <c r="AA80" t="n">
        <v>4924</v>
      </c>
      <c r="AB80" t="n">
        <v>4902</v>
      </c>
      <c r="AC80" t="n">
        <v>4880</v>
      </c>
      <c r="AD80" t="n">
        <v>4858</v>
      </c>
      <c r="AE80" t="n">
        <v>4835</v>
      </c>
      <c r="AF80" t="n">
        <v>4813</v>
      </c>
      <c r="AG80" t="n">
        <v>4791</v>
      </c>
      <c r="AH80" t="n">
        <v>4769</v>
      </c>
      <c r="AI80" s="42" t="n">
        <v>-0.007</v>
      </c>
    </row>
    <row r="81">
      <c r="A81" t="inlineStr">
        <is>
          <t>East North Central</t>
        </is>
      </c>
      <c r="B81" t="inlineStr">
        <is>
          <t>Commercial: Heating Degree Days: East North Central: Reference case</t>
        </is>
      </c>
      <c r="C81" t="inlineStr">
        <is>
          <t>AEO.2023.REF2023.KEI_NA_COMM_NA_NA_NA_ENC_HDD.A</t>
        </is>
      </c>
      <c r="D81" t="inlineStr">
        <is>
          <t>HDD</t>
        </is>
      </c>
      <c r="F81" t="n">
        <v>6427</v>
      </c>
      <c r="G81" t="n">
        <v>6306</v>
      </c>
      <c r="H81" t="n">
        <v>5982</v>
      </c>
      <c r="I81" t="n">
        <v>5967</v>
      </c>
      <c r="J81" t="n">
        <v>5953</v>
      </c>
      <c r="K81" t="n">
        <v>5938</v>
      </c>
      <c r="L81" t="n">
        <v>5923</v>
      </c>
      <c r="M81" t="n">
        <v>5908</v>
      </c>
      <c r="N81" t="n">
        <v>5893</v>
      </c>
      <c r="O81" t="n">
        <v>5879</v>
      </c>
      <c r="P81" t="n">
        <v>5864</v>
      </c>
      <c r="Q81" t="n">
        <v>5849</v>
      </c>
      <c r="R81" t="n">
        <v>5834</v>
      </c>
      <c r="S81" t="n">
        <v>5819</v>
      </c>
      <c r="T81" t="n">
        <v>5804</v>
      </c>
      <c r="U81" t="n">
        <v>5790</v>
      </c>
      <c r="V81" t="n">
        <v>5775</v>
      </c>
      <c r="W81" t="n">
        <v>5760</v>
      </c>
      <c r="X81" t="n">
        <v>5745</v>
      </c>
      <c r="Y81" t="n">
        <v>5730</v>
      </c>
      <c r="Z81" t="n">
        <v>5715</v>
      </c>
      <c r="AA81" t="n">
        <v>5701</v>
      </c>
      <c r="AB81" t="n">
        <v>5686</v>
      </c>
      <c r="AC81" t="n">
        <v>5671</v>
      </c>
      <c r="AD81" t="n">
        <v>5656</v>
      </c>
      <c r="AE81" t="n">
        <v>5641</v>
      </c>
      <c r="AF81" t="n">
        <v>5626</v>
      </c>
      <c r="AG81" t="n">
        <v>5611</v>
      </c>
      <c r="AH81" t="n">
        <v>5597</v>
      </c>
      <c r="AI81" s="42" t="n">
        <v>-0.005</v>
      </c>
    </row>
    <row r="82">
      <c r="A82" t="inlineStr">
        <is>
          <t>West North Central</t>
        </is>
      </c>
      <c r="B82" t="inlineStr">
        <is>
          <t>Commercial: Heating Degree Days: West North Central: Reference case</t>
        </is>
      </c>
      <c r="C82" t="inlineStr">
        <is>
          <t>AEO.2023.REF2023.KEI_NA_COMM_NA_NA_NA_WNC_HDD.A</t>
        </is>
      </c>
      <c r="D82" t="inlineStr">
        <is>
          <t>HDD</t>
        </is>
      </c>
      <c r="F82" t="n">
        <v>6845</v>
      </c>
      <c r="G82" t="n">
        <v>6601</v>
      </c>
      <c r="H82" t="n">
        <v>6349</v>
      </c>
      <c r="I82" t="n">
        <v>6340</v>
      </c>
      <c r="J82" t="n">
        <v>6330</v>
      </c>
      <c r="K82" t="n">
        <v>6321</v>
      </c>
      <c r="L82" t="n">
        <v>6311</v>
      </c>
      <c r="M82" t="n">
        <v>6301</v>
      </c>
      <c r="N82" t="n">
        <v>6291</v>
      </c>
      <c r="O82" t="n">
        <v>6281</v>
      </c>
      <c r="P82" t="n">
        <v>6271</v>
      </c>
      <c r="Q82" t="n">
        <v>6261</v>
      </c>
      <c r="R82" t="n">
        <v>6250</v>
      </c>
      <c r="S82" t="n">
        <v>6240</v>
      </c>
      <c r="T82" t="n">
        <v>6230</v>
      </c>
      <c r="U82" t="n">
        <v>6219</v>
      </c>
      <c r="V82" t="n">
        <v>6209</v>
      </c>
      <c r="W82" t="n">
        <v>6198</v>
      </c>
      <c r="X82" t="n">
        <v>6188</v>
      </c>
      <c r="Y82" t="n">
        <v>6177</v>
      </c>
      <c r="Z82" t="n">
        <v>6167</v>
      </c>
      <c r="AA82" t="n">
        <v>6156</v>
      </c>
      <c r="AB82" t="n">
        <v>6145</v>
      </c>
      <c r="AC82" t="n">
        <v>6135</v>
      </c>
      <c r="AD82" t="n">
        <v>6124</v>
      </c>
      <c r="AE82" t="n">
        <v>6113</v>
      </c>
      <c r="AF82" t="n">
        <v>6103</v>
      </c>
      <c r="AG82" t="n">
        <v>6092</v>
      </c>
      <c r="AH82" t="n">
        <v>6081</v>
      </c>
      <c r="AI82" s="42" t="n">
        <v>-0.004</v>
      </c>
    </row>
    <row r="83">
      <c r="A83" t="inlineStr">
        <is>
          <t>South Atlantic</t>
        </is>
      </c>
      <c r="B83" t="inlineStr">
        <is>
          <t>Commercial: Heating Degree Days: South Atlantic: Reference case</t>
        </is>
      </c>
      <c r="C83" t="inlineStr">
        <is>
          <t>AEO.2023.REF2023.KEI_NA_COMM_NA_NA_NA_SATL_HDD.A</t>
        </is>
      </c>
      <c r="D83" t="inlineStr">
        <is>
          <t>HDD</t>
        </is>
      </c>
      <c r="F83" t="n">
        <v>2566</v>
      </c>
      <c r="G83" t="n">
        <v>2600</v>
      </c>
      <c r="H83" t="n">
        <v>2375</v>
      </c>
      <c r="I83" t="n">
        <v>2358</v>
      </c>
      <c r="J83" t="n">
        <v>2342</v>
      </c>
      <c r="K83" t="n">
        <v>2326</v>
      </c>
      <c r="L83" t="n">
        <v>2310</v>
      </c>
      <c r="M83" t="n">
        <v>2294</v>
      </c>
      <c r="N83" t="n">
        <v>2277</v>
      </c>
      <c r="O83" t="n">
        <v>2261</v>
      </c>
      <c r="P83" t="n">
        <v>2245</v>
      </c>
      <c r="Q83" t="n">
        <v>2229</v>
      </c>
      <c r="R83" t="n">
        <v>2213</v>
      </c>
      <c r="S83" t="n">
        <v>2197</v>
      </c>
      <c r="T83" t="n">
        <v>2180</v>
      </c>
      <c r="U83" t="n">
        <v>2164</v>
      </c>
      <c r="V83" t="n">
        <v>2148</v>
      </c>
      <c r="W83" t="n">
        <v>2132</v>
      </c>
      <c r="X83" t="n">
        <v>2116</v>
      </c>
      <c r="Y83" t="n">
        <v>2100</v>
      </c>
      <c r="Z83" t="n">
        <v>2084</v>
      </c>
      <c r="AA83" t="n">
        <v>2068</v>
      </c>
      <c r="AB83" t="n">
        <v>2052</v>
      </c>
      <c r="AC83" t="n">
        <v>2036</v>
      </c>
      <c r="AD83" t="n">
        <v>2020</v>
      </c>
      <c r="AE83" t="n">
        <v>2005</v>
      </c>
      <c r="AF83" t="n">
        <v>1989</v>
      </c>
      <c r="AG83" t="n">
        <v>1973</v>
      </c>
      <c r="AH83" t="n">
        <v>1957</v>
      </c>
      <c r="AI83" s="42" t="n">
        <v>-0.01</v>
      </c>
    </row>
    <row r="84">
      <c r="A84" t="inlineStr">
        <is>
          <t>East South Central</t>
        </is>
      </c>
      <c r="B84" t="inlineStr">
        <is>
          <t>Commercial: Heating Degree Days: East South Central: Reference case</t>
        </is>
      </c>
      <c r="C84" t="inlineStr">
        <is>
          <t>AEO.2023.REF2023.KEI_NA_COMM_NA_NA_NA_ESC_HDD.A</t>
        </is>
      </c>
      <c r="D84" t="inlineStr">
        <is>
          <t>HDD</t>
        </is>
      </c>
      <c r="F84" t="n">
        <v>3487</v>
      </c>
      <c r="G84" t="n">
        <v>3442</v>
      </c>
      <c r="H84" t="n">
        <v>3180</v>
      </c>
      <c r="I84" t="n">
        <v>3168</v>
      </c>
      <c r="J84" t="n">
        <v>3156</v>
      </c>
      <c r="K84" t="n">
        <v>3144</v>
      </c>
      <c r="L84" t="n">
        <v>3131</v>
      </c>
      <c r="M84" t="n">
        <v>3119</v>
      </c>
      <c r="N84" t="n">
        <v>3106</v>
      </c>
      <c r="O84" t="n">
        <v>3094</v>
      </c>
      <c r="P84" t="n">
        <v>3081</v>
      </c>
      <c r="Q84" t="n">
        <v>3069</v>
      </c>
      <c r="R84" t="n">
        <v>3056</v>
      </c>
      <c r="S84" t="n">
        <v>3043</v>
      </c>
      <c r="T84" t="n">
        <v>3031</v>
      </c>
      <c r="U84" t="n">
        <v>3018</v>
      </c>
      <c r="V84" t="n">
        <v>3005</v>
      </c>
      <c r="W84" t="n">
        <v>2992</v>
      </c>
      <c r="X84" t="n">
        <v>2980</v>
      </c>
      <c r="Y84" t="n">
        <v>2967</v>
      </c>
      <c r="Z84" t="n">
        <v>2954</v>
      </c>
      <c r="AA84" t="n">
        <v>2941</v>
      </c>
      <c r="AB84" t="n">
        <v>2929</v>
      </c>
      <c r="AC84" t="n">
        <v>2916</v>
      </c>
      <c r="AD84" t="n">
        <v>2903</v>
      </c>
      <c r="AE84" t="n">
        <v>2890</v>
      </c>
      <c r="AF84" t="n">
        <v>2877</v>
      </c>
      <c r="AG84" t="n">
        <v>2865</v>
      </c>
      <c r="AH84" t="n">
        <v>2852</v>
      </c>
      <c r="AI84" s="42" t="n">
        <v>-0.007</v>
      </c>
    </row>
    <row r="85">
      <c r="A85" t="inlineStr">
        <is>
          <t>West South Central</t>
        </is>
      </c>
      <c r="B85" t="inlineStr">
        <is>
          <t>Commercial: Heating Degree Days: West South Central: Reference case</t>
        </is>
      </c>
      <c r="C85" t="inlineStr">
        <is>
          <t>AEO.2023.REF2023.KEI_NA_COMM_NA_NA_NA_WSC_HDD.A</t>
        </is>
      </c>
      <c r="D85" t="inlineStr">
        <is>
          <t>HDD</t>
        </is>
      </c>
      <c r="F85" t="n">
        <v>2195</v>
      </c>
      <c r="G85" t="n">
        <v>2056</v>
      </c>
      <c r="H85" t="n">
        <v>1942</v>
      </c>
      <c r="I85" t="n">
        <v>1934</v>
      </c>
      <c r="J85" t="n">
        <v>1925</v>
      </c>
      <c r="K85" t="n">
        <v>1916</v>
      </c>
      <c r="L85" t="n">
        <v>1908</v>
      </c>
      <c r="M85" t="n">
        <v>1899</v>
      </c>
      <c r="N85" t="n">
        <v>1891</v>
      </c>
      <c r="O85" t="n">
        <v>1882</v>
      </c>
      <c r="P85" t="n">
        <v>1874</v>
      </c>
      <c r="Q85" t="n">
        <v>1865</v>
      </c>
      <c r="R85" t="n">
        <v>1857</v>
      </c>
      <c r="S85" t="n">
        <v>1849</v>
      </c>
      <c r="T85" t="n">
        <v>1840</v>
      </c>
      <c r="U85" t="n">
        <v>1832</v>
      </c>
      <c r="V85" t="n">
        <v>1824</v>
      </c>
      <c r="W85" t="n">
        <v>1815</v>
      </c>
      <c r="X85" t="n">
        <v>1807</v>
      </c>
      <c r="Y85" t="n">
        <v>1799</v>
      </c>
      <c r="Z85" t="n">
        <v>1791</v>
      </c>
      <c r="AA85" t="n">
        <v>1783</v>
      </c>
      <c r="AB85" t="n">
        <v>1774</v>
      </c>
      <c r="AC85" t="n">
        <v>1766</v>
      </c>
      <c r="AD85" t="n">
        <v>1758</v>
      </c>
      <c r="AE85" t="n">
        <v>1750</v>
      </c>
      <c r="AF85" t="n">
        <v>1742</v>
      </c>
      <c r="AG85" t="n">
        <v>1734</v>
      </c>
      <c r="AH85" t="n">
        <v>1726</v>
      </c>
      <c r="AI85" s="42" t="n">
        <v>-0.008999999999999999</v>
      </c>
    </row>
    <row r="86">
      <c r="A86" t="inlineStr">
        <is>
          <t>Mountain</t>
        </is>
      </c>
      <c r="B86" t="inlineStr">
        <is>
          <t>Commercial: Heating Degree Days: Mountain: Reference case</t>
        </is>
      </c>
      <c r="C86" t="inlineStr">
        <is>
          <t>AEO.2023.REF2023.KEI_NA_COMM_NA_NA_NA_MTN_HDD.A</t>
        </is>
      </c>
      <c r="D86" t="inlineStr">
        <is>
          <t>HDD</t>
        </is>
      </c>
      <c r="F86" t="n">
        <v>4970</v>
      </c>
      <c r="G86" t="n">
        <v>4978</v>
      </c>
      <c r="H86" t="n">
        <v>4789</v>
      </c>
      <c r="I86" t="n">
        <v>4776</v>
      </c>
      <c r="J86" t="n">
        <v>4763</v>
      </c>
      <c r="K86" t="n">
        <v>4751</v>
      </c>
      <c r="L86" t="n">
        <v>4738</v>
      </c>
      <c r="M86" t="n">
        <v>4725</v>
      </c>
      <c r="N86" t="n">
        <v>4712</v>
      </c>
      <c r="O86" t="n">
        <v>4698</v>
      </c>
      <c r="P86" t="n">
        <v>4685</v>
      </c>
      <c r="Q86" t="n">
        <v>4672</v>
      </c>
      <c r="R86" t="n">
        <v>4658</v>
      </c>
      <c r="S86" t="n">
        <v>4645</v>
      </c>
      <c r="T86" t="n">
        <v>4632</v>
      </c>
      <c r="U86" t="n">
        <v>4619</v>
      </c>
      <c r="V86" t="n">
        <v>4606</v>
      </c>
      <c r="W86" t="n">
        <v>4593</v>
      </c>
      <c r="X86" t="n">
        <v>4580</v>
      </c>
      <c r="Y86" t="n">
        <v>4568</v>
      </c>
      <c r="Z86" t="n">
        <v>4555</v>
      </c>
      <c r="AA86" t="n">
        <v>4542</v>
      </c>
      <c r="AB86" t="n">
        <v>4530</v>
      </c>
      <c r="AC86" t="n">
        <v>4517</v>
      </c>
      <c r="AD86" t="n">
        <v>4504</v>
      </c>
      <c r="AE86" t="n">
        <v>4492</v>
      </c>
      <c r="AF86" t="n">
        <v>4479</v>
      </c>
      <c r="AG86" t="n">
        <v>4467</v>
      </c>
      <c r="AH86" t="n">
        <v>4454</v>
      </c>
      <c r="AI86" s="42" t="n">
        <v>-0.004</v>
      </c>
    </row>
    <row r="87">
      <c r="A87" t="inlineStr">
        <is>
          <t>Pacific</t>
        </is>
      </c>
      <c r="B87" t="inlineStr">
        <is>
          <t>Commercial: Heating Degree Days: Pacific: Reference case</t>
        </is>
      </c>
      <c r="C87" t="inlineStr">
        <is>
          <t>AEO.2023.REF2023.KEI_NA_COMM_NA_NA_NA_PCF_HDD.A</t>
        </is>
      </c>
      <c r="D87" t="inlineStr">
        <is>
          <t>HDD</t>
        </is>
      </c>
      <c r="F87" t="n">
        <v>3212</v>
      </c>
      <c r="G87" t="n">
        <v>3503</v>
      </c>
      <c r="H87" t="n">
        <v>3250</v>
      </c>
      <c r="I87" t="n">
        <v>3241</v>
      </c>
      <c r="J87" t="n">
        <v>3232</v>
      </c>
      <c r="K87" t="n">
        <v>3223</v>
      </c>
      <c r="L87" t="n">
        <v>3213</v>
      </c>
      <c r="M87" t="n">
        <v>3204</v>
      </c>
      <c r="N87" t="n">
        <v>3195</v>
      </c>
      <c r="O87" t="n">
        <v>3185</v>
      </c>
      <c r="P87" t="n">
        <v>3176</v>
      </c>
      <c r="Q87" t="n">
        <v>3166</v>
      </c>
      <c r="R87" t="n">
        <v>3157</v>
      </c>
      <c r="S87" t="n">
        <v>3147</v>
      </c>
      <c r="T87" t="n">
        <v>3137</v>
      </c>
      <c r="U87" t="n">
        <v>3128</v>
      </c>
      <c r="V87" t="n">
        <v>3118</v>
      </c>
      <c r="W87" t="n">
        <v>3108</v>
      </c>
      <c r="X87" t="n">
        <v>3098</v>
      </c>
      <c r="Y87" t="n">
        <v>3089</v>
      </c>
      <c r="Z87" t="n">
        <v>3079</v>
      </c>
      <c r="AA87" t="n">
        <v>3069</v>
      </c>
      <c r="AB87" t="n">
        <v>3059</v>
      </c>
      <c r="AC87" t="n">
        <v>3049</v>
      </c>
      <c r="AD87" t="n">
        <v>3040</v>
      </c>
      <c r="AE87" t="n">
        <v>3030</v>
      </c>
      <c r="AF87" t="n">
        <v>3020</v>
      </c>
      <c r="AG87" t="n">
        <v>3010</v>
      </c>
      <c r="AH87" t="n">
        <v>3000</v>
      </c>
      <c r="AI87" s="42" t="n">
        <v>-0.002</v>
      </c>
    </row>
    <row r="88">
      <c r="A88" t="inlineStr">
        <is>
          <t>United States</t>
        </is>
      </c>
      <c r="B88" t="inlineStr">
        <is>
          <t>Commercial: Heating Degree Days: United States: Reference case</t>
        </is>
      </c>
      <c r="C88" t="inlineStr">
        <is>
          <t>AEO.2023.REF2023.KEI_NA_COMM_NA_NA_NA_USA_HDD.A</t>
        </is>
      </c>
      <c r="D88" t="inlineStr">
        <is>
          <t>HDD</t>
        </is>
      </c>
      <c r="F88" t="n">
        <v>4234.61377</v>
      </c>
      <c r="G88" t="n">
        <v>4246.618652</v>
      </c>
      <c r="H88" t="n">
        <v>3976.105957</v>
      </c>
      <c r="I88" t="n">
        <v>3957.180664</v>
      </c>
      <c r="J88" t="n">
        <v>3938.541504</v>
      </c>
      <c r="K88" t="n">
        <v>3920.011719</v>
      </c>
      <c r="L88" t="n">
        <v>3901.256104</v>
      </c>
      <c r="M88" t="n">
        <v>3882.521973</v>
      </c>
      <c r="N88" t="n">
        <v>3863.810303</v>
      </c>
      <c r="O88" t="n">
        <v>3845.188965</v>
      </c>
      <c r="P88" t="n">
        <v>3826.626221</v>
      </c>
      <c r="Q88" t="n">
        <v>3807.973389</v>
      </c>
      <c r="R88" t="n">
        <v>3789.452148</v>
      </c>
      <c r="S88" t="n">
        <v>3770.821289</v>
      </c>
      <c r="T88" t="n">
        <v>3752.032959</v>
      </c>
      <c r="U88" t="n">
        <v>3733.780029</v>
      </c>
      <c r="V88" t="n">
        <v>3715.305664</v>
      </c>
      <c r="W88" t="n">
        <v>3696.527344</v>
      </c>
      <c r="X88" t="n">
        <v>3678.117432</v>
      </c>
      <c r="Y88" t="n">
        <v>3659.850586</v>
      </c>
      <c r="Z88" t="n">
        <v>3641.395508</v>
      </c>
      <c r="AA88" t="n">
        <v>3622.89917</v>
      </c>
      <c r="AB88" t="n">
        <v>3604.398682</v>
      </c>
      <c r="AC88" t="n">
        <v>3585.969482</v>
      </c>
      <c r="AD88" t="n">
        <v>3567.700439</v>
      </c>
      <c r="AE88" t="n">
        <v>3549.558105</v>
      </c>
      <c r="AF88" t="n">
        <v>3531.40918</v>
      </c>
      <c r="AG88" t="n">
        <v>3513.482422</v>
      </c>
      <c r="AH88" t="n">
        <v>3495.674805</v>
      </c>
      <c r="AI88" s="42" t="n">
        <v>-0.007</v>
      </c>
    </row>
    <row r="89">
      <c r="A89" t="inlineStr">
        <is>
          <t>Cooling Degree Days</t>
        </is>
      </c>
    </row>
    <row r="90">
      <c r="A90" t="inlineStr">
        <is>
          <t>New England</t>
        </is>
      </c>
      <c r="B90" t="inlineStr">
        <is>
          <t>Commercial: Cooling Degree Days: New England: Reference case</t>
        </is>
      </c>
      <c r="C90" t="inlineStr">
        <is>
          <t>AEO.2023.REF2023.KEI_NA_COMM_NA_NA_NA_NENGL_CDD.A</t>
        </is>
      </c>
      <c r="D90" t="inlineStr">
        <is>
          <t>CDD</t>
        </is>
      </c>
      <c r="F90" t="n">
        <v>639</v>
      </c>
      <c r="G90" t="n">
        <v>500</v>
      </c>
      <c r="H90" t="n">
        <v>614</v>
      </c>
      <c r="I90" t="n">
        <v>621</v>
      </c>
      <c r="J90" t="n">
        <v>629</v>
      </c>
      <c r="K90" t="n">
        <v>636</v>
      </c>
      <c r="L90" t="n">
        <v>643</v>
      </c>
      <c r="M90" t="n">
        <v>651</v>
      </c>
      <c r="N90" t="n">
        <v>658</v>
      </c>
      <c r="O90" t="n">
        <v>665</v>
      </c>
      <c r="P90" t="n">
        <v>673</v>
      </c>
      <c r="Q90" t="n">
        <v>680</v>
      </c>
      <c r="R90" t="n">
        <v>687</v>
      </c>
      <c r="S90" t="n">
        <v>695</v>
      </c>
      <c r="T90" t="n">
        <v>702</v>
      </c>
      <c r="U90" t="n">
        <v>710</v>
      </c>
      <c r="V90" t="n">
        <v>717</v>
      </c>
      <c r="W90" t="n">
        <v>724</v>
      </c>
      <c r="X90" t="n">
        <v>732</v>
      </c>
      <c r="Y90" t="n">
        <v>739</v>
      </c>
      <c r="Z90" t="n">
        <v>747</v>
      </c>
      <c r="AA90" t="n">
        <v>754</v>
      </c>
      <c r="AB90" t="n">
        <v>761</v>
      </c>
      <c r="AC90" t="n">
        <v>769</v>
      </c>
      <c r="AD90" t="n">
        <v>776</v>
      </c>
      <c r="AE90" t="n">
        <v>784</v>
      </c>
      <c r="AF90" t="n">
        <v>791</v>
      </c>
      <c r="AG90" t="n">
        <v>799</v>
      </c>
      <c r="AH90" t="n">
        <v>806</v>
      </c>
      <c r="AI90" s="42" t="n">
        <v>0.008</v>
      </c>
    </row>
    <row r="91">
      <c r="A91" t="inlineStr">
        <is>
          <t>Middle Atlantic</t>
        </is>
      </c>
      <c r="B91" t="inlineStr">
        <is>
          <t>Commercial: Cooling Degree Days: Middle Atlantic: Reference case</t>
        </is>
      </c>
      <c r="C91" t="inlineStr">
        <is>
          <t>AEO.2023.REF2023.KEI_NA_COMM_NA_NA_NA_MATL_CDD.A</t>
        </is>
      </c>
      <c r="D91" t="inlineStr">
        <is>
          <t>CDD</t>
        </is>
      </c>
      <c r="F91" t="n">
        <v>835</v>
      </c>
      <c r="G91" t="n">
        <v>692</v>
      </c>
      <c r="H91" t="n">
        <v>864</v>
      </c>
      <c r="I91" t="n">
        <v>874</v>
      </c>
      <c r="J91" t="n">
        <v>883</v>
      </c>
      <c r="K91" t="n">
        <v>893</v>
      </c>
      <c r="L91" t="n">
        <v>902</v>
      </c>
      <c r="M91" t="n">
        <v>912</v>
      </c>
      <c r="N91" t="n">
        <v>922</v>
      </c>
      <c r="O91" t="n">
        <v>931</v>
      </c>
      <c r="P91" t="n">
        <v>941</v>
      </c>
      <c r="Q91" t="n">
        <v>950</v>
      </c>
      <c r="R91" t="n">
        <v>960</v>
      </c>
      <c r="S91" t="n">
        <v>970</v>
      </c>
      <c r="T91" t="n">
        <v>979</v>
      </c>
      <c r="U91" t="n">
        <v>989</v>
      </c>
      <c r="V91" t="n">
        <v>999</v>
      </c>
      <c r="W91" t="n">
        <v>1008</v>
      </c>
      <c r="X91" t="n">
        <v>1018</v>
      </c>
      <c r="Y91" t="n">
        <v>1027</v>
      </c>
      <c r="Z91" t="n">
        <v>1037</v>
      </c>
      <c r="AA91" t="n">
        <v>1047</v>
      </c>
      <c r="AB91" t="n">
        <v>1056</v>
      </c>
      <c r="AC91" t="n">
        <v>1066</v>
      </c>
      <c r="AD91" t="n">
        <v>1076</v>
      </c>
      <c r="AE91" t="n">
        <v>1085</v>
      </c>
      <c r="AF91" t="n">
        <v>1095</v>
      </c>
      <c r="AG91" t="n">
        <v>1104</v>
      </c>
      <c r="AH91" t="n">
        <v>1114</v>
      </c>
      <c r="AI91" s="42" t="n">
        <v>0.01</v>
      </c>
    </row>
    <row r="92">
      <c r="A92" t="inlineStr">
        <is>
          <t>East North Central</t>
        </is>
      </c>
      <c r="B92" t="inlineStr">
        <is>
          <t>Commercial: Cooling Degree Days: East North Central: Reference case</t>
        </is>
      </c>
      <c r="C92" t="inlineStr">
        <is>
          <t>AEO.2023.REF2023.KEI_NA_COMM_NA_NA_NA_ENC_CDD.A</t>
        </is>
      </c>
      <c r="D92" t="inlineStr">
        <is>
          <t>CDD</t>
        </is>
      </c>
      <c r="F92" t="n">
        <v>813</v>
      </c>
      <c r="G92" t="n">
        <v>752</v>
      </c>
      <c r="H92" t="n">
        <v>892</v>
      </c>
      <c r="I92" t="n">
        <v>900</v>
      </c>
      <c r="J92" t="n">
        <v>908</v>
      </c>
      <c r="K92" t="n">
        <v>916</v>
      </c>
      <c r="L92" t="n">
        <v>924</v>
      </c>
      <c r="M92" t="n">
        <v>932</v>
      </c>
      <c r="N92" t="n">
        <v>939</v>
      </c>
      <c r="O92" t="n">
        <v>947</v>
      </c>
      <c r="P92" t="n">
        <v>955</v>
      </c>
      <c r="Q92" t="n">
        <v>963</v>
      </c>
      <c r="R92" t="n">
        <v>971</v>
      </c>
      <c r="S92" t="n">
        <v>979</v>
      </c>
      <c r="T92" t="n">
        <v>987</v>
      </c>
      <c r="U92" t="n">
        <v>994</v>
      </c>
      <c r="V92" t="n">
        <v>1002</v>
      </c>
      <c r="W92" t="n">
        <v>1010</v>
      </c>
      <c r="X92" t="n">
        <v>1018</v>
      </c>
      <c r="Y92" t="n">
        <v>1026</v>
      </c>
      <c r="Z92" t="n">
        <v>1034</v>
      </c>
      <c r="AA92" t="n">
        <v>1042</v>
      </c>
      <c r="AB92" t="n">
        <v>1050</v>
      </c>
      <c r="AC92" t="n">
        <v>1058</v>
      </c>
      <c r="AD92" t="n">
        <v>1066</v>
      </c>
      <c r="AE92" t="n">
        <v>1073</v>
      </c>
      <c r="AF92" t="n">
        <v>1081</v>
      </c>
      <c r="AG92" t="n">
        <v>1089</v>
      </c>
      <c r="AH92" t="n">
        <v>1097</v>
      </c>
      <c r="AI92" s="42" t="n">
        <v>0.011</v>
      </c>
    </row>
    <row r="93">
      <c r="A93" t="inlineStr">
        <is>
          <t>West North Central</t>
        </is>
      </c>
      <c r="B93" t="inlineStr">
        <is>
          <t>Commercial: Cooling Degree Days: West North Central: Reference case</t>
        </is>
      </c>
      <c r="C93" t="inlineStr">
        <is>
          <t>AEO.2023.REF2023.KEI_NA_COMM_NA_NA_NA_WNC_CDD.A</t>
        </is>
      </c>
      <c r="D93" t="inlineStr">
        <is>
          <t>CDD</t>
        </is>
      </c>
      <c r="F93" t="n">
        <v>1050</v>
      </c>
      <c r="G93" t="n">
        <v>944</v>
      </c>
      <c r="H93" t="n">
        <v>1069</v>
      </c>
      <c r="I93" t="n">
        <v>1077</v>
      </c>
      <c r="J93" t="n">
        <v>1084</v>
      </c>
      <c r="K93" t="n">
        <v>1091</v>
      </c>
      <c r="L93" t="n">
        <v>1099</v>
      </c>
      <c r="M93" t="n">
        <v>1106</v>
      </c>
      <c r="N93" t="n">
        <v>1114</v>
      </c>
      <c r="O93" t="n">
        <v>1121</v>
      </c>
      <c r="P93" t="n">
        <v>1129</v>
      </c>
      <c r="Q93" t="n">
        <v>1136</v>
      </c>
      <c r="R93" t="n">
        <v>1144</v>
      </c>
      <c r="S93" t="n">
        <v>1151</v>
      </c>
      <c r="T93" t="n">
        <v>1159</v>
      </c>
      <c r="U93" t="n">
        <v>1166</v>
      </c>
      <c r="V93" t="n">
        <v>1174</v>
      </c>
      <c r="W93" t="n">
        <v>1182</v>
      </c>
      <c r="X93" t="n">
        <v>1189</v>
      </c>
      <c r="Y93" t="n">
        <v>1197</v>
      </c>
      <c r="Z93" t="n">
        <v>1204</v>
      </c>
      <c r="AA93" t="n">
        <v>1212</v>
      </c>
      <c r="AB93" t="n">
        <v>1220</v>
      </c>
      <c r="AC93" t="n">
        <v>1227</v>
      </c>
      <c r="AD93" t="n">
        <v>1235</v>
      </c>
      <c r="AE93" t="n">
        <v>1243</v>
      </c>
      <c r="AF93" t="n">
        <v>1250</v>
      </c>
      <c r="AG93" t="n">
        <v>1258</v>
      </c>
      <c r="AH93" t="n">
        <v>1266</v>
      </c>
      <c r="AI93" s="42" t="n">
        <v>0.007</v>
      </c>
    </row>
    <row r="94">
      <c r="A94" t="inlineStr">
        <is>
          <t>South Atlantic</t>
        </is>
      </c>
      <c r="B94" t="inlineStr">
        <is>
          <t>Commercial: Cooling Degree Days: South Atlantic: Reference case</t>
        </is>
      </c>
      <c r="C94" t="inlineStr">
        <is>
          <t>AEO.2023.REF2023.KEI_NA_COMM_NA_NA_NA_SATL_CDD.A</t>
        </is>
      </c>
      <c r="D94" t="inlineStr">
        <is>
          <t>CDD</t>
        </is>
      </c>
      <c r="F94" t="n">
        <v>2264</v>
      </c>
      <c r="G94" t="n">
        <v>2150</v>
      </c>
      <c r="H94" t="n">
        <v>2408</v>
      </c>
      <c r="I94" t="n">
        <v>2426</v>
      </c>
      <c r="J94" t="n">
        <v>2442</v>
      </c>
      <c r="K94" t="n">
        <v>2459</v>
      </c>
      <c r="L94" t="n">
        <v>2476</v>
      </c>
      <c r="M94" t="n">
        <v>2494</v>
      </c>
      <c r="N94" t="n">
        <v>2511</v>
      </c>
      <c r="O94" t="n">
        <v>2528</v>
      </c>
      <c r="P94" t="n">
        <v>2545</v>
      </c>
      <c r="Q94" t="n">
        <v>2562</v>
      </c>
      <c r="R94" t="n">
        <v>2579</v>
      </c>
      <c r="S94" t="n">
        <v>2597</v>
      </c>
      <c r="T94" t="n">
        <v>2614</v>
      </c>
      <c r="U94" t="n">
        <v>2632</v>
      </c>
      <c r="V94" t="n">
        <v>2649</v>
      </c>
      <c r="W94" t="n">
        <v>2666</v>
      </c>
      <c r="X94" t="n">
        <v>2684</v>
      </c>
      <c r="Y94" t="n">
        <v>2701</v>
      </c>
      <c r="Z94" t="n">
        <v>2719</v>
      </c>
      <c r="AA94" t="n">
        <v>2736</v>
      </c>
      <c r="AB94" t="n">
        <v>2754</v>
      </c>
      <c r="AC94" t="n">
        <v>2771</v>
      </c>
      <c r="AD94" t="n">
        <v>2789</v>
      </c>
      <c r="AE94" t="n">
        <v>2806</v>
      </c>
      <c r="AF94" t="n">
        <v>2824</v>
      </c>
      <c r="AG94" t="n">
        <v>2842</v>
      </c>
      <c r="AH94" t="n">
        <v>2859</v>
      </c>
      <c r="AI94" s="42" t="n">
        <v>0.008</v>
      </c>
    </row>
    <row r="95">
      <c r="A95" t="inlineStr">
        <is>
          <t>East South Central</t>
        </is>
      </c>
      <c r="B95" t="inlineStr">
        <is>
          <t>Commercial: Cooling Degree Days: East South Central: Reference case</t>
        </is>
      </c>
      <c r="C95" t="inlineStr">
        <is>
          <t>AEO.2023.REF2023.KEI_NA_COMM_NA_NA_NA_ESC_CDD.A</t>
        </is>
      </c>
      <c r="D95" t="inlineStr">
        <is>
          <t>CDD</t>
        </is>
      </c>
      <c r="F95" t="n">
        <v>1730</v>
      </c>
      <c r="G95" t="n">
        <v>1637</v>
      </c>
      <c r="H95" t="n">
        <v>1805</v>
      </c>
      <c r="I95" t="n">
        <v>1814</v>
      </c>
      <c r="J95" t="n">
        <v>1824</v>
      </c>
      <c r="K95" t="n">
        <v>1834</v>
      </c>
      <c r="L95" t="n">
        <v>1844</v>
      </c>
      <c r="M95" t="n">
        <v>1854</v>
      </c>
      <c r="N95" t="n">
        <v>1864</v>
      </c>
      <c r="O95" t="n">
        <v>1874</v>
      </c>
      <c r="P95" t="n">
        <v>1884</v>
      </c>
      <c r="Q95" t="n">
        <v>1894</v>
      </c>
      <c r="R95" t="n">
        <v>1904</v>
      </c>
      <c r="S95" t="n">
        <v>1914</v>
      </c>
      <c r="T95" t="n">
        <v>1924</v>
      </c>
      <c r="U95" t="n">
        <v>1934</v>
      </c>
      <c r="V95" t="n">
        <v>1944</v>
      </c>
      <c r="W95" t="n">
        <v>1954</v>
      </c>
      <c r="X95" t="n">
        <v>1964</v>
      </c>
      <c r="Y95" t="n">
        <v>1974</v>
      </c>
      <c r="Z95" t="n">
        <v>1984</v>
      </c>
      <c r="AA95" t="n">
        <v>1994</v>
      </c>
      <c r="AB95" t="n">
        <v>2004</v>
      </c>
      <c r="AC95" t="n">
        <v>2014</v>
      </c>
      <c r="AD95" t="n">
        <v>2024</v>
      </c>
      <c r="AE95" t="n">
        <v>2034</v>
      </c>
      <c r="AF95" t="n">
        <v>2044</v>
      </c>
      <c r="AG95" t="n">
        <v>2054</v>
      </c>
      <c r="AH95" t="n">
        <v>2064</v>
      </c>
      <c r="AI95" s="42" t="n">
        <v>0.006</v>
      </c>
    </row>
    <row r="96">
      <c r="A96" t="inlineStr">
        <is>
          <t>West South Central</t>
        </is>
      </c>
      <c r="B96" t="inlineStr">
        <is>
          <t>Commercial: Cooling Degree Days: West South Central: Reference case</t>
        </is>
      </c>
      <c r="C96" t="inlineStr">
        <is>
          <t>AEO.2023.REF2023.KEI_NA_COMM_NA_NA_NA_WSC_CDD.A</t>
        </is>
      </c>
      <c r="D96" t="inlineStr">
        <is>
          <t>CDD</t>
        </is>
      </c>
      <c r="F96" t="n">
        <v>3000</v>
      </c>
      <c r="G96" t="n">
        <v>2658</v>
      </c>
      <c r="H96" t="n">
        <v>2860</v>
      </c>
      <c r="I96" t="n">
        <v>2874</v>
      </c>
      <c r="J96" t="n">
        <v>2887</v>
      </c>
      <c r="K96" t="n">
        <v>2901</v>
      </c>
      <c r="L96" t="n">
        <v>2915</v>
      </c>
      <c r="M96" t="n">
        <v>2928</v>
      </c>
      <c r="N96" t="n">
        <v>2942</v>
      </c>
      <c r="O96" t="n">
        <v>2955</v>
      </c>
      <c r="P96" t="n">
        <v>2969</v>
      </c>
      <c r="Q96" t="n">
        <v>2982</v>
      </c>
      <c r="R96" t="n">
        <v>2996</v>
      </c>
      <c r="S96" t="n">
        <v>3009</v>
      </c>
      <c r="T96" t="n">
        <v>3023</v>
      </c>
      <c r="U96" t="n">
        <v>3036</v>
      </c>
      <c r="V96" t="n">
        <v>3050</v>
      </c>
      <c r="W96" t="n">
        <v>3063</v>
      </c>
      <c r="X96" t="n">
        <v>3076</v>
      </c>
      <c r="Y96" t="n">
        <v>3090</v>
      </c>
      <c r="Z96" t="n">
        <v>3103</v>
      </c>
      <c r="AA96" t="n">
        <v>3117</v>
      </c>
      <c r="AB96" t="n">
        <v>3130</v>
      </c>
      <c r="AC96" t="n">
        <v>3144</v>
      </c>
      <c r="AD96" t="n">
        <v>3157</v>
      </c>
      <c r="AE96" t="n">
        <v>3170</v>
      </c>
      <c r="AF96" t="n">
        <v>3184</v>
      </c>
      <c r="AG96" t="n">
        <v>3197</v>
      </c>
      <c r="AH96" t="n">
        <v>3210</v>
      </c>
      <c r="AI96" s="42" t="n">
        <v>0.002</v>
      </c>
    </row>
    <row r="97">
      <c r="A97" t="inlineStr">
        <is>
          <t>Mountain</t>
        </is>
      </c>
      <c r="B97" t="inlineStr">
        <is>
          <t>Commercial: Cooling Degree Days: Mountain: Reference case</t>
        </is>
      </c>
      <c r="C97" t="inlineStr">
        <is>
          <t>AEO.2023.REF2023.KEI_NA_COMM_NA_NA_NA_MTN_CDD.A</t>
        </is>
      </c>
      <c r="D97" t="inlineStr">
        <is>
          <t>CDD</t>
        </is>
      </c>
      <c r="F97" t="n">
        <v>1578</v>
      </c>
      <c r="G97" t="n">
        <v>1415</v>
      </c>
      <c r="H97" t="n">
        <v>1580</v>
      </c>
      <c r="I97" t="n">
        <v>1589</v>
      </c>
      <c r="J97" t="n">
        <v>1599</v>
      </c>
      <c r="K97" t="n">
        <v>1608</v>
      </c>
      <c r="L97" t="n">
        <v>1618</v>
      </c>
      <c r="M97" t="n">
        <v>1628</v>
      </c>
      <c r="N97" t="n">
        <v>1638</v>
      </c>
      <c r="O97" t="n">
        <v>1647</v>
      </c>
      <c r="P97" t="n">
        <v>1657</v>
      </c>
      <c r="Q97" t="n">
        <v>1667</v>
      </c>
      <c r="R97" t="n">
        <v>1677</v>
      </c>
      <c r="S97" t="n">
        <v>1687</v>
      </c>
      <c r="T97" t="n">
        <v>1697</v>
      </c>
      <c r="U97" t="n">
        <v>1706</v>
      </c>
      <c r="V97" t="n">
        <v>1716</v>
      </c>
      <c r="W97" t="n">
        <v>1726</v>
      </c>
      <c r="X97" t="n">
        <v>1735</v>
      </c>
      <c r="Y97" t="n">
        <v>1745</v>
      </c>
      <c r="Z97" t="n">
        <v>1755</v>
      </c>
      <c r="AA97" t="n">
        <v>1764</v>
      </c>
      <c r="AB97" t="n">
        <v>1774</v>
      </c>
      <c r="AC97" t="n">
        <v>1783</v>
      </c>
      <c r="AD97" t="n">
        <v>1793</v>
      </c>
      <c r="AE97" t="n">
        <v>1802</v>
      </c>
      <c r="AF97" t="n">
        <v>1812</v>
      </c>
      <c r="AG97" t="n">
        <v>1822</v>
      </c>
      <c r="AH97" t="n">
        <v>1831</v>
      </c>
      <c r="AI97" s="42" t="n">
        <v>0.005</v>
      </c>
    </row>
    <row r="98">
      <c r="A98" t="inlineStr">
        <is>
          <t>Pacific</t>
        </is>
      </c>
      <c r="B98" t="inlineStr">
        <is>
          <t>Commercial: Cooling Degree Days: Pacific: Reference case</t>
        </is>
      </c>
      <c r="C98" t="inlineStr">
        <is>
          <t>AEO.2023.REF2023.KEI_NA_COMM_NA_NA_NA_PCF_CDD.A</t>
        </is>
      </c>
      <c r="D98" t="inlineStr">
        <is>
          <t>CDD</t>
        </is>
      </c>
      <c r="F98" t="n">
        <v>1098</v>
      </c>
      <c r="G98" t="n">
        <v>825</v>
      </c>
      <c r="H98" t="n">
        <v>1006</v>
      </c>
      <c r="I98" t="n">
        <v>1013</v>
      </c>
      <c r="J98" t="n">
        <v>1020</v>
      </c>
      <c r="K98" t="n">
        <v>1028</v>
      </c>
      <c r="L98" t="n">
        <v>1035</v>
      </c>
      <c r="M98" t="n">
        <v>1043</v>
      </c>
      <c r="N98" t="n">
        <v>1050</v>
      </c>
      <c r="O98" t="n">
        <v>1058</v>
      </c>
      <c r="P98" t="n">
        <v>1066</v>
      </c>
      <c r="Q98" t="n">
        <v>1073</v>
      </c>
      <c r="R98" t="n">
        <v>1081</v>
      </c>
      <c r="S98" t="n">
        <v>1088</v>
      </c>
      <c r="T98" t="n">
        <v>1096</v>
      </c>
      <c r="U98" t="n">
        <v>1104</v>
      </c>
      <c r="V98" t="n">
        <v>1111</v>
      </c>
      <c r="W98" t="n">
        <v>1119</v>
      </c>
      <c r="X98" t="n">
        <v>1127</v>
      </c>
      <c r="Y98" t="n">
        <v>1134</v>
      </c>
      <c r="Z98" t="n">
        <v>1142</v>
      </c>
      <c r="AA98" t="n">
        <v>1150</v>
      </c>
      <c r="AB98" t="n">
        <v>1157</v>
      </c>
      <c r="AC98" t="n">
        <v>1165</v>
      </c>
      <c r="AD98" t="n">
        <v>1173</v>
      </c>
      <c r="AE98" t="n">
        <v>1181</v>
      </c>
      <c r="AF98" t="n">
        <v>1188</v>
      </c>
      <c r="AG98" t="n">
        <v>1196</v>
      </c>
      <c r="AH98" t="n">
        <v>1204</v>
      </c>
      <c r="AI98" s="42" t="n">
        <v>0.003</v>
      </c>
    </row>
    <row r="99">
      <c r="A99" t="inlineStr">
        <is>
          <t>United States</t>
        </is>
      </c>
      <c r="B99" t="inlineStr">
        <is>
          <t>Commercial: Cooling Degree Days: United States: Reference case</t>
        </is>
      </c>
      <c r="C99" t="inlineStr">
        <is>
          <t>AEO.2023.REF2023.KEI_NA_COMM_NA_NA_NA_USA_CDD.A</t>
        </is>
      </c>
      <c r="D99" t="inlineStr">
        <is>
          <t>CDD</t>
        </is>
      </c>
      <c r="F99" t="n">
        <v>1549.955811</v>
      </c>
      <c r="G99" t="n">
        <v>1383.8479</v>
      </c>
      <c r="H99" t="n">
        <v>1570.04248</v>
      </c>
      <c r="I99" t="n">
        <v>1583.344849</v>
      </c>
      <c r="J99" t="n">
        <v>1596.114258</v>
      </c>
      <c r="K99" t="n">
        <v>1609.38501</v>
      </c>
      <c r="L99" t="n">
        <v>1622.520752</v>
      </c>
      <c r="M99" t="n">
        <v>1636.00708</v>
      </c>
      <c r="N99" t="n">
        <v>1649.149048</v>
      </c>
      <c r="O99" t="n">
        <v>1662.218872</v>
      </c>
      <c r="P99" t="n">
        <v>1675.742676</v>
      </c>
      <c r="Q99" t="n">
        <v>1688.762207</v>
      </c>
      <c r="R99" t="n">
        <v>1702.278198</v>
      </c>
      <c r="S99" t="n">
        <v>1715.701782</v>
      </c>
      <c r="T99" t="n">
        <v>1729.14502</v>
      </c>
      <c r="U99" t="n">
        <v>1742.560425</v>
      </c>
      <c r="V99" t="n">
        <v>1755.983521</v>
      </c>
      <c r="W99" t="n">
        <v>1769.344604</v>
      </c>
      <c r="X99" t="n">
        <v>1782.940063</v>
      </c>
      <c r="Y99" t="n">
        <v>1796.302124</v>
      </c>
      <c r="Z99" t="n">
        <v>1810.015259</v>
      </c>
      <c r="AA99" t="n">
        <v>1823.60437</v>
      </c>
      <c r="AB99" t="n">
        <v>1837.094971</v>
      </c>
      <c r="AC99" t="n">
        <v>1850.690674</v>
      </c>
      <c r="AD99" t="n">
        <v>1864.471436</v>
      </c>
      <c r="AE99" t="n">
        <v>1877.744141</v>
      </c>
      <c r="AF99" t="n">
        <v>1891.38855</v>
      </c>
      <c r="AG99" t="n">
        <v>1904.964233</v>
      </c>
      <c r="AH99" t="n">
        <v>1918.225586</v>
      </c>
      <c r="AI99" s="42" t="n">
        <v>0.008</v>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AB17"/>
  <sheetViews>
    <sheetView workbookViewId="0">
      <selection activeCell="B13" sqref="B13"/>
    </sheetView>
  </sheetViews>
  <sheetFormatPr baseColWidth="8" defaultRowHeight="14.25"/>
  <cols>
    <col width="42.46484375" customWidth="1" min="1" max="1"/>
    <col width="11.796875" bestFit="1" customWidth="1" min="2" max="2"/>
    <col width="9.796875" bestFit="1" customWidth="1" min="4" max="4"/>
  </cols>
  <sheetData>
    <row r="1">
      <c r="A1" s="1" t="inlineStr">
        <is>
          <t>Difference between AEO 2023 and AEO 2025</t>
        </is>
      </c>
    </row>
    <row r="2">
      <c r="A2" s="1" t="n"/>
    </row>
    <row r="3">
      <c r="A3" t="inlineStr">
        <is>
          <t>Electricity</t>
        </is>
      </c>
    </row>
    <row r="4">
      <c r="B4" t="n">
        <v>2024</v>
      </c>
      <c r="C4" t="n">
        <v>2025</v>
      </c>
      <c r="D4" t="n">
        <v>2026</v>
      </c>
      <c r="E4" t="n">
        <v>2027</v>
      </c>
      <c r="F4" t="n">
        <v>2028</v>
      </c>
      <c r="G4" t="n">
        <v>2029</v>
      </c>
      <c r="H4" t="n">
        <v>2030</v>
      </c>
      <c r="I4" t="n">
        <v>2031</v>
      </c>
      <c r="J4" t="n">
        <v>2032</v>
      </c>
      <c r="K4" t="n">
        <v>2033</v>
      </c>
      <c r="L4" t="n">
        <v>2034</v>
      </c>
      <c r="M4" t="n">
        <v>2035</v>
      </c>
      <c r="N4" t="n">
        <v>2036</v>
      </c>
      <c r="O4" t="n">
        <v>2037</v>
      </c>
      <c r="P4" t="n">
        <v>2038</v>
      </c>
      <c r="Q4" t="n">
        <v>2039</v>
      </c>
      <c r="R4" t="n">
        <v>2040</v>
      </c>
      <c r="S4" t="n">
        <v>2041</v>
      </c>
      <c r="T4" t="n">
        <v>2042</v>
      </c>
      <c r="U4" t="n">
        <v>2043</v>
      </c>
      <c r="V4" t="n">
        <v>2044</v>
      </c>
      <c r="W4" t="n">
        <v>2045</v>
      </c>
      <c r="X4" t="n">
        <v>2046</v>
      </c>
      <c r="Y4" t="n">
        <v>2047</v>
      </c>
      <c r="Z4" t="n">
        <v>2048</v>
      </c>
      <c r="AA4" t="n">
        <v>2049</v>
      </c>
      <c r="AB4" t="n">
        <v>2050</v>
      </c>
    </row>
    <row r="5"/>
    <row r="6">
      <c r="A6" t="inlineStr">
        <is>
          <t>Ventilation</t>
        </is>
      </c>
      <c r="B6">
        <f>'AEO 2025 Table 5'!F20-'AEO 2023 Table 5'!H20</f>
        <v/>
      </c>
      <c r="C6">
        <f>'AEO 2026 Table 5'!E20-'AEO 2023 Table 5'!I20</f>
        <v/>
      </c>
      <c r="D6">
        <f>'AEO 2026 Table 5'!F20-'AEO 2023 Table 5'!J20</f>
        <v/>
      </c>
      <c r="E6">
        <f>'AEO 2026 Table 5'!G20-'AEO 2023 Table 5'!K20</f>
        <v/>
      </c>
      <c r="F6">
        <f>'AEO 2026 Table 5'!H20-'AEO 2023 Table 5'!L20</f>
        <v/>
      </c>
      <c r="G6">
        <f>'AEO 2026 Table 5'!I20-'AEO 2023 Table 5'!M20</f>
        <v/>
      </c>
      <c r="H6">
        <f>'AEO 2026 Table 5'!J20-'AEO 2023 Table 5'!N20</f>
        <v/>
      </c>
      <c r="I6">
        <f>'AEO 2026 Table 5'!K20-'AEO 2023 Table 5'!O20</f>
        <v/>
      </c>
      <c r="J6">
        <f>'AEO 2026 Table 5'!L20-'AEO 2023 Table 5'!P20</f>
        <v/>
      </c>
      <c r="K6">
        <f>'AEO 2026 Table 5'!M20-'AEO 2023 Table 5'!Q20</f>
        <v/>
      </c>
      <c r="L6">
        <f>'AEO 2026 Table 5'!N20-'AEO 2023 Table 5'!R20</f>
        <v/>
      </c>
      <c r="M6">
        <f>'AEO 2026 Table 5'!O20-'AEO 2023 Table 5'!S20</f>
        <v/>
      </c>
      <c r="N6">
        <f>'AEO 2026 Table 5'!P20-'AEO 2023 Table 5'!T20</f>
        <v/>
      </c>
      <c r="O6">
        <f>'AEO 2026 Table 5'!Q20-'AEO 2023 Table 5'!U20</f>
        <v/>
      </c>
      <c r="P6">
        <f>'AEO 2026 Table 5'!R20-'AEO 2023 Table 5'!V20</f>
        <v/>
      </c>
      <c r="Q6">
        <f>'AEO 2026 Table 5'!S20-'AEO 2023 Table 5'!W20</f>
        <v/>
      </c>
      <c r="R6">
        <f>'AEO 2026 Table 5'!T20-'AEO 2023 Table 5'!X20</f>
        <v/>
      </c>
      <c r="S6">
        <f>'AEO 2026 Table 5'!U20-'AEO 2023 Table 5'!Y20</f>
        <v/>
      </c>
      <c r="T6">
        <f>'AEO 2026 Table 5'!V20-'AEO 2023 Table 5'!Z20</f>
        <v/>
      </c>
      <c r="U6">
        <f>'AEO 2026 Table 5'!W20-'AEO 2023 Table 5'!AA20</f>
        <v/>
      </c>
      <c r="V6">
        <f>'AEO 2026 Table 5'!X20-'AEO 2023 Table 5'!AB20</f>
        <v/>
      </c>
      <c r="W6">
        <f>'AEO 2026 Table 5'!Y20-'AEO 2023 Table 5'!AC20</f>
        <v/>
      </c>
      <c r="X6">
        <f>'AEO 2026 Table 5'!Z20-'AEO 2023 Table 5'!AD20</f>
        <v/>
      </c>
      <c r="Y6">
        <f>'AEO 2026 Table 5'!AA20-'AEO 2023 Table 5'!AE20</f>
        <v/>
      </c>
      <c r="Z6">
        <f>'AEO 2026 Table 5'!AB20-'AEO 2023 Table 5'!AF20</f>
        <v/>
      </c>
      <c r="AA6">
        <f>'AEO 2026 Table 5'!AC20-'AEO 2023 Table 5'!AG20</f>
        <v/>
      </c>
      <c r="AB6">
        <f>'AEO 2026 Table 5'!AD20-'AEO 2023 Table 5'!AH20</f>
        <v/>
      </c>
    </row>
    <row r="7">
      <c r="A7" t="inlineStr">
        <is>
          <t>Computing</t>
        </is>
      </c>
      <c r="B7">
        <f>'AEO 2025 Table 5'!F24-'AEO 2023 Table 5'!H24</f>
        <v/>
      </c>
      <c r="C7">
        <f>'AEO 2026 Table 5'!E25-'AEO 2023 Table 5'!I24</f>
        <v/>
      </c>
      <c r="D7">
        <f>'AEO 2026 Table 5'!F25-'AEO 2023 Table 5'!J24</f>
        <v/>
      </c>
      <c r="E7">
        <f>'AEO 2026 Table 5'!G25-'AEO 2023 Table 5'!K24</f>
        <v/>
      </c>
      <c r="F7">
        <f>'AEO 2026 Table 5'!H25-'AEO 2023 Table 5'!L24</f>
        <v/>
      </c>
      <c r="G7">
        <f>'AEO 2026 Table 5'!I25-'AEO 2023 Table 5'!M24</f>
        <v/>
      </c>
      <c r="H7">
        <f>'AEO 2026 Table 5'!J25-'AEO 2023 Table 5'!N24</f>
        <v/>
      </c>
      <c r="I7">
        <f>'AEO 2026 Table 5'!K25-'AEO 2023 Table 5'!O24</f>
        <v/>
      </c>
      <c r="J7">
        <f>'AEO 2026 Table 5'!L25-'AEO 2023 Table 5'!P24</f>
        <v/>
      </c>
      <c r="K7">
        <f>'AEO 2026 Table 5'!M25-'AEO 2023 Table 5'!Q24</f>
        <v/>
      </c>
      <c r="L7">
        <f>'AEO 2026 Table 5'!N25-'AEO 2023 Table 5'!R24</f>
        <v/>
      </c>
      <c r="M7">
        <f>'AEO 2026 Table 5'!O25-'AEO 2023 Table 5'!S24</f>
        <v/>
      </c>
      <c r="N7">
        <f>'AEO 2026 Table 5'!P25-'AEO 2023 Table 5'!T24</f>
        <v/>
      </c>
      <c r="O7">
        <f>'AEO 2026 Table 5'!Q25-'AEO 2023 Table 5'!U24</f>
        <v/>
      </c>
      <c r="P7">
        <f>'AEO 2026 Table 5'!R25-'AEO 2023 Table 5'!V24</f>
        <v/>
      </c>
      <c r="Q7">
        <f>'AEO 2026 Table 5'!S25-'AEO 2023 Table 5'!W24</f>
        <v/>
      </c>
      <c r="R7">
        <f>'AEO 2026 Table 5'!T25-'AEO 2023 Table 5'!X24</f>
        <v/>
      </c>
      <c r="S7">
        <f>'AEO 2026 Table 5'!U25-'AEO 2023 Table 5'!Y24</f>
        <v/>
      </c>
      <c r="T7">
        <f>'AEO 2026 Table 5'!V25-'AEO 2023 Table 5'!Z24</f>
        <v/>
      </c>
      <c r="U7">
        <f>'AEO 2026 Table 5'!W25-'AEO 2023 Table 5'!AA24</f>
        <v/>
      </c>
      <c r="V7">
        <f>'AEO 2026 Table 5'!X25-'AEO 2023 Table 5'!AB24</f>
        <v/>
      </c>
      <c r="W7">
        <f>'AEO 2026 Table 5'!Y25-'AEO 2023 Table 5'!AC24</f>
        <v/>
      </c>
      <c r="X7">
        <f>'AEO 2026 Table 5'!Z25-'AEO 2023 Table 5'!AD24</f>
        <v/>
      </c>
      <c r="Y7">
        <f>'AEO 2026 Table 5'!AA25-'AEO 2023 Table 5'!AE24</f>
        <v/>
      </c>
      <c r="Z7">
        <f>'AEO 2026 Table 5'!AB25-'AEO 2023 Table 5'!AF24</f>
        <v/>
      </c>
      <c r="AA7">
        <f>'AEO 2026 Table 5'!AC25-'AEO 2023 Table 5'!AG24</f>
        <v/>
      </c>
      <c r="AB7">
        <f>'AEO 2026 Table 5'!AD25-'AEO 2023 Table 5'!AH24</f>
        <v/>
      </c>
    </row>
    <row r="8">
      <c r="A8" t="inlineStr">
        <is>
          <t>Other Uses</t>
        </is>
      </c>
      <c r="B8">
        <f>'AEO 2025 Table 5'!F26-'AEO 2023 Table 5'!H26</f>
        <v/>
      </c>
      <c r="C8">
        <f>'AEO 2026 Table 5'!E26-'AEO 2023 Table 5'!I26</f>
        <v/>
      </c>
      <c r="D8">
        <f>'AEO 2026 Table 5'!F26-'AEO 2023 Table 5'!J26</f>
        <v/>
      </c>
      <c r="E8">
        <f>'AEO 2026 Table 5'!G26-'AEO 2023 Table 5'!K26</f>
        <v/>
      </c>
      <c r="F8">
        <f>'AEO 2026 Table 5'!H26-'AEO 2023 Table 5'!L26</f>
        <v/>
      </c>
      <c r="G8">
        <f>'AEO 2026 Table 5'!I26-'AEO 2023 Table 5'!M26</f>
        <v/>
      </c>
      <c r="H8">
        <f>'AEO 2026 Table 5'!J26-'AEO 2023 Table 5'!N26</f>
        <v/>
      </c>
      <c r="I8">
        <f>'AEO 2026 Table 5'!K26-'AEO 2023 Table 5'!O26</f>
        <v/>
      </c>
      <c r="J8">
        <f>'AEO 2026 Table 5'!L26-'AEO 2023 Table 5'!P26</f>
        <v/>
      </c>
      <c r="K8">
        <f>'AEO 2026 Table 5'!M26-'AEO 2023 Table 5'!Q26</f>
        <v/>
      </c>
      <c r="L8">
        <f>'AEO 2026 Table 5'!N26-'AEO 2023 Table 5'!R26</f>
        <v/>
      </c>
      <c r="M8">
        <f>'AEO 2026 Table 5'!O26-'AEO 2023 Table 5'!S26</f>
        <v/>
      </c>
      <c r="N8">
        <f>'AEO 2026 Table 5'!P26-'AEO 2023 Table 5'!T26</f>
        <v/>
      </c>
      <c r="O8">
        <f>'AEO 2026 Table 5'!Q26-'AEO 2023 Table 5'!U26</f>
        <v/>
      </c>
      <c r="P8">
        <f>'AEO 2026 Table 5'!R26-'AEO 2023 Table 5'!V26</f>
        <v/>
      </c>
      <c r="Q8">
        <f>'AEO 2026 Table 5'!S26-'AEO 2023 Table 5'!W26</f>
        <v/>
      </c>
      <c r="R8">
        <f>'AEO 2026 Table 5'!T26-'AEO 2023 Table 5'!X26</f>
        <v/>
      </c>
      <c r="S8">
        <f>'AEO 2026 Table 5'!U26-'AEO 2023 Table 5'!Y26</f>
        <v/>
      </c>
      <c r="T8">
        <f>'AEO 2026 Table 5'!V26-'AEO 2023 Table 5'!Z26</f>
        <v/>
      </c>
      <c r="U8">
        <f>'AEO 2026 Table 5'!W26-'AEO 2023 Table 5'!AA26</f>
        <v/>
      </c>
      <c r="V8">
        <f>'AEO 2026 Table 5'!X26-'AEO 2023 Table 5'!AB26</f>
        <v/>
      </c>
      <c r="W8">
        <f>'AEO 2026 Table 5'!Y26-'AEO 2023 Table 5'!AC26</f>
        <v/>
      </c>
      <c r="X8">
        <f>'AEO 2026 Table 5'!Z26-'AEO 2023 Table 5'!AD26</f>
        <v/>
      </c>
      <c r="Y8">
        <f>'AEO 2026 Table 5'!AA26-'AEO 2023 Table 5'!AE26</f>
        <v/>
      </c>
      <c r="Z8">
        <f>'AEO 2026 Table 5'!AB26-'AEO 2023 Table 5'!AF26</f>
        <v/>
      </c>
      <c r="AA8">
        <f>'AEO 2026 Table 5'!AC26-'AEO 2023 Table 5'!AG26</f>
        <v/>
      </c>
      <c r="AB8">
        <f>'AEO 2026 Table 5'!AD26-'AEO 2023 Table 5'!AH26</f>
        <v/>
      </c>
    </row>
    <row r="9"/>
    <row r="10">
      <c r="A10" t="inlineStr">
        <is>
          <t>Total Difference in TWh in data center categories</t>
        </is>
      </c>
      <c r="B10" s="57">
        <f>SUM(B6,B7,B8)*About!$B$78</f>
        <v/>
      </c>
      <c r="C10" s="57">
        <f>SUM(C6,C7,C8)*About!$B$78</f>
        <v/>
      </c>
      <c r="D10" s="57">
        <f>SUM(D6,D7,D8)*About!$B$78</f>
        <v/>
      </c>
      <c r="E10" s="57">
        <f>SUM(E6,E7,E8)*About!$B$78</f>
        <v/>
      </c>
      <c r="F10" s="57">
        <f>SUM(F6,F7,F8)*About!$B$78</f>
        <v/>
      </c>
      <c r="G10" s="57">
        <f>SUM(G6,G7,G8)*About!$B$78</f>
        <v/>
      </c>
      <c r="H10" s="57">
        <f>SUM(H6,H7,H8)*About!$B$78</f>
        <v/>
      </c>
      <c r="I10" s="57">
        <f>SUM(I6,I7,I8)*About!$B$78</f>
        <v/>
      </c>
      <c r="J10" s="57">
        <f>SUM(J6,J7,J8)*About!$B$78</f>
        <v/>
      </c>
      <c r="K10" s="57">
        <f>SUM(K6,K7,K8)*About!$B$78</f>
        <v/>
      </c>
      <c r="L10" s="57">
        <f>SUM(L6,L7,L8)*About!$B$78</f>
        <v/>
      </c>
      <c r="M10" s="57">
        <f>SUM(M6,M7,M8)*About!$B$78</f>
        <v/>
      </c>
      <c r="N10" s="57">
        <f>SUM(N6,N7,N8)*About!$B$78</f>
        <v/>
      </c>
      <c r="O10" s="57">
        <f>SUM(O6,O7,O8)*About!$B$78</f>
        <v/>
      </c>
      <c r="P10" s="57">
        <f>SUM(P6,P7,P8)*About!$B$78</f>
        <v/>
      </c>
      <c r="Q10" s="57">
        <f>SUM(Q6,Q7,Q8)*About!$B$78</f>
        <v/>
      </c>
      <c r="R10" s="57">
        <f>SUM(R6,R7,R8)*About!$B$78</f>
        <v/>
      </c>
      <c r="S10" s="57">
        <f>SUM(S6,S7,S8)*About!$B$78</f>
        <v/>
      </c>
      <c r="T10" s="57">
        <f>SUM(T6,T7,T8)*About!$B$78</f>
        <v/>
      </c>
      <c r="U10" s="57">
        <f>SUM(U6,U7,U8)*About!$B$78</f>
        <v/>
      </c>
      <c r="V10" s="57">
        <f>SUM(V6,V7,V8)*About!$B$78</f>
        <v/>
      </c>
      <c r="W10" s="57">
        <f>SUM(W6,W7,W8)*About!$B$78</f>
        <v/>
      </c>
      <c r="X10" s="57">
        <f>SUM(X6,X7,X8)*About!$B$78</f>
        <v/>
      </c>
      <c r="Y10" s="57">
        <f>SUM(Y6,Y7,Y8)*About!$B$78</f>
        <v/>
      </c>
      <c r="Z10" s="57">
        <f>SUM(Z6,Z7,Z8)*About!$B$78</f>
        <v/>
      </c>
      <c r="AA10" s="57">
        <f>SUM(AA6,AA7,AA8)*About!$B$78</f>
        <v/>
      </c>
      <c r="AB10" s="57">
        <f>SUM(AB6,AB7,AB8)*About!$B$78</f>
        <v/>
      </c>
    </row>
    <row r="11">
      <c r="B11" s="57" t="n"/>
      <c r="C11" s="57" t="n"/>
      <c r="D11" s="57" t="n"/>
      <c r="E11" s="57" t="n"/>
      <c r="F11" s="57" t="n"/>
      <c r="G11" s="57" t="n"/>
      <c r="H11" s="57" t="n"/>
      <c r="I11" s="57" t="n"/>
      <c r="J11" s="57" t="n"/>
      <c r="K11" s="57" t="n"/>
      <c r="L11" s="57" t="n"/>
      <c r="M11" s="57" t="n"/>
      <c r="N11" s="57" t="n"/>
      <c r="O11" s="57" t="n"/>
      <c r="P11" s="57" t="n"/>
      <c r="Q11" s="57" t="n"/>
      <c r="R11" s="57" t="n"/>
      <c r="S11" s="57" t="n"/>
      <c r="T11" s="57" t="n"/>
      <c r="U11" s="57" t="n"/>
      <c r="V11" s="57" t="n"/>
      <c r="W11" s="57" t="n"/>
      <c r="X11" s="57" t="n"/>
      <c r="Y11" s="57" t="n"/>
      <c r="Z11" s="57" t="n"/>
      <c r="AA11" s="57" t="n"/>
      <c r="AB11" s="57" t="n"/>
    </row>
    <row r="12" ht="28.5" customHeight="1">
      <c r="A12" s="59" t="inlineStr">
        <is>
          <t>Difference between 2024 computed demand and historical (see bldgs/BDCL)</t>
        </is>
      </c>
      <c r="B12" s="57">
        <f>EPRI!F5-B10</f>
        <v/>
      </c>
    </row>
    <row r="13"/>
    <row r="14">
      <c r="A14" t="inlineStr">
        <is>
          <t>Annual Data Center Load</t>
        </is>
      </c>
      <c r="B14" s="57">
        <f>$B$12+B10</f>
        <v/>
      </c>
      <c r="C14" s="57">
        <f>$B$12+C10</f>
        <v/>
      </c>
      <c r="D14" s="57">
        <f>$B$12+D10</f>
        <v/>
      </c>
      <c r="E14" s="57">
        <f>$B$12+E10</f>
        <v/>
      </c>
      <c r="F14" s="57">
        <f>$B$12+F10</f>
        <v/>
      </c>
      <c r="G14" s="57">
        <f>$B$12+G10</f>
        <v/>
      </c>
      <c r="H14" s="57">
        <f>$B$12+H10</f>
        <v/>
      </c>
      <c r="I14" s="57">
        <f>$B$12+I10</f>
        <v/>
      </c>
      <c r="J14" s="57">
        <f>$B$12+J10</f>
        <v/>
      </c>
      <c r="K14" s="57">
        <f>$B$12+K10</f>
        <v/>
      </c>
      <c r="L14" s="57">
        <f>$B$12+L10</f>
        <v/>
      </c>
      <c r="M14" s="57">
        <f>$B$12+M10</f>
        <v/>
      </c>
      <c r="N14" s="57">
        <f>$B$12+N10</f>
        <v/>
      </c>
      <c r="O14" s="57">
        <f>$B$12+O10</f>
        <v/>
      </c>
      <c r="P14" s="57">
        <f>$B$12+P10</f>
        <v/>
      </c>
      <c r="Q14" s="57">
        <f>$B$12+Q10</f>
        <v/>
      </c>
      <c r="R14" s="57">
        <f>$B$12+R10</f>
        <v/>
      </c>
      <c r="S14" s="57">
        <f>$B$12+S10</f>
        <v/>
      </c>
      <c r="T14" s="57">
        <f>$B$12+T10</f>
        <v/>
      </c>
      <c r="U14" s="57">
        <f>$B$12+U10</f>
        <v/>
      </c>
      <c r="V14" s="57">
        <f>$B$12+V10</f>
        <v/>
      </c>
      <c r="W14" s="57">
        <f>$B$12+W10</f>
        <v/>
      </c>
      <c r="X14" s="57">
        <f>$B$12+X10</f>
        <v/>
      </c>
      <c r="Y14" s="57">
        <f>$B$12+Y10</f>
        <v/>
      </c>
      <c r="Z14" s="57">
        <f>$B$12+Z10</f>
        <v/>
      </c>
      <c r="AA14" s="57">
        <f>$B$12+AA10</f>
        <v/>
      </c>
      <c r="AB14" s="57">
        <f>$B$12+AB10</f>
        <v/>
      </c>
    </row>
    <row r="15"/>
    <row r="16">
      <c r="A16" t="inlineStr">
        <is>
          <t>Load to Remove from Cooling</t>
        </is>
      </c>
      <c r="B16">
        <f>B6*10^15</f>
        <v/>
      </c>
      <c r="C16">
        <f>C6*10^15</f>
        <v/>
      </c>
      <c r="D16">
        <f>D6*10^15</f>
        <v/>
      </c>
      <c r="E16">
        <f>E6*10^15</f>
        <v/>
      </c>
      <c r="F16">
        <f>F6*10^15</f>
        <v/>
      </c>
      <c r="G16">
        <f>G6*10^15</f>
        <v/>
      </c>
      <c r="H16">
        <f>H6*10^15</f>
        <v/>
      </c>
      <c r="I16">
        <f>I6*10^15</f>
        <v/>
      </c>
      <c r="J16">
        <f>J6*10^15</f>
        <v/>
      </c>
      <c r="K16">
        <f>K6*10^15</f>
        <v/>
      </c>
      <c r="L16">
        <f>L6*10^15</f>
        <v/>
      </c>
      <c r="M16">
        <f>M6*10^15</f>
        <v/>
      </c>
      <c r="N16">
        <f>N6*10^15</f>
        <v/>
      </c>
      <c r="O16">
        <f>O6*10^15</f>
        <v/>
      </c>
      <c r="P16">
        <f>P6*10^15</f>
        <v/>
      </c>
      <c r="Q16">
        <f>Q6*10^15</f>
        <v/>
      </c>
      <c r="R16">
        <f>R6*10^15</f>
        <v/>
      </c>
      <c r="S16">
        <f>S6*10^15</f>
        <v/>
      </c>
      <c r="T16">
        <f>T6*10^15</f>
        <v/>
      </c>
      <c r="U16">
        <f>U6*10^15</f>
        <v/>
      </c>
      <c r="V16">
        <f>V6*10^15</f>
        <v/>
      </c>
      <c r="W16">
        <f>W6*10^15</f>
        <v/>
      </c>
      <c r="X16">
        <f>X6*10^15</f>
        <v/>
      </c>
      <c r="Y16">
        <f>Y6*10^15</f>
        <v/>
      </c>
      <c r="Z16">
        <f>Z6*10^15</f>
        <v/>
      </c>
      <c r="AA16">
        <f>AA6*10^15</f>
        <v/>
      </c>
      <c r="AB16">
        <f>AB6*10^15</f>
        <v/>
      </c>
    </row>
    <row r="17">
      <c r="A17" t="inlineStr">
        <is>
          <t>Load to Remove from Other Uses</t>
        </is>
      </c>
      <c r="B17">
        <f>(SUM(B7:B8)+$B$12/About!$B$78)*10^15</f>
        <v/>
      </c>
      <c r="C17">
        <f>(SUM(C7:C8)+$B$12/About!$B$78)*10^15</f>
        <v/>
      </c>
      <c r="D17">
        <f>(SUM(D7:D8)+$B$12/About!$B$78)*10^15</f>
        <v/>
      </c>
      <c r="E17">
        <f>(SUM(E7:E8)+$B$12/About!$B$78)*10^15</f>
        <v/>
      </c>
      <c r="F17">
        <f>(SUM(F7:F8)+$B$12/About!$B$78)*10^15</f>
        <v/>
      </c>
      <c r="G17">
        <f>(SUM(G7:G8)+$B$12/About!$B$78)*10^15</f>
        <v/>
      </c>
      <c r="H17">
        <f>(SUM(H7:H8)+$B$12/About!$B$78)*10^15</f>
        <v/>
      </c>
      <c r="I17">
        <f>(SUM(I7:I8)+$B$12/About!$B$78)*10^15</f>
        <v/>
      </c>
      <c r="J17">
        <f>(SUM(J7:J8)+$B$12/About!$B$78)*10^15</f>
        <v/>
      </c>
      <c r="K17">
        <f>(SUM(K7:K8)+$B$12/About!$B$78)*10^15</f>
        <v/>
      </c>
      <c r="L17">
        <f>(SUM(L7:L8)+$B$12/About!$B$78)*10^15</f>
        <v/>
      </c>
      <c r="M17">
        <f>(SUM(M7:M8)+$B$12/About!$B$78)*10^15</f>
        <v/>
      </c>
      <c r="N17">
        <f>(SUM(N7:N8)+$B$12/About!$B$78)*10^15</f>
        <v/>
      </c>
      <c r="O17">
        <f>(SUM(O7:O8)+$B$12/About!$B$78)*10^15</f>
        <v/>
      </c>
      <c r="P17">
        <f>(SUM(P7:P8)+$B$12/About!$B$78)*10^15</f>
        <v/>
      </c>
      <c r="Q17">
        <f>(SUM(Q7:Q8)+$B$12/About!$B$78)*10^15</f>
        <v/>
      </c>
      <c r="R17">
        <f>(SUM(R7:R8)+$B$12/About!$B$78)*10^15</f>
        <v/>
      </c>
      <c r="S17">
        <f>(SUM(S7:S8)+$B$12/About!$B$78)*10^15</f>
        <v/>
      </c>
      <c r="T17">
        <f>(SUM(T7:T8)+$B$12/About!$B$78)*10^15</f>
        <v/>
      </c>
      <c r="U17">
        <f>(SUM(U7:U8)+$B$12/About!$B$78)*10^15</f>
        <v/>
      </c>
      <c r="V17">
        <f>(SUM(V7:V8)+$B$12/About!$B$78)*10^15</f>
        <v/>
      </c>
      <c r="W17">
        <f>(SUM(W7:W8)+$B$12/About!$B$78)*10^15</f>
        <v/>
      </c>
      <c r="X17">
        <f>(SUM(X7:X8)+$B$12/About!$B$78)*10^15</f>
        <v/>
      </c>
      <c r="Y17">
        <f>(SUM(Y7:Y8)+$B$12/About!$B$78)*10^15</f>
        <v/>
      </c>
      <c r="Z17">
        <f>(SUM(Z7:Z8)+$B$12/About!$B$78)*10^15</f>
        <v/>
      </c>
      <c r="AA17">
        <f>(SUM(AA7:AA8)+$B$12/About!$B$78)*10^15</f>
        <v/>
      </c>
      <c r="AB17">
        <f>(SUM(AB7:AB8)+$B$12/About!$B$78)*10^15</f>
        <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26"/>
  <sheetViews>
    <sheetView topLeftCell="A4" workbookViewId="0">
      <selection activeCell="A1" sqref="A1:F26"/>
    </sheetView>
  </sheetViews>
  <sheetFormatPr baseColWidth="8" defaultRowHeight="14.25"/>
  <sheetData>
    <row r="1">
      <c r="A1" s="60" t="inlineStr">
        <is>
          <t>Scenario</t>
        </is>
      </c>
      <c r="B1" s="60" t="inlineStr">
        <is>
          <t>State</t>
        </is>
      </c>
      <c r="C1" s="60" t="inlineStr">
        <is>
          <t>Year</t>
        </is>
      </c>
      <c r="D1" s="60" t="inlineStr">
        <is>
          <t>Nominal Capacity (GW)</t>
        </is>
      </c>
      <c r="E1" s="60" t="inlineStr">
        <is>
          <t>Peak Load (GW)</t>
        </is>
      </c>
      <c r="F1" s="60" t="inlineStr">
        <is>
          <t>Annual Energy (TWh)</t>
        </is>
      </c>
    </row>
    <row r="2">
      <c r="A2" s="61" t="inlineStr">
        <is>
          <t>Historical</t>
        </is>
      </c>
      <c r="B2" s="61" t="inlineStr">
        <is>
          <t>US</t>
        </is>
      </c>
      <c r="C2" s="61" t="n">
        <v>2021</v>
      </c>
      <c r="D2" s="61" t="n">
        <v>10.5</v>
      </c>
      <c r="E2" s="61" t="n">
        <v>10.3</v>
      </c>
      <c r="F2" s="61" t="n">
        <v>91.40000000000001</v>
      </c>
    </row>
    <row r="3">
      <c r="A3" s="61" t="inlineStr">
        <is>
          <t>Historical</t>
        </is>
      </c>
      <c r="B3" s="61" t="inlineStr">
        <is>
          <t>US</t>
        </is>
      </c>
      <c r="C3" s="61" t="n">
        <v>2022</v>
      </c>
      <c r="D3" s="61" t="n">
        <v>16</v>
      </c>
      <c r="E3" s="61" t="n">
        <v>13.9</v>
      </c>
      <c r="F3" s="61" t="n">
        <v>116</v>
      </c>
    </row>
    <row r="4">
      <c r="A4" s="61" t="inlineStr">
        <is>
          <t>Historical</t>
        </is>
      </c>
      <c r="B4" s="61" t="inlineStr">
        <is>
          <t>US</t>
        </is>
      </c>
      <c r="C4" s="61" t="n">
        <v>2023</v>
      </c>
      <c r="D4" s="61" t="n">
        <v>25.5</v>
      </c>
      <c r="E4" s="61" t="n">
        <v>16.7</v>
      </c>
      <c r="F4" s="61" t="n">
        <v>141</v>
      </c>
    </row>
    <row r="5">
      <c r="A5" s="61" t="inlineStr">
        <is>
          <t>Historical</t>
        </is>
      </c>
      <c r="B5" s="61" t="inlineStr">
        <is>
          <t>US</t>
        </is>
      </c>
      <c r="C5" s="61" t="n">
        <v>2024</v>
      </c>
      <c r="D5" s="61" t="n">
        <v>39.8</v>
      </c>
      <c r="E5" s="61" t="n">
        <v>21.5</v>
      </c>
      <c r="F5" s="61" t="n">
        <v>184</v>
      </c>
    </row>
    <row r="6">
      <c r="A6" s="61" t="inlineStr">
        <is>
          <t>Low</t>
        </is>
      </c>
      <c r="B6" s="61" t="inlineStr">
        <is>
          <t>US</t>
        </is>
      </c>
      <c r="C6" s="61" t="n">
        <v>2024</v>
      </c>
      <c r="D6" s="61" t="n">
        <v>35.1</v>
      </c>
      <c r="E6" s="61" t="n">
        <v>20.7</v>
      </c>
      <c r="F6" s="61" t="n">
        <v>177</v>
      </c>
    </row>
    <row r="7">
      <c r="A7" s="61" t="inlineStr">
        <is>
          <t>Low</t>
        </is>
      </c>
      <c r="B7" s="61" t="inlineStr">
        <is>
          <t>US</t>
        </is>
      </c>
      <c r="C7" s="61" t="n">
        <v>2025</v>
      </c>
      <c r="D7" s="61" t="n">
        <v>38.7</v>
      </c>
      <c r="E7" s="61" t="n">
        <v>24.8</v>
      </c>
      <c r="F7" s="61" t="n">
        <v>212</v>
      </c>
    </row>
    <row r="8">
      <c r="A8" s="61" t="inlineStr">
        <is>
          <t>Low</t>
        </is>
      </c>
      <c r="B8" s="61" t="inlineStr">
        <is>
          <t>US</t>
        </is>
      </c>
      <c r="C8" s="61" t="n">
        <v>2026</v>
      </c>
      <c r="D8" s="61" t="n">
        <v>42.2</v>
      </c>
      <c r="E8" s="61" t="n">
        <v>29.7</v>
      </c>
      <c r="F8" s="61" t="n">
        <v>251</v>
      </c>
    </row>
    <row r="9">
      <c r="A9" s="61" t="inlineStr">
        <is>
          <t>Low</t>
        </is>
      </c>
      <c r="B9" s="61" t="inlineStr">
        <is>
          <t>US</t>
        </is>
      </c>
      <c r="C9" s="61" t="n">
        <v>2027</v>
      </c>
      <c r="D9" s="61" t="n">
        <v>45.6</v>
      </c>
      <c r="E9" s="61" t="n">
        <v>35.1</v>
      </c>
      <c r="F9" s="61" t="n">
        <v>296</v>
      </c>
    </row>
    <row r="10">
      <c r="A10" s="61" t="inlineStr">
        <is>
          <t>Low</t>
        </is>
      </c>
      <c r="B10" s="61" t="inlineStr">
        <is>
          <t>US</t>
        </is>
      </c>
      <c r="C10" s="61" t="n">
        <v>2028</v>
      </c>
      <c r="D10" s="61" t="n">
        <v>49.1</v>
      </c>
      <c r="E10" s="61" t="n">
        <v>39.4</v>
      </c>
      <c r="F10" s="61" t="n">
        <v>333</v>
      </c>
    </row>
    <row r="11">
      <c r="A11" s="61" t="inlineStr">
        <is>
          <t>Low</t>
        </is>
      </c>
      <c r="B11" s="61" t="inlineStr">
        <is>
          <t>US</t>
        </is>
      </c>
      <c r="C11" s="61" t="n">
        <v>2029</v>
      </c>
      <c r="D11" s="61" t="n">
        <v>52.6</v>
      </c>
      <c r="E11" s="61" t="n">
        <v>42.5</v>
      </c>
      <c r="F11" s="61" t="n">
        <v>359</v>
      </c>
    </row>
    <row r="12">
      <c r="A12" s="61" t="inlineStr">
        <is>
          <t>Low</t>
        </is>
      </c>
      <c r="B12" s="61" t="inlineStr">
        <is>
          <t>US</t>
        </is>
      </c>
      <c r="C12" s="61" t="n">
        <v>2030</v>
      </c>
      <c r="D12" s="61" t="n">
        <v>56.1</v>
      </c>
      <c r="E12" s="61" t="n">
        <v>45.4</v>
      </c>
      <c r="F12" s="61" t="n">
        <v>384</v>
      </c>
    </row>
    <row r="13">
      <c r="A13" s="61" t="inlineStr">
        <is>
          <t>Medium</t>
        </is>
      </c>
      <c r="B13" s="61" t="inlineStr">
        <is>
          <t>US</t>
        </is>
      </c>
      <c r="C13" s="61" t="n">
        <v>2024</v>
      </c>
      <c r="D13" s="61" t="n">
        <v>39.8</v>
      </c>
      <c r="E13" s="61" t="n">
        <v>21.5</v>
      </c>
      <c r="F13" s="61" t="n">
        <v>184</v>
      </c>
    </row>
    <row r="14">
      <c r="A14" s="61" t="inlineStr">
        <is>
          <t>Medium</t>
        </is>
      </c>
      <c r="B14" s="61" t="inlineStr">
        <is>
          <t>US</t>
        </is>
      </c>
      <c r="C14" s="61" t="n">
        <v>2025</v>
      </c>
      <c r="D14" s="61" t="n">
        <v>49.1</v>
      </c>
      <c r="E14" s="61" t="n">
        <v>27.7</v>
      </c>
      <c r="F14" s="61" t="n">
        <v>235</v>
      </c>
    </row>
    <row r="15">
      <c r="A15" s="61" t="inlineStr">
        <is>
          <t>Medium</t>
        </is>
      </c>
      <c r="B15" s="61" t="inlineStr">
        <is>
          <t>US</t>
        </is>
      </c>
      <c r="C15" s="61" t="n">
        <v>2026</v>
      </c>
      <c r="D15" s="61" t="n">
        <v>58.5</v>
      </c>
      <c r="E15" s="61" t="n">
        <v>35.5</v>
      </c>
      <c r="F15" s="61" t="n">
        <v>301</v>
      </c>
    </row>
    <row r="16">
      <c r="A16" s="61" t="inlineStr">
        <is>
          <t>Medium</t>
        </is>
      </c>
      <c r="B16" s="61" t="inlineStr">
        <is>
          <t>US</t>
        </is>
      </c>
      <c r="C16" s="61" t="n">
        <v>2027</v>
      </c>
      <c r="D16" s="61" t="n">
        <v>67.8</v>
      </c>
      <c r="E16" s="61" t="n">
        <v>45</v>
      </c>
      <c r="F16" s="61" t="n">
        <v>380</v>
      </c>
    </row>
    <row r="17">
      <c r="A17" s="61" t="inlineStr">
        <is>
          <t>Medium</t>
        </is>
      </c>
      <c r="B17" s="61" t="inlineStr">
        <is>
          <t>US</t>
        </is>
      </c>
      <c r="C17" s="61" t="n">
        <v>2028</v>
      </c>
      <c r="D17" s="61" t="n">
        <v>77.2</v>
      </c>
      <c r="E17" s="61" t="n">
        <v>54.4</v>
      </c>
      <c r="F17" s="61" t="n">
        <v>459</v>
      </c>
    </row>
    <row r="18">
      <c r="A18" s="61" t="inlineStr">
        <is>
          <t>Medium</t>
        </is>
      </c>
      <c r="B18" s="61" t="inlineStr">
        <is>
          <t>US</t>
        </is>
      </c>
      <c r="C18" s="61" t="n">
        <v>2029</v>
      </c>
      <c r="D18" s="61" t="n">
        <v>86.5</v>
      </c>
      <c r="E18" s="61" t="n">
        <v>62.6</v>
      </c>
      <c r="F18" s="61" t="n">
        <v>529</v>
      </c>
    </row>
    <row r="19">
      <c r="A19" s="61" t="inlineStr">
        <is>
          <t>Medium</t>
        </is>
      </c>
      <c r="B19" s="61" t="inlineStr">
        <is>
          <t>US</t>
        </is>
      </c>
      <c r="C19" s="61" t="n">
        <v>2030</v>
      </c>
      <c r="D19" s="61" t="n">
        <v>95.90000000000001</v>
      </c>
      <c r="E19" s="61" t="n">
        <v>70.7</v>
      </c>
      <c r="F19" s="61" t="n">
        <v>596</v>
      </c>
    </row>
    <row r="20">
      <c r="A20" s="61" t="inlineStr">
        <is>
          <t>High</t>
        </is>
      </c>
      <c r="B20" s="61" t="inlineStr">
        <is>
          <t>US</t>
        </is>
      </c>
      <c r="C20" s="61" t="n">
        <v>2024</v>
      </c>
      <c r="D20" s="61" t="n">
        <v>44.5</v>
      </c>
      <c r="E20" s="61" t="n">
        <v>22.4</v>
      </c>
      <c r="F20" s="61" t="n">
        <v>192</v>
      </c>
    </row>
    <row r="21">
      <c r="A21" s="61" t="inlineStr">
        <is>
          <t>High</t>
        </is>
      </c>
      <c r="B21" s="61" t="inlineStr">
        <is>
          <t>US</t>
        </is>
      </c>
      <c r="C21" s="61" t="n">
        <v>2025</v>
      </c>
      <c r="D21" s="61" t="n">
        <v>59.1</v>
      </c>
      <c r="E21" s="61" t="n">
        <v>30.4</v>
      </c>
      <c r="F21" s="61" t="n">
        <v>258</v>
      </c>
    </row>
    <row r="22">
      <c r="A22" s="61" t="inlineStr">
        <is>
          <t>High</t>
        </is>
      </c>
      <c r="B22" s="61" t="inlineStr">
        <is>
          <t>US</t>
        </is>
      </c>
      <c r="C22" s="61" t="n">
        <v>2026</v>
      </c>
      <c r="D22" s="61" t="n">
        <v>73.8</v>
      </c>
      <c r="E22" s="61" t="n">
        <v>41.1</v>
      </c>
      <c r="F22" s="61" t="n">
        <v>348</v>
      </c>
    </row>
    <row r="23">
      <c r="A23" s="61" t="inlineStr">
        <is>
          <t>High</t>
        </is>
      </c>
      <c r="B23" s="61" t="inlineStr">
        <is>
          <t>US</t>
        </is>
      </c>
      <c r="C23" s="61" t="n">
        <v>2027</v>
      </c>
      <c r="D23" s="61" t="n">
        <v>88.5</v>
      </c>
      <c r="E23" s="61" t="n">
        <v>54.4</v>
      </c>
      <c r="F23" s="61" t="n">
        <v>459</v>
      </c>
    </row>
    <row r="24">
      <c r="A24" s="61" t="inlineStr">
        <is>
          <t>High</t>
        </is>
      </c>
      <c r="B24" s="61" t="inlineStr">
        <is>
          <t>US</t>
        </is>
      </c>
      <c r="C24" s="61" t="n">
        <v>2028</v>
      </c>
      <c r="D24" s="61" t="n">
        <v>103</v>
      </c>
      <c r="E24" s="61" t="n">
        <v>68.5</v>
      </c>
      <c r="F24" s="61" t="n">
        <v>578</v>
      </c>
    </row>
    <row r="25">
      <c r="A25" s="61" t="inlineStr">
        <is>
          <t>High</t>
        </is>
      </c>
      <c r="B25" s="61" t="inlineStr">
        <is>
          <t>US</t>
        </is>
      </c>
      <c r="C25" s="61" t="n">
        <v>2029</v>
      </c>
      <c r="D25" s="61" t="n">
        <v>118</v>
      </c>
      <c r="E25" s="61" t="n">
        <v>81.5</v>
      </c>
      <c r="F25" s="61" t="n">
        <v>687</v>
      </c>
    </row>
    <row r="26">
      <c r="A26" s="61" t="inlineStr">
        <is>
          <t>High</t>
        </is>
      </c>
      <c r="B26" s="61" t="inlineStr">
        <is>
          <t>US</t>
        </is>
      </c>
      <c r="C26" s="61" t="n">
        <v>2030</v>
      </c>
      <c r="D26" s="61" t="n">
        <v>132</v>
      </c>
      <c r="E26" s="61" t="n">
        <v>94</v>
      </c>
      <c r="F26" s="61" t="n">
        <v>794</v>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AJ12"/>
  <sheetViews>
    <sheetView workbookViewId="0">
      <selection activeCell="M9" sqref="M9"/>
    </sheetView>
  </sheetViews>
  <sheetFormatPr baseColWidth="8" defaultColWidth="9.19921875" defaultRowHeight="14.25"/>
  <cols>
    <col width="41" customWidth="1" min="1" max="1"/>
    <col width="16.73046875" customWidth="1" min="2" max="2"/>
    <col width="10.53125" customWidth="1" min="3" max="3"/>
    <col width="9.19921875" customWidth="1" min="4" max="33"/>
  </cols>
  <sheetData>
    <row r="1">
      <c r="A1" s="19" t="inlineStr">
        <is>
          <t>EIA</t>
        </is>
      </c>
      <c r="B1" t="inlineStr">
        <is>
          <t>terrwatt to btu</t>
        </is>
      </c>
      <c r="C1" s="6" t="n">
        <v>3412000000000</v>
      </c>
    </row>
    <row r="2">
      <c r="A2" s="1" t="inlineStr">
        <is>
          <t>Commercial MEL TWh/yr</t>
        </is>
      </c>
      <c r="B2" s="1" t="n">
        <v>2012</v>
      </c>
      <c r="C2" s="1" t="n">
        <v>2015</v>
      </c>
      <c r="D2" s="1" t="n">
        <v>2018</v>
      </c>
      <c r="E2" s="1" t="n">
        <v>2020</v>
      </c>
      <c r="F2" s="1" t="n">
        <v>2030</v>
      </c>
      <c r="G2" s="1" t="n">
        <v>2040</v>
      </c>
      <c r="H2" s="1" t="n">
        <v>2050</v>
      </c>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row>
    <row r="3">
      <c r="A3" s="15" t="inlineStr">
        <is>
          <t>Wastewater Treatment</t>
        </is>
      </c>
      <c r="B3" t="n">
        <v>31</v>
      </c>
      <c r="C3" s="18" t="n">
        <v>31</v>
      </c>
      <c r="D3" s="18" t="n">
        <v>31</v>
      </c>
      <c r="E3" s="18" t="n">
        <v>32</v>
      </c>
      <c r="F3" s="18" t="n">
        <v>33</v>
      </c>
      <c r="G3" s="18" t="n">
        <v>34</v>
      </c>
      <c r="H3" s="18" t="n">
        <v>35</v>
      </c>
      <c r="I3" s="16" t="n"/>
      <c r="J3" s="16" t="n"/>
      <c r="K3" s="16" t="n"/>
      <c r="L3" s="16" t="n"/>
      <c r="M3" s="16" t="n"/>
      <c r="N3" s="16" t="n"/>
      <c r="O3" s="16" t="n"/>
      <c r="P3" s="16" t="n"/>
      <c r="Q3" s="16" t="n"/>
      <c r="R3" s="16" t="n"/>
      <c r="S3" s="16" t="n"/>
      <c r="T3" s="16" t="n"/>
      <c r="U3" s="16" t="n"/>
      <c r="V3" s="16" t="n"/>
      <c r="W3" s="16" t="n"/>
      <c r="X3" s="16" t="n"/>
      <c r="Y3" s="16" t="n"/>
      <c r="Z3" s="16" t="n"/>
      <c r="AA3" s="16" t="n"/>
      <c r="AB3" s="16" t="n"/>
      <c r="AC3" s="16" t="n"/>
      <c r="AD3" s="16" t="n"/>
      <c r="AE3" s="16" t="n"/>
      <c r="AF3" s="16" t="n"/>
      <c r="AG3" s="16" t="n"/>
    </row>
    <row r="4">
      <c r="A4" s="15" t="inlineStr">
        <is>
          <t xml:space="preserve">Water Supply &amp; Purification </t>
        </is>
      </c>
      <c r="B4" t="n">
        <v>29</v>
      </c>
      <c r="C4" s="18" t="n">
        <v>29</v>
      </c>
      <c r="D4" s="18" t="n">
        <v>28</v>
      </c>
      <c r="E4" s="18" t="n">
        <v>28</v>
      </c>
      <c r="F4" s="18" t="n">
        <v>29</v>
      </c>
      <c r="G4" s="18" t="n">
        <v>30</v>
      </c>
      <c r="H4" s="18" t="n">
        <v>31</v>
      </c>
      <c r="I4" s="17" t="n"/>
      <c r="J4" s="17" t="n"/>
      <c r="K4" s="17" t="n"/>
      <c r="L4" s="17" t="n"/>
      <c r="M4" s="17" t="n"/>
      <c r="N4" s="17" t="n"/>
      <c r="O4" s="17" t="n"/>
      <c r="P4" s="17" t="n"/>
      <c r="Q4" s="17" t="n"/>
      <c r="R4" s="17" t="n"/>
      <c r="S4" s="17" t="n"/>
      <c r="T4" s="17" t="n"/>
      <c r="U4" s="17" t="n"/>
      <c r="V4" s="17" t="n"/>
      <c r="W4" s="17" t="n"/>
      <c r="X4" s="17" t="n"/>
      <c r="Y4" s="17" t="n"/>
      <c r="Z4" s="17" t="n"/>
      <c r="AA4" s="17" t="n"/>
      <c r="AB4" s="17" t="n"/>
      <c r="AC4" s="17" t="n"/>
      <c r="AD4" s="17" t="n"/>
      <c r="AE4" s="17" t="n"/>
      <c r="AF4" s="17" t="n"/>
      <c r="AG4" s="17" t="n"/>
    </row>
    <row r="5">
      <c r="A5" s="15" t="n"/>
      <c r="I5" s="18" t="n"/>
      <c r="J5" s="18" t="n"/>
      <c r="K5" s="18" t="n"/>
      <c r="L5" s="18" t="n"/>
      <c r="M5" s="18" t="n"/>
      <c r="N5" s="18" t="n"/>
      <c r="O5" s="18" t="n"/>
      <c r="P5" s="18" t="n"/>
      <c r="Q5" s="18" t="n"/>
      <c r="R5" s="18" t="n"/>
      <c r="S5" s="18" t="n"/>
      <c r="T5" s="18" t="n"/>
      <c r="U5" s="18" t="n"/>
      <c r="V5" s="18" t="n"/>
      <c r="W5" s="18" t="n"/>
      <c r="X5" s="18" t="n"/>
      <c r="Y5" s="18" t="n"/>
      <c r="Z5" s="18" t="n"/>
      <c r="AA5" s="17" t="n"/>
      <c r="AB5" s="17" t="n"/>
      <c r="AC5" s="17" t="n"/>
      <c r="AD5" s="17" t="n"/>
      <c r="AE5" s="17" t="n"/>
      <c r="AF5" s="17" t="n"/>
      <c r="AG5" s="17" t="n"/>
    </row>
    <row r="6">
      <c r="A6" s="15" t="inlineStr">
        <is>
          <t>btus</t>
        </is>
      </c>
      <c r="B6" s="6">
        <f>SUM(B3:B4)*$C$1</f>
        <v/>
      </c>
      <c r="C6" s="6">
        <f>SUM(C3:C4)*$C$1</f>
        <v/>
      </c>
      <c r="D6" s="6">
        <f>SUM(D3:D4)*$C$1</f>
        <v/>
      </c>
      <c r="E6" s="6">
        <f>SUM(E3:E4)*$C$1</f>
        <v/>
      </c>
      <c r="F6" s="6">
        <f>SUM(F3:F4)*$C$1</f>
        <v/>
      </c>
      <c r="G6" s="6">
        <f>SUM(G3:G4)*$C$1</f>
        <v/>
      </c>
      <c r="H6" s="6">
        <f>SUM(H3:H4)*$C$1</f>
        <v/>
      </c>
      <c r="I6" s="18" t="n"/>
      <c r="J6" s="18" t="n"/>
      <c r="K6" s="18" t="n"/>
      <c r="L6" s="18" t="n"/>
      <c r="M6" s="18" t="n"/>
      <c r="N6" s="18" t="n"/>
      <c r="O6" s="18" t="n"/>
      <c r="P6" s="18" t="n"/>
      <c r="Q6" s="18" t="n"/>
      <c r="R6" s="18" t="n"/>
      <c r="S6" s="18" t="n"/>
      <c r="T6" s="18" t="n"/>
      <c r="U6" s="18" t="n"/>
      <c r="V6" s="18" t="n"/>
      <c r="W6" s="18" t="n"/>
      <c r="X6" s="18" t="n"/>
      <c r="Y6" s="18" t="n"/>
      <c r="Z6" s="18" t="n"/>
      <c r="AA6" s="17" t="n"/>
      <c r="AB6" s="17" t="n"/>
      <c r="AC6" s="17" t="n"/>
      <c r="AD6" s="17" t="n"/>
      <c r="AE6" s="17" t="n"/>
      <c r="AF6" s="17" t="n"/>
      <c r="AG6" s="17" t="n"/>
    </row>
    <row r="7">
      <c r="A7" s="15" t="n"/>
      <c r="B7" s="20" t="n"/>
      <c r="C7" s="20" t="n"/>
      <c r="D7" s="20" t="n"/>
      <c r="E7" s="20" t="n"/>
      <c r="F7" s="20" t="n"/>
      <c r="G7" s="20" t="n"/>
      <c r="H7" s="20" t="n"/>
      <c r="I7" s="20" t="n"/>
      <c r="J7" s="20" t="n"/>
      <c r="K7" s="20" t="n"/>
      <c r="L7" s="20" t="n"/>
      <c r="M7" s="20" t="n"/>
      <c r="N7" s="20" t="n"/>
      <c r="O7" s="20" t="n"/>
      <c r="P7" s="20" t="n"/>
      <c r="Q7" s="20" t="n"/>
      <c r="R7" s="20" t="n"/>
      <c r="S7" s="20" t="n"/>
      <c r="T7" s="20" t="n"/>
      <c r="U7" s="20" t="n"/>
      <c r="V7" s="20" t="n"/>
      <c r="W7" s="20" t="n"/>
      <c r="X7" s="20" t="n"/>
      <c r="Y7" s="20" t="n"/>
      <c r="Z7" s="20" t="n"/>
      <c r="AA7" s="20" t="n"/>
      <c r="AB7" s="20" t="n"/>
      <c r="AC7" s="20" t="n"/>
      <c r="AD7" s="20" t="n"/>
      <c r="AE7" s="20" t="n"/>
      <c r="AF7" s="20" t="n"/>
      <c r="AG7" s="20" t="n"/>
    </row>
    <row r="8">
      <c r="D8" s="21" t="n">
        <v>2018</v>
      </c>
      <c r="E8" s="21" t="n">
        <v>2019</v>
      </c>
      <c r="F8" s="21" t="n">
        <v>2020</v>
      </c>
      <c r="G8" s="21" t="n">
        <v>2021</v>
      </c>
      <c r="H8" s="21" t="n">
        <v>2022</v>
      </c>
      <c r="I8" s="21" t="n">
        <v>2023</v>
      </c>
      <c r="J8" s="21" t="n">
        <v>2024</v>
      </c>
      <c r="K8" s="21" t="n">
        <v>2025</v>
      </c>
      <c r="L8" s="21" t="n">
        <v>2026</v>
      </c>
      <c r="M8" s="21" t="n">
        <v>2027</v>
      </c>
      <c r="N8" s="21" t="n">
        <v>2028</v>
      </c>
      <c r="O8" s="21" t="n">
        <v>2029</v>
      </c>
      <c r="P8" s="21" t="n">
        <v>2030</v>
      </c>
      <c r="Q8" s="21" t="n">
        <v>2031</v>
      </c>
      <c r="R8" s="21" t="n">
        <v>2032</v>
      </c>
      <c r="S8" s="21" t="n">
        <v>2033</v>
      </c>
      <c r="T8" s="21" t="n">
        <v>2034</v>
      </c>
      <c r="U8" s="21" t="n">
        <v>2035</v>
      </c>
      <c r="V8" s="21" t="n">
        <v>2036</v>
      </c>
      <c r="W8" s="21" t="n">
        <v>2037</v>
      </c>
      <c r="X8" s="21" t="n">
        <v>2038</v>
      </c>
      <c r="Y8" s="21" t="n">
        <v>2039</v>
      </c>
      <c r="Z8" s="21" t="n">
        <v>2040</v>
      </c>
      <c r="AA8" s="21" t="n">
        <v>2041</v>
      </c>
      <c r="AB8" s="21" t="n">
        <v>2042</v>
      </c>
      <c r="AC8" s="21" t="n">
        <v>2043</v>
      </c>
      <c r="AD8" s="21" t="n">
        <v>2044</v>
      </c>
      <c r="AE8" s="21" t="n">
        <v>2045</v>
      </c>
      <c r="AF8" s="21" t="n">
        <v>2046</v>
      </c>
      <c r="AG8" s="21" t="n">
        <v>2047</v>
      </c>
      <c r="AH8" s="21" t="n">
        <v>2048</v>
      </c>
      <c r="AI8" s="21" t="n">
        <v>2049</v>
      </c>
      <c r="AJ8" s="21" t="n">
        <v>2050</v>
      </c>
    </row>
    <row r="9">
      <c r="C9" t="inlineStr">
        <is>
          <t>btus</t>
        </is>
      </c>
      <c r="D9">
        <f>_xlfn.FORECAST.LINEAR(D8,$D$6:$E$6,$D$2:$E$2)</f>
        <v/>
      </c>
      <c r="E9">
        <f>_xlfn.FORECAST.LINEAR(E8,$D$6:$E$6,$D$2:$E$2)</f>
        <v/>
      </c>
      <c r="F9">
        <f>_xlfn.FORECAST.LINEAR(F8,$D$6:$E$6,$D$2:$E$2)</f>
        <v/>
      </c>
      <c r="G9">
        <f>_xlfn.FORECAST.LINEAR(G8,$E$6:$F$6,$E$2:$F$2)</f>
        <v/>
      </c>
      <c r="H9">
        <f>_xlfn.FORECAST.LINEAR(H8,$E$6:$F$6,$E$2:$F$2)</f>
        <v/>
      </c>
      <c r="I9">
        <f>_xlfn.FORECAST.LINEAR(I8,$E$6:$F$6,$E$2:$F$2)</f>
        <v/>
      </c>
      <c r="J9">
        <f>_xlfn.FORECAST.LINEAR(J8,$E$6:$F$6,$E$2:$F$2)</f>
        <v/>
      </c>
      <c r="K9">
        <f>_xlfn.FORECAST.LINEAR(K8,$E$6:$F$6,$E$2:$F$2)</f>
        <v/>
      </c>
      <c r="L9">
        <f>_xlfn.FORECAST.LINEAR(L8,$E$6:$F$6,$E$2:$F$2)</f>
        <v/>
      </c>
      <c r="M9">
        <f>_xlfn.FORECAST.LINEAR(M8,$E$6:$F$6,$E$2:$F$2)</f>
        <v/>
      </c>
      <c r="N9">
        <f>_xlfn.FORECAST.LINEAR(N8,$E$6:$F$6,$E$2:$F$2)</f>
        <v/>
      </c>
      <c r="O9">
        <f>_xlfn.FORECAST.LINEAR(O8,$E$6:$F$6,$E$2:$F$2)</f>
        <v/>
      </c>
      <c r="P9">
        <f>_xlfn.FORECAST.LINEAR(P8,$E$6:$F$6,$E$2:$F$2)</f>
        <v/>
      </c>
      <c r="Q9">
        <f>_xlfn.FORECAST.LINEAR(Q8,$F$6:$G$6,$F$2:$G$2)</f>
        <v/>
      </c>
      <c r="R9">
        <f>_xlfn.FORECAST.LINEAR(R8,$F$6:$G$6,$F$2:$G$2)</f>
        <v/>
      </c>
      <c r="S9">
        <f>_xlfn.FORECAST.LINEAR(S8,$F$6:$G$6,$F$2:$G$2)</f>
        <v/>
      </c>
      <c r="T9">
        <f>_xlfn.FORECAST.LINEAR(T8,$F$6:$G$6,$F$2:$G$2)</f>
        <v/>
      </c>
      <c r="U9">
        <f>_xlfn.FORECAST.LINEAR(U8,$F$6:$G$6,$F$2:$G$2)</f>
        <v/>
      </c>
      <c r="V9">
        <f>_xlfn.FORECAST.LINEAR(V8,$F$6:$G$6,$F$2:$G$2)</f>
        <v/>
      </c>
      <c r="W9">
        <f>_xlfn.FORECAST.LINEAR(W8,$F$6:$G$6,$F$2:$G$2)</f>
        <v/>
      </c>
      <c r="X9">
        <f>_xlfn.FORECAST.LINEAR(X8,$F$6:$G$6,$F$2:$G$2)</f>
        <v/>
      </c>
      <c r="Y9">
        <f>_xlfn.FORECAST.LINEAR(Y8,$F$6:$G$6,$F$2:$G$2)</f>
        <v/>
      </c>
      <c r="Z9">
        <f>_xlfn.FORECAST.LINEAR(Z8,$F$6:$G$6,$F$2:$G$2)</f>
        <v/>
      </c>
      <c r="AA9">
        <f>_xlfn.FORECAST.LINEAR(AA8,$G$6:$H$6,$G$2:$H$2)</f>
        <v/>
      </c>
      <c r="AB9">
        <f>_xlfn.FORECAST.LINEAR(AB8,$G$6:$H$6,$G$2:$H$2)</f>
        <v/>
      </c>
      <c r="AC9">
        <f>_xlfn.FORECAST.LINEAR(AC8,$G$6:$H$6,$G$2:$H$2)</f>
        <v/>
      </c>
      <c r="AD9">
        <f>_xlfn.FORECAST.LINEAR(AD8,$G$6:$H$6,$G$2:$H$2)</f>
        <v/>
      </c>
      <c r="AE9">
        <f>_xlfn.FORECAST.LINEAR(AE8,$G$6:$H$6,$G$2:$H$2)</f>
        <v/>
      </c>
      <c r="AF9">
        <f>_xlfn.FORECAST.LINEAR(AF8,$G$6:$H$6,$G$2:$H$2)</f>
        <v/>
      </c>
      <c r="AG9">
        <f>_xlfn.FORECAST.LINEAR(AG8,$G$6:$H$6,$G$2:$H$2)</f>
        <v/>
      </c>
      <c r="AH9">
        <f>_xlfn.FORECAST.LINEAR(AH8,$G$6:$H$6,$G$2:$H$2)</f>
        <v/>
      </c>
      <c r="AI9">
        <f>_xlfn.FORECAST.LINEAR(AI8,$G$6:$H$6,$G$2:$H$2)</f>
        <v/>
      </c>
      <c r="AJ9">
        <f>_xlfn.FORECAST.LINEAR(AJ8,$G$6:$H$6,$G$2:$H$2)</f>
        <v/>
      </c>
    </row>
    <row r="10">
      <c r="B10" s="74" t="n"/>
    </row>
    <row r="11">
      <c r="B11" s="74" t="n"/>
    </row>
    <row r="12">
      <c r="B12" s="75" t="n"/>
    </row>
  </sheetData>
  <pageMargins left="0.7" right="0.7" top="0.75" bottom="0.75" header="0.3" footer="0.3"/>
  <pageSetup orientation="portrait"/>
</worksheet>
</file>

<file path=xl/worksheets/sheet10.xml><?xml version="1.0" encoding="utf-8"?>
<worksheet xmlns="http://schemas.openxmlformats.org/spreadsheetml/2006/main">
  <sheetPr>
    <tabColor theme="9"/>
    <outlinePr summaryBelow="1" summaryRight="1"/>
    <pageSetUpPr/>
  </sheetPr>
  <dimension ref="A1:A1"/>
  <sheetViews>
    <sheetView workbookViewId="0">
      <selection activeCell="A1" sqref="A1"/>
    </sheetView>
  </sheetViews>
  <sheetFormatPr baseColWidth="8" defaultRowHeight="14.25"/>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AG67"/>
  <sheetViews>
    <sheetView tabSelected="1" zoomScale="85" zoomScaleNormal="85" workbookViewId="0">
      <selection activeCell="A7" sqref="A7"/>
    </sheetView>
  </sheetViews>
  <sheetFormatPr baseColWidth="8" defaultRowHeight="14.25"/>
  <cols>
    <col width="48.19921875" customWidth="1" min="1" max="1"/>
    <col width="75.73046875" customWidth="1" min="2" max="2"/>
    <col width="48.19921875" bestFit="1" customWidth="1" min="3" max="3"/>
    <col hidden="1" width="11.53125" customWidth="1" min="4" max="4"/>
    <col hidden="1" width="19.19921875" customWidth="1" min="5" max="5"/>
    <col hidden="1" width="27.265625" customWidth="1" min="6" max="6"/>
    <col width="10.796875" customWidth="1" style="44" min="7" max="7"/>
    <col width="10.796875" customWidth="1" min="8" max="33"/>
  </cols>
  <sheetData>
    <row r="1">
      <c r="A1" s="54" t="inlineStr">
        <is>
          <t>AEO CODE</t>
        </is>
      </c>
      <c r="B1" s="54" t="inlineStr">
        <is>
          <t>Variables</t>
        </is>
      </c>
      <c r="C1" s="54" t="inlineStr">
        <is>
          <t>Combined Code</t>
        </is>
      </c>
      <c r="D1" s="54" t="inlineStr">
        <is>
          <t>Variables</t>
        </is>
      </c>
      <c r="E1" s="54" t="inlineStr">
        <is>
          <t>EPS-end use</t>
        </is>
      </c>
      <c r="F1" s="54" t="inlineStr">
        <is>
          <t>EPS-fuel</t>
        </is>
      </c>
      <c r="G1" s="55" t="n">
        <v>2024</v>
      </c>
      <c r="H1" s="54" t="n">
        <v>2025</v>
      </c>
      <c r="I1" s="54" t="n">
        <v>2026</v>
      </c>
      <c r="J1" s="54" t="n">
        <v>2027</v>
      </c>
      <c r="K1" s="54" t="n">
        <v>2028</v>
      </c>
      <c r="L1" s="54" t="n">
        <v>2029</v>
      </c>
      <c r="M1" s="54" t="n">
        <v>2030</v>
      </c>
      <c r="N1" s="54" t="n">
        <v>2031</v>
      </c>
      <c r="O1" s="54" t="n">
        <v>2032</v>
      </c>
      <c r="P1" s="54" t="n">
        <v>2033</v>
      </c>
      <c r="Q1" s="54" t="n">
        <v>2034</v>
      </c>
      <c r="R1" s="54" t="n">
        <v>2035</v>
      </c>
      <c r="S1" s="54" t="n">
        <v>2036</v>
      </c>
      <c r="T1" s="54" t="n">
        <v>2037</v>
      </c>
      <c r="U1" s="54" t="n">
        <v>2038</v>
      </c>
      <c r="V1" s="54" t="n">
        <v>2039</v>
      </c>
      <c r="W1" s="54" t="n">
        <v>2040</v>
      </c>
      <c r="X1" s="54" t="n">
        <v>2041</v>
      </c>
      <c r="Y1" s="54" t="n">
        <v>2042</v>
      </c>
      <c r="Z1" s="54" t="n">
        <v>2043</v>
      </c>
      <c r="AA1" s="54" t="n">
        <v>2044</v>
      </c>
      <c r="AB1" s="54" t="n">
        <v>2045</v>
      </c>
      <c r="AC1" s="54" t="n">
        <v>2046</v>
      </c>
      <c r="AD1" s="54" t="n">
        <v>2047</v>
      </c>
      <c r="AE1" s="54" t="n">
        <v>2048</v>
      </c>
      <c r="AF1" s="54" t="n">
        <v>2049</v>
      </c>
      <c r="AG1" s="54" t="n">
        <v>2050</v>
      </c>
    </row>
    <row r="2">
      <c r="A2" s="45" t="n"/>
      <c r="B2" s="45" t="inlineStr">
        <is>
          <t>AEO Table 4</t>
        </is>
      </c>
      <c r="C2" s="45" t="n"/>
      <c r="D2" s="45" t="n"/>
      <c r="E2" s="45" t="n"/>
      <c r="F2" s="45" t="n"/>
      <c r="G2" s="46" t="n"/>
      <c r="H2" s="45" t="n"/>
      <c r="I2" s="45" t="n"/>
      <c r="J2" s="45" t="n"/>
      <c r="K2" s="45" t="n"/>
      <c r="L2" s="45" t="n"/>
      <c r="M2" s="45" t="n"/>
      <c r="N2" s="45" t="n"/>
      <c r="O2" s="45" t="n"/>
      <c r="P2" s="45" t="n"/>
      <c r="Q2" s="45" t="n"/>
      <c r="R2" s="45" t="n"/>
      <c r="S2" s="45" t="n"/>
      <c r="T2" s="45" t="n"/>
      <c r="U2" s="45" t="n"/>
      <c r="V2" s="45" t="n"/>
      <c r="W2" s="45" t="n"/>
      <c r="X2" s="45" t="n"/>
      <c r="Y2" s="45" t="n"/>
      <c r="Z2" s="45" t="n"/>
      <c r="AA2" s="45" t="n"/>
      <c r="AB2" s="45" t="n"/>
      <c r="AC2" s="45" t="n"/>
      <c r="AD2" s="45" t="n"/>
      <c r="AE2" s="45" t="n"/>
      <c r="AF2" s="45" t="n"/>
      <c r="AG2" s="45" t="n"/>
    </row>
    <row r="3">
      <c r="A3" t="inlineStr">
        <is>
          <t>Residential: Electricity: Space Heating: Alternative Electricity and Transportation</t>
        </is>
      </c>
      <c r="B3" t="inlineStr">
        <is>
          <t>Residential: Electricity: Space Heating: High Zero-Carbon Technology Cost</t>
        </is>
      </c>
      <c r="C3">
        <f>D3&amp;"-"&amp;E3&amp;"-"&amp;F3</f>
        <v/>
      </c>
      <c r="D3" t="inlineStr">
        <is>
          <t>residential</t>
        </is>
      </c>
      <c r="E3" t="inlineStr">
        <is>
          <t>heating</t>
        </is>
      </c>
      <c r="F3" s="1" t="inlineStr">
        <is>
          <t>electricity (BTU)</t>
        </is>
      </c>
      <c r="G3" s="44">
        <f>INDEX(Table_4._Residential_Sector_Key!$F$8:$AG$125,MATCH($B3,Table_4._Residential_Sector_Key!$B$8:$B$125,0),MATCH(G$1,Table_4._Residential_Sector_Key!$F$5:$AG$5,0))</f>
        <v/>
      </c>
      <c r="H3">
        <f>INDEX('AEO 2026 Table 4'!$E$6:$AD$125,MATCH($A3,'AEO 2026 Table 4'!$B$6:$B$125,0),MATCH(H$1,'AEO 2026 Table 4'!$E$5:$AD$5,0))</f>
        <v/>
      </c>
      <c r="I3">
        <f>INDEX('AEO 2026 Table 4'!$E$6:$AD$125,MATCH($A3,'AEO 2026 Table 4'!$B$6:$B$125,0),MATCH(I$1,'AEO 2026 Table 4'!$E$5:$AD$5,0))</f>
        <v/>
      </c>
      <c r="J3">
        <f>INDEX('AEO 2026 Table 4'!$E$6:$AD$125,MATCH($A3,'AEO 2026 Table 4'!$B$6:$B$125,0),MATCH(J$1,'AEO 2026 Table 4'!$E$5:$AD$5,0))</f>
        <v/>
      </c>
      <c r="K3">
        <f>INDEX('AEO 2026 Table 4'!$E$6:$AD$125,MATCH($A3,'AEO 2026 Table 4'!$B$6:$B$125,0),MATCH(K$1,'AEO 2026 Table 4'!$E$5:$AD$5,0))</f>
        <v/>
      </c>
      <c r="L3">
        <f>INDEX('AEO 2026 Table 4'!$E$6:$AD$125,MATCH($A3,'AEO 2026 Table 4'!$B$6:$B$125,0),MATCH(L$1,'AEO 2026 Table 4'!$E$5:$AD$5,0))</f>
        <v/>
      </c>
      <c r="M3">
        <f>INDEX('AEO 2026 Table 4'!$E$6:$AD$125,MATCH($A3,'AEO 2026 Table 4'!$B$6:$B$125,0),MATCH(M$1,'AEO 2026 Table 4'!$E$5:$AD$5,0))</f>
        <v/>
      </c>
      <c r="N3">
        <f>INDEX('AEO 2026 Table 4'!$E$6:$AD$125,MATCH($A3,'AEO 2026 Table 4'!$B$6:$B$125,0),MATCH(N$1,'AEO 2026 Table 4'!$E$5:$AD$5,0))</f>
        <v/>
      </c>
      <c r="O3">
        <f>INDEX('AEO 2026 Table 4'!$E$6:$AD$125,MATCH($A3,'AEO 2026 Table 4'!$B$6:$B$125,0),MATCH(O$1,'AEO 2026 Table 4'!$E$5:$AD$5,0))</f>
        <v/>
      </c>
      <c r="P3">
        <f>INDEX('AEO 2026 Table 4'!$E$6:$AD$125,MATCH($A3,'AEO 2026 Table 4'!$B$6:$B$125,0),MATCH(P$1,'AEO 2026 Table 4'!$E$5:$AD$5,0))</f>
        <v/>
      </c>
      <c r="Q3">
        <f>INDEX('AEO 2026 Table 4'!$E$6:$AD$125,MATCH($A3,'AEO 2026 Table 4'!$B$6:$B$125,0),MATCH(Q$1,'AEO 2026 Table 4'!$E$5:$AD$5,0))</f>
        <v/>
      </c>
      <c r="R3">
        <f>INDEX('AEO 2026 Table 4'!$E$6:$AD$125,MATCH($A3,'AEO 2026 Table 4'!$B$6:$B$125,0),MATCH(R$1,'AEO 2026 Table 4'!$E$5:$AD$5,0))</f>
        <v/>
      </c>
      <c r="S3">
        <f>INDEX('AEO 2026 Table 4'!$E$6:$AD$125,MATCH($A3,'AEO 2026 Table 4'!$B$6:$B$125,0),MATCH(S$1,'AEO 2026 Table 4'!$E$5:$AD$5,0))</f>
        <v/>
      </c>
      <c r="T3">
        <f>INDEX('AEO 2026 Table 4'!$E$6:$AD$125,MATCH($A3,'AEO 2026 Table 4'!$B$6:$B$125,0),MATCH(T$1,'AEO 2026 Table 4'!$E$5:$AD$5,0))</f>
        <v/>
      </c>
      <c r="U3">
        <f>INDEX('AEO 2026 Table 4'!$E$6:$AD$125,MATCH($A3,'AEO 2026 Table 4'!$B$6:$B$125,0),MATCH(U$1,'AEO 2026 Table 4'!$E$5:$AD$5,0))</f>
        <v/>
      </c>
      <c r="V3">
        <f>INDEX('AEO 2026 Table 4'!$E$6:$AD$125,MATCH($A3,'AEO 2026 Table 4'!$B$6:$B$125,0),MATCH(V$1,'AEO 2026 Table 4'!$E$5:$AD$5,0))</f>
        <v/>
      </c>
      <c r="W3">
        <f>INDEX('AEO 2026 Table 4'!$E$6:$AD$125,MATCH($A3,'AEO 2026 Table 4'!$B$6:$B$125,0),MATCH(W$1,'AEO 2026 Table 4'!$E$5:$AD$5,0))</f>
        <v/>
      </c>
      <c r="X3">
        <f>INDEX('AEO 2026 Table 4'!$E$6:$AD$125,MATCH($A3,'AEO 2026 Table 4'!$B$6:$B$125,0),MATCH(X$1,'AEO 2026 Table 4'!$E$5:$AD$5,0))</f>
        <v/>
      </c>
      <c r="Y3">
        <f>INDEX('AEO 2026 Table 4'!$E$6:$AD$125,MATCH($A3,'AEO 2026 Table 4'!$B$6:$B$125,0),MATCH(Y$1,'AEO 2026 Table 4'!$E$5:$AD$5,0))</f>
        <v/>
      </c>
      <c r="Z3">
        <f>INDEX('AEO 2026 Table 4'!$E$6:$AD$125,MATCH($A3,'AEO 2026 Table 4'!$B$6:$B$125,0),MATCH(Z$1,'AEO 2026 Table 4'!$E$5:$AD$5,0))</f>
        <v/>
      </c>
      <c r="AA3">
        <f>INDEX('AEO 2026 Table 4'!$E$6:$AD$125,MATCH($A3,'AEO 2026 Table 4'!$B$6:$B$125,0),MATCH(AA$1,'AEO 2026 Table 4'!$E$5:$AD$5,0))</f>
        <v/>
      </c>
      <c r="AB3">
        <f>INDEX('AEO 2026 Table 4'!$E$6:$AD$125,MATCH($A3,'AEO 2026 Table 4'!$B$6:$B$125,0),MATCH(AB$1,'AEO 2026 Table 4'!$E$5:$AD$5,0))</f>
        <v/>
      </c>
      <c r="AC3">
        <f>INDEX('AEO 2026 Table 4'!$E$6:$AD$125,MATCH($A3,'AEO 2026 Table 4'!$B$6:$B$125,0),MATCH(AC$1,'AEO 2026 Table 4'!$E$5:$AD$5,0))</f>
        <v/>
      </c>
      <c r="AD3">
        <f>INDEX('AEO 2026 Table 4'!$E$6:$AD$125,MATCH($A3,'AEO 2026 Table 4'!$B$6:$B$125,0),MATCH(AD$1,'AEO 2026 Table 4'!$E$5:$AD$5,0))</f>
        <v/>
      </c>
      <c r="AE3">
        <f>INDEX('AEO 2026 Table 4'!$E$6:$AD$125,MATCH($A3,'AEO 2026 Table 4'!$B$6:$B$125,0),MATCH(AE$1,'AEO 2026 Table 4'!$E$5:$AD$5,0))</f>
        <v/>
      </c>
      <c r="AF3">
        <f>INDEX('AEO 2026 Table 4'!$E$6:$AD$125,MATCH($A3,'AEO 2026 Table 4'!$B$6:$B$125,0),MATCH(AF$1,'AEO 2026 Table 4'!$E$5:$AD$5,0))</f>
        <v/>
      </c>
      <c r="AG3">
        <f>INDEX('AEO 2026 Table 4'!$E$6:$AD$125,MATCH($A3,'AEO 2026 Table 4'!$B$6:$B$125,0),MATCH(AG$1,'AEO 2026 Table 4'!$E$5:$AD$5,0))</f>
        <v/>
      </c>
    </row>
    <row r="4">
      <c r="A4" t="inlineStr">
        <is>
          <t>Residential: Electricity: Space Cooling: Alternative Electricity and Transportation</t>
        </is>
      </c>
      <c r="B4" t="inlineStr">
        <is>
          <t>Residential: Electricity: Space Cooling: High Zero-Carbon Technology Cost</t>
        </is>
      </c>
      <c r="C4">
        <f>D4&amp;"-"&amp;E4&amp;"-"&amp;F4</f>
        <v/>
      </c>
      <c r="D4" t="inlineStr">
        <is>
          <t>residential</t>
        </is>
      </c>
      <c r="E4" t="inlineStr">
        <is>
          <t>cooling</t>
        </is>
      </c>
      <c r="F4" s="1" t="inlineStr">
        <is>
          <t>electricity (BTU)</t>
        </is>
      </c>
      <c r="G4" s="44">
        <f>INDEX(Table_4._Residential_Sector_Key!$F$8:$AG$125,MATCH($B4,Table_4._Residential_Sector_Key!$B$8:$B$125,0),MATCH(G$1,Table_4._Residential_Sector_Key!$F$5:$AG$5,0))</f>
        <v/>
      </c>
      <c r="H4">
        <f>INDEX('AEO 2026 Table 4'!$E$6:$AD$125,MATCH($A4,'AEO 2026 Table 4'!$B$6:$B$125,0),MATCH(H$1,'AEO 2026 Table 4'!$E$5:$AD$5,0))</f>
        <v/>
      </c>
      <c r="I4">
        <f>INDEX('AEO 2026 Table 4'!$E$6:$AD$125,MATCH($A4,'AEO 2026 Table 4'!$B$6:$B$125,0),MATCH(I$1,'AEO 2026 Table 4'!$E$5:$AD$5,0))</f>
        <v/>
      </c>
      <c r="J4">
        <f>INDEX('AEO 2026 Table 4'!$E$6:$AD$125,MATCH($A4,'AEO 2026 Table 4'!$B$6:$B$125,0),MATCH(J$1,'AEO 2026 Table 4'!$E$5:$AD$5,0))</f>
        <v/>
      </c>
      <c r="K4">
        <f>INDEX('AEO 2026 Table 4'!$E$6:$AD$125,MATCH($A4,'AEO 2026 Table 4'!$B$6:$B$125,0),MATCH(K$1,'AEO 2026 Table 4'!$E$5:$AD$5,0))</f>
        <v/>
      </c>
      <c r="L4">
        <f>INDEX('AEO 2026 Table 4'!$E$6:$AD$125,MATCH($A4,'AEO 2026 Table 4'!$B$6:$B$125,0),MATCH(L$1,'AEO 2026 Table 4'!$E$5:$AD$5,0))</f>
        <v/>
      </c>
      <c r="M4">
        <f>INDEX('AEO 2026 Table 4'!$E$6:$AD$125,MATCH($A4,'AEO 2026 Table 4'!$B$6:$B$125,0),MATCH(M$1,'AEO 2026 Table 4'!$E$5:$AD$5,0))</f>
        <v/>
      </c>
      <c r="N4">
        <f>INDEX('AEO 2026 Table 4'!$E$6:$AD$125,MATCH($A4,'AEO 2026 Table 4'!$B$6:$B$125,0),MATCH(N$1,'AEO 2026 Table 4'!$E$5:$AD$5,0))</f>
        <v/>
      </c>
      <c r="O4">
        <f>INDEX('AEO 2026 Table 4'!$E$6:$AD$125,MATCH($A4,'AEO 2026 Table 4'!$B$6:$B$125,0),MATCH(O$1,'AEO 2026 Table 4'!$E$5:$AD$5,0))</f>
        <v/>
      </c>
      <c r="P4">
        <f>INDEX('AEO 2026 Table 4'!$E$6:$AD$125,MATCH($A4,'AEO 2026 Table 4'!$B$6:$B$125,0),MATCH(P$1,'AEO 2026 Table 4'!$E$5:$AD$5,0))</f>
        <v/>
      </c>
      <c r="Q4">
        <f>INDEX('AEO 2026 Table 4'!$E$6:$AD$125,MATCH($A4,'AEO 2026 Table 4'!$B$6:$B$125,0),MATCH(Q$1,'AEO 2026 Table 4'!$E$5:$AD$5,0))</f>
        <v/>
      </c>
      <c r="R4">
        <f>INDEX('AEO 2026 Table 4'!$E$6:$AD$125,MATCH($A4,'AEO 2026 Table 4'!$B$6:$B$125,0),MATCH(R$1,'AEO 2026 Table 4'!$E$5:$AD$5,0))</f>
        <v/>
      </c>
      <c r="S4">
        <f>INDEX('AEO 2026 Table 4'!$E$6:$AD$125,MATCH($A4,'AEO 2026 Table 4'!$B$6:$B$125,0),MATCH(S$1,'AEO 2026 Table 4'!$E$5:$AD$5,0))</f>
        <v/>
      </c>
      <c r="T4">
        <f>INDEX('AEO 2026 Table 4'!$E$6:$AD$125,MATCH($A4,'AEO 2026 Table 4'!$B$6:$B$125,0),MATCH(T$1,'AEO 2026 Table 4'!$E$5:$AD$5,0))</f>
        <v/>
      </c>
      <c r="U4">
        <f>INDEX('AEO 2026 Table 4'!$E$6:$AD$125,MATCH($A4,'AEO 2026 Table 4'!$B$6:$B$125,0),MATCH(U$1,'AEO 2026 Table 4'!$E$5:$AD$5,0))</f>
        <v/>
      </c>
      <c r="V4">
        <f>INDEX('AEO 2026 Table 4'!$E$6:$AD$125,MATCH($A4,'AEO 2026 Table 4'!$B$6:$B$125,0),MATCH(V$1,'AEO 2026 Table 4'!$E$5:$AD$5,0))</f>
        <v/>
      </c>
      <c r="W4">
        <f>INDEX('AEO 2026 Table 4'!$E$6:$AD$125,MATCH($A4,'AEO 2026 Table 4'!$B$6:$B$125,0),MATCH(W$1,'AEO 2026 Table 4'!$E$5:$AD$5,0))</f>
        <v/>
      </c>
      <c r="X4">
        <f>INDEX('AEO 2026 Table 4'!$E$6:$AD$125,MATCH($A4,'AEO 2026 Table 4'!$B$6:$B$125,0),MATCH(X$1,'AEO 2026 Table 4'!$E$5:$AD$5,0))</f>
        <v/>
      </c>
      <c r="Y4">
        <f>INDEX('AEO 2026 Table 4'!$E$6:$AD$125,MATCH($A4,'AEO 2026 Table 4'!$B$6:$B$125,0),MATCH(Y$1,'AEO 2026 Table 4'!$E$5:$AD$5,0))</f>
        <v/>
      </c>
      <c r="Z4">
        <f>INDEX('AEO 2026 Table 4'!$E$6:$AD$125,MATCH($A4,'AEO 2026 Table 4'!$B$6:$B$125,0),MATCH(Z$1,'AEO 2026 Table 4'!$E$5:$AD$5,0))</f>
        <v/>
      </c>
      <c r="AA4">
        <f>INDEX('AEO 2026 Table 4'!$E$6:$AD$125,MATCH($A4,'AEO 2026 Table 4'!$B$6:$B$125,0),MATCH(AA$1,'AEO 2026 Table 4'!$E$5:$AD$5,0))</f>
        <v/>
      </c>
      <c r="AB4">
        <f>INDEX('AEO 2026 Table 4'!$E$6:$AD$125,MATCH($A4,'AEO 2026 Table 4'!$B$6:$B$125,0),MATCH(AB$1,'AEO 2026 Table 4'!$E$5:$AD$5,0))</f>
        <v/>
      </c>
      <c r="AC4">
        <f>INDEX('AEO 2026 Table 4'!$E$6:$AD$125,MATCH($A4,'AEO 2026 Table 4'!$B$6:$B$125,0),MATCH(AC$1,'AEO 2026 Table 4'!$E$5:$AD$5,0))</f>
        <v/>
      </c>
      <c r="AD4">
        <f>INDEX('AEO 2026 Table 4'!$E$6:$AD$125,MATCH($A4,'AEO 2026 Table 4'!$B$6:$B$125,0),MATCH(AD$1,'AEO 2026 Table 4'!$E$5:$AD$5,0))</f>
        <v/>
      </c>
      <c r="AE4">
        <f>INDEX('AEO 2026 Table 4'!$E$6:$AD$125,MATCH($A4,'AEO 2026 Table 4'!$B$6:$B$125,0),MATCH(AE$1,'AEO 2026 Table 4'!$E$5:$AD$5,0))</f>
        <v/>
      </c>
      <c r="AF4">
        <f>INDEX('AEO 2026 Table 4'!$E$6:$AD$125,MATCH($A4,'AEO 2026 Table 4'!$B$6:$B$125,0),MATCH(AF$1,'AEO 2026 Table 4'!$E$5:$AD$5,0))</f>
        <v/>
      </c>
      <c r="AG4">
        <f>INDEX('AEO 2026 Table 4'!$E$6:$AD$125,MATCH($A4,'AEO 2026 Table 4'!$B$6:$B$125,0),MATCH(AG$1,'AEO 2026 Table 4'!$E$5:$AD$5,0))</f>
        <v/>
      </c>
    </row>
    <row r="5">
      <c r="A5" t="inlineStr">
        <is>
          <t>Residential: Electricity: Water Heating: Alternative Electricity and Transportation</t>
        </is>
      </c>
      <c r="B5" t="inlineStr">
        <is>
          <t>Residential: Electricity: Water Heating: High Zero-Carbon Technology Cost</t>
        </is>
      </c>
      <c r="C5">
        <f>D5&amp;"-"&amp;E5&amp;"-"&amp;F5</f>
        <v/>
      </c>
      <c r="D5" t="inlineStr">
        <is>
          <t>residential</t>
        </is>
      </c>
      <c r="E5" t="inlineStr">
        <is>
          <t>appliances</t>
        </is>
      </c>
      <c r="F5" s="1" t="inlineStr">
        <is>
          <t>electricity (BTU)</t>
        </is>
      </c>
      <c r="G5" s="44">
        <f>INDEX(Table_4._Residential_Sector_Key!$F$8:$AG$125,MATCH($B5,Table_4._Residential_Sector_Key!$B$8:$B$125,0),MATCH(G$1,Table_4._Residential_Sector_Key!$F$5:$AG$5,0))</f>
        <v/>
      </c>
      <c r="H5">
        <f>INDEX('AEO 2026 Table 4'!$E$6:$AD$125,MATCH($A5,'AEO 2026 Table 4'!$B$6:$B$125,0),MATCH(H$1,'AEO 2026 Table 4'!$E$5:$AD$5,0))</f>
        <v/>
      </c>
      <c r="I5">
        <f>INDEX('AEO 2026 Table 4'!$E$6:$AD$125,MATCH($A5,'AEO 2026 Table 4'!$B$6:$B$125,0),MATCH(I$1,'AEO 2026 Table 4'!$E$5:$AD$5,0))</f>
        <v/>
      </c>
      <c r="J5">
        <f>INDEX('AEO 2026 Table 4'!$E$6:$AD$125,MATCH($A5,'AEO 2026 Table 4'!$B$6:$B$125,0),MATCH(J$1,'AEO 2026 Table 4'!$E$5:$AD$5,0))</f>
        <v/>
      </c>
      <c r="K5">
        <f>INDEX('AEO 2026 Table 4'!$E$6:$AD$125,MATCH($A5,'AEO 2026 Table 4'!$B$6:$B$125,0),MATCH(K$1,'AEO 2026 Table 4'!$E$5:$AD$5,0))</f>
        <v/>
      </c>
      <c r="L5">
        <f>INDEX('AEO 2026 Table 4'!$E$6:$AD$125,MATCH($A5,'AEO 2026 Table 4'!$B$6:$B$125,0),MATCH(L$1,'AEO 2026 Table 4'!$E$5:$AD$5,0))</f>
        <v/>
      </c>
      <c r="M5">
        <f>INDEX('AEO 2026 Table 4'!$E$6:$AD$125,MATCH($A5,'AEO 2026 Table 4'!$B$6:$B$125,0),MATCH(M$1,'AEO 2026 Table 4'!$E$5:$AD$5,0))</f>
        <v/>
      </c>
      <c r="N5">
        <f>INDEX('AEO 2026 Table 4'!$E$6:$AD$125,MATCH($A5,'AEO 2026 Table 4'!$B$6:$B$125,0),MATCH(N$1,'AEO 2026 Table 4'!$E$5:$AD$5,0))</f>
        <v/>
      </c>
      <c r="O5">
        <f>INDEX('AEO 2026 Table 4'!$E$6:$AD$125,MATCH($A5,'AEO 2026 Table 4'!$B$6:$B$125,0),MATCH(O$1,'AEO 2026 Table 4'!$E$5:$AD$5,0))</f>
        <v/>
      </c>
      <c r="P5">
        <f>INDEX('AEO 2026 Table 4'!$E$6:$AD$125,MATCH($A5,'AEO 2026 Table 4'!$B$6:$B$125,0),MATCH(P$1,'AEO 2026 Table 4'!$E$5:$AD$5,0))</f>
        <v/>
      </c>
      <c r="Q5">
        <f>INDEX('AEO 2026 Table 4'!$E$6:$AD$125,MATCH($A5,'AEO 2026 Table 4'!$B$6:$B$125,0),MATCH(Q$1,'AEO 2026 Table 4'!$E$5:$AD$5,0))</f>
        <v/>
      </c>
      <c r="R5">
        <f>INDEX('AEO 2026 Table 4'!$E$6:$AD$125,MATCH($A5,'AEO 2026 Table 4'!$B$6:$B$125,0),MATCH(R$1,'AEO 2026 Table 4'!$E$5:$AD$5,0))</f>
        <v/>
      </c>
      <c r="S5">
        <f>INDEX('AEO 2026 Table 4'!$E$6:$AD$125,MATCH($A5,'AEO 2026 Table 4'!$B$6:$B$125,0),MATCH(S$1,'AEO 2026 Table 4'!$E$5:$AD$5,0))</f>
        <v/>
      </c>
      <c r="T5">
        <f>INDEX('AEO 2026 Table 4'!$E$6:$AD$125,MATCH($A5,'AEO 2026 Table 4'!$B$6:$B$125,0),MATCH(T$1,'AEO 2026 Table 4'!$E$5:$AD$5,0))</f>
        <v/>
      </c>
      <c r="U5">
        <f>INDEX('AEO 2026 Table 4'!$E$6:$AD$125,MATCH($A5,'AEO 2026 Table 4'!$B$6:$B$125,0),MATCH(U$1,'AEO 2026 Table 4'!$E$5:$AD$5,0))</f>
        <v/>
      </c>
      <c r="V5">
        <f>INDEX('AEO 2026 Table 4'!$E$6:$AD$125,MATCH($A5,'AEO 2026 Table 4'!$B$6:$B$125,0),MATCH(V$1,'AEO 2026 Table 4'!$E$5:$AD$5,0))</f>
        <v/>
      </c>
      <c r="W5">
        <f>INDEX('AEO 2026 Table 4'!$E$6:$AD$125,MATCH($A5,'AEO 2026 Table 4'!$B$6:$B$125,0),MATCH(W$1,'AEO 2026 Table 4'!$E$5:$AD$5,0))</f>
        <v/>
      </c>
      <c r="X5">
        <f>INDEX('AEO 2026 Table 4'!$E$6:$AD$125,MATCH($A5,'AEO 2026 Table 4'!$B$6:$B$125,0),MATCH(X$1,'AEO 2026 Table 4'!$E$5:$AD$5,0))</f>
        <v/>
      </c>
      <c r="Y5">
        <f>INDEX('AEO 2026 Table 4'!$E$6:$AD$125,MATCH($A5,'AEO 2026 Table 4'!$B$6:$B$125,0),MATCH(Y$1,'AEO 2026 Table 4'!$E$5:$AD$5,0))</f>
        <v/>
      </c>
      <c r="Z5">
        <f>INDEX('AEO 2026 Table 4'!$E$6:$AD$125,MATCH($A5,'AEO 2026 Table 4'!$B$6:$B$125,0),MATCH(Z$1,'AEO 2026 Table 4'!$E$5:$AD$5,0))</f>
        <v/>
      </c>
      <c r="AA5">
        <f>INDEX('AEO 2026 Table 4'!$E$6:$AD$125,MATCH($A5,'AEO 2026 Table 4'!$B$6:$B$125,0),MATCH(AA$1,'AEO 2026 Table 4'!$E$5:$AD$5,0))</f>
        <v/>
      </c>
      <c r="AB5">
        <f>INDEX('AEO 2026 Table 4'!$E$6:$AD$125,MATCH($A5,'AEO 2026 Table 4'!$B$6:$B$125,0),MATCH(AB$1,'AEO 2026 Table 4'!$E$5:$AD$5,0))</f>
        <v/>
      </c>
      <c r="AC5">
        <f>INDEX('AEO 2026 Table 4'!$E$6:$AD$125,MATCH($A5,'AEO 2026 Table 4'!$B$6:$B$125,0),MATCH(AC$1,'AEO 2026 Table 4'!$E$5:$AD$5,0))</f>
        <v/>
      </c>
      <c r="AD5">
        <f>INDEX('AEO 2026 Table 4'!$E$6:$AD$125,MATCH($A5,'AEO 2026 Table 4'!$B$6:$B$125,0),MATCH(AD$1,'AEO 2026 Table 4'!$E$5:$AD$5,0))</f>
        <v/>
      </c>
      <c r="AE5">
        <f>INDEX('AEO 2026 Table 4'!$E$6:$AD$125,MATCH($A5,'AEO 2026 Table 4'!$B$6:$B$125,0),MATCH(AE$1,'AEO 2026 Table 4'!$E$5:$AD$5,0))</f>
        <v/>
      </c>
      <c r="AF5">
        <f>INDEX('AEO 2026 Table 4'!$E$6:$AD$125,MATCH($A5,'AEO 2026 Table 4'!$B$6:$B$125,0),MATCH(AF$1,'AEO 2026 Table 4'!$E$5:$AD$5,0))</f>
        <v/>
      </c>
      <c r="AG5">
        <f>INDEX('AEO 2026 Table 4'!$E$6:$AD$125,MATCH($A5,'AEO 2026 Table 4'!$B$6:$B$125,0),MATCH(AG$1,'AEO 2026 Table 4'!$E$5:$AD$5,0))</f>
        <v/>
      </c>
    </row>
    <row r="6">
      <c r="A6" t="inlineStr">
        <is>
          <t>Residential: Electricity: Refrigeration: Alternative Electricity and Transportation</t>
        </is>
      </c>
      <c r="B6" t="inlineStr">
        <is>
          <t>Residential: Electricity: Refrigeration: High Zero-Carbon Technology Cost</t>
        </is>
      </c>
      <c r="C6">
        <f>D6&amp;"-"&amp;E6&amp;"-"&amp;F6</f>
        <v/>
      </c>
      <c r="D6" t="inlineStr">
        <is>
          <t>residential</t>
        </is>
      </c>
      <c r="E6" t="inlineStr">
        <is>
          <t>appliances</t>
        </is>
      </c>
      <c r="F6" s="1" t="inlineStr">
        <is>
          <t>electricity (BTU)</t>
        </is>
      </c>
      <c r="G6" s="44">
        <f>INDEX(Table_4._Residential_Sector_Key!$F$8:$AG$125,MATCH($B6,Table_4._Residential_Sector_Key!$B$8:$B$125,0),MATCH(G$1,Table_4._Residential_Sector_Key!$F$5:$AG$5,0))</f>
        <v/>
      </c>
      <c r="H6">
        <f>INDEX('AEO 2026 Table 4'!$E$6:$AD$125,MATCH($A6,'AEO 2026 Table 4'!$B$6:$B$125,0),MATCH(H$1,'AEO 2026 Table 4'!$E$5:$AD$5,0))</f>
        <v/>
      </c>
      <c r="I6">
        <f>INDEX('AEO 2026 Table 4'!$E$6:$AD$125,MATCH($A6,'AEO 2026 Table 4'!$B$6:$B$125,0),MATCH(I$1,'AEO 2026 Table 4'!$E$5:$AD$5,0))</f>
        <v/>
      </c>
      <c r="J6">
        <f>INDEX('AEO 2026 Table 4'!$E$6:$AD$125,MATCH($A6,'AEO 2026 Table 4'!$B$6:$B$125,0),MATCH(J$1,'AEO 2026 Table 4'!$E$5:$AD$5,0))</f>
        <v/>
      </c>
      <c r="K6">
        <f>INDEX('AEO 2026 Table 4'!$E$6:$AD$125,MATCH($A6,'AEO 2026 Table 4'!$B$6:$B$125,0),MATCH(K$1,'AEO 2026 Table 4'!$E$5:$AD$5,0))</f>
        <v/>
      </c>
      <c r="L6">
        <f>INDEX('AEO 2026 Table 4'!$E$6:$AD$125,MATCH($A6,'AEO 2026 Table 4'!$B$6:$B$125,0),MATCH(L$1,'AEO 2026 Table 4'!$E$5:$AD$5,0))</f>
        <v/>
      </c>
      <c r="M6">
        <f>INDEX('AEO 2026 Table 4'!$E$6:$AD$125,MATCH($A6,'AEO 2026 Table 4'!$B$6:$B$125,0),MATCH(M$1,'AEO 2026 Table 4'!$E$5:$AD$5,0))</f>
        <v/>
      </c>
      <c r="N6">
        <f>INDEX('AEO 2026 Table 4'!$E$6:$AD$125,MATCH($A6,'AEO 2026 Table 4'!$B$6:$B$125,0),MATCH(N$1,'AEO 2026 Table 4'!$E$5:$AD$5,0))</f>
        <v/>
      </c>
      <c r="O6">
        <f>INDEX('AEO 2026 Table 4'!$E$6:$AD$125,MATCH($A6,'AEO 2026 Table 4'!$B$6:$B$125,0),MATCH(O$1,'AEO 2026 Table 4'!$E$5:$AD$5,0))</f>
        <v/>
      </c>
      <c r="P6">
        <f>INDEX('AEO 2026 Table 4'!$E$6:$AD$125,MATCH($A6,'AEO 2026 Table 4'!$B$6:$B$125,0),MATCH(P$1,'AEO 2026 Table 4'!$E$5:$AD$5,0))</f>
        <v/>
      </c>
      <c r="Q6">
        <f>INDEX('AEO 2026 Table 4'!$E$6:$AD$125,MATCH($A6,'AEO 2026 Table 4'!$B$6:$B$125,0),MATCH(Q$1,'AEO 2026 Table 4'!$E$5:$AD$5,0))</f>
        <v/>
      </c>
      <c r="R6">
        <f>INDEX('AEO 2026 Table 4'!$E$6:$AD$125,MATCH($A6,'AEO 2026 Table 4'!$B$6:$B$125,0),MATCH(R$1,'AEO 2026 Table 4'!$E$5:$AD$5,0))</f>
        <v/>
      </c>
      <c r="S6">
        <f>INDEX('AEO 2026 Table 4'!$E$6:$AD$125,MATCH($A6,'AEO 2026 Table 4'!$B$6:$B$125,0),MATCH(S$1,'AEO 2026 Table 4'!$E$5:$AD$5,0))</f>
        <v/>
      </c>
      <c r="T6">
        <f>INDEX('AEO 2026 Table 4'!$E$6:$AD$125,MATCH($A6,'AEO 2026 Table 4'!$B$6:$B$125,0),MATCH(T$1,'AEO 2026 Table 4'!$E$5:$AD$5,0))</f>
        <v/>
      </c>
      <c r="U6">
        <f>INDEX('AEO 2026 Table 4'!$E$6:$AD$125,MATCH($A6,'AEO 2026 Table 4'!$B$6:$B$125,0),MATCH(U$1,'AEO 2026 Table 4'!$E$5:$AD$5,0))</f>
        <v/>
      </c>
      <c r="V6">
        <f>INDEX('AEO 2026 Table 4'!$E$6:$AD$125,MATCH($A6,'AEO 2026 Table 4'!$B$6:$B$125,0),MATCH(V$1,'AEO 2026 Table 4'!$E$5:$AD$5,0))</f>
        <v/>
      </c>
      <c r="W6">
        <f>INDEX('AEO 2026 Table 4'!$E$6:$AD$125,MATCH($A6,'AEO 2026 Table 4'!$B$6:$B$125,0),MATCH(W$1,'AEO 2026 Table 4'!$E$5:$AD$5,0))</f>
        <v/>
      </c>
      <c r="X6">
        <f>INDEX('AEO 2026 Table 4'!$E$6:$AD$125,MATCH($A6,'AEO 2026 Table 4'!$B$6:$B$125,0),MATCH(X$1,'AEO 2026 Table 4'!$E$5:$AD$5,0))</f>
        <v/>
      </c>
      <c r="Y6">
        <f>INDEX('AEO 2026 Table 4'!$E$6:$AD$125,MATCH($A6,'AEO 2026 Table 4'!$B$6:$B$125,0),MATCH(Y$1,'AEO 2026 Table 4'!$E$5:$AD$5,0))</f>
        <v/>
      </c>
      <c r="Z6">
        <f>INDEX('AEO 2026 Table 4'!$E$6:$AD$125,MATCH($A6,'AEO 2026 Table 4'!$B$6:$B$125,0),MATCH(Z$1,'AEO 2026 Table 4'!$E$5:$AD$5,0))</f>
        <v/>
      </c>
      <c r="AA6">
        <f>INDEX('AEO 2026 Table 4'!$E$6:$AD$125,MATCH($A6,'AEO 2026 Table 4'!$B$6:$B$125,0),MATCH(AA$1,'AEO 2026 Table 4'!$E$5:$AD$5,0))</f>
        <v/>
      </c>
      <c r="AB6">
        <f>INDEX('AEO 2026 Table 4'!$E$6:$AD$125,MATCH($A6,'AEO 2026 Table 4'!$B$6:$B$125,0),MATCH(AB$1,'AEO 2026 Table 4'!$E$5:$AD$5,0))</f>
        <v/>
      </c>
      <c r="AC6">
        <f>INDEX('AEO 2026 Table 4'!$E$6:$AD$125,MATCH($A6,'AEO 2026 Table 4'!$B$6:$B$125,0),MATCH(AC$1,'AEO 2026 Table 4'!$E$5:$AD$5,0))</f>
        <v/>
      </c>
      <c r="AD6">
        <f>INDEX('AEO 2026 Table 4'!$E$6:$AD$125,MATCH($A6,'AEO 2026 Table 4'!$B$6:$B$125,0),MATCH(AD$1,'AEO 2026 Table 4'!$E$5:$AD$5,0))</f>
        <v/>
      </c>
      <c r="AE6">
        <f>INDEX('AEO 2026 Table 4'!$E$6:$AD$125,MATCH($A6,'AEO 2026 Table 4'!$B$6:$B$125,0),MATCH(AE$1,'AEO 2026 Table 4'!$E$5:$AD$5,0))</f>
        <v/>
      </c>
      <c r="AF6">
        <f>INDEX('AEO 2026 Table 4'!$E$6:$AD$125,MATCH($A6,'AEO 2026 Table 4'!$B$6:$B$125,0),MATCH(AF$1,'AEO 2026 Table 4'!$E$5:$AD$5,0))</f>
        <v/>
      </c>
      <c r="AG6">
        <f>INDEX('AEO 2026 Table 4'!$E$6:$AD$125,MATCH($A6,'AEO 2026 Table 4'!$B$6:$B$125,0),MATCH(AG$1,'AEO 2026 Table 4'!$E$5:$AD$5,0))</f>
        <v/>
      </c>
    </row>
    <row r="7">
      <c r="A7" t="inlineStr">
        <is>
          <t>Residential: Electricity: Cooking: Alternative Electricity and Transportation</t>
        </is>
      </c>
      <c r="B7" t="inlineStr">
        <is>
          <t>Residential: Electricity: Cooking: High Zero-Carbon Technology Cost</t>
        </is>
      </c>
      <c r="C7">
        <f>D7&amp;"-"&amp;E7&amp;"-"&amp;F7</f>
        <v/>
      </c>
      <c r="D7" t="inlineStr">
        <is>
          <t>residential</t>
        </is>
      </c>
      <c r="E7" t="inlineStr">
        <is>
          <t>appliances</t>
        </is>
      </c>
      <c r="F7" s="1" t="inlineStr">
        <is>
          <t>electricity (BTU)</t>
        </is>
      </c>
      <c r="G7" s="44">
        <f>INDEX(Table_4._Residential_Sector_Key!$F$8:$AG$125,MATCH($B7,Table_4._Residential_Sector_Key!$B$8:$B$125,0),MATCH(G$1,Table_4._Residential_Sector_Key!$F$5:$AG$5,0))</f>
        <v/>
      </c>
      <c r="H7">
        <f>INDEX('AEO 2026 Table 4'!$E$6:$AD$125,MATCH($A7,'AEO 2026 Table 4'!$B$6:$B$125,0),MATCH(H$1,'AEO 2026 Table 4'!$E$5:$AD$5,0))</f>
        <v/>
      </c>
      <c r="I7">
        <f>INDEX('AEO 2026 Table 4'!$E$6:$AD$125,MATCH($A7,'AEO 2026 Table 4'!$B$6:$B$125,0),MATCH(I$1,'AEO 2026 Table 4'!$E$5:$AD$5,0))</f>
        <v/>
      </c>
      <c r="J7">
        <f>INDEX('AEO 2026 Table 4'!$E$6:$AD$125,MATCH($A7,'AEO 2026 Table 4'!$B$6:$B$125,0),MATCH(J$1,'AEO 2026 Table 4'!$E$5:$AD$5,0))</f>
        <v/>
      </c>
      <c r="K7">
        <f>INDEX('AEO 2026 Table 4'!$E$6:$AD$125,MATCH($A7,'AEO 2026 Table 4'!$B$6:$B$125,0),MATCH(K$1,'AEO 2026 Table 4'!$E$5:$AD$5,0))</f>
        <v/>
      </c>
      <c r="L7">
        <f>INDEX('AEO 2026 Table 4'!$E$6:$AD$125,MATCH($A7,'AEO 2026 Table 4'!$B$6:$B$125,0),MATCH(L$1,'AEO 2026 Table 4'!$E$5:$AD$5,0))</f>
        <v/>
      </c>
      <c r="M7">
        <f>INDEX('AEO 2026 Table 4'!$E$6:$AD$125,MATCH($A7,'AEO 2026 Table 4'!$B$6:$B$125,0),MATCH(M$1,'AEO 2026 Table 4'!$E$5:$AD$5,0))</f>
        <v/>
      </c>
      <c r="N7">
        <f>INDEX('AEO 2026 Table 4'!$E$6:$AD$125,MATCH($A7,'AEO 2026 Table 4'!$B$6:$B$125,0),MATCH(N$1,'AEO 2026 Table 4'!$E$5:$AD$5,0))</f>
        <v/>
      </c>
      <c r="O7">
        <f>INDEX('AEO 2026 Table 4'!$E$6:$AD$125,MATCH($A7,'AEO 2026 Table 4'!$B$6:$B$125,0),MATCH(O$1,'AEO 2026 Table 4'!$E$5:$AD$5,0))</f>
        <v/>
      </c>
      <c r="P7">
        <f>INDEX('AEO 2026 Table 4'!$E$6:$AD$125,MATCH($A7,'AEO 2026 Table 4'!$B$6:$B$125,0),MATCH(P$1,'AEO 2026 Table 4'!$E$5:$AD$5,0))</f>
        <v/>
      </c>
      <c r="Q7">
        <f>INDEX('AEO 2026 Table 4'!$E$6:$AD$125,MATCH($A7,'AEO 2026 Table 4'!$B$6:$B$125,0),MATCH(Q$1,'AEO 2026 Table 4'!$E$5:$AD$5,0))</f>
        <v/>
      </c>
      <c r="R7">
        <f>INDEX('AEO 2026 Table 4'!$E$6:$AD$125,MATCH($A7,'AEO 2026 Table 4'!$B$6:$B$125,0),MATCH(R$1,'AEO 2026 Table 4'!$E$5:$AD$5,0))</f>
        <v/>
      </c>
      <c r="S7">
        <f>INDEX('AEO 2026 Table 4'!$E$6:$AD$125,MATCH($A7,'AEO 2026 Table 4'!$B$6:$B$125,0),MATCH(S$1,'AEO 2026 Table 4'!$E$5:$AD$5,0))</f>
        <v/>
      </c>
      <c r="T7">
        <f>INDEX('AEO 2026 Table 4'!$E$6:$AD$125,MATCH($A7,'AEO 2026 Table 4'!$B$6:$B$125,0),MATCH(T$1,'AEO 2026 Table 4'!$E$5:$AD$5,0))</f>
        <v/>
      </c>
      <c r="U7">
        <f>INDEX('AEO 2026 Table 4'!$E$6:$AD$125,MATCH($A7,'AEO 2026 Table 4'!$B$6:$B$125,0),MATCH(U$1,'AEO 2026 Table 4'!$E$5:$AD$5,0))</f>
        <v/>
      </c>
      <c r="V7">
        <f>INDEX('AEO 2026 Table 4'!$E$6:$AD$125,MATCH($A7,'AEO 2026 Table 4'!$B$6:$B$125,0),MATCH(V$1,'AEO 2026 Table 4'!$E$5:$AD$5,0))</f>
        <v/>
      </c>
      <c r="W7">
        <f>INDEX('AEO 2026 Table 4'!$E$6:$AD$125,MATCH($A7,'AEO 2026 Table 4'!$B$6:$B$125,0),MATCH(W$1,'AEO 2026 Table 4'!$E$5:$AD$5,0))</f>
        <v/>
      </c>
      <c r="X7">
        <f>INDEX('AEO 2026 Table 4'!$E$6:$AD$125,MATCH($A7,'AEO 2026 Table 4'!$B$6:$B$125,0),MATCH(X$1,'AEO 2026 Table 4'!$E$5:$AD$5,0))</f>
        <v/>
      </c>
      <c r="Y7">
        <f>INDEX('AEO 2026 Table 4'!$E$6:$AD$125,MATCH($A7,'AEO 2026 Table 4'!$B$6:$B$125,0),MATCH(Y$1,'AEO 2026 Table 4'!$E$5:$AD$5,0))</f>
        <v/>
      </c>
      <c r="Z7">
        <f>INDEX('AEO 2026 Table 4'!$E$6:$AD$125,MATCH($A7,'AEO 2026 Table 4'!$B$6:$B$125,0),MATCH(Z$1,'AEO 2026 Table 4'!$E$5:$AD$5,0))</f>
        <v/>
      </c>
      <c r="AA7">
        <f>INDEX('AEO 2026 Table 4'!$E$6:$AD$125,MATCH($A7,'AEO 2026 Table 4'!$B$6:$B$125,0),MATCH(AA$1,'AEO 2026 Table 4'!$E$5:$AD$5,0))</f>
        <v/>
      </c>
      <c r="AB7">
        <f>INDEX('AEO 2026 Table 4'!$E$6:$AD$125,MATCH($A7,'AEO 2026 Table 4'!$B$6:$B$125,0),MATCH(AB$1,'AEO 2026 Table 4'!$E$5:$AD$5,0))</f>
        <v/>
      </c>
      <c r="AC7">
        <f>INDEX('AEO 2026 Table 4'!$E$6:$AD$125,MATCH($A7,'AEO 2026 Table 4'!$B$6:$B$125,0),MATCH(AC$1,'AEO 2026 Table 4'!$E$5:$AD$5,0))</f>
        <v/>
      </c>
      <c r="AD7">
        <f>INDEX('AEO 2026 Table 4'!$E$6:$AD$125,MATCH($A7,'AEO 2026 Table 4'!$B$6:$B$125,0),MATCH(AD$1,'AEO 2026 Table 4'!$E$5:$AD$5,0))</f>
        <v/>
      </c>
      <c r="AE7">
        <f>INDEX('AEO 2026 Table 4'!$E$6:$AD$125,MATCH($A7,'AEO 2026 Table 4'!$B$6:$B$125,0),MATCH(AE$1,'AEO 2026 Table 4'!$E$5:$AD$5,0))</f>
        <v/>
      </c>
      <c r="AF7">
        <f>INDEX('AEO 2026 Table 4'!$E$6:$AD$125,MATCH($A7,'AEO 2026 Table 4'!$B$6:$B$125,0),MATCH(AF$1,'AEO 2026 Table 4'!$E$5:$AD$5,0))</f>
        <v/>
      </c>
      <c r="AG7">
        <f>INDEX('AEO 2026 Table 4'!$E$6:$AD$125,MATCH($A7,'AEO 2026 Table 4'!$B$6:$B$125,0),MATCH(AG$1,'AEO 2026 Table 4'!$E$5:$AD$5,0))</f>
        <v/>
      </c>
    </row>
    <row r="8">
      <c r="A8" t="inlineStr">
        <is>
          <t>Residential: Electricity: Clothes Dryers: Alternative Electricity and Transportation</t>
        </is>
      </c>
      <c r="B8" t="inlineStr">
        <is>
          <t>Residential: Electricity: Clothes Dryers: High Zero-Carbon Technology Cost</t>
        </is>
      </c>
      <c r="C8">
        <f>D8&amp;"-"&amp;E8&amp;"-"&amp;F8</f>
        <v/>
      </c>
      <c r="D8" t="inlineStr">
        <is>
          <t>residential</t>
        </is>
      </c>
      <c r="E8" t="inlineStr">
        <is>
          <t>appliances</t>
        </is>
      </c>
      <c r="F8" s="1" t="inlineStr">
        <is>
          <t>electricity (BTU)</t>
        </is>
      </c>
      <c r="G8" s="44">
        <f>INDEX(Table_4._Residential_Sector_Key!$F$8:$AG$125,MATCH($B8,Table_4._Residential_Sector_Key!$B$8:$B$125,0),MATCH(G$1,Table_4._Residential_Sector_Key!$F$5:$AG$5,0))</f>
        <v/>
      </c>
      <c r="H8">
        <f>INDEX('AEO 2026 Table 4'!$E$6:$AD$125,MATCH($A8,'AEO 2026 Table 4'!$B$6:$B$125,0),MATCH(H$1,'AEO 2026 Table 4'!$E$5:$AD$5,0))</f>
        <v/>
      </c>
      <c r="I8">
        <f>INDEX('AEO 2026 Table 4'!$E$6:$AD$125,MATCH($A8,'AEO 2026 Table 4'!$B$6:$B$125,0),MATCH(I$1,'AEO 2026 Table 4'!$E$5:$AD$5,0))</f>
        <v/>
      </c>
      <c r="J8">
        <f>INDEX('AEO 2026 Table 4'!$E$6:$AD$125,MATCH($A8,'AEO 2026 Table 4'!$B$6:$B$125,0),MATCH(J$1,'AEO 2026 Table 4'!$E$5:$AD$5,0))</f>
        <v/>
      </c>
      <c r="K8">
        <f>INDEX('AEO 2026 Table 4'!$E$6:$AD$125,MATCH($A8,'AEO 2026 Table 4'!$B$6:$B$125,0),MATCH(K$1,'AEO 2026 Table 4'!$E$5:$AD$5,0))</f>
        <v/>
      </c>
      <c r="L8">
        <f>INDEX('AEO 2026 Table 4'!$E$6:$AD$125,MATCH($A8,'AEO 2026 Table 4'!$B$6:$B$125,0),MATCH(L$1,'AEO 2026 Table 4'!$E$5:$AD$5,0))</f>
        <v/>
      </c>
      <c r="M8">
        <f>INDEX('AEO 2026 Table 4'!$E$6:$AD$125,MATCH($A8,'AEO 2026 Table 4'!$B$6:$B$125,0),MATCH(M$1,'AEO 2026 Table 4'!$E$5:$AD$5,0))</f>
        <v/>
      </c>
      <c r="N8">
        <f>INDEX('AEO 2026 Table 4'!$E$6:$AD$125,MATCH($A8,'AEO 2026 Table 4'!$B$6:$B$125,0),MATCH(N$1,'AEO 2026 Table 4'!$E$5:$AD$5,0))</f>
        <v/>
      </c>
      <c r="O8">
        <f>INDEX('AEO 2026 Table 4'!$E$6:$AD$125,MATCH($A8,'AEO 2026 Table 4'!$B$6:$B$125,0),MATCH(O$1,'AEO 2026 Table 4'!$E$5:$AD$5,0))</f>
        <v/>
      </c>
      <c r="P8">
        <f>INDEX('AEO 2026 Table 4'!$E$6:$AD$125,MATCH($A8,'AEO 2026 Table 4'!$B$6:$B$125,0),MATCH(P$1,'AEO 2026 Table 4'!$E$5:$AD$5,0))</f>
        <v/>
      </c>
      <c r="Q8">
        <f>INDEX('AEO 2026 Table 4'!$E$6:$AD$125,MATCH($A8,'AEO 2026 Table 4'!$B$6:$B$125,0),MATCH(Q$1,'AEO 2026 Table 4'!$E$5:$AD$5,0))</f>
        <v/>
      </c>
      <c r="R8">
        <f>INDEX('AEO 2026 Table 4'!$E$6:$AD$125,MATCH($A8,'AEO 2026 Table 4'!$B$6:$B$125,0),MATCH(R$1,'AEO 2026 Table 4'!$E$5:$AD$5,0))</f>
        <v/>
      </c>
      <c r="S8">
        <f>INDEX('AEO 2026 Table 4'!$E$6:$AD$125,MATCH($A8,'AEO 2026 Table 4'!$B$6:$B$125,0),MATCH(S$1,'AEO 2026 Table 4'!$E$5:$AD$5,0))</f>
        <v/>
      </c>
      <c r="T8">
        <f>INDEX('AEO 2026 Table 4'!$E$6:$AD$125,MATCH($A8,'AEO 2026 Table 4'!$B$6:$B$125,0),MATCH(T$1,'AEO 2026 Table 4'!$E$5:$AD$5,0))</f>
        <v/>
      </c>
      <c r="U8">
        <f>INDEX('AEO 2026 Table 4'!$E$6:$AD$125,MATCH($A8,'AEO 2026 Table 4'!$B$6:$B$125,0),MATCH(U$1,'AEO 2026 Table 4'!$E$5:$AD$5,0))</f>
        <v/>
      </c>
      <c r="V8">
        <f>INDEX('AEO 2026 Table 4'!$E$6:$AD$125,MATCH($A8,'AEO 2026 Table 4'!$B$6:$B$125,0),MATCH(V$1,'AEO 2026 Table 4'!$E$5:$AD$5,0))</f>
        <v/>
      </c>
      <c r="W8">
        <f>INDEX('AEO 2026 Table 4'!$E$6:$AD$125,MATCH($A8,'AEO 2026 Table 4'!$B$6:$B$125,0),MATCH(W$1,'AEO 2026 Table 4'!$E$5:$AD$5,0))</f>
        <v/>
      </c>
      <c r="X8">
        <f>INDEX('AEO 2026 Table 4'!$E$6:$AD$125,MATCH($A8,'AEO 2026 Table 4'!$B$6:$B$125,0),MATCH(X$1,'AEO 2026 Table 4'!$E$5:$AD$5,0))</f>
        <v/>
      </c>
      <c r="Y8">
        <f>INDEX('AEO 2026 Table 4'!$E$6:$AD$125,MATCH($A8,'AEO 2026 Table 4'!$B$6:$B$125,0),MATCH(Y$1,'AEO 2026 Table 4'!$E$5:$AD$5,0))</f>
        <v/>
      </c>
      <c r="Z8">
        <f>INDEX('AEO 2026 Table 4'!$E$6:$AD$125,MATCH($A8,'AEO 2026 Table 4'!$B$6:$B$125,0),MATCH(Z$1,'AEO 2026 Table 4'!$E$5:$AD$5,0))</f>
        <v/>
      </c>
      <c r="AA8">
        <f>INDEX('AEO 2026 Table 4'!$E$6:$AD$125,MATCH($A8,'AEO 2026 Table 4'!$B$6:$B$125,0),MATCH(AA$1,'AEO 2026 Table 4'!$E$5:$AD$5,0))</f>
        <v/>
      </c>
      <c r="AB8">
        <f>INDEX('AEO 2026 Table 4'!$E$6:$AD$125,MATCH($A8,'AEO 2026 Table 4'!$B$6:$B$125,0),MATCH(AB$1,'AEO 2026 Table 4'!$E$5:$AD$5,0))</f>
        <v/>
      </c>
      <c r="AC8">
        <f>INDEX('AEO 2026 Table 4'!$E$6:$AD$125,MATCH($A8,'AEO 2026 Table 4'!$B$6:$B$125,0),MATCH(AC$1,'AEO 2026 Table 4'!$E$5:$AD$5,0))</f>
        <v/>
      </c>
      <c r="AD8">
        <f>INDEX('AEO 2026 Table 4'!$E$6:$AD$125,MATCH($A8,'AEO 2026 Table 4'!$B$6:$B$125,0),MATCH(AD$1,'AEO 2026 Table 4'!$E$5:$AD$5,0))</f>
        <v/>
      </c>
      <c r="AE8">
        <f>INDEX('AEO 2026 Table 4'!$E$6:$AD$125,MATCH($A8,'AEO 2026 Table 4'!$B$6:$B$125,0),MATCH(AE$1,'AEO 2026 Table 4'!$E$5:$AD$5,0))</f>
        <v/>
      </c>
      <c r="AF8">
        <f>INDEX('AEO 2026 Table 4'!$E$6:$AD$125,MATCH($A8,'AEO 2026 Table 4'!$B$6:$B$125,0),MATCH(AF$1,'AEO 2026 Table 4'!$E$5:$AD$5,0))</f>
        <v/>
      </c>
      <c r="AG8">
        <f>INDEX('AEO 2026 Table 4'!$E$6:$AD$125,MATCH($A8,'AEO 2026 Table 4'!$B$6:$B$125,0),MATCH(AG$1,'AEO 2026 Table 4'!$E$5:$AD$5,0))</f>
        <v/>
      </c>
    </row>
    <row r="9">
      <c r="A9" t="inlineStr">
        <is>
          <t>Residential: Electricity: Freezers: Alternative Electricity and Transportation</t>
        </is>
      </c>
      <c r="B9" t="inlineStr">
        <is>
          <t>Residential: Electricity: Freezers: High Zero-Carbon Technology Cost</t>
        </is>
      </c>
      <c r="C9">
        <f>D9&amp;"-"&amp;E9&amp;"-"&amp;F9</f>
        <v/>
      </c>
      <c r="D9" t="inlineStr">
        <is>
          <t>residential</t>
        </is>
      </c>
      <c r="E9" t="inlineStr">
        <is>
          <t>appliances</t>
        </is>
      </c>
      <c r="F9" s="1" t="inlineStr">
        <is>
          <t>electricity (BTU)</t>
        </is>
      </c>
      <c r="G9" s="44">
        <f>INDEX(Table_4._Residential_Sector_Key!$F$8:$AG$125,MATCH($B9,Table_4._Residential_Sector_Key!$B$8:$B$125,0),MATCH(G$1,Table_4._Residential_Sector_Key!$F$5:$AG$5,0))</f>
        <v/>
      </c>
      <c r="H9">
        <f>INDEX('AEO 2026 Table 4'!$E$6:$AD$125,MATCH($A9,'AEO 2026 Table 4'!$B$6:$B$125,0),MATCH(H$1,'AEO 2026 Table 4'!$E$5:$AD$5,0))</f>
        <v/>
      </c>
      <c r="I9">
        <f>INDEX('AEO 2026 Table 4'!$E$6:$AD$125,MATCH($A9,'AEO 2026 Table 4'!$B$6:$B$125,0),MATCH(I$1,'AEO 2026 Table 4'!$E$5:$AD$5,0))</f>
        <v/>
      </c>
      <c r="J9">
        <f>INDEX('AEO 2026 Table 4'!$E$6:$AD$125,MATCH($A9,'AEO 2026 Table 4'!$B$6:$B$125,0),MATCH(J$1,'AEO 2026 Table 4'!$E$5:$AD$5,0))</f>
        <v/>
      </c>
      <c r="K9">
        <f>INDEX('AEO 2026 Table 4'!$E$6:$AD$125,MATCH($A9,'AEO 2026 Table 4'!$B$6:$B$125,0),MATCH(K$1,'AEO 2026 Table 4'!$E$5:$AD$5,0))</f>
        <v/>
      </c>
      <c r="L9">
        <f>INDEX('AEO 2026 Table 4'!$E$6:$AD$125,MATCH($A9,'AEO 2026 Table 4'!$B$6:$B$125,0),MATCH(L$1,'AEO 2026 Table 4'!$E$5:$AD$5,0))</f>
        <v/>
      </c>
      <c r="M9">
        <f>INDEX('AEO 2026 Table 4'!$E$6:$AD$125,MATCH($A9,'AEO 2026 Table 4'!$B$6:$B$125,0),MATCH(M$1,'AEO 2026 Table 4'!$E$5:$AD$5,0))</f>
        <v/>
      </c>
      <c r="N9">
        <f>INDEX('AEO 2026 Table 4'!$E$6:$AD$125,MATCH($A9,'AEO 2026 Table 4'!$B$6:$B$125,0),MATCH(N$1,'AEO 2026 Table 4'!$E$5:$AD$5,0))</f>
        <v/>
      </c>
      <c r="O9">
        <f>INDEX('AEO 2026 Table 4'!$E$6:$AD$125,MATCH($A9,'AEO 2026 Table 4'!$B$6:$B$125,0),MATCH(O$1,'AEO 2026 Table 4'!$E$5:$AD$5,0))</f>
        <v/>
      </c>
      <c r="P9">
        <f>INDEX('AEO 2026 Table 4'!$E$6:$AD$125,MATCH($A9,'AEO 2026 Table 4'!$B$6:$B$125,0),MATCH(P$1,'AEO 2026 Table 4'!$E$5:$AD$5,0))</f>
        <v/>
      </c>
      <c r="Q9">
        <f>INDEX('AEO 2026 Table 4'!$E$6:$AD$125,MATCH($A9,'AEO 2026 Table 4'!$B$6:$B$125,0),MATCH(Q$1,'AEO 2026 Table 4'!$E$5:$AD$5,0))</f>
        <v/>
      </c>
      <c r="R9">
        <f>INDEX('AEO 2026 Table 4'!$E$6:$AD$125,MATCH($A9,'AEO 2026 Table 4'!$B$6:$B$125,0),MATCH(R$1,'AEO 2026 Table 4'!$E$5:$AD$5,0))</f>
        <v/>
      </c>
      <c r="S9">
        <f>INDEX('AEO 2026 Table 4'!$E$6:$AD$125,MATCH($A9,'AEO 2026 Table 4'!$B$6:$B$125,0),MATCH(S$1,'AEO 2026 Table 4'!$E$5:$AD$5,0))</f>
        <v/>
      </c>
      <c r="T9">
        <f>INDEX('AEO 2026 Table 4'!$E$6:$AD$125,MATCH($A9,'AEO 2026 Table 4'!$B$6:$B$125,0),MATCH(T$1,'AEO 2026 Table 4'!$E$5:$AD$5,0))</f>
        <v/>
      </c>
      <c r="U9">
        <f>INDEX('AEO 2026 Table 4'!$E$6:$AD$125,MATCH($A9,'AEO 2026 Table 4'!$B$6:$B$125,0),MATCH(U$1,'AEO 2026 Table 4'!$E$5:$AD$5,0))</f>
        <v/>
      </c>
      <c r="V9">
        <f>INDEX('AEO 2026 Table 4'!$E$6:$AD$125,MATCH($A9,'AEO 2026 Table 4'!$B$6:$B$125,0),MATCH(V$1,'AEO 2026 Table 4'!$E$5:$AD$5,0))</f>
        <v/>
      </c>
      <c r="W9">
        <f>INDEX('AEO 2026 Table 4'!$E$6:$AD$125,MATCH($A9,'AEO 2026 Table 4'!$B$6:$B$125,0),MATCH(W$1,'AEO 2026 Table 4'!$E$5:$AD$5,0))</f>
        <v/>
      </c>
      <c r="X9">
        <f>INDEX('AEO 2026 Table 4'!$E$6:$AD$125,MATCH($A9,'AEO 2026 Table 4'!$B$6:$B$125,0),MATCH(X$1,'AEO 2026 Table 4'!$E$5:$AD$5,0))</f>
        <v/>
      </c>
      <c r="Y9">
        <f>INDEX('AEO 2026 Table 4'!$E$6:$AD$125,MATCH($A9,'AEO 2026 Table 4'!$B$6:$B$125,0),MATCH(Y$1,'AEO 2026 Table 4'!$E$5:$AD$5,0))</f>
        <v/>
      </c>
      <c r="Z9">
        <f>INDEX('AEO 2026 Table 4'!$E$6:$AD$125,MATCH($A9,'AEO 2026 Table 4'!$B$6:$B$125,0),MATCH(Z$1,'AEO 2026 Table 4'!$E$5:$AD$5,0))</f>
        <v/>
      </c>
      <c r="AA9">
        <f>INDEX('AEO 2026 Table 4'!$E$6:$AD$125,MATCH($A9,'AEO 2026 Table 4'!$B$6:$B$125,0),MATCH(AA$1,'AEO 2026 Table 4'!$E$5:$AD$5,0))</f>
        <v/>
      </c>
      <c r="AB9">
        <f>INDEX('AEO 2026 Table 4'!$E$6:$AD$125,MATCH($A9,'AEO 2026 Table 4'!$B$6:$B$125,0),MATCH(AB$1,'AEO 2026 Table 4'!$E$5:$AD$5,0))</f>
        <v/>
      </c>
      <c r="AC9">
        <f>INDEX('AEO 2026 Table 4'!$E$6:$AD$125,MATCH($A9,'AEO 2026 Table 4'!$B$6:$B$125,0),MATCH(AC$1,'AEO 2026 Table 4'!$E$5:$AD$5,0))</f>
        <v/>
      </c>
      <c r="AD9">
        <f>INDEX('AEO 2026 Table 4'!$E$6:$AD$125,MATCH($A9,'AEO 2026 Table 4'!$B$6:$B$125,0),MATCH(AD$1,'AEO 2026 Table 4'!$E$5:$AD$5,0))</f>
        <v/>
      </c>
      <c r="AE9">
        <f>INDEX('AEO 2026 Table 4'!$E$6:$AD$125,MATCH($A9,'AEO 2026 Table 4'!$B$6:$B$125,0),MATCH(AE$1,'AEO 2026 Table 4'!$E$5:$AD$5,0))</f>
        <v/>
      </c>
      <c r="AF9">
        <f>INDEX('AEO 2026 Table 4'!$E$6:$AD$125,MATCH($A9,'AEO 2026 Table 4'!$B$6:$B$125,0),MATCH(AF$1,'AEO 2026 Table 4'!$E$5:$AD$5,0))</f>
        <v/>
      </c>
      <c r="AG9">
        <f>INDEX('AEO 2026 Table 4'!$E$6:$AD$125,MATCH($A9,'AEO 2026 Table 4'!$B$6:$B$125,0),MATCH(AG$1,'AEO 2026 Table 4'!$E$5:$AD$5,0))</f>
        <v/>
      </c>
    </row>
    <row r="10">
      <c r="A10" t="inlineStr">
        <is>
          <t>Residential: Electricity: Lighting: Alternative Electricity and Transportation</t>
        </is>
      </c>
      <c r="B10" t="inlineStr">
        <is>
          <t>Residential: Electricity: Lighting: High Zero-Carbon Technology Cost</t>
        </is>
      </c>
      <c r="C10">
        <f>D10&amp;"-"&amp;E10&amp;"-"&amp;F10</f>
        <v/>
      </c>
      <c r="D10" t="inlineStr">
        <is>
          <t>residential</t>
        </is>
      </c>
      <c r="E10" t="inlineStr">
        <is>
          <t>lighting</t>
        </is>
      </c>
      <c r="F10" s="1" t="inlineStr">
        <is>
          <t>electricity (BTU)</t>
        </is>
      </c>
      <c r="G10" s="44">
        <f>INDEX(Table_4._Residential_Sector_Key!$F$8:$AG$125,MATCH($B10,Table_4._Residential_Sector_Key!$B$8:$B$125,0),MATCH(G$1,Table_4._Residential_Sector_Key!$F$5:$AG$5,0))</f>
        <v/>
      </c>
      <c r="H10">
        <f>INDEX('AEO 2026 Table 4'!$E$6:$AD$125,MATCH($A10,'AEO 2026 Table 4'!$B$6:$B$125,0),MATCH(H$1,'AEO 2026 Table 4'!$E$5:$AD$5,0))</f>
        <v/>
      </c>
      <c r="I10">
        <f>INDEX('AEO 2026 Table 4'!$E$6:$AD$125,MATCH($A10,'AEO 2026 Table 4'!$B$6:$B$125,0),MATCH(I$1,'AEO 2026 Table 4'!$E$5:$AD$5,0))</f>
        <v/>
      </c>
      <c r="J10">
        <f>INDEX('AEO 2026 Table 4'!$E$6:$AD$125,MATCH($A10,'AEO 2026 Table 4'!$B$6:$B$125,0),MATCH(J$1,'AEO 2026 Table 4'!$E$5:$AD$5,0))</f>
        <v/>
      </c>
      <c r="K10">
        <f>INDEX('AEO 2026 Table 4'!$E$6:$AD$125,MATCH($A10,'AEO 2026 Table 4'!$B$6:$B$125,0),MATCH(K$1,'AEO 2026 Table 4'!$E$5:$AD$5,0))</f>
        <v/>
      </c>
      <c r="L10">
        <f>INDEX('AEO 2026 Table 4'!$E$6:$AD$125,MATCH($A10,'AEO 2026 Table 4'!$B$6:$B$125,0),MATCH(L$1,'AEO 2026 Table 4'!$E$5:$AD$5,0))</f>
        <v/>
      </c>
      <c r="M10">
        <f>INDEX('AEO 2026 Table 4'!$E$6:$AD$125,MATCH($A10,'AEO 2026 Table 4'!$B$6:$B$125,0),MATCH(M$1,'AEO 2026 Table 4'!$E$5:$AD$5,0))</f>
        <v/>
      </c>
      <c r="N10">
        <f>INDEX('AEO 2026 Table 4'!$E$6:$AD$125,MATCH($A10,'AEO 2026 Table 4'!$B$6:$B$125,0),MATCH(N$1,'AEO 2026 Table 4'!$E$5:$AD$5,0))</f>
        <v/>
      </c>
      <c r="O10">
        <f>INDEX('AEO 2026 Table 4'!$E$6:$AD$125,MATCH($A10,'AEO 2026 Table 4'!$B$6:$B$125,0),MATCH(O$1,'AEO 2026 Table 4'!$E$5:$AD$5,0))</f>
        <v/>
      </c>
      <c r="P10">
        <f>INDEX('AEO 2026 Table 4'!$E$6:$AD$125,MATCH($A10,'AEO 2026 Table 4'!$B$6:$B$125,0),MATCH(P$1,'AEO 2026 Table 4'!$E$5:$AD$5,0))</f>
        <v/>
      </c>
      <c r="Q10">
        <f>INDEX('AEO 2026 Table 4'!$E$6:$AD$125,MATCH($A10,'AEO 2026 Table 4'!$B$6:$B$125,0),MATCH(Q$1,'AEO 2026 Table 4'!$E$5:$AD$5,0))</f>
        <v/>
      </c>
      <c r="R10">
        <f>INDEX('AEO 2026 Table 4'!$E$6:$AD$125,MATCH($A10,'AEO 2026 Table 4'!$B$6:$B$125,0),MATCH(R$1,'AEO 2026 Table 4'!$E$5:$AD$5,0))</f>
        <v/>
      </c>
      <c r="S10">
        <f>INDEX('AEO 2026 Table 4'!$E$6:$AD$125,MATCH($A10,'AEO 2026 Table 4'!$B$6:$B$125,0),MATCH(S$1,'AEO 2026 Table 4'!$E$5:$AD$5,0))</f>
        <v/>
      </c>
      <c r="T10">
        <f>INDEX('AEO 2026 Table 4'!$E$6:$AD$125,MATCH($A10,'AEO 2026 Table 4'!$B$6:$B$125,0),MATCH(T$1,'AEO 2026 Table 4'!$E$5:$AD$5,0))</f>
        <v/>
      </c>
      <c r="U10">
        <f>INDEX('AEO 2026 Table 4'!$E$6:$AD$125,MATCH($A10,'AEO 2026 Table 4'!$B$6:$B$125,0),MATCH(U$1,'AEO 2026 Table 4'!$E$5:$AD$5,0))</f>
        <v/>
      </c>
      <c r="V10">
        <f>INDEX('AEO 2026 Table 4'!$E$6:$AD$125,MATCH($A10,'AEO 2026 Table 4'!$B$6:$B$125,0),MATCH(V$1,'AEO 2026 Table 4'!$E$5:$AD$5,0))</f>
        <v/>
      </c>
      <c r="W10">
        <f>INDEX('AEO 2026 Table 4'!$E$6:$AD$125,MATCH($A10,'AEO 2026 Table 4'!$B$6:$B$125,0),MATCH(W$1,'AEO 2026 Table 4'!$E$5:$AD$5,0))</f>
        <v/>
      </c>
      <c r="X10">
        <f>INDEX('AEO 2026 Table 4'!$E$6:$AD$125,MATCH($A10,'AEO 2026 Table 4'!$B$6:$B$125,0),MATCH(X$1,'AEO 2026 Table 4'!$E$5:$AD$5,0))</f>
        <v/>
      </c>
      <c r="Y10">
        <f>INDEX('AEO 2026 Table 4'!$E$6:$AD$125,MATCH($A10,'AEO 2026 Table 4'!$B$6:$B$125,0),MATCH(Y$1,'AEO 2026 Table 4'!$E$5:$AD$5,0))</f>
        <v/>
      </c>
      <c r="Z10">
        <f>INDEX('AEO 2026 Table 4'!$E$6:$AD$125,MATCH($A10,'AEO 2026 Table 4'!$B$6:$B$125,0),MATCH(Z$1,'AEO 2026 Table 4'!$E$5:$AD$5,0))</f>
        <v/>
      </c>
      <c r="AA10">
        <f>INDEX('AEO 2026 Table 4'!$E$6:$AD$125,MATCH($A10,'AEO 2026 Table 4'!$B$6:$B$125,0),MATCH(AA$1,'AEO 2026 Table 4'!$E$5:$AD$5,0))</f>
        <v/>
      </c>
      <c r="AB10">
        <f>INDEX('AEO 2026 Table 4'!$E$6:$AD$125,MATCH($A10,'AEO 2026 Table 4'!$B$6:$B$125,0),MATCH(AB$1,'AEO 2026 Table 4'!$E$5:$AD$5,0))</f>
        <v/>
      </c>
      <c r="AC10">
        <f>INDEX('AEO 2026 Table 4'!$E$6:$AD$125,MATCH($A10,'AEO 2026 Table 4'!$B$6:$B$125,0),MATCH(AC$1,'AEO 2026 Table 4'!$E$5:$AD$5,0))</f>
        <v/>
      </c>
      <c r="AD10">
        <f>INDEX('AEO 2026 Table 4'!$E$6:$AD$125,MATCH($A10,'AEO 2026 Table 4'!$B$6:$B$125,0),MATCH(AD$1,'AEO 2026 Table 4'!$E$5:$AD$5,0))</f>
        <v/>
      </c>
      <c r="AE10">
        <f>INDEX('AEO 2026 Table 4'!$E$6:$AD$125,MATCH($A10,'AEO 2026 Table 4'!$B$6:$B$125,0),MATCH(AE$1,'AEO 2026 Table 4'!$E$5:$AD$5,0))</f>
        <v/>
      </c>
      <c r="AF10">
        <f>INDEX('AEO 2026 Table 4'!$E$6:$AD$125,MATCH($A10,'AEO 2026 Table 4'!$B$6:$B$125,0),MATCH(AF$1,'AEO 2026 Table 4'!$E$5:$AD$5,0))</f>
        <v/>
      </c>
      <c r="AG10">
        <f>INDEX('AEO 2026 Table 4'!$E$6:$AD$125,MATCH($A10,'AEO 2026 Table 4'!$B$6:$B$125,0),MATCH(AG$1,'AEO 2026 Table 4'!$E$5:$AD$5,0))</f>
        <v/>
      </c>
    </row>
    <row r="11">
      <c r="A11" t="inlineStr">
        <is>
          <t>Residential: Electricity: Clothes Washers: Alternative Electricity and Transportation</t>
        </is>
      </c>
      <c r="B11" t="inlineStr">
        <is>
          <t>Residential: Electricity: Clothes Washers: High Zero-Carbon Technology Cost</t>
        </is>
      </c>
      <c r="C11">
        <f>D11&amp;"-"&amp;E11&amp;"-"&amp;F11</f>
        <v/>
      </c>
      <c r="D11" t="inlineStr">
        <is>
          <t>residential</t>
        </is>
      </c>
      <c r="E11" t="inlineStr">
        <is>
          <t>appliances</t>
        </is>
      </c>
      <c r="F11" s="1" t="inlineStr">
        <is>
          <t>electricity (BTU)</t>
        </is>
      </c>
      <c r="G11" s="44">
        <f>INDEX(Table_4._Residential_Sector_Key!$F$8:$AG$125,MATCH($B11,Table_4._Residential_Sector_Key!$B$8:$B$125,0),MATCH(G$1,Table_4._Residential_Sector_Key!$F$5:$AG$5,0))</f>
        <v/>
      </c>
      <c r="H11">
        <f>INDEX('AEO 2026 Table 4'!$E$6:$AD$125,MATCH($A11,'AEO 2026 Table 4'!$B$6:$B$125,0),MATCH(H$1,'AEO 2026 Table 4'!$E$5:$AD$5,0))</f>
        <v/>
      </c>
      <c r="I11">
        <f>INDEX('AEO 2026 Table 4'!$E$6:$AD$125,MATCH($A11,'AEO 2026 Table 4'!$B$6:$B$125,0),MATCH(I$1,'AEO 2026 Table 4'!$E$5:$AD$5,0))</f>
        <v/>
      </c>
      <c r="J11">
        <f>INDEX('AEO 2026 Table 4'!$E$6:$AD$125,MATCH($A11,'AEO 2026 Table 4'!$B$6:$B$125,0),MATCH(J$1,'AEO 2026 Table 4'!$E$5:$AD$5,0))</f>
        <v/>
      </c>
      <c r="K11">
        <f>INDEX('AEO 2026 Table 4'!$E$6:$AD$125,MATCH($A11,'AEO 2026 Table 4'!$B$6:$B$125,0),MATCH(K$1,'AEO 2026 Table 4'!$E$5:$AD$5,0))</f>
        <v/>
      </c>
      <c r="L11">
        <f>INDEX('AEO 2026 Table 4'!$E$6:$AD$125,MATCH($A11,'AEO 2026 Table 4'!$B$6:$B$125,0),MATCH(L$1,'AEO 2026 Table 4'!$E$5:$AD$5,0))</f>
        <v/>
      </c>
      <c r="M11">
        <f>INDEX('AEO 2026 Table 4'!$E$6:$AD$125,MATCH($A11,'AEO 2026 Table 4'!$B$6:$B$125,0),MATCH(M$1,'AEO 2026 Table 4'!$E$5:$AD$5,0))</f>
        <v/>
      </c>
      <c r="N11">
        <f>INDEX('AEO 2026 Table 4'!$E$6:$AD$125,MATCH($A11,'AEO 2026 Table 4'!$B$6:$B$125,0),MATCH(N$1,'AEO 2026 Table 4'!$E$5:$AD$5,0))</f>
        <v/>
      </c>
      <c r="O11">
        <f>INDEX('AEO 2026 Table 4'!$E$6:$AD$125,MATCH($A11,'AEO 2026 Table 4'!$B$6:$B$125,0),MATCH(O$1,'AEO 2026 Table 4'!$E$5:$AD$5,0))</f>
        <v/>
      </c>
      <c r="P11">
        <f>INDEX('AEO 2026 Table 4'!$E$6:$AD$125,MATCH($A11,'AEO 2026 Table 4'!$B$6:$B$125,0),MATCH(P$1,'AEO 2026 Table 4'!$E$5:$AD$5,0))</f>
        <v/>
      </c>
      <c r="Q11">
        <f>INDEX('AEO 2026 Table 4'!$E$6:$AD$125,MATCH($A11,'AEO 2026 Table 4'!$B$6:$B$125,0),MATCH(Q$1,'AEO 2026 Table 4'!$E$5:$AD$5,0))</f>
        <v/>
      </c>
      <c r="R11">
        <f>INDEX('AEO 2026 Table 4'!$E$6:$AD$125,MATCH($A11,'AEO 2026 Table 4'!$B$6:$B$125,0),MATCH(R$1,'AEO 2026 Table 4'!$E$5:$AD$5,0))</f>
        <v/>
      </c>
      <c r="S11">
        <f>INDEX('AEO 2026 Table 4'!$E$6:$AD$125,MATCH($A11,'AEO 2026 Table 4'!$B$6:$B$125,0),MATCH(S$1,'AEO 2026 Table 4'!$E$5:$AD$5,0))</f>
        <v/>
      </c>
      <c r="T11">
        <f>INDEX('AEO 2026 Table 4'!$E$6:$AD$125,MATCH($A11,'AEO 2026 Table 4'!$B$6:$B$125,0),MATCH(T$1,'AEO 2026 Table 4'!$E$5:$AD$5,0))</f>
        <v/>
      </c>
      <c r="U11">
        <f>INDEX('AEO 2026 Table 4'!$E$6:$AD$125,MATCH($A11,'AEO 2026 Table 4'!$B$6:$B$125,0),MATCH(U$1,'AEO 2026 Table 4'!$E$5:$AD$5,0))</f>
        <v/>
      </c>
      <c r="V11">
        <f>INDEX('AEO 2026 Table 4'!$E$6:$AD$125,MATCH($A11,'AEO 2026 Table 4'!$B$6:$B$125,0),MATCH(V$1,'AEO 2026 Table 4'!$E$5:$AD$5,0))</f>
        <v/>
      </c>
      <c r="W11">
        <f>INDEX('AEO 2026 Table 4'!$E$6:$AD$125,MATCH($A11,'AEO 2026 Table 4'!$B$6:$B$125,0),MATCH(W$1,'AEO 2026 Table 4'!$E$5:$AD$5,0))</f>
        <v/>
      </c>
      <c r="X11">
        <f>INDEX('AEO 2026 Table 4'!$E$6:$AD$125,MATCH($A11,'AEO 2026 Table 4'!$B$6:$B$125,0),MATCH(X$1,'AEO 2026 Table 4'!$E$5:$AD$5,0))</f>
        <v/>
      </c>
      <c r="Y11">
        <f>INDEX('AEO 2026 Table 4'!$E$6:$AD$125,MATCH($A11,'AEO 2026 Table 4'!$B$6:$B$125,0),MATCH(Y$1,'AEO 2026 Table 4'!$E$5:$AD$5,0))</f>
        <v/>
      </c>
      <c r="Z11">
        <f>INDEX('AEO 2026 Table 4'!$E$6:$AD$125,MATCH($A11,'AEO 2026 Table 4'!$B$6:$B$125,0),MATCH(Z$1,'AEO 2026 Table 4'!$E$5:$AD$5,0))</f>
        <v/>
      </c>
      <c r="AA11">
        <f>INDEX('AEO 2026 Table 4'!$E$6:$AD$125,MATCH($A11,'AEO 2026 Table 4'!$B$6:$B$125,0),MATCH(AA$1,'AEO 2026 Table 4'!$E$5:$AD$5,0))</f>
        <v/>
      </c>
      <c r="AB11">
        <f>INDEX('AEO 2026 Table 4'!$E$6:$AD$125,MATCH($A11,'AEO 2026 Table 4'!$B$6:$B$125,0),MATCH(AB$1,'AEO 2026 Table 4'!$E$5:$AD$5,0))</f>
        <v/>
      </c>
      <c r="AC11">
        <f>INDEX('AEO 2026 Table 4'!$E$6:$AD$125,MATCH($A11,'AEO 2026 Table 4'!$B$6:$B$125,0),MATCH(AC$1,'AEO 2026 Table 4'!$E$5:$AD$5,0))</f>
        <v/>
      </c>
      <c r="AD11">
        <f>INDEX('AEO 2026 Table 4'!$E$6:$AD$125,MATCH($A11,'AEO 2026 Table 4'!$B$6:$B$125,0),MATCH(AD$1,'AEO 2026 Table 4'!$E$5:$AD$5,0))</f>
        <v/>
      </c>
      <c r="AE11">
        <f>INDEX('AEO 2026 Table 4'!$E$6:$AD$125,MATCH($A11,'AEO 2026 Table 4'!$B$6:$B$125,0),MATCH(AE$1,'AEO 2026 Table 4'!$E$5:$AD$5,0))</f>
        <v/>
      </c>
      <c r="AF11">
        <f>INDEX('AEO 2026 Table 4'!$E$6:$AD$125,MATCH($A11,'AEO 2026 Table 4'!$B$6:$B$125,0),MATCH(AF$1,'AEO 2026 Table 4'!$E$5:$AD$5,0))</f>
        <v/>
      </c>
      <c r="AG11">
        <f>INDEX('AEO 2026 Table 4'!$E$6:$AD$125,MATCH($A11,'AEO 2026 Table 4'!$B$6:$B$125,0),MATCH(AG$1,'AEO 2026 Table 4'!$E$5:$AD$5,0))</f>
        <v/>
      </c>
    </row>
    <row r="12">
      <c r="A12" t="inlineStr">
        <is>
          <t>Residential: Electricity: Dishwashers: Alternative Electricity and Transportation</t>
        </is>
      </c>
      <c r="B12" t="inlineStr">
        <is>
          <t>Residential: Electricity: Dishwashers: High Zero-Carbon Technology Cost</t>
        </is>
      </c>
      <c r="C12">
        <f>D12&amp;"-"&amp;E12&amp;"-"&amp;F12</f>
        <v/>
      </c>
      <c r="D12" t="inlineStr">
        <is>
          <t>residential</t>
        </is>
      </c>
      <c r="E12" t="inlineStr">
        <is>
          <t>appliances</t>
        </is>
      </c>
      <c r="F12" s="1" t="inlineStr">
        <is>
          <t>electricity (BTU)</t>
        </is>
      </c>
      <c r="G12" s="44">
        <f>INDEX(Table_4._Residential_Sector_Key!$F$8:$AG$125,MATCH($B12,Table_4._Residential_Sector_Key!$B$8:$B$125,0),MATCH(G$1,Table_4._Residential_Sector_Key!$F$5:$AG$5,0))</f>
        <v/>
      </c>
      <c r="H12">
        <f>INDEX('AEO 2026 Table 4'!$E$6:$AD$125,MATCH($A12,'AEO 2026 Table 4'!$B$6:$B$125,0),MATCH(H$1,'AEO 2026 Table 4'!$E$5:$AD$5,0))</f>
        <v/>
      </c>
      <c r="I12">
        <f>INDEX('AEO 2026 Table 4'!$E$6:$AD$125,MATCH($A12,'AEO 2026 Table 4'!$B$6:$B$125,0),MATCH(I$1,'AEO 2026 Table 4'!$E$5:$AD$5,0))</f>
        <v/>
      </c>
      <c r="J12">
        <f>INDEX('AEO 2026 Table 4'!$E$6:$AD$125,MATCH($A12,'AEO 2026 Table 4'!$B$6:$B$125,0),MATCH(J$1,'AEO 2026 Table 4'!$E$5:$AD$5,0))</f>
        <v/>
      </c>
      <c r="K12">
        <f>INDEX('AEO 2026 Table 4'!$E$6:$AD$125,MATCH($A12,'AEO 2026 Table 4'!$B$6:$B$125,0),MATCH(K$1,'AEO 2026 Table 4'!$E$5:$AD$5,0))</f>
        <v/>
      </c>
      <c r="L12">
        <f>INDEX('AEO 2026 Table 4'!$E$6:$AD$125,MATCH($A12,'AEO 2026 Table 4'!$B$6:$B$125,0),MATCH(L$1,'AEO 2026 Table 4'!$E$5:$AD$5,0))</f>
        <v/>
      </c>
      <c r="M12">
        <f>INDEX('AEO 2026 Table 4'!$E$6:$AD$125,MATCH($A12,'AEO 2026 Table 4'!$B$6:$B$125,0),MATCH(M$1,'AEO 2026 Table 4'!$E$5:$AD$5,0))</f>
        <v/>
      </c>
      <c r="N12">
        <f>INDEX('AEO 2026 Table 4'!$E$6:$AD$125,MATCH($A12,'AEO 2026 Table 4'!$B$6:$B$125,0),MATCH(N$1,'AEO 2026 Table 4'!$E$5:$AD$5,0))</f>
        <v/>
      </c>
      <c r="O12">
        <f>INDEX('AEO 2026 Table 4'!$E$6:$AD$125,MATCH($A12,'AEO 2026 Table 4'!$B$6:$B$125,0),MATCH(O$1,'AEO 2026 Table 4'!$E$5:$AD$5,0))</f>
        <v/>
      </c>
      <c r="P12">
        <f>INDEX('AEO 2026 Table 4'!$E$6:$AD$125,MATCH($A12,'AEO 2026 Table 4'!$B$6:$B$125,0),MATCH(P$1,'AEO 2026 Table 4'!$E$5:$AD$5,0))</f>
        <v/>
      </c>
      <c r="Q12">
        <f>INDEX('AEO 2026 Table 4'!$E$6:$AD$125,MATCH($A12,'AEO 2026 Table 4'!$B$6:$B$125,0),MATCH(Q$1,'AEO 2026 Table 4'!$E$5:$AD$5,0))</f>
        <v/>
      </c>
      <c r="R12">
        <f>INDEX('AEO 2026 Table 4'!$E$6:$AD$125,MATCH($A12,'AEO 2026 Table 4'!$B$6:$B$125,0),MATCH(R$1,'AEO 2026 Table 4'!$E$5:$AD$5,0))</f>
        <v/>
      </c>
      <c r="S12">
        <f>INDEX('AEO 2026 Table 4'!$E$6:$AD$125,MATCH($A12,'AEO 2026 Table 4'!$B$6:$B$125,0),MATCH(S$1,'AEO 2026 Table 4'!$E$5:$AD$5,0))</f>
        <v/>
      </c>
      <c r="T12">
        <f>INDEX('AEO 2026 Table 4'!$E$6:$AD$125,MATCH($A12,'AEO 2026 Table 4'!$B$6:$B$125,0),MATCH(T$1,'AEO 2026 Table 4'!$E$5:$AD$5,0))</f>
        <v/>
      </c>
      <c r="U12">
        <f>INDEX('AEO 2026 Table 4'!$E$6:$AD$125,MATCH($A12,'AEO 2026 Table 4'!$B$6:$B$125,0),MATCH(U$1,'AEO 2026 Table 4'!$E$5:$AD$5,0))</f>
        <v/>
      </c>
      <c r="V12">
        <f>INDEX('AEO 2026 Table 4'!$E$6:$AD$125,MATCH($A12,'AEO 2026 Table 4'!$B$6:$B$125,0),MATCH(V$1,'AEO 2026 Table 4'!$E$5:$AD$5,0))</f>
        <v/>
      </c>
      <c r="W12">
        <f>INDEX('AEO 2026 Table 4'!$E$6:$AD$125,MATCH($A12,'AEO 2026 Table 4'!$B$6:$B$125,0),MATCH(W$1,'AEO 2026 Table 4'!$E$5:$AD$5,0))</f>
        <v/>
      </c>
      <c r="X12">
        <f>INDEX('AEO 2026 Table 4'!$E$6:$AD$125,MATCH($A12,'AEO 2026 Table 4'!$B$6:$B$125,0),MATCH(X$1,'AEO 2026 Table 4'!$E$5:$AD$5,0))</f>
        <v/>
      </c>
      <c r="Y12">
        <f>INDEX('AEO 2026 Table 4'!$E$6:$AD$125,MATCH($A12,'AEO 2026 Table 4'!$B$6:$B$125,0),MATCH(Y$1,'AEO 2026 Table 4'!$E$5:$AD$5,0))</f>
        <v/>
      </c>
      <c r="Z12">
        <f>INDEX('AEO 2026 Table 4'!$E$6:$AD$125,MATCH($A12,'AEO 2026 Table 4'!$B$6:$B$125,0),MATCH(Z$1,'AEO 2026 Table 4'!$E$5:$AD$5,0))</f>
        <v/>
      </c>
      <c r="AA12">
        <f>INDEX('AEO 2026 Table 4'!$E$6:$AD$125,MATCH($A12,'AEO 2026 Table 4'!$B$6:$B$125,0),MATCH(AA$1,'AEO 2026 Table 4'!$E$5:$AD$5,0))</f>
        <v/>
      </c>
      <c r="AB12">
        <f>INDEX('AEO 2026 Table 4'!$E$6:$AD$125,MATCH($A12,'AEO 2026 Table 4'!$B$6:$B$125,0),MATCH(AB$1,'AEO 2026 Table 4'!$E$5:$AD$5,0))</f>
        <v/>
      </c>
      <c r="AC12">
        <f>INDEX('AEO 2026 Table 4'!$E$6:$AD$125,MATCH($A12,'AEO 2026 Table 4'!$B$6:$B$125,0),MATCH(AC$1,'AEO 2026 Table 4'!$E$5:$AD$5,0))</f>
        <v/>
      </c>
      <c r="AD12">
        <f>INDEX('AEO 2026 Table 4'!$E$6:$AD$125,MATCH($A12,'AEO 2026 Table 4'!$B$6:$B$125,0),MATCH(AD$1,'AEO 2026 Table 4'!$E$5:$AD$5,0))</f>
        <v/>
      </c>
      <c r="AE12">
        <f>INDEX('AEO 2026 Table 4'!$E$6:$AD$125,MATCH($A12,'AEO 2026 Table 4'!$B$6:$B$125,0),MATCH(AE$1,'AEO 2026 Table 4'!$E$5:$AD$5,0))</f>
        <v/>
      </c>
      <c r="AF12">
        <f>INDEX('AEO 2026 Table 4'!$E$6:$AD$125,MATCH($A12,'AEO 2026 Table 4'!$B$6:$B$125,0),MATCH(AF$1,'AEO 2026 Table 4'!$E$5:$AD$5,0))</f>
        <v/>
      </c>
      <c r="AG12">
        <f>INDEX('AEO 2026 Table 4'!$E$6:$AD$125,MATCH($A12,'AEO 2026 Table 4'!$B$6:$B$125,0),MATCH(AG$1,'AEO 2026 Table 4'!$E$5:$AD$5,0))</f>
        <v/>
      </c>
    </row>
    <row r="13">
      <c r="A13" t="inlineStr">
        <is>
          <t>Residential: Electricity: Televisions: Alternative Electricity and Transportation</t>
        </is>
      </c>
      <c r="B13" t="inlineStr">
        <is>
          <t>Residential: Electricity: Televisions: High Zero-Carbon Technology Cost</t>
        </is>
      </c>
      <c r="C13">
        <f>D13&amp;"-"&amp;E13&amp;"-"&amp;F13</f>
        <v/>
      </c>
      <c r="D13" t="inlineStr">
        <is>
          <t>residential</t>
        </is>
      </c>
      <c r="E13" t="inlineStr">
        <is>
          <t>other</t>
        </is>
      </c>
      <c r="F13" s="1" t="inlineStr">
        <is>
          <t>electricity (BTU)</t>
        </is>
      </c>
      <c r="G13" s="44">
        <f>INDEX(Table_4._Residential_Sector_Key!$F$8:$AG$125,MATCH($B13,Table_4._Residential_Sector_Key!$B$8:$B$125,0),MATCH(G$1,Table_4._Residential_Sector_Key!$F$5:$AG$5,0))</f>
        <v/>
      </c>
      <c r="H13">
        <f>INDEX('AEO 2026 Table 4'!$E$6:$AD$125,MATCH($A13,'AEO 2026 Table 4'!$B$6:$B$125,0),MATCH(H$1,'AEO 2026 Table 4'!$E$5:$AD$5,0))</f>
        <v/>
      </c>
      <c r="I13">
        <f>INDEX('AEO 2026 Table 4'!$E$6:$AD$125,MATCH($A13,'AEO 2026 Table 4'!$B$6:$B$125,0),MATCH(I$1,'AEO 2026 Table 4'!$E$5:$AD$5,0))</f>
        <v/>
      </c>
      <c r="J13">
        <f>INDEX('AEO 2026 Table 4'!$E$6:$AD$125,MATCH($A13,'AEO 2026 Table 4'!$B$6:$B$125,0),MATCH(J$1,'AEO 2026 Table 4'!$E$5:$AD$5,0))</f>
        <v/>
      </c>
      <c r="K13">
        <f>INDEX('AEO 2026 Table 4'!$E$6:$AD$125,MATCH($A13,'AEO 2026 Table 4'!$B$6:$B$125,0),MATCH(K$1,'AEO 2026 Table 4'!$E$5:$AD$5,0))</f>
        <v/>
      </c>
      <c r="L13">
        <f>INDEX('AEO 2026 Table 4'!$E$6:$AD$125,MATCH($A13,'AEO 2026 Table 4'!$B$6:$B$125,0),MATCH(L$1,'AEO 2026 Table 4'!$E$5:$AD$5,0))</f>
        <v/>
      </c>
      <c r="M13">
        <f>INDEX('AEO 2026 Table 4'!$E$6:$AD$125,MATCH($A13,'AEO 2026 Table 4'!$B$6:$B$125,0),MATCH(M$1,'AEO 2026 Table 4'!$E$5:$AD$5,0))</f>
        <v/>
      </c>
      <c r="N13">
        <f>INDEX('AEO 2026 Table 4'!$E$6:$AD$125,MATCH($A13,'AEO 2026 Table 4'!$B$6:$B$125,0),MATCH(N$1,'AEO 2026 Table 4'!$E$5:$AD$5,0))</f>
        <v/>
      </c>
      <c r="O13">
        <f>INDEX('AEO 2026 Table 4'!$E$6:$AD$125,MATCH($A13,'AEO 2026 Table 4'!$B$6:$B$125,0),MATCH(O$1,'AEO 2026 Table 4'!$E$5:$AD$5,0))</f>
        <v/>
      </c>
      <c r="P13">
        <f>INDEX('AEO 2026 Table 4'!$E$6:$AD$125,MATCH($A13,'AEO 2026 Table 4'!$B$6:$B$125,0),MATCH(P$1,'AEO 2026 Table 4'!$E$5:$AD$5,0))</f>
        <v/>
      </c>
      <c r="Q13">
        <f>INDEX('AEO 2026 Table 4'!$E$6:$AD$125,MATCH($A13,'AEO 2026 Table 4'!$B$6:$B$125,0),MATCH(Q$1,'AEO 2026 Table 4'!$E$5:$AD$5,0))</f>
        <v/>
      </c>
      <c r="R13">
        <f>INDEX('AEO 2026 Table 4'!$E$6:$AD$125,MATCH($A13,'AEO 2026 Table 4'!$B$6:$B$125,0),MATCH(R$1,'AEO 2026 Table 4'!$E$5:$AD$5,0))</f>
        <v/>
      </c>
      <c r="S13">
        <f>INDEX('AEO 2026 Table 4'!$E$6:$AD$125,MATCH($A13,'AEO 2026 Table 4'!$B$6:$B$125,0),MATCH(S$1,'AEO 2026 Table 4'!$E$5:$AD$5,0))</f>
        <v/>
      </c>
      <c r="T13">
        <f>INDEX('AEO 2026 Table 4'!$E$6:$AD$125,MATCH($A13,'AEO 2026 Table 4'!$B$6:$B$125,0),MATCH(T$1,'AEO 2026 Table 4'!$E$5:$AD$5,0))</f>
        <v/>
      </c>
      <c r="U13">
        <f>INDEX('AEO 2026 Table 4'!$E$6:$AD$125,MATCH($A13,'AEO 2026 Table 4'!$B$6:$B$125,0),MATCH(U$1,'AEO 2026 Table 4'!$E$5:$AD$5,0))</f>
        <v/>
      </c>
      <c r="V13">
        <f>INDEX('AEO 2026 Table 4'!$E$6:$AD$125,MATCH($A13,'AEO 2026 Table 4'!$B$6:$B$125,0),MATCH(V$1,'AEO 2026 Table 4'!$E$5:$AD$5,0))</f>
        <v/>
      </c>
      <c r="W13">
        <f>INDEX('AEO 2026 Table 4'!$E$6:$AD$125,MATCH($A13,'AEO 2026 Table 4'!$B$6:$B$125,0),MATCH(W$1,'AEO 2026 Table 4'!$E$5:$AD$5,0))</f>
        <v/>
      </c>
      <c r="X13">
        <f>INDEX('AEO 2026 Table 4'!$E$6:$AD$125,MATCH($A13,'AEO 2026 Table 4'!$B$6:$B$125,0),MATCH(X$1,'AEO 2026 Table 4'!$E$5:$AD$5,0))</f>
        <v/>
      </c>
      <c r="Y13">
        <f>INDEX('AEO 2026 Table 4'!$E$6:$AD$125,MATCH($A13,'AEO 2026 Table 4'!$B$6:$B$125,0),MATCH(Y$1,'AEO 2026 Table 4'!$E$5:$AD$5,0))</f>
        <v/>
      </c>
      <c r="Z13">
        <f>INDEX('AEO 2026 Table 4'!$E$6:$AD$125,MATCH($A13,'AEO 2026 Table 4'!$B$6:$B$125,0),MATCH(Z$1,'AEO 2026 Table 4'!$E$5:$AD$5,0))</f>
        <v/>
      </c>
      <c r="AA13">
        <f>INDEX('AEO 2026 Table 4'!$E$6:$AD$125,MATCH($A13,'AEO 2026 Table 4'!$B$6:$B$125,0),MATCH(AA$1,'AEO 2026 Table 4'!$E$5:$AD$5,0))</f>
        <v/>
      </c>
      <c r="AB13">
        <f>INDEX('AEO 2026 Table 4'!$E$6:$AD$125,MATCH($A13,'AEO 2026 Table 4'!$B$6:$B$125,0),MATCH(AB$1,'AEO 2026 Table 4'!$E$5:$AD$5,0))</f>
        <v/>
      </c>
      <c r="AC13">
        <f>INDEX('AEO 2026 Table 4'!$E$6:$AD$125,MATCH($A13,'AEO 2026 Table 4'!$B$6:$B$125,0),MATCH(AC$1,'AEO 2026 Table 4'!$E$5:$AD$5,0))</f>
        <v/>
      </c>
      <c r="AD13">
        <f>INDEX('AEO 2026 Table 4'!$E$6:$AD$125,MATCH($A13,'AEO 2026 Table 4'!$B$6:$B$125,0),MATCH(AD$1,'AEO 2026 Table 4'!$E$5:$AD$5,0))</f>
        <v/>
      </c>
      <c r="AE13">
        <f>INDEX('AEO 2026 Table 4'!$E$6:$AD$125,MATCH($A13,'AEO 2026 Table 4'!$B$6:$B$125,0),MATCH(AE$1,'AEO 2026 Table 4'!$E$5:$AD$5,0))</f>
        <v/>
      </c>
      <c r="AF13">
        <f>INDEX('AEO 2026 Table 4'!$E$6:$AD$125,MATCH($A13,'AEO 2026 Table 4'!$B$6:$B$125,0),MATCH(AF$1,'AEO 2026 Table 4'!$E$5:$AD$5,0))</f>
        <v/>
      </c>
      <c r="AG13">
        <f>INDEX('AEO 2026 Table 4'!$E$6:$AD$125,MATCH($A13,'AEO 2026 Table 4'!$B$6:$B$125,0),MATCH(AG$1,'AEO 2026 Table 4'!$E$5:$AD$5,0))</f>
        <v/>
      </c>
    </row>
    <row r="14">
      <c r="A14" t="inlineStr">
        <is>
          <t>Residential: Electricity: Computers: Alternative Electricity and Transportation</t>
        </is>
      </c>
      <c r="B14" t="inlineStr">
        <is>
          <t>Residential: Electricity: Computers: High Zero-Carbon Technology Cost</t>
        </is>
      </c>
      <c r="C14">
        <f>D14&amp;"-"&amp;E14&amp;"-"&amp;F14</f>
        <v/>
      </c>
      <c r="D14" t="inlineStr">
        <is>
          <t>residential</t>
        </is>
      </c>
      <c r="E14" t="inlineStr">
        <is>
          <t>other</t>
        </is>
      </c>
      <c r="F14" s="1" t="inlineStr">
        <is>
          <t>electricity (BTU)</t>
        </is>
      </c>
      <c r="G14" s="44">
        <f>INDEX(Table_4._Residential_Sector_Key!$F$8:$AG$125,MATCH($B14,Table_4._Residential_Sector_Key!$B$8:$B$125,0),MATCH(G$1,Table_4._Residential_Sector_Key!$F$5:$AG$5,0))</f>
        <v/>
      </c>
      <c r="H14">
        <f>INDEX('AEO 2026 Table 4'!$E$6:$AD$125,MATCH($A14,'AEO 2026 Table 4'!$B$6:$B$125,0),MATCH(H$1,'AEO 2026 Table 4'!$E$5:$AD$5,0))</f>
        <v/>
      </c>
      <c r="I14">
        <f>INDEX('AEO 2026 Table 4'!$E$6:$AD$125,MATCH($A14,'AEO 2026 Table 4'!$B$6:$B$125,0),MATCH(I$1,'AEO 2026 Table 4'!$E$5:$AD$5,0))</f>
        <v/>
      </c>
      <c r="J14">
        <f>INDEX('AEO 2026 Table 4'!$E$6:$AD$125,MATCH($A14,'AEO 2026 Table 4'!$B$6:$B$125,0),MATCH(J$1,'AEO 2026 Table 4'!$E$5:$AD$5,0))</f>
        <v/>
      </c>
      <c r="K14">
        <f>INDEX('AEO 2026 Table 4'!$E$6:$AD$125,MATCH($A14,'AEO 2026 Table 4'!$B$6:$B$125,0),MATCH(K$1,'AEO 2026 Table 4'!$E$5:$AD$5,0))</f>
        <v/>
      </c>
      <c r="L14">
        <f>INDEX('AEO 2026 Table 4'!$E$6:$AD$125,MATCH($A14,'AEO 2026 Table 4'!$B$6:$B$125,0),MATCH(L$1,'AEO 2026 Table 4'!$E$5:$AD$5,0))</f>
        <v/>
      </c>
      <c r="M14">
        <f>INDEX('AEO 2026 Table 4'!$E$6:$AD$125,MATCH($A14,'AEO 2026 Table 4'!$B$6:$B$125,0),MATCH(M$1,'AEO 2026 Table 4'!$E$5:$AD$5,0))</f>
        <v/>
      </c>
      <c r="N14">
        <f>INDEX('AEO 2026 Table 4'!$E$6:$AD$125,MATCH($A14,'AEO 2026 Table 4'!$B$6:$B$125,0),MATCH(N$1,'AEO 2026 Table 4'!$E$5:$AD$5,0))</f>
        <v/>
      </c>
      <c r="O14">
        <f>INDEX('AEO 2026 Table 4'!$E$6:$AD$125,MATCH($A14,'AEO 2026 Table 4'!$B$6:$B$125,0),MATCH(O$1,'AEO 2026 Table 4'!$E$5:$AD$5,0))</f>
        <v/>
      </c>
      <c r="P14">
        <f>INDEX('AEO 2026 Table 4'!$E$6:$AD$125,MATCH($A14,'AEO 2026 Table 4'!$B$6:$B$125,0),MATCH(P$1,'AEO 2026 Table 4'!$E$5:$AD$5,0))</f>
        <v/>
      </c>
      <c r="Q14">
        <f>INDEX('AEO 2026 Table 4'!$E$6:$AD$125,MATCH($A14,'AEO 2026 Table 4'!$B$6:$B$125,0),MATCH(Q$1,'AEO 2026 Table 4'!$E$5:$AD$5,0))</f>
        <v/>
      </c>
      <c r="R14">
        <f>INDEX('AEO 2026 Table 4'!$E$6:$AD$125,MATCH($A14,'AEO 2026 Table 4'!$B$6:$B$125,0),MATCH(R$1,'AEO 2026 Table 4'!$E$5:$AD$5,0))</f>
        <v/>
      </c>
      <c r="S14">
        <f>INDEX('AEO 2026 Table 4'!$E$6:$AD$125,MATCH($A14,'AEO 2026 Table 4'!$B$6:$B$125,0),MATCH(S$1,'AEO 2026 Table 4'!$E$5:$AD$5,0))</f>
        <v/>
      </c>
      <c r="T14">
        <f>INDEX('AEO 2026 Table 4'!$E$6:$AD$125,MATCH($A14,'AEO 2026 Table 4'!$B$6:$B$125,0),MATCH(T$1,'AEO 2026 Table 4'!$E$5:$AD$5,0))</f>
        <v/>
      </c>
      <c r="U14">
        <f>INDEX('AEO 2026 Table 4'!$E$6:$AD$125,MATCH($A14,'AEO 2026 Table 4'!$B$6:$B$125,0),MATCH(U$1,'AEO 2026 Table 4'!$E$5:$AD$5,0))</f>
        <v/>
      </c>
      <c r="V14">
        <f>INDEX('AEO 2026 Table 4'!$E$6:$AD$125,MATCH($A14,'AEO 2026 Table 4'!$B$6:$B$125,0),MATCH(V$1,'AEO 2026 Table 4'!$E$5:$AD$5,0))</f>
        <v/>
      </c>
      <c r="W14">
        <f>INDEX('AEO 2026 Table 4'!$E$6:$AD$125,MATCH($A14,'AEO 2026 Table 4'!$B$6:$B$125,0),MATCH(W$1,'AEO 2026 Table 4'!$E$5:$AD$5,0))</f>
        <v/>
      </c>
      <c r="X14">
        <f>INDEX('AEO 2026 Table 4'!$E$6:$AD$125,MATCH($A14,'AEO 2026 Table 4'!$B$6:$B$125,0),MATCH(X$1,'AEO 2026 Table 4'!$E$5:$AD$5,0))</f>
        <v/>
      </c>
      <c r="Y14">
        <f>INDEX('AEO 2026 Table 4'!$E$6:$AD$125,MATCH($A14,'AEO 2026 Table 4'!$B$6:$B$125,0),MATCH(Y$1,'AEO 2026 Table 4'!$E$5:$AD$5,0))</f>
        <v/>
      </c>
      <c r="Z14">
        <f>INDEX('AEO 2026 Table 4'!$E$6:$AD$125,MATCH($A14,'AEO 2026 Table 4'!$B$6:$B$125,0),MATCH(Z$1,'AEO 2026 Table 4'!$E$5:$AD$5,0))</f>
        <v/>
      </c>
      <c r="AA14">
        <f>INDEX('AEO 2026 Table 4'!$E$6:$AD$125,MATCH($A14,'AEO 2026 Table 4'!$B$6:$B$125,0),MATCH(AA$1,'AEO 2026 Table 4'!$E$5:$AD$5,0))</f>
        <v/>
      </c>
      <c r="AB14">
        <f>INDEX('AEO 2026 Table 4'!$E$6:$AD$125,MATCH($A14,'AEO 2026 Table 4'!$B$6:$B$125,0),MATCH(AB$1,'AEO 2026 Table 4'!$E$5:$AD$5,0))</f>
        <v/>
      </c>
      <c r="AC14">
        <f>INDEX('AEO 2026 Table 4'!$E$6:$AD$125,MATCH($A14,'AEO 2026 Table 4'!$B$6:$B$125,0),MATCH(AC$1,'AEO 2026 Table 4'!$E$5:$AD$5,0))</f>
        <v/>
      </c>
      <c r="AD14">
        <f>INDEX('AEO 2026 Table 4'!$E$6:$AD$125,MATCH($A14,'AEO 2026 Table 4'!$B$6:$B$125,0),MATCH(AD$1,'AEO 2026 Table 4'!$E$5:$AD$5,0))</f>
        <v/>
      </c>
      <c r="AE14">
        <f>INDEX('AEO 2026 Table 4'!$E$6:$AD$125,MATCH($A14,'AEO 2026 Table 4'!$B$6:$B$125,0),MATCH(AE$1,'AEO 2026 Table 4'!$E$5:$AD$5,0))</f>
        <v/>
      </c>
      <c r="AF14">
        <f>INDEX('AEO 2026 Table 4'!$E$6:$AD$125,MATCH($A14,'AEO 2026 Table 4'!$B$6:$B$125,0),MATCH(AF$1,'AEO 2026 Table 4'!$E$5:$AD$5,0))</f>
        <v/>
      </c>
      <c r="AG14">
        <f>INDEX('AEO 2026 Table 4'!$E$6:$AD$125,MATCH($A14,'AEO 2026 Table 4'!$B$6:$B$125,0),MATCH(AG$1,'AEO 2026 Table 4'!$E$5:$AD$5,0))</f>
        <v/>
      </c>
    </row>
    <row r="15">
      <c r="A15" t="inlineStr">
        <is>
          <t>Residential: Electricity: Fans and Pumps: Alternative Electricity and Transportation</t>
        </is>
      </c>
      <c r="B15" t="inlineStr">
        <is>
          <t>Residential: Electricity: Fans and Pumps: High Zero-Carbon Technology Cost</t>
        </is>
      </c>
      <c r="C15">
        <f>D15&amp;"-"&amp;E15&amp;"-"&amp;F15</f>
        <v/>
      </c>
      <c r="D15" t="inlineStr">
        <is>
          <t>residential</t>
        </is>
      </c>
      <c r="E15" t="inlineStr">
        <is>
          <t>cooling</t>
        </is>
      </c>
      <c r="F15" s="1" t="inlineStr">
        <is>
          <t>electricity (BTU)</t>
        </is>
      </c>
      <c r="G15" s="44">
        <f>INDEX(Table_4._Residential_Sector_Key!$F$8:$AG$125,MATCH($B15,Table_4._Residential_Sector_Key!$B$8:$B$125,0),MATCH(G$1,Table_4._Residential_Sector_Key!$F$5:$AG$5,0))</f>
        <v/>
      </c>
      <c r="H15">
        <f>INDEX('AEO 2026 Table 4'!$E$6:$AD$125,MATCH($A15,'AEO 2026 Table 4'!$B$6:$B$125,0),MATCH(H$1,'AEO 2026 Table 4'!$E$5:$AD$5,0))</f>
        <v/>
      </c>
      <c r="I15">
        <f>INDEX('AEO 2026 Table 4'!$E$6:$AD$125,MATCH($A15,'AEO 2026 Table 4'!$B$6:$B$125,0),MATCH(I$1,'AEO 2026 Table 4'!$E$5:$AD$5,0))</f>
        <v/>
      </c>
      <c r="J15">
        <f>INDEX('AEO 2026 Table 4'!$E$6:$AD$125,MATCH($A15,'AEO 2026 Table 4'!$B$6:$B$125,0),MATCH(J$1,'AEO 2026 Table 4'!$E$5:$AD$5,0))</f>
        <v/>
      </c>
      <c r="K15">
        <f>INDEX('AEO 2026 Table 4'!$E$6:$AD$125,MATCH($A15,'AEO 2026 Table 4'!$B$6:$B$125,0),MATCH(K$1,'AEO 2026 Table 4'!$E$5:$AD$5,0))</f>
        <v/>
      </c>
      <c r="L15">
        <f>INDEX('AEO 2026 Table 4'!$E$6:$AD$125,MATCH($A15,'AEO 2026 Table 4'!$B$6:$B$125,0),MATCH(L$1,'AEO 2026 Table 4'!$E$5:$AD$5,0))</f>
        <v/>
      </c>
      <c r="M15">
        <f>INDEX('AEO 2026 Table 4'!$E$6:$AD$125,MATCH($A15,'AEO 2026 Table 4'!$B$6:$B$125,0),MATCH(M$1,'AEO 2026 Table 4'!$E$5:$AD$5,0))</f>
        <v/>
      </c>
      <c r="N15">
        <f>INDEX('AEO 2026 Table 4'!$E$6:$AD$125,MATCH($A15,'AEO 2026 Table 4'!$B$6:$B$125,0),MATCH(N$1,'AEO 2026 Table 4'!$E$5:$AD$5,0))</f>
        <v/>
      </c>
      <c r="O15">
        <f>INDEX('AEO 2026 Table 4'!$E$6:$AD$125,MATCH($A15,'AEO 2026 Table 4'!$B$6:$B$125,0),MATCH(O$1,'AEO 2026 Table 4'!$E$5:$AD$5,0))</f>
        <v/>
      </c>
      <c r="P15">
        <f>INDEX('AEO 2026 Table 4'!$E$6:$AD$125,MATCH($A15,'AEO 2026 Table 4'!$B$6:$B$125,0),MATCH(P$1,'AEO 2026 Table 4'!$E$5:$AD$5,0))</f>
        <v/>
      </c>
      <c r="Q15">
        <f>INDEX('AEO 2026 Table 4'!$E$6:$AD$125,MATCH($A15,'AEO 2026 Table 4'!$B$6:$B$125,0),MATCH(Q$1,'AEO 2026 Table 4'!$E$5:$AD$5,0))</f>
        <v/>
      </c>
      <c r="R15">
        <f>INDEX('AEO 2026 Table 4'!$E$6:$AD$125,MATCH($A15,'AEO 2026 Table 4'!$B$6:$B$125,0),MATCH(R$1,'AEO 2026 Table 4'!$E$5:$AD$5,0))</f>
        <v/>
      </c>
      <c r="S15">
        <f>INDEX('AEO 2026 Table 4'!$E$6:$AD$125,MATCH($A15,'AEO 2026 Table 4'!$B$6:$B$125,0),MATCH(S$1,'AEO 2026 Table 4'!$E$5:$AD$5,0))</f>
        <v/>
      </c>
      <c r="T15">
        <f>INDEX('AEO 2026 Table 4'!$E$6:$AD$125,MATCH($A15,'AEO 2026 Table 4'!$B$6:$B$125,0),MATCH(T$1,'AEO 2026 Table 4'!$E$5:$AD$5,0))</f>
        <v/>
      </c>
      <c r="U15">
        <f>INDEX('AEO 2026 Table 4'!$E$6:$AD$125,MATCH($A15,'AEO 2026 Table 4'!$B$6:$B$125,0),MATCH(U$1,'AEO 2026 Table 4'!$E$5:$AD$5,0))</f>
        <v/>
      </c>
      <c r="V15">
        <f>INDEX('AEO 2026 Table 4'!$E$6:$AD$125,MATCH($A15,'AEO 2026 Table 4'!$B$6:$B$125,0),MATCH(V$1,'AEO 2026 Table 4'!$E$5:$AD$5,0))</f>
        <v/>
      </c>
      <c r="W15">
        <f>INDEX('AEO 2026 Table 4'!$E$6:$AD$125,MATCH($A15,'AEO 2026 Table 4'!$B$6:$B$125,0),MATCH(W$1,'AEO 2026 Table 4'!$E$5:$AD$5,0))</f>
        <v/>
      </c>
      <c r="X15">
        <f>INDEX('AEO 2026 Table 4'!$E$6:$AD$125,MATCH($A15,'AEO 2026 Table 4'!$B$6:$B$125,0),MATCH(X$1,'AEO 2026 Table 4'!$E$5:$AD$5,0))</f>
        <v/>
      </c>
      <c r="Y15">
        <f>INDEX('AEO 2026 Table 4'!$E$6:$AD$125,MATCH($A15,'AEO 2026 Table 4'!$B$6:$B$125,0),MATCH(Y$1,'AEO 2026 Table 4'!$E$5:$AD$5,0))</f>
        <v/>
      </c>
      <c r="Z15">
        <f>INDEX('AEO 2026 Table 4'!$E$6:$AD$125,MATCH($A15,'AEO 2026 Table 4'!$B$6:$B$125,0),MATCH(Z$1,'AEO 2026 Table 4'!$E$5:$AD$5,0))</f>
        <v/>
      </c>
      <c r="AA15">
        <f>INDEX('AEO 2026 Table 4'!$E$6:$AD$125,MATCH($A15,'AEO 2026 Table 4'!$B$6:$B$125,0),MATCH(AA$1,'AEO 2026 Table 4'!$E$5:$AD$5,0))</f>
        <v/>
      </c>
      <c r="AB15">
        <f>INDEX('AEO 2026 Table 4'!$E$6:$AD$125,MATCH($A15,'AEO 2026 Table 4'!$B$6:$B$125,0),MATCH(AB$1,'AEO 2026 Table 4'!$E$5:$AD$5,0))</f>
        <v/>
      </c>
      <c r="AC15">
        <f>INDEX('AEO 2026 Table 4'!$E$6:$AD$125,MATCH($A15,'AEO 2026 Table 4'!$B$6:$B$125,0),MATCH(AC$1,'AEO 2026 Table 4'!$E$5:$AD$5,0))</f>
        <v/>
      </c>
      <c r="AD15">
        <f>INDEX('AEO 2026 Table 4'!$E$6:$AD$125,MATCH($A15,'AEO 2026 Table 4'!$B$6:$B$125,0),MATCH(AD$1,'AEO 2026 Table 4'!$E$5:$AD$5,0))</f>
        <v/>
      </c>
      <c r="AE15">
        <f>INDEX('AEO 2026 Table 4'!$E$6:$AD$125,MATCH($A15,'AEO 2026 Table 4'!$B$6:$B$125,0),MATCH(AE$1,'AEO 2026 Table 4'!$E$5:$AD$5,0))</f>
        <v/>
      </c>
      <c r="AF15">
        <f>INDEX('AEO 2026 Table 4'!$E$6:$AD$125,MATCH($A15,'AEO 2026 Table 4'!$B$6:$B$125,0),MATCH(AF$1,'AEO 2026 Table 4'!$E$5:$AD$5,0))</f>
        <v/>
      </c>
      <c r="AG15">
        <f>INDEX('AEO 2026 Table 4'!$E$6:$AD$125,MATCH($A15,'AEO 2026 Table 4'!$B$6:$B$125,0),MATCH(AG$1,'AEO 2026 Table 4'!$E$5:$AD$5,0))</f>
        <v/>
      </c>
    </row>
    <row r="16">
      <c r="A16" t="inlineStr">
        <is>
          <t>Residential: Electricity: Other Uses: Alternative Electricity and Transportation</t>
        </is>
      </c>
      <c r="B16" t="inlineStr">
        <is>
          <t>Residential: Electricity: Other Uses: High Zero-Carbon Technology Cost</t>
        </is>
      </c>
      <c r="C16">
        <f>D16&amp;"-"&amp;E16&amp;"-"&amp;F16</f>
        <v/>
      </c>
      <c r="D16" t="inlineStr">
        <is>
          <t>residential</t>
        </is>
      </c>
      <c r="E16" t="inlineStr">
        <is>
          <t>other</t>
        </is>
      </c>
      <c r="F16" s="1" t="inlineStr">
        <is>
          <t>electricity (BTU)</t>
        </is>
      </c>
      <c r="G16" s="44">
        <f>INDEX(Table_4._Residential_Sector_Key!$F$8:$AG$125,MATCH($B16,Table_4._Residential_Sector_Key!$B$8:$B$125,0),MATCH(G$1,Table_4._Residential_Sector_Key!$F$5:$AG$5,0))</f>
        <v/>
      </c>
      <c r="H16">
        <f>INDEX('AEO 2026 Table 4'!$E$6:$AD$125,MATCH($A16,'AEO 2026 Table 4'!$B$6:$B$125,0),MATCH(H$1,'AEO 2026 Table 4'!$E$5:$AD$5,0))</f>
        <v/>
      </c>
      <c r="I16">
        <f>INDEX('AEO 2026 Table 4'!$E$6:$AD$125,MATCH($A16,'AEO 2026 Table 4'!$B$6:$B$125,0),MATCH(I$1,'AEO 2026 Table 4'!$E$5:$AD$5,0))</f>
        <v/>
      </c>
      <c r="J16">
        <f>INDEX('AEO 2026 Table 4'!$E$6:$AD$125,MATCH($A16,'AEO 2026 Table 4'!$B$6:$B$125,0),MATCH(J$1,'AEO 2026 Table 4'!$E$5:$AD$5,0))</f>
        <v/>
      </c>
      <c r="K16">
        <f>INDEX('AEO 2026 Table 4'!$E$6:$AD$125,MATCH($A16,'AEO 2026 Table 4'!$B$6:$B$125,0),MATCH(K$1,'AEO 2026 Table 4'!$E$5:$AD$5,0))</f>
        <v/>
      </c>
      <c r="L16">
        <f>INDEX('AEO 2026 Table 4'!$E$6:$AD$125,MATCH($A16,'AEO 2026 Table 4'!$B$6:$B$125,0),MATCH(L$1,'AEO 2026 Table 4'!$E$5:$AD$5,0))</f>
        <v/>
      </c>
      <c r="M16">
        <f>INDEX('AEO 2026 Table 4'!$E$6:$AD$125,MATCH($A16,'AEO 2026 Table 4'!$B$6:$B$125,0),MATCH(M$1,'AEO 2026 Table 4'!$E$5:$AD$5,0))</f>
        <v/>
      </c>
      <c r="N16">
        <f>INDEX('AEO 2026 Table 4'!$E$6:$AD$125,MATCH($A16,'AEO 2026 Table 4'!$B$6:$B$125,0),MATCH(N$1,'AEO 2026 Table 4'!$E$5:$AD$5,0))</f>
        <v/>
      </c>
      <c r="O16">
        <f>INDEX('AEO 2026 Table 4'!$E$6:$AD$125,MATCH($A16,'AEO 2026 Table 4'!$B$6:$B$125,0),MATCH(O$1,'AEO 2026 Table 4'!$E$5:$AD$5,0))</f>
        <v/>
      </c>
      <c r="P16">
        <f>INDEX('AEO 2026 Table 4'!$E$6:$AD$125,MATCH($A16,'AEO 2026 Table 4'!$B$6:$B$125,0),MATCH(P$1,'AEO 2026 Table 4'!$E$5:$AD$5,0))</f>
        <v/>
      </c>
      <c r="Q16">
        <f>INDEX('AEO 2026 Table 4'!$E$6:$AD$125,MATCH($A16,'AEO 2026 Table 4'!$B$6:$B$125,0),MATCH(Q$1,'AEO 2026 Table 4'!$E$5:$AD$5,0))</f>
        <v/>
      </c>
      <c r="R16">
        <f>INDEX('AEO 2026 Table 4'!$E$6:$AD$125,MATCH($A16,'AEO 2026 Table 4'!$B$6:$B$125,0),MATCH(R$1,'AEO 2026 Table 4'!$E$5:$AD$5,0))</f>
        <v/>
      </c>
      <c r="S16">
        <f>INDEX('AEO 2026 Table 4'!$E$6:$AD$125,MATCH($A16,'AEO 2026 Table 4'!$B$6:$B$125,0),MATCH(S$1,'AEO 2026 Table 4'!$E$5:$AD$5,0))</f>
        <v/>
      </c>
      <c r="T16">
        <f>INDEX('AEO 2026 Table 4'!$E$6:$AD$125,MATCH($A16,'AEO 2026 Table 4'!$B$6:$B$125,0),MATCH(T$1,'AEO 2026 Table 4'!$E$5:$AD$5,0))</f>
        <v/>
      </c>
      <c r="U16">
        <f>INDEX('AEO 2026 Table 4'!$E$6:$AD$125,MATCH($A16,'AEO 2026 Table 4'!$B$6:$B$125,0),MATCH(U$1,'AEO 2026 Table 4'!$E$5:$AD$5,0))</f>
        <v/>
      </c>
      <c r="V16">
        <f>INDEX('AEO 2026 Table 4'!$E$6:$AD$125,MATCH($A16,'AEO 2026 Table 4'!$B$6:$B$125,0),MATCH(V$1,'AEO 2026 Table 4'!$E$5:$AD$5,0))</f>
        <v/>
      </c>
      <c r="W16">
        <f>INDEX('AEO 2026 Table 4'!$E$6:$AD$125,MATCH($A16,'AEO 2026 Table 4'!$B$6:$B$125,0),MATCH(W$1,'AEO 2026 Table 4'!$E$5:$AD$5,0))</f>
        <v/>
      </c>
      <c r="X16">
        <f>INDEX('AEO 2026 Table 4'!$E$6:$AD$125,MATCH($A16,'AEO 2026 Table 4'!$B$6:$B$125,0),MATCH(X$1,'AEO 2026 Table 4'!$E$5:$AD$5,0))</f>
        <v/>
      </c>
      <c r="Y16">
        <f>INDEX('AEO 2026 Table 4'!$E$6:$AD$125,MATCH($A16,'AEO 2026 Table 4'!$B$6:$B$125,0),MATCH(Y$1,'AEO 2026 Table 4'!$E$5:$AD$5,0))</f>
        <v/>
      </c>
      <c r="Z16">
        <f>INDEX('AEO 2026 Table 4'!$E$6:$AD$125,MATCH($A16,'AEO 2026 Table 4'!$B$6:$B$125,0),MATCH(Z$1,'AEO 2026 Table 4'!$E$5:$AD$5,0))</f>
        <v/>
      </c>
      <c r="AA16">
        <f>INDEX('AEO 2026 Table 4'!$E$6:$AD$125,MATCH($A16,'AEO 2026 Table 4'!$B$6:$B$125,0),MATCH(AA$1,'AEO 2026 Table 4'!$E$5:$AD$5,0))</f>
        <v/>
      </c>
      <c r="AB16">
        <f>INDEX('AEO 2026 Table 4'!$E$6:$AD$125,MATCH($A16,'AEO 2026 Table 4'!$B$6:$B$125,0),MATCH(AB$1,'AEO 2026 Table 4'!$E$5:$AD$5,0))</f>
        <v/>
      </c>
      <c r="AC16">
        <f>INDEX('AEO 2026 Table 4'!$E$6:$AD$125,MATCH($A16,'AEO 2026 Table 4'!$B$6:$B$125,0),MATCH(AC$1,'AEO 2026 Table 4'!$E$5:$AD$5,0))</f>
        <v/>
      </c>
      <c r="AD16">
        <f>INDEX('AEO 2026 Table 4'!$E$6:$AD$125,MATCH($A16,'AEO 2026 Table 4'!$B$6:$B$125,0),MATCH(AD$1,'AEO 2026 Table 4'!$E$5:$AD$5,0))</f>
        <v/>
      </c>
      <c r="AE16">
        <f>INDEX('AEO 2026 Table 4'!$E$6:$AD$125,MATCH($A16,'AEO 2026 Table 4'!$B$6:$B$125,0),MATCH(AE$1,'AEO 2026 Table 4'!$E$5:$AD$5,0))</f>
        <v/>
      </c>
      <c r="AF16">
        <f>INDEX('AEO 2026 Table 4'!$E$6:$AD$125,MATCH($A16,'AEO 2026 Table 4'!$B$6:$B$125,0),MATCH(AF$1,'AEO 2026 Table 4'!$E$5:$AD$5,0))</f>
        <v/>
      </c>
      <c r="AG16">
        <f>INDEX('AEO 2026 Table 4'!$E$6:$AD$125,MATCH($A16,'AEO 2026 Table 4'!$B$6:$B$125,0),MATCH(AG$1,'AEO 2026 Table 4'!$E$5:$AD$5,0))</f>
        <v/>
      </c>
    </row>
    <row r="17">
      <c r="A17" t="inlineStr">
        <is>
          <t>Residential: Electricity: Gross End-use Electricity Consumption: Alternative Electricity and Transportation</t>
        </is>
      </c>
      <c r="B17" t="inlineStr">
        <is>
          <t>Residential: Electricity: Gross End-use Electricity Consumption: High Zero-Carbon Technology Cost</t>
        </is>
      </c>
      <c r="C17">
        <f>D17&amp;"-"&amp;E17&amp;"-"&amp;F17</f>
        <v/>
      </c>
      <c r="D17" t="inlineStr">
        <is>
          <t>residential</t>
        </is>
      </c>
      <c r="E17" t="inlineStr">
        <is>
          <t>total</t>
        </is>
      </c>
      <c r="F17" s="1" t="inlineStr">
        <is>
          <t>electricity (BTU)</t>
        </is>
      </c>
      <c r="G17" s="44">
        <f>INDEX(Table_4._Residential_Sector_Key!$F$8:$AG$125,MATCH($B17,Table_4._Residential_Sector_Key!$B$8:$B$125,0),MATCH(G$1,Table_4._Residential_Sector_Key!$F$5:$AG$5,0))</f>
        <v/>
      </c>
      <c r="H17">
        <f>INDEX('AEO 2026 Table 4'!$E$6:$AD$125,MATCH($A17,'AEO 2026 Table 4'!$B$6:$B$125,0),MATCH(H$1,'AEO 2026 Table 4'!$E$5:$AD$5,0))</f>
        <v/>
      </c>
      <c r="I17">
        <f>INDEX('AEO 2026 Table 4'!$E$6:$AD$125,MATCH($A17,'AEO 2026 Table 4'!$B$6:$B$125,0),MATCH(I$1,'AEO 2026 Table 4'!$E$5:$AD$5,0))</f>
        <v/>
      </c>
      <c r="J17">
        <f>INDEX('AEO 2026 Table 4'!$E$6:$AD$125,MATCH($A17,'AEO 2026 Table 4'!$B$6:$B$125,0),MATCH(J$1,'AEO 2026 Table 4'!$E$5:$AD$5,0))</f>
        <v/>
      </c>
      <c r="K17">
        <f>INDEX('AEO 2026 Table 4'!$E$6:$AD$125,MATCH($A17,'AEO 2026 Table 4'!$B$6:$B$125,0),MATCH(K$1,'AEO 2026 Table 4'!$E$5:$AD$5,0))</f>
        <v/>
      </c>
      <c r="L17">
        <f>INDEX('AEO 2026 Table 4'!$E$6:$AD$125,MATCH($A17,'AEO 2026 Table 4'!$B$6:$B$125,0),MATCH(L$1,'AEO 2026 Table 4'!$E$5:$AD$5,0))</f>
        <v/>
      </c>
      <c r="M17">
        <f>INDEX('AEO 2026 Table 4'!$E$6:$AD$125,MATCH($A17,'AEO 2026 Table 4'!$B$6:$B$125,0),MATCH(M$1,'AEO 2026 Table 4'!$E$5:$AD$5,0))</f>
        <v/>
      </c>
      <c r="N17">
        <f>INDEX('AEO 2026 Table 4'!$E$6:$AD$125,MATCH($A17,'AEO 2026 Table 4'!$B$6:$B$125,0),MATCH(N$1,'AEO 2026 Table 4'!$E$5:$AD$5,0))</f>
        <v/>
      </c>
      <c r="O17">
        <f>INDEX('AEO 2026 Table 4'!$E$6:$AD$125,MATCH($A17,'AEO 2026 Table 4'!$B$6:$B$125,0),MATCH(O$1,'AEO 2026 Table 4'!$E$5:$AD$5,0))</f>
        <v/>
      </c>
      <c r="P17">
        <f>INDEX('AEO 2026 Table 4'!$E$6:$AD$125,MATCH($A17,'AEO 2026 Table 4'!$B$6:$B$125,0),MATCH(P$1,'AEO 2026 Table 4'!$E$5:$AD$5,0))</f>
        <v/>
      </c>
      <c r="Q17">
        <f>INDEX('AEO 2026 Table 4'!$E$6:$AD$125,MATCH($A17,'AEO 2026 Table 4'!$B$6:$B$125,0),MATCH(Q$1,'AEO 2026 Table 4'!$E$5:$AD$5,0))</f>
        <v/>
      </c>
      <c r="R17">
        <f>INDEX('AEO 2026 Table 4'!$E$6:$AD$125,MATCH($A17,'AEO 2026 Table 4'!$B$6:$B$125,0),MATCH(R$1,'AEO 2026 Table 4'!$E$5:$AD$5,0))</f>
        <v/>
      </c>
      <c r="S17">
        <f>INDEX('AEO 2026 Table 4'!$E$6:$AD$125,MATCH($A17,'AEO 2026 Table 4'!$B$6:$B$125,0),MATCH(S$1,'AEO 2026 Table 4'!$E$5:$AD$5,0))</f>
        <v/>
      </c>
      <c r="T17">
        <f>INDEX('AEO 2026 Table 4'!$E$6:$AD$125,MATCH($A17,'AEO 2026 Table 4'!$B$6:$B$125,0),MATCH(T$1,'AEO 2026 Table 4'!$E$5:$AD$5,0))</f>
        <v/>
      </c>
      <c r="U17">
        <f>INDEX('AEO 2026 Table 4'!$E$6:$AD$125,MATCH($A17,'AEO 2026 Table 4'!$B$6:$B$125,0),MATCH(U$1,'AEO 2026 Table 4'!$E$5:$AD$5,0))</f>
        <v/>
      </c>
      <c r="V17">
        <f>INDEX('AEO 2026 Table 4'!$E$6:$AD$125,MATCH($A17,'AEO 2026 Table 4'!$B$6:$B$125,0),MATCH(V$1,'AEO 2026 Table 4'!$E$5:$AD$5,0))</f>
        <v/>
      </c>
      <c r="W17">
        <f>INDEX('AEO 2026 Table 4'!$E$6:$AD$125,MATCH($A17,'AEO 2026 Table 4'!$B$6:$B$125,0),MATCH(W$1,'AEO 2026 Table 4'!$E$5:$AD$5,0))</f>
        <v/>
      </c>
      <c r="X17">
        <f>INDEX('AEO 2026 Table 4'!$E$6:$AD$125,MATCH($A17,'AEO 2026 Table 4'!$B$6:$B$125,0),MATCH(X$1,'AEO 2026 Table 4'!$E$5:$AD$5,0))</f>
        <v/>
      </c>
      <c r="Y17">
        <f>INDEX('AEO 2026 Table 4'!$E$6:$AD$125,MATCH($A17,'AEO 2026 Table 4'!$B$6:$B$125,0),MATCH(Y$1,'AEO 2026 Table 4'!$E$5:$AD$5,0))</f>
        <v/>
      </c>
      <c r="Z17">
        <f>INDEX('AEO 2026 Table 4'!$E$6:$AD$125,MATCH($A17,'AEO 2026 Table 4'!$B$6:$B$125,0),MATCH(Z$1,'AEO 2026 Table 4'!$E$5:$AD$5,0))</f>
        <v/>
      </c>
      <c r="AA17">
        <f>INDEX('AEO 2026 Table 4'!$E$6:$AD$125,MATCH($A17,'AEO 2026 Table 4'!$B$6:$B$125,0),MATCH(AA$1,'AEO 2026 Table 4'!$E$5:$AD$5,0))</f>
        <v/>
      </c>
      <c r="AB17">
        <f>INDEX('AEO 2026 Table 4'!$E$6:$AD$125,MATCH($A17,'AEO 2026 Table 4'!$B$6:$B$125,0),MATCH(AB$1,'AEO 2026 Table 4'!$E$5:$AD$5,0))</f>
        <v/>
      </c>
      <c r="AC17">
        <f>INDEX('AEO 2026 Table 4'!$E$6:$AD$125,MATCH($A17,'AEO 2026 Table 4'!$B$6:$B$125,0),MATCH(AC$1,'AEO 2026 Table 4'!$E$5:$AD$5,0))</f>
        <v/>
      </c>
      <c r="AD17">
        <f>INDEX('AEO 2026 Table 4'!$E$6:$AD$125,MATCH($A17,'AEO 2026 Table 4'!$B$6:$B$125,0),MATCH(AD$1,'AEO 2026 Table 4'!$E$5:$AD$5,0))</f>
        <v/>
      </c>
      <c r="AE17">
        <f>INDEX('AEO 2026 Table 4'!$E$6:$AD$125,MATCH($A17,'AEO 2026 Table 4'!$B$6:$B$125,0),MATCH(AE$1,'AEO 2026 Table 4'!$E$5:$AD$5,0))</f>
        <v/>
      </c>
      <c r="AF17">
        <f>INDEX('AEO 2026 Table 4'!$E$6:$AD$125,MATCH($A17,'AEO 2026 Table 4'!$B$6:$B$125,0),MATCH(AF$1,'AEO 2026 Table 4'!$E$5:$AD$5,0))</f>
        <v/>
      </c>
      <c r="AG17">
        <f>INDEX('AEO 2026 Table 4'!$E$6:$AD$125,MATCH($A17,'AEO 2026 Table 4'!$B$6:$B$125,0),MATCH(AG$1,'AEO 2026 Table 4'!$E$5:$AD$5,0))</f>
        <v/>
      </c>
    </row>
    <row r="18">
      <c r="A18" t="inlineStr">
        <is>
          <t>Residential: Electricity: Purchased Electricity for EV Charging: Alternative Electricity and Transportation</t>
        </is>
      </c>
      <c r="B18" t="inlineStr">
        <is>
          <t>Residential: Electricity: Purchased Electricity for EV Charging: High Zero-Carbon Technology Cost</t>
        </is>
      </c>
      <c r="C18">
        <f>D18&amp;"-"&amp;E18&amp;"-"&amp;F18</f>
        <v/>
      </c>
      <c r="D18" t="inlineStr">
        <is>
          <t>residential</t>
        </is>
      </c>
      <c r="E18" t="inlineStr">
        <is>
          <t>NA</t>
        </is>
      </c>
      <c r="F18" s="1" t="inlineStr">
        <is>
          <t>electricity (BTU)</t>
        </is>
      </c>
      <c r="G18" s="44">
        <f>INDEX(Table_4._Residential_Sector_Key!$F$8:$AG$125,MATCH($B18,Table_4._Residential_Sector_Key!$B$8:$B$125,0),MATCH(G$1,Table_4._Residential_Sector_Key!$F$5:$AG$5,0))</f>
        <v/>
      </c>
      <c r="H18">
        <f>INDEX('AEO 2026 Table 4'!$E$6:$AD$125,MATCH($A18,'AEO 2026 Table 4'!$B$6:$B$125,0),MATCH(H$1,'AEO 2026 Table 4'!$E$5:$AD$5,0))</f>
        <v/>
      </c>
      <c r="I18">
        <f>INDEX('AEO 2026 Table 4'!$E$6:$AD$125,MATCH($A18,'AEO 2026 Table 4'!$B$6:$B$125,0),MATCH(I$1,'AEO 2026 Table 4'!$E$5:$AD$5,0))</f>
        <v/>
      </c>
      <c r="J18">
        <f>INDEX('AEO 2026 Table 4'!$E$6:$AD$125,MATCH($A18,'AEO 2026 Table 4'!$B$6:$B$125,0),MATCH(J$1,'AEO 2026 Table 4'!$E$5:$AD$5,0))</f>
        <v/>
      </c>
      <c r="K18">
        <f>INDEX('AEO 2026 Table 4'!$E$6:$AD$125,MATCH($A18,'AEO 2026 Table 4'!$B$6:$B$125,0),MATCH(K$1,'AEO 2026 Table 4'!$E$5:$AD$5,0))</f>
        <v/>
      </c>
      <c r="L18">
        <f>INDEX('AEO 2026 Table 4'!$E$6:$AD$125,MATCH($A18,'AEO 2026 Table 4'!$B$6:$B$125,0),MATCH(L$1,'AEO 2026 Table 4'!$E$5:$AD$5,0))</f>
        <v/>
      </c>
      <c r="M18">
        <f>INDEX('AEO 2026 Table 4'!$E$6:$AD$125,MATCH($A18,'AEO 2026 Table 4'!$B$6:$B$125,0),MATCH(M$1,'AEO 2026 Table 4'!$E$5:$AD$5,0))</f>
        <v/>
      </c>
      <c r="N18">
        <f>INDEX('AEO 2026 Table 4'!$E$6:$AD$125,MATCH($A18,'AEO 2026 Table 4'!$B$6:$B$125,0),MATCH(N$1,'AEO 2026 Table 4'!$E$5:$AD$5,0))</f>
        <v/>
      </c>
      <c r="O18">
        <f>INDEX('AEO 2026 Table 4'!$E$6:$AD$125,MATCH($A18,'AEO 2026 Table 4'!$B$6:$B$125,0),MATCH(O$1,'AEO 2026 Table 4'!$E$5:$AD$5,0))</f>
        <v/>
      </c>
      <c r="P18">
        <f>INDEX('AEO 2026 Table 4'!$E$6:$AD$125,MATCH($A18,'AEO 2026 Table 4'!$B$6:$B$125,0),MATCH(P$1,'AEO 2026 Table 4'!$E$5:$AD$5,0))</f>
        <v/>
      </c>
      <c r="Q18">
        <f>INDEX('AEO 2026 Table 4'!$E$6:$AD$125,MATCH($A18,'AEO 2026 Table 4'!$B$6:$B$125,0),MATCH(Q$1,'AEO 2026 Table 4'!$E$5:$AD$5,0))</f>
        <v/>
      </c>
      <c r="R18">
        <f>INDEX('AEO 2026 Table 4'!$E$6:$AD$125,MATCH($A18,'AEO 2026 Table 4'!$B$6:$B$125,0),MATCH(R$1,'AEO 2026 Table 4'!$E$5:$AD$5,0))</f>
        <v/>
      </c>
      <c r="S18">
        <f>INDEX('AEO 2026 Table 4'!$E$6:$AD$125,MATCH($A18,'AEO 2026 Table 4'!$B$6:$B$125,0),MATCH(S$1,'AEO 2026 Table 4'!$E$5:$AD$5,0))</f>
        <v/>
      </c>
      <c r="T18">
        <f>INDEX('AEO 2026 Table 4'!$E$6:$AD$125,MATCH($A18,'AEO 2026 Table 4'!$B$6:$B$125,0),MATCH(T$1,'AEO 2026 Table 4'!$E$5:$AD$5,0))</f>
        <v/>
      </c>
      <c r="U18">
        <f>INDEX('AEO 2026 Table 4'!$E$6:$AD$125,MATCH($A18,'AEO 2026 Table 4'!$B$6:$B$125,0),MATCH(U$1,'AEO 2026 Table 4'!$E$5:$AD$5,0))</f>
        <v/>
      </c>
      <c r="V18">
        <f>INDEX('AEO 2026 Table 4'!$E$6:$AD$125,MATCH($A18,'AEO 2026 Table 4'!$B$6:$B$125,0),MATCH(V$1,'AEO 2026 Table 4'!$E$5:$AD$5,0))</f>
        <v/>
      </c>
      <c r="W18">
        <f>INDEX('AEO 2026 Table 4'!$E$6:$AD$125,MATCH($A18,'AEO 2026 Table 4'!$B$6:$B$125,0),MATCH(W$1,'AEO 2026 Table 4'!$E$5:$AD$5,0))</f>
        <v/>
      </c>
      <c r="X18">
        <f>INDEX('AEO 2026 Table 4'!$E$6:$AD$125,MATCH($A18,'AEO 2026 Table 4'!$B$6:$B$125,0),MATCH(X$1,'AEO 2026 Table 4'!$E$5:$AD$5,0))</f>
        <v/>
      </c>
      <c r="Y18">
        <f>INDEX('AEO 2026 Table 4'!$E$6:$AD$125,MATCH($A18,'AEO 2026 Table 4'!$B$6:$B$125,0),MATCH(Y$1,'AEO 2026 Table 4'!$E$5:$AD$5,0))</f>
        <v/>
      </c>
      <c r="Z18">
        <f>INDEX('AEO 2026 Table 4'!$E$6:$AD$125,MATCH($A18,'AEO 2026 Table 4'!$B$6:$B$125,0),MATCH(Z$1,'AEO 2026 Table 4'!$E$5:$AD$5,0))</f>
        <v/>
      </c>
      <c r="AA18">
        <f>INDEX('AEO 2026 Table 4'!$E$6:$AD$125,MATCH($A18,'AEO 2026 Table 4'!$B$6:$B$125,0),MATCH(AA$1,'AEO 2026 Table 4'!$E$5:$AD$5,0))</f>
        <v/>
      </c>
      <c r="AB18">
        <f>INDEX('AEO 2026 Table 4'!$E$6:$AD$125,MATCH($A18,'AEO 2026 Table 4'!$B$6:$B$125,0),MATCH(AB$1,'AEO 2026 Table 4'!$E$5:$AD$5,0))</f>
        <v/>
      </c>
      <c r="AC18">
        <f>INDEX('AEO 2026 Table 4'!$E$6:$AD$125,MATCH($A18,'AEO 2026 Table 4'!$B$6:$B$125,0),MATCH(AC$1,'AEO 2026 Table 4'!$E$5:$AD$5,0))</f>
        <v/>
      </c>
      <c r="AD18">
        <f>INDEX('AEO 2026 Table 4'!$E$6:$AD$125,MATCH($A18,'AEO 2026 Table 4'!$B$6:$B$125,0),MATCH(AD$1,'AEO 2026 Table 4'!$E$5:$AD$5,0))</f>
        <v/>
      </c>
      <c r="AE18">
        <f>INDEX('AEO 2026 Table 4'!$E$6:$AD$125,MATCH($A18,'AEO 2026 Table 4'!$B$6:$B$125,0),MATCH(AE$1,'AEO 2026 Table 4'!$E$5:$AD$5,0))</f>
        <v/>
      </c>
      <c r="AF18">
        <f>INDEX('AEO 2026 Table 4'!$E$6:$AD$125,MATCH($A18,'AEO 2026 Table 4'!$B$6:$B$125,0),MATCH(AF$1,'AEO 2026 Table 4'!$E$5:$AD$5,0))</f>
        <v/>
      </c>
      <c r="AG18">
        <f>INDEX('AEO 2026 Table 4'!$E$6:$AD$125,MATCH($A18,'AEO 2026 Table 4'!$B$6:$B$125,0),MATCH(AG$1,'AEO 2026 Table 4'!$E$5:$AD$5,0))</f>
        <v/>
      </c>
    </row>
    <row r="19">
      <c r="A19" t="inlineStr">
        <is>
          <t>Residential: Electricity: Generation for Own Use: Alternative Electricity and Transportation</t>
        </is>
      </c>
      <c r="B19" t="inlineStr">
        <is>
          <t>Residential: Electricity: Generation for Own Use: High Zero-Carbon Technology Cost</t>
        </is>
      </c>
      <c r="C19">
        <f>D19&amp;"-"&amp;E19&amp;"-"&amp;F19</f>
        <v/>
      </c>
      <c r="D19" t="inlineStr">
        <is>
          <t>residential</t>
        </is>
      </c>
      <c r="E19" t="inlineStr">
        <is>
          <t>NA</t>
        </is>
      </c>
      <c r="F19" s="1" t="inlineStr">
        <is>
          <t>electricity (BTU)</t>
        </is>
      </c>
      <c r="G19" s="44">
        <f>INDEX(Table_4._Residential_Sector_Key!$F$8:$AG$125,MATCH($B19,Table_4._Residential_Sector_Key!$B$8:$B$125,0),MATCH(G$1,Table_4._Residential_Sector_Key!$F$5:$AG$5,0))</f>
        <v/>
      </c>
      <c r="H19">
        <f>INDEX('AEO 2026 Table 4'!$E$6:$AD$125,MATCH($A19,'AEO 2026 Table 4'!$B$6:$B$125,0),MATCH(H$1,'AEO 2026 Table 4'!$E$5:$AD$5,0))</f>
        <v/>
      </c>
      <c r="I19">
        <f>INDEX('AEO 2026 Table 4'!$E$6:$AD$125,MATCH($A19,'AEO 2026 Table 4'!$B$6:$B$125,0),MATCH(I$1,'AEO 2026 Table 4'!$E$5:$AD$5,0))</f>
        <v/>
      </c>
      <c r="J19">
        <f>INDEX('AEO 2026 Table 4'!$E$6:$AD$125,MATCH($A19,'AEO 2026 Table 4'!$B$6:$B$125,0),MATCH(J$1,'AEO 2026 Table 4'!$E$5:$AD$5,0))</f>
        <v/>
      </c>
      <c r="K19">
        <f>INDEX('AEO 2026 Table 4'!$E$6:$AD$125,MATCH($A19,'AEO 2026 Table 4'!$B$6:$B$125,0),MATCH(K$1,'AEO 2026 Table 4'!$E$5:$AD$5,0))</f>
        <v/>
      </c>
      <c r="L19">
        <f>INDEX('AEO 2026 Table 4'!$E$6:$AD$125,MATCH($A19,'AEO 2026 Table 4'!$B$6:$B$125,0),MATCH(L$1,'AEO 2026 Table 4'!$E$5:$AD$5,0))</f>
        <v/>
      </c>
      <c r="M19">
        <f>INDEX('AEO 2026 Table 4'!$E$6:$AD$125,MATCH($A19,'AEO 2026 Table 4'!$B$6:$B$125,0),MATCH(M$1,'AEO 2026 Table 4'!$E$5:$AD$5,0))</f>
        <v/>
      </c>
      <c r="N19">
        <f>INDEX('AEO 2026 Table 4'!$E$6:$AD$125,MATCH($A19,'AEO 2026 Table 4'!$B$6:$B$125,0),MATCH(N$1,'AEO 2026 Table 4'!$E$5:$AD$5,0))</f>
        <v/>
      </c>
      <c r="O19">
        <f>INDEX('AEO 2026 Table 4'!$E$6:$AD$125,MATCH($A19,'AEO 2026 Table 4'!$B$6:$B$125,0),MATCH(O$1,'AEO 2026 Table 4'!$E$5:$AD$5,0))</f>
        <v/>
      </c>
      <c r="P19">
        <f>INDEX('AEO 2026 Table 4'!$E$6:$AD$125,MATCH($A19,'AEO 2026 Table 4'!$B$6:$B$125,0),MATCH(P$1,'AEO 2026 Table 4'!$E$5:$AD$5,0))</f>
        <v/>
      </c>
      <c r="Q19">
        <f>INDEX('AEO 2026 Table 4'!$E$6:$AD$125,MATCH($A19,'AEO 2026 Table 4'!$B$6:$B$125,0),MATCH(Q$1,'AEO 2026 Table 4'!$E$5:$AD$5,0))</f>
        <v/>
      </c>
      <c r="R19">
        <f>INDEX('AEO 2026 Table 4'!$E$6:$AD$125,MATCH($A19,'AEO 2026 Table 4'!$B$6:$B$125,0),MATCH(R$1,'AEO 2026 Table 4'!$E$5:$AD$5,0))</f>
        <v/>
      </c>
      <c r="S19">
        <f>INDEX('AEO 2026 Table 4'!$E$6:$AD$125,MATCH($A19,'AEO 2026 Table 4'!$B$6:$B$125,0),MATCH(S$1,'AEO 2026 Table 4'!$E$5:$AD$5,0))</f>
        <v/>
      </c>
      <c r="T19">
        <f>INDEX('AEO 2026 Table 4'!$E$6:$AD$125,MATCH($A19,'AEO 2026 Table 4'!$B$6:$B$125,0),MATCH(T$1,'AEO 2026 Table 4'!$E$5:$AD$5,0))</f>
        <v/>
      </c>
      <c r="U19">
        <f>INDEX('AEO 2026 Table 4'!$E$6:$AD$125,MATCH($A19,'AEO 2026 Table 4'!$B$6:$B$125,0),MATCH(U$1,'AEO 2026 Table 4'!$E$5:$AD$5,0))</f>
        <v/>
      </c>
      <c r="V19">
        <f>INDEX('AEO 2026 Table 4'!$E$6:$AD$125,MATCH($A19,'AEO 2026 Table 4'!$B$6:$B$125,0),MATCH(V$1,'AEO 2026 Table 4'!$E$5:$AD$5,0))</f>
        <v/>
      </c>
      <c r="W19">
        <f>INDEX('AEO 2026 Table 4'!$E$6:$AD$125,MATCH($A19,'AEO 2026 Table 4'!$B$6:$B$125,0),MATCH(W$1,'AEO 2026 Table 4'!$E$5:$AD$5,0))</f>
        <v/>
      </c>
      <c r="X19">
        <f>INDEX('AEO 2026 Table 4'!$E$6:$AD$125,MATCH($A19,'AEO 2026 Table 4'!$B$6:$B$125,0),MATCH(X$1,'AEO 2026 Table 4'!$E$5:$AD$5,0))</f>
        <v/>
      </c>
      <c r="Y19">
        <f>INDEX('AEO 2026 Table 4'!$E$6:$AD$125,MATCH($A19,'AEO 2026 Table 4'!$B$6:$B$125,0),MATCH(Y$1,'AEO 2026 Table 4'!$E$5:$AD$5,0))</f>
        <v/>
      </c>
      <c r="Z19">
        <f>INDEX('AEO 2026 Table 4'!$E$6:$AD$125,MATCH($A19,'AEO 2026 Table 4'!$B$6:$B$125,0),MATCH(Z$1,'AEO 2026 Table 4'!$E$5:$AD$5,0))</f>
        <v/>
      </c>
      <c r="AA19">
        <f>INDEX('AEO 2026 Table 4'!$E$6:$AD$125,MATCH($A19,'AEO 2026 Table 4'!$B$6:$B$125,0),MATCH(AA$1,'AEO 2026 Table 4'!$E$5:$AD$5,0))</f>
        <v/>
      </c>
      <c r="AB19">
        <f>INDEX('AEO 2026 Table 4'!$E$6:$AD$125,MATCH($A19,'AEO 2026 Table 4'!$B$6:$B$125,0),MATCH(AB$1,'AEO 2026 Table 4'!$E$5:$AD$5,0))</f>
        <v/>
      </c>
      <c r="AC19">
        <f>INDEX('AEO 2026 Table 4'!$E$6:$AD$125,MATCH($A19,'AEO 2026 Table 4'!$B$6:$B$125,0),MATCH(AC$1,'AEO 2026 Table 4'!$E$5:$AD$5,0))</f>
        <v/>
      </c>
      <c r="AD19">
        <f>INDEX('AEO 2026 Table 4'!$E$6:$AD$125,MATCH($A19,'AEO 2026 Table 4'!$B$6:$B$125,0),MATCH(AD$1,'AEO 2026 Table 4'!$E$5:$AD$5,0))</f>
        <v/>
      </c>
      <c r="AE19">
        <f>INDEX('AEO 2026 Table 4'!$E$6:$AD$125,MATCH($A19,'AEO 2026 Table 4'!$B$6:$B$125,0),MATCH(AE$1,'AEO 2026 Table 4'!$E$5:$AD$5,0))</f>
        <v/>
      </c>
      <c r="AF19">
        <f>INDEX('AEO 2026 Table 4'!$E$6:$AD$125,MATCH($A19,'AEO 2026 Table 4'!$B$6:$B$125,0),MATCH(AF$1,'AEO 2026 Table 4'!$E$5:$AD$5,0))</f>
        <v/>
      </c>
      <c r="AG19">
        <f>INDEX('AEO 2026 Table 4'!$E$6:$AD$125,MATCH($A19,'AEO 2026 Table 4'!$B$6:$B$125,0),MATCH(AG$1,'AEO 2026 Table 4'!$E$5:$AD$5,0))</f>
        <v/>
      </c>
    </row>
    <row r="20">
      <c r="A20" t="inlineStr">
        <is>
          <t>Residential: Electricity: Purchased Electricity at Residential Location: Alternative Electricity and Transportation</t>
        </is>
      </c>
      <c r="B20" t="inlineStr">
        <is>
          <t>Residential: Electricity: Purchased Electricity at Residential Location: High Zero-Carbon Technology Cost</t>
        </is>
      </c>
      <c r="C20">
        <f>D20&amp;"-"&amp;E20&amp;"-"&amp;F20</f>
        <v/>
      </c>
      <c r="D20" t="inlineStr">
        <is>
          <t>residential</t>
        </is>
      </c>
      <c r="E20" t="inlineStr">
        <is>
          <t>total</t>
        </is>
      </c>
      <c r="F20" s="1" t="inlineStr">
        <is>
          <t>electricity (BTU)</t>
        </is>
      </c>
      <c r="G20" s="44">
        <f>INDEX(Table_4._Residential_Sector_Key!$F$8:$AG$125,MATCH($B20,Table_4._Residential_Sector_Key!$B$8:$B$125,0),MATCH(G$1,Table_4._Residential_Sector_Key!$F$5:$AG$5,0))</f>
        <v/>
      </c>
      <c r="H20">
        <f>INDEX('AEO 2026 Table 4'!$E$6:$AD$125,MATCH($A20,'AEO 2026 Table 4'!$B$6:$B$125,0),MATCH(H$1,'AEO 2026 Table 4'!$E$5:$AD$5,0))</f>
        <v/>
      </c>
      <c r="I20">
        <f>INDEX('AEO 2026 Table 4'!$E$6:$AD$125,MATCH($A20,'AEO 2026 Table 4'!$B$6:$B$125,0),MATCH(I$1,'AEO 2026 Table 4'!$E$5:$AD$5,0))</f>
        <v/>
      </c>
      <c r="J20">
        <f>INDEX('AEO 2026 Table 4'!$E$6:$AD$125,MATCH($A20,'AEO 2026 Table 4'!$B$6:$B$125,0),MATCH(J$1,'AEO 2026 Table 4'!$E$5:$AD$5,0))</f>
        <v/>
      </c>
      <c r="K20">
        <f>INDEX('AEO 2026 Table 4'!$E$6:$AD$125,MATCH($A20,'AEO 2026 Table 4'!$B$6:$B$125,0),MATCH(K$1,'AEO 2026 Table 4'!$E$5:$AD$5,0))</f>
        <v/>
      </c>
      <c r="L20">
        <f>INDEX('AEO 2026 Table 4'!$E$6:$AD$125,MATCH($A20,'AEO 2026 Table 4'!$B$6:$B$125,0),MATCH(L$1,'AEO 2026 Table 4'!$E$5:$AD$5,0))</f>
        <v/>
      </c>
      <c r="M20">
        <f>INDEX('AEO 2026 Table 4'!$E$6:$AD$125,MATCH($A20,'AEO 2026 Table 4'!$B$6:$B$125,0),MATCH(M$1,'AEO 2026 Table 4'!$E$5:$AD$5,0))</f>
        <v/>
      </c>
      <c r="N20">
        <f>INDEX('AEO 2026 Table 4'!$E$6:$AD$125,MATCH($A20,'AEO 2026 Table 4'!$B$6:$B$125,0),MATCH(N$1,'AEO 2026 Table 4'!$E$5:$AD$5,0))</f>
        <v/>
      </c>
      <c r="O20">
        <f>INDEX('AEO 2026 Table 4'!$E$6:$AD$125,MATCH($A20,'AEO 2026 Table 4'!$B$6:$B$125,0),MATCH(O$1,'AEO 2026 Table 4'!$E$5:$AD$5,0))</f>
        <v/>
      </c>
      <c r="P20">
        <f>INDEX('AEO 2026 Table 4'!$E$6:$AD$125,MATCH($A20,'AEO 2026 Table 4'!$B$6:$B$125,0),MATCH(P$1,'AEO 2026 Table 4'!$E$5:$AD$5,0))</f>
        <v/>
      </c>
      <c r="Q20">
        <f>INDEX('AEO 2026 Table 4'!$E$6:$AD$125,MATCH($A20,'AEO 2026 Table 4'!$B$6:$B$125,0),MATCH(Q$1,'AEO 2026 Table 4'!$E$5:$AD$5,0))</f>
        <v/>
      </c>
      <c r="R20">
        <f>INDEX('AEO 2026 Table 4'!$E$6:$AD$125,MATCH($A20,'AEO 2026 Table 4'!$B$6:$B$125,0),MATCH(R$1,'AEO 2026 Table 4'!$E$5:$AD$5,0))</f>
        <v/>
      </c>
      <c r="S20">
        <f>INDEX('AEO 2026 Table 4'!$E$6:$AD$125,MATCH($A20,'AEO 2026 Table 4'!$B$6:$B$125,0),MATCH(S$1,'AEO 2026 Table 4'!$E$5:$AD$5,0))</f>
        <v/>
      </c>
      <c r="T20">
        <f>INDEX('AEO 2026 Table 4'!$E$6:$AD$125,MATCH($A20,'AEO 2026 Table 4'!$B$6:$B$125,0),MATCH(T$1,'AEO 2026 Table 4'!$E$5:$AD$5,0))</f>
        <v/>
      </c>
      <c r="U20">
        <f>INDEX('AEO 2026 Table 4'!$E$6:$AD$125,MATCH($A20,'AEO 2026 Table 4'!$B$6:$B$125,0),MATCH(U$1,'AEO 2026 Table 4'!$E$5:$AD$5,0))</f>
        <v/>
      </c>
      <c r="V20">
        <f>INDEX('AEO 2026 Table 4'!$E$6:$AD$125,MATCH($A20,'AEO 2026 Table 4'!$B$6:$B$125,0),MATCH(V$1,'AEO 2026 Table 4'!$E$5:$AD$5,0))</f>
        <v/>
      </c>
      <c r="W20">
        <f>INDEX('AEO 2026 Table 4'!$E$6:$AD$125,MATCH($A20,'AEO 2026 Table 4'!$B$6:$B$125,0),MATCH(W$1,'AEO 2026 Table 4'!$E$5:$AD$5,0))</f>
        <v/>
      </c>
      <c r="X20">
        <f>INDEX('AEO 2026 Table 4'!$E$6:$AD$125,MATCH($A20,'AEO 2026 Table 4'!$B$6:$B$125,0),MATCH(X$1,'AEO 2026 Table 4'!$E$5:$AD$5,0))</f>
        <v/>
      </c>
      <c r="Y20">
        <f>INDEX('AEO 2026 Table 4'!$E$6:$AD$125,MATCH($A20,'AEO 2026 Table 4'!$B$6:$B$125,0),MATCH(Y$1,'AEO 2026 Table 4'!$E$5:$AD$5,0))</f>
        <v/>
      </c>
      <c r="Z20">
        <f>INDEX('AEO 2026 Table 4'!$E$6:$AD$125,MATCH($A20,'AEO 2026 Table 4'!$B$6:$B$125,0),MATCH(Z$1,'AEO 2026 Table 4'!$E$5:$AD$5,0))</f>
        <v/>
      </c>
      <c r="AA20">
        <f>INDEX('AEO 2026 Table 4'!$E$6:$AD$125,MATCH($A20,'AEO 2026 Table 4'!$B$6:$B$125,0),MATCH(AA$1,'AEO 2026 Table 4'!$E$5:$AD$5,0))</f>
        <v/>
      </c>
      <c r="AB20">
        <f>INDEX('AEO 2026 Table 4'!$E$6:$AD$125,MATCH($A20,'AEO 2026 Table 4'!$B$6:$B$125,0),MATCH(AB$1,'AEO 2026 Table 4'!$E$5:$AD$5,0))</f>
        <v/>
      </c>
      <c r="AC20">
        <f>INDEX('AEO 2026 Table 4'!$E$6:$AD$125,MATCH($A20,'AEO 2026 Table 4'!$B$6:$B$125,0),MATCH(AC$1,'AEO 2026 Table 4'!$E$5:$AD$5,0))</f>
        <v/>
      </c>
      <c r="AD20">
        <f>INDEX('AEO 2026 Table 4'!$E$6:$AD$125,MATCH($A20,'AEO 2026 Table 4'!$B$6:$B$125,0),MATCH(AD$1,'AEO 2026 Table 4'!$E$5:$AD$5,0))</f>
        <v/>
      </c>
      <c r="AE20">
        <f>INDEX('AEO 2026 Table 4'!$E$6:$AD$125,MATCH($A20,'AEO 2026 Table 4'!$B$6:$B$125,0),MATCH(AE$1,'AEO 2026 Table 4'!$E$5:$AD$5,0))</f>
        <v/>
      </c>
      <c r="AF20">
        <f>INDEX('AEO 2026 Table 4'!$E$6:$AD$125,MATCH($A20,'AEO 2026 Table 4'!$B$6:$B$125,0),MATCH(AF$1,'AEO 2026 Table 4'!$E$5:$AD$5,0))</f>
        <v/>
      </c>
      <c r="AG20">
        <f>INDEX('AEO 2026 Table 4'!$E$6:$AD$125,MATCH($A20,'AEO 2026 Table 4'!$B$6:$B$125,0),MATCH(AG$1,'AEO 2026 Table 4'!$E$5:$AD$5,0))</f>
        <v/>
      </c>
    </row>
    <row r="21">
      <c r="A21" t="inlineStr">
        <is>
          <t>Residential: Natural Gas: Space Heating: Alternative Electricity and Transportation</t>
        </is>
      </c>
      <c r="B21" t="inlineStr">
        <is>
          <t>Residential: Natural Gas: Space Heating: High Zero-Carbon Technology Cost</t>
        </is>
      </c>
      <c r="C21">
        <f>D21&amp;"-"&amp;E21&amp;"-"&amp;F21</f>
        <v/>
      </c>
      <c r="D21" t="inlineStr">
        <is>
          <t>residential</t>
        </is>
      </c>
      <c r="E21" t="inlineStr">
        <is>
          <t>heating</t>
        </is>
      </c>
      <c r="F21" s="1" t="inlineStr">
        <is>
          <t>natural gas (BTU)</t>
        </is>
      </c>
      <c r="G21" s="44">
        <f>INDEX(Table_4._Residential_Sector_Key!$F$8:$AG$125,MATCH($B21,Table_4._Residential_Sector_Key!$B$8:$B$125,0),MATCH(G$1,Table_4._Residential_Sector_Key!$F$5:$AG$5,0))</f>
        <v/>
      </c>
      <c r="H21">
        <f>INDEX('AEO 2026 Table 4'!$E$6:$AD$125,MATCH($A21,'AEO 2026 Table 4'!$B$6:$B$125,0),MATCH(H$1,'AEO 2026 Table 4'!$E$5:$AD$5,0))</f>
        <v/>
      </c>
      <c r="I21">
        <f>INDEX('AEO 2026 Table 4'!$E$6:$AD$125,MATCH($A21,'AEO 2026 Table 4'!$B$6:$B$125,0),MATCH(I$1,'AEO 2026 Table 4'!$E$5:$AD$5,0))</f>
        <v/>
      </c>
      <c r="J21">
        <f>INDEX('AEO 2026 Table 4'!$E$6:$AD$125,MATCH($A21,'AEO 2026 Table 4'!$B$6:$B$125,0),MATCH(J$1,'AEO 2026 Table 4'!$E$5:$AD$5,0))</f>
        <v/>
      </c>
      <c r="K21">
        <f>INDEX('AEO 2026 Table 4'!$E$6:$AD$125,MATCH($A21,'AEO 2026 Table 4'!$B$6:$B$125,0),MATCH(K$1,'AEO 2026 Table 4'!$E$5:$AD$5,0))</f>
        <v/>
      </c>
      <c r="L21">
        <f>INDEX('AEO 2026 Table 4'!$E$6:$AD$125,MATCH($A21,'AEO 2026 Table 4'!$B$6:$B$125,0),MATCH(L$1,'AEO 2026 Table 4'!$E$5:$AD$5,0))</f>
        <v/>
      </c>
      <c r="M21">
        <f>INDEX('AEO 2026 Table 4'!$E$6:$AD$125,MATCH($A21,'AEO 2026 Table 4'!$B$6:$B$125,0),MATCH(M$1,'AEO 2026 Table 4'!$E$5:$AD$5,0))</f>
        <v/>
      </c>
      <c r="N21">
        <f>INDEX('AEO 2026 Table 4'!$E$6:$AD$125,MATCH($A21,'AEO 2026 Table 4'!$B$6:$B$125,0),MATCH(N$1,'AEO 2026 Table 4'!$E$5:$AD$5,0))</f>
        <v/>
      </c>
      <c r="O21">
        <f>INDEX('AEO 2026 Table 4'!$E$6:$AD$125,MATCH($A21,'AEO 2026 Table 4'!$B$6:$B$125,0),MATCH(O$1,'AEO 2026 Table 4'!$E$5:$AD$5,0))</f>
        <v/>
      </c>
      <c r="P21">
        <f>INDEX('AEO 2026 Table 4'!$E$6:$AD$125,MATCH($A21,'AEO 2026 Table 4'!$B$6:$B$125,0),MATCH(P$1,'AEO 2026 Table 4'!$E$5:$AD$5,0))</f>
        <v/>
      </c>
      <c r="Q21">
        <f>INDEX('AEO 2026 Table 4'!$E$6:$AD$125,MATCH($A21,'AEO 2026 Table 4'!$B$6:$B$125,0),MATCH(Q$1,'AEO 2026 Table 4'!$E$5:$AD$5,0))</f>
        <v/>
      </c>
      <c r="R21">
        <f>INDEX('AEO 2026 Table 4'!$E$6:$AD$125,MATCH($A21,'AEO 2026 Table 4'!$B$6:$B$125,0),MATCH(R$1,'AEO 2026 Table 4'!$E$5:$AD$5,0))</f>
        <v/>
      </c>
      <c r="S21">
        <f>INDEX('AEO 2026 Table 4'!$E$6:$AD$125,MATCH($A21,'AEO 2026 Table 4'!$B$6:$B$125,0),MATCH(S$1,'AEO 2026 Table 4'!$E$5:$AD$5,0))</f>
        <v/>
      </c>
      <c r="T21">
        <f>INDEX('AEO 2026 Table 4'!$E$6:$AD$125,MATCH($A21,'AEO 2026 Table 4'!$B$6:$B$125,0),MATCH(T$1,'AEO 2026 Table 4'!$E$5:$AD$5,0))</f>
        <v/>
      </c>
      <c r="U21">
        <f>INDEX('AEO 2026 Table 4'!$E$6:$AD$125,MATCH($A21,'AEO 2026 Table 4'!$B$6:$B$125,0),MATCH(U$1,'AEO 2026 Table 4'!$E$5:$AD$5,0))</f>
        <v/>
      </c>
      <c r="V21">
        <f>INDEX('AEO 2026 Table 4'!$E$6:$AD$125,MATCH($A21,'AEO 2026 Table 4'!$B$6:$B$125,0),MATCH(V$1,'AEO 2026 Table 4'!$E$5:$AD$5,0))</f>
        <v/>
      </c>
      <c r="W21">
        <f>INDEX('AEO 2026 Table 4'!$E$6:$AD$125,MATCH($A21,'AEO 2026 Table 4'!$B$6:$B$125,0),MATCH(W$1,'AEO 2026 Table 4'!$E$5:$AD$5,0))</f>
        <v/>
      </c>
      <c r="X21">
        <f>INDEX('AEO 2026 Table 4'!$E$6:$AD$125,MATCH($A21,'AEO 2026 Table 4'!$B$6:$B$125,0),MATCH(X$1,'AEO 2026 Table 4'!$E$5:$AD$5,0))</f>
        <v/>
      </c>
      <c r="Y21">
        <f>INDEX('AEO 2026 Table 4'!$E$6:$AD$125,MATCH($A21,'AEO 2026 Table 4'!$B$6:$B$125,0),MATCH(Y$1,'AEO 2026 Table 4'!$E$5:$AD$5,0))</f>
        <v/>
      </c>
      <c r="Z21">
        <f>INDEX('AEO 2026 Table 4'!$E$6:$AD$125,MATCH($A21,'AEO 2026 Table 4'!$B$6:$B$125,0),MATCH(Z$1,'AEO 2026 Table 4'!$E$5:$AD$5,0))</f>
        <v/>
      </c>
      <c r="AA21">
        <f>INDEX('AEO 2026 Table 4'!$E$6:$AD$125,MATCH($A21,'AEO 2026 Table 4'!$B$6:$B$125,0),MATCH(AA$1,'AEO 2026 Table 4'!$E$5:$AD$5,0))</f>
        <v/>
      </c>
      <c r="AB21">
        <f>INDEX('AEO 2026 Table 4'!$E$6:$AD$125,MATCH($A21,'AEO 2026 Table 4'!$B$6:$B$125,0),MATCH(AB$1,'AEO 2026 Table 4'!$E$5:$AD$5,0))</f>
        <v/>
      </c>
      <c r="AC21">
        <f>INDEX('AEO 2026 Table 4'!$E$6:$AD$125,MATCH($A21,'AEO 2026 Table 4'!$B$6:$B$125,0),MATCH(AC$1,'AEO 2026 Table 4'!$E$5:$AD$5,0))</f>
        <v/>
      </c>
      <c r="AD21">
        <f>INDEX('AEO 2026 Table 4'!$E$6:$AD$125,MATCH($A21,'AEO 2026 Table 4'!$B$6:$B$125,0),MATCH(AD$1,'AEO 2026 Table 4'!$E$5:$AD$5,0))</f>
        <v/>
      </c>
      <c r="AE21">
        <f>INDEX('AEO 2026 Table 4'!$E$6:$AD$125,MATCH($A21,'AEO 2026 Table 4'!$B$6:$B$125,0),MATCH(AE$1,'AEO 2026 Table 4'!$E$5:$AD$5,0))</f>
        <v/>
      </c>
      <c r="AF21">
        <f>INDEX('AEO 2026 Table 4'!$E$6:$AD$125,MATCH($A21,'AEO 2026 Table 4'!$B$6:$B$125,0),MATCH(AF$1,'AEO 2026 Table 4'!$E$5:$AD$5,0))</f>
        <v/>
      </c>
      <c r="AG21">
        <f>INDEX('AEO 2026 Table 4'!$E$6:$AD$125,MATCH($A21,'AEO 2026 Table 4'!$B$6:$B$125,0),MATCH(AG$1,'AEO 2026 Table 4'!$E$5:$AD$5,0))</f>
        <v/>
      </c>
    </row>
    <row r="22">
      <c r="A22" t="inlineStr">
        <is>
          <t>Residential: Natural Gas: Space Cooling: Alternative Electricity and Transportation</t>
        </is>
      </c>
      <c r="B22" t="inlineStr">
        <is>
          <t>Residential: Natural Gas: Space Cooling: High Zero-Carbon Technology Cost</t>
        </is>
      </c>
      <c r="C22">
        <f>D22&amp;"-"&amp;E22&amp;"-"&amp;F22</f>
        <v/>
      </c>
      <c r="D22" t="inlineStr">
        <is>
          <t>residential</t>
        </is>
      </c>
      <c r="E22" t="inlineStr">
        <is>
          <t>cooling</t>
        </is>
      </c>
      <c r="F22" s="1" t="inlineStr">
        <is>
          <t>natural gas (BTU)</t>
        </is>
      </c>
      <c r="G22" s="44">
        <f>INDEX(Table_4._Residential_Sector_Key!$F$8:$AG$125,MATCH($B22,Table_4._Residential_Sector_Key!$B$8:$B$125,0),MATCH(G$1,Table_4._Residential_Sector_Key!$F$5:$AG$5,0))</f>
        <v/>
      </c>
      <c r="H22">
        <f>INDEX('AEO 2026 Table 4'!$E$6:$AD$125,MATCH($A22,'AEO 2026 Table 4'!$B$6:$B$125,0),MATCH(H$1,'AEO 2026 Table 4'!$E$5:$AD$5,0))</f>
        <v/>
      </c>
      <c r="I22">
        <f>INDEX('AEO 2026 Table 4'!$E$6:$AD$125,MATCH($A22,'AEO 2026 Table 4'!$B$6:$B$125,0),MATCH(I$1,'AEO 2026 Table 4'!$E$5:$AD$5,0))</f>
        <v/>
      </c>
      <c r="J22">
        <f>INDEX('AEO 2026 Table 4'!$E$6:$AD$125,MATCH($A22,'AEO 2026 Table 4'!$B$6:$B$125,0),MATCH(J$1,'AEO 2026 Table 4'!$E$5:$AD$5,0))</f>
        <v/>
      </c>
      <c r="K22">
        <f>INDEX('AEO 2026 Table 4'!$E$6:$AD$125,MATCH($A22,'AEO 2026 Table 4'!$B$6:$B$125,0),MATCH(K$1,'AEO 2026 Table 4'!$E$5:$AD$5,0))</f>
        <v/>
      </c>
      <c r="L22">
        <f>INDEX('AEO 2026 Table 4'!$E$6:$AD$125,MATCH($A22,'AEO 2026 Table 4'!$B$6:$B$125,0),MATCH(L$1,'AEO 2026 Table 4'!$E$5:$AD$5,0))</f>
        <v/>
      </c>
      <c r="M22">
        <f>INDEX('AEO 2026 Table 4'!$E$6:$AD$125,MATCH($A22,'AEO 2026 Table 4'!$B$6:$B$125,0),MATCH(M$1,'AEO 2026 Table 4'!$E$5:$AD$5,0))</f>
        <v/>
      </c>
      <c r="N22">
        <f>INDEX('AEO 2026 Table 4'!$E$6:$AD$125,MATCH($A22,'AEO 2026 Table 4'!$B$6:$B$125,0),MATCH(N$1,'AEO 2026 Table 4'!$E$5:$AD$5,0))</f>
        <v/>
      </c>
      <c r="O22">
        <f>INDEX('AEO 2026 Table 4'!$E$6:$AD$125,MATCH($A22,'AEO 2026 Table 4'!$B$6:$B$125,0),MATCH(O$1,'AEO 2026 Table 4'!$E$5:$AD$5,0))</f>
        <v/>
      </c>
      <c r="P22">
        <f>INDEX('AEO 2026 Table 4'!$E$6:$AD$125,MATCH($A22,'AEO 2026 Table 4'!$B$6:$B$125,0),MATCH(P$1,'AEO 2026 Table 4'!$E$5:$AD$5,0))</f>
        <v/>
      </c>
      <c r="Q22">
        <f>INDEX('AEO 2026 Table 4'!$E$6:$AD$125,MATCH($A22,'AEO 2026 Table 4'!$B$6:$B$125,0),MATCH(Q$1,'AEO 2026 Table 4'!$E$5:$AD$5,0))</f>
        <v/>
      </c>
      <c r="R22">
        <f>INDEX('AEO 2026 Table 4'!$E$6:$AD$125,MATCH($A22,'AEO 2026 Table 4'!$B$6:$B$125,0),MATCH(R$1,'AEO 2026 Table 4'!$E$5:$AD$5,0))</f>
        <v/>
      </c>
      <c r="S22">
        <f>INDEX('AEO 2026 Table 4'!$E$6:$AD$125,MATCH($A22,'AEO 2026 Table 4'!$B$6:$B$125,0),MATCH(S$1,'AEO 2026 Table 4'!$E$5:$AD$5,0))</f>
        <v/>
      </c>
      <c r="T22">
        <f>INDEX('AEO 2026 Table 4'!$E$6:$AD$125,MATCH($A22,'AEO 2026 Table 4'!$B$6:$B$125,0),MATCH(T$1,'AEO 2026 Table 4'!$E$5:$AD$5,0))</f>
        <v/>
      </c>
      <c r="U22">
        <f>INDEX('AEO 2026 Table 4'!$E$6:$AD$125,MATCH($A22,'AEO 2026 Table 4'!$B$6:$B$125,0),MATCH(U$1,'AEO 2026 Table 4'!$E$5:$AD$5,0))</f>
        <v/>
      </c>
      <c r="V22">
        <f>INDEX('AEO 2026 Table 4'!$E$6:$AD$125,MATCH($A22,'AEO 2026 Table 4'!$B$6:$B$125,0),MATCH(V$1,'AEO 2026 Table 4'!$E$5:$AD$5,0))</f>
        <v/>
      </c>
      <c r="W22">
        <f>INDEX('AEO 2026 Table 4'!$E$6:$AD$125,MATCH($A22,'AEO 2026 Table 4'!$B$6:$B$125,0),MATCH(W$1,'AEO 2026 Table 4'!$E$5:$AD$5,0))</f>
        <v/>
      </c>
      <c r="X22">
        <f>INDEX('AEO 2026 Table 4'!$E$6:$AD$125,MATCH($A22,'AEO 2026 Table 4'!$B$6:$B$125,0),MATCH(X$1,'AEO 2026 Table 4'!$E$5:$AD$5,0))</f>
        <v/>
      </c>
      <c r="Y22">
        <f>INDEX('AEO 2026 Table 4'!$E$6:$AD$125,MATCH($A22,'AEO 2026 Table 4'!$B$6:$B$125,0),MATCH(Y$1,'AEO 2026 Table 4'!$E$5:$AD$5,0))</f>
        <v/>
      </c>
      <c r="Z22">
        <f>INDEX('AEO 2026 Table 4'!$E$6:$AD$125,MATCH($A22,'AEO 2026 Table 4'!$B$6:$B$125,0),MATCH(Z$1,'AEO 2026 Table 4'!$E$5:$AD$5,0))</f>
        <v/>
      </c>
      <c r="AA22">
        <f>INDEX('AEO 2026 Table 4'!$E$6:$AD$125,MATCH($A22,'AEO 2026 Table 4'!$B$6:$B$125,0),MATCH(AA$1,'AEO 2026 Table 4'!$E$5:$AD$5,0))</f>
        <v/>
      </c>
      <c r="AB22">
        <f>INDEX('AEO 2026 Table 4'!$E$6:$AD$125,MATCH($A22,'AEO 2026 Table 4'!$B$6:$B$125,0),MATCH(AB$1,'AEO 2026 Table 4'!$E$5:$AD$5,0))</f>
        <v/>
      </c>
      <c r="AC22">
        <f>INDEX('AEO 2026 Table 4'!$E$6:$AD$125,MATCH($A22,'AEO 2026 Table 4'!$B$6:$B$125,0),MATCH(AC$1,'AEO 2026 Table 4'!$E$5:$AD$5,0))</f>
        <v/>
      </c>
      <c r="AD22">
        <f>INDEX('AEO 2026 Table 4'!$E$6:$AD$125,MATCH($A22,'AEO 2026 Table 4'!$B$6:$B$125,0),MATCH(AD$1,'AEO 2026 Table 4'!$E$5:$AD$5,0))</f>
        <v/>
      </c>
      <c r="AE22">
        <f>INDEX('AEO 2026 Table 4'!$E$6:$AD$125,MATCH($A22,'AEO 2026 Table 4'!$B$6:$B$125,0),MATCH(AE$1,'AEO 2026 Table 4'!$E$5:$AD$5,0))</f>
        <v/>
      </c>
      <c r="AF22">
        <f>INDEX('AEO 2026 Table 4'!$E$6:$AD$125,MATCH($A22,'AEO 2026 Table 4'!$B$6:$B$125,0),MATCH(AF$1,'AEO 2026 Table 4'!$E$5:$AD$5,0))</f>
        <v/>
      </c>
      <c r="AG22">
        <f>INDEX('AEO 2026 Table 4'!$E$6:$AD$125,MATCH($A22,'AEO 2026 Table 4'!$B$6:$B$125,0),MATCH(AG$1,'AEO 2026 Table 4'!$E$5:$AD$5,0))</f>
        <v/>
      </c>
    </row>
    <row r="23">
      <c r="A23" t="inlineStr">
        <is>
          <t>Residential: Natural Gas: Water Heating: Alternative Electricity and Transportation</t>
        </is>
      </c>
      <c r="B23" t="inlineStr">
        <is>
          <t>Residential: Natural Gas: Water Heating: High Zero-Carbon Technology Cost</t>
        </is>
      </c>
      <c r="C23">
        <f>D23&amp;"-"&amp;E23&amp;"-"&amp;F23</f>
        <v/>
      </c>
      <c r="D23" t="inlineStr">
        <is>
          <t>residential</t>
        </is>
      </c>
      <c r="E23" t="inlineStr">
        <is>
          <t>appliances</t>
        </is>
      </c>
      <c r="F23" s="1" t="inlineStr">
        <is>
          <t>natural gas (BTU)</t>
        </is>
      </c>
      <c r="G23" s="44">
        <f>INDEX(Table_4._Residential_Sector_Key!$F$8:$AG$125,MATCH($B23,Table_4._Residential_Sector_Key!$B$8:$B$125,0),MATCH(G$1,Table_4._Residential_Sector_Key!$F$5:$AG$5,0))</f>
        <v/>
      </c>
      <c r="H23">
        <f>INDEX('AEO 2026 Table 4'!$E$6:$AD$125,MATCH($A23,'AEO 2026 Table 4'!$B$6:$B$125,0),MATCH(H$1,'AEO 2026 Table 4'!$E$5:$AD$5,0))</f>
        <v/>
      </c>
      <c r="I23">
        <f>INDEX('AEO 2026 Table 4'!$E$6:$AD$125,MATCH($A23,'AEO 2026 Table 4'!$B$6:$B$125,0),MATCH(I$1,'AEO 2026 Table 4'!$E$5:$AD$5,0))</f>
        <v/>
      </c>
      <c r="J23">
        <f>INDEX('AEO 2026 Table 4'!$E$6:$AD$125,MATCH($A23,'AEO 2026 Table 4'!$B$6:$B$125,0),MATCH(J$1,'AEO 2026 Table 4'!$E$5:$AD$5,0))</f>
        <v/>
      </c>
      <c r="K23">
        <f>INDEX('AEO 2026 Table 4'!$E$6:$AD$125,MATCH($A23,'AEO 2026 Table 4'!$B$6:$B$125,0),MATCH(K$1,'AEO 2026 Table 4'!$E$5:$AD$5,0))</f>
        <v/>
      </c>
      <c r="L23">
        <f>INDEX('AEO 2026 Table 4'!$E$6:$AD$125,MATCH($A23,'AEO 2026 Table 4'!$B$6:$B$125,0),MATCH(L$1,'AEO 2026 Table 4'!$E$5:$AD$5,0))</f>
        <v/>
      </c>
      <c r="M23">
        <f>INDEX('AEO 2026 Table 4'!$E$6:$AD$125,MATCH($A23,'AEO 2026 Table 4'!$B$6:$B$125,0),MATCH(M$1,'AEO 2026 Table 4'!$E$5:$AD$5,0))</f>
        <v/>
      </c>
      <c r="N23">
        <f>INDEX('AEO 2026 Table 4'!$E$6:$AD$125,MATCH($A23,'AEO 2026 Table 4'!$B$6:$B$125,0),MATCH(N$1,'AEO 2026 Table 4'!$E$5:$AD$5,0))</f>
        <v/>
      </c>
      <c r="O23">
        <f>INDEX('AEO 2026 Table 4'!$E$6:$AD$125,MATCH($A23,'AEO 2026 Table 4'!$B$6:$B$125,0),MATCH(O$1,'AEO 2026 Table 4'!$E$5:$AD$5,0))</f>
        <v/>
      </c>
      <c r="P23">
        <f>INDEX('AEO 2026 Table 4'!$E$6:$AD$125,MATCH($A23,'AEO 2026 Table 4'!$B$6:$B$125,0),MATCH(P$1,'AEO 2026 Table 4'!$E$5:$AD$5,0))</f>
        <v/>
      </c>
      <c r="Q23">
        <f>INDEX('AEO 2026 Table 4'!$E$6:$AD$125,MATCH($A23,'AEO 2026 Table 4'!$B$6:$B$125,0),MATCH(Q$1,'AEO 2026 Table 4'!$E$5:$AD$5,0))</f>
        <v/>
      </c>
      <c r="R23">
        <f>INDEX('AEO 2026 Table 4'!$E$6:$AD$125,MATCH($A23,'AEO 2026 Table 4'!$B$6:$B$125,0),MATCH(R$1,'AEO 2026 Table 4'!$E$5:$AD$5,0))</f>
        <v/>
      </c>
      <c r="S23">
        <f>INDEX('AEO 2026 Table 4'!$E$6:$AD$125,MATCH($A23,'AEO 2026 Table 4'!$B$6:$B$125,0),MATCH(S$1,'AEO 2026 Table 4'!$E$5:$AD$5,0))</f>
        <v/>
      </c>
      <c r="T23">
        <f>INDEX('AEO 2026 Table 4'!$E$6:$AD$125,MATCH($A23,'AEO 2026 Table 4'!$B$6:$B$125,0),MATCH(T$1,'AEO 2026 Table 4'!$E$5:$AD$5,0))</f>
        <v/>
      </c>
      <c r="U23">
        <f>INDEX('AEO 2026 Table 4'!$E$6:$AD$125,MATCH($A23,'AEO 2026 Table 4'!$B$6:$B$125,0),MATCH(U$1,'AEO 2026 Table 4'!$E$5:$AD$5,0))</f>
        <v/>
      </c>
      <c r="V23">
        <f>INDEX('AEO 2026 Table 4'!$E$6:$AD$125,MATCH($A23,'AEO 2026 Table 4'!$B$6:$B$125,0),MATCH(V$1,'AEO 2026 Table 4'!$E$5:$AD$5,0))</f>
        <v/>
      </c>
      <c r="W23">
        <f>INDEX('AEO 2026 Table 4'!$E$6:$AD$125,MATCH($A23,'AEO 2026 Table 4'!$B$6:$B$125,0),MATCH(W$1,'AEO 2026 Table 4'!$E$5:$AD$5,0))</f>
        <v/>
      </c>
      <c r="X23">
        <f>INDEX('AEO 2026 Table 4'!$E$6:$AD$125,MATCH($A23,'AEO 2026 Table 4'!$B$6:$B$125,0),MATCH(X$1,'AEO 2026 Table 4'!$E$5:$AD$5,0))</f>
        <v/>
      </c>
      <c r="Y23">
        <f>INDEX('AEO 2026 Table 4'!$E$6:$AD$125,MATCH($A23,'AEO 2026 Table 4'!$B$6:$B$125,0),MATCH(Y$1,'AEO 2026 Table 4'!$E$5:$AD$5,0))</f>
        <v/>
      </c>
      <c r="Z23">
        <f>INDEX('AEO 2026 Table 4'!$E$6:$AD$125,MATCH($A23,'AEO 2026 Table 4'!$B$6:$B$125,0),MATCH(Z$1,'AEO 2026 Table 4'!$E$5:$AD$5,0))</f>
        <v/>
      </c>
      <c r="AA23">
        <f>INDEX('AEO 2026 Table 4'!$E$6:$AD$125,MATCH($A23,'AEO 2026 Table 4'!$B$6:$B$125,0),MATCH(AA$1,'AEO 2026 Table 4'!$E$5:$AD$5,0))</f>
        <v/>
      </c>
      <c r="AB23">
        <f>INDEX('AEO 2026 Table 4'!$E$6:$AD$125,MATCH($A23,'AEO 2026 Table 4'!$B$6:$B$125,0),MATCH(AB$1,'AEO 2026 Table 4'!$E$5:$AD$5,0))</f>
        <v/>
      </c>
      <c r="AC23">
        <f>INDEX('AEO 2026 Table 4'!$E$6:$AD$125,MATCH($A23,'AEO 2026 Table 4'!$B$6:$B$125,0),MATCH(AC$1,'AEO 2026 Table 4'!$E$5:$AD$5,0))</f>
        <v/>
      </c>
      <c r="AD23">
        <f>INDEX('AEO 2026 Table 4'!$E$6:$AD$125,MATCH($A23,'AEO 2026 Table 4'!$B$6:$B$125,0),MATCH(AD$1,'AEO 2026 Table 4'!$E$5:$AD$5,0))</f>
        <v/>
      </c>
      <c r="AE23">
        <f>INDEX('AEO 2026 Table 4'!$E$6:$AD$125,MATCH($A23,'AEO 2026 Table 4'!$B$6:$B$125,0),MATCH(AE$1,'AEO 2026 Table 4'!$E$5:$AD$5,0))</f>
        <v/>
      </c>
      <c r="AF23">
        <f>INDEX('AEO 2026 Table 4'!$E$6:$AD$125,MATCH($A23,'AEO 2026 Table 4'!$B$6:$B$125,0),MATCH(AF$1,'AEO 2026 Table 4'!$E$5:$AD$5,0))</f>
        <v/>
      </c>
      <c r="AG23">
        <f>INDEX('AEO 2026 Table 4'!$E$6:$AD$125,MATCH($A23,'AEO 2026 Table 4'!$B$6:$B$125,0),MATCH(AG$1,'AEO 2026 Table 4'!$E$5:$AD$5,0))</f>
        <v/>
      </c>
    </row>
    <row r="24">
      <c r="A24" t="inlineStr">
        <is>
          <t>Residential: Natural Gas: Cooking: Alternative Electricity and Transportation</t>
        </is>
      </c>
      <c r="B24" t="inlineStr">
        <is>
          <t>Residential: Natural Gas: Cooking: High Zero-Carbon Technology Cost</t>
        </is>
      </c>
      <c r="C24">
        <f>D24&amp;"-"&amp;E24&amp;"-"&amp;F24</f>
        <v/>
      </c>
      <c r="D24" t="inlineStr">
        <is>
          <t>residential</t>
        </is>
      </c>
      <c r="E24" t="inlineStr">
        <is>
          <t>appliances</t>
        </is>
      </c>
      <c r="F24" s="1" t="inlineStr">
        <is>
          <t>natural gas (BTU)</t>
        </is>
      </c>
      <c r="G24" s="44">
        <f>INDEX(Table_4._Residential_Sector_Key!$F$8:$AG$125,MATCH($B24,Table_4._Residential_Sector_Key!$B$8:$B$125,0),MATCH(G$1,Table_4._Residential_Sector_Key!$F$5:$AG$5,0))</f>
        <v/>
      </c>
      <c r="H24">
        <f>INDEX('AEO 2026 Table 4'!$E$6:$AD$125,MATCH($A24,'AEO 2026 Table 4'!$B$6:$B$125,0),MATCH(H$1,'AEO 2026 Table 4'!$E$5:$AD$5,0))</f>
        <v/>
      </c>
      <c r="I24">
        <f>INDEX('AEO 2026 Table 4'!$E$6:$AD$125,MATCH($A24,'AEO 2026 Table 4'!$B$6:$B$125,0),MATCH(I$1,'AEO 2026 Table 4'!$E$5:$AD$5,0))</f>
        <v/>
      </c>
      <c r="J24">
        <f>INDEX('AEO 2026 Table 4'!$E$6:$AD$125,MATCH($A24,'AEO 2026 Table 4'!$B$6:$B$125,0),MATCH(J$1,'AEO 2026 Table 4'!$E$5:$AD$5,0))</f>
        <v/>
      </c>
      <c r="K24">
        <f>INDEX('AEO 2026 Table 4'!$E$6:$AD$125,MATCH($A24,'AEO 2026 Table 4'!$B$6:$B$125,0),MATCH(K$1,'AEO 2026 Table 4'!$E$5:$AD$5,0))</f>
        <v/>
      </c>
      <c r="L24">
        <f>INDEX('AEO 2026 Table 4'!$E$6:$AD$125,MATCH($A24,'AEO 2026 Table 4'!$B$6:$B$125,0),MATCH(L$1,'AEO 2026 Table 4'!$E$5:$AD$5,0))</f>
        <v/>
      </c>
      <c r="M24">
        <f>INDEX('AEO 2026 Table 4'!$E$6:$AD$125,MATCH($A24,'AEO 2026 Table 4'!$B$6:$B$125,0),MATCH(M$1,'AEO 2026 Table 4'!$E$5:$AD$5,0))</f>
        <v/>
      </c>
      <c r="N24">
        <f>INDEX('AEO 2026 Table 4'!$E$6:$AD$125,MATCH($A24,'AEO 2026 Table 4'!$B$6:$B$125,0),MATCH(N$1,'AEO 2026 Table 4'!$E$5:$AD$5,0))</f>
        <v/>
      </c>
      <c r="O24">
        <f>INDEX('AEO 2026 Table 4'!$E$6:$AD$125,MATCH($A24,'AEO 2026 Table 4'!$B$6:$B$125,0),MATCH(O$1,'AEO 2026 Table 4'!$E$5:$AD$5,0))</f>
        <v/>
      </c>
      <c r="P24">
        <f>INDEX('AEO 2026 Table 4'!$E$6:$AD$125,MATCH($A24,'AEO 2026 Table 4'!$B$6:$B$125,0),MATCH(P$1,'AEO 2026 Table 4'!$E$5:$AD$5,0))</f>
        <v/>
      </c>
      <c r="Q24">
        <f>INDEX('AEO 2026 Table 4'!$E$6:$AD$125,MATCH($A24,'AEO 2026 Table 4'!$B$6:$B$125,0),MATCH(Q$1,'AEO 2026 Table 4'!$E$5:$AD$5,0))</f>
        <v/>
      </c>
      <c r="R24">
        <f>INDEX('AEO 2026 Table 4'!$E$6:$AD$125,MATCH($A24,'AEO 2026 Table 4'!$B$6:$B$125,0),MATCH(R$1,'AEO 2026 Table 4'!$E$5:$AD$5,0))</f>
        <v/>
      </c>
      <c r="S24">
        <f>INDEX('AEO 2026 Table 4'!$E$6:$AD$125,MATCH($A24,'AEO 2026 Table 4'!$B$6:$B$125,0),MATCH(S$1,'AEO 2026 Table 4'!$E$5:$AD$5,0))</f>
        <v/>
      </c>
      <c r="T24">
        <f>INDEX('AEO 2026 Table 4'!$E$6:$AD$125,MATCH($A24,'AEO 2026 Table 4'!$B$6:$B$125,0),MATCH(T$1,'AEO 2026 Table 4'!$E$5:$AD$5,0))</f>
        <v/>
      </c>
      <c r="U24">
        <f>INDEX('AEO 2026 Table 4'!$E$6:$AD$125,MATCH($A24,'AEO 2026 Table 4'!$B$6:$B$125,0),MATCH(U$1,'AEO 2026 Table 4'!$E$5:$AD$5,0))</f>
        <v/>
      </c>
      <c r="V24">
        <f>INDEX('AEO 2026 Table 4'!$E$6:$AD$125,MATCH($A24,'AEO 2026 Table 4'!$B$6:$B$125,0),MATCH(V$1,'AEO 2026 Table 4'!$E$5:$AD$5,0))</f>
        <v/>
      </c>
      <c r="W24">
        <f>INDEX('AEO 2026 Table 4'!$E$6:$AD$125,MATCH($A24,'AEO 2026 Table 4'!$B$6:$B$125,0),MATCH(W$1,'AEO 2026 Table 4'!$E$5:$AD$5,0))</f>
        <v/>
      </c>
      <c r="X24">
        <f>INDEX('AEO 2026 Table 4'!$E$6:$AD$125,MATCH($A24,'AEO 2026 Table 4'!$B$6:$B$125,0),MATCH(X$1,'AEO 2026 Table 4'!$E$5:$AD$5,0))</f>
        <v/>
      </c>
      <c r="Y24">
        <f>INDEX('AEO 2026 Table 4'!$E$6:$AD$125,MATCH($A24,'AEO 2026 Table 4'!$B$6:$B$125,0),MATCH(Y$1,'AEO 2026 Table 4'!$E$5:$AD$5,0))</f>
        <v/>
      </c>
      <c r="Z24">
        <f>INDEX('AEO 2026 Table 4'!$E$6:$AD$125,MATCH($A24,'AEO 2026 Table 4'!$B$6:$B$125,0),MATCH(Z$1,'AEO 2026 Table 4'!$E$5:$AD$5,0))</f>
        <v/>
      </c>
      <c r="AA24">
        <f>INDEX('AEO 2026 Table 4'!$E$6:$AD$125,MATCH($A24,'AEO 2026 Table 4'!$B$6:$B$125,0),MATCH(AA$1,'AEO 2026 Table 4'!$E$5:$AD$5,0))</f>
        <v/>
      </c>
      <c r="AB24">
        <f>INDEX('AEO 2026 Table 4'!$E$6:$AD$125,MATCH($A24,'AEO 2026 Table 4'!$B$6:$B$125,0),MATCH(AB$1,'AEO 2026 Table 4'!$E$5:$AD$5,0))</f>
        <v/>
      </c>
      <c r="AC24">
        <f>INDEX('AEO 2026 Table 4'!$E$6:$AD$125,MATCH($A24,'AEO 2026 Table 4'!$B$6:$B$125,0),MATCH(AC$1,'AEO 2026 Table 4'!$E$5:$AD$5,0))</f>
        <v/>
      </c>
      <c r="AD24">
        <f>INDEX('AEO 2026 Table 4'!$E$6:$AD$125,MATCH($A24,'AEO 2026 Table 4'!$B$6:$B$125,0),MATCH(AD$1,'AEO 2026 Table 4'!$E$5:$AD$5,0))</f>
        <v/>
      </c>
      <c r="AE24">
        <f>INDEX('AEO 2026 Table 4'!$E$6:$AD$125,MATCH($A24,'AEO 2026 Table 4'!$B$6:$B$125,0),MATCH(AE$1,'AEO 2026 Table 4'!$E$5:$AD$5,0))</f>
        <v/>
      </c>
      <c r="AF24">
        <f>INDEX('AEO 2026 Table 4'!$E$6:$AD$125,MATCH($A24,'AEO 2026 Table 4'!$B$6:$B$125,0),MATCH(AF$1,'AEO 2026 Table 4'!$E$5:$AD$5,0))</f>
        <v/>
      </c>
      <c r="AG24">
        <f>INDEX('AEO 2026 Table 4'!$E$6:$AD$125,MATCH($A24,'AEO 2026 Table 4'!$B$6:$B$125,0),MATCH(AG$1,'AEO 2026 Table 4'!$E$5:$AD$5,0))</f>
        <v/>
      </c>
    </row>
    <row r="25">
      <c r="A25" t="inlineStr">
        <is>
          <t>Residential: Natural Gas: Clothes Dryers: Alternative Electricity and Transportation</t>
        </is>
      </c>
      <c r="B25" t="inlineStr">
        <is>
          <t>Residential: Natural Gas: Clothes Dryers: High Zero-Carbon Technology Cost</t>
        </is>
      </c>
      <c r="C25">
        <f>D25&amp;"-"&amp;E25&amp;"-"&amp;F25</f>
        <v/>
      </c>
      <c r="D25" t="inlineStr">
        <is>
          <t>residential</t>
        </is>
      </c>
      <c r="E25" t="inlineStr">
        <is>
          <t>appliances</t>
        </is>
      </c>
      <c r="F25" s="1" t="inlineStr">
        <is>
          <t>natural gas (BTU)</t>
        </is>
      </c>
      <c r="G25" s="44">
        <f>INDEX(Table_4._Residential_Sector_Key!$F$8:$AG$125,MATCH($B25,Table_4._Residential_Sector_Key!$B$8:$B$125,0),MATCH(G$1,Table_4._Residential_Sector_Key!$F$5:$AG$5,0))</f>
        <v/>
      </c>
      <c r="H25">
        <f>INDEX('AEO 2026 Table 4'!$E$6:$AD$125,MATCH($A25,'AEO 2026 Table 4'!$B$6:$B$125,0),MATCH(H$1,'AEO 2026 Table 4'!$E$5:$AD$5,0))</f>
        <v/>
      </c>
      <c r="I25">
        <f>INDEX('AEO 2026 Table 4'!$E$6:$AD$125,MATCH($A25,'AEO 2026 Table 4'!$B$6:$B$125,0),MATCH(I$1,'AEO 2026 Table 4'!$E$5:$AD$5,0))</f>
        <v/>
      </c>
      <c r="J25">
        <f>INDEX('AEO 2026 Table 4'!$E$6:$AD$125,MATCH($A25,'AEO 2026 Table 4'!$B$6:$B$125,0),MATCH(J$1,'AEO 2026 Table 4'!$E$5:$AD$5,0))</f>
        <v/>
      </c>
      <c r="K25">
        <f>INDEX('AEO 2026 Table 4'!$E$6:$AD$125,MATCH($A25,'AEO 2026 Table 4'!$B$6:$B$125,0),MATCH(K$1,'AEO 2026 Table 4'!$E$5:$AD$5,0))</f>
        <v/>
      </c>
      <c r="L25">
        <f>INDEX('AEO 2026 Table 4'!$E$6:$AD$125,MATCH($A25,'AEO 2026 Table 4'!$B$6:$B$125,0),MATCH(L$1,'AEO 2026 Table 4'!$E$5:$AD$5,0))</f>
        <v/>
      </c>
      <c r="M25">
        <f>INDEX('AEO 2026 Table 4'!$E$6:$AD$125,MATCH($A25,'AEO 2026 Table 4'!$B$6:$B$125,0),MATCH(M$1,'AEO 2026 Table 4'!$E$5:$AD$5,0))</f>
        <v/>
      </c>
      <c r="N25">
        <f>INDEX('AEO 2026 Table 4'!$E$6:$AD$125,MATCH($A25,'AEO 2026 Table 4'!$B$6:$B$125,0),MATCH(N$1,'AEO 2026 Table 4'!$E$5:$AD$5,0))</f>
        <v/>
      </c>
      <c r="O25">
        <f>INDEX('AEO 2026 Table 4'!$E$6:$AD$125,MATCH($A25,'AEO 2026 Table 4'!$B$6:$B$125,0),MATCH(O$1,'AEO 2026 Table 4'!$E$5:$AD$5,0))</f>
        <v/>
      </c>
      <c r="P25">
        <f>INDEX('AEO 2026 Table 4'!$E$6:$AD$125,MATCH($A25,'AEO 2026 Table 4'!$B$6:$B$125,0),MATCH(P$1,'AEO 2026 Table 4'!$E$5:$AD$5,0))</f>
        <v/>
      </c>
      <c r="Q25">
        <f>INDEX('AEO 2026 Table 4'!$E$6:$AD$125,MATCH($A25,'AEO 2026 Table 4'!$B$6:$B$125,0),MATCH(Q$1,'AEO 2026 Table 4'!$E$5:$AD$5,0))</f>
        <v/>
      </c>
      <c r="R25">
        <f>INDEX('AEO 2026 Table 4'!$E$6:$AD$125,MATCH($A25,'AEO 2026 Table 4'!$B$6:$B$125,0),MATCH(R$1,'AEO 2026 Table 4'!$E$5:$AD$5,0))</f>
        <v/>
      </c>
      <c r="S25">
        <f>INDEX('AEO 2026 Table 4'!$E$6:$AD$125,MATCH($A25,'AEO 2026 Table 4'!$B$6:$B$125,0),MATCH(S$1,'AEO 2026 Table 4'!$E$5:$AD$5,0))</f>
        <v/>
      </c>
      <c r="T25">
        <f>INDEX('AEO 2026 Table 4'!$E$6:$AD$125,MATCH($A25,'AEO 2026 Table 4'!$B$6:$B$125,0),MATCH(T$1,'AEO 2026 Table 4'!$E$5:$AD$5,0))</f>
        <v/>
      </c>
      <c r="U25">
        <f>INDEX('AEO 2026 Table 4'!$E$6:$AD$125,MATCH($A25,'AEO 2026 Table 4'!$B$6:$B$125,0),MATCH(U$1,'AEO 2026 Table 4'!$E$5:$AD$5,0))</f>
        <v/>
      </c>
      <c r="V25">
        <f>INDEX('AEO 2026 Table 4'!$E$6:$AD$125,MATCH($A25,'AEO 2026 Table 4'!$B$6:$B$125,0),MATCH(V$1,'AEO 2026 Table 4'!$E$5:$AD$5,0))</f>
        <v/>
      </c>
      <c r="W25">
        <f>INDEX('AEO 2026 Table 4'!$E$6:$AD$125,MATCH($A25,'AEO 2026 Table 4'!$B$6:$B$125,0),MATCH(W$1,'AEO 2026 Table 4'!$E$5:$AD$5,0))</f>
        <v/>
      </c>
      <c r="X25">
        <f>INDEX('AEO 2026 Table 4'!$E$6:$AD$125,MATCH($A25,'AEO 2026 Table 4'!$B$6:$B$125,0),MATCH(X$1,'AEO 2026 Table 4'!$E$5:$AD$5,0))</f>
        <v/>
      </c>
      <c r="Y25">
        <f>INDEX('AEO 2026 Table 4'!$E$6:$AD$125,MATCH($A25,'AEO 2026 Table 4'!$B$6:$B$125,0),MATCH(Y$1,'AEO 2026 Table 4'!$E$5:$AD$5,0))</f>
        <v/>
      </c>
      <c r="Z25">
        <f>INDEX('AEO 2026 Table 4'!$E$6:$AD$125,MATCH($A25,'AEO 2026 Table 4'!$B$6:$B$125,0),MATCH(Z$1,'AEO 2026 Table 4'!$E$5:$AD$5,0))</f>
        <v/>
      </c>
      <c r="AA25">
        <f>INDEX('AEO 2026 Table 4'!$E$6:$AD$125,MATCH($A25,'AEO 2026 Table 4'!$B$6:$B$125,0),MATCH(AA$1,'AEO 2026 Table 4'!$E$5:$AD$5,0))</f>
        <v/>
      </c>
      <c r="AB25">
        <f>INDEX('AEO 2026 Table 4'!$E$6:$AD$125,MATCH($A25,'AEO 2026 Table 4'!$B$6:$B$125,0),MATCH(AB$1,'AEO 2026 Table 4'!$E$5:$AD$5,0))</f>
        <v/>
      </c>
      <c r="AC25">
        <f>INDEX('AEO 2026 Table 4'!$E$6:$AD$125,MATCH($A25,'AEO 2026 Table 4'!$B$6:$B$125,0),MATCH(AC$1,'AEO 2026 Table 4'!$E$5:$AD$5,0))</f>
        <v/>
      </c>
      <c r="AD25">
        <f>INDEX('AEO 2026 Table 4'!$E$6:$AD$125,MATCH($A25,'AEO 2026 Table 4'!$B$6:$B$125,0),MATCH(AD$1,'AEO 2026 Table 4'!$E$5:$AD$5,0))</f>
        <v/>
      </c>
      <c r="AE25">
        <f>INDEX('AEO 2026 Table 4'!$E$6:$AD$125,MATCH($A25,'AEO 2026 Table 4'!$B$6:$B$125,0),MATCH(AE$1,'AEO 2026 Table 4'!$E$5:$AD$5,0))</f>
        <v/>
      </c>
      <c r="AF25">
        <f>INDEX('AEO 2026 Table 4'!$E$6:$AD$125,MATCH($A25,'AEO 2026 Table 4'!$B$6:$B$125,0),MATCH(AF$1,'AEO 2026 Table 4'!$E$5:$AD$5,0))</f>
        <v/>
      </c>
      <c r="AG25">
        <f>INDEX('AEO 2026 Table 4'!$E$6:$AD$125,MATCH($A25,'AEO 2026 Table 4'!$B$6:$B$125,0),MATCH(AG$1,'AEO 2026 Table 4'!$E$5:$AD$5,0))</f>
        <v/>
      </c>
    </row>
    <row r="26">
      <c r="A26" t="inlineStr">
        <is>
          <t>Residential: Natural Gas: Other Uses: Alternative Electricity and Transportation</t>
        </is>
      </c>
      <c r="B26" t="inlineStr">
        <is>
          <t>Residential: Natural Gas: Other Uses: High Zero-Carbon Technology Cost</t>
        </is>
      </c>
      <c r="C26">
        <f>D26&amp;"-"&amp;E26&amp;"-"&amp;F26</f>
        <v/>
      </c>
      <c r="D26" t="inlineStr">
        <is>
          <t>residential</t>
        </is>
      </c>
      <c r="E26" t="inlineStr">
        <is>
          <t>other</t>
        </is>
      </c>
      <c r="F26" s="1" t="inlineStr">
        <is>
          <t>natural gas (BTU)</t>
        </is>
      </c>
      <c r="G26" s="44">
        <f>INDEX(Table_4._Residential_Sector_Key!$F$8:$AG$125,MATCH($B26,Table_4._Residential_Sector_Key!$B$8:$B$125,0),MATCH(G$1,Table_4._Residential_Sector_Key!$F$5:$AG$5,0))</f>
        <v/>
      </c>
      <c r="H26">
        <f>INDEX('AEO 2026 Table 4'!$E$6:$AD$125,MATCH($A26,'AEO 2026 Table 4'!$B$6:$B$125,0),MATCH(H$1,'AEO 2026 Table 4'!$E$5:$AD$5,0))</f>
        <v/>
      </c>
      <c r="I26">
        <f>INDEX('AEO 2026 Table 4'!$E$6:$AD$125,MATCH($A26,'AEO 2026 Table 4'!$B$6:$B$125,0),MATCH(I$1,'AEO 2026 Table 4'!$E$5:$AD$5,0))</f>
        <v/>
      </c>
      <c r="J26">
        <f>INDEX('AEO 2026 Table 4'!$E$6:$AD$125,MATCH($A26,'AEO 2026 Table 4'!$B$6:$B$125,0),MATCH(J$1,'AEO 2026 Table 4'!$E$5:$AD$5,0))</f>
        <v/>
      </c>
      <c r="K26">
        <f>INDEX('AEO 2026 Table 4'!$E$6:$AD$125,MATCH($A26,'AEO 2026 Table 4'!$B$6:$B$125,0),MATCH(K$1,'AEO 2026 Table 4'!$E$5:$AD$5,0))</f>
        <v/>
      </c>
      <c r="L26">
        <f>INDEX('AEO 2026 Table 4'!$E$6:$AD$125,MATCH($A26,'AEO 2026 Table 4'!$B$6:$B$125,0),MATCH(L$1,'AEO 2026 Table 4'!$E$5:$AD$5,0))</f>
        <v/>
      </c>
      <c r="M26">
        <f>INDEX('AEO 2026 Table 4'!$E$6:$AD$125,MATCH($A26,'AEO 2026 Table 4'!$B$6:$B$125,0),MATCH(M$1,'AEO 2026 Table 4'!$E$5:$AD$5,0))</f>
        <v/>
      </c>
      <c r="N26">
        <f>INDEX('AEO 2026 Table 4'!$E$6:$AD$125,MATCH($A26,'AEO 2026 Table 4'!$B$6:$B$125,0),MATCH(N$1,'AEO 2026 Table 4'!$E$5:$AD$5,0))</f>
        <v/>
      </c>
      <c r="O26">
        <f>INDEX('AEO 2026 Table 4'!$E$6:$AD$125,MATCH($A26,'AEO 2026 Table 4'!$B$6:$B$125,0),MATCH(O$1,'AEO 2026 Table 4'!$E$5:$AD$5,0))</f>
        <v/>
      </c>
      <c r="P26">
        <f>INDEX('AEO 2026 Table 4'!$E$6:$AD$125,MATCH($A26,'AEO 2026 Table 4'!$B$6:$B$125,0),MATCH(P$1,'AEO 2026 Table 4'!$E$5:$AD$5,0))</f>
        <v/>
      </c>
      <c r="Q26">
        <f>INDEX('AEO 2026 Table 4'!$E$6:$AD$125,MATCH($A26,'AEO 2026 Table 4'!$B$6:$B$125,0),MATCH(Q$1,'AEO 2026 Table 4'!$E$5:$AD$5,0))</f>
        <v/>
      </c>
      <c r="R26">
        <f>INDEX('AEO 2026 Table 4'!$E$6:$AD$125,MATCH($A26,'AEO 2026 Table 4'!$B$6:$B$125,0),MATCH(R$1,'AEO 2026 Table 4'!$E$5:$AD$5,0))</f>
        <v/>
      </c>
      <c r="S26">
        <f>INDEX('AEO 2026 Table 4'!$E$6:$AD$125,MATCH($A26,'AEO 2026 Table 4'!$B$6:$B$125,0),MATCH(S$1,'AEO 2026 Table 4'!$E$5:$AD$5,0))</f>
        <v/>
      </c>
      <c r="T26">
        <f>INDEX('AEO 2026 Table 4'!$E$6:$AD$125,MATCH($A26,'AEO 2026 Table 4'!$B$6:$B$125,0),MATCH(T$1,'AEO 2026 Table 4'!$E$5:$AD$5,0))</f>
        <v/>
      </c>
      <c r="U26">
        <f>INDEX('AEO 2026 Table 4'!$E$6:$AD$125,MATCH($A26,'AEO 2026 Table 4'!$B$6:$B$125,0),MATCH(U$1,'AEO 2026 Table 4'!$E$5:$AD$5,0))</f>
        <v/>
      </c>
      <c r="V26">
        <f>INDEX('AEO 2026 Table 4'!$E$6:$AD$125,MATCH($A26,'AEO 2026 Table 4'!$B$6:$B$125,0),MATCH(V$1,'AEO 2026 Table 4'!$E$5:$AD$5,0))</f>
        <v/>
      </c>
      <c r="W26">
        <f>INDEX('AEO 2026 Table 4'!$E$6:$AD$125,MATCH($A26,'AEO 2026 Table 4'!$B$6:$B$125,0),MATCH(W$1,'AEO 2026 Table 4'!$E$5:$AD$5,0))</f>
        <v/>
      </c>
      <c r="X26">
        <f>INDEX('AEO 2026 Table 4'!$E$6:$AD$125,MATCH($A26,'AEO 2026 Table 4'!$B$6:$B$125,0),MATCH(X$1,'AEO 2026 Table 4'!$E$5:$AD$5,0))</f>
        <v/>
      </c>
      <c r="Y26">
        <f>INDEX('AEO 2026 Table 4'!$E$6:$AD$125,MATCH($A26,'AEO 2026 Table 4'!$B$6:$B$125,0),MATCH(Y$1,'AEO 2026 Table 4'!$E$5:$AD$5,0))</f>
        <v/>
      </c>
      <c r="Z26">
        <f>INDEX('AEO 2026 Table 4'!$E$6:$AD$125,MATCH($A26,'AEO 2026 Table 4'!$B$6:$B$125,0),MATCH(Z$1,'AEO 2026 Table 4'!$E$5:$AD$5,0))</f>
        <v/>
      </c>
      <c r="AA26">
        <f>INDEX('AEO 2026 Table 4'!$E$6:$AD$125,MATCH($A26,'AEO 2026 Table 4'!$B$6:$B$125,0),MATCH(AA$1,'AEO 2026 Table 4'!$E$5:$AD$5,0))</f>
        <v/>
      </c>
      <c r="AB26">
        <f>INDEX('AEO 2026 Table 4'!$E$6:$AD$125,MATCH($A26,'AEO 2026 Table 4'!$B$6:$B$125,0),MATCH(AB$1,'AEO 2026 Table 4'!$E$5:$AD$5,0))</f>
        <v/>
      </c>
      <c r="AC26">
        <f>INDEX('AEO 2026 Table 4'!$E$6:$AD$125,MATCH($A26,'AEO 2026 Table 4'!$B$6:$B$125,0),MATCH(AC$1,'AEO 2026 Table 4'!$E$5:$AD$5,0))</f>
        <v/>
      </c>
      <c r="AD26">
        <f>INDEX('AEO 2026 Table 4'!$E$6:$AD$125,MATCH($A26,'AEO 2026 Table 4'!$B$6:$B$125,0),MATCH(AD$1,'AEO 2026 Table 4'!$E$5:$AD$5,0))</f>
        <v/>
      </c>
      <c r="AE26">
        <f>INDEX('AEO 2026 Table 4'!$E$6:$AD$125,MATCH($A26,'AEO 2026 Table 4'!$B$6:$B$125,0),MATCH(AE$1,'AEO 2026 Table 4'!$E$5:$AD$5,0))</f>
        <v/>
      </c>
      <c r="AF26">
        <f>INDEX('AEO 2026 Table 4'!$E$6:$AD$125,MATCH($A26,'AEO 2026 Table 4'!$B$6:$B$125,0),MATCH(AF$1,'AEO 2026 Table 4'!$E$5:$AD$5,0))</f>
        <v/>
      </c>
      <c r="AG26">
        <f>INDEX('AEO 2026 Table 4'!$E$6:$AD$125,MATCH($A26,'AEO 2026 Table 4'!$B$6:$B$125,0),MATCH(AG$1,'AEO 2026 Table 4'!$E$5:$AD$5,0))</f>
        <v/>
      </c>
    </row>
    <row r="27">
      <c r="A27" t="inlineStr">
        <is>
          <t>Residential: Natural Gas: Delivered Energy: Alternative Electricity and Transportation</t>
        </is>
      </c>
      <c r="B27" t="inlineStr">
        <is>
          <t>Residential: Natural Gas: Delivered Energy: High Zero-Carbon Technology Cost</t>
        </is>
      </c>
      <c r="C27">
        <f>D27&amp;"-"&amp;E27&amp;"-"&amp;F27</f>
        <v/>
      </c>
      <c r="D27" t="inlineStr">
        <is>
          <t>residential</t>
        </is>
      </c>
      <c r="E27" t="inlineStr">
        <is>
          <t>total</t>
        </is>
      </c>
      <c r="F27" s="1" t="inlineStr">
        <is>
          <t>natural gas (BTU)</t>
        </is>
      </c>
      <c r="G27" s="44">
        <f>INDEX(Table_4._Residential_Sector_Key!$F$8:$AG$125,MATCH($B27,Table_4._Residential_Sector_Key!$B$8:$B$125,0),MATCH(G$1,Table_4._Residential_Sector_Key!$F$5:$AG$5,0))</f>
        <v/>
      </c>
      <c r="H27">
        <f>INDEX('AEO 2026 Table 4'!$E$6:$AD$125,MATCH($A27,'AEO 2026 Table 4'!$B$6:$B$125,0),MATCH(H$1,'AEO 2026 Table 4'!$E$5:$AD$5,0))</f>
        <v/>
      </c>
      <c r="I27">
        <f>INDEX('AEO 2026 Table 4'!$E$6:$AD$125,MATCH($A27,'AEO 2026 Table 4'!$B$6:$B$125,0),MATCH(I$1,'AEO 2026 Table 4'!$E$5:$AD$5,0))</f>
        <v/>
      </c>
      <c r="J27">
        <f>INDEX('AEO 2026 Table 4'!$E$6:$AD$125,MATCH($A27,'AEO 2026 Table 4'!$B$6:$B$125,0),MATCH(J$1,'AEO 2026 Table 4'!$E$5:$AD$5,0))</f>
        <v/>
      </c>
      <c r="K27">
        <f>INDEX('AEO 2026 Table 4'!$E$6:$AD$125,MATCH($A27,'AEO 2026 Table 4'!$B$6:$B$125,0),MATCH(K$1,'AEO 2026 Table 4'!$E$5:$AD$5,0))</f>
        <v/>
      </c>
      <c r="L27">
        <f>INDEX('AEO 2026 Table 4'!$E$6:$AD$125,MATCH($A27,'AEO 2026 Table 4'!$B$6:$B$125,0),MATCH(L$1,'AEO 2026 Table 4'!$E$5:$AD$5,0))</f>
        <v/>
      </c>
      <c r="M27">
        <f>INDEX('AEO 2026 Table 4'!$E$6:$AD$125,MATCH($A27,'AEO 2026 Table 4'!$B$6:$B$125,0),MATCH(M$1,'AEO 2026 Table 4'!$E$5:$AD$5,0))</f>
        <v/>
      </c>
      <c r="N27">
        <f>INDEX('AEO 2026 Table 4'!$E$6:$AD$125,MATCH($A27,'AEO 2026 Table 4'!$B$6:$B$125,0),MATCH(N$1,'AEO 2026 Table 4'!$E$5:$AD$5,0))</f>
        <v/>
      </c>
      <c r="O27">
        <f>INDEX('AEO 2026 Table 4'!$E$6:$AD$125,MATCH($A27,'AEO 2026 Table 4'!$B$6:$B$125,0),MATCH(O$1,'AEO 2026 Table 4'!$E$5:$AD$5,0))</f>
        <v/>
      </c>
      <c r="P27">
        <f>INDEX('AEO 2026 Table 4'!$E$6:$AD$125,MATCH($A27,'AEO 2026 Table 4'!$B$6:$B$125,0),MATCH(P$1,'AEO 2026 Table 4'!$E$5:$AD$5,0))</f>
        <v/>
      </c>
      <c r="Q27">
        <f>INDEX('AEO 2026 Table 4'!$E$6:$AD$125,MATCH($A27,'AEO 2026 Table 4'!$B$6:$B$125,0),MATCH(Q$1,'AEO 2026 Table 4'!$E$5:$AD$5,0))</f>
        <v/>
      </c>
      <c r="R27">
        <f>INDEX('AEO 2026 Table 4'!$E$6:$AD$125,MATCH($A27,'AEO 2026 Table 4'!$B$6:$B$125,0),MATCH(R$1,'AEO 2026 Table 4'!$E$5:$AD$5,0))</f>
        <v/>
      </c>
      <c r="S27">
        <f>INDEX('AEO 2026 Table 4'!$E$6:$AD$125,MATCH($A27,'AEO 2026 Table 4'!$B$6:$B$125,0),MATCH(S$1,'AEO 2026 Table 4'!$E$5:$AD$5,0))</f>
        <v/>
      </c>
      <c r="T27">
        <f>INDEX('AEO 2026 Table 4'!$E$6:$AD$125,MATCH($A27,'AEO 2026 Table 4'!$B$6:$B$125,0),MATCH(T$1,'AEO 2026 Table 4'!$E$5:$AD$5,0))</f>
        <v/>
      </c>
      <c r="U27">
        <f>INDEX('AEO 2026 Table 4'!$E$6:$AD$125,MATCH($A27,'AEO 2026 Table 4'!$B$6:$B$125,0),MATCH(U$1,'AEO 2026 Table 4'!$E$5:$AD$5,0))</f>
        <v/>
      </c>
      <c r="V27">
        <f>INDEX('AEO 2026 Table 4'!$E$6:$AD$125,MATCH($A27,'AEO 2026 Table 4'!$B$6:$B$125,0),MATCH(V$1,'AEO 2026 Table 4'!$E$5:$AD$5,0))</f>
        <v/>
      </c>
      <c r="W27">
        <f>INDEX('AEO 2026 Table 4'!$E$6:$AD$125,MATCH($A27,'AEO 2026 Table 4'!$B$6:$B$125,0),MATCH(W$1,'AEO 2026 Table 4'!$E$5:$AD$5,0))</f>
        <v/>
      </c>
      <c r="X27">
        <f>INDEX('AEO 2026 Table 4'!$E$6:$AD$125,MATCH($A27,'AEO 2026 Table 4'!$B$6:$B$125,0),MATCH(X$1,'AEO 2026 Table 4'!$E$5:$AD$5,0))</f>
        <v/>
      </c>
      <c r="Y27">
        <f>INDEX('AEO 2026 Table 4'!$E$6:$AD$125,MATCH($A27,'AEO 2026 Table 4'!$B$6:$B$125,0),MATCH(Y$1,'AEO 2026 Table 4'!$E$5:$AD$5,0))</f>
        <v/>
      </c>
      <c r="Z27">
        <f>INDEX('AEO 2026 Table 4'!$E$6:$AD$125,MATCH($A27,'AEO 2026 Table 4'!$B$6:$B$125,0),MATCH(Z$1,'AEO 2026 Table 4'!$E$5:$AD$5,0))</f>
        <v/>
      </c>
      <c r="AA27">
        <f>INDEX('AEO 2026 Table 4'!$E$6:$AD$125,MATCH($A27,'AEO 2026 Table 4'!$B$6:$B$125,0),MATCH(AA$1,'AEO 2026 Table 4'!$E$5:$AD$5,0))</f>
        <v/>
      </c>
      <c r="AB27">
        <f>INDEX('AEO 2026 Table 4'!$E$6:$AD$125,MATCH($A27,'AEO 2026 Table 4'!$B$6:$B$125,0),MATCH(AB$1,'AEO 2026 Table 4'!$E$5:$AD$5,0))</f>
        <v/>
      </c>
      <c r="AC27">
        <f>INDEX('AEO 2026 Table 4'!$E$6:$AD$125,MATCH($A27,'AEO 2026 Table 4'!$B$6:$B$125,0),MATCH(AC$1,'AEO 2026 Table 4'!$E$5:$AD$5,0))</f>
        <v/>
      </c>
      <c r="AD27">
        <f>INDEX('AEO 2026 Table 4'!$E$6:$AD$125,MATCH($A27,'AEO 2026 Table 4'!$B$6:$B$125,0),MATCH(AD$1,'AEO 2026 Table 4'!$E$5:$AD$5,0))</f>
        <v/>
      </c>
      <c r="AE27">
        <f>INDEX('AEO 2026 Table 4'!$E$6:$AD$125,MATCH($A27,'AEO 2026 Table 4'!$B$6:$B$125,0),MATCH(AE$1,'AEO 2026 Table 4'!$E$5:$AD$5,0))</f>
        <v/>
      </c>
      <c r="AF27">
        <f>INDEX('AEO 2026 Table 4'!$E$6:$AD$125,MATCH($A27,'AEO 2026 Table 4'!$B$6:$B$125,0),MATCH(AF$1,'AEO 2026 Table 4'!$E$5:$AD$5,0))</f>
        <v/>
      </c>
      <c r="AG27">
        <f>INDEX('AEO 2026 Table 4'!$E$6:$AD$125,MATCH($A27,'AEO 2026 Table 4'!$B$6:$B$125,0),MATCH(AG$1,'AEO 2026 Table 4'!$E$5:$AD$5,0))</f>
        <v/>
      </c>
    </row>
    <row r="28">
      <c r="A28" t="inlineStr">
        <is>
          <t>Residential: Distillate Fuel Oil: Space Heating: Alternative Electricity and Transportation</t>
        </is>
      </c>
      <c r="B28" t="inlineStr">
        <is>
          <t>Residential: Distillate Fuel Oil: Space Heating: High Zero-Carbon Technology Cost</t>
        </is>
      </c>
      <c r="C28">
        <f>D28&amp;"-"&amp;E28&amp;"-"&amp;F28</f>
        <v/>
      </c>
      <c r="D28" t="inlineStr">
        <is>
          <t>residential</t>
        </is>
      </c>
      <c r="E28" t="inlineStr">
        <is>
          <t>heating</t>
        </is>
      </c>
      <c r="F28" s="1" t="inlineStr">
        <is>
          <t>petroleum diesel (BTU)</t>
        </is>
      </c>
      <c r="G28" s="44">
        <f>INDEX(Table_4._Residential_Sector_Key!$F$8:$AG$125,MATCH($B28,Table_4._Residential_Sector_Key!$B$8:$B$125,0),MATCH(G$1,Table_4._Residential_Sector_Key!$F$5:$AG$5,0))</f>
        <v/>
      </c>
      <c r="H28">
        <f>INDEX('AEO 2026 Table 4'!$E$6:$AD$125,MATCH($A28,'AEO 2026 Table 4'!$B$6:$B$125,0),MATCH(H$1,'AEO 2026 Table 4'!$E$5:$AD$5,0))</f>
        <v/>
      </c>
      <c r="I28">
        <f>INDEX('AEO 2026 Table 4'!$E$6:$AD$125,MATCH($A28,'AEO 2026 Table 4'!$B$6:$B$125,0),MATCH(I$1,'AEO 2026 Table 4'!$E$5:$AD$5,0))</f>
        <v/>
      </c>
      <c r="J28">
        <f>INDEX('AEO 2026 Table 4'!$E$6:$AD$125,MATCH($A28,'AEO 2026 Table 4'!$B$6:$B$125,0),MATCH(J$1,'AEO 2026 Table 4'!$E$5:$AD$5,0))</f>
        <v/>
      </c>
      <c r="K28">
        <f>INDEX('AEO 2026 Table 4'!$E$6:$AD$125,MATCH($A28,'AEO 2026 Table 4'!$B$6:$B$125,0),MATCH(K$1,'AEO 2026 Table 4'!$E$5:$AD$5,0))</f>
        <v/>
      </c>
      <c r="L28">
        <f>INDEX('AEO 2026 Table 4'!$E$6:$AD$125,MATCH($A28,'AEO 2026 Table 4'!$B$6:$B$125,0),MATCH(L$1,'AEO 2026 Table 4'!$E$5:$AD$5,0))</f>
        <v/>
      </c>
      <c r="M28">
        <f>INDEX('AEO 2026 Table 4'!$E$6:$AD$125,MATCH($A28,'AEO 2026 Table 4'!$B$6:$B$125,0),MATCH(M$1,'AEO 2026 Table 4'!$E$5:$AD$5,0))</f>
        <v/>
      </c>
      <c r="N28">
        <f>INDEX('AEO 2026 Table 4'!$E$6:$AD$125,MATCH($A28,'AEO 2026 Table 4'!$B$6:$B$125,0),MATCH(N$1,'AEO 2026 Table 4'!$E$5:$AD$5,0))</f>
        <v/>
      </c>
      <c r="O28">
        <f>INDEX('AEO 2026 Table 4'!$E$6:$AD$125,MATCH($A28,'AEO 2026 Table 4'!$B$6:$B$125,0),MATCH(O$1,'AEO 2026 Table 4'!$E$5:$AD$5,0))</f>
        <v/>
      </c>
      <c r="P28">
        <f>INDEX('AEO 2026 Table 4'!$E$6:$AD$125,MATCH($A28,'AEO 2026 Table 4'!$B$6:$B$125,0),MATCH(P$1,'AEO 2026 Table 4'!$E$5:$AD$5,0))</f>
        <v/>
      </c>
      <c r="Q28">
        <f>INDEX('AEO 2026 Table 4'!$E$6:$AD$125,MATCH($A28,'AEO 2026 Table 4'!$B$6:$B$125,0),MATCH(Q$1,'AEO 2026 Table 4'!$E$5:$AD$5,0))</f>
        <v/>
      </c>
      <c r="R28">
        <f>INDEX('AEO 2026 Table 4'!$E$6:$AD$125,MATCH($A28,'AEO 2026 Table 4'!$B$6:$B$125,0),MATCH(R$1,'AEO 2026 Table 4'!$E$5:$AD$5,0))</f>
        <v/>
      </c>
      <c r="S28">
        <f>INDEX('AEO 2026 Table 4'!$E$6:$AD$125,MATCH($A28,'AEO 2026 Table 4'!$B$6:$B$125,0),MATCH(S$1,'AEO 2026 Table 4'!$E$5:$AD$5,0))</f>
        <v/>
      </c>
      <c r="T28">
        <f>INDEX('AEO 2026 Table 4'!$E$6:$AD$125,MATCH($A28,'AEO 2026 Table 4'!$B$6:$B$125,0),MATCH(T$1,'AEO 2026 Table 4'!$E$5:$AD$5,0))</f>
        <v/>
      </c>
      <c r="U28">
        <f>INDEX('AEO 2026 Table 4'!$E$6:$AD$125,MATCH($A28,'AEO 2026 Table 4'!$B$6:$B$125,0),MATCH(U$1,'AEO 2026 Table 4'!$E$5:$AD$5,0))</f>
        <v/>
      </c>
      <c r="V28">
        <f>INDEX('AEO 2026 Table 4'!$E$6:$AD$125,MATCH($A28,'AEO 2026 Table 4'!$B$6:$B$125,0),MATCH(V$1,'AEO 2026 Table 4'!$E$5:$AD$5,0))</f>
        <v/>
      </c>
      <c r="W28">
        <f>INDEX('AEO 2026 Table 4'!$E$6:$AD$125,MATCH($A28,'AEO 2026 Table 4'!$B$6:$B$125,0),MATCH(W$1,'AEO 2026 Table 4'!$E$5:$AD$5,0))</f>
        <v/>
      </c>
      <c r="X28">
        <f>INDEX('AEO 2026 Table 4'!$E$6:$AD$125,MATCH($A28,'AEO 2026 Table 4'!$B$6:$B$125,0),MATCH(X$1,'AEO 2026 Table 4'!$E$5:$AD$5,0))</f>
        <v/>
      </c>
      <c r="Y28">
        <f>INDEX('AEO 2026 Table 4'!$E$6:$AD$125,MATCH($A28,'AEO 2026 Table 4'!$B$6:$B$125,0),MATCH(Y$1,'AEO 2026 Table 4'!$E$5:$AD$5,0))</f>
        <v/>
      </c>
      <c r="Z28">
        <f>INDEX('AEO 2026 Table 4'!$E$6:$AD$125,MATCH($A28,'AEO 2026 Table 4'!$B$6:$B$125,0),MATCH(Z$1,'AEO 2026 Table 4'!$E$5:$AD$5,0))</f>
        <v/>
      </c>
      <c r="AA28">
        <f>INDEX('AEO 2026 Table 4'!$E$6:$AD$125,MATCH($A28,'AEO 2026 Table 4'!$B$6:$B$125,0),MATCH(AA$1,'AEO 2026 Table 4'!$E$5:$AD$5,0))</f>
        <v/>
      </c>
      <c r="AB28">
        <f>INDEX('AEO 2026 Table 4'!$E$6:$AD$125,MATCH($A28,'AEO 2026 Table 4'!$B$6:$B$125,0),MATCH(AB$1,'AEO 2026 Table 4'!$E$5:$AD$5,0))</f>
        <v/>
      </c>
      <c r="AC28">
        <f>INDEX('AEO 2026 Table 4'!$E$6:$AD$125,MATCH($A28,'AEO 2026 Table 4'!$B$6:$B$125,0),MATCH(AC$1,'AEO 2026 Table 4'!$E$5:$AD$5,0))</f>
        <v/>
      </c>
      <c r="AD28">
        <f>INDEX('AEO 2026 Table 4'!$E$6:$AD$125,MATCH($A28,'AEO 2026 Table 4'!$B$6:$B$125,0),MATCH(AD$1,'AEO 2026 Table 4'!$E$5:$AD$5,0))</f>
        <v/>
      </c>
      <c r="AE28">
        <f>INDEX('AEO 2026 Table 4'!$E$6:$AD$125,MATCH($A28,'AEO 2026 Table 4'!$B$6:$B$125,0),MATCH(AE$1,'AEO 2026 Table 4'!$E$5:$AD$5,0))</f>
        <v/>
      </c>
      <c r="AF28">
        <f>INDEX('AEO 2026 Table 4'!$E$6:$AD$125,MATCH($A28,'AEO 2026 Table 4'!$B$6:$B$125,0),MATCH(AF$1,'AEO 2026 Table 4'!$E$5:$AD$5,0))</f>
        <v/>
      </c>
      <c r="AG28">
        <f>INDEX('AEO 2026 Table 4'!$E$6:$AD$125,MATCH($A28,'AEO 2026 Table 4'!$B$6:$B$125,0),MATCH(AG$1,'AEO 2026 Table 4'!$E$5:$AD$5,0))</f>
        <v/>
      </c>
    </row>
    <row r="29">
      <c r="A29" t="inlineStr">
        <is>
          <t>Residential: Distillate Fuel Oil: Water Heating: Alternative Electricity and Transportation</t>
        </is>
      </c>
      <c r="B29" t="inlineStr">
        <is>
          <t>Residential: Distillate Fuel Oil: Water Heating: High Zero-Carbon Technology Cost</t>
        </is>
      </c>
      <c r="C29">
        <f>D29&amp;"-"&amp;E29&amp;"-"&amp;F29</f>
        <v/>
      </c>
      <c r="D29" t="inlineStr">
        <is>
          <t>residential</t>
        </is>
      </c>
      <c r="E29" t="inlineStr">
        <is>
          <t>appliances</t>
        </is>
      </c>
      <c r="F29" s="1" t="inlineStr">
        <is>
          <t>petroleum diesel (BTU)</t>
        </is>
      </c>
      <c r="G29" s="44">
        <f>INDEX(Table_4._Residential_Sector_Key!$F$8:$AG$125,MATCH($B29,Table_4._Residential_Sector_Key!$B$8:$B$125,0),MATCH(G$1,Table_4._Residential_Sector_Key!$F$5:$AG$5,0))</f>
        <v/>
      </c>
      <c r="H29">
        <f>INDEX('AEO 2026 Table 4'!$E$6:$AD$125,MATCH($A29,'AEO 2026 Table 4'!$B$6:$B$125,0),MATCH(H$1,'AEO 2026 Table 4'!$E$5:$AD$5,0))</f>
        <v/>
      </c>
      <c r="I29">
        <f>INDEX('AEO 2026 Table 4'!$E$6:$AD$125,MATCH($A29,'AEO 2026 Table 4'!$B$6:$B$125,0),MATCH(I$1,'AEO 2026 Table 4'!$E$5:$AD$5,0))</f>
        <v/>
      </c>
      <c r="J29">
        <f>INDEX('AEO 2026 Table 4'!$E$6:$AD$125,MATCH($A29,'AEO 2026 Table 4'!$B$6:$B$125,0),MATCH(J$1,'AEO 2026 Table 4'!$E$5:$AD$5,0))</f>
        <v/>
      </c>
      <c r="K29">
        <f>INDEX('AEO 2026 Table 4'!$E$6:$AD$125,MATCH($A29,'AEO 2026 Table 4'!$B$6:$B$125,0),MATCH(K$1,'AEO 2026 Table 4'!$E$5:$AD$5,0))</f>
        <v/>
      </c>
      <c r="L29">
        <f>INDEX('AEO 2026 Table 4'!$E$6:$AD$125,MATCH($A29,'AEO 2026 Table 4'!$B$6:$B$125,0),MATCH(L$1,'AEO 2026 Table 4'!$E$5:$AD$5,0))</f>
        <v/>
      </c>
      <c r="M29">
        <f>INDEX('AEO 2026 Table 4'!$E$6:$AD$125,MATCH($A29,'AEO 2026 Table 4'!$B$6:$B$125,0),MATCH(M$1,'AEO 2026 Table 4'!$E$5:$AD$5,0))</f>
        <v/>
      </c>
      <c r="N29">
        <f>INDEX('AEO 2026 Table 4'!$E$6:$AD$125,MATCH($A29,'AEO 2026 Table 4'!$B$6:$B$125,0),MATCH(N$1,'AEO 2026 Table 4'!$E$5:$AD$5,0))</f>
        <v/>
      </c>
      <c r="O29">
        <f>INDEX('AEO 2026 Table 4'!$E$6:$AD$125,MATCH($A29,'AEO 2026 Table 4'!$B$6:$B$125,0),MATCH(O$1,'AEO 2026 Table 4'!$E$5:$AD$5,0))</f>
        <v/>
      </c>
      <c r="P29">
        <f>INDEX('AEO 2026 Table 4'!$E$6:$AD$125,MATCH($A29,'AEO 2026 Table 4'!$B$6:$B$125,0),MATCH(P$1,'AEO 2026 Table 4'!$E$5:$AD$5,0))</f>
        <v/>
      </c>
      <c r="Q29">
        <f>INDEX('AEO 2026 Table 4'!$E$6:$AD$125,MATCH($A29,'AEO 2026 Table 4'!$B$6:$B$125,0),MATCH(Q$1,'AEO 2026 Table 4'!$E$5:$AD$5,0))</f>
        <v/>
      </c>
      <c r="R29">
        <f>INDEX('AEO 2026 Table 4'!$E$6:$AD$125,MATCH($A29,'AEO 2026 Table 4'!$B$6:$B$125,0),MATCH(R$1,'AEO 2026 Table 4'!$E$5:$AD$5,0))</f>
        <v/>
      </c>
      <c r="S29">
        <f>INDEX('AEO 2026 Table 4'!$E$6:$AD$125,MATCH($A29,'AEO 2026 Table 4'!$B$6:$B$125,0),MATCH(S$1,'AEO 2026 Table 4'!$E$5:$AD$5,0))</f>
        <v/>
      </c>
      <c r="T29">
        <f>INDEX('AEO 2026 Table 4'!$E$6:$AD$125,MATCH($A29,'AEO 2026 Table 4'!$B$6:$B$125,0),MATCH(T$1,'AEO 2026 Table 4'!$E$5:$AD$5,0))</f>
        <v/>
      </c>
      <c r="U29">
        <f>INDEX('AEO 2026 Table 4'!$E$6:$AD$125,MATCH($A29,'AEO 2026 Table 4'!$B$6:$B$125,0),MATCH(U$1,'AEO 2026 Table 4'!$E$5:$AD$5,0))</f>
        <v/>
      </c>
      <c r="V29">
        <f>INDEX('AEO 2026 Table 4'!$E$6:$AD$125,MATCH($A29,'AEO 2026 Table 4'!$B$6:$B$125,0),MATCH(V$1,'AEO 2026 Table 4'!$E$5:$AD$5,0))</f>
        <v/>
      </c>
      <c r="W29">
        <f>INDEX('AEO 2026 Table 4'!$E$6:$AD$125,MATCH($A29,'AEO 2026 Table 4'!$B$6:$B$125,0),MATCH(W$1,'AEO 2026 Table 4'!$E$5:$AD$5,0))</f>
        <v/>
      </c>
      <c r="X29">
        <f>INDEX('AEO 2026 Table 4'!$E$6:$AD$125,MATCH($A29,'AEO 2026 Table 4'!$B$6:$B$125,0),MATCH(X$1,'AEO 2026 Table 4'!$E$5:$AD$5,0))</f>
        <v/>
      </c>
      <c r="Y29">
        <f>INDEX('AEO 2026 Table 4'!$E$6:$AD$125,MATCH($A29,'AEO 2026 Table 4'!$B$6:$B$125,0),MATCH(Y$1,'AEO 2026 Table 4'!$E$5:$AD$5,0))</f>
        <v/>
      </c>
      <c r="Z29">
        <f>INDEX('AEO 2026 Table 4'!$E$6:$AD$125,MATCH($A29,'AEO 2026 Table 4'!$B$6:$B$125,0),MATCH(Z$1,'AEO 2026 Table 4'!$E$5:$AD$5,0))</f>
        <v/>
      </c>
      <c r="AA29">
        <f>INDEX('AEO 2026 Table 4'!$E$6:$AD$125,MATCH($A29,'AEO 2026 Table 4'!$B$6:$B$125,0),MATCH(AA$1,'AEO 2026 Table 4'!$E$5:$AD$5,0))</f>
        <v/>
      </c>
      <c r="AB29">
        <f>INDEX('AEO 2026 Table 4'!$E$6:$AD$125,MATCH($A29,'AEO 2026 Table 4'!$B$6:$B$125,0),MATCH(AB$1,'AEO 2026 Table 4'!$E$5:$AD$5,0))</f>
        <v/>
      </c>
      <c r="AC29">
        <f>INDEX('AEO 2026 Table 4'!$E$6:$AD$125,MATCH($A29,'AEO 2026 Table 4'!$B$6:$B$125,0),MATCH(AC$1,'AEO 2026 Table 4'!$E$5:$AD$5,0))</f>
        <v/>
      </c>
      <c r="AD29">
        <f>INDEX('AEO 2026 Table 4'!$E$6:$AD$125,MATCH($A29,'AEO 2026 Table 4'!$B$6:$B$125,0),MATCH(AD$1,'AEO 2026 Table 4'!$E$5:$AD$5,0))</f>
        <v/>
      </c>
      <c r="AE29">
        <f>INDEX('AEO 2026 Table 4'!$E$6:$AD$125,MATCH($A29,'AEO 2026 Table 4'!$B$6:$B$125,0),MATCH(AE$1,'AEO 2026 Table 4'!$E$5:$AD$5,0))</f>
        <v/>
      </c>
      <c r="AF29">
        <f>INDEX('AEO 2026 Table 4'!$E$6:$AD$125,MATCH($A29,'AEO 2026 Table 4'!$B$6:$B$125,0),MATCH(AF$1,'AEO 2026 Table 4'!$E$5:$AD$5,0))</f>
        <v/>
      </c>
      <c r="AG29">
        <f>INDEX('AEO 2026 Table 4'!$E$6:$AD$125,MATCH($A29,'AEO 2026 Table 4'!$B$6:$B$125,0),MATCH(AG$1,'AEO 2026 Table 4'!$E$5:$AD$5,0))</f>
        <v/>
      </c>
    </row>
    <row r="30">
      <c r="A30" t="inlineStr">
        <is>
          <t>Residential: Distillate Fuel Oil: Other Uses: Alternative Electricity and Transportation</t>
        </is>
      </c>
      <c r="B30" t="inlineStr">
        <is>
          <t>Residential: Distillate Fuel Oil: Other Uses: High Zero-Carbon Technology Cost</t>
        </is>
      </c>
      <c r="C30">
        <f>D30&amp;"-"&amp;E30&amp;"-"&amp;F30</f>
        <v/>
      </c>
      <c r="D30" t="inlineStr">
        <is>
          <t>residential</t>
        </is>
      </c>
      <c r="E30" t="inlineStr">
        <is>
          <t>other</t>
        </is>
      </c>
      <c r="F30" s="1" t="inlineStr">
        <is>
          <t>petroleum diesel (BTU)</t>
        </is>
      </c>
      <c r="G30" s="44">
        <f>INDEX(Table_4._Residential_Sector_Key!$F$8:$AG$125,MATCH($B30,Table_4._Residential_Sector_Key!$B$8:$B$125,0),MATCH(G$1,Table_4._Residential_Sector_Key!$F$5:$AG$5,0))</f>
        <v/>
      </c>
      <c r="H30">
        <f>INDEX('AEO 2026 Table 4'!$E$6:$AD$125,MATCH($A30,'AEO 2026 Table 4'!$B$6:$B$125,0),MATCH(H$1,'AEO 2026 Table 4'!$E$5:$AD$5,0))</f>
        <v/>
      </c>
      <c r="I30">
        <f>INDEX('AEO 2026 Table 4'!$E$6:$AD$125,MATCH($A30,'AEO 2026 Table 4'!$B$6:$B$125,0),MATCH(I$1,'AEO 2026 Table 4'!$E$5:$AD$5,0))</f>
        <v/>
      </c>
      <c r="J30">
        <f>INDEX('AEO 2026 Table 4'!$E$6:$AD$125,MATCH($A30,'AEO 2026 Table 4'!$B$6:$B$125,0),MATCH(J$1,'AEO 2026 Table 4'!$E$5:$AD$5,0))</f>
        <v/>
      </c>
      <c r="K30">
        <f>INDEX('AEO 2026 Table 4'!$E$6:$AD$125,MATCH($A30,'AEO 2026 Table 4'!$B$6:$B$125,0),MATCH(K$1,'AEO 2026 Table 4'!$E$5:$AD$5,0))</f>
        <v/>
      </c>
      <c r="L30">
        <f>INDEX('AEO 2026 Table 4'!$E$6:$AD$125,MATCH($A30,'AEO 2026 Table 4'!$B$6:$B$125,0),MATCH(L$1,'AEO 2026 Table 4'!$E$5:$AD$5,0))</f>
        <v/>
      </c>
      <c r="M30">
        <f>INDEX('AEO 2026 Table 4'!$E$6:$AD$125,MATCH($A30,'AEO 2026 Table 4'!$B$6:$B$125,0),MATCH(M$1,'AEO 2026 Table 4'!$E$5:$AD$5,0))</f>
        <v/>
      </c>
      <c r="N30">
        <f>INDEX('AEO 2026 Table 4'!$E$6:$AD$125,MATCH($A30,'AEO 2026 Table 4'!$B$6:$B$125,0),MATCH(N$1,'AEO 2026 Table 4'!$E$5:$AD$5,0))</f>
        <v/>
      </c>
      <c r="O30">
        <f>INDEX('AEO 2026 Table 4'!$E$6:$AD$125,MATCH($A30,'AEO 2026 Table 4'!$B$6:$B$125,0),MATCH(O$1,'AEO 2026 Table 4'!$E$5:$AD$5,0))</f>
        <v/>
      </c>
      <c r="P30">
        <f>INDEX('AEO 2026 Table 4'!$E$6:$AD$125,MATCH($A30,'AEO 2026 Table 4'!$B$6:$B$125,0),MATCH(P$1,'AEO 2026 Table 4'!$E$5:$AD$5,0))</f>
        <v/>
      </c>
      <c r="Q30">
        <f>INDEX('AEO 2026 Table 4'!$E$6:$AD$125,MATCH($A30,'AEO 2026 Table 4'!$B$6:$B$125,0),MATCH(Q$1,'AEO 2026 Table 4'!$E$5:$AD$5,0))</f>
        <v/>
      </c>
      <c r="R30">
        <f>INDEX('AEO 2026 Table 4'!$E$6:$AD$125,MATCH($A30,'AEO 2026 Table 4'!$B$6:$B$125,0),MATCH(R$1,'AEO 2026 Table 4'!$E$5:$AD$5,0))</f>
        <v/>
      </c>
      <c r="S30">
        <f>INDEX('AEO 2026 Table 4'!$E$6:$AD$125,MATCH($A30,'AEO 2026 Table 4'!$B$6:$B$125,0),MATCH(S$1,'AEO 2026 Table 4'!$E$5:$AD$5,0))</f>
        <v/>
      </c>
      <c r="T30">
        <f>INDEX('AEO 2026 Table 4'!$E$6:$AD$125,MATCH($A30,'AEO 2026 Table 4'!$B$6:$B$125,0),MATCH(T$1,'AEO 2026 Table 4'!$E$5:$AD$5,0))</f>
        <v/>
      </c>
      <c r="U30">
        <f>INDEX('AEO 2026 Table 4'!$E$6:$AD$125,MATCH($A30,'AEO 2026 Table 4'!$B$6:$B$125,0),MATCH(U$1,'AEO 2026 Table 4'!$E$5:$AD$5,0))</f>
        <v/>
      </c>
      <c r="V30">
        <f>INDEX('AEO 2026 Table 4'!$E$6:$AD$125,MATCH($A30,'AEO 2026 Table 4'!$B$6:$B$125,0),MATCH(V$1,'AEO 2026 Table 4'!$E$5:$AD$5,0))</f>
        <v/>
      </c>
      <c r="W30">
        <f>INDEX('AEO 2026 Table 4'!$E$6:$AD$125,MATCH($A30,'AEO 2026 Table 4'!$B$6:$B$125,0),MATCH(W$1,'AEO 2026 Table 4'!$E$5:$AD$5,0))</f>
        <v/>
      </c>
      <c r="X30">
        <f>INDEX('AEO 2026 Table 4'!$E$6:$AD$125,MATCH($A30,'AEO 2026 Table 4'!$B$6:$B$125,0),MATCH(X$1,'AEO 2026 Table 4'!$E$5:$AD$5,0))</f>
        <v/>
      </c>
      <c r="Y30">
        <f>INDEX('AEO 2026 Table 4'!$E$6:$AD$125,MATCH($A30,'AEO 2026 Table 4'!$B$6:$B$125,0),MATCH(Y$1,'AEO 2026 Table 4'!$E$5:$AD$5,0))</f>
        <v/>
      </c>
      <c r="Z30">
        <f>INDEX('AEO 2026 Table 4'!$E$6:$AD$125,MATCH($A30,'AEO 2026 Table 4'!$B$6:$B$125,0),MATCH(Z$1,'AEO 2026 Table 4'!$E$5:$AD$5,0))</f>
        <v/>
      </c>
      <c r="AA30">
        <f>INDEX('AEO 2026 Table 4'!$E$6:$AD$125,MATCH($A30,'AEO 2026 Table 4'!$B$6:$B$125,0),MATCH(AA$1,'AEO 2026 Table 4'!$E$5:$AD$5,0))</f>
        <v/>
      </c>
      <c r="AB30">
        <f>INDEX('AEO 2026 Table 4'!$E$6:$AD$125,MATCH($A30,'AEO 2026 Table 4'!$B$6:$B$125,0),MATCH(AB$1,'AEO 2026 Table 4'!$E$5:$AD$5,0))</f>
        <v/>
      </c>
      <c r="AC30">
        <f>INDEX('AEO 2026 Table 4'!$E$6:$AD$125,MATCH($A30,'AEO 2026 Table 4'!$B$6:$B$125,0),MATCH(AC$1,'AEO 2026 Table 4'!$E$5:$AD$5,0))</f>
        <v/>
      </c>
      <c r="AD30">
        <f>INDEX('AEO 2026 Table 4'!$E$6:$AD$125,MATCH($A30,'AEO 2026 Table 4'!$B$6:$B$125,0),MATCH(AD$1,'AEO 2026 Table 4'!$E$5:$AD$5,0))</f>
        <v/>
      </c>
      <c r="AE30">
        <f>INDEX('AEO 2026 Table 4'!$E$6:$AD$125,MATCH($A30,'AEO 2026 Table 4'!$B$6:$B$125,0),MATCH(AE$1,'AEO 2026 Table 4'!$E$5:$AD$5,0))</f>
        <v/>
      </c>
      <c r="AF30">
        <f>INDEX('AEO 2026 Table 4'!$E$6:$AD$125,MATCH($A30,'AEO 2026 Table 4'!$B$6:$B$125,0),MATCH(AF$1,'AEO 2026 Table 4'!$E$5:$AD$5,0))</f>
        <v/>
      </c>
      <c r="AG30">
        <f>INDEX('AEO 2026 Table 4'!$E$6:$AD$125,MATCH($A30,'AEO 2026 Table 4'!$B$6:$B$125,0),MATCH(AG$1,'AEO 2026 Table 4'!$E$5:$AD$5,0))</f>
        <v/>
      </c>
    </row>
    <row r="31">
      <c r="A31" t="inlineStr">
        <is>
          <t>Residential: Distillate Fuel Oil: Delivered Energy: Alternative Electricity and Transportation</t>
        </is>
      </c>
      <c r="B31" t="inlineStr">
        <is>
          <t>Residential: Distillate Fuel Oil: Delivered Energy: High Zero-Carbon Technology Cost</t>
        </is>
      </c>
      <c r="C31">
        <f>D31&amp;"-"&amp;E31&amp;"-"&amp;F31</f>
        <v/>
      </c>
      <c r="D31" t="inlineStr">
        <is>
          <t>residential</t>
        </is>
      </c>
      <c r="E31" t="inlineStr">
        <is>
          <t>total</t>
        </is>
      </c>
      <c r="F31" s="1" t="inlineStr">
        <is>
          <t>petroleum diesel (BTU)</t>
        </is>
      </c>
      <c r="G31" s="44">
        <f>INDEX(Table_4._Residential_Sector_Key!$F$8:$AG$125,MATCH($B31,Table_4._Residential_Sector_Key!$B$8:$B$125,0),MATCH(G$1,Table_4._Residential_Sector_Key!$F$5:$AG$5,0))</f>
        <v/>
      </c>
      <c r="H31">
        <f>INDEX('AEO 2026 Table 4'!$E$6:$AD$125,MATCH($A31,'AEO 2026 Table 4'!$B$6:$B$125,0),MATCH(H$1,'AEO 2026 Table 4'!$E$5:$AD$5,0))</f>
        <v/>
      </c>
      <c r="I31">
        <f>INDEX('AEO 2026 Table 4'!$E$6:$AD$125,MATCH($A31,'AEO 2026 Table 4'!$B$6:$B$125,0),MATCH(I$1,'AEO 2026 Table 4'!$E$5:$AD$5,0))</f>
        <v/>
      </c>
      <c r="J31">
        <f>INDEX('AEO 2026 Table 4'!$E$6:$AD$125,MATCH($A31,'AEO 2026 Table 4'!$B$6:$B$125,0),MATCH(J$1,'AEO 2026 Table 4'!$E$5:$AD$5,0))</f>
        <v/>
      </c>
      <c r="K31">
        <f>INDEX('AEO 2026 Table 4'!$E$6:$AD$125,MATCH($A31,'AEO 2026 Table 4'!$B$6:$B$125,0),MATCH(K$1,'AEO 2026 Table 4'!$E$5:$AD$5,0))</f>
        <v/>
      </c>
      <c r="L31">
        <f>INDEX('AEO 2026 Table 4'!$E$6:$AD$125,MATCH($A31,'AEO 2026 Table 4'!$B$6:$B$125,0),MATCH(L$1,'AEO 2026 Table 4'!$E$5:$AD$5,0))</f>
        <v/>
      </c>
      <c r="M31">
        <f>INDEX('AEO 2026 Table 4'!$E$6:$AD$125,MATCH($A31,'AEO 2026 Table 4'!$B$6:$B$125,0),MATCH(M$1,'AEO 2026 Table 4'!$E$5:$AD$5,0))</f>
        <v/>
      </c>
      <c r="N31">
        <f>INDEX('AEO 2026 Table 4'!$E$6:$AD$125,MATCH($A31,'AEO 2026 Table 4'!$B$6:$B$125,0),MATCH(N$1,'AEO 2026 Table 4'!$E$5:$AD$5,0))</f>
        <v/>
      </c>
      <c r="O31">
        <f>INDEX('AEO 2026 Table 4'!$E$6:$AD$125,MATCH($A31,'AEO 2026 Table 4'!$B$6:$B$125,0),MATCH(O$1,'AEO 2026 Table 4'!$E$5:$AD$5,0))</f>
        <v/>
      </c>
      <c r="P31">
        <f>INDEX('AEO 2026 Table 4'!$E$6:$AD$125,MATCH($A31,'AEO 2026 Table 4'!$B$6:$B$125,0),MATCH(P$1,'AEO 2026 Table 4'!$E$5:$AD$5,0))</f>
        <v/>
      </c>
      <c r="Q31">
        <f>INDEX('AEO 2026 Table 4'!$E$6:$AD$125,MATCH($A31,'AEO 2026 Table 4'!$B$6:$B$125,0),MATCH(Q$1,'AEO 2026 Table 4'!$E$5:$AD$5,0))</f>
        <v/>
      </c>
      <c r="R31">
        <f>INDEX('AEO 2026 Table 4'!$E$6:$AD$125,MATCH($A31,'AEO 2026 Table 4'!$B$6:$B$125,0),MATCH(R$1,'AEO 2026 Table 4'!$E$5:$AD$5,0))</f>
        <v/>
      </c>
      <c r="S31">
        <f>INDEX('AEO 2026 Table 4'!$E$6:$AD$125,MATCH($A31,'AEO 2026 Table 4'!$B$6:$B$125,0),MATCH(S$1,'AEO 2026 Table 4'!$E$5:$AD$5,0))</f>
        <v/>
      </c>
      <c r="T31">
        <f>INDEX('AEO 2026 Table 4'!$E$6:$AD$125,MATCH($A31,'AEO 2026 Table 4'!$B$6:$B$125,0),MATCH(T$1,'AEO 2026 Table 4'!$E$5:$AD$5,0))</f>
        <v/>
      </c>
      <c r="U31">
        <f>INDEX('AEO 2026 Table 4'!$E$6:$AD$125,MATCH($A31,'AEO 2026 Table 4'!$B$6:$B$125,0),MATCH(U$1,'AEO 2026 Table 4'!$E$5:$AD$5,0))</f>
        <v/>
      </c>
      <c r="V31">
        <f>INDEX('AEO 2026 Table 4'!$E$6:$AD$125,MATCH($A31,'AEO 2026 Table 4'!$B$6:$B$125,0),MATCH(V$1,'AEO 2026 Table 4'!$E$5:$AD$5,0))</f>
        <v/>
      </c>
      <c r="W31">
        <f>INDEX('AEO 2026 Table 4'!$E$6:$AD$125,MATCH($A31,'AEO 2026 Table 4'!$B$6:$B$125,0),MATCH(W$1,'AEO 2026 Table 4'!$E$5:$AD$5,0))</f>
        <v/>
      </c>
      <c r="X31">
        <f>INDEX('AEO 2026 Table 4'!$E$6:$AD$125,MATCH($A31,'AEO 2026 Table 4'!$B$6:$B$125,0),MATCH(X$1,'AEO 2026 Table 4'!$E$5:$AD$5,0))</f>
        <v/>
      </c>
      <c r="Y31">
        <f>INDEX('AEO 2026 Table 4'!$E$6:$AD$125,MATCH($A31,'AEO 2026 Table 4'!$B$6:$B$125,0),MATCH(Y$1,'AEO 2026 Table 4'!$E$5:$AD$5,0))</f>
        <v/>
      </c>
      <c r="Z31">
        <f>INDEX('AEO 2026 Table 4'!$E$6:$AD$125,MATCH($A31,'AEO 2026 Table 4'!$B$6:$B$125,0),MATCH(Z$1,'AEO 2026 Table 4'!$E$5:$AD$5,0))</f>
        <v/>
      </c>
      <c r="AA31">
        <f>INDEX('AEO 2026 Table 4'!$E$6:$AD$125,MATCH($A31,'AEO 2026 Table 4'!$B$6:$B$125,0),MATCH(AA$1,'AEO 2026 Table 4'!$E$5:$AD$5,0))</f>
        <v/>
      </c>
      <c r="AB31">
        <f>INDEX('AEO 2026 Table 4'!$E$6:$AD$125,MATCH($A31,'AEO 2026 Table 4'!$B$6:$B$125,0),MATCH(AB$1,'AEO 2026 Table 4'!$E$5:$AD$5,0))</f>
        <v/>
      </c>
      <c r="AC31">
        <f>INDEX('AEO 2026 Table 4'!$E$6:$AD$125,MATCH($A31,'AEO 2026 Table 4'!$B$6:$B$125,0),MATCH(AC$1,'AEO 2026 Table 4'!$E$5:$AD$5,0))</f>
        <v/>
      </c>
      <c r="AD31">
        <f>INDEX('AEO 2026 Table 4'!$E$6:$AD$125,MATCH($A31,'AEO 2026 Table 4'!$B$6:$B$125,0),MATCH(AD$1,'AEO 2026 Table 4'!$E$5:$AD$5,0))</f>
        <v/>
      </c>
      <c r="AE31">
        <f>INDEX('AEO 2026 Table 4'!$E$6:$AD$125,MATCH($A31,'AEO 2026 Table 4'!$B$6:$B$125,0),MATCH(AE$1,'AEO 2026 Table 4'!$E$5:$AD$5,0))</f>
        <v/>
      </c>
      <c r="AF31">
        <f>INDEX('AEO 2026 Table 4'!$E$6:$AD$125,MATCH($A31,'AEO 2026 Table 4'!$B$6:$B$125,0),MATCH(AF$1,'AEO 2026 Table 4'!$E$5:$AD$5,0))</f>
        <v/>
      </c>
      <c r="AG31">
        <f>INDEX('AEO 2026 Table 4'!$E$6:$AD$125,MATCH($A31,'AEO 2026 Table 4'!$B$6:$B$125,0),MATCH(AG$1,'AEO 2026 Table 4'!$E$5:$AD$5,0))</f>
        <v/>
      </c>
    </row>
    <row r="32">
      <c r="A32" t="inlineStr">
        <is>
          <t>Residential: Propane: Space Heating: Alternative Electricity and Transportation</t>
        </is>
      </c>
      <c r="B32" t="inlineStr">
        <is>
          <t>Residential: Propane: Space Heating: High Zero-Carbon Technology Cost</t>
        </is>
      </c>
      <c r="C32">
        <f>D32&amp;"-"&amp;E32&amp;"-"&amp;F32</f>
        <v/>
      </c>
      <c r="D32" t="inlineStr">
        <is>
          <t>residential</t>
        </is>
      </c>
      <c r="E32" t="inlineStr">
        <is>
          <t>heating</t>
        </is>
      </c>
      <c r="F32" s="1" t="inlineStr">
        <is>
          <t>LPG propane or butane (BTU)</t>
        </is>
      </c>
      <c r="G32" s="44">
        <f>INDEX(Table_4._Residential_Sector_Key!$F$8:$AG$125,MATCH($B32,Table_4._Residential_Sector_Key!$B$8:$B$125,0),MATCH(G$1,Table_4._Residential_Sector_Key!$F$5:$AG$5,0))</f>
        <v/>
      </c>
      <c r="H32">
        <f>INDEX('AEO 2026 Table 4'!$E$6:$AD$125,MATCH($A32,'AEO 2026 Table 4'!$B$6:$B$125,0),MATCH(H$1,'AEO 2026 Table 4'!$E$5:$AD$5,0))</f>
        <v/>
      </c>
      <c r="I32">
        <f>INDEX('AEO 2026 Table 4'!$E$6:$AD$125,MATCH($A32,'AEO 2026 Table 4'!$B$6:$B$125,0),MATCH(I$1,'AEO 2026 Table 4'!$E$5:$AD$5,0))</f>
        <v/>
      </c>
      <c r="J32">
        <f>INDEX('AEO 2026 Table 4'!$E$6:$AD$125,MATCH($A32,'AEO 2026 Table 4'!$B$6:$B$125,0),MATCH(J$1,'AEO 2026 Table 4'!$E$5:$AD$5,0))</f>
        <v/>
      </c>
      <c r="K32">
        <f>INDEX('AEO 2026 Table 4'!$E$6:$AD$125,MATCH($A32,'AEO 2026 Table 4'!$B$6:$B$125,0),MATCH(K$1,'AEO 2026 Table 4'!$E$5:$AD$5,0))</f>
        <v/>
      </c>
      <c r="L32">
        <f>INDEX('AEO 2026 Table 4'!$E$6:$AD$125,MATCH($A32,'AEO 2026 Table 4'!$B$6:$B$125,0),MATCH(L$1,'AEO 2026 Table 4'!$E$5:$AD$5,0))</f>
        <v/>
      </c>
      <c r="M32">
        <f>INDEX('AEO 2026 Table 4'!$E$6:$AD$125,MATCH($A32,'AEO 2026 Table 4'!$B$6:$B$125,0),MATCH(M$1,'AEO 2026 Table 4'!$E$5:$AD$5,0))</f>
        <v/>
      </c>
      <c r="N32">
        <f>INDEX('AEO 2026 Table 4'!$E$6:$AD$125,MATCH($A32,'AEO 2026 Table 4'!$B$6:$B$125,0),MATCH(N$1,'AEO 2026 Table 4'!$E$5:$AD$5,0))</f>
        <v/>
      </c>
      <c r="O32">
        <f>INDEX('AEO 2026 Table 4'!$E$6:$AD$125,MATCH($A32,'AEO 2026 Table 4'!$B$6:$B$125,0),MATCH(O$1,'AEO 2026 Table 4'!$E$5:$AD$5,0))</f>
        <v/>
      </c>
      <c r="P32">
        <f>INDEX('AEO 2026 Table 4'!$E$6:$AD$125,MATCH($A32,'AEO 2026 Table 4'!$B$6:$B$125,0),MATCH(P$1,'AEO 2026 Table 4'!$E$5:$AD$5,0))</f>
        <v/>
      </c>
      <c r="Q32">
        <f>INDEX('AEO 2026 Table 4'!$E$6:$AD$125,MATCH($A32,'AEO 2026 Table 4'!$B$6:$B$125,0),MATCH(Q$1,'AEO 2026 Table 4'!$E$5:$AD$5,0))</f>
        <v/>
      </c>
      <c r="R32">
        <f>INDEX('AEO 2026 Table 4'!$E$6:$AD$125,MATCH($A32,'AEO 2026 Table 4'!$B$6:$B$125,0),MATCH(R$1,'AEO 2026 Table 4'!$E$5:$AD$5,0))</f>
        <v/>
      </c>
      <c r="S32">
        <f>INDEX('AEO 2026 Table 4'!$E$6:$AD$125,MATCH($A32,'AEO 2026 Table 4'!$B$6:$B$125,0),MATCH(S$1,'AEO 2026 Table 4'!$E$5:$AD$5,0))</f>
        <v/>
      </c>
      <c r="T32">
        <f>INDEX('AEO 2026 Table 4'!$E$6:$AD$125,MATCH($A32,'AEO 2026 Table 4'!$B$6:$B$125,0),MATCH(T$1,'AEO 2026 Table 4'!$E$5:$AD$5,0))</f>
        <v/>
      </c>
      <c r="U32">
        <f>INDEX('AEO 2026 Table 4'!$E$6:$AD$125,MATCH($A32,'AEO 2026 Table 4'!$B$6:$B$125,0),MATCH(U$1,'AEO 2026 Table 4'!$E$5:$AD$5,0))</f>
        <v/>
      </c>
      <c r="V32">
        <f>INDEX('AEO 2026 Table 4'!$E$6:$AD$125,MATCH($A32,'AEO 2026 Table 4'!$B$6:$B$125,0),MATCH(V$1,'AEO 2026 Table 4'!$E$5:$AD$5,0))</f>
        <v/>
      </c>
      <c r="W32">
        <f>INDEX('AEO 2026 Table 4'!$E$6:$AD$125,MATCH($A32,'AEO 2026 Table 4'!$B$6:$B$125,0),MATCH(W$1,'AEO 2026 Table 4'!$E$5:$AD$5,0))</f>
        <v/>
      </c>
      <c r="X32">
        <f>INDEX('AEO 2026 Table 4'!$E$6:$AD$125,MATCH($A32,'AEO 2026 Table 4'!$B$6:$B$125,0),MATCH(X$1,'AEO 2026 Table 4'!$E$5:$AD$5,0))</f>
        <v/>
      </c>
      <c r="Y32">
        <f>INDEX('AEO 2026 Table 4'!$E$6:$AD$125,MATCH($A32,'AEO 2026 Table 4'!$B$6:$B$125,0),MATCH(Y$1,'AEO 2026 Table 4'!$E$5:$AD$5,0))</f>
        <v/>
      </c>
      <c r="Z32">
        <f>INDEX('AEO 2026 Table 4'!$E$6:$AD$125,MATCH($A32,'AEO 2026 Table 4'!$B$6:$B$125,0),MATCH(Z$1,'AEO 2026 Table 4'!$E$5:$AD$5,0))</f>
        <v/>
      </c>
      <c r="AA32">
        <f>INDEX('AEO 2026 Table 4'!$E$6:$AD$125,MATCH($A32,'AEO 2026 Table 4'!$B$6:$B$125,0),MATCH(AA$1,'AEO 2026 Table 4'!$E$5:$AD$5,0))</f>
        <v/>
      </c>
      <c r="AB32">
        <f>INDEX('AEO 2026 Table 4'!$E$6:$AD$125,MATCH($A32,'AEO 2026 Table 4'!$B$6:$B$125,0),MATCH(AB$1,'AEO 2026 Table 4'!$E$5:$AD$5,0))</f>
        <v/>
      </c>
      <c r="AC32">
        <f>INDEX('AEO 2026 Table 4'!$E$6:$AD$125,MATCH($A32,'AEO 2026 Table 4'!$B$6:$B$125,0),MATCH(AC$1,'AEO 2026 Table 4'!$E$5:$AD$5,0))</f>
        <v/>
      </c>
      <c r="AD32">
        <f>INDEX('AEO 2026 Table 4'!$E$6:$AD$125,MATCH($A32,'AEO 2026 Table 4'!$B$6:$B$125,0),MATCH(AD$1,'AEO 2026 Table 4'!$E$5:$AD$5,0))</f>
        <v/>
      </c>
      <c r="AE32">
        <f>INDEX('AEO 2026 Table 4'!$E$6:$AD$125,MATCH($A32,'AEO 2026 Table 4'!$B$6:$B$125,0),MATCH(AE$1,'AEO 2026 Table 4'!$E$5:$AD$5,0))</f>
        <v/>
      </c>
      <c r="AF32">
        <f>INDEX('AEO 2026 Table 4'!$E$6:$AD$125,MATCH($A32,'AEO 2026 Table 4'!$B$6:$B$125,0),MATCH(AF$1,'AEO 2026 Table 4'!$E$5:$AD$5,0))</f>
        <v/>
      </c>
      <c r="AG32">
        <f>INDEX('AEO 2026 Table 4'!$E$6:$AD$125,MATCH($A32,'AEO 2026 Table 4'!$B$6:$B$125,0),MATCH(AG$1,'AEO 2026 Table 4'!$E$5:$AD$5,0))</f>
        <v/>
      </c>
    </row>
    <row r="33">
      <c r="A33" t="inlineStr">
        <is>
          <t>Residential: Propane: Water Heating: Alternative Electricity and Transportation</t>
        </is>
      </c>
      <c r="B33" t="inlineStr">
        <is>
          <t>Residential: Propane: Water Heating: High Zero-Carbon Technology Cost</t>
        </is>
      </c>
      <c r="C33">
        <f>D33&amp;"-"&amp;E33&amp;"-"&amp;F33</f>
        <v/>
      </c>
      <c r="D33" t="inlineStr">
        <is>
          <t>residential</t>
        </is>
      </c>
      <c r="E33" t="inlineStr">
        <is>
          <t>appliances</t>
        </is>
      </c>
      <c r="F33" s="1" t="inlineStr">
        <is>
          <t>LPG propane or butane (BTU)</t>
        </is>
      </c>
      <c r="G33" s="44">
        <f>INDEX(Table_4._Residential_Sector_Key!$F$8:$AG$125,MATCH($B33,Table_4._Residential_Sector_Key!$B$8:$B$125,0),MATCH(G$1,Table_4._Residential_Sector_Key!$F$5:$AG$5,0))</f>
        <v/>
      </c>
      <c r="H33">
        <f>INDEX('AEO 2026 Table 4'!$E$6:$AD$125,MATCH($A33,'AEO 2026 Table 4'!$B$6:$B$125,0),MATCH(H$1,'AEO 2026 Table 4'!$E$5:$AD$5,0))</f>
        <v/>
      </c>
      <c r="I33">
        <f>INDEX('AEO 2026 Table 4'!$E$6:$AD$125,MATCH($A33,'AEO 2026 Table 4'!$B$6:$B$125,0),MATCH(I$1,'AEO 2026 Table 4'!$E$5:$AD$5,0))</f>
        <v/>
      </c>
      <c r="J33">
        <f>INDEX('AEO 2026 Table 4'!$E$6:$AD$125,MATCH($A33,'AEO 2026 Table 4'!$B$6:$B$125,0),MATCH(J$1,'AEO 2026 Table 4'!$E$5:$AD$5,0))</f>
        <v/>
      </c>
      <c r="K33">
        <f>INDEX('AEO 2026 Table 4'!$E$6:$AD$125,MATCH($A33,'AEO 2026 Table 4'!$B$6:$B$125,0),MATCH(K$1,'AEO 2026 Table 4'!$E$5:$AD$5,0))</f>
        <v/>
      </c>
      <c r="L33">
        <f>INDEX('AEO 2026 Table 4'!$E$6:$AD$125,MATCH($A33,'AEO 2026 Table 4'!$B$6:$B$125,0),MATCH(L$1,'AEO 2026 Table 4'!$E$5:$AD$5,0))</f>
        <v/>
      </c>
      <c r="M33">
        <f>INDEX('AEO 2026 Table 4'!$E$6:$AD$125,MATCH($A33,'AEO 2026 Table 4'!$B$6:$B$125,0),MATCH(M$1,'AEO 2026 Table 4'!$E$5:$AD$5,0))</f>
        <v/>
      </c>
      <c r="N33">
        <f>INDEX('AEO 2026 Table 4'!$E$6:$AD$125,MATCH($A33,'AEO 2026 Table 4'!$B$6:$B$125,0),MATCH(N$1,'AEO 2026 Table 4'!$E$5:$AD$5,0))</f>
        <v/>
      </c>
      <c r="O33">
        <f>INDEX('AEO 2026 Table 4'!$E$6:$AD$125,MATCH($A33,'AEO 2026 Table 4'!$B$6:$B$125,0),MATCH(O$1,'AEO 2026 Table 4'!$E$5:$AD$5,0))</f>
        <v/>
      </c>
      <c r="P33">
        <f>INDEX('AEO 2026 Table 4'!$E$6:$AD$125,MATCH($A33,'AEO 2026 Table 4'!$B$6:$B$125,0),MATCH(P$1,'AEO 2026 Table 4'!$E$5:$AD$5,0))</f>
        <v/>
      </c>
      <c r="Q33">
        <f>INDEX('AEO 2026 Table 4'!$E$6:$AD$125,MATCH($A33,'AEO 2026 Table 4'!$B$6:$B$125,0),MATCH(Q$1,'AEO 2026 Table 4'!$E$5:$AD$5,0))</f>
        <v/>
      </c>
      <c r="R33">
        <f>INDEX('AEO 2026 Table 4'!$E$6:$AD$125,MATCH($A33,'AEO 2026 Table 4'!$B$6:$B$125,0),MATCH(R$1,'AEO 2026 Table 4'!$E$5:$AD$5,0))</f>
        <v/>
      </c>
      <c r="S33">
        <f>INDEX('AEO 2026 Table 4'!$E$6:$AD$125,MATCH($A33,'AEO 2026 Table 4'!$B$6:$B$125,0),MATCH(S$1,'AEO 2026 Table 4'!$E$5:$AD$5,0))</f>
        <v/>
      </c>
      <c r="T33">
        <f>INDEX('AEO 2026 Table 4'!$E$6:$AD$125,MATCH($A33,'AEO 2026 Table 4'!$B$6:$B$125,0),MATCH(T$1,'AEO 2026 Table 4'!$E$5:$AD$5,0))</f>
        <v/>
      </c>
      <c r="U33">
        <f>INDEX('AEO 2026 Table 4'!$E$6:$AD$125,MATCH($A33,'AEO 2026 Table 4'!$B$6:$B$125,0),MATCH(U$1,'AEO 2026 Table 4'!$E$5:$AD$5,0))</f>
        <v/>
      </c>
      <c r="V33">
        <f>INDEX('AEO 2026 Table 4'!$E$6:$AD$125,MATCH($A33,'AEO 2026 Table 4'!$B$6:$B$125,0),MATCH(V$1,'AEO 2026 Table 4'!$E$5:$AD$5,0))</f>
        <v/>
      </c>
      <c r="W33">
        <f>INDEX('AEO 2026 Table 4'!$E$6:$AD$125,MATCH($A33,'AEO 2026 Table 4'!$B$6:$B$125,0),MATCH(W$1,'AEO 2026 Table 4'!$E$5:$AD$5,0))</f>
        <v/>
      </c>
      <c r="X33">
        <f>INDEX('AEO 2026 Table 4'!$E$6:$AD$125,MATCH($A33,'AEO 2026 Table 4'!$B$6:$B$125,0),MATCH(X$1,'AEO 2026 Table 4'!$E$5:$AD$5,0))</f>
        <v/>
      </c>
      <c r="Y33">
        <f>INDEX('AEO 2026 Table 4'!$E$6:$AD$125,MATCH($A33,'AEO 2026 Table 4'!$B$6:$B$125,0),MATCH(Y$1,'AEO 2026 Table 4'!$E$5:$AD$5,0))</f>
        <v/>
      </c>
      <c r="Z33">
        <f>INDEX('AEO 2026 Table 4'!$E$6:$AD$125,MATCH($A33,'AEO 2026 Table 4'!$B$6:$B$125,0),MATCH(Z$1,'AEO 2026 Table 4'!$E$5:$AD$5,0))</f>
        <v/>
      </c>
      <c r="AA33">
        <f>INDEX('AEO 2026 Table 4'!$E$6:$AD$125,MATCH($A33,'AEO 2026 Table 4'!$B$6:$B$125,0),MATCH(AA$1,'AEO 2026 Table 4'!$E$5:$AD$5,0))</f>
        <v/>
      </c>
      <c r="AB33">
        <f>INDEX('AEO 2026 Table 4'!$E$6:$AD$125,MATCH($A33,'AEO 2026 Table 4'!$B$6:$B$125,0),MATCH(AB$1,'AEO 2026 Table 4'!$E$5:$AD$5,0))</f>
        <v/>
      </c>
      <c r="AC33">
        <f>INDEX('AEO 2026 Table 4'!$E$6:$AD$125,MATCH($A33,'AEO 2026 Table 4'!$B$6:$B$125,0),MATCH(AC$1,'AEO 2026 Table 4'!$E$5:$AD$5,0))</f>
        <v/>
      </c>
      <c r="AD33">
        <f>INDEX('AEO 2026 Table 4'!$E$6:$AD$125,MATCH($A33,'AEO 2026 Table 4'!$B$6:$B$125,0),MATCH(AD$1,'AEO 2026 Table 4'!$E$5:$AD$5,0))</f>
        <v/>
      </c>
      <c r="AE33">
        <f>INDEX('AEO 2026 Table 4'!$E$6:$AD$125,MATCH($A33,'AEO 2026 Table 4'!$B$6:$B$125,0),MATCH(AE$1,'AEO 2026 Table 4'!$E$5:$AD$5,0))</f>
        <v/>
      </c>
      <c r="AF33">
        <f>INDEX('AEO 2026 Table 4'!$E$6:$AD$125,MATCH($A33,'AEO 2026 Table 4'!$B$6:$B$125,0),MATCH(AF$1,'AEO 2026 Table 4'!$E$5:$AD$5,0))</f>
        <v/>
      </c>
      <c r="AG33">
        <f>INDEX('AEO 2026 Table 4'!$E$6:$AD$125,MATCH($A33,'AEO 2026 Table 4'!$B$6:$B$125,0),MATCH(AG$1,'AEO 2026 Table 4'!$E$5:$AD$5,0))</f>
        <v/>
      </c>
    </row>
    <row r="34">
      <c r="A34" t="inlineStr">
        <is>
          <t>Residential: Propane: Cooking: Alternative Electricity and Transportation</t>
        </is>
      </c>
      <c r="B34" t="inlineStr">
        <is>
          <t>Residential: Propane: Cooking: High Zero-Carbon Technology Cost</t>
        </is>
      </c>
      <c r="C34">
        <f>D34&amp;"-"&amp;E34&amp;"-"&amp;F34</f>
        <v/>
      </c>
      <c r="D34" t="inlineStr">
        <is>
          <t>residential</t>
        </is>
      </c>
      <c r="E34" t="inlineStr">
        <is>
          <t>appliances</t>
        </is>
      </c>
      <c r="F34" s="1" t="inlineStr">
        <is>
          <t>LPG propane or butane (BTU)</t>
        </is>
      </c>
      <c r="G34" s="44">
        <f>INDEX(Table_4._Residential_Sector_Key!$F$8:$AG$125,MATCH($B34,Table_4._Residential_Sector_Key!$B$8:$B$125,0),MATCH(G$1,Table_4._Residential_Sector_Key!$F$5:$AG$5,0))</f>
        <v/>
      </c>
      <c r="H34">
        <f>INDEX('AEO 2026 Table 4'!$E$6:$AD$125,MATCH($A34,'AEO 2026 Table 4'!$B$6:$B$125,0),MATCH(H$1,'AEO 2026 Table 4'!$E$5:$AD$5,0))</f>
        <v/>
      </c>
      <c r="I34">
        <f>INDEX('AEO 2026 Table 4'!$E$6:$AD$125,MATCH($A34,'AEO 2026 Table 4'!$B$6:$B$125,0),MATCH(I$1,'AEO 2026 Table 4'!$E$5:$AD$5,0))</f>
        <v/>
      </c>
      <c r="J34">
        <f>INDEX('AEO 2026 Table 4'!$E$6:$AD$125,MATCH($A34,'AEO 2026 Table 4'!$B$6:$B$125,0),MATCH(J$1,'AEO 2026 Table 4'!$E$5:$AD$5,0))</f>
        <v/>
      </c>
      <c r="K34">
        <f>INDEX('AEO 2026 Table 4'!$E$6:$AD$125,MATCH($A34,'AEO 2026 Table 4'!$B$6:$B$125,0),MATCH(K$1,'AEO 2026 Table 4'!$E$5:$AD$5,0))</f>
        <v/>
      </c>
      <c r="L34">
        <f>INDEX('AEO 2026 Table 4'!$E$6:$AD$125,MATCH($A34,'AEO 2026 Table 4'!$B$6:$B$125,0),MATCH(L$1,'AEO 2026 Table 4'!$E$5:$AD$5,0))</f>
        <v/>
      </c>
      <c r="M34">
        <f>INDEX('AEO 2026 Table 4'!$E$6:$AD$125,MATCH($A34,'AEO 2026 Table 4'!$B$6:$B$125,0),MATCH(M$1,'AEO 2026 Table 4'!$E$5:$AD$5,0))</f>
        <v/>
      </c>
      <c r="N34">
        <f>INDEX('AEO 2026 Table 4'!$E$6:$AD$125,MATCH($A34,'AEO 2026 Table 4'!$B$6:$B$125,0),MATCH(N$1,'AEO 2026 Table 4'!$E$5:$AD$5,0))</f>
        <v/>
      </c>
      <c r="O34">
        <f>INDEX('AEO 2026 Table 4'!$E$6:$AD$125,MATCH($A34,'AEO 2026 Table 4'!$B$6:$B$125,0),MATCH(O$1,'AEO 2026 Table 4'!$E$5:$AD$5,0))</f>
        <v/>
      </c>
      <c r="P34">
        <f>INDEX('AEO 2026 Table 4'!$E$6:$AD$125,MATCH($A34,'AEO 2026 Table 4'!$B$6:$B$125,0),MATCH(P$1,'AEO 2026 Table 4'!$E$5:$AD$5,0))</f>
        <v/>
      </c>
      <c r="Q34">
        <f>INDEX('AEO 2026 Table 4'!$E$6:$AD$125,MATCH($A34,'AEO 2026 Table 4'!$B$6:$B$125,0),MATCH(Q$1,'AEO 2026 Table 4'!$E$5:$AD$5,0))</f>
        <v/>
      </c>
      <c r="R34">
        <f>INDEX('AEO 2026 Table 4'!$E$6:$AD$125,MATCH($A34,'AEO 2026 Table 4'!$B$6:$B$125,0),MATCH(R$1,'AEO 2026 Table 4'!$E$5:$AD$5,0))</f>
        <v/>
      </c>
      <c r="S34">
        <f>INDEX('AEO 2026 Table 4'!$E$6:$AD$125,MATCH($A34,'AEO 2026 Table 4'!$B$6:$B$125,0),MATCH(S$1,'AEO 2026 Table 4'!$E$5:$AD$5,0))</f>
        <v/>
      </c>
      <c r="T34">
        <f>INDEX('AEO 2026 Table 4'!$E$6:$AD$125,MATCH($A34,'AEO 2026 Table 4'!$B$6:$B$125,0),MATCH(T$1,'AEO 2026 Table 4'!$E$5:$AD$5,0))</f>
        <v/>
      </c>
      <c r="U34">
        <f>INDEX('AEO 2026 Table 4'!$E$6:$AD$125,MATCH($A34,'AEO 2026 Table 4'!$B$6:$B$125,0),MATCH(U$1,'AEO 2026 Table 4'!$E$5:$AD$5,0))</f>
        <v/>
      </c>
      <c r="V34">
        <f>INDEX('AEO 2026 Table 4'!$E$6:$AD$125,MATCH($A34,'AEO 2026 Table 4'!$B$6:$B$125,0),MATCH(V$1,'AEO 2026 Table 4'!$E$5:$AD$5,0))</f>
        <v/>
      </c>
      <c r="W34">
        <f>INDEX('AEO 2026 Table 4'!$E$6:$AD$125,MATCH($A34,'AEO 2026 Table 4'!$B$6:$B$125,0),MATCH(W$1,'AEO 2026 Table 4'!$E$5:$AD$5,0))</f>
        <v/>
      </c>
      <c r="X34">
        <f>INDEX('AEO 2026 Table 4'!$E$6:$AD$125,MATCH($A34,'AEO 2026 Table 4'!$B$6:$B$125,0),MATCH(X$1,'AEO 2026 Table 4'!$E$5:$AD$5,0))</f>
        <v/>
      </c>
      <c r="Y34">
        <f>INDEX('AEO 2026 Table 4'!$E$6:$AD$125,MATCH($A34,'AEO 2026 Table 4'!$B$6:$B$125,0),MATCH(Y$1,'AEO 2026 Table 4'!$E$5:$AD$5,0))</f>
        <v/>
      </c>
      <c r="Z34">
        <f>INDEX('AEO 2026 Table 4'!$E$6:$AD$125,MATCH($A34,'AEO 2026 Table 4'!$B$6:$B$125,0),MATCH(Z$1,'AEO 2026 Table 4'!$E$5:$AD$5,0))</f>
        <v/>
      </c>
      <c r="AA34">
        <f>INDEX('AEO 2026 Table 4'!$E$6:$AD$125,MATCH($A34,'AEO 2026 Table 4'!$B$6:$B$125,0),MATCH(AA$1,'AEO 2026 Table 4'!$E$5:$AD$5,0))</f>
        <v/>
      </c>
      <c r="AB34">
        <f>INDEX('AEO 2026 Table 4'!$E$6:$AD$125,MATCH($A34,'AEO 2026 Table 4'!$B$6:$B$125,0),MATCH(AB$1,'AEO 2026 Table 4'!$E$5:$AD$5,0))</f>
        <v/>
      </c>
      <c r="AC34">
        <f>INDEX('AEO 2026 Table 4'!$E$6:$AD$125,MATCH($A34,'AEO 2026 Table 4'!$B$6:$B$125,0),MATCH(AC$1,'AEO 2026 Table 4'!$E$5:$AD$5,0))</f>
        <v/>
      </c>
      <c r="AD34">
        <f>INDEX('AEO 2026 Table 4'!$E$6:$AD$125,MATCH($A34,'AEO 2026 Table 4'!$B$6:$B$125,0),MATCH(AD$1,'AEO 2026 Table 4'!$E$5:$AD$5,0))</f>
        <v/>
      </c>
      <c r="AE34">
        <f>INDEX('AEO 2026 Table 4'!$E$6:$AD$125,MATCH($A34,'AEO 2026 Table 4'!$B$6:$B$125,0),MATCH(AE$1,'AEO 2026 Table 4'!$E$5:$AD$5,0))</f>
        <v/>
      </c>
      <c r="AF34">
        <f>INDEX('AEO 2026 Table 4'!$E$6:$AD$125,MATCH($A34,'AEO 2026 Table 4'!$B$6:$B$125,0),MATCH(AF$1,'AEO 2026 Table 4'!$E$5:$AD$5,0))</f>
        <v/>
      </c>
      <c r="AG34">
        <f>INDEX('AEO 2026 Table 4'!$E$6:$AD$125,MATCH($A34,'AEO 2026 Table 4'!$B$6:$B$125,0),MATCH(AG$1,'AEO 2026 Table 4'!$E$5:$AD$5,0))</f>
        <v/>
      </c>
    </row>
    <row r="35">
      <c r="A35" t="inlineStr">
        <is>
          <t>Residential: Propane: Other Uses: Alternative Electricity and Transportation</t>
        </is>
      </c>
      <c r="B35" t="inlineStr">
        <is>
          <t>Residential: Propane: Other Uses: High Zero-Carbon Technology Cost</t>
        </is>
      </c>
      <c r="C35">
        <f>D35&amp;"-"&amp;E35&amp;"-"&amp;F35</f>
        <v/>
      </c>
      <c r="D35" t="inlineStr">
        <is>
          <t>residential</t>
        </is>
      </c>
      <c r="E35" t="inlineStr">
        <is>
          <t>other</t>
        </is>
      </c>
      <c r="F35" s="1" t="inlineStr">
        <is>
          <t>LPG propane or butane (BTU)</t>
        </is>
      </c>
      <c r="G35" s="44">
        <f>INDEX(Table_4._Residential_Sector_Key!$F$8:$AG$125,MATCH($B35,Table_4._Residential_Sector_Key!$B$8:$B$125,0),MATCH(G$1,Table_4._Residential_Sector_Key!$F$5:$AG$5,0))</f>
        <v/>
      </c>
      <c r="H35">
        <f>INDEX('AEO 2026 Table 4'!$E$6:$AD$125,MATCH($A35,'AEO 2026 Table 4'!$B$6:$B$125,0),MATCH(H$1,'AEO 2026 Table 4'!$E$5:$AD$5,0))</f>
        <v/>
      </c>
      <c r="I35">
        <f>INDEX('AEO 2026 Table 4'!$E$6:$AD$125,MATCH($A35,'AEO 2026 Table 4'!$B$6:$B$125,0),MATCH(I$1,'AEO 2026 Table 4'!$E$5:$AD$5,0))</f>
        <v/>
      </c>
      <c r="J35">
        <f>INDEX('AEO 2026 Table 4'!$E$6:$AD$125,MATCH($A35,'AEO 2026 Table 4'!$B$6:$B$125,0),MATCH(J$1,'AEO 2026 Table 4'!$E$5:$AD$5,0))</f>
        <v/>
      </c>
      <c r="K35">
        <f>INDEX('AEO 2026 Table 4'!$E$6:$AD$125,MATCH($A35,'AEO 2026 Table 4'!$B$6:$B$125,0),MATCH(K$1,'AEO 2026 Table 4'!$E$5:$AD$5,0))</f>
        <v/>
      </c>
      <c r="L35">
        <f>INDEX('AEO 2026 Table 4'!$E$6:$AD$125,MATCH($A35,'AEO 2026 Table 4'!$B$6:$B$125,0),MATCH(L$1,'AEO 2026 Table 4'!$E$5:$AD$5,0))</f>
        <v/>
      </c>
      <c r="M35">
        <f>INDEX('AEO 2026 Table 4'!$E$6:$AD$125,MATCH($A35,'AEO 2026 Table 4'!$B$6:$B$125,0),MATCH(M$1,'AEO 2026 Table 4'!$E$5:$AD$5,0))</f>
        <v/>
      </c>
      <c r="N35">
        <f>INDEX('AEO 2026 Table 4'!$E$6:$AD$125,MATCH($A35,'AEO 2026 Table 4'!$B$6:$B$125,0),MATCH(N$1,'AEO 2026 Table 4'!$E$5:$AD$5,0))</f>
        <v/>
      </c>
      <c r="O35">
        <f>INDEX('AEO 2026 Table 4'!$E$6:$AD$125,MATCH($A35,'AEO 2026 Table 4'!$B$6:$B$125,0),MATCH(O$1,'AEO 2026 Table 4'!$E$5:$AD$5,0))</f>
        <v/>
      </c>
      <c r="P35">
        <f>INDEX('AEO 2026 Table 4'!$E$6:$AD$125,MATCH($A35,'AEO 2026 Table 4'!$B$6:$B$125,0),MATCH(P$1,'AEO 2026 Table 4'!$E$5:$AD$5,0))</f>
        <v/>
      </c>
      <c r="Q35">
        <f>INDEX('AEO 2026 Table 4'!$E$6:$AD$125,MATCH($A35,'AEO 2026 Table 4'!$B$6:$B$125,0),MATCH(Q$1,'AEO 2026 Table 4'!$E$5:$AD$5,0))</f>
        <v/>
      </c>
      <c r="R35">
        <f>INDEX('AEO 2026 Table 4'!$E$6:$AD$125,MATCH($A35,'AEO 2026 Table 4'!$B$6:$B$125,0),MATCH(R$1,'AEO 2026 Table 4'!$E$5:$AD$5,0))</f>
        <v/>
      </c>
      <c r="S35">
        <f>INDEX('AEO 2026 Table 4'!$E$6:$AD$125,MATCH($A35,'AEO 2026 Table 4'!$B$6:$B$125,0),MATCH(S$1,'AEO 2026 Table 4'!$E$5:$AD$5,0))</f>
        <v/>
      </c>
      <c r="T35">
        <f>INDEX('AEO 2026 Table 4'!$E$6:$AD$125,MATCH($A35,'AEO 2026 Table 4'!$B$6:$B$125,0),MATCH(T$1,'AEO 2026 Table 4'!$E$5:$AD$5,0))</f>
        <v/>
      </c>
      <c r="U35">
        <f>INDEX('AEO 2026 Table 4'!$E$6:$AD$125,MATCH($A35,'AEO 2026 Table 4'!$B$6:$B$125,0),MATCH(U$1,'AEO 2026 Table 4'!$E$5:$AD$5,0))</f>
        <v/>
      </c>
      <c r="V35">
        <f>INDEX('AEO 2026 Table 4'!$E$6:$AD$125,MATCH($A35,'AEO 2026 Table 4'!$B$6:$B$125,0),MATCH(V$1,'AEO 2026 Table 4'!$E$5:$AD$5,0))</f>
        <v/>
      </c>
      <c r="W35">
        <f>INDEX('AEO 2026 Table 4'!$E$6:$AD$125,MATCH($A35,'AEO 2026 Table 4'!$B$6:$B$125,0),MATCH(W$1,'AEO 2026 Table 4'!$E$5:$AD$5,0))</f>
        <v/>
      </c>
      <c r="X35">
        <f>INDEX('AEO 2026 Table 4'!$E$6:$AD$125,MATCH($A35,'AEO 2026 Table 4'!$B$6:$B$125,0),MATCH(X$1,'AEO 2026 Table 4'!$E$5:$AD$5,0))</f>
        <v/>
      </c>
      <c r="Y35">
        <f>INDEX('AEO 2026 Table 4'!$E$6:$AD$125,MATCH($A35,'AEO 2026 Table 4'!$B$6:$B$125,0),MATCH(Y$1,'AEO 2026 Table 4'!$E$5:$AD$5,0))</f>
        <v/>
      </c>
      <c r="Z35">
        <f>INDEX('AEO 2026 Table 4'!$E$6:$AD$125,MATCH($A35,'AEO 2026 Table 4'!$B$6:$B$125,0),MATCH(Z$1,'AEO 2026 Table 4'!$E$5:$AD$5,0))</f>
        <v/>
      </c>
      <c r="AA35">
        <f>INDEX('AEO 2026 Table 4'!$E$6:$AD$125,MATCH($A35,'AEO 2026 Table 4'!$B$6:$B$125,0),MATCH(AA$1,'AEO 2026 Table 4'!$E$5:$AD$5,0))</f>
        <v/>
      </c>
      <c r="AB35">
        <f>INDEX('AEO 2026 Table 4'!$E$6:$AD$125,MATCH($A35,'AEO 2026 Table 4'!$B$6:$B$125,0),MATCH(AB$1,'AEO 2026 Table 4'!$E$5:$AD$5,0))</f>
        <v/>
      </c>
      <c r="AC35">
        <f>INDEX('AEO 2026 Table 4'!$E$6:$AD$125,MATCH($A35,'AEO 2026 Table 4'!$B$6:$B$125,0),MATCH(AC$1,'AEO 2026 Table 4'!$E$5:$AD$5,0))</f>
        <v/>
      </c>
      <c r="AD35">
        <f>INDEX('AEO 2026 Table 4'!$E$6:$AD$125,MATCH($A35,'AEO 2026 Table 4'!$B$6:$B$125,0),MATCH(AD$1,'AEO 2026 Table 4'!$E$5:$AD$5,0))</f>
        <v/>
      </c>
      <c r="AE35">
        <f>INDEX('AEO 2026 Table 4'!$E$6:$AD$125,MATCH($A35,'AEO 2026 Table 4'!$B$6:$B$125,0),MATCH(AE$1,'AEO 2026 Table 4'!$E$5:$AD$5,0))</f>
        <v/>
      </c>
      <c r="AF35">
        <f>INDEX('AEO 2026 Table 4'!$E$6:$AD$125,MATCH($A35,'AEO 2026 Table 4'!$B$6:$B$125,0),MATCH(AF$1,'AEO 2026 Table 4'!$E$5:$AD$5,0))</f>
        <v/>
      </c>
      <c r="AG35">
        <f>INDEX('AEO 2026 Table 4'!$E$6:$AD$125,MATCH($A35,'AEO 2026 Table 4'!$B$6:$B$125,0),MATCH(AG$1,'AEO 2026 Table 4'!$E$5:$AD$5,0))</f>
        <v/>
      </c>
    </row>
    <row r="36">
      <c r="A36" t="inlineStr">
        <is>
          <t>Residential: Propane: Delivered Energy: Alternative Electricity and Transportation</t>
        </is>
      </c>
      <c r="B36" t="inlineStr">
        <is>
          <t>Residential: Propane: Delivered Energy: High Zero-Carbon Technology Cost</t>
        </is>
      </c>
      <c r="C36">
        <f>D36&amp;"-"&amp;E36&amp;"-"&amp;F36</f>
        <v/>
      </c>
      <c r="D36" t="inlineStr">
        <is>
          <t>residential</t>
        </is>
      </c>
      <c r="E36" t="inlineStr">
        <is>
          <t>total</t>
        </is>
      </c>
      <c r="F36" s="1" t="inlineStr">
        <is>
          <t>LPG propane or butane (BTU)</t>
        </is>
      </c>
      <c r="G36" s="44">
        <f>INDEX(Table_4._Residential_Sector_Key!$F$8:$AG$125,MATCH($B36,Table_4._Residential_Sector_Key!$B$8:$B$125,0),MATCH(G$1,Table_4._Residential_Sector_Key!$F$5:$AG$5,0))</f>
        <v/>
      </c>
      <c r="H36">
        <f>INDEX('AEO 2026 Table 4'!$E$6:$AD$125,MATCH($A36,'AEO 2026 Table 4'!$B$6:$B$125,0),MATCH(H$1,'AEO 2026 Table 4'!$E$5:$AD$5,0))</f>
        <v/>
      </c>
      <c r="I36">
        <f>INDEX('AEO 2026 Table 4'!$E$6:$AD$125,MATCH($A36,'AEO 2026 Table 4'!$B$6:$B$125,0),MATCH(I$1,'AEO 2026 Table 4'!$E$5:$AD$5,0))</f>
        <v/>
      </c>
      <c r="J36">
        <f>INDEX('AEO 2026 Table 4'!$E$6:$AD$125,MATCH($A36,'AEO 2026 Table 4'!$B$6:$B$125,0),MATCH(J$1,'AEO 2026 Table 4'!$E$5:$AD$5,0))</f>
        <v/>
      </c>
      <c r="K36">
        <f>INDEX('AEO 2026 Table 4'!$E$6:$AD$125,MATCH($A36,'AEO 2026 Table 4'!$B$6:$B$125,0),MATCH(K$1,'AEO 2026 Table 4'!$E$5:$AD$5,0))</f>
        <v/>
      </c>
      <c r="L36">
        <f>INDEX('AEO 2026 Table 4'!$E$6:$AD$125,MATCH($A36,'AEO 2026 Table 4'!$B$6:$B$125,0),MATCH(L$1,'AEO 2026 Table 4'!$E$5:$AD$5,0))</f>
        <v/>
      </c>
      <c r="M36">
        <f>INDEX('AEO 2026 Table 4'!$E$6:$AD$125,MATCH($A36,'AEO 2026 Table 4'!$B$6:$B$125,0),MATCH(M$1,'AEO 2026 Table 4'!$E$5:$AD$5,0))</f>
        <v/>
      </c>
      <c r="N36">
        <f>INDEX('AEO 2026 Table 4'!$E$6:$AD$125,MATCH($A36,'AEO 2026 Table 4'!$B$6:$B$125,0),MATCH(N$1,'AEO 2026 Table 4'!$E$5:$AD$5,0))</f>
        <v/>
      </c>
      <c r="O36">
        <f>INDEX('AEO 2026 Table 4'!$E$6:$AD$125,MATCH($A36,'AEO 2026 Table 4'!$B$6:$B$125,0),MATCH(O$1,'AEO 2026 Table 4'!$E$5:$AD$5,0))</f>
        <v/>
      </c>
      <c r="P36">
        <f>INDEX('AEO 2026 Table 4'!$E$6:$AD$125,MATCH($A36,'AEO 2026 Table 4'!$B$6:$B$125,0),MATCH(P$1,'AEO 2026 Table 4'!$E$5:$AD$5,0))</f>
        <v/>
      </c>
      <c r="Q36">
        <f>INDEX('AEO 2026 Table 4'!$E$6:$AD$125,MATCH($A36,'AEO 2026 Table 4'!$B$6:$B$125,0),MATCH(Q$1,'AEO 2026 Table 4'!$E$5:$AD$5,0))</f>
        <v/>
      </c>
      <c r="R36">
        <f>INDEX('AEO 2026 Table 4'!$E$6:$AD$125,MATCH($A36,'AEO 2026 Table 4'!$B$6:$B$125,0),MATCH(R$1,'AEO 2026 Table 4'!$E$5:$AD$5,0))</f>
        <v/>
      </c>
      <c r="S36">
        <f>INDEX('AEO 2026 Table 4'!$E$6:$AD$125,MATCH($A36,'AEO 2026 Table 4'!$B$6:$B$125,0),MATCH(S$1,'AEO 2026 Table 4'!$E$5:$AD$5,0))</f>
        <v/>
      </c>
      <c r="T36">
        <f>INDEX('AEO 2026 Table 4'!$E$6:$AD$125,MATCH($A36,'AEO 2026 Table 4'!$B$6:$B$125,0),MATCH(T$1,'AEO 2026 Table 4'!$E$5:$AD$5,0))</f>
        <v/>
      </c>
      <c r="U36">
        <f>INDEX('AEO 2026 Table 4'!$E$6:$AD$125,MATCH($A36,'AEO 2026 Table 4'!$B$6:$B$125,0),MATCH(U$1,'AEO 2026 Table 4'!$E$5:$AD$5,0))</f>
        <v/>
      </c>
      <c r="V36">
        <f>INDEX('AEO 2026 Table 4'!$E$6:$AD$125,MATCH($A36,'AEO 2026 Table 4'!$B$6:$B$125,0),MATCH(V$1,'AEO 2026 Table 4'!$E$5:$AD$5,0))</f>
        <v/>
      </c>
      <c r="W36">
        <f>INDEX('AEO 2026 Table 4'!$E$6:$AD$125,MATCH($A36,'AEO 2026 Table 4'!$B$6:$B$125,0),MATCH(W$1,'AEO 2026 Table 4'!$E$5:$AD$5,0))</f>
        <v/>
      </c>
      <c r="X36">
        <f>INDEX('AEO 2026 Table 4'!$E$6:$AD$125,MATCH($A36,'AEO 2026 Table 4'!$B$6:$B$125,0),MATCH(X$1,'AEO 2026 Table 4'!$E$5:$AD$5,0))</f>
        <v/>
      </c>
      <c r="Y36">
        <f>INDEX('AEO 2026 Table 4'!$E$6:$AD$125,MATCH($A36,'AEO 2026 Table 4'!$B$6:$B$125,0),MATCH(Y$1,'AEO 2026 Table 4'!$E$5:$AD$5,0))</f>
        <v/>
      </c>
      <c r="Z36">
        <f>INDEX('AEO 2026 Table 4'!$E$6:$AD$125,MATCH($A36,'AEO 2026 Table 4'!$B$6:$B$125,0),MATCH(Z$1,'AEO 2026 Table 4'!$E$5:$AD$5,0))</f>
        <v/>
      </c>
      <c r="AA36">
        <f>INDEX('AEO 2026 Table 4'!$E$6:$AD$125,MATCH($A36,'AEO 2026 Table 4'!$B$6:$B$125,0),MATCH(AA$1,'AEO 2026 Table 4'!$E$5:$AD$5,0))</f>
        <v/>
      </c>
      <c r="AB36">
        <f>INDEX('AEO 2026 Table 4'!$E$6:$AD$125,MATCH($A36,'AEO 2026 Table 4'!$B$6:$B$125,0),MATCH(AB$1,'AEO 2026 Table 4'!$E$5:$AD$5,0))</f>
        <v/>
      </c>
      <c r="AC36">
        <f>INDEX('AEO 2026 Table 4'!$E$6:$AD$125,MATCH($A36,'AEO 2026 Table 4'!$B$6:$B$125,0),MATCH(AC$1,'AEO 2026 Table 4'!$E$5:$AD$5,0))</f>
        <v/>
      </c>
      <c r="AD36">
        <f>INDEX('AEO 2026 Table 4'!$E$6:$AD$125,MATCH($A36,'AEO 2026 Table 4'!$B$6:$B$125,0),MATCH(AD$1,'AEO 2026 Table 4'!$E$5:$AD$5,0))</f>
        <v/>
      </c>
      <c r="AE36">
        <f>INDEX('AEO 2026 Table 4'!$E$6:$AD$125,MATCH($A36,'AEO 2026 Table 4'!$B$6:$B$125,0),MATCH(AE$1,'AEO 2026 Table 4'!$E$5:$AD$5,0))</f>
        <v/>
      </c>
      <c r="AF36">
        <f>INDEX('AEO 2026 Table 4'!$E$6:$AD$125,MATCH($A36,'AEO 2026 Table 4'!$B$6:$B$125,0),MATCH(AF$1,'AEO 2026 Table 4'!$E$5:$AD$5,0))</f>
        <v/>
      </c>
      <c r="AG36">
        <f>INDEX('AEO 2026 Table 4'!$E$6:$AD$125,MATCH($A36,'AEO 2026 Table 4'!$B$6:$B$125,0),MATCH(AG$1,'AEO 2026 Table 4'!$E$5:$AD$5,0))</f>
        <v/>
      </c>
    </row>
    <row r="37">
      <c r="A37" t="inlineStr">
        <is>
          <t>Residential: Marketed Renewables (wood): Alternative Electricity and Transportation</t>
        </is>
      </c>
      <c r="B37" t="inlineStr">
        <is>
          <t>Residential: Marketed Renewables (wood): High Zero-Carbon Technology Cost</t>
        </is>
      </c>
      <c r="C37">
        <f>D37&amp;"-"&amp;E37&amp;"-"&amp;F37</f>
        <v/>
      </c>
      <c r="D37" t="inlineStr">
        <is>
          <t>residential</t>
        </is>
      </c>
      <c r="E37" t="inlineStr">
        <is>
          <t>heating</t>
        </is>
      </c>
      <c r="F37" s="1" t="inlineStr">
        <is>
          <t>biomass (BTU)</t>
        </is>
      </c>
      <c r="G37" s="44">
        <f>INDEX(Table_4._Residential_Sector_Key!$F$8:$AG$125,MATCH($B37,Table_4._Residential_Sector_Key!$B$8:$B$125,0),MATCH(G$1,Table_4._Residential_Sector_Key!$F$5:$AG$5,0))</f>
        <v/>
      </c>
      <c r="H37">
        <f>INDEX('AEO 2026 Table 4'!$E$6:$AD$125,MATCH($A37,'AEO 2026 Table 4'!$B$6:$B$125,0),MATCH(H$1,'AEO 2026 Table 4'!$E$5:$AD$5,0))</f>
        <v/>
      </c>
      <c r="I37">
        <f>INDEX('AEO 2026 Table 4'!$E$6:$AD$125,MATCH($A37,'AEO 2026 Table 4'!$B$6:$B$125,0),MATCH(I$1,'AEO 2026 Table 4'!$E$5:$AD$5,0))</f>
        <v/>
      </c>
      <c r="J37">
        <f>INDEX('AEO 2026 Table 4'!$E$6:$AD$125,MATCH($A37,'AEO 2026 Table 4'!$B$6:$B$125,0),MATCH(J$1,'AEO 2026 Table 4'!$E$5:$AD$5,0))</f>
        <v/>
      </c>
      <c r="K37">
        <f>INDEX('AEO 2026 Table 4'!$E$6:$AD$125,MATCH($A37,'AEO 2026 Table 4'!$B$6:$B$125,0),MATCH(K$1,'AEO 2026 Table 4'!$E$5:$AD$5,0))</f>
        <v/>
      </c>
      <c r="L37">
        <f>INDEX('AEO 2026 Table 4'!$E$6:$AD$125,MATCH($A37,'AEO 2026 Table 4'!$B$6:$B$125,0),MATCH(L$1,'AEO 2026 Table 4'!$E$5:$AD$5,0))</f>
        <v/>
      </c>
      <c r="M37">
        <f>INDEX('AEO 2026 Table 4'!$E$6:$AD$125,MATCH($A37,'AEO 2026 Table 4'!$B$6:$B$125,0),MATCH(M$1,'AEO 2026 Table 4'!$E$5:$AD$5,0))</f>
        <v/>
      </c>
      <c r="N37">
        <f>INDEX('AEO 2026 Table 4'!$E$6:$AD$125,MATCH($A37,'AEO 2026 Table 4'!$B$6:$B$125,0),MATCH(N$1,'AEO 2026 Table 4'!$E$5:$AD$5,0))</f>
        <v/>
      </c>
      <c r="O37">
        <f>INDEX('AEO 2026 Table 4'!$E$6:$AD$125,MATCH($A37,'AEO 2026 Table 4'!$B$6:$B$125,0),MATCH(O$1,'AEO 2026 Table 4'!$E$5:$AD$5,0))</f>
        <v/>
      </c>
      <c r="P37">
        <f>INDEX('AEO 2026 Table 4'!$E$6:$AD$125,MATCH($A37,'AEO 2026 Table 4'!$B$6:$B$125,0),MATCH(P$1,'AEO 2026 Table 4'!$E$5:$AD$5,0))</f>
        <v/>
      </c>
      <c r="Q37">
        <f>INDEX('AEO 2026 Table 4'!$E$6:$AD$125,MATCH($A37,'AEO 2026 Table 4'!$B$6:$B$125,0),MATCH(Q$1,'AEO 2026 Table 4'!$E$5:$AD$5,0))</f>
        <v/>
      </c>
      <c r="R37">
        <f>INDEX('AEO 2026 Table 4'!$E$6:$AD$125,MATCH($A37,'AEO 2026 Table 4'!$B$6:$B$125,0),MATCH(R$1,'AEO 2026 Table 4'!$E$5:$AD$5,0))</f>
        <v/>
      </c>
      <c r="S37">
        <f>INDEX('AEO 2026 Table 4'!$E$6:$AD$125,MATCH($A37,'AEO 2026 Table 4'!$B$6:$B$125,0),MATCH(S$1,'AEO 2026 Table 4'!$E$5:$AD$5,0))</f>
        <v/>
      </c>
      <c r="T37">
        <f>INDEX('AEO 2026 Table 4'!$E$6:$AD$125,MATCH($A37,'AEO 2026 Table 4'!$B$6:$B$125,0),MATCH(T$1,'AEO 2026 Table 4'!$E$5:$AD$5,0))</f>
        <v/>
      </c>
      <c r="U37">
        <f>INDEX('AEO 2026 Table 4'!$E$6:$AD$125,MATCH($A37,'AEO 2026 Table 4'!$B$6:$B$125,0),MATCH(U$1,'AEO 2026 Table 4'!$E$5:$AD$5,0))</f>
        <v/>
      </c>
      <c r="V37">
        <f>INDEX('AEO 2026 Table 4'!$E$6:$AD$125,MATCH($A37,'AEO 2026 Table 4'!$B$6:$B$125,0),MATCH(V$1,'AEO 2026 Table 4'!$E$5:$AD$5,0))</f>
        <v/>
      </c>
      <c r="W37">
        <f>INDEX('AEO 2026 Table 4'!$E$6:$AD$125,MATCH($A37,'AEO 2026 Table 4'!$B$6:$B$125,0),MATCH(W$1,'AEO 2026 Table 4'!$E$5:$AD$5,0))</f>
        <v/>
      </c>
      <c r="X37">
        <f>INDEX('AEO 2026 Table 4'!$E$6:$AD$125,MATCH($A37,'AEO 2026 Table 4'!$B$6:$B$125,0),MATCH(X$1,'AEO 2026 Table 4'!$E$5:$AD$5,0))</f>
        <v/>
      </c>
      <c r="Y37">
        <f>INDEX('AEO 2026 Table 4'!$E$6:$AD$125,MATCH($A37,'AEO 2026 Table 4'!$B$6:$B$125,0),MATCH(Y$1,'AEO 2026 Table 4'!$E$5:$AD$5,0))</f>
        <v/>
      </c>
      <c r="Z37">
        <f>INDEX('AEO 2026 Table 4'!$E$6:$AD$125,MATCH($A37,'AEO 2026 Table 4'!$B$6:$B$125,0),MATCH(Z$1,'AEO 2026 Table 4'!$E$5:$AD$5,0))</f>
        <v/>
      </c>
      <c r="AA37">
        <f>INDEX('AEO 2026 Table 4'!$E$6:$AD$125,MATCH($A37,'AEO 2026 Table 4'!$B$6:$B$125,0),MATCH(AA$1,'AEO 2026 Table 4'!$E$5:$AD$5,0))</f>
        <v/>
      </c>
      <c r="AB37">
        <f>INDEX('AEO 2026 Table 4'!$E$6:$AD$125,MATCH($A37,'AEO 2026 Table 4'!$B$6:$B$125,0),MATCH(AB$1,'AEO 2026 Table 4'!$E$5:$AD$5,0))</f>
        <v/>
      </c>
      <c r="AC37">
        <f>INDEX('AEO 2026 Table 4'!$E$6:$AD$125,MATCH($A37,'AEO 2026 Table 4'!$B$6:$B$125,0),MATCH(AC$1,'AEO 2026 Table 4'!$E$5:$AD$5,0))</f>
        <v/>
      </c>
      <c r="AD37">
        <f>INDEX('AEO 2026 Table 4'!$E$6:$AD$125,MATCH($A37,'AEO 2026 Table 4'!$B$6:$B$125,0),MATCH(AD$1,'AEO 2026 Table 4'!$E$5:$AD$5,0))</f>
        <v/>
      </c>
      <c r="AE37">
        <f>INDEX('AEO 2026 Table 4'!$E$6:$AD$125,MATCH($A37,'AEO 2026 Table 4'!$B$6:$B$125,0),MATCH(AE$1,'AEO 2026 Table 4'!$E$5:$AD$5,0))</f>
        <v/>
      </c>
      <c r="AF37">
        <f>INDEX('AEO 2026 Table 4'!$E$6:$AD$125,MATCH($A37,'AEO 2026 Table 4'!$B$6:$B$125,0),MATCH(AF$1,'AEO 2026 Table 4'!$E$5:$AD$5,0))</f>
        <v/>
      </c>
      <c r="AG37">
        <f>INDEX('AEO 2026 Table 4'!$E$6:$AD$125,MATCH($A37,'AEO 2026 Table 4'!$B$6:$B$125,0),MATCH(AG$1,'AEO 2026 Table 4'!$E$5:$AD$5,0))</f>
        <v/>
      </c>
    </row>
    <row r="38">
      <c r="A38" s="45" t="n"/>
      <c r="B38" s="45" t="inlineStr">
        <is>
          <t>AEO Table 5</t>
        </is>
      </c>
      <c r="C38" s="45" t="n"/>
      <c r="D38" s="45" t="n"/>
      <c r="E38" s="45" t="n"/>
      <c r="F38" s="45" t="n"/>
      <c r="G38" s="46" t="n"/>
      <c r="H38" s="45" t="n"/>
      <c r="I38" s="45" t="n"/>
      <c r="J38" s="45" t="n"/>
      <c r="K38" s="45" t="n"/>
      <c r="L38" s="45" t="n"/>
      <c r="M38" s="45" t="n"/>
      <c r="N38" s="45" t="n"/>
      <c r="O38" s="45" t="n"/>
      <c r="P38" s="45" t="n"/>
      <c r="Q38" s="45" t="n"/>
      <c r="R38" s="45" t="n"/>
      <c r="S38" s="45" t="n"/>
      <c r="T38" s="45" t="n"/>
      <c r="U38" s="45" t="n"/>
      <c r="V38" s="45" t="n"/>
      <c r="W38" s="45" t="n"/>
      <c r="X38" s="45" t="n"/>
      <c r="Y38" s="45" t="n"/>
      <c r="Z38" s="45" t="n"/>
      <c r="AA38" s="45" t="n"/>
      <c r="AB38" s="45" t="n"/>
      <c r="AC38" s="45" t="n"/>
      <c r="AD38" s="45" t="n"/>
      <c r="AE38" s="45" t="n"/>
      <c r="AF38" s="45" t="n"/>
      <c r="AG38" s="45" t="n"/>
    </row>
    <row r="39">
      <c r="A39" t="inlineStr">
        <is>
          <t>Commercial: Purchased Electricity: Space Heating: Alternative Electricity and Transportation</t>
        </is>
      </c>
      <c r="B39" t="inlineStr">
        <is>
          <t>Commercial: Purchased Electricity: Space Heating: High Zero-Carbon Technology Cost</t>
        </is>
      </c>
      <c r="C39">
        <f>D39&amp;"-"&amp;E39&amp;"-"&amp;F39</f>
        <v/>
      </c>
      <c r="D39" t="inlineStr">
        <is>
          <t>commercial</t>
        </is>
      </c>
      <c r="E39" t="inlineStr">
        <is>
          <t>heating</t>
        </is>
      </c>
      <c r="F39" s="1" t="inlineStr">
        <is>
          <t>electricity (BTU)</t>
        </is>
      </c>
      <c r="G39" s="44">
        <f>INDEX('AEO 2025 Table 5'!$F$8:$AG$102,MATCH('Crosswalk AEO to EPS Summary'!$B39,'AEO 2025 Table 5'!$B$8:$B$102,0),MATCH(G$1,'AEO 2025 Table 5'!$F$5:$AG$5,0))</f>
        <v/>
      </c>
      <c r="H39">
        <f>INDEX('AEO 2026 Table 5'!$E$6:$AD$102,MATCH($A39,'AEO 2026 Table 5'!$B$6:$B$102,0),MATCH(H$1,'AEO 2026 Table 5'!$E$5:$AD$5,0))</f>
        <v/>
      </c>
      <c r="I39">
        <f>INDEX('AEO 2026 Table 5'!$E$6:$AD$102,MATCH($A39,'AEO 2026 Table 5'!$B$6:$B$102,0),MATCH(I$1,'AEO 2026 Table 5'!$E$5:$AD$5,0))</f>
        <v/>
      </c>
      <c r="J39">
        <f>INDEX('AEO 2026 Table 5'!$E$6:$AD$102,MATCH($A39,'AEO 2026 Table 5'!$B$6:$B$102,0),MATCH(J$1,'AEO 2026 Table 5'!$E$5:$AD$5,0))</f>
        <v/>
      </c>
      <c r="K39">
        <f>INDEX('AEO 2026 Table 5'!$E$6:$AD$102,MATCH($A39,'AEO 2026 Table 5'!$B$6:$B$102,0),MATCH(K$1,'AEO 2026 Table 5'!$E$5:$AD$5,0))</f>
        <v/>
      </c>
      <c r="L39">
        <f>INDEX('AEO 2026 Table 5'!$E$6:$AD$102,MATCH($A39,'AEO 2026 Table 5'!$B$6:$B$102,0),MATCH(L$1,'AEO 2026 Table 5'!$E$5:$AD$5,0))</f>
        <v/>
      </c>
      <c r="M39">
        <f>INDEX('AEO 2026 Table 5'!$E$6:$AD$102,MATCH($A39,'AEO 2026 Table 5'!$B$6:$B$102,0),MATCH(M$1,'AEO 2026 Table 5'!$E$5:$AD$5,0))</f>
        <v/>
      </c>
      <c r="N39">
        <f>INDEX('AEO 2026 Table 5'!$E$6:$AD$102,MATCH($A39,'AEO 2026 Table 5'!$B$6:$B$102,0),MATCH(N$1,'AEO 2026 Table 5'!$E$5:$AD$5,0))</f>
        <v/>
      </c>
      <c r="O39">
        <f>INDEX('AEO 2026 Table 5'!$E$6:$AD$102,MATCH($A39,'AEO 2026 Table 5'!$B$6:$B$102,0),MATCH(O$1,'AEO 2026 Table 5'!$E$5:$AD$5,0))</f>
        <v/>
      </c>
      <c r="P39">
        <f>INDEX('AEO 2026 Table 5'!$E$6:$AD$102,MATCH($A39,'AEO 2026 Table 5'!$B$6:$B$102,0),MATCH(P$1,'AEO 2026 Table 5'!$E$5:$AD$5,0))</f>
        <v/>
      </c>
      <c r="Q39">
        <f>INDEX('AEO 2026 Table 5'!$E$6:$AD$102,MATCH($A39,'AEO 2026 Table 5'!$B$6:$B$102,0),MATCH(Q$1,'AEO 2026 Table 5'!$E$5:$AD$5,0))</f>
        <v/>
      </c>
      <c r="R39">
        <f>INDEX('AEO 2026 Table 5'!$E$6:$AD$102,MATCH($A39,'AEO 2026 Table 5'!$B$6:$B$102,0),MATCH(R$1,'AEO 2026 Table 5'!$E$5:$AD$5,0))</f>
        <v/>
      </c>
      <c r="S39">
        <f>INDEX('AEO 2026 Table 5'!$E$6:$AD$102,MATCH($A39,'AEO 2026 Table 5'!$B$6:$B$102,0),MATCH(S$1,'AEO 2026 Table 5'!$E$5:$AD$5,0))</f>
        <v/>
      </c>
      <c r="T39">
        <f>INDEX('AEO 2026 Table 5'!$E$6:$AD$102,MATCH($A39,'AEO 2026 Table 5'!$B$6:$B$102,0),MATCH(T$1,'AEO 2026 Table 5'!$E$5:$AD$5,0))</f>
        <v/>
      </c>
      <c r="U39">
        <f>INDEX('AEO 2026 Table 5'!$E$6:$AD$102,MATCH($A39,'AEO 2026 Table 5'!$B$6:$B$102,0),MATCH(U$1,'AEO 2026 Table 5'!$E$5:$AD$5,0))</f>
        <v/>
      </c>
      <c r="V39">
        <f>INDEX('AEO 2026 Table 5'!$E$6:$AD$102,MATCH($A39,'AEO 2026 Table 5'!$B$6:$B$102,0),MATCH(V$1,'AEO 2026 Table 5'!$E$5:$AD$5,0))</f>
        <v/>
      </c>
      <c r="W39">
        <f>INDEX('AEO 2026 Table 5'!$E$6:$AD$102,MATCH($A39,'AEO 2026 Table 5'!$B$6:$B$102,0),MATCH(W$1,'AEO 2026 Table 5'!$E$5:$AD$5,0))</f>
        <v/>
      </c>
      <c r="X39">
        <f>INDEX('AEO 2026 Table 5'!$E$6:$AD$102,MATCH($A39,'AEO 2026 Table 5'!$B$6:$B$102,0),MATCH(X$1,'AEO 2026 Table 5'!$E$5:$AD$5,0))</f>
        <v/>
      </c>
      <c r="Y39">
        <f>INDEX('AEO 2026 Table 5'!$E$6:$AD$102,MATCH($A39,'AEO 2026 Table 5'!$B$6:$B$102,0),MATCH(Y$1,'AEO 2026 Table 5'!$E$5:$AD$5,0))</f>
        <v/>
      </c>
      <c r="Z39">
        <f>INDEX('AEO 2026 Table 5'!$E$6:$AD$102,MATCH($A39,'AEO 2026 Table 5'!$B$6:$B$102,0),MATCH(Z$1,'AEO 2026 Table 5'!$E$5:$AD$5,0))</f>
        <v/>
      </c>
      <c r="AA39">
        <f>INDEX('AEO 2026 Table 5'!$E$6:$AD$102,MATCH($A39,'AEO 2026 Table 5'!$B$6:$B$102,0),MATCH(AA$1,'AEO 2026 Table 5'!$E$5:$AD$5,0))</f>
        <v/>
      </c>
      <c r="AB39">
        <f>INDEX('AEO 2026 Table 5'!$E$6:$AD$102,MATCH($A39,'AEO 2026 Table 5'!$B$6:$B$102,0),MATCH(AB$1,'AEO 2026 Table 5'!$E$5:$AD$5,0))</f>
        <v/>
      </c>
      <c r="AC39">
        <f>INDEX('AEO 2026 Table 5'!$E$6:$AD$102,MATCH($A39,'AEO 2026 Table 5'!$B$6:$B$102,0),MATCH(AC$1,'AEO 2026 Table 5'!$E$5:$AD$5,0))</f>
        <v/>
      </c>
      <c r="AD39">
        <f>INDEX('AEO 2026 Table 5'!$E$6:$AD$102,MATCH($A39,'AEO 2026 Table 5'!$B$6:$B$102,0),MATCH(AD$1,'AEO 2026 Table 5'!$E$5:$AD$5,0))</f>
        <v/>
      </c>
      <c r="AE39">
        <f>INDEX('AEO 2026 Table 5'!$E$6:$AD$102,MATCH($A39,'AEO 2026 Table 5'!$B$6:$B$102,0),MATCH(AE$1,'AEO 2026 Table 5'!$E$5:$AD$5,0))</f>
        <v/>
      </c>
      <c r="AF39">
        <f>INDEX('AEO 2026 Table 5'!$E$6:$AD$102,MATCH($A39,'AEO 2026 Table 5'!$B$6:$B$102,0),MATCH(AF$1,'AEO 2026 Table 5'!$E$5:$AD$5,0))</f>
        <v/>
      </c>
      <c r="AG39">
        <f>INDEX('AEO 2026 Table 5'!$E$6:$AD$102,MATCH($A39,'AEO 2026 Table 5'!$B$6:$B$102,0),MATCH(AG$1,'AEO 2026 Table 5'!$E$5:$AD$5,0))</f>
        <v/>
      </c>
    </row>
    <row r="40">
      <c r="A40" t="inlineStr">
        <is>
          <t>Commercial: Purchased Electricity: Space Cooling: Alternative Electricity and Transportation</t>
        </is>
      </c>
      <c r="B40" t="inlineStr">
        <is>
          <t>Commercial: Purchased Electricity: Space Cooling: High Zero-Carbon Technology Cost</t>
        </is>
      </c>
      <c r="C40">
        <f>D40&amp;"-"&amp;E40&amp;"-"&amp;F40</f>
        <v/>
      </c>
      <c r="D40" t="inlineStr">
        <is>
          <t>commercial</t>
        </is>
      </c>
      <c r="E40" t="inlineStr">
        <is>
          <t>cooling</t>
        </is>
      </c>
      <c r="F40" s="1" t="inlineStr">
        <is>
          <t>electricity (BTU)</t>
        </is>
      </c>
      <c r="G40" s="44">
        <f>INDEX('AEO 2025 Table 5'!$F$8:$AG$102,MATCH('Crosswalk AEO to EPS Summary'!$B40,'AEO 2025 Table 5'!$B$8:$B$102,0),MATCH(G$1,'AEO 2025 Table 5'!$F$5:$AG$5,0))</f>
        <v/>
      </c>
      <c r="H40">
        <f>INDEX('AEO 2026 Table 5'!$E$6:$AD$102,MATCH($A40,'AEO 2026 Table 5'!$B$6:$B$102,0),MATCH(H$1,'AEO 2026 Table 5'!$E$5:$AD$5,0))</f>
        <v/>
      </c>
      <c r="I40">
        <f>INDEX('AEO 2026 Table 5'!$E$6:$AD$102,MATCH($A40,'AEO 2026 Table 5'!$B$6:$B$102,0),MATCH(I$1,'AEO 2026 Table 5'!$E$5:$AD$5,0))</f>
        <v/>
      </c>
      <c r="J40">
        <f>INDEX('AEO 2026 Table 5'!$E$6:$AD$102,MATCH($A40,'AEO 2026 Table 5'!$B$6:$B$102,0),MATCH(J$1,'AEO 2026 Table 5'!$E$5:$AD$5,0))</f>
        <v/>
      </c>
      <c r="K40">
        <f>INDEX('AEO 2026 Table 5'!$E$6:$AD$102,MATCH($A40,'AEO 2026 Table 5'!$B$6:$B$102,0),MATCH(K$1,'AEO 2026 Table 5'!$E$5:$AD$5,0))</f>
        <v/>
      </c>
      <c r="L40">
        <f>INDEX('AEO 2026 Table 5'!$E$6:$AD$102,MATCH($A40,'AEO 2026 Table 5'!$B$6:$B$102,0),MATCH(L$1,'AEO 2026 Table 5'!$E$5:$AD$5,0))</f>
        <v/>
      </c>
      <c r="M40">
        <f>INDEX('AEO 2026 Table 5'!$E$6:$AD$102,MATCH($A40,'AEO 2026 Table 5'!$B$6:$B$102,0),MATCH(M$1,'AEO 2026 Table 5'!$E$5:$AD$5,0))</f>
        <v/>
      </c>
      <c r="N40">
        <f>INDEX('AEO 2026 Table 5'!$E$6:$AD$102,MATCH($A40,'AEO 2026 Table 5'!$B$6:$B$102,0),MATCH(N$1,'AEO 2026 Table 5'!$E$5:$AD$5,0))</f>
        <v/>
      </c>
      <c r="O40">
        <f>INDEX('AEO 2026 Table 5'!$E$6:$AD$102,MATCH($A40,'AEO 2026 Table 5'!$B$6:$B$102,0),MATCH(O$1,'AEO 2026 Table 5'!$E$5:$AD$5,0))</f>
        <v/>
      </c>
      <c r="P40">
        <f>INDEX('AEO 2026 Table 5'!$E$6:$AD$102,MATCH($A40,'AEO 2026 Table 5'!$B$6:$B$102,0),MATCH(P$1,'AEO 2026 Table 5'!$E$5:$AD$5,0))</f>
        <v/>
      </c>
      <c r="Q40">
        <f>INDEX('AEO 2026 Table 5'!$E$6:$AD$102,MATCH($A40,'AEO 2026 Table 5'!$B$6:$B$102,0),MATCH(Q$1,'AEO 2026 Table 5'!$E$5:$AD$5,0))</f>
        <v/>
      </c>
      <c r="R40">
        <f>INDEX('AEO 2026 Table 5'!$E$6:$AD$102,MATCH($A40,'AEO 2026 Table 5'!$B$6:$B$102,0),MATCH(R$1,'AEO 2026 Table 5'!$E$5:$AD$5,0))</f>
        <v/>
      </c>
      <c r="S40">
        <f>INDEX('AEO 2026 Table 5'!$E$6:$AD$102,MATCH($A40,'AEO 2026 Table 5'!$B$6:$B$102,0),MATCH(S$1,'AEO 2026 Table 5'!$E$5:$AD$5,0))</f>
        <v/>
      </c>
      <c r="T40">
        <f>INDEX('AEO 2026 Table 5'!$E$6:$AD$102,MATCH($A40,'AEO 2026 Table 5'!$B$6:$B$102,0),MATCH(T$1,'AEO 2026 Table 5'!$E$5:$AD$5,0))</f>
        <v/>
      </c>
      <c r="U40">
        <f>INDEX('AEO 2026 Table 5'!$E$6:$AD$102,MATCH($A40,'AEO 2026 Table 5'!$B$6:$B$102,0),MATCH(U$1,'AEO 2026 Table 5'!$E$5:$AD$5,0))</f>
        <v/>
      </c>
      <c r="V40">
        <f>INDEX('AEO 2026 Table 5'!$E$6:$AD$102,MATCH($A40,'AEO 2026 Table 5'!$B$6:$B$102,0),MATCH(V$1,'AEO 2026 Table 5'!$E$5:$AD$5,0))</f>
        <v/>
      </c>
      <c r="W40">
        <f>INDEX('AEO 2026 Table 5'!$E$6:$AD$102,MATCH($A40,'AEO 2026 Table 5'!$B$6:$B$102,0),MATCH(W$1,'AEO 2026 Table 5'!$E$5:$AD$5,0))</f>
        <v/>
      </c>
      <c r="X40">
        <f>INDEX('AEO 2026 Table 5'!$E$6:$AD$102,MATCH($A40,'AEO 2026 Table 5'!$B$6:$B$102,0),MATCH(X$1,'AEO 2026 Table 5'!$E$5:$AD$5,0))</f>
        <v/>
      </c>
      <c r="Y40">
        <f>INDEX('AEO 2026 Table 5'!$E$6:$AD$102,MATCH($A40,'AEO 2026 Table 5'!$B$6:$B$102,0),MATCH(Y$1,'AEO 2026 Table 5'!$E$5:$AD$5,0))</f>
        <v/>
      </c>
      <c r="Z40">
        <f>INDEX('AEO 2026 Table 5'!$E$6:$AD$102,MATCH($A40,'AEO 2026 Table 5'!$B$6:$B$102,0),MATCH(Z$1,'AEO 2026 Table 5'!$E$5:$AD$5,0))</f>
        <v/>
      </c>
      <c r="AA40">
        <f>INDEX('AEO 2026 Table 5'!$E$6:$AD$102,MATCH($A40,'AEO 2026 Table 5'!$B$6:$B$102,0),MATCH(AA$1,'AEO 2026 Table 5'!$E$5:$AD$5,0))</f>
        <v/>
      </c>
      <c r="AB40">
        <f>INDEX('AEO 2026 Table 5'!$E$6:$AD$102,MATCH($A40,'AEO 2026 Table 5'!$B$6:$B$102,0),MATCH(AB$1,'AEO 2026 Table 5'!$E$5:$AD$5,0))</f>
        <v/>
      </c>
      <c r="AC40">
        <f>INDEX('AEO 2026 Table 5'!$E$6:$AD$102,MATCH($A40,'AEO 2026 Table 5'!$B$6:$B$102,0),MATCH(AC$1,'AEO 2026 Table 5'!$E$5:$AD$5,0))</f>
        <v/>
      </c>
      <c r="AD40">
        <f>INDEX('AEO 2026 Table 5'!$E$6:$AD$102,MATCH($A40,'AEO 2026 Table 5'!$B$6:$B$102,0),MATCH(AD$1,'AEO 2026 Table 5'!$E$5:$AD$5,0))</f>
        <v/>
      </c>
      <c r="AE40">
        <f>INDEX('AEO 2026 Table 5'!$E$6:$AD$102,MATCH($A40,'AEO 2026 Table 5'!$B$6:$B$102,0),MATCH(AE$1,'AEO 2026 Table 5'!$E$5:$AD$5,0))</f>
        <v/>
      </c>
      <c r="AF40">
        <f>INDEX('AEO 2026 Table 5'!$E$6:$AD$102,MATCH($A40,'AEO 2026 Table 5'!$B$6:$B$102,0),MATCH(AF$1,'AEO 2026 Table 5'!$E$5:$AD$5,0))</f>
        <v/>
      </c>
      <c r="AG40">
        <f>INDEX('AEO 2026 Table 5'!$E$6:$AD$102,MATCH($A40,'AEO 2026 Table 5'!$B$6:$B$102,0),MATCH(AG$1,'AEO 2026 Table 5'!$E$5:$AD$5,0))</f>
        <v/>
      </c>
    </row>
    <row r="41">
      <c r="A41" t="inlineStr">
        <is>
          <t>Commercial: Purchased Electricity: Water Heating: Alternative Electricity and Transportation</t>
        </is>
      </c>
      <c r="B41" t="inlineStr">
        <is>
          <t>Commercial: Purchased Electricity: Water Heating: High Zero-Carbon Technology Cost</t>
        </is>
      </c>
      <c r="C41">
        <f>D41&amp;"-"&amp;E41&amp;"-"&amp;F41</f>
        <v/>
      </c>
      <c r="D41" t="inlineStr">
        <is>
          <t>commercial</t>
        </is>
      </c>
      <c r="E41" t="inlineStr">
        <is>
          <t>appliances</t>
        </is>
      </c>
      <c r="F41" s="1" t="inlineStr">
        <is>
          <t>electricity (BTU)</t>
        </is>
      </c>
      <c r="G41" s="44">
        <f>INDEX('AEO 2025 Table 5'!$F$8:$AG$102,MATCH('Crosswalk AEO to EPS Summary'!$B41,'AEO 2025 Table 5'!$B$8:$B$102,0),MATCH(G$1,'AEO 2025 Table 5'!$F$5:$AG$5,0))</f>
        <v/>
      </c>
      <c r="H41">
        <f>INDEX('AEO 2026 Table 5'!$E$6:$AD$102,MATCH($A41,'AEO 2026 Table 5'!$B$6:$B$102,0),MATCH(H$1,'AEO 2026 Table 5'!$E$5:$AD$5,0))</f>
        <v/>
      </c>
      <c r="I41">
        <f>INDEX('AEO 2026 Table 5'!$E$6:$AD$102,MATCH($A41,'AEO 2026 Table 5'!$B$6:$B$102,0),MATCH(I$1,'AEO 2026 Table 5'!$E$5:$AD$5,0))</f>
        <v/>
      </c>
      <c r="J41">
        <f>INDEX('AEO 2026 Table 5'!$E$6:$AD$102,MATCH($A41,'AEO 2026 Table 5'!$B$6:$B$102,0),MATCH(J$1,'AEO 2026 Table 5'!$E$5:$AD$5,0))</f>
        <v/>
      </c>
      <c r="K41">
        <f>INDEX('AEO 2026 Table 5'!$E$6:$AD$102,MATCH($A41,'AEO 2026 Table 5'!$B$6:$B$102,0),MATCH(K$1,'AEO 2026 Table 5'!$E$5:$AD$5,0))</f>
        <v/>
      </c>
      <c r="L41">
        <f>INDEX('AEO 2026 Table 5'!$E$6:$AD$102,MATCH($A41,'AEO 2026 Table 5'!$B$6:$B$102,0),MATCH(L$1,'AEO 2026 Table 5'!$E$5:$AD$5,0))</f>
        <v/>
      </c>
      <c r="M41">
        <f>INDEX('AEO 2026 Table 5'!$E$6:$AD$102,MATCH($A41,'AEO 2026 Table 5'!$B$6:$B$102,0),MATCH(M$1,'AEO 2026 Table 5'!$E$5:$AD$5,0))</f>
        <v/>
      </c>
      <c r="N41">
        <f>INDEX('AEO 2026 Table 5'!$E$6:$AD$102,MATCH($A41,'AEO 2026 Table 5'!$B$6:$B$102,0),MATCH(N$1,'AEO 2026 Table 5'!$E$5:$AD$5,0))</f>
        <v/>
      </c>
      <c r="O41">
        <f>INDEX('AEO 2026 Table 5'!$E$6:$AD$102,MATCH($A41,'AEO 2026 Table 5'!$B$6:$B$102,0),MATCH(O$1,'AEO 2026 Table 5'!$E$5:$AD$5,0))</f>
        <v/>
      </c>
      <c r="P41">
        <f>INDEX('AEO 2026 Table 5'!$E$6:$AD$102,MATCH($A41,'AEO 2026 Table 5'!$B$6:$B$102,0),MATCH(P$1,'AEO 2026 Table 5'!$E$5:$AD$5,0))</f>
        <v/>
      </c>
      <c r="Q41">
        <f>INDEX('AEO 2026 Table 5'!$E$6:$AD$102,MATCH($A41,'AEO 2026 Table 5'!$B$6:$B$102,0),MATCH(Q$1,'AEO 2026 Table 5'!$E$5:$AD$5,0))</f>
        <v/>
      </c>
      <c r="R41">
        <f>INDEX('AEO 2026 Table 5'!$E$6:$AD$102,MATCH($A41,'AEO 2026 Table 5'!$B$6:$B$102,0),MATCH(R$1,'AEO 2026 Table 5'!$E$5:$AD$5,0))</f>
        <v/>
      </c>
      <c r="S41">
        <f>INDEX('AEO 2026 Table 5'!$E$6:$AD$102,MATCH($A41,'AEO 2026 Table 5'!$B$6:$B$102,0),MATCH(S$1,'AEO 2026 Table 5'!$E$5:$AD$5,0))</f>
        <v/>
      </c>
      <c r="T41">
        <f>INDEX('AEO 2026 Table 5'!$E$6:$AD$102,MATCH($A41,'AEO 2026 Table 5'!$B$6:$B$102,0),MATCH(T$1,'AEO 2026 Table 5'!$E$5:$AD$5,0))</f>
        <v/>
      </c>
      <c r="U41">
        <f>INDEX('AEO 2026 Table 5'!$E$6:$AD$102,MATCH($A41,'AEO 2026 Table 5'!$B$6:$B$102,0),MATCH(U$1,'AEO 2026 Table 5'!$E$5:$AD$5,0))</f>
        <v/>
      </c>
      <c r="V41">
        <f>INDEX('AEO 2026 Table 5'!$E$6:$AD$102,MATCH($A41,'AEO 2026 Table 5'!$B$6:$B$102,0),MATCH(V$1,'AEO 2026 Table 5'!$E$5:$AD$5,0))</f>
        <v/>
      </c>
      <c r="W41">
        <f>INDEX('AEO 2026 Table 5'!$E$6:$AD$102,MATCH($A41,'AEO 2026 Table 5'!$B$6:$B$102,0),MATCH(W$1,'AEO 2026 Table 5'!$E$5:$AD$5,0))</f>
        <v/>
      </c>
      <c r="X41">
        <f>INDEX('AEO 2026 Table 5'!$E$6:$AD$102,MATCH($A41,'AEO 2026 Table 5'!$B$6:$B$102,0),MATCH(X$1,'AEO 2026 Table 5'!$E$5:$AD$5,0))</f>
        <v/>
      </c>
      <c r="Y41">
        <f>INDEX('AEO 2026 Table 5'!$E$6:$AD$102,MATCH($A41,'AEO 2026 Table 5'!$B$6:$B$102,0),MATCH(Y$1,'AEO 2026 Table 5'!$E$5:$AD$5,0))</f>
        <v/>
      </c>
      <c r="Z41">
        <f>INDEX('AEO 2026 Table 5'!$E$6:$AD$102,MATCH($A41,'AEO 2026 Table 5'!$B$6:$B$102,0),MATCH(Z$1,'AEO 2026 Table 5'!$E$5:$AD$5,0))</f>
        <v/>
      </c>
      <c r="AA41">
        <f>INDEX('AEO 2026 Table 5'!$E$6:$AD$102,MATCH($A41,'AEO 2026 Table 5'!$B$6:$B$102,0),MATCH(AA$1,'AEO 2026 Table 5'!$E$5:$AD$5,0))</f>
        <v/>
      </c>
      <c r="AB41">
        <f>INDEX('AEO 2026 Table 5'!$E$6:$AD$102,MATCH($A41,'AEO 2026 Table 5'!$B$6:$B$102,0),MATCH(AB$1,'AEO 2026 Table 5'!$E$5:$AD$5,0))</f>
        <v/>
      </c>
      <c r="AC41">
        <f>INDEX('AEO 2026 Table 5'!$E$6:$AD$102,MATCH($A41,'AEO 2026 Table 5'!$B$6:$B$102,0),MATCH(AC$1,'AEO 2026 Table 5'!$E$5:$AD$5,0))</f>
        <v/>
      </c>
      <c r="AD41">
        <f>INDEX('AEO 2026 Table 5'!$E$6:$AD$102,MATCH($A41,'AEO 2026 Table 5'!$B$6:$B$102,0),MATCH(AD$1,'AEO 2026 Table 5'!$E$5:$AD$5,0))</f>
        <v/>
      </c>
      <c r="AE41">
        <f>INDEX('AEO 2026 Table 5'!$E$6:$AD$102,MATCH($A41,'AEO 2026 Table 5'!$B$6:$B$102,0),MATCH(AE$1,'AEO 2026 Table 5'!$E$5:$AD$5,0))</f>
        <v/>
      </c>
      <c r="AF41">
        <f>INDEX('AEO 2026 Table 5'!$E$6:$AD$102,MATCH($A41,'AEO 2026 Table 5'!$B$6:$B$102,0),MATCH(AF$1,'AEO 2026 Table 5'!$E$5:$AD$5,0))</f>
        <v/>
      </c>
      <c r="AG41">
        <f>INDEX('AEO 2026 Table 5'!$E$6:$AD$102,MATCH($A41,'AEO 2026 Table 5'!$B$6:$B$102,0),MATCH(AG$1,'AEO 2026 Table 5'!$E$5:$AD$5,0))</f>
        <v/>
      </c>
    </row>
    <row r="42">
      <c r="A42" t="inlineStr">
        <is>
          <t>Commercial: Purchased Electricity: Ventilation: Alternative Electricity and Transportation</t>
        </is>
      </c>
      <c r="B42" t="inlineStr">
        <is>
          <t>Commercial: Purchased Electricity: Ventilation: High Zero-Carbon Technology Cost</t>
        </is>
      </c>
      <c r="C42">
        <f>D42&amp;"-"&amp;E42&amp;"-"&amp;F42</f>
        <v/>
      </c>
      <c r="D42" t="inlineStr">
        <is>
          <t>commercial</t>
        </is>
      </c>
      <c r="E42" t="inlineStr">
        <is>
          <t>cooling</t>
        </is>
      </c>
      <c r="F42" s="1" t="inlineStr">
        <is>
          <t>electricity (BTU)</t>
        </is>
      </c>
      <c r="G42" s="44">
        <f>INDEX('AEO 2025 Table 5'!$F$8:$AG$102,MATCH('Crosswalk AEO to EPS Summary'!$B42,'AEO 2025 Table 5'!$B$8:$B$102,0),MATCH(G$1,'AEO 2025 Table 5'!$F$5:$AG$5,0))</f>
        <v/>
      </c>
      <c r="H42">
        <f>INDEX('AEO 2026 Table 5'!$E$6:$AD$102,MATCH($A42,'AEO 2026 Table 5'!$B$6:$B$102,0),MATCH(H$1,'AEO 2026 Table 5'!$E$5:$AD$5,0))</f>
        <v/>
      </c>
      <c r="I42">
        <f>INDEX('AEO 2026 Table 5'!$E$6:$AD$102,MATCH($A42,'AEO 2026 Table 5'!$B$6:$B$102,0),MATCH(I$1,'AEO 2026 Table 5'!$E$5:$AD$5,0))</f>
        <v/>
      </c>
      <c r="J42">
        <f>INDEX('AEO 2026 Table 5'!$E$6:$AD$102,MATCH($A42,'AEO 2026 Table 5'!$B$6:$B$102,0),MATCH(J$1,'AEO 2026 Table 5'!$E$5:$AD$5,0))</f>
        <v/>
      </c>
      <c r="K42">
        <f>INDEX('AEO 2026 Table 5'!$E$6:$AD$102,MATCH($A42,'AEO 2026 Table 5'!$B$6:$B$102,0),MATCH(K$1,'AEO 2026 Table 5'!$E$5:$AD$5,0))</f>
        <v/>
      </c>
      <c r="L42">
        <f>INDEX('AEO 2026 Table 5'!$E$6:$AD$102,MATCH($A42,'AEO 2026 Table 5'!$B$6:$B$102,0),MATCH(L$1,'AEO 2026 Table 5'!$E$5:$AD$5,0))</f>
        <v/>
      </c>
      <c r="M42">
        <f>INDEX('AEO 2026 Table 5'!$E$6:$AD$102,MATCH($A42,'AEO 2026 Table 5'!$B$6:$B$102,0),MATCH(M$1,'AEO 2026 Table 5'!$E$5:$AD$5,0))</f>
        <v/>
      </c>
      <c r="N42">
        <f>INDEX('AEO 2026 Table 5'!$E$6:$AD$102,MATCH($A42,'AEO 2026 Table 5'!$B$6:$B$102,0),MATCH(N$1,'AEO 2026 Table 5'!$E$5:$AD$5,0))</f>
        <v/>
      </c>
      <c r="O42">
        <f>INDEX('AEO 2026 Table 5'!$E$6:$AD$102,MATCH($A42,'AEO 2026 Table 5'!$B$6:$B$102,0),MATCH(O$1,'AEO 2026 Table 5'!$E$5:$AD$5,0))</f>
        <v/>
      </c>
      <c r="P42">
        <f>INDEX('AEO 2026 Table 5'!$E$6:$AD$102,MATCH($A42,'AEO 2026 Table 5'!$B$6:$B$102,0),MATCH(P$1,'AEO 2026 Table 5'!$E$5:$AD$5,0))</f>
        <v/>
      </c>
      <c r="Q42">
        <f>INDEX('AEO 2026 Table 5'!$E$6:$AD$102,MATCH($A42,'AEO 2026 Table 5'!$B$6:$B$102,0),MATCH(Q$1,'AEO 2026 Table 5'!$E$5:$AD$5,0))</f>
        <v/>
      </c>
      <c r="R42">
        <f>INDEX('AEO 2026 Table 5'!$E$6:$AD$102,MATCH($A42,'AEO 2026 Table 5'!$B$6:$B$102,0),MATCH(R$1,'AEO 2026 Table 5'!$E$5:$AD$5,0))</f>
        <v/>
      </c>
      <c r="S42">
        <f>INDEX('AEO 2026 Table 5'!$E$6:$AD$102,MATCH($A42,'AEO 2026 Table 5'!$B$6:$B$102,0),MATCH(S$1,'AEO 2026 Table 5'!$E$5:$AD$5,0))</f>
        <v/>
      </c>
      <c r="T42">
        <f>INDEX('AEO 2026 Table 5'!$E$6:$AD$102,MATCH($A42,'AEO 2026 Table 5'!$B$6:$B$102,0),MATCH(T$1,'AEO 2026 Table 5'!$E$5:$AD$5,0))</f>
        <v/>
      </c>
      <c r="U42">
        <f>INDEX('AEO 2026 Table 5'!$E$6:$AD$102,MATCH($A42,'AEO 2026 Table 5'!$B$6:$B$102,0),MATCH(U$1,'AEO 2026 Table 5'!$E$5:$AD$5,0))</f>
        <v/>
      </c>
      <c r="V42">
        <f>INDEX('AEO 2026 Table 5'!$E$6:$AD$102,MATCH($A42,'AEO 2026 Table 5'!$B$6:$B$102,0),MATCH(V$1,'AEO 2026 Table 5'!$E$5:$AD$5,0))</f>
        <v/>
      </c>
      <c r="W42">
        <f>INDEX('AEO 2026 Table 5'!$E$6:$AD$102,MATCH($A42,'AEO 2026 Table 5'!$B$6:$B$102,0),MATCH(W$1,'AEO 2026 Table 5'!$E$5:$AD$5,0))</f>
        <v/>
      </c>
      <c r="X42">
        <f>INDEX('AEO 2026 Table 5'!$E$6:$AD$102,MATCH($A42,'AEO 2026 Table 5'!$B$6:$B$102,0),MATCH(X$1,'AEO 2026 Table 5'!$E$5:$AD$5,0))</f>
        <v/>
      </c>
      <c r="Y42">
        <f>INDEX('AEO 2026 Table 5'!$E$6:$AD$102,MATCH($A42,'AEO 2026 Table 5'!$B$6:$B$102,0),MATCH(Y$1,'AEO 2026 Table 5'!$E$5:$AD$5,0))</f>
        <v/>
      </c>
      <c r="Z42">
        <f>INDEX('AEO 2026 Table 5'!$E$6:$AD$102,MATCH($A42,'AEO 2026 Table 5'!$B$6:$B$102,0),MATCH(Z$1,'AEO 2026 Table 5'!$E$5:$AD$5,0))</f>
        <v/>
      </c>
      <c r="AA42">
        <f>INDEX('AEO 2026 Table 5'!$E$6:$AD$102,MATCH($A42,'AEO 2026 Table 5'!$B$6:$B$102,0),MATCH(AA$1,'AEO 2026 Table 5'!$E$5:$AD$5,0))</f>
        <v/>
      </c>
      <c r="AB42">
        <f>INDEX('AEO 2026 Table 5'!$E$6:$AD$102,MATCH($A42,'AEO 2026 Table 5'!$B$6:$B$102,0),MATCH(AB$1,'AEO 2026 Table 5'!$E$5:$AD$5,0))</f>
        <v/>
      </c>
      <c r="AC42">
        <f>INDEX('AEO 2026 Table 5'!$E$6:$AD$102,MATCH($A42,'AEO 2026 Table 5'!$B$6:$B$102,0),MATCH(AC$1,'AEO 2026 Table 5'!$E$5:$AD$5,0))</f>
        <v/>
      </c>
      <c r="AD42">
        <f>INDEX('AEO 2026 Table 5'!$E$6:$AD$102,MATCH($A42,'AEO 2026 Table 5'!$B$6:$B$102,0),MATCH(AD$1,'AEO 2026 Table 5'!$E$5:$AD$5,0))</f>
        <v/>
      </c>
      <c r="AE42">
        <f>INDEX('AEO 2026 Table 5'!$E$6:$AD$102,MATCH($A42,'AEO 2026 Table 5'!$B$6:$B$102,0),MATCH(AE$1,'AEO 2026 Table 5'!$E$5:$AD$5,0))</f>
        <v/>
      </c>
      <c r="AF42">
        <f>INDEX('AEO 2026 Table 5'!$E$6:$AD$102,MATCH($A42,'AEO 2026 Table 5'!$B$6:$B$102,0),MATCH(AF$1,'AEO 2026 Table 5'!$E$5:$AD$5,0))</f>
        <v/>
      </c>
      <c r="AG42">
        <f>INDEX('AEO 2026 Table 5'!$E$6:$AD$102,MATCH($A42,'AEO 2026 Table 5'!$B$6:$B$102,0),MATCH(AG$1,'AEO 2026 Table 5'!$E$5:$AD$5,0))</f>
        <v/>
      </c>
    </row>
    <row r="43">
      <c r="A43" t="inlineStr">
        <is>
          <t>Commercial: Purchased Electricity: Cooking: Alternative Electricity and Transportation</t>
        </is>
      </c>
      <c r="B43" t="inlineStr">
        <is>
          <t>Commercial: Purchased Electricity: Cooking: High Zero-Carbon Technology Cost</t>
        </is>
      </c>
      <c r="C43">
        <f>D43&amp;"-"&amp;E43&amp;"-"&amp;F43</f>
        <v/>
      </c>
      <c r="D43" t="inlineStr">
        <is>
          <t>commercial</t>
        </is>
      </c>
      <c r="E43" t="inlineStr">
        <is>
          <t>appliances</t>
        </is>
      </c>
      <c r="F43" s="1" t="inlineStr">
        <is>
          <t>electricity (BTU)</t>
        </is>
      </c>
      <c r="G43" s="44">
        <f>INDEX('AEO 2025 Table 5'!$F$8:$AG$102,MATCH('Crosswalk AEO to EPS Summary'!$B43,'AEO 2025 Table 5'!$B$8:$B$102,0),MATCH(G$1,'AEO 2025 Table 5'!$F$5:$AG$5,0))</f>
        <v/>
      </c>
      <c r="H43">
        <f>INDEX('AEO 2026 Table 5'!$E$6:$AD$102,MATCH($A43,'AEO 2026 Table 5'!$B$6:$B$102,0),MATCH(H$1,'AEO 2026 Table 5'!$E$5:$AD$5,0))</f>
        <v/>
      </c>
      <c r="I43">
        <f>INDEX('AEO 2026 Table 5'!$E$6:$AD$102,MATCH($A43,'AEO 2026 Table 5'!$B$6:$B$102,0),MATCH(I$1,'AEO 2026 Table 5'!$E$5:$AD$5,0))</f>
        <v/>
      </c>
      <c r="J43">
        <f>INDEX('AEO 2026 Table 5'!$E$6:$AD$102,MATCH($A43,'AEO 2026 Table 5'!$B$6:$B$102,0),MATCH(J$1,'AEO 2026 Table 5'!$E$5:$AD$5,0))</f>
        <v/>
      </c>
      <c r="K43">
        <f>INDEX('AEO 2026 Table 5'!$E$6:$AD$102,MATCH($A43,'AEO 2026 Table 5'!$B$6:$B$102,0),MATCH(K$1,'AEO 2026 Table 5'!$E$5:$AD$5,0))</f>
        <v/>
      </c>
      <c r="L43">
        <f>INDEX('AEO 2026 Table 5'!$E$6:$AD$102,MATCH($A43,'AEO 2026 Table 5'!$B$6:$B$102,0),MATCH(L$1,'AEO 2026 Table 5'!$E$5:$AD$5,0))</f>
        <v/>
      </c>
      <c r="M43">
        <f>INDEX('AEO 2026 Table 5'!$E$6:$AD$102,MATCH($A43,'AEO 2026 Table 5'!$B$6:$B$102,0),MATCH(M$1,'AEO 2026 Table 5'!$E$5:$AD$5,0))</f>
        <v/>
      </c>
      <c r="N43">
        <f>INDEX('AEO 2026 Table 5'!$E$6:$AD$102,MATCH($A43,'AEO 2026 Table 5'!$B$6:$B$102,0),MATCH(N$1,'AEO 2026 Table 5'!$E$5:$AD$5,0))</f>
        <v/>
      </c>
      <c r="O43">
        <f>INDEX('AEO 2026 Table 5'!$E$6:$AD$102,MATCH($A43,'AEO 2026 Table 5'!$B$6:$B$102,0),MATCH(O$1,'AEO 2026 Table 5'!$E$5:$AD$5,0))</f>
        <v/>
      </c>
      <c r="P43">
        <f>INDEX('AEO 2026 Table 5'!$E$6:$AD$102,MATCH($A43,'AEO 2026 Table 5'!$B$6:$B$102,0),MATCH(P$1,'AEO 2026 Table 5'!$E$5:$AD$5,0))</f>
        <v/>
      </c>
      <c r="Q43">
        <f>INDEX('AEO 2026 Table 5'!$E$6:$AD$102,MATCH($A43,'AEO 2026 Table 5'!$B$6:$B$102,0),MATCH(Q$1,'AEO 2026 Table 5'!$E$5:$AD$5,0))</f>
        <v/>
      </c>
      <c r="R43">
        <f>INDEX('AEO 2026 Table 5'!$E$6:$AD$102,MATCH($A43,'AEO 2026 Table 5'!$B$6:$B$102,0),MATCH(R$1,'AEO 2026 Table 5'!$E$5:$AD$5,0))</f>
        <v/>
      </c>
      <c r="S43">
        <f>INDEX('AEO 2026 Table 5'!$E$6:$AD$102,MATCH($A43,'AEO 2026 Table 5'!$B$6:$B$102,0),MATCH(S$1,'AEO 2026 Table 5'!$E$5:$AD$5,0))</f>
        <v/>
      </c>
      <c r="T43">
        <f>INDEX('AEO 2026 Table 5'!$E$6:$AD$102,MATCH($A43,'AEO 2026 Table 5'!$B$6:$B$102,0),MATCH(T$1,'AEO 2026 Table 5'!$E$5:$AD$5,0))</f>
        <v/>
      </c>
      <c r="U43">
        <f>INDEX('AEO 2026 Table 5'!$E$6:$AD$102,MATCH($A43,'AEO 2026 Table 5'!$B$6:$B$102,0),MATCH(U$1,'AEO 2026 Table 5'!$E$5:$AD$5,0))</f>
        <v/>
      </c>
      <c r="V43">
        <f>INDEX('AEO 2026 Table 5'!$E$6:$AD$102,MATCH($A43,'AEO 2026 Table 5'!$B$6:$B$102,0),MATCH(V$1,'AEO 2026 Table 5'!$E$5:$AD$5,0))</f>
        <v/>
      </c>
      <c r="W43">
        <f>INDEX('AEO 2026 Table 5'!$E$6:$AD$102,MATCH($A43,'AEO 2026 Table 5'!$B$6:$B$102,0),MATCH(W$1,'AEO 2026 Table 5'!$E$5:$AD$5,0))</f>
        <v/>
      </c>
      <c r="X43">
        <f>INDEX('AEO 2026 Table 5'!$E$6:$AD$102,MATCH($A43,'AEO 2026 Table 5'!$B$6:$B$102,0),MATCH(X$1,'AEO 2026 Table 5'!$E$5:$AD$5,0))</f>
        <v/>
      </c>
      <c r="Y43">
        <f>INDEX('AEO 2026 Table 5'!$E$6:$AD$102,MATCH($A43,'AEO 2026 Table 5'!$B$6:$B$102,0),MATCH(Y$1,'AEO 2026 Table 5'!$E$5:$AD$5,0))</f>
        <v/>
      </c>
      <c r="Z43">
        <f>INDEX('AEO 2026 Table 5'!$E$6:$AD$102,MATCH($A43,'AEO 2026 Table 5'!$B$6:$B$102,0),MATCH(Z$1,'AEO 2026 Table 5'!$E$5:$AD$5,0))</f>
        <v/>
      </c>
      <c r="AA43">
        <f>INDEX('AEO 2026 Table 5'!$E$6:$AD$102,MATCH($A43,'AEO 2026 Table 5'!$B$6:$B$102,0),MATCH(AA$1,'AEO 2026 Table 5'!$E$5:$AD$5,0))</f>
        <v/>
      </c>
      <c r="AB43">
        <f>INDEX('AEO 2026 Table 5'!$E$6:$AD$102,MATCH($A43,'AEO 2026 Table 5'!$B$6:$B$102,0),MATCH(AB$1,'AEO 2026 Table 5'!$E$5:$AD$5,0))</f>
        <v/>
      </c>
      <c r="AC43">
        <f>INDEX('AEO 2026 Table 5'!$E$6:$AD$102,MATCH($A43,'AEO 2026 Table 5'!$B$6:$B$102,0),MATCH(AC$1,'AEO 2026 Table 5'!$E$5:$AD$5,0))</f>
        <v/>
      </c>
      <c r="AD43">
        <f>INDEX('AEO 2026 Table 5'!$E$6:$AD$102,MATCH($A43,'AEO 2026 Table 5'!$B$6:$B$102,0),MATCH(AD$1,'AEO 2026 Table 5'!$E$5:$AD$5,0))</f>
        <v/>
      </c>
      <c r="AE43">
        <f>INDEX('AEO 2026 Table 5'!$E$6:$AD$102,MATCH($A43,'AEO 2026 Table 5'!$B$6:$B$102,0),MATCH(AE$1,'AEO 2026 Table 5'!$E$5:$AD$5,0))</f>
        <v/>
      </c>
      <c r="AF43">
        <f>INDEX('AEO 2026 Table 5'!$E$6:$AD$102,MATCH($A43,'AEO 2026 Table 5'!$B$6:$B$102,0),MATCH(AF$1,'AEO 2026 Table 5'!$E$5:$AD$5,0))</f>
        <v/>
      </c>
      <c r="AG43">
        <f>INDEX('AEO 2026 Table 5'!$E$6:$AD$102,MATCH($A43,'AEO 2026 Table 5'!$B$6:$B$102,0),MATCH(AG$1,'AEO 2026 Table 5'!$E$5:$AD$5,0))</f>
        <v/>
      </c>
    </row>
    <row r="44">
      <c r="A44" t="inlineStr">
        <is>
          <t>Commercial: Purchased Electricity: Lighting: Alternative Electricity and Transportation</t>
        </is>
      </c>
      <c r="B44" t="inlineStr">
        <is>
          <t>Commercial: Purchased Electricity: Lighting: High Zero-Carbon Technology Cost</t>
        </is>
      </c>
      <c r="C44">
        <f>D44&amp;"-"&amp;E44&amp;"-"&amp;F44</f>
        <v/>
      </c>
      <c r="D44" t="inlineStr">
        <is>
          <t>commercial</t>
        </is>
      </c>
      <c r="E44" t="inlineStr">
        <is>
          <t>lighting</t>
        </is>
      </c>
      <c r="F44" s="1" t="inlineStr">
        <is>
          <t>electricity (BTU)</t>
        </is>
      </c>
      <c r="G44" s="44">
        <f>INDEX('AEO 2025 Table 5'!$F$8:$AG$102,MATCH('Crosswalk AEO to EPS Summary'!$B44,'AEO 2025 Table 5'!$B$8:$B$102,0),MATCH(G$1,'AEO 2025 Table 5'!$F$5:$AG$5,0))</f>
        <v/>
      </c>
      <c r="H44">
        <f>INDEX('AEO 2026 Table 5'!$E$6:$AD$102,MATCH($A44,'AEO 2026 Table 5'!$B$6:$B$102,0),MATCH(H$1,'AEO 2026 Table 5'!$E$5:$AD$5,0))</f>
        <v/>
      </c>
      <c r="I44">
        <f>INDEX('AEO 2026 Table 5'!$E$6:$AD$102,MATCH($A44,'AEO 2026 Table 5'!$B$6:$B$102,0),MATCH(I$1,'AEO 2026 Table 5'!$E$5:$AD$5,0))</f>
        <v/>
      </c>
      <c r="J44">
        <f>INDEX('AEO 2026 Table 5'!$E$6:$AD$102,MATCH($A44,'AEO 2026 Table 5'!$B$6:$B$102,0),MATCH(J$1,'AEO 2026 Table 5'!$E$5:$AD$5,0))</f>
        <v/>
      </c>
      <c r="K44">
        <f>INDEX('AEO 2026 Table 5'!$E$6:$AD$102,MATCH($A44,'AEO 2026 Table 5'!$B$6:$B$102,0),MATCH(K$1,'AEO 2026 Table 5'!$E$5:$AD$5,0))</f>
        <v/>
      </c>
      <c r="L44">
        <f>INDEX('AEO 2026 Table 5'!$E$6:$AD$102,MATCH($A44,'AEO 2026 Table 5'!$B$6:$B$102,0),MATCH(L$1,'AEO 2026 Table 5'!$E$5:$AD$5,0))</f>
        <v/>
      </c>
      <c r="M44">
        <f>INDEX('AEO 2026 Table 5'!$E$6:$AD$102,MATCH($A44,'AEO 2026 Table 5'!$B$6:$B$102,0),MATCH(M$1,'AEO 2026 Table 5'!$E$5:$AD$5,0))</f>
        <v/>
      </c>
      <c r="N44">
        <f>INDEX('AEO 2026 Table 5'!$E$6:$AD$102,MATCH($A44,'AEO 2026 Table 5'!$B$6:$B$102,0),MATCH(N$1,'AEO 2026 Table 5'!$E$5:$AD$5,0))</f>
        <v/>
      </c>
      <c r="O44">
        <f>INDEX('AEO 2026 Table 5'!$E$6:$AD$102,MATCH($A44,'AEO 2026 Table 5'!$B$6:$B$102,0),MATCH(O$1,'AEO 2026 Table 5'!$E$5:$AD$5,0))</f>
        <v/>
      </c>
      <c r="P44">
        <f>INDEX('AEO 2026 Table 5'!$E$6:$AD$102,MATCH($A44,'AEO 2026 Table 5'!$B$6:$B$102,0),MATCH(P$1,'AEO 2026 Table 5'!$E$5:$AD$5,0))</f>
        <v/>
      </c>
      <c r="Q44">
        <f>INDEX('AEO 2026 Table 5'!$E$6:$AD$102,MATCH($A44,'AEO 2026 Table 5'!$B$6:$B$102,0),MATCH(Q$1,'AEO 2026 Table 5'!$E$5:$AD$5,0))</f>
        <v/>
      </c>
      <c r="R44">
        <f>INDEX('AEO 2026 Table 5'!$E$6:$AD$102,MATCH($A44,'AEO 2026 Table 5'!$B$6:$B$102,0),MATCH(R$1,'AEO 2026 Table 5'!$E$5:$AD$5,0))</f>
        <v/>
      </c>
      <c r="S44">
        <f>INDEX('AEO 2026 Table 5'!$E$6:$AD$102,MATCH($A44,'AEO 2026 Table 5'!$B$6:$B$102,0),MATCH(S$1,'AEO 2026 Table 5'!$E$5:$AD$5,0))</f>
        <v/>
      </c>
      <c r="T44">
        <f>INDEX('AEO 2026 Table 5'!$E$6:$AD$102,MATCH($A44,'AEO 2026 Table 5'!$B$6:$B$102,0),MATCH(T$1,'AEO 2026 Table 5'!$E$5:$AD$5,0))</f>
        <v/>
      </c>
      <c r="U44">
        <f>INDEX('AEO 2026 Table 5'!$E$6:$AD$102,MATCH($A44,'AEO 2026 Table 5'!$B$6:$B$102,0),MATCH(U$1,'AEO 2026 Table 5'!$E$5:$AD$5,0))</f>
        <v/>
      </c>
      <c r="V44">
        <f>INDEX('AEO 2026 Table 5'!$E$6:$AD$102,MATCH($A44,'AEO 2026 Table 5'!$B$6:$B$102,0),MATCH(V$1,'AEO 2026 Table 5'!$E$5:$AD$5,0))</f>
        <v/>
      </c>
      <c r="W44">
        <f>INDEX('AEO 2026 Table 5'!$E$6:$AD$102,MATCH($A44,'AEO 2026 Table 5'!$B$6:$B$102,0),MATCH(W$1,'AEO 2026 Table 5'!$E$5:$AD$5,0))</f>
        <v/>
      </c>
      <c r="X44">
        <f>INDEX('AEO 2026 Table 5'!$E$6:$AD$102,MATCH($A44,'AEO 2026 Table 5'!$B$6:$B$102,0),MATCH(X$1,'AEO 2026 Table 5'!$E$5:$AD$5,0))</f>
        <v/>
      </c>
      <c r="Y44">
        <f>INDEX('AEO 2026 Table 5'!$E$6:$AD$102,MATCH($A44,'AEO 2026 Table 5'!$B$6:$B$102,0),MATCH(Y$1,'AEO 2026 Table 5'!$E$5:$AD$5,0))</f>
        <v/>
      </c>
      <c r="Z44">
        <f>INDEX('AEO 2026 Table 5'!$E$6:$AD$102,MATCH($A44,'AEO 2026 Table 5'!$B$6:$B$102,0),MATCH(Z$1,'AEO 2026 Table 5'!$E$5:$AD$5,0))</f>
        <v/>
      </c>
      <c r="AA44">
        <f>INDEX('AEO 2026 Table 5'!$E$6:$AD$102,MATCH($A44,'AEO 2026 Table 5'!$B$6:$B$102,0),MATCH(AA$1,'AEO 2026 Table 5'!$E$5:$AD$5,0))</f>
        <v/>
      </c>
      <c r="AB44">
        <f>INDEX('AEO 2026 Table 5'!$E$6:$AD$102,MATCH($A44,'AEO 2026 Table 5'!$B$6:$B$102,0),MATCH(AB$1,'AEO 2026 Table 5'!$E$5:$AD$5,0))</f>
        <v/>
      </c>
      <c r="AC44">
        <f>INDEX('AEO 2026 Table 5'!$E$6:$AD$102,MATCH($A44,'AEO 2026 Table 5'!$B$6:$B$102,0),MATCH(AC$1,'AEO 2026 Table 5'!$E$5:$AD$5,0))</f>
        <v/>
      </c>
      <c r="AD44">
        <f>INDEX('AEO 2026 Table 5'!$E$6:$AD$102,MATCH($A44,'AEO 2026 Table 5'!$B$6:$B$102,0),MATCH(AD$1,'AEO 2026 Table 5'!$E$5:$AD$5,0))</f>
        <v/>
      </c>
      <c r="AE44">
        <f>INDEX('AEO 2026 Table 5'!$E$6:$AD$102,MATCH($A44,'AEO 2026 Table 5'!$B$6:$B$102,0),MATCH(AE$1,'AEO 2026 Table 5'!$E$5:$AD$5,0))</f>
        <v/>
      </c>
      <c r="AF44">
        <f>INDEX('AEO 2026 Table 5'!$E$6:$AD$102,MATCH($A44,'AEO 2026 Table 5'!$B$6:$B$102,0),MATCH(AF$1,'AEO 2026 Table 5'!$E$5:$AD$5,0))</f>
        <v/>
      </c>
      <c r="AG44">
        <f>INDEX('AEO 2026 Table 5'!$E$6:$AD$102,MATCH($A44,'AEO 2026 Table 5'!$B$6:$B$102,0),MATCH(AG$1,'AEO 2026 Table 5'!$E$5:$AD$5,0))</f>
        <v/>
      </c>
    </row>
    <row r="45">
      <c r="A45" t="inlineStr">
        <is>
          <t>Commercial: Purchased Electricity: Refrigeration: Alternative Electricity and Transportation</t>
        </is>
      </c>
      <c r="B45" t="inlineStr">
        <is>
          <t>Commercial: Purchased Electricity: Refrigeration: High Zero-Carbon Technology Cost</t>
        </is>
      </c>
      <c r="C45">
        <f>D45&amp;"-"&amp;E45&amp;"-"&amp;F45</f>
        <v/>
      </c>
      <c r="D45" t="inlineStr">
        <is>
          <t>commercial</t>
        </is>
      </c>
      <c r="E45" t="inlineStr">
        <is>
          <t>appliances</t>
        </is>
      </c>
      <c r="F45" s="1" t="inlineStr">
        <is>
          <t>electricity (BTU)</t>
        </is>
      </c>
      <c r="G45" s="44">
        <f>INDEX('AEO 2025 Table 5'!$F$8:$AG$102,MATCH('Crosswalk AEO to EPS Summary'!$B45,'AEO 2025 Table 5'!$B$8:$B$102,0),MATCH(G$1,'AEO 2025 Table 5'!$F$5:$AG$5,0))</f>
        <v/>
      </c>
      <c r="H45">
        <f>INDEX('AEO 2026 Table 5'!$E$6:$AD$102,MATCH($A45,'AEO 2026 Table 5'!$B$6:$B$102,0),MATCH(H$1,'AEO 2026 Table 5'!$E$5:$AD$5,0))</f>
        <v/>
      </c>
      <c r="I45">
        <f>INDEX('AEO 2026 Table 5'!$E$6:$AD$102,MATCH($A45,'AEO 2026 Table 5'!$B$6:$B$102,0),MATCH(I$1,'AEO 2026 Table 5'!$E$5:$AD$5,0))</f>
        <v/>
      </c>
      <c r="J45">
        <f>INDEX('AEO 2026 Table 5'!$E$6:$AD$102,MATCH($A45,'AEO 2026 Table 5'!$B$6:$B$102,0),MATCH(J$1,'AEO 2026 Table 5'!$E$5:$AD$5,0))</f>
        <v/>
      </c>
      <c r="K45">
        <f>INDEX('AEO 2026 Table 5'!$E$6:$AD$102,MATCH($A45,'AEO 2026 Table 5'!$B$6:$B$102,0),MATCH(K$1,'AEO 2026 Table 5'!$E$5:$AD$5,0))</f>
        <v/>
      </c>
      <c r="L45">
        <f>INDEX('AEO 2026 Table 5'!$E$6:$AD$102,MATCH($A45,'AEO 2026 Table 5'!$B$6:$B$102,0),MATCH(L$1,'AEO 2026 Table 5'!$E$5:$AD$5,0))</f>
        <v/>
      </c>
      <c r="M45">
        <f>INDEX('AEO 2026 Table 5'!$E$6:$AD$102,MATCH($A45,'AEO 2026 Table 5'!$B$6:$B$102,0),MATCH(M$1,'AEO 2026 Table 5'!$E$5:$AD$5,0))</f>
        <v/>
      </c>
      <c r="N45">
        <f>INDEX('AEO 2026 Table 5'!$E$6:$AD$102,MATCH($A45,'AEO 2026 Table 5'!$B$6:$B$102,0),MATCH(N$1,'AEO 2026 Table 5'!$E$5:$AD$5,0))</f>
        <v/>
      </c>
      <c r="O45">
        <f>INDEX('AEO 2026 Table 5'!$E$6:$AD$102,MATCH($A45,'AEO 2026 Table 5'!$B$6:$B$102,0),MATCH(O$1,'AEO 2026 Table 5'!$E$5:$AD$5,0))</f>
        <v/>
      </c>
      <c r="P45">
        <f>INDEX('AEO 2026 Table 5'!$E$6:$AD$102,MATCH($A45,'AEO 2026 Table 5'!$B$6:$B$102,0),MATCH(P$1,'AEO 2026 Table 5'!$E$5:$AD$5,0))</f>
        <v/>
      </c>
      <c r="Q45">
        <f>INDEX('AEO 2026 Table 5'!$E$6:$AD$102,MATCH($A45,'AEO 2026 Table 5'!$B$6:$B$102,0),MATCH(Q$1,'AEO 2026 Table 5'!$E$5:$AD$5,0))</f>
        <v/>
      </c>
      <c r="R45">
        <f>INDEX('AEO 2026 Table 5'!$E$6:$AD$102,MATCH($A45,'AEO 2026 Table 5'!$B$6:$B$102,0),MATCH(R$1,'AEO 2026 Table 5'!$E$5:$AD$5,0))</f>
        <v/>
      </c>
      <c r="S45">
        <f>INDEX('AEO 2026 Table 5'!$E$6:$AD$102,MATCH($A45,'AEO 2026 Table 5'!$B$6:$B$102,0),MATCH(S$1,'AEO 2026 Table 5'!$E$5:$AD$5,0))</f>
        <v/>
      </c>
      <c r="T45">
        <f>INDEX('AEO 2026 Table 5'!$E$6:$AD$102,MATCH($A45,'AEO 2026 Table 5'!$B$6:$B$102,0),MATCH(T$1,'AEO 2026 Table 5'!$E$5:$AD$5,0))</f>
        <v/>
      </c>
      <c r="U45">
        <f>INDEX('AEO 2026 Table 5'!$E$6:$AD$102,MATCH($A45,'AEO 2026 Table 5'!$B$6:$B$102,0),MATCH(U$1,'AEO 2026 Table 5'!$E$5:$AD$5,0))</f>
        <v/>
      </c>
      <c r="V45">
        <f>INDEX('AEO 2026 Table 5'!$E$6:$AD$102,MATCH($A45,'AEO 2026 Table 5'!$B$6:$B$102,0),MATCH(V$1,'AEO 2026 Table 5'!$E$5:$AD$5,0))</f>
        <v/>
      </c>
      <c r="W45">
        <f>INDEX('AEO 2026 Table 5'!$E$6:$AD$102,MATCH($A45,'AEO 2026 Table 5'!$B$6:$B$102,0),MATCH(W$1,'AEO 2026 Table 5'!$E$5:$AD$5,0))</f>
        <v/>
      </c>
      <c r="X45">
        <f>INDEX('AEO 2026 Table 5'!$E$6:$AD$102,MATCH($A45,'AEO 2026 Table 5'!$B$6:$B$102,0),MATCH(X$1,'AEO 2026 Table 5'!$E$5:$AD$5,0))</f>
        <v/>
      </c>
      <c r="Y45">
        <f>INDEX('AEO 2026 Table 5'!$E$6:$AD$102,MATCH($A45,'AEO 2026 Table 5'!$B$6:$B$102,0),MATCH(Y$1,'AEO 2026 Table 5'!$E$5:$AD$5,0))</f>
        <v/>
      </c>
      <c r="Z45">
        <f>INDEX('AEO 2026 Table 5'!$E$6:$AD$102,MATCH($A45,'AEO 2026 Table 5'!$B$6:$B$102,0),MATCH(Z$1,'AEO 2026 Table 5'!$E$5:$AD$5,0))</f>
        <v/>
      </c>
      <c r="AA45">
        <f>INDEX('AEO 2026 Table 5'!$E$6:$AD$102,MATCH($A45,'AEO 2026 Table 5'!$B$6:$B$102,0),MATCH(AA$1,'AEO 2026 Table 5'!$E$5:$AD$5,0))</f>
        <v/>
      </c>
      <c r="AB45">
        <f>INDEX('AEO 2026 Table 5'!$E$6:$AD$102,MATCH($A45,'AEO 2026 Table 5'!$B$6:$B$102,0),MATCH(AB$1,'AEO 2026 Table 5'!$E$5:$AD$5,0))</f>
        <v/>
      </c>
      <c r="AC45">
        <f>INDEX('AEO 2026 Table 5'!$E$6:$AD$102,MATCH($A45,'AEO 2026 Table 5'!$B$6:$B$102,0),MATCH(AC$1,'AEO 2026 Table 5'!$E$5:$AD$5,0))</f>
        <v/>
      </c>
      <c r="AD45">
        <f>INDEX('AEO 2026 Table 5'!$E$6:$AD$102,MATCH($A45,'AEO 2026 Table 5'!$B$6:$B$102,0),MATCH(AD$1,'AEO 2026 Table 5'!$E$5:$AD$5,0))</f>
        <v/>
      </c>
      <c r="AE45">
        <f>INDEX('AEO 2026 Table 5'!$E$6:$AD$102,MATCH($A45,'AEO 2026 Table 5'!$B$6:$B$102,0),MATCH(AE$1,'AEO 2026 Table 5'!$E$5:$AD$5,0))</f>
        <v/>
      </c>
      <c r="AF45">
        <f>INDEX('AEO 2026 Table 5'!$E$6:$AD$102,MATCH($A45,'AEO 2026 Table 5'!$B$6:$B$102,0),MATCH(AF$1,'AEO 2026 Table 5'!$E$5:$AD$5,0))</f>
        <v/>
      </c>
      <c r="AG45">
        <f>INDEX('AEO 2026 Table 5'!$E$6:$AD$102,MATCH($A45,'AEO 2026 Table 5'!$B$6:$B$102,0),MATCH(AG$1,'AEO 2026 Table 5'!$E$5:$AD$5,0))</f>
        <v/>
      </c>
    </row>
    <row r="46">
      <c r="A46" t="inlineStr">
        <is>
          <t>Commercial: Purchased Electricity: Computers and Office Equipment: Alternative Electricity and Transportation</t>
        </is>
      </c>
      <c r="B46" t="inlineStr">
        <is>
          <t>Commercial: Purchased Electricity: Computing: High Zero-Carbon Technology Cost</t>
        </is>
      </c>
      <c r="C46">
        <f>D46&amp;"-"&amp;E46&amp;"-"&amp;F46</f>
        <v/>
      </c>
      <c r="D46" t="inlineStr">
        <is>
          <t>commercial</t>
        </is>
      </c>
      <c r="E46" t="inlineStr">
        <is>
          <t>other</t>
        </is>
      </c>
      <c r="F46" s="1" t="inlineStr">
        <is>
          <t>electricity (BTU)</t>
        </is>
      </c>
      <c r="G46" s="44">
        <f>INDEX('AEO 2025 Table 5'!$F$8:$AG$102,MATCH('Crosswalk AEO to EPS Summary'!$B46,'AEO 2025 Table 5'!$B$8:$B$102,0),MATCH(G$1,'AEO 2025 Table 5'!$F$5:$AG$5,0))</f>
        <v/>
      </c>
      <c r="H46">
        <f>INDEX('AEO 2026 Table 5'!$E$6:$AD$102,MATCH($A46,'AEO 2026 Table 5'!$B$6:$B$102,0),MATCH(H$1,'AEO 2026 Table 5'!$E$5:$AD$5,0))</f>
        <v/>
      </c>
      <c r="I46">
        <f>INDEX('AEO 2026 Table 5'!$E$6:$AD$102,MATCH($A46,'AEO 2026 Table 5'!$B$6:$B$102,0),MATCH(I$1,'AEO 2026 Table 5'!$E$5:$AD$5,0))</f>
        <v/>
      </c>
      <c r="J46">
        <f>INDEX('AEO 2026 Table 5'!$E$6:$AD$102,MATCH($A46,'AEO 2026 Table 5'!$B$6:$B$102,0),MATCH(J$1,'AEO 2026 Table 5'!$E$5:$AD$5,0))</f>
        <v/>
      </c>
      <c r="K46">
        <f>INDEX('AEO 2026 Table 5'!$E$6:$AD$102,MATCH($A46,'AEO 2026 Table 5'!$B$6:$B$102,0),MATCH(K$1,'AEO 2026 Table 5'!$E$5:$AD$5,0))</f>
        <v/>
      </c>
      <c r="L46">
        <f>INDEX('AEO 2026 Table 5'!$E$6:$AD$102,MATCH($A46,'AEO 2026 Table 5'!$B$6:$B$102,0),MATCH(L$1,'AEO 2026 Table 5'!$E$5:$AD$5,0))</f>
        <v/>
      </c>
      <c r="M46">
        <f>INDEX('AEO 2026 Table 5'!$E$6:$AD$102,MATCH($A46,'AEO 2026 Table 5'!$B$6:$B$102,0),MATCH(M$1,'AEO 2026 Table 5'!$E$5:$AD$5,0))</f>
        <v/>
      </c>
      <c r="N46">
        <f>INDEX('AEO 2026 Table 5'!$E$6:$AD$102,MATCH($A46,'AEO 2026 Table 5'!$B$6:$B$102,0),MATCH(N$1,'AEO 2026 Table 5'!$E$5:$AD$5,0))</f>
        <v/>
      </c>
      <c r="O46">
        <f>INDEX('AEO 2026 Table 5'!$E$6:$AD$102,MATCH($A46,'AEO 2026 Table 5'!$B$6:$B$102,0),MATCH(O$1,'AEO 2026 Table 5'!$E$5:$AD$5,0))</f>
        <v/>
      </c>
      <c r="P46">
        <f>INDEX('AEO 2026 Table 5'!$E$6:$AD$102,MATCH($A46,'AEO 2026 Table 5'!$B$6:$B$102,0),MATCH(P$1,'AEO 2026 Table 5'!$E$5:$AD$5,0))</f>
        <v/>
      </c>
      <c r="Q46">
        <f>INDEX('AEO 2026 Table 5'!$E$6:$AD$102,MATCH($A46,'AEO 2026 Table 5'!$B$6:$B$102,0),MATCH(Q$1,'AEO 2026 Table 5'!$E$5:$AD$5,0))</f>
        <v/>
      </c>
      <c r="R46">
        <f>INDEX('AEO 2026 Table 5'!$E$6:$AD$102,MATCH($A46,'AEO 2026 Table 5'!$B$6:$B$102,0),MATCH(R$1,'AEO 2026 Table 5'!$E$5:$AD$5,0))</f>
        <v/>
      </c>
      <c r="S46">
        <f>INDEX('AEO 2026 Table 5'!$E$6:$AD$102,MATCH($A46,'AEO 2026 Table 5'!$B$6:$B$102,0),MATCH(S$1,'AEO 2026 Table 5'!$E$5:$AD$5,0))</f>
        <v/>
      </c>
      <c r="T46">
        <f>INDEX('AEO 2026 Table 5'!$E$6:$AD$102,MATCH($A46,'AEO 2026 Table 5'!$B$6:$B$102,0),MATCH(T$1,'AEO 2026 Table 5'!$E$5:$AD$5,0))</f>
        <v/>
      </c>
      <c r="U46">
        <f>INDEX('AEO 2026 Table 5'!$E$6:$AD$102,MATCH($A46,'AEO 2026 Table 5'!$B$6:$B$102,0),MATCH(U$1,'AEO 2026 Table 5'!$E$5:$AD$5,0))</f>
        <v/>
      </c>
      <c r="V46">
        <f>INDEX('AEO 2026 Table 5'!$E$6:$AD$102,MATCH($A46,'AEO 2026 Table 5'!$B$6:$B$102,0),MATCH(V$1,'AEO 2026 Table 5'!$E$5:$AD$5,0))</f>
        <v/>
      </c>
      <c r="W46">
        <f>INDEX('AEO 2026 Table 5'!$E$6:$AD$102,MATCH($A46,'AEO 2026 Table 5'!$B$6:$B$102,0),MATCH(W$1,'AEO 2026 Table 5'!$E$5:$AD$5,0))</f>
        <v/>
      </c>
      <c r="X46">
        <f>INDEX('AEO 2026 Table 5'!$E$6:$AD$102,MATCH($A46,'AEO 2026 Table 5'!$B$6:$B$102,0),MATCH(X$1,'AEO 2026 Table 5'!$E$5:$AD$5,0))</f>
        <v/>
      </c>
      <c r="Y46">
        <f>INDEX('AEO 2026 Table 5'!$E$6:$AD$102,MATCH($A46,'AEO 2026 Table 5'!$B$6:$B$102,0),MATCH(Y$1,'AEO 2026 Table 5'!$E$5:$AD$5,0))</f>
        <v/>
      </c>
      <c r="Z46">
        <f>INDEX('AEO 2026 Table 5'!$E$6:$AD$102,MATCH($A46,'AEO 2026 Table 5'!$B$6:$B$102,0),MATCH(Z$1,'AEO 2026 Table 5'!$E$5:$AD$5,0))</f>
        <v/>
      </c>
      <c r="AA46">
        <f>INDEX('AEO 2026 Table 5'!$E$6:$AD$102,MATCH($A46,'AEO 2026 Table 5'!$B$6:$B$102,0),MATCH(AA$1,'AEO 2026 Table 5'!$E$5:$AD$5,0))</f>
        <v/>
      </c>
      <c r="AB46">
        <f>INDEX('AEO 2026 Table 5'!$E$6:$AD$102,MATCH($A46,'AEO 2026 Table 5'!$B$6:$B$102,0),MATCH(AB$1,'AEO 2026 Table 5'!$E$5:$AD$5,0))</f>
        <v/>
      </c>
      <c r="AC46">
        <f>INDEX('AEO 2026 Table 5'!$E$6:$AD$102,MATCH($A46,'AEO 2026 Table 5'!$B$6:$B$102,0),MATCH(AC$1,'AEO 2026 Table 5'!$E$5:$AD$5,0))</f>
        <v/>
      </c>
      <c r="AD46">
        <f>INDEX('AEO 2026 Table 5'!$E$6:$AD$102,MATCH($A46,'AEO 2026 Table 5'!$B$6:$B$102,0),MATCH(AD$1,'AEO 2026 Table 5'!$E$5:$AD$5,0))</f>
        <v/>
      </c>
      <c r="AE46">
        <f>INDEX('AEO 2026 Table 5'!$E$6:$AD$102,MATCH($A46,'AEO 2026 Table 5'!$B$6:$B$102,0),MATCH(AE$1,'AEO 2026 Table 5'!$E$5:$AD$5,0))</f>
        <v/>
      </c>
      <c r="AF46">
        <f>INDEX('AEO 2026 Table 5'!$E$6:$AD$102,MATCH($A46,'AEO 2026 Table 5'!$B$6:$B$102,0),MATCH(AF$1,'AEO 2026 Table 5'!$E$5:$AD$5,0))</f>
        <v/>
      </c>
      <c r="AG46">
        <f>INDEX('AEO 2026 Table 5'!$E$6:$AD$102,MATCH($A46,'AEO 2026 Table 5'!$B$6:$B$102,0),MATCH(AG$1,'AEO 2026 Table 5'!$E$5:$AD$5,0))</f>
        <v/>
      </c>
    </row>
    <row r="47">
      <c r="B47" t="inlineStr">
        <is>
          <t>Commercial: Purchased Electricity: Office Equipment: High Zero-Carbon Technology Cost</t>
        </is>
      </c>
      <c r="C47">
        <f>D47&amp;"-"&amp;E47&amp;"-"&amp;F47</f>
        <v/>
      </c>
      <c r="D47" t="inlineStr">
        <is>
          <t>commercial</t>
        </is>
      </c>
      <c r="E47" t="inlineStr">
        <is>
          <t>other</t>
        </is>
      </c>
      <c r="F47" s="1" t="inlineStr">
        <is>
          <t>electricity (BTU)</t>
        </is>
      </c>
      <c r="G47" s="44">
        <f>INDEX('AEO 2025 Table 5'!$F$8:$AG$102,MATCH('Crosswalk AEO to EPS Summary'!$B47,'AEO 2025 Table 5'!$B$8:$B$102,0),MATCH(G$1,'AEO 2025 Table 5'!$F$5:$AG$5,0))</f>
        <v/>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0</v>
      </c>
      <c r="AF47" t="n">
        <v>0</v>
      </c>
      <c r="AG47" t="n">
        <v>0</v>
      </c>
    </row>
    <row r="48">
      <c r="A48" t="inlineStr">
        <is>
          <t>Commercial: Purchased Electricity: Other Uses: Alternative Electricity and Transportation</t>
        </is>
      </c>
      <c r="B48" t="inlineStr">
        <is>
          <t>Commercial: Purchased Electricity: Other Uses: High Zero-Carbon Technology Cost</t>
        </is>
      </c>
      <c r="C48">
        <f>D48&amp;"-"&amp;E48&amp;"-"&amp;F48</f>
        <v/>
      </c>
      <c r="D48" t="inlineStr">
        <is>
          <t>commercial</t>
        </is>
      </c>
      <c r="E48" t="inlineStr">
        <is>
          <t>other</t>
        </is>
      </c>
      <c r="F48" s="1" t="inlineStr">
        <is>
          <t>electricity (BTU)</t>
        </is>
      </c>
      <c r="G48" s="44">
        <f>INDEX('AEO 2025 Table 5'!$F$8:$AG$102,MATCH('Crosswalk AEO to EPS Summary'!$B48,'AEO 2025 Table 5'!$B$8:$B$102,0),MATCH(G$1,'AEO 2025 Table 5'!$F$5:$AG$5,0))</f>
        <v/>
      </c>
      <c r="H48">
        <f>INDEX('AEO 2026 Table 5'!$E$6:$AD$102,MATCH($A48,'AEO 2026 Table 5'!$B$6:$B$102,0),MATCH(H$1,'AEO 2026 Table 5'!$E$5:$AD$5,0))</f>
        <v/>
      </c>
      <c r="I48">
        <f>INDEX('AEO 2026 Table 5'!$E$6:$AD$102,MATCH($A48,'AEO 2026 Table 5'!$B$6:$B$102,0),MATCH(I$1,'AEO 2026 Table 5'!$E$5:$AD$5,0))</f>
        <v/>
      </c>
      <c r="J48">
        <f>INDEX('AEO 2026 Table 5'!$E$6:$AD$102,MATCH($A48,'AEO 2026 Table 5'!$B$6:$B$102,0),MATCH(J$1,'AEO 2026 Table 5'!$E$5:$AD$5,0))</f>
        <v/>
      </c>
      <c r="K48">
        <f>INDEX('AEO 2026 Table 5'!$E$6:$AD$102,MATCH($A48,'AEO 2026 Table 5'!$B$6:$B$102,0),MATCH(K$1,'AEO 2026 Table 5'!$E$5:$AD$5,0))</f>
        <v/>
      </c>
      <c r="L48">
        <f>INDEX('AEO 2026 Table 5'!$E$6:$AD$102,MATCH($A48,'AEO 2026 Table 5'!$B$6:$B$102,0),MATCH(L$1,'AEO 2026 Table 5'!$E$5:$AD$5,0))</f>
        <v/>
      </c>
      <c r="M48">
        <f>INDEX('AEO 2026 Table 5'!$E$6:$AD$102,MATCH($A48,'AEO 2026 Table 5'!$B$6:$B$102,0),MATCH(M$1,'AEO 2026 Table 5'!$E$5:$AD$5,0))</f>
        <v/>
      </c>
      <c r="N48">
        <f>INDEX('AEO 2026 Table 5'!$E$6:$AD$102,MATCH($A48,'AEO 2026 Table 5'!$B$6:$B$102,0),MATCH(N$1,'AEO 2026 Table 5'!$E$5:$AD$5,0))</f>
        <v/>
      </c>
      <c r="O48">
        <f>INDEX('AEO 2026 Table 5'!$E$6:$AD$102,MATCH($A48,'AEO 2026 Table 5'!$B$6:$B$102,0),MATCH(O$1,'AEO 2026 Table 5'!$E$5:$AD$5,0))</f>
        <v/>
      </c>
      <c r="P48">
        <f>INDEX('AEO 2026 Table 5'!$E$6:$AD$102,MATCH($A48,'AEO 2026 Table 5'!$B$6:$B$102,0),MATCH(P$1,'AEO 2026 Table 5'!$E$5:$AD$5,0))</f>
        <v/>
      </c>
      <c r="Q48">
        <f>INDEX('AEO 2026 Table 5'!$E$6:$AD$102,MATCH($A48,'AEO 2026 Table 5'!$B$6:$B$102,0),MATCH(Q$1,'AEO 2026 Table 5'!$E$5:$AD$5,0))</f>
        <v/>
      </c>
      <c r="R48">
        <f>INDEX('AEO 2026 Table 5'!$E$6:$AD$102,MATCH($A48,'AEO 2026 Table 5'!$B$6:$B$102,0),MATCH(R$1,'AEO 2026 Table 5'!$E$5:$AD$5,0))</f>
        <v/>
      </c>
      <c r="S48">
        <f>INDEX('AEO 2026 Table 5'!$E$6:$AD$102,MATCH($A48,'AEO 2026 Table 5'!$B$6:$B$102,0),MATCH(S$1,'AEO 2026 Table 5'!$E$5:$AD$5,0))</f>
        <v/>
      </c>
      <c r="T48">
        <f>INDEX('AEO 2026 Table 5'!$E$6:$AD$102,MATCH($A48,'AEO 2026 Table 5'!$B$6:$B$102,0),MATCH(T$1,'AEO 2026 Table 5'!$E$5:$AD$5,0))</f>
        <v/>
      </c>
      <c r="U48">
        <f>INDEX('AEO 2026 Table 5'!$E$6:$AD$102,MATCH($A48,'AEO 2026 Table 5'!$B$6:$B$102,0),MATCH(U$1,'AEO 2026 Table 5'!$E$5:$AD$5,0))</f>
        <v/>
      </c>
      <c r="V48">
        <f>INDEX('AEO 2026 Table 5'!$E$6:$AD$102,MATCH($A48,'AEO 2026 Table 5'!$B$6:$B$102,0),MATCH(V$1,'AEO 2026 Table 5'!$E$5:$AD$5,0))</f>
        <v/>
      </c>
      <c r="W48">
        <f>INDEX('AEO 2026 Table 5'!$E$6:$AD$102,MATCH($A48,'AEO 2026 Table 5'!$B$6:$B$102,0),MATCH(W$1,'AEO 2026 Table 5'!$E$5:$AD$5,0))</f>
        <v/>
      </c>
      <c r="X48">
        <f>INDEX('AEO 2026 Table 5'!$E$6:$AD$102,MATCH($A48,'AEO 2026 Table 5'!$B$6:$B$102,0),MATCH(X$1,'AEO 2026 Table 5'!$E$5:$AD$5,0))</f>
        <v/>
      </c>
      <c r="Y48">
        <f>INDEX('AEO 2026 Table 5'!$E$6:$AD$102,MATCH($A48,'AEO 2026 Table 5'!$B$6:$B$102,0),MATCH(Y$1,'AEO 2026 Table 5'!$E$5:$AD$5,0))</f>
        <v/>
      </c>
      <c r="Z48">
        <f>INDEX('AEO 2026 Table 5'!$E$6:$AD$102,MATCH($A48,'AEO 2026 Table 5'!$B$6:$B$102,0),MATCH(Z$1,'AEO 2026 Table 5'!$E$5:$AD$5,0))</f>
        <v/>
      </c>
      <c r="AA48">
        <f>INDEX('AEO 2026 Table 5'!$E$6:$AD$102,MATCH($A48,'AEO 2026 Table 5'!$B$6:$B$102,0),MATCH(AA$1,'AEO 2026 Table 5'!$E$5:$AD$5,0))</f>
        <v/>
      </c>
      <c r="AB48">
        <f>INDEX('AEO 2026 Table 5'!$E$6:$AD$102,MATCH($A48,'AEO 2026 Table 5'!$B$6:$B$102,0),MATCH(AB$1,'AEO 2026 Table 5'!$E$5:$AD$5,0))</f>
        <v/>
      </c>
      <c r="AC48">
        <f>INDEX('AEO 2026 Table 5'!$E$6:$AD$102,MATCH($A48,'AEO 2026 Table 5'!$B$6:$B$102,0),MATCH(AC$1,'AEO 2026 Table 5'!$E$5:$AD$5,0))</f>
        <v/>
      </c>
      <c r="AD48">
        <f>INDEX('AEO 2026 Table 5'!$E$6:$AD$102,MATCH($A48,'AEO 2026 Table 5'!$B$6:$B$102,0),MATCH(AD$1,'AEO 2026 Table 5'!$E$5:$AD$5,0))</f>
        <v/>
      </c>
      <c r="AE48">
        <f>INDEX('AEO 2026 Table 5'!$E$6:$AD$102,MATCH($A48,'AEO 2026 Table 5'!$B$6:$B$102,0),MATCH(AE$1,'AEO 2026 Table 5'!$E$5:$AD$5,0))</f>
        <v/>
      </c>
      <c r="AF48">
        <f>INDEX('AEO 2026 Table 5'!$E$6:$AD$102,MATCH($A48,'AEO 2026 Table 5'!$B$6:$B$102,0),MATCH(AF$1,'AEO 2026 Table 5'!$E$5:$AD$5,0))</f>
        <v/>
      </c>
      <c r="AG48">
        <f>INDEX('AEO 2026 Table 5'!$E$6:$AD$102,MATCH($A48,'AEO 2026 Table 5'!$B$6:$B$102,0),MATCH(AG$1,'AEO 2026 Table 5'!$E$5:$AD$5,0))</f>
        <v/>
      </c>
    </row>
    <row r="49">
      <c r="A49" t="inlineStr">
        <is>
          <t>Commercial: Energy Consumption by Fuel: Electricity Subtotal: Alternative Electricity and Transportation</t>
        </is>
      </c>
      <c r="B49" t="inlineStr">
        <is>
          <t>Commercial: Energy Consumption by Fuel: Electricity Subtotal: High Zero-Carbon Technology Cost</t>
        </is>
      </c>
      <c r="C49">
        <f>D49&amp;"-"&amp;E49&amp;"-"&amp;F49</f>
        <v/>
      </c>
      <c r="D49" t="inlineStr">
        <is>
          <t>commercial</t>
        </is>
      </c>
      <c r="E49" t="inlineStr">
        <is>
          <t>total</t>
        </is>
      </c>
      <c r="F49" s="1" t="inlineStr">
        <is>
          <t>electricity (BTU)</t>
        </is>
      </c>
      <c r="G49" s="44">
        <f>INDEX('AEO 2025 Table 5'!$F$8:$AG$102,MATCH('Crosswalk AEO to EPS Summary'!$B49,'AEO 2025 Table 5'!$B$8:$B$102,0),MATCH(G$1,'AEO 2025 Table 5'!$F$5:$AG$5,0))</f>
        <v/>
      </c>
      <c r="H49">
        <f>INDEX('AEO 2026 Table 5'!$E$6:$AD$102,MATCH($A49,'AEO 2026 Table 5'!$B$6:$B$102,0),MATCH(H$1,'AEO 2026 Table 5'!$E$5:$AD$5,0))</f>
        <v/>
      </c>
      <c r="I49">
        <f>INDEX('AEO 2026 Table 5'!$E$6:$AD$102,MATCH($A49,'AEO 2026 Table 5'!$B$6:$B$102,0),MATCH(I$1,'AEO 2026 Table 5'!$E$5:$AD$5,0))</f>
        <v/>
      </c>
      <c r="J49">
        <f>INDEX('AEO 2026 Table 5'!$E$6:$AD$102,MATCH($A49,'AEO 2026 Table 5'!$B$6:$B$102,0),MATCH(J$1,'AEO 2026 Table 5'!$E$5:$AD$5,0))</f>
        <v/>
      </c>
      <c r="K49">
        <f>INDEX('AEO 2026 Table 5'!$E$6:$AD$102,MATCH($A49,'AEO 2026 Table 5'!$B$6:$B$102,0),MATCH(K$1,'AEO 2026 Table 5'!$E$5:$AD$5,0))</f>
        <v/>
      </c>
      <c r="L49">
        <f>INDEX('AEO 2026 Table 5'!$E$6:$AD$102,MATCH($A49,'AEO 2026 Table 5'!$B$6:$B$102,0),MATCH(L$1,'AEO 2026 Table 5'!$E$5:$AD$5,0))</f>
        <v/>
      </c>
      <c r="M49">
        <f>INDEX('AEO 2026 Table 5'!$E$6:$AD$102,MATCH($A49,'AEO 2026 Table 5'!$B$6:$B$102,0),MATCH(M$1,'AEO 2026 Table 5'!$E$5:$AD$5,0))</f>
        <v/>
      </c>
      <c r="N49">
        <f>INDEX('AEO 2026 Table 5'!$E$6:$AD$102,MATCH($A49,'AEO 2026 Table 5'!$B$6:$B$102,0),MATCH(N$1,'AEO 2026 Table 5'!$E$5:$AD$5,0))</f>
        <v/>
      </c>
      <c r="O49">
        <f>INDEX('AEO 2026 Table 5'!$E$6:$AD$102,MATCH($A49,'AEO 2026 Table 5'!$B$6:$B$102,0),MATCH(O$1,'AEO 2026 Table 5'!$E$5:$AD$5,0))</f>
        <v/>
      </c>
      <c r="P49">
        <f>INDEX('AEO 2026 Table 5'!$E$6:$AD$102,MATCH($A49,'AEO 2026 Table 5'!$B$6:$B$102,0),MATCH(P$1,'AEO 2026 Table 5'!$E$5:$AD$5,0))</f>
        <v/>
      </c>
      <c r="Q49">
        <f>INDEX('AEO 2026 Table 5'!$E$6:$AD$102,MATCH($A49,'AEO 2026 Table 5'!$B$6:$B$102,0),MATCH(Q$1,'AEO 2026 Table 5'!$E$5:$AD$5,0))</f>
        <v/>
      </c>
      <c r="R49">
        <f>INDEX('AEO 2026 Table 5'!$E$6:$AD$102,MATCH($A49,'AEO 2026 Table 5'!$B$6:$B$102,0),MATCH(R$1,'AEO 2026 Table 5'!$E$5:$AD$5,0))</f>
        <v/>
      </c>
      <c r="S49">
        <f>INDEX('AEO 2026 Table 5'!$E$6:$AD$102,MATCH($A49,'AEO 2026 Table 5'!$B$6:$B$102,0),MATCH(S$1,'AEO 2026 Table 5'!$E$5:$AD$5,0))</f>
        <v/>
      </c>
      <c r="T49">
        <f>INDEX('AEO 2026 Table 5'!$E$6:$AD$102,MATCH($A49,'AEO 2026 Table 5'!$B$6:$B$102,0),MATCH(T$1,'AEO 2026 Table 5'!$E$5:$AD$5,0))</f>
        <v/>
      </c>
      <c r="U49">
        <f>INDEX('AEO 2026 Table 5'!$E$6:$AD$102,MATCH($A49,'AEO 2026 Table 5'!$B$6:$B$102,0),MATCH(U$1,'AEO 2026 Table 5'!$E$5:$AD$5,0))</f>
        <v/>
      </c>
      <c r="V49">
        <f>INDEX('AEO 2026 Table 5'!$E$6:$AD$102,MATCH($A49,'AEO 2026 Table 5'!$B$6:$B$102,0),MATCH(V$1,'AEO 2026 Table 5'!$E$5:$AD$5,0))</f>
        <v/>
      </c>
      <c r="W49">
        <f>INDEX('AEO 2026 Table 5'!$E$6:$AD$102,MATCH($A49,'AEO 2026 Table 5'!$B$6:$B$102,0),MATCH(W$1,'AEO 2026 Table 5'!$E$5:$AD$5,0))</f>
        <v/>
      </c>
      <c r="X49">
        <f>INDEX('AEO 2026 Table 5'!$E$6:$AD$102,MATCH($A49,'AEO 2026 Table 5'!$B$6:$B$102,0),MATCH(X$1,'AEO 2026 Table 5'!$E$5:$AD$5,0))</f>
        <v/>
      </c>
      <c r="Y49">
        <f>INDEX('AEO 2026 Table 5'!$E$6:$AD$102,MATCH($A49,'AEO 2026 Table 5'!$B$6:$B$102,0),MATCH(Y$1,'AEO 2026 Table 5'!$E$5:$AD$5,0))</f>
        <v/>
      </c>
      <c r="Z49">
        <f>INDEX('AEO 2026 Table 5'!$E$6:$AD$102,MATCH($A49,'AEO 2026 Table 5'!$B$6:$B$102,0),MATCH(Z$1,'AEO 2026 Table 5'!$E$5:$AD$5,0))</f>
        <v/>
      </c>
      <c r="AA49">
        <f>INDEX('AEO 2026 Table 5'!$E$6:$AD$102,MATCH($A49,'AEO 2026 Table 5'!$B$6:$B$102,0),MATCH(AA$1,'AEO 2026 Table 5'!$E$5:$AD$5,0))</f>
        <v/>
      </c>
      <c r="AB49">
        <f>INDEX('AEO 2026 Table 5'!$E$6:$AD$102,MATCH($A49,'AEO 2026 Table 5'!$B$6:$B$102,0),MATCH(AB$1,'AEO 2026 Table 5'!$E$5:$AD$5,0))</f>
        <v/>
      </c>
      <c r="AC49">
        <f>INDEX('AEO 2026 Table 5'!$E$6:$AD$102,MATCH($A49,'AEO 2026 Table 5'!$B$6:$B$102,0),MATCH(AC$1,'AEO 2026 Table 5'!$E$5:$AD$5,0))</f>
        <v/>
      </c>
      <c r="AD49">
        <f>INDEX('AEO 2026 Table 5'!$E$6:$AD$102,MATCH($A49,'AEO 2026 Table 5'!$B$6:$B$102,0),MATCH(AD$1,'AEO 2026 Table 5'!$E$5:$AD$5,0))</f>
        <v/>
      </c>
      <c r="AE49">
        <f>INDEX('AEO 2026 Table 5'!$E$6:$AD$102,MATCH($A49,'AEO 2026 Table 5'!$B$6:$B$102,0),MATCH(AE$1,'AEO 2026 Table 5'!$E$5:$AD$5,0))</f>
        <v/>
      </c>
      <c r="AF49">
        <f>INDEX('AEO 2026 Table 5'!$E$6:$AD$102,MATCH($A49,'AEO 2026 Table 5'!$B$6:$B$102,0),MATCH(AF$1,'AEO 2026 Table 5'!$E$5:$AD$5,0))</f>
        <v/>
      </c>
      <c r="AG49">
        <f>INDEX('AEO 2026 Table 5'!$E$6:$AD$102,MATCH($A49,'AEO 2026 Table 5'!$B$6:$B$102,0),MATCH(AG$1,'AEO 2026 Table 5'!$E$5:$AD$5,0))</f>
        <v/>
      </c>
    </row>
    <row r="50">
      <c r="A50" t="inlineStr">
        <is>
          <t>Commercial: Energy Consumption by Fuel: Purchased Electricity for EV Charging: Alternative Electricity and Transportation</t>
        </is>
      </c>
      <c r="B50" t="inlineStr">
        <is>
          <t>Commercial: Energy Consumption by Fuel: Purchased Electricity for EV Charging: High Zero-Carbon Technology Cost</t>
        </is>
      </c>
      <c r="C50">
        <f>D50&amp;"-"&amp;E50&amp;"-"&amp;F50</f>
        <v/>
      </c>
      <c r="D50" t="inlineStr">
        <is>
          <t>commercial</t>
        </is>
      </c>
      <c r="E50" t="inlineStr">
        <is>
          <t>NA</t>
        </is>
      </c>
      <c r="F50" s="1" t="inlineStr">
        <is>
          <t>electricity (BTU)</t>
        </is>
      </c>
      <c r="G50" s="44">
        <f>INDEX('AEO 2025 Table 5'!$F$8:$AG$102,MATCH('Crosswalk AEO to EPS Summary'!$B50,'AEO 2025 Table 5'!$B$8:$B$102,0),MATCH(G$1,'AEO 2025 Table 5'!$F$5:$AG$5,0))</f>
        <v/>
      </c>
      <c r="H50">
        <f>INDEX('AEO 2026 Table 5'!$E$6:$AD$102,MATCH($A50,'AEO 2026 Table 5'!$B$6:$B$102,0),MATCH(H$1,'AEO 2026 Table 5'!$E$5:$AD$5,0))</f>
        <v/>
      </c>
      <c r="I50">
        <f>INDEX('AEO 2026 Table 5'!$E$6:$AD$102,MATCH($A50,'AEO 2026 Table 5'!$B$6:$B$102,0),MATCH(I$1,'AEO 2026 Table 5'!$E$5:$AD$5,0))</f>
        <v/>
      </c>
      <c r="J50">
        <f>INDEX('AEO 2026 Table 5'!$E$6:$AD$102,MATCH($A50,'AEO 2026 Table 5'!$B$6:$B$102,0),MATCH(J$1,'AEO 2026 Table 5'!$E$5:$AD$5,0))</f>
        <v/>
      </c>
      <c r="K50">
        <f>INDEX('AEO 2026 Table 5'!$E$6:$AD$102,MATCH($A50,'AEO 2026 Table 5'!$B$6:$B$102,0),MATCH(K$1,'AEO 2026 Table 5'!$E$5:$AD$5,0))</f>
        <v/>
      </c>
      <c r="L50">
        <f>INDEX('AEO 2026 Table 5'!$E$6:$AD$102,MATCH($A50,'AEO 2026 Table 5'!$B$6:$B$102,0),MATCH(L$1,'AEO 2026 Table 5'!$E$5:$AD$5,0))</f>
        <v/>
      </c>
      <c r="M50">
        <f>INDEX('AEO 2026 Table 5'!$E$6:$AD$102,MATCH($A50,'AEO 2026 Table 5'!$B$6:$B$102,0),MATCH(M$1,'AEO 2026 Table 5'!$E$5:$AD$5,0))</f>
        <v/>
      </c>
      <c r="N50">
        <f>INDEX('AEO 2026 Table 5'!$E$6:$AD$102,MATCH($A50,'AEO 2026 Table 5'!$B$6:$B$102,0),MATCH(N$1,'AEO 2026 Table 5'!$E$5:$AD$5,0))</f>
        <v/>
      </c>
      <c r="O50">
        <f>INDEX('AEO 2026 Table 5'!$E$6:$AD$102,MATCH($A50,'AEO 2026 Table 5'!$B$6:$B$102,0),MATCH(O$1,'AEO 2026 Table 5'!$E$5:$AD$5,0))</f>
        <v/>
      </c>
      <c r="P50">
        <f>INDEX('AEO 2026 Table 5'!$E$6:$AD$102,MATCH($A50,'AEO 2026 Table 5'!$B$6:$B$102,0),MATCH(P$1,'AEO 2026 Table 5'!$E$5:$AD$5,0))</f>
        <v/>
      </c>
      <c r="Q50">
        <f>INDEX('AEO 2026 Table 5'!$E$6:$AD$102,MATCH($A50,'AEO 2026 Table 5'!$B$6:$B$102,0),MATCH(Q$1,'AEO 2026 Table 5'!$E$5:$AD$5,0))</f>
        <v/>
      </c>
      <c r="R50">
        <f>INDEX('AEO 2026 Table 5'!$E$6:$AD$102,MATCH($A50,'AEO 2026 Table 5'!$B$6:$B$102,0),MATCH(R$1,'AEO 2026 Table 5'!$E$5:$AD$5,0))</f>
        <v/>
      </c>
      <c r="S50">
        <f>INDEX('AEO 2026 Table 5'!$E$6:$AD$102,MATCH($A50,'AEO 2026 Table 5'!$B$6:$B$102,0),MATCH(S$1,'AEO 2026 Table 5'!$E$5:$AD$5,0))</f>
        <v/>
      </c>
      <c r="T50">
        <f>INDEX('AEO 2026 Table 5'!$E$6:$AD$102,MATCH($A50,'AEO 2026 Table 5'!$B$6:$B$102,0),MATCH(T$1,'AEO 2026 Table 5'!$E$5:$AD$5,0))</f>
        <v/>
      </c>
      <c r="U50">
        <f>INDEX('AEO 2026 Table 5'!$E$6:$AD$102,MATCH($A50,'AEO 2026 Table 5'!$B$6:$B$102,0),MATCH(U$1,'AEO 2026 Table 5'!$E$5:$AD$5,0))</f>
        <v/>
      </c>
      <c r="V50">
        <f>INDEX('AEO 2026 Table 5'!$E$6:$AD$102,MATCH($A50,'AEO 2026 Table 5'!$B$6:$B$102,0),MATCH(V$1,'AEO 2026 Table 5'!$E$5:$AD$5,0))</f>
        <v/>
      </c>
      <c r="W50">
        <f>INDEX('AEO 2026 Table 5'!$E$6:$AD$102,MATCH($A50,'AEO 2026 Table 5'!$B$6:$B$102,0),MATCH(W$1,'AEO 2026 Table 5'!$E$5:$AD$5,0))</f>
        <v/>
      </c>
      <c r="X50">
        <f>INDEX('AEO 2026 Table 5'!$E$6:$AD$102,MATCH($A50,'AEO 2026 Table 5'!$B$6:$B$102,0),MATCH(X$1,'AEO 2026 Table 5'!$E$5:$AD$5,0))</f>
        <v/>
      </c>
      <c r="Y50">
        <f>INDEX('AEO 2026 Table 5'!$E$6:$AD$102,MATCH($A50,'AEO 2026 Table 5'!$B$6:$B$102,0),MATCH(Y$1,'AEO 2026 Table 5'!$E$5:$AD$5,0))</f>
        <v/>
      </c>
      <c r="Z50">
        <f>INDEX('AEO 2026 Table 5'!$E$6:$AD$102,MATCH($A50,'AEO 2026 Table 5'!$B$6:$B$102,0),MATCH(Z$1,'AEO 2026 Table 5'!$E$5:$AD$5,0))</f>
        <v/>
      </c>
      <c r="AA50">
        <f>INDEX('AEO 2026 Table 5'!$E$6:$AD$102,MATCH($A50,'AEO 2026 Table 5'!$B$6:$B$102,0),MATCH(AA$1,'AEO 2026 Table 5'!$E$5:$AD$5,0))</f>
        <v/>
      </c>
      <c r="AB50">
        <f>INDEX('AEO 2026 Table 5'!$E$6:$AD$102,MATCH($A50,'AEO 2026 Table 5'!$B$6:$B$102,0),MATCH(AB$1,'AEO 2026 Table 5'!$E$5:$AD$5,0))</f>
        <v/>
      </c>
      <c r="AC50">
        <f>INDEX('AEO 2026 Table 5'!$E$6:$AD$102,MATCH($A50,'AEO 2026 Table 5'!$B$6:$B$102,0),MATCH(AC$1,'AEO 2026 Table 5'!$E$5:$AD$5,0))</f>
        <v/>
      </c>
      <c r="AD50">
        <f>INDEX('AEO 2026 Table 5'!$E$6:$AD$102,MATCH($A50,'AEO 2026 Table 5'!$B$6:$B$102,0),MATCH(AD$1,'AEO 2026 Table 5'!$E$5:$AD$5,0))</f>
        <v/>
      </c>
      <c r="AE50">
        <f>INDEX('AEO 2026 Table 5'!$E$6:$AD$102,MATCH($A50,'AEO 2026 Table 5'!$B$6:$B$102,0),MATCH(AE$1,'AEO 2026 Table 5'!$E$5:$AD$5,0))</f>
        <v/>
      </c>
      <c r="AF50">
        <f>INDEX('AEO 2026 Table 5'!$E$6:$AD$102,MATCH($A50,'AEO 2026 Table 5'!$B$6:$B$102,0),MATCH(AF$1,'AEO 2026 Table 5'!$E$5:$AD$5,0))</f>
        <v/>
      </c>
      <c r="AG50">
        <f>INDEX('AEO 2026 Table 5'!$E$6:$AD$102,MATCH($A50,'AEO 2026 Table 5'!$B$6:$B$102,0),MATCH(AG$1,'AEO 2026 Table 5'!$E$5:$AD$5,0))</f>
        <v/>
      </c>
    </row>
    <row r="51">
      <c r="A51" t="inlineStr">
        <is>
          <t>Commercial: Energy Consumption by Fuel: Generation for Own Use: Alternative Electricity and Transportation</t>
        </is>
      </c>
      <c r="B51" t="inlineStr">
        <is>
          <t>Commercial: Energy Consumption by Fuel: Generation for Own Use: High Zero-Carbon Technology Cost</t>
        </is>
      </c>
      <c r="C51">
        <f>D51&amp;"-"&amp;E51&amp;"-"&amp;F51</f>
        <v/>
      </c>
      <c r="D51" t="inlineStr">
        <is>
          <t>commercial</t>
        </is>
      </c>
      <c r="E51" t="inlineStr">
        <is>
          <t>NA</t>
        </is>
      </c>
      <c r="F51" s="1" t="inlineStr">
        <is>
          <t>electricity (BTU)</t>
        </is>
      </c>
      <c r="G51" s="44">
        <f>INDEX('AEO 2025 Table 5'!$F$8:$AG$102,MATCH('Crosswalk AEO to EPS Summary'!$B51,'AEO 2025 Table 5'!$B$8:$B$102,0),MATCH(G$1,'AEO 2025 Table 5'!$F$5:$AG$5,0))</f>
        <v/>
      </c>
      <c r="H51">
        <f>INDEX('AEO 2026 Table 5'!$E$6:$AD$102,MATCH($A51,'AEO 2026 Table 5'!$B$6:$B$102,0),MATCH(H$1,'AEO 2026 Table 5'!$E$5:$AD$5,0))</f>
        <v/>
      </c>
      <c r="I51">
        <f>INDEX('AEO 2026 Table 5'!$E$6:$AD$102,MATCH($A51,'AEO 2026 Table 5'!$B$6:$B$102,0),MATCH(I$1,'AEO 2026 Table 5'!$E$5:$AD$5,0))</f>
        <v/>
      </c>
      <c r="J51">
        <f>INDEX('AEO 2026 Table 5'!$E$6:$AD$102,MATCH($A51,'AEO 2026 Table 5'!$B$6:$B$102,0),MATCH(J$1,'AEO 2026 Table 5'!$E$5:$AD$5,0))</f>
        <v/>
      </c>
      <c r="K51">
        <f>INDEX('AEO 2026 Table 5'!$E$6:$AD$102,MATCH($A51,'AEO 2026 Table 5'!$B$6:$B$102,0),MATCH(K$1,'AEO 2026 Table 5'!$E$5:$AD$5,0))</f>
        <v/>
      </c>
      <c r="L51">
        <f>INDEX('AEO 2026 Table 5'!$E$6:$AD$102,MATCH($A51,'AEO 2026 Table 5'!$B$6:$B$102,0),MATCH(L$1,'AEO 2026 Table 5'!$E$5:$AD$5,0))</f>
        <v/>
      </c>
      <c r="M51">
        <f>INDEX('AEO 2026 Table 5'!$E$6:$AD$102,MATCH($A51,'AEO 2026 Table 5'!$B$6:$B$102,0),MATCH(M$1,'AEO 2026 Table 5'!$E$5:$AD$5,0))</f>
        <v/>
      </c>
      <c r="N51">
        <f>INDEX('AEO 2026 Table 5'!$E$6:$AD$102,MATCH($A51,'AEO 2026 Table 5'!$B$6:$B$102,0),MATCH(N$1,'AEO 2026 Table 5'!$E$5:$AD$5,0))</f>
        <v/>
      </c>
      <c r="O51">
        <f>INDEX('AEO 2026 Table 5'!$E$6:$AD$102,MATCH($A51,'AEO 2026 Table 5'!$B$6:$B$102,0),MATCH(O$1,'AEO 2026 Table 5'!$E$5:$AD$5,0))</f>
        <v/>
      </c>
      <c r="P51">
        <f>INDEX('AEO 2026 Table 5'!$E$6:$AD$102,MATCH($A51,'AEO 2026 Table 5'!$B$6:$B$102,0),MATCH(P$1,'AEO 2026 Table 5'!$E$5:$AD$5,0))</f>
        <v/>
      </c>
      <c r="Q51">
        <f>INDEX('AEO 2026 Table 5'!$E$6:$AD$102,MATCH($A51,'AEO 2026 Table 5'!$B$6:$B$102,0),MATCH(Q$1,'AEO 2026 Table 5'!$E$5:$AD$5,0))</f>
        <v/>
      </c>
      <c r="R51">
        <f>INDEX('AEO 2026 Table 5'!$E$6:$AD$102,MATCH($A51,'AEO 2026 Table 5'!$B$6:$B$102,0),MATCH(R$1,'AEO 2026 Table 5'!$E$5:$AD$5,0))</f>
        <v/>
      </c>
      <c r="S51">
        <f>INDEX('AEO 2026 Table 5'!$E$6:$AD$102,MATCH($A51,'AEO 2026 Table 5'!$B$6:$B$102,0),MATCH(S$1,'AEO 2026 Table 5'!$E$5:$AD$5,0))</f>
        <v/>
      </c>
      <c r="T51">
        <f>INDEX('AEO 2026 Table 5'!$E$6:$AD$102,MATCH($A51,'AEO 2026 Table 5'!$B$6:$B$102,0),MATCH(T$1,'AEO 2026 Table 5'!$E$5:$AD$5,0))</f>
        <v/>
      </c>
      <c r="U51">
        <f>INDEX('AEO 2026 Table 5'!$E$6:$AD$102,MATCH($A51,'AEO 2026 Table 5'!$B$6:$B$102,0),MATCH(U$1,'AEO 2026 Table 5'!$E$5:$AD$5,0))</f>
        <v/>
      </c>
      <c r="V51">
        <f>INDEX('AEO 2026 Table 5'!$E$6:$AD$102,MATCH($A51,'AEO 2026 Table 5'!$B$6:$B$102,0),MATCH(V$1,'AEO 2026 Table 5'!$E$5:$AD$5,0))</f>
        <v/>
      </c>
      <c r="W51">
        <f>INDEX('AEO 2026 Table 5'!$E$6:$AD$102,MATCH($A51,'AEO 2026 Table 5'!$B$6:$B$102,0),MATCH(W$1,'AEO 2026 Table 5'!$E$5:$AD$5,0))</f>
        <v/>
      </c>
      <c r="X51">
        <f>INDEX('AEO 2026 Table 5'!$E$6:$AD$102,MATCH($A51,'AEO 2026 Table 5'!$B$6:$B$102,0),MATCH(X$1,'AEO 2026 Table 5'!$E$5:$AD$5,0))</f>
        <v/>
      </c>
      <c r="Y51">
        <f>INDEX('AEO 2026 Table 5'!$E$6:$AD$102,MATCH($A51,'AEO 2026 Table 5'!$B$6:$B$102,0),MATCH(Y$1,'AEO 2026 Table 5'!$E$5:$AD$5,0))</f>
        <v/>
      </c>
      <c r="Z51">
        <f>INDEX('AEO 2026 Table 5'!$E$6:$AD$102,MATCH($A51,'AEO 2026 Table 5'!$B$6:$B$102,0),MATCH(Z$1,'AEO 2026 Table 5'!$E$5:$AD$5,0))</f>
        <v/>
      </c>
      <c r="AA51">
        <f>INDEX('AEO 2026 Table 5'!$E$6:$AD$102,MATCH($A51,'AEO 2026 Table 5'!$B$6:$B$102,0),MATCH(AA$1,'AEO 2026 Table 5'!$E$5:$AD$5,0))</f>
        <v/>
      </c>
      <c r="AB51">
        <f>INDEX('AEO 2026 Table 5'!$E$6:$AD$102,MATCH($A51,'AEO 2026 Table 5'!$B$6:$B$102,0),MATCH(AB$1,'AEO 2026 Table 5'!$E$5:$AD$5,0))</f>
        <v/>
      </c>
      <c r="AC51">
        <f>INDEX('AEO 2026 Table 5'!$E$6:$AD$102,MATCH($A51,'AEO 2026 Table 5'!$B$6:$B$102,0),MATCH(AC$1,'AEO 2026 Table 5'!$E$5:$AD$5,0))</f>
        <v/>
      </c>
      <c r="AD51">
        <f>INDEX('AEO 2026 Table 5'!$E$6:$AD$102,MATCH($A51,'AEO 2026 Table 5'!$B$6:$B$102,0),MATCH(AD$1,'AEO 2026 Table 5'!$E$5:$AD$5,0))</f>
        <v/>
      </c>
      <c r="AE51">
        <f>INDEX('AEO 2026 Table 5'!$E$6:$AD$102,MATCH($A51,'AEO 2026 Table 5'!$B$6:$B$102,0),MATCH(AE$1,'AEO 2026 Table 5'!$E$5:$AD$5,0))</f>
        <v/>
      </c>
      <c r="AF51">
        <f>INDEX('AEO 2026 Table 5'!$E$6:$AD$102,MATCH($A51,'AEO 2026 Table 5'!$B$6:$B$102,0),MATCH(AF$1,'AEO 2026 Table 5'!$E$5:$AD$5,0))</f>
        <v/>
      </c>
      <c r="AG51">
        <f>INDEX('AEO 2026 Table 5'!$E$6:$AD$102,MATCH($A51,'AEO 2026 Table 5'!$B$6:$B$102,0),MATCH(AG$1,'AEO 2026 Table 5'!$E$5:$AD$5,0))</f>
        <v/>
      </c>
    </row>
    <row r="52">
      <c r="A52" t="inlineStr">
        <is>
          <t>Commercial: Energy Consumption by Fuel: Purchased Electricity: Alternative Electricity and Transportation</t>
        </is>
      </c>
      <c r="B52" t="inlineStr">
        <is>
          <t>Commercial: Energy Consumption by Fuel: Purchased Electricity: High Zero-Carbon Technology Cost</t>
        </is>
      </c>
      <c r="C52">
        <f>D52&amp;"-"&amp;E52&amp;"-"&amp;F52</f>
        <v/>
      </c>
      <c r="D52" t="inlineStr">
        <is>
          <t>commercial</t>
        </is>
      </c>
      <c r="E52" t="inlineStr">
        <is>
          <t>total</t>
        </is>
      </c>
      <c r="F52" s="1" t="inlineStr">
        <is>
          <t>electricity (BTU)</t>
        </is>
      </c>
      <c r="G52" s="44">
        <f>INDEX('AEO 2025 Table 5'!$F$8:$AG$102,MATCH('Crosswalk AEO to EPS Summary'!$B52,'AEO 2025 Table 5'!$B$8:$B$102,0),MATCH(G$1,'AEO 2025 Table 5'!$F$5:$AG$5,0))</f>
        <v/>
      </c>
      <c r="H52">
        <f>INDEX('AEO 2026 Table 5'!$E$6:$AD$102,MATCH($A52,'AEO 2026 Table 5'!$B$6:$B$102,0),MATCH(H$1,'AEO 2026 Table 5'!$E$5:$AD$5,0))</f>
        <v/>
      </c>
      <c r="I52">
        <f>INDEX('AEO 2026 Table 5'!$E$6:$AD$102,MATCH($A52,'AEO 2026 Table 5'!$B$6:$B$102,0),MATCH(I$1,'AEO 2026 Table 5'!$E$5:$AD$5,0))</f>
        <v/>
      </c>
      <c r="J52">
        <f>INDEX('AEO 2026 Table 5'!$E$6:$AD$102,MATCH($A52,'AEO 2026 Table 5'!$B$6:$B$102,0),MATCH(J$1,'AEO 2026 Table 5'!$E$5:$AD$5,0))</f>
        <v/>
      </c>
      <c r="K52">
        <f>INDEX('AEO 2026 Table 5'!$E$6:$AD$102,MATCH($A52,'AEO 2026 Table 5'!$B$6:$B$102,0),MATCH(K$1,'AEO 2026 Table 5'!$E$5:$AD$5,0))</f>
        <v/>
      </c>
      <c r="L52">
        <f>INDEX('AEO 2026 Table 5'!$E$6:$AD$102,MATCH($A52,'AEO 2026 Table 5'!$B$6:$B$102,0),MATCH(L$1,'AEO 2026 Table 5'!$E$5:$AD$5,0))</f>
        <v/>
      </c>
      <c r="M52">
        <f>INDEX('AEO 2026 Table 5'!$E$6:$AD$102,MATCH($A52,'AEO 2026 Table 5'!$B$6:$B$102,0),MATCH(M$1,'AEO 2026 Table 5'!$E$5:$AD$5,0))</f>
        <v/>
      </c>
      <c r="N52">
        <f>INDEX('AEO 2026 Table 5'!$E$6:$AD$102,MATCH($A52,'AEO 2026 Table 5'!$B$6:$B$102,0),MATCH(N$1,'AEO 2026 Table 5'!$E$5:$AD$5,0))</f>
        <v/>
      </c>
      <c r="O52">
        <f>INDEX('AEO 2026 Table 5'!$E$6:$AD$102,MATCH($A52,'AEO 2026 Table 5'!$B$6:$B$102,0),MATCH(O$1,'AEO 2026 Table 5'!$E$5:$AD$5,0))</f>
        <v/>
      </c>
      <c r="P52">
        <f>INDEX('AEO 2026 Table 5'!$E$6:$AD$102,MATCH($A52,'AEO 2026 Table 5'!$B$6:$B$102,0),MATCH(P$1,'AEO 2026 Table 5'!$E$5:$AD$5,0))</f>
        <v/>
      </c>
      <c r="Q52">
        <f>INDEX('AEO 2026 Table 5'!$E$6:$AD$102,MATCH($A52,'AEO 2026 Table 5'!$B$6:$B$102,0),MATCH(Q$1,'AEO 2026 Table 5'!$E$5:$AD$5,0))</f>
        <v/>
      </c>
      <c r="R52">
        <f>INDEX('AEO 2026 Table 5'!$E$6:$AD$102,MATCH($A52,'AEO 2026 Table 5'!$B$6:$B$102,0),MATCH(R$1,'AEO 2026 Table 5'!$E$5:$AD$5,0))</f>
        <v/>
      </c>
      <c r="S52">
        <f>INDEX('AEO 2026 Table 5'!$E$6:$AD$102,MATCH($A52,'AEO 2026 Table 5'!$B$6:$B$102,0),MATCH(S$1,'AEO 2026 Table 5'!$E$5:$AD$5,0))</f>
        <v/>
      </c>
      <c r="T52">
        <f>INDEX('AEO 2026 Table 5'!$E$6:$AD$102,MATCH($A52,'AEO 2026 Table 5'!$B$6:$B$102,0),MATCH(T$1,'AEO 2026 Table 5'!$E$5:$AD$5,0))</f>
        <v/>
      </c>
      <c r="U52">
        <f>INDEX('AEO 2026 Table 5'!$E$6:$AD$102,MATCH($A52,'AEO 2026 Table 5'!$B$6:$B$102,0),MATCH(U$1,'AEO 2026 Table 5'!$E$5:$AD$5,0))</f>
        <v/>
      </c>
      <c r="V52">
        <f>INDEX('AEO 2026 Table 5'!$E$6:$AD$102,MATCH($A52,'AEO 2026 Table 5'!$B$6:$B$102,0),MATCH(V$1,'AEO 2026 Table 5'!$E$5:$AD$5,0))</f>
        <v/>
      </c>
      <c r="W52">
        <f>INDEX('AEO 2026 Table 5'!$E$6:$AD$102,MATCH($A52,'AEO 2026 Table 5'!$B$6:$B$102,0),MATCH(W$1,'AEO 2026 Table 5'!$E$5:$AD$5,0))</f>
        <v/>
      </c>
      <c r="X52">
        <f>INDEX('AEO 2026 Table 5'!$E$6:$AD$102,MATCH($A52,'AEO 2026 Table 5'!$B$6:$B$102,0),MATCH(X$1,'AEO 2026 Table 5'!$E$5:$AD$5,0))</f>
        <v/>
      </c>
      <c r="Y52">
        <f>INDEX('AEO 2026 Table 5'!$E$6:$AD$102,MATCH($A52,'AEO 2026 Table 5'!$B$6:$B$102,0),MATCH(Y$1,'AEO 2026 Table 5'!$E$5:$AD$5,0))</f>
        <v/>
      </c>
      <c r="Z52">
        <f>INDEX('AEO 2026 Table 5'!$E$6:$AD$102,MATCH($A52,'AEO 2026 Table 5'!$B$6:$B$102,0),MATCH(Z$1,'AEO 2026 Table 5'!$E$5:$AD$5,0))</f>
        <v/>
      </c>
      <c r="AA52">
        <f>INDEX('AEO 2026 Table 5'!$E$6:$AD$102,MATCH($A52,'AEO 2026 Table 5'!$B$6:$B$102,0),MATCH(AA$1,'AEO 2026 Table 5'!$E$5:$AD$5,0))</f>
        <v/>
      </c>
      <c r="AB52">
        <f>INDEX('AEO 2026 Table 5'!$E$6:$AD$102,MATCH($A52,'AEO 2026 Table 5'!$B$6:$B$102,0),MATCH(AB$1,'AEO 2026 Table 5'!$E$5:$AD$5,0))</f>
        <v/>
      </c>
      <c r="AC52">
        <f>INDEX('AEO 2026 Table 5'!$E$6:$AD$102,MATCH($A52,'AEO 2026 Table 5'!$B$6:$B$102,0),MATCH(AC$1,'AEO 2026 Table 5'!$E$5:$AD$5,0))</f>
        <v/>
      </c>
      <c r="AD52">
        <f>INDEX('AEO 2026 Table 5'!$E$6:$AD$102,MATCH($A52,'AEO 2026 Table 5'!$B$6:$B$102,0),MATCH(AD$1,'AEO 2026 Table 5'!$E$5:$AD$5,0))</f>
        <v/>
      </c>
      <c r="AE52">
        <f>INDEX('AEO 2026 Table 5'!$E$6:$AD$102,MATCH($A52,'AEO 2026 Table 5'!$B$6:$B$102,0),MATCH(AE$1,'AEO 2026 Table 5'!$E$5:$AD$5,0))</f>
        <v/>
      </c>
      <c r="AF52">
        <f>INDEX('AEO 2026 Table 5'!$E$6:$AD$102,MATCH($A52,'AEO 2026 Table 5'!$B$6:$B$102,0),MATCH(AF$1,'AEO 2026 Table 5'!$E$5:$AD$5,0))</f>
        <v/>
      </c>
      <c r="AG52">
        <f>INDEX('AEO 2026 Table 5'!$E$6:$AD$102,MATCH($A52,'AEO 2026 Table 5'!$B$6:$B$102,0),MATCH(AG$1,'AEO 2026 Table 5'!$E$5:$AD$5,0))</f>
        <v/>
      </c>
    </row>
    <row r="53">
      <c r="A53" t="inlineStr">
        <is>
          <t>Commercial: Natural Gas: Space Heating: Alternative Electricity and Transportation</t>
        </is>
      </c>
      <c r="B53" t="inlineStr">
        <is>
          <t>Commercial: Natural Gas: Space Heating: High Zero-Carbon Technology Cost</t>
        </is>
      </c>
      <c r="C53">
        <f>D53&amp;"-"&amp;E53&amp;"-"&amp;F53</f>
        <v/>
      </c>
      <c r="D53" t="inlineStr">
        <is>
          <t>commercial</t>
        </is>
      </c>
      <c r="E53" t="inlineStr">
        <is>
          <t>heating</t>
        </is>
      </c>
      <c r="F53" s="1" t="inlineStr">
        <is>
          <t>natural gas (BTU)</t>
        </is>
      </c>
      <c r="G53" s="44">
        <f>INDEX('AEO 2025 Table 5'!$F$8:$AG$102,MATCH('Crosswalk AEO to EPS Summary'!$B53,'AEO 2025 Table 5'!$B$8:$B$102,0),MATCH(G$1,'AEO 2025 Table 5'!$F$5:$AG$5,0))</f>
        <v/>
      </c>
      <c r="H53">
        <f>INDEX('AEO 2026 Table 5'!$E$6:$AD$102,MATCH($A53,'AEO 2026 Table 5'!$B$6:$B$102,0),MATCH(H$1,'AEO 2026 Table 5'!$E$5:$AD$5,0))</f>
        <v/>
      </c>
      <c r="I53">
        <f>INDEX('AEO 2026 Table 5'!$E$6:$AD$102,MATCH($A53,'AEO 2026 Table 5'!$B$6:$B$102,0),MATCH(I$1,'AEO 2026 Table 5'!$E$5:$AD$5,0))</f>
        <v/>
      </c>
      <c r="J53">
        <f>INDEX('AEO 2026 Table 5'!$E$6:$AD$102,MATCH($A53,'AEO 2026 Table 5'!$B$6:$B$102,0),MATCH(J$1,'AEO 2026 Table 5'!$E$5:$AD$5,0))</f>
        <v/>
      </c>
      <c r="K53">
        <f>INDEX('AEO 2026 Table 5'!$E$6:$AD$102,MATCH($A53,'AEO 2026 Table 5'!$B$6:$B$102,0),MATCH(K$1,'AEO 2026 Table 5'!$E$5:$AD$5,0))</f>
        <v/>
      </c>
      <c r="L53">
        <f>INDEX('AEO 2026 Table 5'!$E$6:$AD$102,MATCH($A53,'AEO 2026 Table 5'!$B$6:$B$102,0),MATCH(L$1,'AEO 2026 Table 5'!$E$5:$AD$5,0))</f>
        <v/>
      </c>
      <c r="M53">
        <f>INDEX('AEO 2026 Table 5'!$E$6:$AD$102,MATCH($A53,'AEO 2026 Table 5'!$B$6:$B$102,0),MATCH(M$1,'AEO 2026 Table 5'!$E$5:$AD$5,0))</f>
        <v/>
      </c>
      <c r="N53">
        <f>INDEX('AEO 2026 Table 5'!$E$6:$AD$102,MATCH($A53,'AEO 2026 Table 5'!$B$6:$B$102,0),MATCH(N$1,'AEO 2026 Table 5'!$E$5:$AD$5,0))</f>
        <v/>
      </c>
      <c r="O53">
        <f>INDEX('AEO 2026 Table 5'!$E$6:$AD$102,MATCH($A53,'AEO 2026 Table 5'!$B$6:$B$102,0),MATCH(O$1,'AEO 2026 Table 5'!$E$5:$AD$5,0))</f>
        <v/>
      </c>
      <c r="P53">
        <f>INDEX('AEO 2026 Table 5'!$E$6:$AD$102,MATCH($A53,'AEO 2026 Table 5'!$B$6:$B$102,0),MATCH(P$1,'AEO 2026 Table 5'!$E$5:$AD$5,0))</f>
        <v/>
      </c>
      <c r="Q53">
        <f>INDEX('AEO 2026 Table 5'!$E$6:$AD$102,MATCH($A53,'AEO 2026 Table 5'!$B$6:$B$102,0),MATCH(Q$1,'AEO 2026 Table 5'!$E$5:$AD$5,0))</f>
        <v/>
      </c>
      <c r="R53">
        <f>INDEX('AEO 2026 Table 5'!$E$6:$AD$102,MATCH($A53,'AEO 2026 Table 5'!$B$6:$B$102,0),MATCH(R$1,'AEO 2026 Table 5'!$E$5:$AD$5,0))</f>
        <v/>
      </c>
      <c r="S53">
        <f>INDEX('AEO 2026 Table 5'!$E$6:$AD$102,MATCH($A53,'AEO 2026 Table 5'!$B$6:$B$102,0),MATCH(S$1,'AEO 2026 Table 5'!$E$5:$AD$5,0))</f>
        <v/>
      </c>
      <c r="T53">
        <f>INDEX('AEO 2026 Table 5'!$E$6:$AD$102,MATCH($A53,'AEO 2026 Table 5'!$B$6:$B$102,0),MATCH(T$1,'AEO 2026 Table 5'!$E$5:$AD$5,0))</f>
        <v/>
      </c>
      <c r="U53">
        <f>INDEX('AEO 2026 Table 5'!$E$6:$AD$102,MATCH($A53,'AEO 2026 Table 5'!$B$6:$B$102,0),MATCH(U$1,'AEO 2026 Table 5'!$E$5:$AD$5,0))</f>
        <v/>
      </c>
      <c r="V53">
        <f>INDEX('AEO 2026 Table 5'!$E$6:$AD$102,MATCH($A53,'AEO 2026 Table 5'!$B$6:$B$102,0),MATCH(V$1,'AEO 2026 Table 5'!$E$5:$AD$5,0))</f>
        <v/>
      </c>
      <c r="W53">
        <f>INDEX('AEO 2026 Table 5'!$E$6:$AD$102,MATCH($A53,'AEO 2026 Table 5'!$B$6:$B$102,0),MATCH(W$1,'AEO 2026 Table 5'!$E$5:$AD$5,0))</f>
        <v/>
      </c>
      <c r="X53">
        <f>INDEX('AEO 2026 Table 5'!$E$6:$AD$102,MATCH($A53,'AEO 2026 Table 5'!$B$6:$B$102,0),MATCH(X$1,'AEO 2026 Table 5'!$E$5:$AD$5,0))</f>
        <v/>
      </c>
      <c r="Y53">
        <f>INDEX('AEO 2026 Table 5'!$E$6:$AD$102,MATCH($A53,'AEO 2026 Table 5'!$B$6:$B$102,0),MATCH(Y$1,'AEO 2026 Table 5'!$E$5:$AD$5,0))</f>
        <v/>
      </c>
      <c r="Z53">
        <f>INDEX('AEO 2026 Table 5'!$E$6:$AD$102,MATCH($A53,'AEO 2026 Table 5'!$B$6:$B$102,0),MATCH(Z$1,'AEO 2026 Table 5'!$E$5:$AD$5,0))</f>
        <v/>
      </c>
      <c r="AA53">
        <f>INDEX('AEO 2026 Table 5'!$E$6:$AD$102,MATCH($A53,'AEO 2026 Table 5'!$B$6:$B$102,0),MATCH(AA$1,'AEO 2026 Table 5'!$E$5:$AD$5,0))</f>
        <v/>
      </c>
      <c r="AB53">
        <f>INDEX('AEO 2026 Table 5'!$E$6:$AD$102,MATCH($A53,'AEO 2026 Table 5'!$B$6:$B$102,0),MATCH(AB$1,'AEO 2026 Table 5'!$E$5:$AD$5,0))</f>
        <v/>
      </c>
      <c r="AC53">
        <f>INDEX('AEO 2026 Table 5'!$E$6:$AD$102,MATCH($A53,'AEO 2026 Table 5'!$B$6:$B$102,0),MATCH(AC$1,'AEO 2026 Table 5'!$E$5:$AD$5,0))</f>
        <v/>
      </c>
      <c r="AD53">
        <f>INDEX('AEO 2026 Table 5'!$E$6:$AD$102,MATCH($A53,'AEO 2026 Table 5'!$B$6:$B$102,0),MATCH(AD$1,'AEO 2026 Table 5'!$E$5:$AD$5,0))</f>
        <v/>
      </c>
      <c r="AE53">
        <f>INDEX('AEO 2026 Table 5'!$E$6:$AD$102,MATCH($A53,'AEO 2026 Table 5'!$B$6:$B$102,0),MATCH(AE$1,'AEO 2026 Table 5'!$E$5:$AD$5,0))</f>
        <v/>
      </c>
      <c r="AF53">
        <f>INDEX('AEO 2026 Table 5'!$E$6:$AD$102,MATCH($A53,'AEO 2026 Table 5'!$B$6:$B$102,0),MATCH(AF$1,'AEO 2026 Table 5'!$E$5:$AD$5,0))</f>
        <v/>
      </c>
      <c r="AG53">
        <f>INDEX('AEO 2026 Table 5'!$E$6:$AD$102,MATCH($A53,'AEO 2026 Table 5'!$B$6:$B$102,0),MATCH(AG$1,'AEO 2026 Table 5'!$E$5:$AD$5,0))</f>
        <v/>
      </c>
    </row>
    <row r="54">
      <c r="A54" t="inlineStr">
        <is>
          <t>Commercial: Natural Gas: Space Cooling: Alternative Electricity and Transportation</t>
        </is>
      </c>
      <c r="B54" t="inlineStr">
        <is>
          <t>Commercial: Natural Gas: Space Cooling: High Zero-Carbon Technology Cost</t>
        </is>
      </c>
      <c r="C54">
        <f>D54&amp;"-"&amp;E54&amp;"-"&amp;F54</f>
        <v/>
      </c>
      <c r="D54" t="inlineStr">
        <is>
          <t>commercial</t>
        </is>
      </c>
      <c r="E54" t="inlineStr">
        <is>
          <t>cooling</t>
        </is>
      </c>
      <c r="F54" s="1" t="inlineStr">
        <is>
          <t>natural gas (BTU)</t>
        </is>
      </c>
      <c r="G54" s="44">
        <f>INDEX('AEO 2025 Table 5'!$F$8:$AG$102,MATCH('Crosswalk AEO to EPS Summary'!$B54,'AEO 2025 Table 5'!$B$8:$B$102,0),MATCH(G$1,'AEO 2025 Table 5'!$F$5:$AG$5,0))</f>
        <v/>
      </c>
      <c r="H54">
        <f>INDEX('AEO 2026 Table 5'!$E$6:$AD$102,MATCH($A54,'AEO 2026 Table 5'!$B$6:$B$102,0),MATCH(H$1,'AEO 2026 Table 5'!$E$5:$AD$5,0))</f>
        <v/>
      </c>
      <c r="I54">
        <f>INDEX('AEO 2026 Table 5'!$E$6:$AD$102,MATCH($A54,'AEO 2026 Table 5'!$B$6:$B$102,0),MATCH(I$1,'AEO 2026 Table 5'!$E$5:$AD$5,0))</f>
        <v/>
      </c>
      <c r="J54">
        <f>INDEX('AEO 2026 Table 5'!$E$6:$AD$102,MATCH($A54,'AEO 2026 Table 5'!$B$6:$B$102,0),MATCH(J$1,'AEO 2026 Table 5'!$E$5:$AD$5,0))</f>
        <v/>
      </c>
      <c r="K54">
        <f>INDEX('AEO 2026 Table 5'!$E$6:$AD$102,MATCH($A54,'AEO 2026 Table 5'!$B$6:$B$102,0),MATCH(K$1,'AEO 2026 Table 5'!$E$5:$AD$5,0))</f>
        <v/>
      </c>
      <c r="L54">
        <f>INDEX('AEO 2026 Table 5'!$E$6:$AD$102,MATCH($A54,'AEO 2026 Table 5'!$B$6:$B$102,0),MATCH(L$1,'AEO 2026 Table 5'!$E$5:$AD$5,0))</f>
        <v/>
      </c>
      <c r="M54">
        <f>INDEX('AEO 2026 Table 5'!$E$6:$AD$102,MATCH($A54,'AEO 2026 Table 5'!$B$6:$B$102,0),MATCH(M$1,'AEO 2026 Table 5'!$E$5:$AD$5,0))</f>
        <v/>
      </c>
      <c r="N54">
        <f>INDEX('AEO 2026 Table 5'!$E$6:$AD$102,MATCH($A54,'AEO 2026 Table 5'!$B$6:$B$102,0),MATCH(N$1,'AEO 2026 Table 5'!$E$5:$AD$5,0))</f>
        <v/>
      </c>
      <c r="O54">
        <f>INDEX('AEO 2026 Table 5'!$E$6:$AD$102,MATCH($A54,'AEO 2026 Table 5'!$B$6:$B$102,0),MATCH(O$1,'AEO 2026 Table 5'!$E$5:$AD$5,0))</f>
        <v/>
      </c>
      <c r="P54">
        <f>INDEX('AEO 2026 Table 5'!$E$6:$AD$102,MATCH($A54,'AEO 2026 Table 5'!$B$6:$B$102,0),MATCH(P$1,'AEO 2026 Table 5'!$E$5:$AD$5,0))</f>
        <v/>
      </c>
      <c r="Q54">
        <f>INDEX('AEO 2026 Table 5'!$E$6:$AD$102,MATCH($A54,'AEO 2026 Table 5'!$B$6:$B$102,0),MATCH(Q$1,'AEO 2026 Table 5'!$E$5:$AD$5,0))</f>
        <v/>
      </c>
      <c r="R54">
        <f>INDEX('AEO 2026 Table 5'!$E$6:$AD$102,MATCH($A54,'AEO 2026 Table 5'!$B$6:$B$102,0),MATCH(R$1,'AEO 2026 Table 5'!$E$5:$AD$5,0))</f>
        <v/>
      </c>
      <c r="S54">
        <f>INDEX('AEO 2026 Table 5'!$E$6:$AD$102,MATCH($A54,'AEO 2026 Table 5'!$B$6:$B$102,0),MATCH(S$1,'AEO 2026 Table 5'!$E$5:$AD$5,0))</f>
        <v/>
      </c>
      <c r="T54">
        <f>INDEX('AEO 2026 Table 5'!$E$6:$AD$102,MATCH($A54,'AEO 2026 Table 5'!$B$6:$B$102,0),MATCH(T$1,'AEO 2026 Table 5'!$E$5:$AD$5,0))</f>
        <v/>
      </c>
      <c r="U54">
        <f>INDEX('AEO 2026 Table 5'!$E$6:$AD$102,MATCH($A54,'AEO 2026 Table 5'!$B$6:$B$102,0),MATCH(U$1,'AEO 2026 Table 5'!$E$5:$AD$5,0))</f>
        <v/>
      </c>
      <c r="V54">
        <f>INDEX('AEO 2026 Table 5'!$E$6:$AD$102,MATCH($A54,'AEO 2026 Table 5'!$B$6:$B$102,0),MATCH(V$1,'AEO 2026 Table 5'!$E$5:$AD$5,0))</f>
        <v/>
      </c>
      <c r="W54">
        <f>INDEX('AEO 2026 Table 5'!$E$6:$AD$102,MATCH($A54,'AEO 2026 Table 5'!$B$6:$B$102,0),MATCH(W$1,'AEO 2026 Table 5'!$E$5:$AD$5,0))</f>
        <v/>
      </c>
      <c r="X54">
        <f>INDEX('AEO 2026 Table 5'!$E$6:$AD$102,MATCH($A54,'AEO 2026 Table 5'!$B$6:$B$102,0),MATCH(X$1,'AEO 2026 Table 5'!$E$5:$AD$5,0))</f>
        <v/>
      </c>
      <c r="Y54">
        <f>INDEX('AEO 2026 Table 5'!$E$6:$AD$102,MATCH($A54,'AEO 2026 Table 5'!$B$6:$B$102,0),MATCH(Y$1,'AEO 2026 Table 5'!$E$5:$AD$5,0))</f>
        <v/>
      </c>
      <c r="Z54">
        <f>INDEX('AEO 2026 Table 5'!$E$6:$AD$102,MATCH($A54,'AEO 2026 Table 5'!$B$6:$B$102,0),MATCH(Z$1,'AEO 2026 Table 5'!$E$5:$AD$5,0))</f>
        <v/>
      </c>
      <c r="AA54">
        <f>INDEX('AEO 2026 Table 5'!$E$6:$AD$102,MATCH($A54,'AEO 2026 Table 5'!$B$6:$B$102,0),MATCH(AA$1,'AEO 2026 Table 5'!$E$5:$AD$5,0))</f>
        <v/>
      </c>
      <c r="AB54">
        <f>INDEX('AEO 2026 Table 5'!$E$6:$AD$102,MATCH($A54,'AEO 2026 Table 5'!$B$6:$B$102,0),MATCH(AB$1,'AEO 2026 Table 5'!$E$5:$AD$5,0))</f>
        <v/>
      </c>
      <c r="AC54">
        <f>INDEX('AEO 2026 Table 5'!$E$6:$AD$102,MATCH($A54,'AEO 2026 Table 5'!$B$6:$B$102,0),MATCH(AC$1,'AEO 2026 Table 5'!$E$5:$AD$5,0))</f>
        <v/>
      </c>
      <c r="AD54">
        <f>INDEX('AEO 2026 Table 5'!$E$6:$AD$102,MATCH($A54,'AEO 2026 Table 5'!$B$6:$B$102,0),MATCH(AD$1,'AEO 2026 Table 5'!$E$5:$AD$5,0))</f>
        <v/>
      </c>
      <c r="AE54">
        <f>INDEX('AEO 2026 Table 5'!$E$6:$AD$102,MATCH($A54,'AEO 2026 Table 5'!$B$6:$B$102,0),MATCH(AE$1,'AEO 2026 Table 5'!$E$5:$AD$5,0))</f>
        <v/>
      </c>
      <c r="AF54">
        <f>INDEX('AEO 2026 Table 5'!$E$6:$AD$102,MATCH($A54,'AEO 2026 Table 5'!$B$6:$B$102,0),MATCH(AF$1,'AEO 2026 Table 5'!$E$5:$AD$5,0))</f>
        <v/>
      </c>
      <c r="AG54">
        <f>INDEX('AEO 2026 Table 5'!$E$6:$AD$102,MATCH($A54,'AEO 2026 Table 5'!$B$6:$B$102,0),MATCH(AG$1,'AEO 2026 Table 5'!$E$5:$AD$5,0))</f>
        <v/>
      </c>
    </row>
    <row r="55">
      <c r="A55" t="inlineStr">
        <is>
          <t>Commercial: Natural Gas: Water Heating: Alternative Electricity and Transportation</t>
        </is>
      </c>
      <c r="B55" t="inlineStr">
        <is>
          <t>Commercial: Natural Gas: Water Heating: High Zero-Carbon Technology Cost</t>
        </is>
      </c>
      <c r="C55">
        <f>D55&amp;"-"&amp;E55&amp;"-"&amp;F55</f>
        <v/>
      </c>
      <c r="D55" t="inlineStr">
        <is>
          <t>commercial</t>
        </is>
      </c>
      <c r="E55" t="inlineStr">
        <is>
          <t>appliances</t>
        </is>
      </c>
      <c r="F55" s="1" t="inlineStr">
        <is>
          <t>natural gas (BTU)</t>
        </is>
      </c>
      <c r="G55" s="44">
        <f>INDEX('AEO 2025 Table 5'!$F$8:$AG$102,MATCH('Crosswalk AEO to EPS Summary'!$B55,'AEO 2025 Table 5'!$B$8:$B$102,0),MATCH(G$1,'AEO 2025 Table 5'!$F$5:$AG$5,0))</f>
        <v/>
      </c>
      <c r="H55">
        <f>INDEX('AEO 2026 Table 5'!$E$6:$AD$102,MATCH($A55,'AEO 2026 Table 5'!$B$6:$B$102,0),MATCH(H$1,'AEO 2026 Table 5'!$E$5:$AD$5,0))</f>
        <v/>
      </c>
      <c r="I55">
        <f>INDEX('AEO 2026 Table 5'!$E$6:$AD$102,MATCH($A55,'AEO 2026 Table 5'!$B$6:$B$102,0),MATCH(I$1,'AEO 2026 Table 5'!$E$5:$AD$5,0))</f>
        <v/>
      </c>
      <c r="J55">
        <f>INDEX('AEO 2026 Table 5'!$E$6:$AD$102,MATCH($A55,'AEO 2026 Table 5'!$B$6:$B$102,0),MATCH(J$1,'AEO 2026 Table 5'!$E$5:$AD$5,0))</f>
        <v/>
      </c>
      <c r="K55">
        <f>INDEX('AEO 2026 Table 5'!$E$6:$AD$102,MATCH($A55,'AEO 2026 Table 5'!$B$6:$B$102,0),MATCH(K$1,'AEO 2026 Table 5'!$E$5:$AD$5,0))</f>
        <v/>
      </c>
      <c r="L55">
        <f>INDEX('AEO 2026 Table 5'!$E$6:$AD$102,MATCH($A55,'AEO 2026 Table 5'!$B$6:$B$102,0),MATCH(L$1,'AEO 2026 Table 5'!$E$5:$AD$5,0))</f>
        <v/>
      </c>
      <c r="M55">
        <f>INDEX('AEO 2026 Table 5'!$E$6:$AD$102,MATCH($A55,'AEO 2026 Table 5'!$B$6:$B$102,0),MATCH(M$1,'AEO 2026 Table 5'!$E$5:$AD$5,0))</f>
        <v/>
      </c>
      <c r="N55">
        <f>INDEX('AEO 2026 Table 5'!$E$6:$AD$102,MATCH($A55,'AEO 2026 Table 5'!$B$6:$B$102,0),MATCH(N$1,'AEO 2026 Table 5'!$E$5:$AD$5,0))</f>
        <v/>
      </c>
      <c r="O55">
        <f>INDEX('AEO 2026 Table 5'!$E$6:$AD$102,MATCH($A55,'AEO 2026 Table 5'!$B$6:$B$102,0),MATCH(O$1,'AEO 2026 Table 5'!$E$5:$AD$5,0))</f>
        <v/>
      </c>
      <c r="P55">
        <f>INDEX('AEO 2026 Table 5'!$E$6:$AD$102,MATCH($A55,'AEO 2026 Table 5'!$B$6:$B$102,0),MATCH(P$1,'AEO 2026 Table 5'!$E$5:$AD$5,0))</f>
        <v/>
      </c>
      <c r="Q55">
        <f>INDEX('AEO 2026 Table 5'!$E$6:$AD$102,MATCH($A55,'AEO 2026 Table 5'!$B$6:$B$102,0),MATCH(Q$1,'AEO 2026 Table 5'!$E$5:$AD$5,0))</f>
        <v/>
      </c>
      <c r="R55">
        <f>INDEX('AEO 2026 Table 5'!$E$6:$AD$102,MATCH($A55,'AEO 2026 Table 5'!$B$6:$B$102,0),MATCH(R$1,'AEO 2026 Table 5'!$E$5:$AD$5,0))</f>
        <v/>
      </c>
      <c r="S55">
        <f>INDEX('AEO 2026 Table 5'!$E$6:$AD$102,MATCH($A55,'AEO 2026 Table 5'!$B$6:$B$102,0),MATCH(S$1,'AEO 2026 Table 5'!$E$5:$AD$5,0))</f>
        <v/>
      </c>
      <c r="T55">
        <f>INDEX('AEO 2026 Table 5'!$E$6:$AD$102,MATCH($A55,'AEO 2026 Table 5'!$B$6:$B$102,0),MATCH(T$1,'AEO 2026 Table 5'!$E$5:$AD$5,0))</f>
        <v/>
      </c>
      <c r="U55">
        <f>INDEX('AEO 2026 Table 5'!$E$6:$AD$102,MATCH($A55,'AEO 2026 Table 5'!$B$6:$B$102,0),MATCH(U$1,'AEO 2026 Table 5'!$E$5:$AD$5,0))</f>
        <v/>
      </c>
      <c r="V55">
        <f>INDEX('AEO 2026 Table 5'!$E$6:$AD$102,MATCH($A55,'AEO 2026 Table 5'!$B$6:$B$102,0),MATCH(V$1,'AEO 2026 Table 5'!$E$5:$AD$5,0))</f>
        <v/>
      </c>
      <c r="W55">
        <f>INDEX('AEO 2026 Table 5'!$E$6:$AD$102,MATCH($A55,'AEO 2026 Table 5'!$B$6:$B$102,0),MATCH(W$1,'AEO 2026 Table 5'!$E$5:$AD$5,0))</f>
        <v/>
      </c>
      <c r="X55">
        <f>INDEX('AEO 2026 Table 5'!$E$6:$AD$102,MATCH($A55,'AEO 2026 Table 5'!$B$6:$B$102,0),MATCH(X$1,'AEO 2026 Table 5'!$E$5:$AD$5,0))</f>
        <v/>
      </c>
      <c r="Y55">
        <f>INDEX('AEO 2026 Table 5'!$E$6:$AD$102,MATCH($A55,'AEO 2026 Table 5'!$B$6:$B$102,0),MATCH(Y$1,'AEO 2026 Table 5'!$E$5:$AD$5,0))</f>
        <v/>
      </c>
      <c r="Z55">
        <f>INDEX('AEO 2026 Table 5'!$E$6:$AD$102,MATCH($A55,'AEO 2026 Table 5'!$B$6:$B$102,0),MATCH(Z$1,'AEO 2026 Table 5'!$E$5:$AD$5,0))</f>
        <v/>
      </c>
      <c r="AA55">
        <f>INDEX('AEO 2026 Table 5'!$E$6:$AD$102,MATCH($A55,'AEO 2026 Table 5'!$B$6:$B$102,0),MATCH(AA$1,'AEO 2026 Table 5'!$E$5:$AD$5,0))</f>
        <v/>
      </c>
      <c r="AB55">
        <f>INDEX('AEO 2026 Table 5'!$E$6:$AD$102,MATCH($A55,'AEO 2026 Table 5'!$B$6:$B$102,0),MATCH(AB$1,'AEO 2026 Table 5'!$E$5:$AD$5,0))</f>
        <v/>
      </c>
      <c r="AC55">
        <f>INDEX('AEO 2026 Table 5'!$E$6:$AD$102,MATCH($A55,'AEO 2026 Table 5'!$B$6:$B$102,0),MATCH(AC$1,'AEO 2026 Table 5'!$E$5:$AD$5,0))</f>
        <v/>
      </c>
      <c r="AD55">
        <f>INDEX('AEO 2026 Table 5'!$E$6:$AD$102,MATCH($A55,'AEO 2026 Table 5'!$B$6:$B$102,0),MATCH(AD$1,'AEO 2026 Table 5'!$E$5:$AD$5,0))</f>
        <v/>
      </c>
      <c r="AE55">
        <f>INDEX('AEO 2026 Table 5'!$E$6:$AD$102,MATCH($A55,'AEO 2026 Table 5'!$B$6:$B$102,0),MATCH(AE$1,'AEO 2026 Table 5'!$E$5:$AD$5,0))</f>
        <v/>
      </c>
      <c r="AF55">
        <f>INDEX('AEO 2026 Table 5'!$E$6:$AD$102,MATCH($A55,'AEO 2026 Table 5'!$B$6:$B$102,0),MATCH(AF$1,'AEO 2026 Table 5'!$E$5:$AD$5,0))</f>
        <v/>
      </c>
      <c r="AG55">
        <f>INDEX('AEO 2026 Table 5'!$E$6:$AD$102,MATCH($A55,'AEO 2026 Table 5'!$B$6:$B$102,0),MATCH(AG$1,'AEO 2026 Table 5'!$E$5:$AD$5,0))</f>
        <v/>
      </c>
    </row>
    <row r="56">
      <c r="A56" t="inlineStr">
        <is>
          <t>Commercial: Natural Gas: Cooking: Alternative Electricity and Transportation</t>
        </is>
      </c>
      <c r="B56" t="inlineStr">
        <is>
          <t>Commercial: Natural Gas: Cooking: High Zero-Carbon Technology Cost</t>
        </is>
      </c>
      <c r="C56">
        <f>D56&amp;"-"&amp;E56&amp;"-"&amp;F56</f>
        <v/>
      </c>
      <c r="D56" t="inlineStr">
        <is>
          <t>commercial</t>
        </is>
      </c>
      <c r="E56" t="inlineStr">
        <is>
          <t>appliances</t>
        </is>
      </c>
      <c r="F56" s="1" t="inlineStr">
        <is>
          <t>natural gas (BTU)</t>
        </is>
      </c>
      <c r="G56" s="44">
        <f>INDEX('AEO 2025 Table 5'!$F$8:$AG$102,MATCH('Crosswalk AEO to EPS Summary'!$B56,'AEO 2025 Table 5'!$B$8:$B$102,0),MATCH(G$1,'AEO 2025 Table 5'!$F$5:$AG$5,0))</f>
        <v/>
      </c>
      <c r="H56">
        <f>INDEX('AEO 2026 Table 5'!$E$6:$AD$102,MATCH($A56,'AEO 2026 Table 5'!$B$6:$B$102,0),MATCH(H$1,'AEO 2026 Table 5'!$E$5:$AD$5,0))</f>
        <v/>
      </c>
      <c r="I56">
        <f>INDEX('AEO 2026 Table 5'!$E$6:$AD$102,MATCH($A56,'AEO 2026 Table 5'!$B$6:$B$102,0),MATCH(I$1,'AEO 2026 Table 5'!$E$5:$AD$5,0))</f>
        <v/>
      </c>
      <c r="J56">
        <f>INDEX('AEO 2026 Table 5'!$E$6:$AD$102,MATCH($A56,'AEO 2026 Table 5'!$B$6:$B$102,0),MATCH(J$1,'AEO 2026 Table 5'!$E$5:$AD$5,0))</f>
        <v/>
      </c>
      <c r="K56">
        <f>INDEX('AEO 2026 Table 5'!$E$6:$AD$102,MATCH($A56,'AEO 2026 Table 5'!$B$6:$B$102,0),MATCH(K$1,'AEO 2026 Table 5'!$E$5:$AD$5,0))</f>
        <v/>
      </c>
      <c r="L56">
        <f>INDEX('AEO 2026 Table 5'!$E$6:$AD$102,MATCH($A56,'AEO 2026 Table 5'!$B$6:$B$102,0),MATCH(L$1,'AEO 2026 Table 5'!$E$5:$AD$5,0))</f>
        <v/>
      </c>
      <c r="M56">
        <f>INDEX('AEO 2026 Table 5'!$E$6:$AD$102,MATCH($A56,'AEO 2026 Table 5'!$B$6:$B$102,0),MATCH(M$1,'AEO 2026 Table 5'!$E$5:$AD$5,0))</f>
        <v/>
      </c>
      <c r="N56">
        <f>INDEX('AEO 2026 Table 5'!$E$6:$AD$102,MATCH($A56,'AEO 2026 Table 5'!$B$6:$B$102,0),MATCH(N$1,'AEO 2026 Table 5'!$E$5:$AD$5,0))</f>
        <v/>
      </c>
      <c r="O56">
        <f>INDEX('AEO 2026 Table 5'!$E$6:$AD$102,MATCH($A56,'AEO 2026 Table 5'!$B$6:$B$102,0),MATCH(O$1,'AEO 2026 Table 5'!$E$5:$AD$5,0))</f>
        <v/>
      </c>
      <c r="P56">
        <f>INDEX('AEO 2026 Table 5'!$E$6:$AD$102,MATCH($A56,'AEO 2026 Table 5'!$B$6:$B$102,0),MATCH(P$1,'AEO 2026 Table 5'!$E$5:$AD$5,0))</f>
        <v/>
      </c>
      <c r="Q56">
        <f>INDEX('AEO 2026 Table 5'!$E$6:$AD$102,MATCH($A56,'AEO 2026 Table 5'!$B$6:$B$102,0),MATCH(Q$1,'AEO 2026 Table 5'!$E$5:$AD$5,0))</f>
        <v/>
      </c>
      <c r="R56">
        <f>INDEX('AEO 2026 Table 5'!$E$6:$AD$102,MATCH($A56,'AEO 2026 Table 5'!$B$6:$B$102,0),MATCH(R$1,'AEO 2026 Table 5'!$E$5:$AD$5,0))</f>
        <v/>
      </c>
      <c r="S56">
        <f>INDEX('AEO 2026 Table 5'!$E$6:$AD$102,MATCH($A56,'AEO 2026 Table 5'!$B$6:$B$102,0),MATCH(S$1,'AEO 2026 Table 5'!$E$5:$AD$5,0))</f>
        <v/>
      </c>
      <c r="T56">
        <f>INDEX('AEO 2026 Table 5'!$E$6:$AD$102,MATCH($A56,'AEO 2026 Table 5'!$B$6:$B$102,0),MATCH(T$1,'AEO 2026 Table 5'!$E$5:$AD$5,0))</f>
        <v/>
      </c>
      <c r="U56">
        <f>INDEX('AEO 2026 Table 5'!$E$6:$AD$102,MATCH($A56,'AEO 2026 Table 5'!$B$6:$B$102,0),MATCH(U$1,'AEO 2026 Table 5'!$E$5:$AD$5,0))</f>
        <v/>
      </c>
      <c r="V56">
        <f>INDEX('AEO 2026 Table 5'!$E$6:$AD$102,MATCH($A56,'AEO 2026 Table 5'!$B$6:$B$102,0),MATCH(V$1,'AEO 2026 Table 5'!$E$5:$AD$5,0))</f>
        <v/>
      </c>
      <c r="W56">
        <f>INDEX('AEO 2026 Table 5'!$E$6:$AD$102,MATCH($A56,'AEO 2026 Table 5'!$B$6:$B$102,0),MATCH(W$1,'AEO 2026 Table 5'!$E$5:$AD$5,0))</f>
        <v/>
      </c>
      <c r="X56">
        <f>INDEX('AEO 2026 Table 5'!$E$6:$AD$102,MATCH($A56,'AEO 2026 Table 5'!$B$6:$B$102,0),MATCH(X$1,'AEO 2026 Table 5'!$E$5:$AD$5,0))</f>
        <v/>
      </c>
      <c r="Y56">
        <f>INDEX('AEO 2026 Table 5'!$E$6:$AD$102,MATCH($A56,'AEO 2026 Table 5'!$B$6:$B$102,0),MATCH(Y$1,'AEO 2026 Table 5'!$E$5:$AD$5,0))</f>
        <v/>
      </c>
      <c r="Z56">
        <f>INDEX('AEO 2026 Table 5'!$E$6:$AD$102,MATCH($A56,'AEO 2026 Table 5'!$B$6:$B$102,0),MATCH(Z$1,'AEO 2026 Table 5'!$E$5:$AD$5,0))</f>
        <v/>
      </c>
      <c r="AA56">
        <f>INDEX('AEO 2026 Table 5'!$E$6:$AD$102,MATCH($A56,'AEO 2026 Table 5'!$B$6:$B$102,0),MATCH(AA$1,'AEO 2026 Table 5'!$E$5:$AD$5,0))</f>
        <v/>
      </c>
      <c r="AB56">
        <f>INDEX('AEO 2026 Table 5'!$E$6:$AD$102,MATCH($A56,'AEO 2026 Table 5'!$B$6:$B$102,0),MATCH(AB$1,'AEO 2026 Table 5'!$E$5:$AD$5,0))</f>
        <v/>
      </c>
      <c r="AC56">
        <f>INDEX('AEO 2026 Table 5'!$E$6:$AD$102,MATCH($A56,'AEO 2026 Table 5'!$B$6:$B$102,0),MATCH(AC$1,'AEO 2026 Table 5'!$E$5:$AD$5,0))</f>
        <v/>
      </c>
      <c r="AD56">
        <f>INDEX('AEO 2026 Table 5'!$E$6:$AD$102,MATCH($A56,'AEO 2026 Table 5'!$B$6:$B$102,0),MATCH(AD$1,'AEO 2026 Table 5'!$E$5:$AD$5,0))</f>
        <v/>
      </c>
      <c r="AE56">
        <f>INDEX('AEO 2026 Table 5'!$E$6:$AD$102,MATCH($A56,'AEO 2026 Table 5'!$B$6:$B$102,0),MATCH(AE$1,'AEO 2026 Table 5'!$E$5:$AD$5,0))</f>
        <v/>
      </c>
      <c r="AF56">
        <f>INDEX('AEO 2026 Table 5'!$E$6:$AD$102,MATCH($A56,'AEO 2026 Table 5'!$B$6:$B$102,0),MATCH(AF$1,'AEO 2026 Table 5'!$E$5:$AD$5,0))</f>
        <v/>
      </c>
      <c r="AG56">
        <f>INDEX('AEO 2026 Table 5'!$E$6:$AD$102,MATCH($A56,'AEO 2026 Table 5'!$B$6:$B$102,0),MATCH(AG$1,'AEO 2026 Table 5'!$E$5:$AD$5,0))</f>
        <v/>
      </c>
    </row>
    <row r="57">
      <c r="A57" t="inlineStr">
        <is>
          <t>Commercial: Natural Gas: Other Uses: Alternative Electricity and Transportation</t>
        </is>
      </c>
      <c r="B57" t="inlineStr">
        <is>
          <t>Commercial: Natural Gas: Other Uses: High Zero-Carbon Technology Cost</t>
        </is>
      </c>
      <c r="C57">
        <f>D57&amp;"-"&amp;E57&amp;"-"&amp;F57</f>
        <v/>
      </c>
      <c r="D57" t="inlineStr">
        <is>
          <t>commercial</t>
        </is>
      </c>
      <c r="E57" t="inlineStr">
        <is>
          <t>other</t>
        </is>
      </c>
      <c r="F57" s="1" t="inlineStr">
        <is>
          <t>natural gas (BTU)</t>
        </is>
      </c>
      <c r="G57" s="44">
        <f>INDEX('AEO 2025 Table 5'!$F$8:$AG$102,MATCH('Crosswalk AEO to EPS Summary'!$B57,'AEO 2025 Table 5'!$B$8:$B$102,0),MATCH(G$1,'AEO 2025 Table 5'!$F$5:$AG$5,0))</f>
        <v/>
      </c>
      <c r="H57">
        <f>INDEX('AEO 2026 Table 5'!$E$6:$AD$102,MATCH($A57,'AEO 2026 Table 5'!$B$6:$B$102,0),MATCH(H$1,'AEO 2026 Table 5'!$E$5:$AD$5,0))</f>
        <v/>
      </c>
      <c r="I57">
        <f>INDEX('AEO 2026 Table 5'!$E$6:$AD$102,MATCH($A57,'AEO 2026 Table 5'!$B$6:$B$102,0),MATCH(I$1,'AEO 2026 Table 5'!$E$5:$AD$5,0))</f>
        <v/>
      </c>
      <c r="J57">
        <f>INDEX('AEO 2026 Table 5'!$E$6:$AD$102,MATCH($A57,'AEO 2026 Table 5'!$B$6:$B$102,0),MATCH(J$1,'AEO 2026 Table 5'!$E$5:$AD$5,0))</f>
        <v/>
      </c>
      <c r="K57">
        <f>INDEX('AEO 2026 Table 5'!$E$6:$AD$102,MATCH($A57,'AEO 2026 Table 5'!$B$6:$B$102,0),MATCH(K$1,'AEO 2026 Table 5'!$E$5:$AD$5,0))</f>
        <v/>
      </c>
      <c r="L57">
        <f>INDEX('AEO 2026 Table 5'!$E$6:$AD$102,MATCH($A57,'AEO 2026 Table 5'!$B$6:$B$102,0),MATCH(L$1,'AEO 2026 Table 5'!$E$5:$AD$5,0))</f>
        <v/>
      </c>
      <c r="M57">
        <f>INDEX('AEO 2026 Table 5'!$E$6:$AD$102,MATCH($A57,'AEO 2026 Table 5'!$B$6:$B$102,0),MATCH(M$1,'AEO 2026 Table 5'!$E$5:$AD$5,0))</f>
        <v/>
      </c>
      <c r="N57">
        <f>INDEX('AEO 2026 Table 5'!$E$6:$AD$102,MATCH($A57,'AEO 2026 Table 5'!$B$6:$B$102,0),MATCH(N$1,'AEO 2026 Table 5'!$E$5:$AD$5,0))</f>
        <v/>
      </c>
      <c r="O57">
        <f>INDEX('AEO 2026 Table 5'!$E$6:$AD$102,MATCH($A57,'AEO 2026 Table 5'!$B$6:$B$102,0),MATCH(O$1,'AEO 2026 Table 5'!$E$5:$AD$5,0))</f>
        <v/>
      </c>
      <c r="P57">
        <f>INDEX('AEO 2026 Table 5'!$E$6:$AD$102,MATCH($A57,'AEO 2026 Table 5'!$B$6:$B$102,0),MATCH(P$1,'AEO 2026 Table 5'!$E$5:$AD$5,0))</f>
        <v/>
      </c>
      <c r="Q57">
        <f>INDEX('AEO 2026 Table 5'!$E$6:$AD$102,MATCH($A57,'AEO 2026 Table 5'!$B$6:$B$102,0),MATCH(Q$1,'AEO 2026 Table 5'!$E$5:$AD$5,0))</f>
        <v/>
      </c>
      <c r="R57">
        <f>INDEX('AEO 2026 Table 5'!$E$6:$AD$102,MATCH($A57,'AEO 2026 Table 5'!$B$6:$B$102,0),MATCH(R$1,'AEO 2026 Table 5'!$E$5:$AD$5,0))</f>
        <v/>
      </c>
      <c r="S57">
        <f>INDEX('AEO 2026 Table 5'!$E$6:$AD$102,MATCH($A57,'AEO 2026 Table 5'!$B$6:$B$102,0),MATCH(S$1,'AEO 2026 Table 5'!$E$5:$AD$5,0))</f>
        <v/>
      </c>
      <c r="T57">
        <f>INDEX('AEO 2026 Table 5'!$E$6:$AD$102,MATCH($A57,'AEO 2026 Table 5'!$B$6:$B$102,0),MATCH(T$1,'AEO 2026 Table 5'!$E$5:$AD$5,0))</f>
        <v/>
      </c>
      <c r="U57">
        <f>INDEX('AEO 2026 Table 5'!$E$6:$AD$102,MATCH($A57,'AEO 2026 Table 5'!$B$6:$B$102,0),MATCH(U$1,'AEO 2026 Table 5'!$E$5:$AD$5,0))</f>
        <v/>
      </c>
      <c r="V57">
        <f>INDEX('AEO 2026 Table 5'!$E$6:$AD$102,MATCH($A57,'AEO 2026 Table 5'!$B$6:$B$102,0),MATCH(V$1,'AEO 2026 Table 5'!$E$5:$AD$5,0))</f>
        <v/>
      </c>
      <c r="W57">
        <f>INDEX('AEO 2026 Table 5'!$E$6:$AD$102,MATCH($A57,'AEO 2026 Table 5'!$B$6:$B$102,0),MATCH(W$1,'AEO 2026 Table 5'!$E$5:$AD$5,0))</f>
        <v/>
      </c>
      <c r="X57">
        <f>INDEX('AEO 2026 Table 5'!$E$6:$AD$102,MATCH($A57,'AEO 2026 Table 5'!$B$6:$B$102,0),MATCH(X$1,'AEO 2026 Table 5'!$E$5:$AD$5,0))</f>
        <v/>
      </c>
      <c r="Y57">
        <f>INDEX('AEO 2026 Table 5'!$E$6:$AD$102,MATCH($A57,'AEO 2026 Table 5'!$B$6:$B$102,0),MATCH(Y$1,'AEO 2026 Table 5'!$E$5:$AD$5,0))</f>
        <v/>
      </c>
      <c r="Z57">
        <f>INDEX('AEO 2026 Table 5'!$E$6:$AD$102,MATCH($A57,'AEO 2026 Table 5'!$B$6:$B$102,0),MATCH(Z$1,'AEO 2026 Table 5'!$E$5:$AD$5,0))</f>
        <v/>
      </c>
      <c r="AA57">
        <f>INDEX('AEO 2026 Table 5'!$E$6:$AD$102,MATCH($A57,'AEO 2026 Table 5'!$B$6:$B$102,0),MATCH(AA$1,'AEO 2026 Table 5'!$E$5:$AD$5,0))</f>
        <v/>
      </c>
      <c r="AB57">
        <f>INDEX('AEO 2026 Table 5'!$E$6:$AD$102,MATCH($A57,'AEO 2026 Table 5'!$B$6:$B$102,0),MATCH(AB$1,'AEO 2026 Table 5'!$E$5:$AD$5,0))</f>
        <v/>
      </c>
      <c r="AC57">
        <f>INDEX('AEO 2026 Table 5'!$E$6:$AD$102,MATCH($A57,'AEO 2026 Table 5'!$B$6:$B$102,0),MATCH(AC$1,'AEO 2026 Table 5'!$E$5:$AD$5,0))</f>
        <v/>
      </c>
      <c r="AD57">
        <f>INDEX('AEO 2026 Table 5'!$E$6:$AD$102,MATCH($A57,'AEO 2026 Table 5'!$B$6:$B$102,0),MATCH(AD$1,'AEO 2026 Table 5'!$E$5:$AD$5,0))</f>
        <v/>
      </c>
      <c r="AE57">
        <f>INDEX('AEO 2026 Table 5'!$E$6:$AD$102,MATCH($A57,'AEO 2026 Table 5'!$B$6:$B$102,0),MATCH(AE$1,'AEO 2026 Table 5'!$E$5:$AD$5,0))</f>
        <v/>
      </c>
      <c r="AF57">
        <f>INDEX('AEO 2026 Table 5'!$E$6:$AD$102,MATCH($A57,'AEO 2026 Table 5'!$B$6:$B$102,0),MATCH(AF$1,'AEO 2026 Table 5'!$E$5:$AD$5,0))</f>
        <v/>
      </c>
      <c r="AG57">
        <f>INDEX('AEO 2026 Table 5'!$E$6:$AD$102,MATCH($A57,'AEO 2026 Table 5'!$B$6:$B$102,0),MATCH(AG$1,'AEO 2026 Table 5'!$E$5:$AD$5,0))</f>
        <v/>
      </c>
    </row>
    <row r="58">
      <c r="A58" t="inlineStr">
        <is>
          <t>Commercial: Natural Gas: Delivered Energy: Alternative Electricity and Transportation</t>
        </is>
      </c>
      <c r="B58" t="inlineStr">
        <is>
          <t>Commercial: Natural Gas: Delivered Energy: High Zero-Carbon Technology Cost</t>
        </is>
      </c>
      <c r="C58">
        <f>D58&amp;"-"&amp;E58&amp;"-"&amp;F58</f>
        <v/>
      </c>
      <c r="D58" t="inlineStr">
        <is>
          <t>commercial</t>
        </is>
      </c>
      <c r="E58" t="inlineStr">
        <is>
          <t>total</t>
        </is>
      </c>
      <c r="F58" s="1" t="inlineStr">
        <is>
          <t>natural gas (BTU)</t>
        </is>
      </c>
      <c r="G58" s="44">
        <f>INDEX('AEO 2025 Table 5'!$F$8:$AG$102,MATCH('Crosswalk AEO to EPS Summary'!$B58,'AEO 2025 Table 5'!$B$8:$B$102,0),MATCH(G$1,'AEO 2025 Table 5'!$F$5:$AG$5,0))</f>
        <v/>
      </c>
      <c r="H58">
        <f>INDEX('AEO 2026 Table 5'!$E$6:$AD$102,MATCH($A58,'AEO 2026 Table 5'!$B$6:$B$102,0),MATCH(H$1,'AEO 2026 Table 5'!$E$5:$AD$5,0))</f>
        <v/>
      </c>
      <c r="I58">
        <f>INDEX('AEO 2026 Table 5'!$E$6:$AD$102,MATCH($A58,'AEO 2026 Table 5'!$B$6:$B$102,0),MATCH(I$1,'AEO 2026 Table 5'!$E$5:$AD$5,0))</f>
        <v/>
      </c>
      <c r="J58">
        <f>INDEX('AEO 2026 Table 5'!$E$6:$AD$102,MATCH($A58,'AEO 2026 Table 5'!$B$6:$B$102,0),MATCH(J$1,'AEO 2026 Table 5'!$E$5:$AD$5,0))</f>
        <v/>
      </c>
      <c r="K58">
        <f>INDEX('AEO 2026 Table 5'!$E$6:$AD$102,MATCH($A58,'AEO 2026 Table 5'!$B$6:$B$102,0),MATCH(K$1,'AEO 2026 Table 5'!$E$5:$AD$5,0))</f>
        <v/>
      </c>
      <c r="L58">
        <f>INDEX('AEO 2026 Table 5'!$E$6:$AD$102,MATCH($A58,'AEO 2026 Table 5'!$B$6:$B$102,0),MATCH(L$1,'AEO 2026 Table 5'!$E$5:$AD$5,0))</f>
        <v/>
      </c>
      <c r="M58">
        <f>INDEX('AEO 2026 Table 5'!$E$6:$AD$102,MATCH($A58,'AEO 2026 Table 5'!$B$6:$B$102,0),MATCH(M$1,'AEO 2026 Table 5'!$E$5:$AD$5,0))</f>
        <v/>
      </c>
      <c r="N58">
        <f>INDEX('AEO 2026 Table 5'!$E$6:$AD$102,MATCH($A58,'AEO 2026 Table 5'!$B$6:$B$102,0),MATCH(N$1,'AEO 2026 Table 5'!$E$5:$AD$5,0))</f>
        <v/>
      </c>
      <c r="O58">
        <f>INDEX('AEO 2026 Table 5'!$E$6:$AD$102,MATCH($A58,'AEO 2026 Table 5'!$B$6:$B$102,0),MATCH(O$1,'AEO 2026 Table 5'!$E$5:$AD$5,0))</f>
        <v/>
      </c>
      <c r="P58">
        <f>INDEX('AEO 2026 Table 5'!$E$6:$AD$102,MATCH($A58,'AEO 2026 Table 5'!$B$6:$B$102,0),MATCH(P$1,'AEO 2026 Table 5'!$E$5:$AD$5,0))</f>
        <v/>
      </c>
      <c r="Q58">
        <f>INDEX('AEO 2026 Table 5'!$E$6:$AD$102,MATCH($A58,'AEO 2026 Table 5'!$B$6:$B$102,0),MATCH(Q$1,'AEO 2026 Table 5'!$E$5:$AD$5,0))</f>
        <v/>
      </c>
      <c r="R58">
        <f>INDEX('AEO 2026 Table 5'!$E$6:$AD$102,MATCH($A58,'AEO 2026 Table 5'!$B$6:$B$102,0),MATCH(R$1,'AEO 2026 Table 5'!$E$5:$AD$5,0))</f>
        <v/>
      </c>
      <c r="S58">
        <f>INDEX('AEO 2026 Table 5'!$E$6:$AD$102,MATCH($A58,'AEO 2026 Table 5'!$B$6:$B$102,0),MATCH(S$1,'AEO 2026 Table 5'!$E$5:$AD$5,0))</f>
        <v/>
      </c>
      <c r="T58">
        <f>INDEX('AEO 2026 Table 5'!$E$6:$AD$102,MATCH($A58,'AEO 2026 Table 5'!$B$6:$B$102,0),MATCH(T$1,'AEO 2026 Table 5'!$E$5:$AD$5,0))</f>
        <v/>
      </c>
      <c r="U58">
        <f>INDEX('AEO 2026 Table 5'!$E$6:$AD$102,MATCH($A58,'AEO 2026 Table 5'!$B$6:$B$102,0),MATCH(U$1,'AEO 2026 Table 5'!$E$5:$AD$5,0))</f>
        <v/>
      </c>
      <c r="V58">
        <f>INDEX('AEO 2026 Table 5'!$E$6:$AD$102,MATCH($A58,'AEO 2026 Table 5'!$B$6:$B$102,0),MATCH(V$1,'AEO 2026 Table 5'!$E$5:$AD$5,0))</f>
        <v/>
      </c>
      <c r="W58">
        <f>INDEX('AEO 2026 Table 5'!$E$6:$AD$102,MATCH($A58,'AEO 2026 Table 5'!$B$6:$B$102,0),MATCH(W$1,'AEO 2026 Table 5'!$E$5:$AD$5,0))</f>
        <v/>
      </c>
      <c r="X58">
        <f>INDEX('AEO 2026 Table 5'!$E$6:$AD$102,MATCH($A58,'AEO 2026 Table 5'!$B$6:$B$102,0),MATCH(X$1,'AEO 2026 Table 5'!$E$5:$AD$5,0))</f>
        <v/>
      </c>
      <c r="Y58">
        <f>INDEX('AEO 2026 Table 5'!$E$6:$AD$102,MATCH($A58,'AEO 2026 Table 5'!$B$6:$B$102,0),MATCH(Y$1,'AEO 2026 Table 5'!$E$5:$AD$5,0))</f>
        <v/>
      </c>
      <c r="Z58">
        <f>INDEX('AEO 2026 Table 5'!$E$6:$AD$102,MATCH($A58,'AEO 2026 Table 5'!$B$6:$B$102,0),MATCH(Z$1,'AEO 2026 Table 5'!$E$5:$AD$5,0))</f>
        <v/>
      </c>
      <c r="AA58">
        <f>INDEX('AEO 2026 Table 5'!$E$6:$AD$102,MATCH($A58,'AEO 2026 Table 5'!$B$6:$B$102,0),MATCH(AA$1,'AEO 2026 Table 5'!$E$5:$AD$5,0))</f>
        <v/>
      </c>
      <c r="AB58">
        <f>INDEX('AEO 2026 Table 5'!$E$6:$AD$102,MATCH($A58,'AEO 2026 Table 5'!$B$6:$B$102,0),MATCH(AB$1,'AEO 2026 Table 5'!$E$5:$AD$5,0))</f>
        <v/>
      </c>
      <c r="AC58">
        <f>INDEX('AEO 2026 Table 5'!$E$6:$AD$102,MATCH($A58,'AEO 2026 Table 5'!$B$6:$B$102,0),MATCH(AC$1,'AEO 2026 Table 5'!$E$5:$AD$5,0))</f>
        <v/>
      </c>
      <c r="AD58">
        <f>INDEX('AEO 2026 Table 5'!$E$6:$AD$102,MATCH($A58,'AEO 2026 Table 5'!$B$6:$B$102,0),MATCH(AD$1,'AEO 2026 Table 5'!$E$5:$AD$5,0))</f>
        <v/>
      </c>
      <c r="AE58">
        <f>INDEX('AEO 2026 Table 5'!$E$6:$AD$102,MATCH($A58,'AEO 2026 Table 5'!$B$6:$B$102,0),MATCH(AE$1,'AEO 2026 Table 5'!$E$5:$AD$5,0))</f>
        <v/>
      </c>
      <c r="AF58">
        <f>INDEX('AEO 2026 Table 5'!$E$6:$AD$102,MATCH($A58,'AEO 2026 Table 5'!$B$6:$B$102,0),MATCH(AF$1,'AEO 2026 Table 5'!$E$5:$AD$5,0))</f>
        <v/>
      </c>
      <c r="AG58">
        <f>INDEX('AEO 2026 Table 5'!$E$6:$AD$102,MATCH($A58,'AEO 2026 Table 5'!$B$6:$B$102,0),MATCH(AG$1,'AEO 2026 Table 5'!$E$5:$AD$5,0))</f>
        <v/>
      </c>
    </row>
    <row r="59">
      <c r="A59" t="inlineStr">
        <is>
          <t>Commercial: Distillate Fuel Oil: Space Heating: Alternative Electricity and Transportation</t>
        </is>
      </c>
      <c r="B59" t="inlineStr">
        <is>
          <t>Commercial: Distillate Fuel Oil: Space Heating: High Zero-Carbon Technology Cost</t>
        </is>
      </c>
      <c r="C59">
        <f>D59&amp;"-"&amp;E59&amp;"-"&amp;F59</f>
        <v/>
      </c>
      <c r="D59" t="inlineStr">
        <is>
          <t>commercial</t>
        </is>
      </c>
      <c r="E59" t="inlineStr">
        <is>
          <t>heating</t>
        </is>
      </c>
      <c r="F59" s="1" t="inlineStr">
        <is>
          <t>petroleum diesel (BTU)</t>
        </is>
      </c>
      <c r="G59" s="44">
        <f>INDEX('AEO 2025 Table 5'!$F$8:$AG$102,MATCH('Crosswalk AEO to EPS Summary'!$B59,'AEO 2025 Table 5'!$B$8:$B$102,0),MATCH(G$1,'AEO 2025 Table 5'!$F$5:$AG$5,0))</f>
        <v/>
      </c>
      <c r="H59">
        <f>INDEX('AEO 2026 Table 5'!$E$6:$AD$102,MATCH($A59,'AEO 2026 Table 5'!$B$6:$B$102,0),MATCH(H$1,'AEO 2026 Table 5'!$E$5:$AD$5,0))</f>
        <v/>
      </c>
      <c r="I59">
        <f>INDEX('AEO 2026 Table 5'!$E$6:$AD$102,MATCH($A59,'AEO 2026 Table 5'!$B$6:$B$102,0),MATCH(I$1,'AEO 2026 Table 5'!$E$5:$AD$5,0))</f>
        <v/>
      </c>
      <c r="J59">
        <f>INDEX('AEO 2026 Table 5'!$E$6:$AD$102,MATCH($A59,'AEO 2026 Table 5'!$B$6:$B$102,0),MATCH(J$1,'AEO 2026 Table 5'!$E$5:$AD$5,0))</f>
        <v/>
      </c>
      <c r="K59">
        <f>INDEX('AEO 2026 Table 5'!$E$6:$AD$102,MATCH($A59,'AEO 2026 Table 5'!$B$6:$B$102,0),MATCH(K$1,'AEO 2026 Table 5'!$E$5:$AD$5,0))</f>
        <v/>
      </c>
      <c r="L59">
        <f>INDEX('AEO 2026 Table 5'!$E$6:$AD$102,MATCH($A59,'AEO 2026 Table 5'!$B$6:$B$102,0),MATCH(L$1,'AEO 2026 Table 5'!$E$5:$AD$5,0))</f>
        <v/>
      </c>
      <c r="M59">
        <f>INDEX('AEO 2026 Table 5'!$E$6:$AD$102,MATCH($A59,'AEO 2026 Table 5'!$B$6:$B$102,0),MATCH(M$1,'AEO 2026 Table 5'!$E$5:$AD$5,0))</f>
        <v/>
      </c>
      <c r="N59">
        <f>INDEX('AEO 2026 Table 5'!$E$6:$AD$102,MATCH($A59,'AEO 2026 Table 5'!$B$6:$B$102,0),MATCH(N$1,'AEO 2026 Table 5'!$E$5:$AD$5,0))</f>
        <v/>
      </c>
      <c r="O59">
        <f>INDEX('AEO 2026 Table 5'!$E$6:$AD$102,MATCH($A59,'AEO 2026 Table 5'!$B$6:$B$102,0),MATCH(O$1,'AEO 2026 Table 5'!$E$5:$AD$5,0))</f>
        <v/>
      </c>
      <c r="P59">
        <f>INDEX('AEO 2026 Table 5'!$E$6:$AD$102,MATCH($A59,'AEO 2026 Table 5'!$B$6:$B$102,0),MATCH(P$1,'AEO 2026 Table 5'!$E$5:$AD$5,0))</f>
        <v/>
      </c>
      <c r="Q59">
        <f>INDEX('AEO 2026 Table 5'!$E$6:$AD$102,MATCH($A59,'AEO 2026 Table 5'!$B$6:$B$102,0),MATCH(Q$1,'AEO 2026 Table 5'!$E$5:$AD$5,0))</f>
        <v/>
      </c>
      <c r="R59">
        <f>INDEX('AEO 2026 Table 5'!$E$6:$AD$102,MATCH($A59,'AEO 2026 Table 5'!$B$6:$B$102,0),MATCH(R$1,'AEO 2026 Table 5'!$E$5:$AD$5,0))</f>
        <v/>
      </c>
      <c r="S59">
        <f>INDEX('AEO 2026 Table 5'!$E$6:$AD$102,MATCH($A59,'AEO 2026 Table 5'!$B$6:$B$102,0),MATCH(S$1,'AEO 2026 Table 5'!$E$5:$AD$5,0))</f>
        <v/>
      </c>
      <c r="T59">
        <f>INDEX('AEO 2026 Table 5'!$E$6:$AD$102,MATCH($A59,'AEO 2026 Table 5'!$B$6:$B$102,0),MATCH(T$1,'AEO 2026 Table 5'!$E$5:$AD$5,0))</f>
        <v/>
      </c>
      <c r="U59">
        <f>INDEX('AEO 2026 Table 5'!$E$6:$AD$102,MATCH($A59,'AEO 2026 Table 5'!$B$6:$B$102,0),MATCH(U$1,'AEO 2026 Table 5'!$E$5:$AD$5,0))</f>
        <v/>
      </c>
      <c r="V59">
        <f>INDEX('AEO 2026 Table 5'!$E$6:$AD$102,MATCH($A59,'AEO 2026 Table 5'!$B$6:$B$102,0),MATCH(V$1,'AEO 2026 Table 5'!$E$5:$AD$5,0))</f>
        <v/>
      </c>
      <c r="W59">
        <f>INDEX('AEO 2026 Table 5'!$E$6:$AD$102,MATCH($A59,'AEO 2026 Table 5'!$B$6:$B$102,0),MATCH(W$1,'AEO 2026 Table 5'!$E$5:$AD$5,0))</f>
        <v/>
      </c>
      <c r="X59">
        <f>INDEX('AEO 2026 Table 5'!$E$6:$AD$102,MATCH($A59,'AEO 2026 Table 5'!$B$6:$B$102,0),MATCH(X$1,'AEO 2026 Table 5'!$E$5:$AD$5,0))</f>
        <v/>
      </c>
      <c r="Y59">
        <f>INDEX('AEO 2026 Table 5'!$E$6:$AD$102,MATCH($A59,'AEO 2026 Table 5'!$B$6:$B$102,0),MATCH(Y$1,'AEO 2026 Table 5'!$E$5:$AD$5,0))</f>
        <v/>
      </c>
      <c r="Z59">
        <f>INDEX('AEO 2026 Table 5'!$E$6:$AD$102,MATCH($A59,'AEO 2026 Table 5'!$B$6:$B$102,0),MATCH(Z$1,'AEO 2026 Table 5'!$E$5:$AD$5,0))</f>
        <v/>
      </c>
      <c r="AA59">
        <f>INDEX('AEO 2026 Table 5'!$E$6:$AD$102,MATCH($A59,'AEO 2026 Table 5'!$B$6:$B$102,0),MATCH(AA$1,'AEO 2026 Table 5'!$E$5:$AD$5,0))</f>
        <v/>
      </c>
      <c r="AB59">
        <f>INDEX('AEO 2026 Table 5'!$E$6:$AD$102,MATCH($A59,'AEO 2026 Table 5'!$B$6:$B$102,0),MATCH(AB$1,'AEO 2026 Table 5'!$E$5:$AD$5,0))</f>
        <v/>
      </c>
      <c r="AC59">
        <f>INDEX('AEO 2026 Table 5'!$E$6:$AD$102,MATCH($A59,'AEO 2026 Table 5'!$B$6:$B$102,0),MATCH(AC$1,'AEO 2026 Table 5'!$E$5:$AD$5,0))</f>
        <v/>
      </c>
      <c r="AD59">
        <f>INDEX('AEO 2026 Table 5'!$E$6:$AD$102,MATCH($A59,'AEO 2026 Table 5'!$B$6:$B$102,0),MATCH(AD$1,'AEO 2026 Table 5'!$E$5:$AD$5,0))</f>
        <v/>
      </c>
      <c r="AE59">
        <f>INDEX('AEO 2026 Table 5'!$E$6:$AD$102,MATCH($A59,'AEO 2026 Table 5'!$B$6:$B$102,0),MATCH(AE$1,'AEO 2026 Table 5'!$E$5:$AD$5,0))</f>
        <v/>
      </c>
      <c r="AF59">
        <f>INDEX('AEO 2026 Table 5'!$E$6:$AD$102,MATCH($A59,'AEO 2026 Table 5'!$B$6:$B$102,0),MATCH(AF$1,'AEO 2026 Table 5'!$E$5:$AD$5,0))</f>
        <v/>
      </c>
      <c r="AG59">
        <f>INDEX('AEO 2026 Table 5'!$E$6:$AD$102,MATCH($A59,'AEO 2026 Table 5'!$B$6:$B$102,0),MATCH(AG$1,'AEO 2026 Table 5'!$E$5:$AD$5,0))</f>
        <v/>
      </c>
    </row>
    <row r="60">
      <c r="A60" t="inlineStr">
        <is>
          <t>Commercial: Distillate Fuel Oil: Water Heating: Alternative Electricity and Transportation</t>
        </is>
      </c>
      <c r="B60" t="inlineStr">
        <is>
          <t>Commercial: Distillate Fuel Oil: Water Heating: High Zero-Carbon Technology Cost</t>
        </is>
      </c>
      <c r="C60">
        <f>D60&amp;"-"&amp;E60&amp;"-"&amp;F60</f>
        <v/>
      </c>
      <c r="D60" t="inlineStr">
        <is>
          <t>commercial</t>
        </is>
      </c>
      <c r="E60" t="inlineStr">
        <is>
          <t>appliances</t>
        </is>
      </c>
      <c r="F60" s="1" t="inlineStr">
        <is>
          <t>petroleum diesel (BTU)</t>
        </is>
      </c>
      <c r="G60" s="44">
        <f>INDEX('AEO 2025 Table 5'!$F$8:$AG$102,MATCH('Crosswalk AEO to EPS Summary'!$B60,'AEO 2025 Table 5'!$B$8:$B$102,0),MATCH(G$1,'AEO 2025 Table 5'!$F$5:$AG$5,0))</f>
        <v/>
      </c>
      <c r="H60">
        <f>INDEX('AEO 2026 Table 5'!$E$6:$AD$102,MATCH($A60,'AEO 2026 Table 5'!$B$6:$B$102,0),MATCH(H$1,'AEO 2026 Table 5'!$E$5:$AD$5,0))</f>
        <v/>
      </c>
      <c r="I60">
        <f>INDEX('AEO 2026 Table 5'!$E$6:$AD$102,MATCH($A60,'AEO 2026 Table 5'!$B$6:$B$102,0),MATCH(I$1,'AEO 2026 Table 5'!$E$5:$AD$5,0))</f>
        <v/>
      </c>
      <c r="J60">
        <f>INDEX('AEO 2026 Table 5'!$E$6:$AD$102,MATCH($A60,'AEO 2026 Table 5'!$B$6:$B$102,0),MATCH(J$1,'AEO 2026 Table 5'!$E$5:$AD$5,0))</f>
        <v/>
      </c>
      <c r="K60">
        <f>INDEX('AEO 2026 Table 5'!$E$6:$AD$102,MATCH($A60,'AEO 2026 Table 5'!$B$6:$B$102,0),MATCH(K$1,'AEO 2026 Table 5'!$E$5:$AD$5,0))</f>
        <v/>
      </c>
      <c r="L60">
        <f>INDEX('AEO 2026 Table 5'!$E$6:$AD$102,MATCH($A60,'AEO 2026 Table 5'!$B$6:$B$102,0),MATCH(L$1,'AEO 2026 Table 5'!$E$5:$AD$5,0))</f>
        <v/>
      </c>
      <c r="M60">
        <f>INDEX('AEO 2026 Table 5'!$E$6:$AD$102,MATCH($A60,'AEO 2026 Table 5'!$B$6:$B$102,0),MATCH(M$1,'AEO 2026 Table 5'!$E$5:$AD$5,0))</f>
        <v/>
      </c>
      <c r="N60">
        <f>INDEX('AEO 2026 Table 5'!$E$6:$AD$102,MATCH($A60,'AEO 2026 Table 5'!$B$6:$B$102,0),MATCH(N$1,'AEO 2026 Table 5'!$E$5:$AD$5,0))</f>
        <v/>
      </c>
      <c r="O60">
        <f>INDEX('AEO 2026 Table 5'!$E$6:$AD$102,MATCH($A60,'AEO 2026 Table 5'!$B$6:$B$102,0),MATCH(O$1,'AEO 2026 Table 5'!$E$5:$AD$5,0))</f>
        <v/>
      </c>
      <c r="P60">
        <f>INDEX('AEO 2026 Table 5'!$E$6:$AD$102,MATCH($A60,'AEO 2026 Table 5'!$B$6:$B$102,0),MATCH(P$1,'AEO 2026 Table 5'!$E$5:$AD$5,0))</f>
        <v/>
      </c>
      <c r="Q60">
        <f>INDEX('AEO 2026 Table 5'!$E$6:$AD$102,MATCH($A60,'AEO 2026 Table 5'!$B$6:$B$102,0),MATCH(Q$1,'AEO 2026 Table 5'!$E$5:$AD$5,0))</f>
        <v/>
      </c>
      <c r="R60">
        <f>INDEX('AEO 2026 Table 5'!$E$6:$AD$102,MATCH($A60,'AEO 2026 Table 5'!$B$6:$B$102,0),MATCH(R$1,'AEO 2026 Table 5'!$E$5:$AD$5,0))</f>
        <v/>
      </c>
      <c r="S60">
        <f>INDEX('AEO 2026 Table 5'!$E$6:$AD$102,MATCH($A60,'AEO 2026 Table 5'!$B$6:$B$102,0),MATCH(S$1,'AEO 2026 Table 5'!$E$5:$AD$5,0))</f>
        <v/>
      </c>
      <c r="T60">
        <f>INDEX('AEO 2026 Table 5'!$E$6:$AD$102,MATCH($A60,'AEO 2026 Table 5'!$B$6:$B$102,0),MATCH(T$1,'AEO 2026 Table 5'!$E$5:$AD$5,0))</f>
        <v/>
      </c>
      <c r="U60">
        <f>INDEX('AEO 2026 Table 5'!$E$6:$AD$102,MATCH($A60,'AEO 2026 Table 5'!$B$6:$B$102,0),MATCH(U$1,'AEO 2026 Table 5'!$E$5:$AD$5,0))</f>
        <v/>
      </c>
      <c r="V60">
        <f>INDEX('AEO 2026 Table 5'!$E$6:$AD$102,MATCH($A60,'AEO 2026 Table 5'!$B$6:$B$102,0),MATCH(V$1,'AEO 2026 Table 5'!$E$5:$AD$5,0))</f>
        <v/>
      </c>
      <c r="W60">
        <f>INDEX('AEO 2026 Table 5'!$E$6:$AD$102,MATCH($A60,'AEO 2026 Table 5'!$B$6:$B$102,0),MATCH(W$1,'AEO 2026 Table 5'!$E$5:$AD$5,0))</f>
        <v/>
      </c>
      <c r="X60">
        <f>INDEX('AEO 2026 Table 5'!$E$6:$AD$102,MATCH($A60,'AEO 2026 Table 5'!$B$6:$B$102,0),MATCH(X$1,'AEO 2026 Table 5'!$E$5:$AD$5,0))</f>
        <v/>
      </c>
      <c r="Y60">
        <f>INDEX('AEO 2026 Table 5'!$E$6:$AD$102,MATCH($A60,'AEO 2026 Table 5'!$B$6:$B$102,0),MATCH(Y$1,'AEO 2026 Table 5'!$E$5:$AD$5,0))</f>
        <v/>
      </c>
      <c r="Z60">
        <f>INDEX('AEO 2026 Table 5'!$E$6:$AD$102,MATCH($A60,'AEO 2026 Table 5'!$B$6:$B$102,0),MATCH(Z$1,'AEO 2026 Table 5'!$E$5:$AD$5,0))</f>
        <v/>
      </c>
      <c r="AA60">
        <f>INDEX('AEO 2026 Table 5'!$E$6:$AD$102,MATCH($A60,'AEO 2026 Table 5'!$B$6:$B$102,0),MATCH(AA$1,'AEO 2026 Table 5'!$E$5:$AD$5,0))</f>
        <v/>
      </c>
      <c r="AB60">
        <f>INDEX('AEO 2026 Table 5'!$E$6:$AD$102,MATCH($A60,'AEO 2026 Table 5'!$B$6:$B$102,0),MATCH(AB$1,'AEO 2026 Table 5'!$E$5:$AD$5,0))</f>
        <v/>
      </c>
      <c r="AC60">
        <f>INDEX('AEO 2026 Table 5'!$E$6:$AD$102,MATCH($A60,'AEO 2026 Table 5'!$B$6:$B$102,0),MATCH(AC$1,'AEO 2026 Table 5'!$E$5:$AD$5,0))</f>
        <v/>
      </c>
      <c r="AD60">
        <f>INDEX('AEO 2026 Table 5'!$E$6:$AD$102,MATCH($A60,'AEO 2026 Table 5'!$B$6:$B$102,0),MATCH(AD$1,'AEO 2026 Table 5'!$E$5:$AD$5,0))</f>
        <v/>
      </c>
      <c r="AE60">
        <f>INDEX('AEO 2026 Table 5'!$E$6:$AD$102,MATCH($A60,'AEO 2026 Table 5'!$B$6:$B$102,0),MATCH(AE$1,'AEO 2026 Table 5'!$E$5:$AD$5,0))</f>
        <v/>
      </c>
      <c r="AF60">
        <f>INDEX('AEO 2026 Table 5'!$E$6:$AD$102,MATCH($A60,'AEO 2026 Table 5'!$B$6:$B$102,0),MATCH(AF$1,'AEO 2026 Table 5'!$E$5:$AD$5,0))</f>
        <v/>
      </c>
      <c r="AG60">
        <f>INDEX('AEO 2026 Table 5'!$E$6:$AD$102,MATCH($A60,'AEO 2026 Table 5'!$B$6:$B$102,0),MATCH(AG$1,'AEO 2026 Table 5'!$E$5:$AD$5,0))</f>
        <v/>
      </c>
    </row>
    <row r="61">
      <c r="A61" t="inlineStr">
        <is>
          <t>Commercial: Distillate Fuel Oil: Other Uses: Alternative Electricity and Transportation</t>
        </is>
      </c>
      <c r="B61" t="inlineStr">
        <is>
          <t>Commercial: Distillate Fuel Oil: Other Uses: High Zero-Carbon Technology Cost</t>
        </is>
      </c>
      <c r="C61">
        <f>D61&amp;"-"&amp;E61&amp;"-"&amp;F61</f>
        <v/>
      </c>
      <c r="D61" t="inlineStr">
        <is>
          <t>commercial</t>
        </is>
      </c>
      <c r="E61" t="inlineStr">
        <is>
          <t>other</t>
        </is>
      </c>
      <c r="F61" s="1" t="inlineStr">
        <is>
          <t>petroleum diesel (BTU)</t>
        </is>
      </c>
      <c r="G61" s="44">
        <f>INDEX('AEO 2025 Table 5'!$F$8:$AG$102,MATCH('Crosswalk AEO to EPS Summary'!$B61,'AEO 2025 Table 5'!$B$8:$B$102,0),MATCH(G$1,'AEO 2025 Table 5'!$F$5:$AG$5,0))</f>
        <v/>
      </c>
      <c r="H61">
        <f>INDEX('AEO 2026 Table 5'!$E$6:$AD$102,MATCH($A61,'AEO 2026 Table 5'!$B$6:$B$102,0),MATCH(H$1,'AEO 2026 Table 5'!$E$5:$AD$5,0))</f>
        <v/>
      </c>
      <c r="I61">
        <f>INDEX('AEO 2026 Table 5'!$E$6:$AD$102,MATCH($A61,'AEO 2026 Table 5'!$B$6:$B$102,0),MATCH(I$1,'AEO 2026 Table 5'!$E$5:$AD$5,0))</f>
        <v/>
      </c>
      <c r="J61">
        <f>INDEX('AEO 2026 Table 5'!$E$6:$AD$102,MATCH($A61,'AEO 2026 Table 5'!$B$6:$B$102,0),MATCH(J$1,'AEO 2026 Table 5'!$E$5:$AD$5,0))</f>
        <v/>
      </c>
      <c r="K61">
        <f>INDEX('AEO 2026 Table 5'!$E$6:$AD$102,MATCH($A61,'AEO 2026 Table 5'!$B$6:$B$102,0),MATCH(K$1,'AEO 2026 Table 5'!$E$5:$AD$5,0))</f>
        <v/>
      </c>
      <c r="L61">
        <f>INDEX('AEO 2026 Table 5'!$E$6:$AD$102,MATCH($A61,'AEO 2026 Table 5'!$B$6:$B$102,0),MATCH(L$1,'AEO 2026 Table 5'!$E$5:$AD$5,0))</f>
        <v/>
      </c>
      <c r="M61">
        <f>INDEX('AEO 2026 Table 5'!$E$6:$AD$102,MATCH($A61,'AEO 2026 Table 5'!$B$6:$B$102,0),MATCH(M$1,'AEO 2026 Table 5'!$E$5:$AD$5,0))</f>
        <v/>
      </c>
      <c r="N61">
        <f>INDEX('AEO 2026 Table 5'!$E$6:$AD$102,MATCH($A61,'AEO 2026 Table 5'!$B$6:$B$102,0),MATCH(N$1,'AEO 2026 Table 5'!$E$5:$AD$5,0))</f>
        <v/>
      </c>
      <c r="O61">
        <f>INDEX('AEO 2026 Table 5'!$E$6:$AD$102,MATCH($A61,'AEO 2026 Table 5'!$B$6:$B$102,0),MATCH(O$1,'AEO 2026 Table 5'!$E$5:$AD$5,0))</f>
        <v/>
      </c>
      <c r="P61">
        <f>INDEX('AEO 2026 Table 5'!$E$6:$AD$102,MATCH($A61,'AEO 2026 Table 5'!$B$6:$B$102,0),MATCH(P$1,'AEO 2026 Table 5'!$E$5:$AD$5,0))</f>
        <v/>
      </c>
      <c r="Q61">
        <f>INDEX('AEO 2026 Table 5'!$E$6:$AD$102,MATCH($A61,'AEO 2026 Table 5'!$B$6:$B$102,0),MATCH(Q$1,'AEO 2026 Table 5'!$E$5:$AD$5,0))</f>
        <v/>
      </c>
      <c r="R61">
        <f>INDEX('AEO 2026 Table 5'!$E$6:$AD$102,MATCH($A61,'AEO 2026 Table 5'!$B$6:$B$102,0),MATCH(R$1,'AEO 2026 Table 5'!$E$5:$AD$5,0))</f>
        <v/>
      </c>
      <c r="S61">
        <f>INDEX('AEO 2026 Table 5'!$E$6:$AD$102,MATCH($A61,'AEO 2026 Table 5'!$B$6:$B$102,0),MATCH(S$1,'AEO 2026 Table 5'!$E$5:$AD$5,0))</f>
        <v/>
      </c>
      <c r="T61">
        <f>INDEX('AEO 2026 Table 5'!$E$6:$AD$102,MATCH($A61,'AEO 2026 Table 5'!$B$6:$B$102,0),MATCH(T$1,'AEO 2026 Table 5'!$E$5:$AD$5,0))</f>
        <v/>
      </c>
      <c r="U61">
        <f>INDEX('AEO 2026 Table 5'!$E$6:$AD$102,MATCH($A61,'AEO 2026 Table 5'!$B$6:$B$102,0),MATCH(U$1,'AEO 2026 Table 5'!$E$5:$AD$5,0))</f>
        <v/>
      </c>
      <c r="V61">
        <f>INDEX('AEO 2026 Table 5'!$E$6:$AD$102,MATCH($A61,'AEO 2026 Table 5'!$B$6:$B$102,0),MATCH(V$1,'AEO 2026 Table 5'!$E$5:$AD$5,0))</f>
        <v/>
      </c>
      <c r="W61">
        <f>INDEX('AEO 2026 Table 5'!$E$6:$AD$102,MATCH($A61,'AEO 2026 Table 5'!$B$6:$B$102,0),MATCH(W$1,'AEO 2026 Table 5'!$E$5:$AD$5,0))</f>
        <v/>
      </c>
      <c r="X61">
        <f>INDEX('AEO 2026 Table 5'!$E$6:$AD$102,MATCH($A61,'AEO 2026 Table 5'!$B$6:$B$102,0),MATCH(X$1,'AEO 2026 Table 5'!$E$5:$AD$5,0))</f>
        <v/>
      </c>
      <c r="Y61">
        <f>INDEX('AEO 2026 Table 5'!$E$6:$AD$102,MATCH($A61,'AEO 2026 Table 5'!$B$6:$B$102,0),MATCH(Y$1,'AEO 2026 Table 5'!$E$5:$AD$5,0))</f>
        <v/>
      </c>
      <c r="Z61">
        <f>INDEX('AEO 2026 Table 5'!$E$6:$AD$102,MATCH($A61,'AEO 2026 Table 5'!$B$6:$B$102,0),MATCH(Z$1,'AEO 2026 Table 5'!$E$5:$AD$5,0))</f>
        <v/>
      </c>
      <c r="AA61">
        <f>INDEX('AEO 2026 Table 5'!$E$6:$AD$102,MATCH($A61,'AEO 2026 Table 5'!$B$6:$B$102,0),MATCH(AA$1,'AEO 2026 Table 5'!$E$5:$AD$5,0))</f>
        <v/>
      </c>
      <c r="AB61">
        <f>INDEX('AEO 2026 Table 5'!$E$6:$AD$102,MATCH($A61,'AEO 2026 Table 5'!$B$6:$B$102,0),MATCH(AB$1,'AEO 2026 Table 5'!$E$5:$AD$5,0))</f>
        <v/>
      </c>
      <c r="AC61">
        <f>INDEX('AEO 2026 Table 5'!$E$6:$AD$102,MATCH($A61,'AEO 2026 Table 5'!$B$6:$B$102,0),MATCH(AC$1,'AEO 2026 Table 5'!$E$5:$AD$5,0))</f>
        <v/>
      </c>
      <c r="AD61">
        <f>INDEX('AEO 2026 Table 5'!$E$6:$AD$102,MATCH($A61,'AEO 2026 Table 5'!$B$6:$B$102,0),MATCH(AD$1,'AEO 2026 Table 5'!$E$5:$AD$5,0))</f>
        <v/>
      </c>
      <c r="AE61">
        <f>INDEX('AEO 2026 Table 5'!$E$6:$AD$102,MATCH($A61,'AEO 2026 Table 5'!$B$6:$B$102,0),MATCH(AE$1,'AEO 2026 Table 5'!$E$5:$AD$5,0))</f>
        <v/>
      </c>
      <c r="AF61">
        <f>INDEX('AEO 2026 Table 5'!$E$6:$AD$102,MATCH($A61,'AEO 2026 Table 5'!$B$6:$B$102,0),MATCH(AF$1,'AEO 2026 Table 5'!$E$5:$AD$5,0))</f>
        <v/>
      </c>
      <c r="AG61">
        <f>INDEX('AEO 2026 Table 5'!$E$6:$AD$102,MATCH($A61,'AEO 2026 Table 5'!$B$6:$B$102,0),MATCH(AG$1,'AEO 2026 Table 5'!$E$5:$AD$5,0))</f>
        <v/>
      </c>
    </row>
    <row r="62">
      <c r="A62" t="inlineStr">
        <is>
          <t>Commercial: Distillate Fuel Oil: Delivered Energy: Alternative Electricity and Transportation</t>
        </is>
      </c>
      <c r="B62" t="inlineStr">
        <is>
          <t>Commercial: Distillate Fuel Oil: Delivered Energy: High Zero-Carbon Technology Cost</t>
        </is>
      </c>
      <c r="C62">
        <f>D62&amp;"-"&amp;E62&amp;"-"&amp;F62</f>
        <v/>
      </c>
      <c r="D62" t="inlineStr">
        <is>
          <t>commercial</t>
        </is>
      </c>
      <c r="E62" t="inlineStr">
        <is>
          <t>total</t>
        </is>
      </c>
      <c r="F62" s="1" t="inlineStr">
        <is>
          <t>petroleum diesel (BTU)</t>
        </is>
      </c>
      <c r="G62" s="44">
        <f>INDEX('AEO 2025 Table 5'!$F$8:$AG$102,MATCH('Crosswalk AEO to EPS Summary'!$B62,'AEO 2025 Table 5'!$B$8:$B$102,0),MATCH(G$1,'AEO 2025 Table 5'!$F$5:$AG$5,0))</f>
        <v/>
      </c>
      <c r="H62">
        <f>INDEX('AEO 2026 Table 5'!$E$6:$AD$102,MATCH($A62,'AEO 2026 Table 5'!$B$6:$B$102,0),MATCH(H$1,'AEO 2026 Table 5'!$E$5:$AD$5,0))</f>
        <v/>
      </c>
      <c r="I62">
        <f>INDEX('AEO 2026 Table 5'!$E$6:$AD$102,MATCH($A62,'AEO 2026 Table 5'!$B$6:$B$102,0),MATCH(I$1,'AEO 2026 Table 5'!$E$5:$AD$5,0))</f>
        <v/>
      </c>
      <c r="J62">
        <f>INDEX('AEO 2026 Table 5'!$E$6:$AD$102,MATCH($A62,'AEO 2026 Table 5'!$B$6:$B$102,0),MATCH(J$1,'AEO 2026 Table 5'!$E$5:$AD$5,0))</f>
        <v/>
      </c>
      <c r="K62">
        <f>INDEX('AEO 2026 Table 5'!$E$6:$AD$102,MATCH($A62,'AEO 2026 Table 5'!$B$6:$B$102,0),MATCH(K$1,'AEO 2026 Table 5'!$E$5:$AD$5,0))</f>
        <v/>
      </c>
      <c r="L62">
        <f>INDEX('AEO 2026 Table 5'!$E$6:$AD$102,MATCH($A62,'AEO 2026 Table 5'!$B$6:$B$102,0),MATCH(L$1,'AEO 2026 Table 5'!$E$5:$AD$5,0))</f>
        <v/>
      </c>
      <c r="M62">
        <f>INDEX('AEO 2026 Table 5'!$E$6:$AD$102,MATCH($A62,'AEO 2026 Table 5'!$B$6:$B$102,0),MATCH(M$1,'AEO 2026 Table 5'!$E$5:$AD$5,0))</f>
        <v/>
      </c>
      <c r="N62">
        <f>INDEX('AEO 2026 Table 5'!$E$6:$AD$102,MATCH($A62,'AEO 2026 Table 5'!$B$6:$B$102,0),MATCH(N$1,'AEO 2026 Table 5'!$E$5:$AD$5,0))</f>
        <v/>
      </c>
      <c r="O62">
        <f>INDEX('AEO 2026 Table 5'!$E$6:$AD$102,MATCH($A62,'AEO 2026 Table 5'!$B$6:$B$102,0),MATCH(O$1,'AEO 2026 Table 5'!$E$5:$AD$5,0))</f>
        <v/>
      </c>
      <c r="P62">
        <f>INDEX('AEO 2026 Table 5'!$E$6:$AD$102,MATCH($A62,'AEO 2026 Table 5'!$B$6:$B$102,0),MATCH(P$1,'AEO 2026 Table 5'!$E$5:$AD$5,0))</f>
        <v/>
      </c>
      <c r="Q62">
        <f>INDEX('AEO 2026 Table 5'!$E$6:$AD$102,MATCH($A62,'AEO 2026 Table 5'!$B$6:$B$102,0),MATCH(Q$1,'AEO 2026 Table 5'!$E$5:$AD$5,0))</f>
        <v/>
      </c>
      <c r="R62">
        <f>INDEX('AEO 2026 Table 5'!$E$6:$AD$102,MATCH($A62,'AEO 2026 Table 5'!$B$6:$B$102,0),MATCH(R$1,'AEO 2026 Table 5'!$E$5:$AD$5,0))</f>
        <v/>
      </c>
      <c r="S62">
        <f>INDEX('AEO 2026 Table 5'!$E$6:$AD$102,MATCH($A62,'AEO 2026 Table 5'!$B$6:$B$102,0),MATCH(S$1,'AEO 2026 Table 5'!$E$5:$AD$5,0))</f>
        <v/>
      </c>
      <c r="T62">
        <f>INDEX('AEO 2026 Table 5'!$E$6:$AD$102,MATCH($A62,'AEO 2026 Table 5'!$B$6:$B$102,0),MATCH(T$1,'AEO 2026 Table 5'!$E$5:$AD$5,0))</f>
        <v/>
      </c>
      <c r="U62">
        <f>INDEX('AEO 2026 Table 5'!$E$6:$AD$102,MATCH($A62,'AEO 2026 Table 5'!$B$6:$B$102,0),MATCH(U$1,'AEO 2026 Table 5'!$E$5:$AD$5,0))</f>
        <v/>
      </c>
      <c r="V62">
        <f>INDEX('AEO 2026 Table 5'!$E$6:$AD$102,MATCH($A62,'AEO 2026 Table 5'!$B$6:$B$102,0),MATCH(V$1,'AEO 2026 Table 5'!$E$5:$AD$5,0))</f>
        <v/>
      </c>
      <c r="W62">
        <f>INDEX('AEO 2026 Table 5'!$E$6:$AD$102,MATCH($A62,'AEO 2026 Table 5'!$B$6:$B$102,0),MATCH(W$1,'AEO 2026 Table 5'!$E$5:$AD$5,0))</f>
        <v/>
      </c>
      <c r="X62">
        <f>INDEX('AEO 2026 Table 5'!$E$6:$AD$102,MATCH($A62,'AEO 2026 Table 5'!$B$6:$B$102,0),MATCH(X$1,'AEO 2026 Table 5'!$E$5:$AD$5,0))</f>
        <v/>
      </c>
      <c r="Y62">
        <f>INDEX('AEO 2026 Table 5'!$E$6:$AD$102,MATCH($A62,'AEO 2026 Table 5'!$B$6:$B$102,0),MATCH(Y$1,'AEO 2026 Table 5'!$E$5:$AD$5,0))</f>
        <v/>
      </c>
      <c r="Z62">
        <f>INDEX('AEO 2026 Table 5'!$E$6:$AD$102,MATCH($A62,'AEO 2026 Table 5'!$B$6:$B$102,0),MATCH(Z$1,'AEO 2026 Table 5'!$E$5:$AD$5,0))</f>
        <v/>
      </c>
      <c r="AA62">
        <f>INDEX('AEO 2026 Table 5'!$E$6:$AD$102,MATCH($A62,'AEO 2026 Table 5'!$B$6:$B$102,0),MATCH(AA$1,'AEO 2026 Table 5'!$E$5:$AD$5,0))</f>
        <v/>
      </c>
      <c r="AB62">
        <f>INDEX('AEO 2026 Table 5'!$E$6:$AD$102,MATCH($A62,'AEO 2026 Table 5'!$B$6:$B$102,0),MATCH(AB$1,'AEO 2026 Table 5'!$E$5:$AD$5,0))</f>
        <v/>
      </c>
      <c r="AC62">
        <f>INDEX('AEO 2026 Table 5'!$E$6:$AD$102,MATCH($A62,'AEO 2026 Table 5'!$B$6:$B$102,0),MATCH(AC$1,'AEO 2026 Table 5'!$E$5:$AD$5,0))</f>
        <v/>
      </c>
      <c r="AD62">
        <f>INDEX('AEO 2026 Table 5'!$E$6:$AD$102,MATCH($A62,'AEO 2026 Table 5'!$B$6:$B$102,0),MATCH(AD$1,'AEO 2026 Table 5'!$E$5:$AD$5,0))</f>
        <v/>
      </c>
      <c r="AE62">
        <f>INDEX('AEO 2026 Table 5'!$E$6:$AD$102,MATCH($A62,'AEO 2026 Table 5'!$B$6:$B$102,0),MATCH(AE$1,'AEO 2026 Table 5'!$E$5:$AD$5,0))</f>
        <v/>
      </c>
      <c r="AF62">
        <f>INDEX('AEO 2026 Table 5'!$E$6:$AD$102,MATCH($A62,'AEO 2026 Table 5'!$B$6:$B$102,0),MATCH(AF$1,'AEO 2026 Table 5'!$E$5:$AD$5,0))</f>
        <v/>
      </c>
      <c r="AG62">
        <f>INDEX('AEO 2026 Table 5'!$E$6:$AD$102,MATCH($A62,'AEO 2026 Table 5'!$B$6:$B$102,0),MATCH(AG$1,'AEO 2026 Table 5'!$E$5:$AD$5,0))</f>
        <v/>
      </c>
    </row>
    <row r="63">
      <c r="A63" t="inlineStr">
        <is>
          <t>Commercial: Marketed Renewables (biomass): Alternative Electricity and Transportation</t>
        </is>
      </c>
      <c r="B63" t="inlineStr">
        <is>
          <t>Commercial: Marketed Renewables (biomass): High Zero-Carbon Technology Cost</t>
        </is>
      </c>
      <c r="C63">
        <f>D63&amp;"-"&amp;E63&amp;"-"&amp;F63</f>
        <v/>
      </c>
      <c r="D63" t="inlineStr">
        <is>
          <t>commercial</t>
        </is>
      </c>
      <c r="E63" t="inlineStr">
        <is>
          <t>heating</t>
        </is>
      </c>
      <c r="F63" s="1" t="inlineStr">
        <is>
          <t>biomass (BTU)</t>
        </is>
      </c>
      <c r="G63" s="44">
        <f>INDEX('AEO 2025 Table 5'!$F$8:$AG$102,MATCH('Crosswalk AEO to EPS Summary'!$B63,'AEO 2025 Table 5'!$B$8:$B$102,0),MATCH(G$1,'AEO 2025 Table 5'!$F$5:$AG$5,0))</f>
        <v/>
      </c>
      <c r="H63">
        <f>INDEX('AEO 2026 Table 5'!$E$6:$AD$102,MATCH($A63,'AEO 2026 Table 5'!$B$6:$B$102,0),MATCH(H$1,'AEO 2026 Table 5'!$E$5:$AD$5,0))</f>
        <v/>
      </c>
      <c r="I63">
        <f>INDEX('AEO 2026 Table 5'!$E$6:$AD$102,MATCH($A63,'AEO 2026 Table 5'!$B$6:$B$102,0),MATCH(I$1,'AEO 2026 Table 5'!$E$5:$AD$5,0))</f>
        <v/>
      </c>
      <c r="J63">
        <f>INDEX('AEO 2026 Table 5'!$E$6:$AD$102,MATCH($A63,'AEO 2026 Table 5'!$B$6:$B$102,0),MATCH(J$1,'AEO 2026 Table 5'!$E$5:$AD$5,0))</f>
        <v/>
      </c>
      <c r="K63">
        <f>INDEX('AEO 2026 Table 5'!$E$6:$AD$102,MATCH($A63,'AEO 2026 Table 5'!$B$6:$B$102,0),MATCH(K$1,'AEO 2026 Table 5'!$E$5:$AD$5,0))</f>
        <v/>
      </c>
      <c r="L63">
        <f>INDEX('AEO 2026 Table 5'!$E$6:$AD$102,MATCH($A63,'AEO 2026 Table 5'!$B$6:$B$102,0),MATCH(L$1,'AEO 2026 Table 5'!$E$5:$AD$5,0))</f>
        <v/>
      </c>
      <c r="M63">
        <f>INDEX('AEO 2026 Table 5'!$E$6:$AD$102,MATCH($A63,'AEO 2026 Table 5'!$B$6:$B$102,0),MATCH(M$1,'AEO 2026 Table 5'!$E$5:$AD$5,0))</f>
        <v/>
      </c>
      <c r="N63">
        <f>INDEX('AEO 2026 Table 5'!$E$6:$AD$102,MATCH($A63,'AEO 2026 Table 5'!$B$6:$B$102,0),MATCH(N$1,'AEO 2026 Table 5'!$E$5:$AD$5,0))</f>
        <v/>
      </c>
      <c r="O63">
        <f>INDEX('AEO 2026 Table 5'!$E$6:$AD$102,MATCH($A63,'AEO 2026 Table 5'!$B$6:$B$102,0),MATCH(O$1,'AEO 2026 Table 5'!$E$5:$AD$5,0))</f>
        <v/>
      </c>
      <c r="P63">
        <f>INDEX('AEO 2026 Table 5'!$E$6:$AD$102,MATCH($A63,'AEO 2026 Table 5'!$B$6:$B$102,0),MATCH(P$1,'AEO 2026 Table 5'!$E$5:$AD$5,0))</f>
        <v/>
      </c>
      <c r="Q63">
        <f>INDEX('AEO 2026 Table 5'!$E$6:$AD$102,MATCH($A63,'AEO 2026 Table 5'!$B$6:$B$102,0),MATCH(Q$1,'AEO 2026 Table 5'!$E$5:$AD$5,0))</f>
        <v/>
      </c>
      <c r="R63">
        <f>INDEX('AEO 2026 Table 5'!$E$6:$AD$102,MATCH($A63,'AEO 2026 Table 5'!$B$6:$B$102,0),MATCH(R$1,'AEO 2026 Table 5'!$E$5:$AD$5,0))</f>
        <v/>
      </c>
      <c r="S63">
        <f>INDEX('AEO 2026 Table 5'!$E$6:$AD$102,MATCH($A63,'AEO 2026 Table 5'!$B$6:$B$102,0),MATCH(S$1,'AEO 2026 Table 5'!$E$5:$AD$5,0))</f>
        <v/>
      </c>
      <c r="T63">
        <f>INDEX('AEO 2026 Table 5'!$E$6:$AD$102,MATCH($A63,'AEO 2026 Table 5'!$B$6:$B$102,0),MATCH(T$1,'AEO 2026 Table 5'!$E$5:$AD$5,0))</f>
        <v/>
      </c>
      <c r="U63">
        <f>INDEX('AEO 2026 Table 5'!$E$6:$AD$102,MATCH($A63,'AEO 2026 Table 5'!$B$6:$B$102,0),MATCH(U$1,'AEO 2026 Table 5'!$E$5:$AD$5,0))</f>
        <v/>
      </c>
      <c r="V63">
        <f>INDEX('AEO 2026 Table 5'!$E$6:$AD$102,MATCH($A63,'AEO 2026 Table 5'!$B$6:$B$102,0),MATCH(V$1,'AEO 2026 Table 5'!$E$5:$AD$5,0))</f>
        <v/>
      </c>
      <c r="W63">
        <f>INDEX('AEO 2026 Table 5'!$E$6:$AD$102,MATCH($A63,'AEO 2026 Table 5'!$B$6:$B$102,0),MATCH(W$1,'AEO 2026 Table 5'!$E$5:$AD$5,0))</f>
        <v/>
      </c>
      <c r="X63">
        <f>INDEX('AEO 2026 Table 5'!$E$6:$AD$102,MATCH($A63,'AEO 2026 Table 5'!$B$6:$B$102,0),MATCH(X$1,'AEO 2026 Table 5'!$E$5:$AD$5,0))</f>
        <v/>
      </c>
      <c r="Y63">
        <f>INDEX('AEO 2026 Table 5'!$E$6:$AD$102,MATCH($A63,'AEO 2026 Table 5'!$B$6:$B$102,0),MATCH(Y$1,'AEO 2026 Table 5'!$E$5:$AD$5,0))</f>
        <v/>
      </c>
      <c r="Z63">
        <f>INDEX('AEO 2026 Table 5'!$E$6:$AD$102,MATCH($A63,'AEO 2026 Table 5'!$B$6:$B$102,0),MATCH(Z$1,'AEO 2026 Table 5'!$E$5:$AD$5,0))</f>
        <v/>
      </c>
      <c r="AA63">
        <f>INDEX('AEO 2026 Table 5'!$E$6:$AD$102,MATCH($A63,'AEO 2026 Table 5'!$B$6:$B$102,0),MATCH(AA$1,'AEO 2026 Table 5'!$E$5:$AD$5,0))</f>
        <v/>
      </c>
      <c r="AB63">
        <f>INDEX('AEO 2026 Table 5'!$E$6:$AD$102,MATCH($A63,'AEO 2026 Table 5'!$B$6:$B$102,0),MATCH(AB$1,'AEO 2026 Table 5'!$E$5:$AD$5,0))</f>
        <v/>
      </c>
      <c r="AC63">
        <f>INDEX('AEO 2026 Table 5'!$E$6:$AD$102,MATCH($A63,'AEO 2026 Table 5'!$B$6:$B$102,0),MATCH(AC$1,'AEO 2026 Table 5'!$E$5:$AD$5,0))</f>
        <v/>
      </c>
      <c r="AD63">
        <f>INDEX('AEO 2026 Table 5'!$E$6:$AD$102,MATCH($A63,'AEO 2026 Table 5'!$B$6:$B$102,0),MATCH(AD$1,'AEO 2026 Table 5'!$E$5:$AD$5,0))</f>
        <v/>
      </c>
      <c r="AE63">
        <f>INDEX('AEO 2026 Table 5'!$E$6:$AD$102,MATCH($A63,'AEO 2026 Table 5'!$B$6:$B$102,0),MATCH(AE$1,'AEO 2026 Table 5'!$E$5:$AD$5,0))</f>
        <v/>
      </c>
      <c r="AF63">
        <f>INDEX('AEO 2026 Table 5'!$E$6:$AD$102,MATCH($A63,'AEO 2026 Table 5'!$B$6:$B$102,0),MATCH(AF$1,'AEO 2026 Table 5'!$E$5:$AD$5,0))</f>
        <v/>
      </c>
      <c r="AG63">
        <f>INDEX('AEO 2026 Table 5'!$E$6:$AD$102,MATCH($A63,'AEO 2026 Table 5'!$B$6:$B$102,0),MATCH(AG$1,'AEO 2026 Table 5'!$E$5:$AD$5,0))</f>
        <v/>
      </c>
    </row>
    <row r="64">
      <c r="A64" t="inlineStr">
        <is>
          <t>Commercial: Other Fuels: Alternative Electricity and Transportation</t>
        </is>
      </c>
      <c r="B64" t="inlineStr">
        <is>
          <t>Commercial: Other Fuels: High Zero-Carbon Technology Cost</t>
        </is>
      </c>
      <c r="C64">
        <f>D64&amp;"-"&amp;E64&amp;"-"&amp;F64</f>
        <v/>
      </c>
      <c r="D64" t="inlineStr">
        <is>
          <t>commercial</t>
        </is>
      </c>
      <c r="E64" t="inlineStr">
        <is>
          <t>other</t>
        </is>
      </c>
      <c r="F64" s="1" t="inlineStr">
        <is>
          <t>LPG propane or butane (BTU)</t>
        </is>
      </c>
      <c r="G64" s="44">
        <f>INDEX('AEO 2025 Table 5'!$F$8:$AG$102,MATCH('Crosswalk AEO to EPS Summary'!$B64,'AEO 2025 Table 5'!$B$8:$B$102,0),MATCH(G$1,'AEO 2025 Table 5'!$F$5:$AG$5,0))</f>
        <v/>
      </c>
      <c r="H64">
        <f>INDEX('AEO 2026 Table 5'!$E$6:$AD$102,MATCH($A64,'AEO 2026 Table 5'!$B$6:$B$102,0),MATCH(H$1,'AEO 2026 Table 5'!$E$5:$AD$5,0))</f>
        <v/>
      </c>
      <c r="I64">
        <f>INDEX('AEO 2026 Table 5'!$E$6:$AD$102,MATCH($A64,'AEO 2026 Table 5'!$B$6:$B$102,0),MATCH(I$1,'AEO 2026 Table 5'!$E$5:$AD$5,0))</f>
        <v/>
      </c>
      <c r="J64">
        <f>INDEX('AEO 2026 Table 5'!$E$6:$AD$102,MATCH($A64,'AEO 2026 Table 5'!$B$6:$B$102,0),MATCH(J$1,'AEO 2026 Table 5'!$E$5:$AD$5,0))</f>
        <v/>
      </c>
      <c r="K64">
        <f>INDEX('AEO 2026 Table 5'!$E$6:$AD$102,MATCH($A64,'AEO 2026 Table 5'!$B$6:$B$102,0),MATCH(K$1,'AEO 2026 Table 5'!$E$5:$AD$5,0))</f>
        <v/>
      </c>
      <c r="L64">
        <f>INDEX('AEO 2026 Table 5'!$E$6:$AD$102,MATCH($A64,'AEO 2026 Table 5'!$B$6:$B$102,0),MATCH(L$1,'AEO 2026 Table 5'!$E$5:$AD$5,0))</f>
        <v/>
      </c>
      <c r="M64">
        <f>INDEX('AEO 2026 Table 5'!$E$6:$AD$102,MATCH($A64,'AEO 2026 Table 5'!$B$6:$B$102,0),MATCH(M$1,'AEO 2026 Table 5'!$E$5:$AD$5,0))</f>
        <v/>
      </c>
      <c r="N64">
        <f>INDEX('AEO 2026 Table 5'!$E$6:$AD$102,MATCH($A64,'AEO 2026 Table 5'!$B$6:$B$102,0),MATCH(N$1,'AEO 2026 Table 5'!$E$5:$AD$5,0))</f>
        <v/>
      </c>
      <c r="O64">
        <f>INDEX('AEO 2026 Table 5'!$E$6:$AD$102,MATCH($A64,'AEO 2026 Table 5'!$B$6:$B$102,0),MATCH(O$1,'AEO 2026 Table 5'!$E$5:$AD$5,0))</f>
        <v/>
      </c>
      <c r="P64">
        <f>INDEX('AEO 2026 Table 5'!$E$6:$AD$102,MATCH($A64,'AEO 2026 Table 5'!$B$6:$B$102,0),MATCH(P$1,'AEO 2026 Table 5'!$E$5:$AD$5,0))</f>
        <v/>
      </c>
      <c r="Q64">
        <f>INDEX('AEO 2026 Table 5'!$E$6:$AD$102,MATCH($A64,'AEO 2026 Table 5'!$B$6:$B$102,0),MATCH(Q$1,'AEO 2026 Table 5'!$E$5:$AD$5,0))</f>
        <v/>
      </c>
      <c r="R64">
        <f>INDEX('AEO 2026 Table 5'!$E$6:$AD$102,MATCH($A64,'AEO 2026 Table 5'!$B$6:$B$102,0),MATCH(R$1,'AEO 2026 Table 5'!$E$5:$AD$5,0))</f>
        <v/>
      </c>
      <c r="S64">
        <f>INDEX('AEO 2026 Table 5'!$E$6:$AD$102,MATCH($A64,'AEO 2026 Table 5'!$B$6:$B$102,0),MATCH(S$1,'AEO 2026 Table 5'!$E$5:$AD$5,0))</f>
        <v/>
      </c>
      <c r="T64">
        <f>INDEX('AEO 2026 Table 5'!$E$6:$AD$102,MATCH($A64,'AEO 2026 Table 5'!$B$6:$B$102,0),MATCH(T$1,'AEO 2026 Table 5'!$E$5:$AD$5,0))</f>
        <v/>
      </c>
      <c r="U64">
        <f>INDEX('AEO 2026 Table 5'!$E$6:$AD$102,MATCH($A64,'AEO 2026 Table 5'!$B$6:$B$102,0),MATCH(U$1,'AEO 2026 Table 5'!$E$5:$AD$5,0))</f>
        <v/>
      </c>
      <c r="V64">
        <f>INDEX('AEO 2026 Table 5'!$E$6:$AD$102,MATCH($A64,'AEO 2026 Table 5'!$B$6:$B$102,0),MATCH(V$1,'AEO 2026 Table 5'!$E$5:$AD$5,0))</f>
        <v/>
      </c>
      <c r="W64">
        <f>INDEX('AEO 2026 Table 5'!$E$6:$AD$102,MATCH($A64,'AEO 2026 Table 5'!$B$6:$B$102,0),MATCH(W$1,'AEO 2026 Table 5'!$E$5:$AD$5,0))</f>
        <v/>
      </c>
      <c r="X64">
        <f>INDEX('AEO 2026 Table 5'!$E$6:$AD$102,MATCH($A64,'AEO 2026 Table 5'!$B$6:$B$102,0),MATCH(X$1,'AEO 2026 Table 5'!$E$5:$AD$5,0))</f>
        <v/>
      </c>
      <c r="Y64">
        <f>INDEX('AEO 2026 Table 5'!$E$6:$AD$102,MATCH($A64,'AEO 2026 Table 5'!$B$6:$B$102,0),MATCH(Y$1,'AEO 2026 Table 5'!$E$5:$AD$5,0))</f>
        <v/>
      </c>
      <c r="Z64">
        <f>INDEX('AEO 2026 Table 5'!$E$6:$AD$102,MATCH($A64,'AEO 2026 Table 5'!$B$6:$B$102,0),MATCH(Z$1,'AEO 2026 Table 5'!$E$5:$AD$5,0))</f>
        <v/>
      </c>
      <c r="AA64">
        <f>INDEX('AEO 2026 Table 5'!$E$6:$AD$102,MATCH($A64,'AEO 2026 Table 5'!$B$6:$B$102,0),MATCH(AA$1,'AEO 2026 Table 5'!$E$5:$AD$5,0))</f>
        <v/>
      </c>
      <c r="AB64">
        <f>INDEX('AEO 2026 Table 5'!$E$6:$AD$102,MATCH($A64,'AEO 2026 Table 5'!$B$6:$B$102,0),MATCH(AB$1,'AEO 2026 Table 5'!$E$5:$AD$5,0))</f>
        <v/>
      </c>
      <c r="AC64">
        <f>INDEX('AEO 2026 Table 5'!$E$6:$AD$102,MATCH($A64,'AEO 2026 Table 5'!$B$6:$B$102,0),MATCH(AC$1,'AEO 2026 Table 5'!$E$5:$AD$5,0))</f>
        <v/>
      </c>
      <c r="AD64">
        <f>INDEX('AEO 2026 Table 5'!$E$6:$AD$102,MATCH($A64,'AEO 2026 Table 5'!$B$6:$B$102,0),MATCH(AD$1,'AEO 2026 Table 5'!$E$5:$AD$5,0))</f>
        <v/>
      </c>
      <c r="AE64">
        <f>INDEX('AEO 2026 Table 5'!$E$6:$AD$102,MATCH($A64,'AEO 2026 Table 5'!$B$6:$B$102,0),MATCH(AE$1,'AEO 2026 Table 5'!$E$5:$AD$5,0))</f>
        <v/>
      </c>
      <c r="AF64">
        <f>INDEX('AEO 2026 Table 5'!$E$6:$AD$102,MATCH($A64,'AEO 2026 Table 5'!$B$6:$B$102,0),MATCH(AF$1,'AEO 2026 Table 5'!$E$5:$AD$5,0))</f>
        <v/>
      </c>
      <c r="AG64">
        <f>INDEX('AEO 2026 Table 5'!$E$6:$AD$102,MATCH($A64,'AEO 2026 Table 5'!$B$6:$B$102,0),MATCH(AG$1,'AEO 2026 Table 5'!$E$5:$AD$5,0))</f>
        <v/>
      </c>
    </row>
    <row r="65">
      <c r="F65" s="1" t="n"/>
    </row>
    <row r="66">
      <c r="F66" s="1" t="n"/>
    </row>
    <row r="67">
      <c r="F67" s="1" t="n"/>
    </row>
  </sheetData>
  <pageMargins left="0.7" right="0.7" top="0.75" bottom="0.75" header="0.3" footer="0.3"/>
  <pageSetup orientation="portrait"/>
</worksheet>
</file>

<file path=xl/worksheets/sheet12.xml><?xml version="1.0" encoding="utf-8"?>
<worksheet xmlns="http://schemas.openxmlformats.org/spreadsheetml/2006/main">
  <sheetPr>
    <outlinePr summaryBelow="1" summaryRight="1"/>
    <pageSetUpPr/>
  </sheetPr>
  <dimension ref="A1:AF240"/>
  <sheetViews>
    <sheetView topLeftCell="A144" zoomScale="80" zoomScaleNormal="80" workbookViewId="0">
      <selection activeCell="F187" sqref="F187:AF187"/>
    </sheetView>
  </sheetViews>
  <sheetFormatPr baseColWidth="8" defaultRowHeight="14.25"/>
  <cols>
    <col width="3.265625" customWidth="1" min="1" max="1"/>
    <col width="56.265625" bestFit="1" customWidth="1" min="2" max="2"/>
    <col width="13.796875" customWidth="1" min="3" max="4"/>
    <col width="28.796875" bestFit="1" customWidth="1" min="5" max="5"/>
    <col width="11.265625" customWidth="1" min="6" max="33"/>
  </cols>
  <sheetData>
    <row r="1">
      <c r="B1" s="63" t="n"/>
    </row>
    <row r="2" ht="18" customHeight="1">
      <c r="A2" s="10" t="inlineStr">
        <is>
          <t>Table 4</t>
        </is>
      </c>
    </row>
    <row r="3">
      <c r="B3" s="1" t="inlineStr">
        <is>
          <t>BCEU-urban-residential-heating</t>
        </is>
      </c>
    </row>
    <row r="4">
      <c r="E4" t="inlineStr">
        <is>
          <t>Year</t>
        </is>
      </c>
      <c r="F4" s="1" t="n">
        <v>2024</v>
      </c>
      <c r="G4" s="1" t="n">
        <v>2025</v>
      </c>
      <c r="H4" s="1" t="n">
        <v>2026</v>
      </c>
      <c r="I4" s="1" t="n">
        <v>2027</v>
      </c>
      <c r="J4" s="1" t="n">
        <v>2028</v>
      </c>
      <c r="K4" s="1" t="n">
        <v>2029</v>
      </c>
      <c r="L4" s="1" t="n">
        <v>2030</v>
      </c>
      <c r="M4" s="1" t="n">
        <v>2031</v>
      </c>
      <c r="N4" s="1" t="n">
        <v>2032</v>
      </c>
      <c r="O4" s="1" t="n">
        <v>2033</v>
      </c>
      <c r="P4" s="1" t="n">
        <v>2034</v>
      </c>
      <c r="Q4" s="1" t="n">
        <v>2035</v>
      </c>
      <c r="R4" s="1" t="n">
        <v>2036</v>
      </c>
      <c r="S4" s="1" t="n">
        <v>2037</v>
      </c>
      <c r="T4" s="1" t="n">
        <v>2038</v>
      </c>
      <c r="U4" s="1" t="n">
        <v>2039</v>
      </c>
      <c r="V4" s="1" t="n">
        <v>2040</v>
      </c>
      <c r="W4" s="1" t="n">
        <v>2041</v>
      </c>
      <c r="X4" s="1" t="n">
        <v>2042</v>
      </c>
      <c r="Y4" s="1" t="n">
        <v>2043</v>
      </c>
      <c r="Z4" s="1" t="n">
        <v>2044</v>
      </c>
      <c r="AA4" s="1" t="n">
        <v>2045</v>
      </c>
      <c r="AB4" s="1" t="n">
        <v>2046</v>
      </c>
      <c r="AC4" s="1" t="n">
        <v>2047</v>
      </c>
      <c r="AD4" s="1" t="n">
        <v>2048</v>
      </c>
      <c r="AE4" s="1" t="n">
        <v>2049</v>
      </c>
      <c r="AF4" s="1" t="n">
        <v>2050</v>
      </c>
    </row>
    <row r="5">
      <c r="B5" s="53">
        <f>C5&amp;"-"&amp;D5&amp;"-"&amp;E5</f>
        <v/>
      </c>
      <c r="C5" t="inlineStr">
        <is>
          <t>residential</t>
        </is>
      </c>
      <c r="D5" t="inlineStr">
        <is>
          <t>heating</t>
        </is>
      </c>
      <c r="E5" t="inlineStr">
        <is>
          <t>electricity (BTU)</t>
        </is>
      </c>
      <c r="F5">
        <f>SUMIFS('Crosswalk AEO to EPS Summary'!G:G,'Crosswalk AEO to EPS Summary'!$C:$C,$B5)*Percent_urban*quadrillion</f>
        <v/>
      </c>
      <c r="G5">
        <f>SUMIFS('Crosswalk AEO to EPS Summary'!H:H,'Crosswalk AEO to EPS Summary'!$C:$C,$B5)*Percent_urban*quadrillion</f>
        <v/>
      </c>
      <c r="H5">
        <f>SUMIFS('Crosswalk AEO to EPS Summary'!I:I,'Crosswalk AEO to EPS Summary'!$C:$C,$B5)*Percent_urban*quadrillion</f>
        <v/>
      </c>
      <c r="I5">
        <f>SUMIFS('Crosswalk AEO to EPS Summary'!J:J,'Crosswalk AEO to EPS Summary'!$C:$C,$B5)*Percent_urban*quadrillion</f>
        <v/>
      </c>
      <c r="J5">
        <f>SUMIFS('Crosswalk AEO to EPS Summary'!K:K,'Crosswalk AEO to EPS Summary'!$C:$C,$B5)*Percent_urban*quadrillion</f>
        <v/>
      </c>
      <c r="K5">
        <f>SUMIFS('Crosswalk AEO to EPS Summary'!L:L,'Crosswalk AEO to EPS Summary'!$C:$C,$B5)*Percent_urban*quadrillion</f>
        <v/>
      </c>
      <c r="L5">
        <f>SUMIFS('Crosswalk AEO to EPS Summary'!M:M,'Crosswalk AEO to EPS Summary'!$C:$C,$B5)*Percent_urban*quadrillion</f>
        <v/>
      </c>
      <c r="M5">
        <f>SUMIFS('Crosswalk AEO to EPS Summary'!N:N,'Crosswalk AEO to EPS Summary'!$C:$C,$B5)*Percent_urban*quadrillion</f>
        <v/>
      </c>
      <c r="N5">
        <f>SUMIFS('Crosswalk AEO to EPS Summary'!O:O,'Crosswalk AEO to EPS Summary'!$C:$C,$B5)*Percent_urban*quadrillion</f>
        <v/>
      </c>
      <c r="O5">
        <f>SUMIFS('Crosswalk AEO to EPS Summary'!P:P,'Crosswalk AEO to EPS Summary'!$C:$C,$B5)*Percent_urban*quadrillion</f>
        <v/>
      </c>
      <c r="P5">
        <f>SUMIFS('Crosswalk AEO to EPS Summary'!Q:Q,'Crosswalk AEO to EPS Summary'!$C:$C,$B5)*Percent_urban*quadrillion</f>
        <v/>
      </c>
      <c r="Q5">
        <f>SUMIFS('Crosswalk AEO to EPS Summary'!R:R,'Crosswalk AEO to EPS Summary'!$C:$C,$B5)*Percent_urban*quadrillion</f>
        <v/>
      </c>
      <c r="R5">
        <f>SUMIFS('Crosswalk AEO to EPS Summary'!S:S,'Crosswalk AEO to EPS Summary'!$C:$C,$B5)*Percent_urban*quadrillion</f>
        <v/>
      </c>
      <c r="S5">
        <f>SUMIFS('Crosswalk AEO to EPS Summary'!T:T,'Crosswalk AEO to EPS Summary'!$C:$C,$B5)*Percent_urban*quadrillion</f>
        <v/>
      </c>
      <c r="T5">
        <f>SUMIFS('Crosswalk AEO to EPS Summary'!U:U,'Crosswalk AEO to EPS Summary'!$C:$C,$B5)*Percent_urban*quadrillion</f>
        <v/>
      </c>
      <c r="U5">
        <f>SUMIFS('Crosswalk AEO to EPS Summary'!V:V,'Crosswalk AEO to EPS Summary'!$C:$C,$B5)*Percent_urban*quadrillion</f>
        <v/>
      </c>
      <c r="V5">
        <f>SUMIFS('Crosswalk AEO to EPS Summary'!W:W,'Crosswalk AEO to EPS Summary'!$C:$C,$B5)*Percent_urban*quadrillion</f>
        <v/>
      </c>
      <c r="W5">
        <f>SUMIFS('Crosswalk AEO to EPS Summary'!X:X,'Crosswalk AEO to EPS Summary'!$C:$C,$B5)*Percent_urban*quadrillion</f>
        <v/>
      </c>
      <c r="X5">
        <f>SUMIFS('Crosswalk AEO to EPS Summary'!Y:Y,'Crosswalk AEO to EPS Summary'!$C:$C,$B5)*Percent_urban*quadrillion</f>
        <v/>
      </c>
      <c r="Y5">
        <f>SUMIFS('Crosswalk AEO to EPS Summary'!Z:Z,'Crosswalk AEO to EPS Summary'!$C:$C,$B5)*Percent_urban*quadrillion</f>
        <v/>
      </c>
      <c r="Z5">
        <f>SUMIFS('Crosswalk AEO to EPS Summary'!AA:AA,'Crosswalk AEO to EPS Summary'!$C:$C,$B5)*Percent_urban*quadrillion</f>
        <v/>
      </c>
      <c r="AA5">
        <f>SUMIFS('Crosswalk AEO to EPS Summary'!AB:AB,'Crosswalk AEO to EPS Summary'!$C:$C,$B5)*Percent_urban*quadrillion</f>
        <v/>
      </c>
      <c r="AB5">
        <f>SUMIFS('Crosswalk AEO to EPS Summary'!AC:AC,'Crosswalk AEO to EPS Summary'!$C:$C,$B5)*Percent_urban*quadrillion</f>
        <v/>
      </c>
      <c r="AC5">
        <f>SUMIFS('Crosswalk AEO to EPS Summary'!AD:AD,'Crosswalk AEO to EPS Summary'!$C:$C,$B5)*Percent_urban*quadrillion</f>
        <v/>
      </c>
      <c r="AD5">
        <f>SUMIFS('Crosswalk AEO to EPS Summary'!AE:AE,'Crosswalk AEO to EPS Summary'!$C:$C,$B5)*Percent_urban*quadrillion</f>
        <v/>
      </c>
      <c r="AE5">
        <f>SUMIFS('Crosswalk AEO to EPS Summary'!AF:AF,'Crosswalk AEO to EPS Summary'!$C:$C,$B5)*Percent_urban*quadrillion</f>
        <v/>
      </c>
      <c r="AF5">
        <f>SUMIFS('Crosswalk AEO to EPS Summary'!AG:AG,'Crosswalk AEO to EPS Summary'!$C:$C,$B5)*Percent_urban*quadrillion</f>
        <v/>
      </c>
    </row>
    <row r="6">
      <c r="B6" s="53">
        <f>C6&amp;"-"&amp;D6&amp;"-"&amp;E6</f>
        <v/>
      </c>
      <c r="C6" t="inlineStr">
        <is>
          <t>residential</t>
        </is>
      </c>
      <c r="D6" t="inlineStr">
        <is>
          <t>heating</t>
        </is>
      </c>
      <c r="E6" t="inlineStr">
        <is>
          <t>coal (BTU)</t>
        </is>
      </c>
      <c r="F6" t="n">
        <v>0</v>
      </c>
      <c r="G6" t="n">
        <v>0</v>
      </c>
      <c r="H6" t="n">
        <v>0</v>
      </c>
      <c r="I6" t="n">
        <v>0</v>
      </c>
      <c r="J6" t="n">
        <v>0</v>
      </c>
      <c r="K6" t="n">
        <v>0</v>
      </c>
      <c r="L6" t="n">
        <v>0</v>
      </c>
      <c r="M6" t="n">
        <v>0</v>
      </c>
      <c r="N6" t="n">
        <v>0</v>
      </c>
      <c r="O6" t="n">
        <v>0</v>
      </c>
      <c r="P6" t="n">
        <v>0</v>
      </c>
      <c r="Q6" t="n">
        <v>0</v>
      </c>
      <c r="R6" t="n">
        <v>0</v>
      </c>
      <c r="S6" t="n">
        <v>0</v>
      </c>
      <c r="T6" t="n">
        <v>0</v>
      </c>
      <c r="U6" t="n">
        <v>0</v>
      </c>
      <c r="V6" t="n">
        <v>0</v>
      </c>
      <c r="W6" t="n">
        <v>0</v>
      </c>
      <c r="X6" t="n">
        <v>0</v>
      </c>
      <c r="Y6" t="n">
        <v>0</v>
      </c>
      <c r="Z6" t="n">
        <v>0</v>
      </c>
      <c r="AA6" t="n">
        <v>0</v>
      </c>
      <c r="AB6" t="n">
        <v>0</v>
      </c>
      <c r="AC6" t="n">
        <v>0</v>
      </c>
      <c r="AD6" t="n">
        <v>0</v>
      </c>
      <c r="AE6" t="n">
        <v>0</v>
      </c>
      <c r="AF6" t="n">
        <v>0</v>
      </c>
    </row>
    <row r="7">
      <c r="B7" s="53">
        <f>C7&amp;"-"&amp;D7&amp;"-"&amp;E7</f>
        <v/>
      </c>
      <c r="C7" t="inlineStr">
        <is>
          <t>residential</t>
        </is>
      </c>
      <c r="D7" t="inlineStr">
        <is>
          <t>heating</t>
        </is>
      </c>
      <c r="E7" t="inlineStr">
        <is>
          <t>natural gas (BTU)</t>
        </is>
      </c>
      <c r="F7">
        <f>SUMIFS('Crosswalk AEO to EPS Summary'!G:G,'Crosswalk AEO to EPS Summary'!$C:$C,$B7)*Percent_urban*quadrillion</f>
        <v/>
      </c>
      <c r="G7">
        <f>SUMIFS('Crosswalk AEO to EPS Summary'!H:H,'Crosswalk AEO to EPS Summary'!$C:$C,$B7)*Percent_urban*quadrillion</f>
        <v/>
      </c>
      <c r="H7">
        <f>SUMIFS('Crosswalk AEO to EPS Summary'!I:I,'Crosswalk AEO to EPS Summary'!$C:$C,$B7)*Percent_urban*quadrillion</f>
        <v/>
      </c>
      <c r="I7">
        <f>SUMIFS('Crosswalk AEO to EPS Summary'!J:J,'Crosswalk AEO to EPS Summary'!$C:$C,$B7)*Percent_urban*quadrillion</f>
        <v/>
      </c>
      <c r="J7">
        <f>SUMIFS('Crosswalk AEO to EPS Summary'!K:K,'Crosswalk AEO to EPS Summary'!$C:$C,$B7)*Percent_urban*quadrillion</f>
        <v/>
      </c>
      <c r="K7">
        <f>SUMIFS('Crosswalk AEO to EPS Summary'!L:L,'Crosswalk AEO to EPS Summary'!$C:$C,$B7)*Percent_urban*quadrillion</f>
        <v/>
      </c>
      <c r="L7">
        <f>SUMIFS('Crosswalk AEO to EPS Summary'!M:M,'Crosswalk AEO to EPS Summary'!$C:$C,$B7)*Percent_urban*quadrillion</f>
        <v/>
      </c>
      <c r="M7">
        <f>SUMIFS('Crosswalk AEO to EPS Summary'!N:N,'Crosswalk AEO to EPS Summary'!$C:$C,$B7)*Percent_urban*quadrillion</f>
        <v/>
      </c>
      <c r="N7">
        <f>SUMIFS('Crosswalk AEO to EPS Summary'!O:O,'Crosswalk AEO to EPS Summary'!$C:$C,$B7)*Percent_urban*quadrillion</f>
        <v/>
      </c>
      <c r="O7">
        <f>SUMIFS('Crosswalk AEO to EPS Summary'!P:P,'Crosswalk AEO to EPS Summary'!$C:$C,$B7)*Percent_urban*quadrillion</f>
        <v/>
      </c>
      <c r="P7">
        <f>SUMIFS('Crosswalk AEO to EPS Summary'!Q:Q,'Crosswalk AEO to EPS Summary'!$C:$C,$B7)*Percent_urban*quadrillion</f>
        <v/>
      </c>
      <c r="Q7">
        <f>SUMIFS('Crosswalk AEO to EPS Summary'!R:R,'Crosswalk AEO to EPS Summary'!$C:$C,$B7)*Percent_urban*quadrillion</f>
        <v/>
      </c>
      <c r="R7">
        <f>SUMIFS('Crosswalk AEO to EPS Summary'!S:S,'Crosswalk AEO to EPS Summary'!$C:$C,$B7)*Percent_urban*quadrillion</f>
        <v/>
      </c>
      <c r="S7">
        <f>SUMIFS('Crosswalk AEO to EPS Summary'!T:T,'Crosswalk AEO to EPS Summary'!$C:$C,$B7)*Percent_urban*quadrillion</f>
        <v/>
      </c>
      <c r="T7">
        <f>SUMIFS('Crosswalk AEO to EPS Summary'!U:U,'Crosswalk AEO to EPS Summary'!$C:$C,$B7)*Percent_urban*quadrillion</f>
        <v/>
      </c>
      <c r="U7">
        <f>SUMIFS('Crosswalk AEO to EPS Summary'!V:V,'Crosswalk AEO to EPS Summary'!$C:$C,$B7)*Percent_urban*quadrillion</f>
        <v/>
      </c>
      <c r="V7">
        <f>SUMIFS('Crosswalk AEO to EPS Summary'!W:W,'Crosswalk AEO to EPS Summary'!$C:$C,$B7)*Percent_urban*quadrillion</f>
        <v/>
      </c>
      <c r="W7">
        <f>SUMIFS('Crosswalk AEO to EPS Summary'!X:X,'Crosswalk AEO to EPS Summary'!$C:$C,$B7)*Percent_urban*quadrillion</f>
        <v/>
      </c>
      <c r="X7">
        <f>SUMIFS('Crosswalk AEO to EPS Summary'!Y:Y,'Crosswalk AEO to EPS Summary'!$C:$C,$B7)*Percent_urban*quadrillion</f>
        <v/>
      </c>
      <c r="Y7">
        <f>SUMIFS('Crosswalk AEO to EPS Summary'!Z:Z,'Crosswalk AEO to EPS Summary'!$C:$C,$B7)*Percent_urban*quadrillion</f>
        <v/>
      </c>
      <c r="Z7">
        <f>SUMIFS('Crosswalk AEO to EPS Summary'!AA:AA,'Crosswalk AEO to EPS Summary'!$C:$C,$B7)*Percent_urban*quadrillion</f>
        <v/>
      </c>
      <c r="AA7">
        <f>SUMIFS('Crosswalk AEO to EPS Summary'!AB:AB,'Crosswalk AEO to EPS Summary'!$C:$C,$B7)*Percent_urban*quadrillion</f>
        <v/>
      </c>
      <c r="AB7">
        <f>SUMIFS('Crosswalk AEO to EPS Summary'!AC:AC,'Crosswalk AEO to EPS Summary'!$C:$C,$B7)*Percent_urban*quadrillion</f>
        <v/>
      </c>
      <c r="AC7">
        <f>SUMIFS('Crosswalk AEO to EPS Summary'!AD:AD,'Crosswalk AEO to EPS Summary'!$C:$C,$B7)*Percent_urban*quadrillion</f>
        <v/>
      </c>
      <c r="AD7">
        <f>SUMIFS('Crosswalk AEO to EPS Summary'!AE:AE,'Crosswalk AEO to EPS Summary'!$C:$C,$B7)*Percent_urban*quadrillion</f>
        <v/>
      </c>
      <c r="AE7">
        <f>SUMIFS('Crosswalk AEO to EPS Summary'!AF:AF,'Crosswalk AEO to EPS Summary'!$C:$C,$B7)*Percent_urban*quadrillion</f>
        <v/>
      </c>
      <c r="AF7">
        <f>SUMIFS('Crosswalk AEO to EPS Summary'!AG:AG,'Crosswalk AEO to EPS Summary'!$C:$C,$B7)*Percent_urban*quadrillion</f>
        <v/>
      </c>
    </row>
    <row r="8">
      <c r="B8" s="53">
        <f>C8&amp;"-"&amp;D8&amp;"-"&amp;E8</f>
        <v/>
      </c>
      <c r="C8" t="inlineStr">
        <is>
          <t>residential</t>
        </is>
      </c>
      <c r="D8" t="inlineStr">
        <is>
          <t>heating</t>
        </is>
      </c>
      <c r="E8" t="inlineStr">
        <is>
          <t>petroleum diesel (BTU)</t>
        </is>
      </c>
      <c r="F8">
        <f>SUMIFS('Crosswalk AEO to EPS Summary'!G:G,'Crosswalk AEO to EPS Summary'!$C:$C,$B8)*Percent_urban*quadrillion</f>
        <v/>
      </c>
      <c r="G8">
        <f>SUMIFS('Crosswalk AEO to EPS Summary'!H:H,'Crosswalk AEO to EPS Summary'!$C:$C,$B8)*Percent_urban*quadrillion</f>
        <v/>
      </c>
      <c r="H8">
        <f>SUMIFS('Crosswalk AEO to EPS Summary'!I:I,'Crosswalk AEO to EPS Summary'!$C:$C,$B8)*Percent_urban*quadrillion</f>
        <v/>
      </c>
      <c r="I8">
        <f>SUMIFS('Crosswalk AEO to EPS Summary'!J:J,'Crosswalk AEO to EPS Summary'!$C:$C,$B8)*Percent_urban*quadrillion</f>
        <v/>
      </c>
      <c r="J8">
        <f>SUMIFS('Crosswalk AEO to EPS Summary'!K:K,'Crosswalk AEO to EPS Summary'!$C:$C,$B8)*Percent_urban*quadrillion</f>
        <v/>
      </c>
      <c r="K8">
        <f>SUMIFS('Crosswalk AEO to EPS Summary'!L:L,'Crosswalk AEO to EPS Summary'!$C:$C,$B8)*Percent_urban*quadrillion</f>
        <v/>
      </c>
      <c r="L8">
        <f>SUMIFS('Crosswalk AEO to EPS Summary'!M:M,'Crosswalk AEO to EPS Summary'!$C:$C,$B8)*Percent_urban*quadrillion</f>
        <v/>
      </c>
      <c r="M8">
        <f>SUMIFS('Crosswalk AEO to EPS Summary'!N:N,'Crosswalk AEO to EPS Summary'!$C:$C,$B8)*Percent_urban*quadrillion</f>
        <v/>
      </c>
      <c r="N8">
        <f>SUMIFS('Crosswalk AEO to EPS Summary'!O:O,'Crosswalk AEO to EPS Summary'!$C:$C,$B8)*Percent_urban*quadrillion</f>
        <v/>
      </c>
      <c r="O8">
        <f>SUMIFS('Crosswalk AEO to EPS Summary'!P:P,'Crosswalk AEO to EPS Summary'!$C:$C,$B8)*Percent_urban*quadrillion</f>
        <v/>
      </c>
      <c r="P8">
        <f>SUMIFS('Crosswalk AEO to EPS Summary'!Q:Q,'Crosswalk AEO to EPS Summary'!$C:$C,$B8)*Percent_urban*quadrillion</f>
        <v/>
      </c>
      <c r="Q8">
        <f>SUMIFS('Crosswalk AEO to EPS Summary'!R:R,'Crosswalk AEO to EPS Summary'!$C:$C,$B8)*Percent_urban*quadrillion</f>
        <v/>
      </c>
      <c r="R8">
        <f>SUMIFS('Crosswalk AEO to EPS Summary'!S:S,'Crosswalk AEO to EPS Summary'!$C:$C,$B8)*Percent_urban*quadrillion</f>
        <v/>
      </c>
      <c r="S8">
        <f>SUMIFS('Crosswalk AEO to EPS Summary'!T:T,'Crosswalk AEO to EPS Summary'!$C:$C,$B8)*Percent_urban*quadrillion</f>
        <v/>
      </c>
      <c r="T8">
        <f>SUMIFS('Crosswalk AEO to EPS Summary'!U:U,'Crosswalk AEO to EPS Summary'!$C:$C,$B8)*Percent_urban*quadrillion</f>
        <v/>
      </c>
      <c r="U8">
        <f>SUMIFS('Crosswalk AEO to EPS Summary'!V:V,'Crosswalk AEO to EPS Summary'!$C:$C,$B8)*Percent_urban*quadrillion</f>
        <v/>
      </c>
      <c r="V8">
        <f>SUMIFS('Crosswalk AEO to EPS Summary'!W:W,'Crosswalk AEO to EPS Summary'!$C:$C,$B8)*Percent_urban*quadrillion</f>
        <v/>
      </c>
      <c r="W8">
        <f>SUMIFS('Crosswalk AEO to EPS Summary'!X:X,'Crosswalk AEO to EPS Summary'!$C:$C,$B8)*Percent_urban*quadrillion</f>
        <v/>
      </c>
      <c r="X8">
        <f>SUMIFS('Crosswalk AEO to EPS Summary'!Y:Y,'Crosswalk AEO to EPS Summary'!$C:$C,$B8)*Percent_urban*quadrillion</f>
        <v/>
      </c>
      <c r="Y8">
        <f>SUMIFS('Crosswalk AEO to EPS Summary'!Z:Z,'Crosswalk AEO to EPS Summary'!$C:$C,$B8)*Percent_urban*quadrillion</f>
        <v/>
      </c>
      <c r="Z8">
        <f>SUMIFS('Crosswalk AEO to EPS Summary'!AA:AA,'Crosswalk AEO to EPS Summary'!$C:$C,$B8)*Percent_urban*quadrillion</f>
        <v/>
      </c>
      <c r="AA8">
        <f>SUMIFS('Crosswalk AEO to EPS Summary'!AB:AB,'Crosswalk AEO to EPS Summary'!$C:$C,$B8)*Percent_urban*quadrillion</f>
        <v/>
      </c>
      <c r="AB8">
        <f>SUMIFS('Crosswalk AEO to EPS Summary'!AC:AC,'Crosswalk AEO to EPS Summary'!$C:$C,$B8)*Percent_urban*quadrillion</f>
        <v/>
      </c>
      <c r="AC8">
        <f>SUMIFS('Crosswalk AEO to EPS Summary'!AD:AD,'Crosswalk AEO to EPS Summary'!$C:$C,$B8)*Percent_urban*quadrillion</f>
        <v/>
      </c>
      <c r="AD8">
        <f>SUMIFS('Crosswalk AEO to EPS Summary'!AE:AE,'Crosswalk AEO to EPS Summary'!$C:$C,$B8)*Percent_urban*quadrillion</f>
        <v/>
      </c>
      <c r="AE8">
        <f>SUMIFS('Crosswalk AEO to EPS Summary'!AF:AF,'Crosswalk AEO to EPS Summary'!$C:$C,$B8)*Percent_urban*quadrillion</f>
        <v/>
      </c>
      <c r="AF8">
        <f>SUMIFS('Crosswalk AEO to EPS Summary'!AG:AG,'Crosswalk AEO to EPS Summary'!$C:$C,$B8)*Percent_urban*quadrillion</f>
        <v/>
      </c>
    </row>
    <row r="9">
      <c r="B9" s="53">
        <f>C9&amp;"-"&amp;D9&amp;"-"&amp;E9</f>
        <v/>
      </c>
      <c r="C9" t="inlineStr">
        <is>
          <t>residential</t>
        </is>
      </c>
      <c r="D9" t="inlineStr">
        <is>
          <t>heating</t>
        </is>
      </c>
      <c r="E9" t="inlineStr">
        <is>
          <t>heat (BTU)</t>
        </is>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row>
    <row r="10">
      <c r="B10" s="53">
        <f>C10&amp;"-"&amp;D10&amp;"-"&amp;E10</f>
        <v/>
      </c>
      <c r="C10" t="inlineStr">
        <is>
          <t>residential</t>
        </is>
      </c>
      <c r="D10" t="inlineStr">
        <is>
          <t>heating</t>
        </is>
      </c>
      <c r="E10" t="inlineStr">
        <is>
          <t>biomass (BTU)</t>
        </is>
      </c>
      <c r="F10">
        <f>SUMIFS('Crosswalk AEO to EPS Summary'!G:G,'Crosswalk AEO to EPS Summary'!$C:$C,$B10)*Percent_urban*quadrillion</f>
        <v/>
      </c>
      <c r="G10">
        <f>SUMIFS('Crosswalk AEO to EPS Summary'!H:H,'Crosswalk AEO to EPS Summary'!$C:$C,$B10)*Percent_urban*quadrillion</f>
        <v/>
      </c>
      <c r="H10">
        <f>SUMIFS('Crosswalk AEO to EPS Summary'!I:I,'Crosswalk AEO to EPS Summary'!$C:$C,$B10)*Percent_urban*quadrillion</f>
        <v/>
      </c>
      <c r="I10">
        <f>SUMIFS('Crosswalk AEO to EPS Summary'!J:J,'Crosswalk AEO to EPS Summary'!$C:$C,$B10)*Percent_urban*quadrillion</f>
        <v/>
      </c>
      <c r="J10">
        <f>SUMIFS('Crosswalk AEO to EPS Summary'!K:K,'Crosswalk AEO to EPS Summary'!$C:$C,$B10)*Percent_urban*quadrillion</f>
        <v/>
      </c>
      <c r="K10">
        <f>SUMIFS('Crosswalk AEO to EPS Summary'!L:L,'Crosswalk AEO to EPS Summary'!$C:$C,$B10)*Percent_urban*quadrillion</f>
        <v/>
      </c>
      <c r="L10">
        <f>SUMIFS('Crosswalk AEO to EPS Summary'!M:M,'Crosswalk AEO to EPS Summary'!$C:$C,$B10)*Percent_urban*quadrillion</f>
        <v/>
      </c>
      <c r="M10">
        <f>SUMIFS('Crosswalk AEO to EPS Summary'!N:N,'Crosswalk AEO to EPS Summary'!$C:$C,$B10)*Percent_urban*quadrillion</f>
        <v/>
      </c>
      <c r="N10">
        <f>SUMIFS('Crosswalk AEO to EPS Summary'!O:O,'Crosswalk AEO to EPS Summary'!$C:$C,$B10)*Percent_urban*quadrillion</f>
        <v/>
      </c>
      <c r="O10">
        <f>SUMIFS('Crosswalk AEO to EPS Summary'!P:P,'Crosswalk AEO to EPS Summary'!$C:$C,$B10)*Percent_urban*quadrillion</f>
        <v/>
      </c>
      <c r="P10">
        <f>SUMIFS('Crosswalk AEO to EPS Summary'!Q:Q,'Crosswalk AEO to EPS Summary'!$C:$C,$B10)*Percent_urban*quadrillion</f>
        <v/>
      </c>
      <c r="Q10">
        <f>SUMIFS('Crosswalk AEO to EPS Summary'!R:R,'Crosswalk AEO to EPS Summary'!$C:$C,$B10)*Percent_urban*quadrillion</f>
        <v/>
      </c>
      <c r="R10">
        <f>SUMIFS('Crosswalk AEO to EPS Summary'!S:S,'Crosswalk AEO to EPS Summary'!$C:$C,$B10)*Percent_urban*quadrillion</f>
        <v/>
      </c>
      <c r="S10">
        <f>SUMIFS('Crosswalk AEO to EPS Summary'!T:T,'Crosswalk AEO to EPS Summary'!$C:$C,$B10)*Percent_urban*quadrillion</f>
        <v/>
      </c>
      <c r="T10">
        <f>SUMIFS('Crosswalk AEO to EPS Summary'!U:U,'Crosswalk AEO to EPS Summary'!$C:$C,$B10)*Percent_urban*quadrillion</f>
        <v/>
      </c>
      <c r="U10">
        <f>SUMIFS('Crosswalk AEO to EPS Summary'!V:V,'Crosswalk AEO to EPS Summary'!$C:$C,$B10)*Percent_urban*quadrillion</f>
        <v/>
      </c>
      <c r="V10">
        <f>SUMIFS('Crosswalk AEO to EPS Summary'!W:W,'Crosswalk AEO to EPS Summary'!$C:$C,$B10)*Percent_urban*quadrillion</f>
        <v/>
      </c>
      <c r="W10">
        <f>SUMIFS('Crosswalk AEO to EPS Summary'!X:X,'Crosswalk AEO to EPS Summary'!$C:$C,$B10)*Percent_urban*quadrillion</f>
        <v/>
      </c>
      <c r="X10">
        <f>SUMIFS('Crosswalk AEO to EPS Summary'!Y:Y,'Crosswalk AEO to EPS Summary'!$C:$C,$B10)*Percent_urban*quadrillion</f>
        <v/>
      </c>
      <c r="Y10">
        <f>SUMIFS('Crosswalk AEO to EPS Summary'!Z:Z,'Crosswalk AEO to EPS Summary'!$C:$C,$B10)*Percent_urban*quadrillion</f>
        <v/>
      </c>
      <c r="Z10">
        <f>SUMIFS('Crosswalk AEO to EPS Summary'!AA:AA,'Crosswalk AEO to EPS Summary'!$C:$C,$B10)*Percent_urban*quadrillion</f>
        <v/>
      </c>
      <c r="AA10">
        <f>SUMIFS('Crosswalk AEO to EPS Summary'!AB:AB,'Crosswalk AEO to EPS Summary'!$C:$C,$B10)*Percent_urban*quadrillion</f>
        <v/>
      </c>
      <c r="AB10">
        <f>SUMIFS('Crosswalk AEO to EPS Summary'!AC:AC,'Crosswalk AEO to EPS Summary'!$C:$C,$B10)*Percent_urban*quadrillion</f>
        <v/>
      </c>
      <c r="AC10">
        <f>SUMIFS('Crosswalk AEO to EPS Summary'!AD:AD,'Crosswalk AEO to EPS Summary'!$C:$C,$B10)*Percent_urban*quadrillion</f>
        <v/>
      </c>
      <c r="AD10">
        <f>SUMIFS('Crosswalk AEO to EPS Summary'!AE:AE,'Crosswalk AEO to EPS Summary'!$C:$C,$B10)*Percent_urban*quadrillion</f>
        <v/>
      </c>
      <c r="AE10">
        <f>SUMIFS('Crosswalk AEO to EPS Summary'!AF:AF,'Crosswalk AEO to EPS Summary'!$C:$C,$B10)*Percent_urban*quadrillion</f>
        <v/>
      </c>
      <c r="AF10">
        <f>SUMIFS('Crosswalk AEO to EPS Summary'!AG:AG,'Crosswalk AEO to EPS Summary'!$C:$C,$B10)*Percent_urban*quadrillion</f>
        <v/>
      </c>
    </row>
    <row r="11">
      <c r="B11" s="53">
        <f>C11&amp;"-"&amp;D11&amp;"-"&amp;E11</f>
        <v/>
      </c>
      <c r="C11" t="inlineStr">
        <is>
          <t>residential</t>
        </is>
      </c>
      <c r="D11" t="inlineStr">
        <is>
          <t>heating</t>
        </is>
      </c>
      <c r="E11" t="inlineStr">
        <is>
          <t>kerosene (BTU)</t>
        </is>
      </c>
      <c r="F11" t="n">
        <v>0</v>
      </c>
      <c r="G11" t="n">
        <v>0</v>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t="n">
        <v>0</v>
      </c>
      <c r="AB11" t="n">
        <v>0</v>
      </c>
      <c r="AC11" t="n">
        <v>0</v>
      </c>
      <c r="AD11" t="n">
        <v>0</v>
      </c>
      <c r="AE11" t="n">
        <v>0</v>
      </c>
      <c r="AF11" t="n">
        <v>0</v>
      </c>
    </row>
    <row r="12">
      <c r="B12" s="53">
        <f>C12&amp;"-"&amp;D12&amp;"-"&amp;E12</f>
        <v/>
      </c>
      <c r="C12" t="inlineStr">
        <is>
          <t>residential</t>
        </is>
      </c>
      <c r="D12" t="inlineStr">
        <is>
          <t>heating</t>
        </is>
      </c>
      <c r="E12" t="inlineStr">
        <is>
          <t>heavy or residual fuel oil (BTU)</t>
        </is>
      </c>
      <c r="F12" t="n">
        <v>0</v>
      </c>
      <c r="G12" t="n">
        <v>0</v>
      </c>
      <c r="H12" t="n">
        <v>0</v>
      </c>
      <c r="I12" t="n">
        <v>0</v>
      </c>
      <c r="J12" t="n">
        <v>0</v>
      </c>
      <c r="K12" t="n">
        <v>0</v>
      </c>
      <c r="L12" t="n">
        <v>0</v>
      </c>
      <c r="M12" t="n">
        <v>0</v>
      </c>
      <c r="N12" t="n">
        <v>0</v>
      </c>
      <c r="O12" t="n">
        <v>0</v>
      </c>
      <c r="P12" t="n">
        <v>0</v>
      </c>
      <c r="Q12" t="n">
        <v>0</v>
      </c>
      <c r="R12" t="n">
        <v>0</v>
      </c>
      <c r="S12" t="n">
        <v>0</v>
      </c>
      <c r="T12" t="n">
        <v>0</v>
      </c>
      <c r="U12" t="n">
        <v>0</v>
      </c>
      <c r="V12" t="n">
        <v>0</v>
      </c>
      <c r="W12" t="n">
        <v>0</v>
      </c>
      <c r="X12" t="n">
        <v>0</v>
      </c>
      <c r="Y12" t="n">
        <v>0</v>
      </c>
      <c r="Z12" t="n">
        <v>0</v>
      </c>
      <c r="AA12" t="n">
        <v>0</v>
      </c>
      <c r="AB12" t="n">
        <v>0</v>
      </c>
      <c r="AC12" t="n">
        <v>0</v>
      </c>
      <c r="AD12" t="n">
        <v>0</v>
      </c>
      <c r="AE12" t="n">
        <v>0</v>
      </c>
      <c r="AF12" t="n">
        <v>0</v>
      </c>
    </row>
    <row r="13">
      <c r="B13" s="53">
        <f>C13&amp;"-"&amp;D13&amp;"-"&amp;E13</f>
        <v/>
      </c>
      <c r="C13" t="inlineStr">
        <is>
          <t>residential</t>
        </is>
      </c>
      <c r="D13" t="inlineStr">
        <is>
          <t>heating</t>
        </is>
      </c>
      <c r="E13" t="inlineStr">
        <is>
          <t>LPG propane or butane (BTU)</t>
        </is>
      </c>
      <c r="F13">
        <f>SUMIFS('Crosswalk AEO to EPS Summary'!G:G,'Crosswalk AEO to EPS Summary'!$C:$C,$B13)*Percent_urban*quadrillion</f>
        <v/>
      </c>
      <c r="G13">
        <f>SUMIFS('Crosswalk AEO to EPS Summary'!H:H,'Crosswalk AEO to EPS Summary'!$C:$C,$B13)*Percent_urban*quadrillion</f>
        <v/>
      </c>
      <c r="H13">
        <f>SUMIFS('Crosswalk AEO to EPS Summary'!I:I,'Crosswalk AEO to EPS Summary'!$C:$C,$B13)*Percent_urban*quadrillion</f>
        <v/>
      </c>
      <c r="I13">
        <f>SUMIFS('Crosswalk AEO to EPS Summary'!J:J,'Crosswalk AEO to EPS Summary'!$C:$C,$B13)*Percent_urban*quadrillion</f>
        <v/>
      </c>
      <c r="J13">
        <f>SUMIFS('Crosswalk AEO to EPS Summary'!K:K,'Crosswalk AEO to EPS Summary'!$C:$C,$B13)*Percent_urban*quadrillion</f>
        <v/>
      </c>
      <c r="K13">
        <f>SUMIFS('Crosswalk AEO to EPS Summary'!L:L,'Crosswalk AEO to EPS Summary'!$C:$C,$B13)*Percent_urban*quadrillion</f>
        <v/>
      </c>
      <c r="L13">
        <f>SUMIFS('Crosswalk AEO to EPS Summary'!M:M,'Crosswalk AEO to EPS Summary'!$C:$C,$B13)*Percent_urban*quadrillion</f>
        <v/>
      </c>
      <c r="M13">
        <f>SUMIFS('Crosswalk AEO to EPS Summary'!N:N,'Crosswalk AEO to EPS Summary'!$C:$C,$B13)*Percent_urban*quadrillion</f>
        <v/>
      </c>
      <c r="N13">
        <f>SUMIFS('Crosswalk AEO to EPS Summary'!O:O,'Crosswalk AEO to EPS Summary'!$C:$C,$B13)*Percent_urban*quadrillion</f>
        <v/>
      </c>
      <c r="O13">
        <f>SUMIFS('Crosswalk AEO to EPS Summary'!P:P,'Crosswalk AEO to EPS Summary'!$C:$C,$B13)*Percent_urban*quadrillion</f>
        <v/>
      </c>
      <c r="P13">
        <f>SUMIFS('Crosswalk AEO to EPS Summary'!Q:Q,'Crosswalk AEO to EPS Summary'!$C:$C,$B13)*Percent_urban*quadrillion</f>
        <v/>
      </c>
      <c r="Q13">
        <f>SUMIFS('Crosswalk AEO to EPS Summary'!R:R,'Crosswalk AEO to EPS Summary'!$C:$C,$B13)*Percent_urban*quadrillion</f>
        <v/>
      </c>
      <c r="R13">
        <f>SUMIFS('Crosswalk AEO to EPS Summary'!S:S,'Crosswalk AEO to EPS Summary'!$C:$C,$B13)*Percent_urban*quadrillion</f>
        <v/>
      </c>
      <c r="S13">
        <f>SUMIFS('Crosswalk AEO to EPS Summary'!T:T,'Crosswalk AEO to EPS Summary'!$C:$C,$B13)*Percent_urban*quadrillion</f>
        <v/>
      </c>
      <c r="T13">
        <f>SUMIFS('Crosswalk AEO to EPS Summary'!U:U,'Crosswalk AEO to EPS Summary'!$C:$C,$B13)*Percent_urban*quadrillion</f>
        <v/>
      </c>
      <c r="U13">
        <f>SUMIFS('Crosswalk AEO to EPS Summary'!V:V,'Crosswalk AEO to EPS Summary'!$C:$C,$B13)*Percent_urban*quadrillion</f>
        <v/>
      </c>
      <c r="V13">
        <f>SUMIFS('Crosswalk AEO to EPS Summary'!W:W,'Crosswalk AEO to EPS Summary'!$C:$C,$B13)*Percent_urban*quadrillion</f>
        <v/>
      </c>
      <c r="W13">
        <f>SUMIFS('Crosswalk AEO to EPS Summary'!X:X,'Crosswalk AEO to EPS Summary'!$C:$C,$B13)*Percent_urban*quadrillion</f>
        <v/>
      </c>
      <c r="X13">
        <f>SUMIFS('Crosswalk AEO to EPS Summary'!Y:Y,'Crosswalk AEO to EPS Summary'!$C:$C,$B13)*Percent_urban*quadrillion</f>
        <v/>
      </c>
      <c r="Y13">
        <f>SUMIFS('Crosswalk AEO to EPS Summary'!Z:Z,'Crosswalk AEO to EPS Summary'!$C:$C,$B13)*Percent_urban*quadrillion</f>
        <v/>
      </c>
      <c r="Z13">
        <f>SUMIFS('Crosswalk AEO to EPS Summary'!AA:AA,'Crosswalk AEO to EPS Summary'!$C:$C,$B13)*Percent_urban*quadrillion</f>
        <v/>
      </c>
      <c r="AA13">
        <f>SUMIFS('Crosswalk AEO to EPS Summary'!AB:AB,'Crosswalk AEO to EPS Summary'!$C:$C,$B13)*Percent_urban*quadrillion</f>
        <v/>
      </c>
      <c r="AB13">
        <f>SUMIFS('Crosswalk AEO to EPS Summary'!AC:AC,'Crosswalk AEO to EPS Summary'!$C:$C,$B13)*Percent_urban*quadrillion</f>
        <v/>
      </c>
      <c r="AC13">
        <f>SUMIFS('Crosswalk AEO to EPS Summary'!AD:AD,'Crosswalk AEO to EPS Summary'!$C:$C,$B13)*Percent_urban*quadrillion</f>
        <v/>
      </c>
      <c r="AD13">
        <f>SUMIFS('Crosswalk AEO to EPS Summary'!AE:AE,'Crosswalk AEO to EPS Summary'!$C:$C,$B13)*Percent_urban*quadrillion</f>
        <v/>
      </c>
      <c r="AE13">
        <f>SUMIFS('Crosswalk AEO to EPS Summary'!AF:AF,'Crosswalk AEO to EPS Summary'!$C:$C,$B13)*Percent_urban*quadrillion</f>
        <v/>
      </c>
      <c r="AF13">
        <f>SUMIFS('Crosswalk AEO to EPS Summary'!AG:AG,'Crosswalk AEO to EPS Summary'!$C:$C,$B13)*Percent_urban*quadrillion</f>
        <v/>
      </c>
    </row>
    <row r="14">
      <c r="B14" s="53">
        <f>C14&amp;"-"&amp;D14&amp;"-"&amp;E14</f>
        <v/>
      </c>
      <c r="C14" t="inlineStr">
        <is>
          <t>residential</t>
        </is>
      </c>
      <c r="D14" t="inlineStr">
        <is>
          <t>heating</t>
        </is>
      </c>
      <c r="E14" t="inlineStr">
        <is>
          <t>hydrogen (BTU)</t>
        </is>
      </c>
      <c r="F14" t="n">
        <v>0</v>
      </c>
      <c r="G14" t="n">
        <v>0</v>
      </c>
      <c r="H14" t="n">
        <v>0</v>
      </c>
      <c r="I14" t="n">
        <v>0</v>
      </c>
      <c r="J14" t="n">
        <v>0</v>
      </c>
      <c r="K14" t="n">
        <v>0</v>
      </c>
      <c r="L14" t="n">
        <v>0</v>
      </c>
      <c r="M14" t="n">
        <v>0</v>
      </c>
      <c r="N14" t="n">
        <v>0</v>
      </c>
      <c r="O14" t="n">
        <v>0</v>
      </c>
      <c r="P14" t="n">
        <v>0</v>
      </c>
      <c r="Q14" t="n">
        <v>0</v>
      </c>
      <c r="R14" t="n">
        <v>0</v>
      </c>
      <c r="S14" t="n">
        <v>0</v>
      </c>
      <c r="T14" t="n">
        <v>0</v>
      </c>
      <c r="U14" t="n">
        <v>0</v>
      </c>
      <c r="V14" t="n">
        <v>0</v>
      </c>
      <c r="W14" t="n">
        <v>0</v>
      </c>
      <c r="X14" t="n">
        <v>0</v>
      </c>
      <c r="Y14" t="n">
        <v>0</v>
      </c>
      <c r="Z14" t="n">
        <v>0</v>
      </c>
      <c r="AA14" t="n">
        <v>0</v>
      </c>
      <c r="AB14" t="n">
        <v>0</v>
      </c>
      <c r="AC14" t="n">
        <v>0</v>
      </c>
      <c r="AD14" t="n">
        <v>0</v>
      </c>
      <c r="AE14" t="n">
        <v>0</v>
      </c>
      <c r="AF14" t="n">
        <v>0</v>
      </c>
    </row>
    <row r="15"/>
    <row r="16">
      <c r="B16" s="1" t="inlineStr">
        <is>
          <t>BCEU-urban-residential-cooling</t>
        </is>
      </c>
    </row>
    <row r="17">
      <c r="E17" t="inlineStr">
        <is>
          <t>Year</t>
        </is>
      </c>
      <c r="F17" s="1" t="n">
        <v>2024</v>
      </c>
      <c r="G17" s="1" t="n">
        <v>2025</v>
      </c>
      <c r="H17" s="1" t="n">
        <v>2026</v>
      </c>
      <c r="I17" s="1" t="n">
        <v>2027</v>
      </c>
      <c r="J17" s="1" t="n">
        <v>2028</v>
      </c>
      <c r="K17" s="1" t="n">
        <v>2029</v>
      </c>
      <c r="L17" s="1" t="n">
        <v>2030</v>
      </c>
      <c r="M17" s="1" t="n">
        <v>2031</v>
      </c>
      <c r="N17" s="1" t="n">
        <v>2032</v>
      </c>
      <c r="O17" s="1" t="n">
        <v>2033</v>
      </c>
      <c r="P17" s="1" t="n">
        <v>2034</v>
      </c>
      <c r="Q17" s="1" t="n">
        <v>2035</v>
      </c>
      <c r="R17" s="1" t="n">
        <v>2036</v>
      </c>
      <c r="S17" s="1" t="n">
        <v>2037</v>
      </c>
      <c r="T17" s="1" t="n">
        <v>2038</v>
      </c>
      <c r="U17" s="1" t="n">
        <v>2039</v>
      </c>
      <c r="V17" s="1" t="n">
        <v>2040</v>
      </c>
      <c r="W17" s="1" t="n">
        <v>2041</v>
      </c>
      <c r="X17" s="1" t="n">
        <v>2042</v>
      </c>
      <c r="Y17" s="1" t="n">
        <v>2043</v>
      </c>
      <c r="Z17" s="1" t="n">
        <v>2044</v>
      </c>
      <c r="AA17" s="1" t="n">
        <v>2045</v>
      </c>
      <c r="AB17" s="1" t="n">
        <v>2046</v>
      </c>
      <c r="AC17" s="1" t="n">
        <v>2047</v>
      </c>
      <c r="AD17" s="1" t="n">
        <v>2048</v>
      </c>
      <c r="AE17" s="1" t="n">
        <v>2049</v>
      </c>
      <c r="AF17" s="1" t="n">
        <v>2050</v>
      </c>
    </row>
    <row r="18">
      <c r="B18" s="53">
        <f>C18&amp;"-"&amp;D18&amp;"-"&amp;E18</f>
        <v/>
      </c>
      <c r="C18" t="inlineStr">
        <is>
          <t>residential</t>
        </is>
      </c>
      <c r="D18" t="inlineStr">
        <is>
          <t>cooling</t>
        </is>
      </c>
      <c r="E18" t="inlineStr">
        <is>
          <t>electricity (BTU)</t>
        </is>
      </c>
      <c r="F18">
        <f>SUMIFS('Crosswalk AEO to EPS Summary'!G:G,'Crosswalk AEO to EPS Summary'!$C:$C,$B18)*Percent_urban*quadrillion</f>
        <v/>
      </c>
      <c r="G18">
        <f>SUMIFS('Crosswalk AEO to EPS Summary'!H:H,'Crosswalk AEO to EPS Summary'!$C:$C,$B18)*Percent_urban*quadrillion</f>
        <v/>
      </c>
      <c r="H18">
        <f>SUMIFS('Crosswalk AEO to EPS Summary'!I:I,'Crosswalk AEO to EPS Summary'!$C:$C,$B18)*Percent_urban*quadrillion</f>
        <v/>
      </c>
      <c r="I18">
        <f>SUMIFS('Crosswalk AEO to EPS Summary'!J:J,'Crosswalk AEO to EPS Summary'!$C:$C,$B18)*Percent_urban*quadrillion</f>
        <v/>
      </c>
      <c r="J18">
        <f>SUMIFS('Crosswalk AEO to EPS Summary'!K:K,'Crosswalk AEO to EPS Summary'!$C:$C,$B18)*Percent_urban*quadrillion</f>
        <v/>
      </c>
      <c r="K18">
        <f>SUMIFS('Crosswalk AEO to EPS Summary'!L:L,'Crosswalk AEO to EPS Summary'!$C:$C,$B18)*Percent_urban*quadrillion</f>
        <v/>
      </c>
      <c r="L18">
        <f>SUMIFS('Crosswalk AEO to EPS Summary'!M:M,'Crosswalk AEO to EPS Summary'!$C:$C,$B18)*Percent_urban*quadrillion</f>
        <v/>
      </c>
      <c r="M18">
        <f>SUMIFS('Crosswalk AEO to EPS Summary'!N:N,'Crosswalk AEO to EPS Summary'!$C:$C,$B18)*Percent_urban*quadrillion</f>
        <v/>
      </c>
      <c r="N18">
        <f>SUMIFS('Crosswalk AEO to EPS Summary'!O:O,'Crosswalk AEO to EPS Summary'!$C:$C,$B18)*Percent_urban*quadrillion</f>
        <v/>
      </c>
      <c r="O18">
        <f>SUMIFS('Crosswalk AEO to EPS Summary'!P:P,'Crosswalk AEO to EPS Summary'!$C:$C,$B18)*Percent_urban*quadrillion</f>
        <v/>
      </c>
      <c r="P18">
        <f>SUMIFS('Crosswalk AEO to EPS Summary'!Q:Q,'Crosswalk AEO to EPS Summary'!$C:$C,$B18)*Percent_urban*quadrillion</f>
        <v/>
      </c>
      <c r="Q18">
        <f>SUMIFS('Crosswalk AEO to EPS Summary'!R:R,'Crosswalk AEO to EPS Summary'!$C:$C,$B18)*Percent_urban*quadrillion</f>
        <v/>
      </c>
      <c r="R18">
        <f>SUMIFS('Crosswalk AEO to EPS Summary'!S:S,'Crosswalk AEO to EPS Summary'!$C:$C,$B18)*Percent_urban*quadrillion</f>
        <v/>
      </c>
      <c r="S18">
        <f>SUMIFS('Crosswalk AEO to EPS Summary'!T:T,'Crosswalk AEO to EPS Summary'!$C:$C,$B18)*Percent_urban*quadrillion</f>
        <v/>
      </c>
      <c r="T18">
        <f>SUMIFS('Crosswalk AEO to EPS Summary'!U:U,'Crosswalk AEO to EPS Summary'!$C:$C,$B18)*Percent_urban*quadrillion</f>
        <v/>
      </c>
      <c r="U18">
        <f>SUMIFS('Crosswalk AEO to EPS Summary'!V:V,'Crosswalk AEO to EPS Summary'!$C:$C,$B18)*Percent_urban*quadrillion</f>
        <v/>
      </c>
      <c r="V18">
        <f>SUMIFS('Crosswalk AEO to EPS Summary'!W:W,'Crosswalk AEO to EPS Summary'!$C:$C,$B18)*Percent_urban*quadrillion</f>
        <v/>
      </c>
      <c r="W18">
        <f>SUMIFS('Crosswalk AEO to EPS Summary'!X:X,'Crosswalk AEO to EPS Summary'!$C:$C,$B18)*Percent_urban*quadrillion</f>
        <v/>
      </c>
      <c r="X18">
        <f>SUMIFS('Crosswalk AEO to EPS Summary'!Y:Y,'Crosswalk AEO to EPS Summary'!$C:$C,$B18)*Percent_urban*quadrillion</f>
        <v/>
      </c>
      <c r="Y18">
        <f>SUMIFS('Crosswalk AEO to EPS Summary'!Z:Z,'Crosswalk AEO to EPS Summary'!$C:$C,$B18)*Percent_urban*quadrillion</f>
        <v/>
      </c>
      <c r="Z18">
        <f>SUMIFS('Crosswalk AEO to EPS Summary'!AA:AA,'Crosswalk AEO to EPS Summary'!$C:$C,$B18)*Percent_urban*quadrillion</f>
        <v/>
      </c>
      <c r="AA18">
        <f>SUMIFS('Crosswalk AEO to EPS Summary'!AB:AB,'Crosswalk AEO to EPS Summary'!$C:$C,$B18)*Percent_urban*quadrillion</f>
        <v/>
      </c>
      <c r="AB18">
        <f>SUMIFS('Crosswalk AEO to EPS Summary'!AC:AC,'Crosswalk AEO to EPS Summary'!$C:$C,$B18)*Percent_urban*quadrillion</f>
        <v/>
      </c>
      <c r="AC18">
        <f>SUMIFS('Crosswalk AEO to EPS Summary'!AD:AD,'Crosswalk AEO to EPS Summary'!$C:$C,$B18)*Percent_urban*quadrillion</f>
        <v/>
      </c>
      <c r="AD18">
        <f>SUMIFS('Crosswalk AEO to EPS Summary'!AE:AE,'Crosswalk AEO to EPS Summary'!$C:$C,$B18)*Percent_urban*quadrillion</f>
        <v/>
      </c>
      <c r="AE18">
        <f>SUMIFS('Crosswalk AEO to EPS Summary'!AF:AF,'Crosswalk AEO to EPS Summary'!$C:$C,$B18)*Percent_urban*quadrillion</f>
        <v/>
      </c>
      <c r="AF18">
        <f>SUMIFS('Crosswalk AEO to EPS Summary'!AG:AG,'Crosswalk AEO to EPS Summary'!$C:$C,$B18)*Percent_urban*quadrillion</f>
        <v/>
      </c>
    </row>
    <row r="19">
      <c r="B19" s="53">
        <f>C19&amp;"-"&amp;D19&amp;"-"&amp;E19</f>
        <v/>
      </c>
      <c r="C19" t="inlineStr">
        <is>
          <t>residential</t>
        </is>
      </c>
      <c r="D19" t="inlineStr">
        <is>
          <t>cooling</t>
        </is>
      </c>
      <c r="E19" t="inlineStr">
        <is>
          <t>coal (BTU)</t>
        </is>
      </c>
      <c r="F19" t="n">
        <v>0</v>
      </c>
      <c r="G19" t="n">
        <v>0</v>
      </c>
      <c r="H19" t="n">
        <v>0</v>
      </c>
      <c r="I19" t="n">
        <v>0</v>
      </c>
      <c r="J19" t="n">
        <v>0</v>
      </c>
      <c r="K19" t="n">
        <v>0</v>
      </c>
      <c r="L19" t="n">
        <v>0</v>
      </c>
      <c r="M19" t="n">
        <v>0</v>
      </c>
      <c r="N19" t="n">
        <v>0</v>
      </c>
      <c r="O19" t="n">
        <v>0</v>
      </c>
      <c r="P19" t="n">
        <v>0</v>
      </c>
      <c r="Q19" t="n">
        <v>0</v>
      </c>
      <c r="R19" t="n">
        <v>0</v>
      </c>
      <c r="S19" t="n">
        <v>0</v>
      </c>
      <c r="T19" t="n">
        <v>0</v>
      </c>
      <c r="U19" t="n">
        <v>0</v>
      </c>
      <c r="V19" t="n">
        <v>0</v>
      </c>
      <c r="W19" t="n">
        <v>0</v>
      </c>
      <c r="X19" t="n">
        <v>0</v>
      </c>
      <c r="Y19" t="n">
        <v>0</v>
      </c>
      <c r="Z19" t="n">
        <v>0</v>
      </c>
      <c r="AA19" t="n">
        <v>0</v>
      </c>
      <c r="AB19" t="n">
        <v>0</v>
      </c>
      <c r="AC19" t="n">
        <v>0</v>
      </c>
      <c r="AD19" t="n">
        <v>0</v>
      </c>
      <c r="AE19" t="n">
        <v>0</v>
      </c>
      <c r="AF19" t="n">
        <v>0</v>
      </c>
    </row>
    <row r="20">
      <c r="B20" s="53">
        <f>C20&amp;"-"&amp;D20&amp;"-"&amp;E20</f>
        <v/>
      </c>
      <c r="C20" t="inlineStr">
        <is>
          <t>residential</t>
        </is>
      </c>
      <c r="D20" t="inlineStr">
        <is>
          <t>cooling</t>
        </is>
      </c>
      <c r="E20" t="inlineStr">
        <is>
          <t>natural gas (BTU)</t>
        </is>
      </c>
      <c r="F20">
        <f>SUMIFS('Crosswalk AEO to EPS Summary'!G:G,'Crosswalk AEO to EPS Summary'!$C:$C,$B20)*Percent_urban*quadrillion</f>
        <v/>
      </c>
      <c r="G20">
        <f>SUMIFS('Crosswalk AEO to EPS Summary'!H:H,'Crosswalk AEO to EPS Summary'!$C:$C,$B20)*Percent_urban*quadrillion</f>
        <v/>
      </c>
      <c r="H20">
        <f>SUMIFS('Crosswalk AEO to EPS Summary'!I:I,'Crosswalk AEO to EPS Summary'!$C:$C,$B20)*Percent_urban*quadrillion</f>
        <v/>
      </c>
      <c r="I20">
        <f>SUMIFS('Crosswalk AEO to EPS Summary'!J:J,'Crosswalk AEO to EPS Summary'!$C:$C,$B20)*Percent_urban*quadrillion</f>
        <v/>
      </c>
      <c r="J20">
        <f>SUMIFS('Crosswalk AEO to EPS Summary'!K:K,'Crosswalk AEO to EPS Summary'!$C:$C,$B20)*Percent_urban*quadrillion</f>
        <v/>
      </c>
      <c r="K20">
        <f>SUMIFS('Crosswalk AEO to EPS Summary'!L:L,'Crosswalk AEO to EPS Summary'!$C:$C,$B20)*Percent_urban*quadrillion</f>
        <v/>
      </c>
      <c r="L20">
        <f>SUMIFS('Crosswalk AEO to EPS Summary'!M:M,'Crosswalk AEO to EPS Summary'!$C:$C,$B20)*Percent_urban*quadrillion</f>
        <v/>
      </c>
      <c r="M20">
        <f>SUMIFS('Crosswalk AEO to EPS Summary'!N:N,'Crosswalk AEO to EPS Summary'!$C:$C,$B20)*Percent_urban*quadrillion</f>
        <v/>
      </c>
      <c r="N20">
        <f>SUMIFS('Crosswalk AEO to EPS Summary'!O:O,'Crosswalk AEO to EPS Summary'!$C:$C,$B20)*Percent_urban*quadrillion</f>
        <v/>
      </c>
      <c r="O20">
        <f>SUMIFS('Crosswalk AEO to EPS Summary'!P:P,'Crosswalk AEO to EPS Summary'!$C:$C,$B20)*Percent_urban*quadrillion</f>
        <v/>
      </c>
      <c r="P20">
        <f>SUMIFS('Crosswalk AEO to EPS Summary'!Q:Q,'Crosswalk AEO to EPS Summary'!$C:$C,$B20)*Percent_urban*quadrillion</f>
        <v/>
      </c>
      <c r="Q20">
        <f>SUMIFS('Crosswalk AEO to EPS Summary'!R:R,'Crosswalk AEO to EPS Summary'!$C:$C,$B20)*Percent_urban*quadrillion</f>
        <v/>
      </c>
      <c r="R20">
        <f>SUMIFS('Crosswalk AEO to EPS Summary'!S:S,'Crosswalk AEO to EPS Summary'!$C:$C,$B20)*Percent_urban*quadrillion</f>
        <v/>
      </c>
      <c r="S20">
        <f>SUMIFS('Crosswalk AEO to EPS Summary'!T:T,'Crosswalk AEO to EPS Summary'!$C:$C,$B20)*Percent_urban*quadrillion</f>
        <v/>
      </c>
      <c r="T20">
        <f>SUMIFS('Crosswalk AEO to EPS Summary'!U:U,'Crosswalk AEO to EPS Summary'!$C:$C,$B20)*Percent_urban*quadrillion</f>
        <v/>
      </c>
      <c r="U20">
        <f>SUMIFS('Crosswalk AEO to EPS Summary'!V:V,'Crosswalk AEO to EPS Summary'!$C:$C,$B20)*Percent_urban*quadrillion</f>
        <v/>
      </c>
      <c r="V20">
        <f>SUMIFS('Crosswalk AEO to EPS Summary'!W:W,'Crosswalk AEO to EPS Summary'!$C:$C,$B20)*Percent_urban*quadrillion</f>
        <v/>
      </c>
      <c r="W20">
        <f>SUMIFS('Crosswalk AEO to EPS Summary'!X:X,'Crosswalk AEO to EPS Summary'!$C:$C,$B20)*Percent_urban*quadrillion</f>
        <v/>
      </c>
      <c r="X20">
        <f>SUMIFS('Crosswalk AEO to EPS Summary'!Y:Y,'Crosswalk AEO to EPS Summary'!$C:$C,$B20)*Percent_urban*quadrillion</f>
        <v/>
      </c>
      <c r="Y20">
        <f>SUMIFS('Crosswalk AEO to EPS Summary'!Z:Z,'Crosswalk AEO to EPS Summary'!$C:$C,$B20)*Percent_urban*quadrillion</f>
        <v/>
      </c>
      <c r="Z20">
        <f>SUMIFS('Crosswalk AEO to EPS Summary'!AA:AA,'Crosswalk AEO to EPS Summary'!$C:$C,$B20)*Percent_urban*quadrillion</f>
        <v/>
      </c>
      <c r="AA20">
        <f>SUMIFS('Crosswalk AEO to EPS Summary'!AB:AB,'Crosswalk AEO to EPS Summary'!$C:$C,$B20)*Percent_urban*quadrillion</f>
        <v/>
      </c>
      <c r="AB20">
        <f>SUMIFS('Crosswalk AEO to EPS Summary'!AC:AC,'Crosswalk AEO to EPS Summary'!$C:$C,$B20)*Percent_urban*quadrillion</f>
        <v/>
      </c>
      <c r="AC20">
        <f>SUMIFS('Crosswalk AEO to EPS Summary'!AD:AD,'Crosswalk AEO to EPS Summary'!$C:$C,$B20)*Percent_urban*quadrillion</f>
        <v/>
      </c>
      <c r="AD20">
        <f>SUMIFS('Crosswalk AEO to EPS Summary'!AE:AE,'Crosswalk AEO to EPS Summary'!$C:$C,$B20)*Percent_urban*quadrillion</f>
        <v/>
      </c>
      <c r="AE20">
        <f>SUMIFS('Crosswalk AEO to EPS Summary'!AF:AF,'Crosswalk AEO to EPS Summary'!$C:$C,$B20)*Percent_urban*quadrillion</f>
        <v/>
      </c>
      <c r="AF20">
        <f>SUMIFS('Crosswalk AEO to EPS Summary'!AG:AG,'Crosswalk AEO to EPS Summary'!$C:$C,$B20)*Percent_urban*quadrillion</f>
        <v/>
      </c>
    </row>
    <row r="21">
      <c r="B21" s="53">
        <f>C21&amp;"-"&amp;D21&amp;"-"&amp;E21</f>
        <v/>
      </c>
      <c r="C21" t="inlineStr">
        <is>
          <t>residential</t>
        </is>
      </c>
      <c r="D21" t="inlineStr">
        <is>
          <t>cooling</t>
        </is>
      </c>
      <c r="E21" t="inlineStr">
        <is>
          <t>petroleum diesel (BTU)</t>
        </is>
      </c>
      <c r="F21" t="n">
        <v>0</v>
      </c>
      <c r="G21" t="n">
        <v>0</v>
      </c>
      <c r="H21" t="n">
        <v>0</v>
      </c>
      <c r="I21" t="n">
        <v>0</v>
      </c>
      <c r="J21" t="n">
        <v>0</v>
      </c>
      <c r="K21" t="n">
        <v>0</v>
      </c>
      <c r="L21" t="n">
        <v>0</v>
      </c>
      <c r="M21" t="n">
        <v>0</v>
      </c>
      <c r="N21" t="n">
        <v>0</v>
      </c>
      <c r="O21" t="n">
        <v>0</v>
      </c>
      <c r="P21" t="n">
        <v>0</v>
      </c>
      <c r="Q21" t="n">
        <v>0</v>
      </c>
      <c r="R21" t="n">
        <v>0</v>
      </c>
      <c r="S21" t="n">
        <v>0</v>
      </c>
      <c r="T21" t="n">
        <v>0</v>
      </c>
      <c r="U21" t="n">
        <v>0</v>
      </c>
      <c r="V21" t="n">
        <v>0</v>
      </c>
      <c r="W21" t="n">
        <v>0</v>
      </c>
      <c r="X21" t="n">
        <v>0</v>
      </c>
      <c r="Y21" t="n">
        <v>0</v>
      </c>
      <c r="Z21" t="n">
        <v>0</v>
      </c>
      <c r="AA21" t="n">
        <v>0</v>
      </c>
      <c r="AB21" t="n">
        <v>0</v>
      </c>
      <c r="AC21" t="n">
        <v>0</v>
      </c>
      <c r="AD21" t="n">
        <v>0</v>
      </c>
      <c r="AE21" t="n">
        <v>0</v>
      </c>
      <c r="AF21" t="n">
        <v>0</v>
      </c>
    </row>
    <row r="22">
      <c r="B22" s="53">
        <f>C22&amp;"-"&amp;D22&amp;"-"&amp;E22</f>
        <v/>
      </c>
      <c r="C22" t="inlineStr">
        <is>
          <t>residential</t>
        </is>
      </c>
      <c r="D22" t="inlineStr">
        <is>
          <t>cooling</t>
        </is>
      </c>
      <c r="E22" t="inlineStr">
        <is>
          <t>heat (BTU)</t>
        </is>
      </c>
      <c r="F22" t="n">
        <v>0</v>
      </c>
      <c r="G22" t="n">
        <v>0</v>
      </c>
      <c r="H22" t="n">
        <v>0</v>
      </c>
      <c r="I22" t="n">
        <v>0</v>
      </c>
      <c r="J22" t="n">
        <v>0</v>
      </c>
      <c r="K22" t="n">
        <v>0</v>
      </c>
      <c r="L22" t="n">
        <v>0</v>
      </c>
      <c r="M22" t="n">
        <v>0</v>
      </c>
      <c r="N22" t="n">
        <v>0</v>
      </c>
      <c r="O22" t="n">
        <v>0</v>
      </c>
      <c r="P22" t="n">
        <v>0</v>
      </c>
      <c r="Q22" t="n">
        <v>0</v>
      </c>
      <c r="R22" t="n">
        <v>0</v>
      </c>
      <c r="S22" t="n">
        <v>0</v>
      </c>
      <c r="T22" t="n">
        <v>0</v>
      </c>
      <c r="U22" t="n">
        <v>0</v>
      </c>
      <c r="V22" t="n">
        <v>0</v>
      </c>
      <c r="W22" t="n">
        <v>0</v>
      </c>
      <c r="X22" t="n">
        <v>0</v>
      </c>
      <c r="Y22" t="n">
        <v>0</v>
      </c>
      <c r="Z22" t="n">
        <v>0</v>
      </c>
      <c r="AA22" t="n">
        <v>0</v>
      </c>
      <c r="AB22" t="n">
        <v>0</v>
      </c>
      <c r="AC22" t="n">
        <v>0</v>
      </c>
      <c r="AD22" t="n">
        <v>0</v>
      </c>
      <c r="AE22" t="n">
        <v>0</v>
      </c>
      <c r="AF22" t="n">
        <v>0</v>
      </c>
    </row>
    <row r="23">
      <c r="B23" s="53">
        <f>C23&amp;"-"&amp;D23&amp;"-"&amp;E23</f>
        <v/>
      </c>
      <c r="C23" t="inlineStr">
        <is>
          <t>residential</t>
        </is>
      </c>
      <c r="D23" t="inlineStr">
        <is>
          <t>cooling</t>
        </is>
      </c>
      <c r="E23" t="inlineStr">
        <is>
          <t>biomass (BTU)</t>
        </is>
      </c>
      <c r="F23" t="n">
        <v>0</v>
      </c>
      <c r="G23" t="n">
        <v>0</v>
      </c>
      <c r="H23" t="n">
        <v>0</v>
      </c>
      <c r="I23" t="n">
        <v>0</v>
      </c>
      <c r="J23" t="n">
        <v>0</v>
      </c>
      <c r="K23" t="n">
        <v>0</v>
      </c>
      <c r="L23" t="n">
        <v>0</v>
      </c>
      <c r="M23" t="n">
        <v>0</v>
      </c>
      <c r="N23" t="n">
        <v>0</v>
      </c>
      <c r="O23" t="n">
        <v>0</v>
      </c>
      <c r="P23" t="n">
        <v>0</v>
      </c>
      <c r="Q23" t="n">
        <v>0</v>
      </c>
      <c r="R23" t="n">
        <v>0</v>
      </c>
      <c r="S23" t="n">
        <v>0</v>
      </c>
      <c r="T23" t="n">
        <v>0</v>
      </c>
      <c r="U23" t="n">
        <v>0</v>
      </c>
      <c r="V23" t="n">
        <v>0</v>
      </c>
      <c r="W23" t="n">
        <v>0</v>
      </c>
      <c r="X23" t="n">
        <v>0</v>
      </c>
      <c r="Y23" t="n">
        <v>0</v>
      </c>
      <c r="Z23" t="n">
        <v>0</v>
      </c>
      <c r="AA23" t="n">
        <v>0</v>
      </c>
      <c r="AB23" t="n">
        <v>0</v>
      </c>
      <c r="AC23" t="n">
        <v>0</v>
      </c>
      <c r="AD23" t="n">
        <v>0</v>
      </c>
      <c r="AE23" t="n">
        <v>0</v>
      </c>
      <c r="AF23" t="n">
        <v>0</v>
      </c>
    </row>
    <row r="24">
      <c r="B24" s="53">
        <f>C24&amp;"-"&amp;D24&amp;"-"&amp;E24</f>
        <v/>
      </c>
      <c r="C24" t="inlineStr">
        <is>
          <t>residential</t>
        </is>
      </c>
      <c r="D24" t="inlineStr">
        <is>
          <t>cooling</t>
        </is>
      </c>
      <c r="E24" t="inlineStr">
        <is>
          <t>kerosene (BTU)</t>
        </is>
      </c>
      <c r="F24" t="n">
        <v>0</v>
      </c>
      <c r="G24" t="n">
        <v>0</v>
      </c>
      <c r="H24" t="n">
        <v>0</v>
      </c>
      <c r="I24" t="n">
        <v>0</v>
      </c>
      <c r="J24" t="n">
        <v>0</v>
      </c>
      <c r="K24" t="n">
        <v>0</v>
      </c>
      <c r="L24" t="n">
        <v>0</v>
      </c>
      <c r="M24" t="n">
        <v>0</v>
      </c>
      <c r="N24" t="n">
        <v>0</v>
      </c>
      <c r="O24" t="n">
        <v>0</v>
      </c>
      <c r="P24" t="n">
        <v>0</v>
      </c>
      <c r="Q24" t="n">
        <v>0</v>
      </c>
      <c r="R24" t="n">
        <v>0</v>
      </c>
      <c r="S24" t="n">
        <v>0</v>
      </c>
      <c r="T24" t="n">
        <v>0</v>
      </c>
      <c r="U24" t="n">
        <v>0</v>
      </c>
      <c r="V24" t="n">
        <v>0</v>
      </c>
      <c r="W24" t="n">
        <v>0</v>
      </c>
      <c r="X24" t="n">
        <v>0</v>
      </c>
      <c r="Y24" t="n">
        <v>0</v>
      </c>
      <c r="Z24" t="n">
        <v>0</v>
      </c>
      <c r="AA24" t="n">
        <v>0</v>
      </c>
      <c r="AB24" t="n">
        <v>0</v>
      </c>
      <c r="AC24" t="n">
        <v>0</v>
      </c>
      <c r="AD24" t="n">
        <v>0</v>
      </c>
      <c r="AE24" t="n">
        <v>0</v>
      </c>
      <c r="AF24" t="n">
        <v>0</v>
      </c>
    </row>
    <row r="25">
      <c r="B25" s="53">
        <f>C25&amp;"-"&amp;D25&amp;"-"&amp;E25</f>
        <v/>
      </c>
      <c r="C25" t="inlineStr">
        <is>
          <t>residential</t>
        </is>
      </c>
      <c r="D25" t="inlineStr">
        <is>
          <t>cooling</t>
        </is>
      </c>
      <c r="E25" t="inlineStr">
        <is>
          <t>heavy or residual fuel oil (BTU)</t>
        </is>
      </c>
      <c r="F25" t="n">
        <v>0</v>
      </c>
      <c r="G25" t="n">
        <v>0</v>
      </c>
      <c r="H25" t="n">
        <v>0</v>
      </c>
      <c r="I25" t="n">
        <v>0</v>
      </c>
      <c r="J25" t="n">
        <v>0</v>
      </c>
      <c r="K25" t="n">
        <v>0</v>
      </c>
      <c r="L25" t="n">
        <v>0</v>
      </c>
      <c r="M25" t="n">
        <v>0</v>
      </c>
      <c r="N25" t="n">
        <v>0</v>
      </c>
      <c r="O25" t="n">
        <v>0</v>
      </c>
      <c r="P25" t="n">
        <v>0</v>
      </c>
      <c r="Q25" t="n">
        <v>0</v>
      </c>
      <c r="R25" t="n">
        <v>0</v>
      </c>
      <c r="S25" t="n">
        <v>0</v>
      </c>
      <c r="T25" t="n">
        <v>0</v>
      </c>
      <c r="U25" t="n">
        <v>0</v>
      </c>
      <c r="V25" t="n">
        <v>0</v>
      </c>
      <c r="W25" t="n">
        <v>0</v>
      </c>
      <c r="X25" t="n">
        <v>0</v>
      </c>
      <c r="Y25" t="n">
        <v>0</v>
      </c>
      <c r="Z25" t="n">
        <v>0</v>
      </c>
      <c r="AA25" t="n">
        <v>0</v>
      </c>
      <c r="AB25" t="n">
        <v>0</v>
      </c>
      <c r="AC25" t="n">
        <v>0</v>
      </c>
      <c r="AD25" t="n">
        <v>0</v>
      </c>
      <c r="AE25" t="n">
        <v>0</v>
      </c>
      <c r="AF25" t="n">
        <v>0</v>
      </c>
    </row>
    <row r="26">
      <c r="B26" s="53">
        <f>C26&amp;"-"&amp;D26&amp;"-"&amp;E26</f>
        <v/>
      </c>
      <c r="C26" t="inlineStr">
        <is>
          <t>residential</t>
        </is>
      </c>
      <c r="D26" t="inlineStr">
        <is>
          <t>cooling</t>
        </is>
      </c>
      <c r="E26" t="inlineStr">
        <is>
          <t>LPG propane or butane (BTU)</t>
        </is>
      </c>
      <c r="F26" t="n">
        <v>0</v>
      </c>
      <c r="G26" t="n">
        <v>0</v>
      </c>
      <c r="H26" t="n">
        <v>0</v>
      </c>
      <c r="I26" t="n">
        <v>0</v>
      </c>
      <c r="J26" t="n">
        <v>0</v>
      </c>
      <c r="K26" t="n">
        <v>0</v>
      </c>
      <c r="L26" t="n">
        <v>0</v>
      </c>
      <c r="M26" t="n">
        <v>0</v>
      </c>
      <c r="N26" t="n">
        <v>0</v>
      </c>
      <c r="O26" t="n">
        <v>0</v>
      </c>
      <c r="P26" t="n">
        <v>0</v>
      </c>
      <c r="Q26" t="n">
        <v>0</v>
      </c>
      <c r="R26" t="n">
        <v>0</v>
      </c>
      <c r="S26" t="n">
        <v>0</v>
      </c>
      <c r="T26" t="n">
        <v>0</v>
      </c>
      <c r="U26" t="n">
        <v>0</v>
      </c>
      <c r="V26" t="n">
        <v>0</v>
      </c>
      <c r="W26" t="n">
        <v>0</v>
      </c>
      <c r="X26" t="n">
        <v>0</v>
      </c>
      <c r="Y26" t="n">
        <v>0</v>
      </c>
      <c r="Z26" t="n">
        <v>0</v>
      </c>
      <c r="AA26" t="n">
        <v>0</v>
      </c>
      <c r="AB26" t="n">
        <v>0</v>
      </c>
      <c r="AC26" t="n">
        <v>0</v>
      </c>
      <c r="AD26" t="n">
        <v>0</v>
      </c>
      <c r="AE26" t="n">
        <v>0</v>
      </c>
      <c r="AF26" t="n">
        <v>0</v>
      </c>
    </row>
    <row r="27">
      <c r="B27" s="53">
        <f>C27&amp;"-"&amp;D27&amp;"-"&amp;E27</f>
        <v/>
      </c>
      <c r="C27" t="inlineStr">
        <is>
          <t>residential</t>
        </is>
      </c>
      <c r="D27" t="inlineStr">
        <is>
          <t>cooling</t>
        </is>
      </c>
      <c r="E27" t="inlineStr">
        <is>
          <t>hydrogen (BTU)</t>
        </is>
      </c>
      <c r="F27" t="n">
        <v>0</v>
      </c>
      <c r="G27" t="n">
        <v>0</v>
      </c>
      <c r="H27" t="n">
        <v>0</v>
      </c>
      <c r="I27" t="n">
        <v>0</v>
      </c>
      <c r="J27" t="n">
        <v>0</v>
      </c>
      <c r="K27" t="n">
        <v>0</v>
      </c>
      <c r="L27" t="n">
        <v>0</v>
      </c>
      <c r="M27" t="n">
        <v>0</v>
      </c>
      <c r="N27" t="n">
        <v>0</v>
      </c>
      <c r="O27" t="n">
        <v>0</v>
      </c>
      <c r="P27" t="n">
        <v>0</v>
      </c>
      <c r="Q27" t="n">
        <v>0</v>
      </c>
      <c r="R27" t="n">
        <v>0</v>
      </c>
      <c r="S27" t="n">
        <v>0</v>
      </c>
      <c r="T27" t="n">
        <v>0</v>
      </c>
      <c r="U27" t="n">
        <v>0</v>
      </c>
      <c r="V27" t="n">
        <v>0</v>
      </c>
      <c r="W27" t="n">
        <v>0</v>
      </c>
      <c r="X27" t="n">
        <v>0</v>
      </c>
      <c r="Y27" t="n">
        <v>0</v>
      </c>
      <c r="Z27" t="n">
        <v>0</v>
      </c>
      <c r="AA27" t="n">
        <v>0</v>
      </c>
      <c r="AB27" t="n">
        <v>0</v>
      </c>
      <c r="AC27" t="n">
        <v>0</v>
      </c>
      <c r="AD27" t="n">
        <v>0</v>
      </c>
      <c r="AE27" t="n">
        <v>0</v>
      </c>
      <c r="AF27" t="n">
        <v>0</v>
      </c>
    </row>
    <row r="28"/>
    <row r="29">
      <c r="B29" s="1" t="inlineStr">
        <is>
          <t>BCEU-urban-residential-lighting</t>
        </is>
      </c>
    </row>
    <row r="30">
      <c r="E30" t="inlineStr">
        <is>
          <t>Year</t>
        </is>
      </c>
      <c r="F30" s="1" t="n">
        <v>2024</v>
      </c>
      <c r="G30" s="1" t="n">
        <v>2025</v>
      </c>
      <c r="H30" s="1" t="n">
        <v>2026</v>
      </c>
      <c r="I30" s="1" t="n">
        <v>2027</v>
      </c>
      <c r="J30" s="1" t="n">
        <v>2028</v>
      </c>
      <c r="K30" s="1" t="n">
        <v>2029</v>
      </c>
      <c r="L30" s="1" t="n">
        <v>2030</v>
      </c>
      <c r="M30" s="1" t="n">
        <v>2031</v>
      </c>
      <c r="N30" s="1" t="n">
        <v>2032</v>
      </c>
      <c r="O30" s="1" t="n">
        <v>2033</v>
      </c>
      <c r="P30" s="1" t="n">
        <v>2034</v>
      </c>
      <c r="Q30" s="1" t="n">
        <v>2035</v>
      </c>
      <c r="R30" s="1" t="n">
        <v>2036</v>
      </c>
      <c r="S30" s="1" t="n">
        <v>2037</v>
      </c>
      <c r="T30" s="1" t="n">
        <v>2038</v>
      </c>
      <c r="U30" s="1" t="n">
        <v>2039</v>
      </c>
      <c r="V30" s="1" t="n">
        <v>2040</v>
      </c>
      <c r="W30" s="1" t="n">
        <v>2041</v>
      </c>
      <c r="X30" s="1" t="n">
        <v>2042</v>
      </c>
      <c r="Y30" s="1" t="n">
        <v>2043</v>
      </c>
      <c r="Z30" s="1" t="n">
        <v>2044</v>
      </c>
      <c r="AA30" s="1" t="n">
        <v>2045</v>
      </c>
      <c r="AB30" s="1" t="n">
        <v>2046</v>
      </c>
      <c r="AC30" s="1" t="n">
        <v>2047</v>
      </c>
      <c r="AD30" s="1" t="n">
        <v>2048</v>
      </c>
      <c r="AE30" s="1" t="n">
        <v>2049</v>
      </c>
      <c r="AF30" s="1" t="n">
        <v>2050</v>
      </c>
    </row>
    <row r="31">
      <c r="B31" s="53">
        <f>C31&amp;"-"&amp;D31&amp;"-"&amp;E31</f>
        <v/>
      </c>
      <c r="C31" t="inlineStr">
        <is>
          <t>residential</t>
        </is>
      </c>
      <c r="D31" t="inlineStr">
        <is>
          <t>lighting</t>
        </is>
      </c>
      <c r="E31" t="inlineStr">
        <is>
          <t>electricity (BTU)</t>
        </is>
      </c>
      <c r="F31">
        <f>SUMIFS('Crosswalk AEO to EPS Summary'!G:G,'Crosswalk AEO to EPS Summary'!$C:$C,$B31)*Percent_urban*quadrillion</f>
        <v/>
      </c>
      <c r="G31">
        <f>SUMIFS('Crosswalk AEO to EPS Summary'!H:H,'Crosswalk AEO to EPS Summary'!$C:$C,$B31)*Percent_urban*quadrillion</f>
        <v/>
      </c>
      <c r="H31">
        <f>SUMIFS('Crosswalk AEO to EPS Summary'!I:I,'Crosswalk AEO to EPS Summary'!$C:$C,$B31)*Percent_urban*quadrillion</f>
        <v/>
      </c>
      <c r="I31">
        <f>SUMIFS('Crosswalk AEO to EPS Summary'!J:J,'Crosswalk AEO to EPS Summary'!$C:$C,$B31)*Percent_urban*quadrillion</f>
        <v/>
      </c>
      <c r="J31">
        <f>SUMIFS('Crosswalk AEO to EPS Summary'!K:K,'Crosswalk AEO to EPS Summary'!$C:$C,$B31)*Percent_urban*quadrillion</f>
        <v/>
      </c>
      <c r="K31">
        <f>SUMIFS('Crosswalk AEO to EPS Summary'!L:L,'Crosswalk AEO to EPS Summary'!$C:$C,$B31)*Percent_urban*quadrillion</f>
        <v/>
      </c>
      <c r="L31">
        <f>SUMIFS('Crosswalk AEO to EPS Summary'!M:M,'Crosswalk AEO to EPS Summary'!$C:$C,$B31)*Percent_urban*quadrillion</f>
        <v/>
      </c>
      <c r="M31">
        <f>SUMIFS('Crosswalk AEO to EPS Summary'!N:N,'Crosswalk AEO to EPS Summary'!$C:$C,$B31)*Percent_urban*quadrillion</f>
        <v/>
      </c>
      <c r="N31">
        <f>SUMIFS('Crosswalk AEO to EPS Summary'!O:O,'Crosswalk AEO to EPS Summary'!$C:$C,$B31)*Percent_urban*quadrillion</f>
        <v/>
      </c>
      <c r="O31">
        <f>SUMIFS('Crosswalk AEO to EPS Summary'!P:P,'Crosswalk AEO to EPS Summary'!$C:$C,$B31)*Percent_urban*quadrillion</f>
        <v/>
      </c>
      <c r="P31">
        <f>SUMIFS('Crosswalk AEO to EPS Summary'!Q:Q,'Crosswalk AEO to EPS Summary'!$C:$C,$B31)*Percent_urban*quadrillion</f>
        <v/>
      </c>
      <c r="Q31">
        <f>SUMIFS('Crosswalk AEO to EPS Summary'!R:R,'Crosswalk AEO to EPS Summary'!$C:$C,$B31)*Percent_urban*quadrillion</f>
        <v/>
      </c>
      <c r="R31">
        <f>SUMIFS('Crosswalk AEO to EPS Summary'!S:S,'Crosswalk AEO to EPS Summary'!$C:$C,$B31)*Percent_urban*quadrillion</f>
        <v/>
      </c>
      <c r="S31">
        <f>SUMIFS('Crosswalk AEO to EPS Summary'!T:T,'Crosswalk AEO to EPS Summary'!$C:$C,$B31)*Percent_urban*quadrillion</f>
        <v/>
      </c>
      <c r="T31">
        <f>SUMIFS('Crosswalk AEO to EPS Summary'!U:U,'Crosswalk AEO to EPS Summary'!$C:$C,$B31)*Percent_urban*quadrillion</f>
        <v/>
      </c>
      <c r="U31">
        <f>SUMIFS('Crosswalk AEO to EPS Summary'!V:V,'Crosswalk AEO to EPS Summary'!$C:$C,$B31)*Percent_urban*quadrillion</f>
        <v/>
      </c>
      <c r="V31">
        <f>SUMIFS('Crosswalk AEO to EPS Summary'!W:W,'Crosswalk AEO to EPS Summary'!$C:$C,$B31)*Percent_urban*quadrillion</f>
        <v/>
      </c>
      <c r="W31">
        <f>SUMIFS('Crosswalk AEO to EPS Summary'!X:X,'Crosswalk AEO to EPS Summary'!$C:$C,$B31)*Percent_urban*quadrillion</f>
        <v/>
      </c>
      <c r="X31">
        <f>SUMIFS('Crosswalk AEO to EPS Summary'!Y:Y,'Crosswalk AEO to EPS Summary'!$C:$C,$B31)*Percent_urban*quadrillion</f>
        <v/>
      </c>
      <c r="Y31">
        <f>SUMIFS('Crosswalk AEO to EPS Summary'!Z:Z,'Crosswalk AEO to EPS Summary'!$C:$C,$B31)*Percent_urban*quadrillion</f>
        <v/>
      </c>
      <c r="Z31">
        <f>SUMIFS('Crosswalk AEO to EPS Summary'!AA:AA,'Crosswalk AEO to EPS Summary'!$C:$C,$B31)*Percent_urban*quadrillion</f>
        <v/>
      </c>
      <c r="AA31">
        <f>SUMIFS('Crosswalk AEO to EPS Summary'!AB:AB,'Crosswalk AEO to EPS Summary'!$C:$C,$B31)*Percent_urban*quadrillion</f>
        <v/>
      </c>
      <c r="AB31">
        <f>SUMIFS('Crosswalk AEO to EPS Summary'!AC:AC,'Crosswalk AEO to EPS Summary'!$C:$C,$B31)*Percent_urban*quadrillion</f>
        <v/>
      </c>
      <c r="AC31">
        <f>SUMIFS('Crosswalk AEO to EPS Summary'!AD:AD,'Crosswalk AEO to EPS Summary'!$C:$C,$B31)*Percent_urban*quadrillion</f>
        <v/>
      </c>
      <c r="AD31">
        <f>SUMIFS('Crosswalk AEO to EPS Summary'!AE:AE,'Crosswalk AEO to EPS Summary'!$C:$C,$B31)*Percent_urban*quadrillion</f>
        <v/>
      </c>
      <c r="AE31">
        <f>SUMIFS('Crosswalk AEO to EPS Summary'!AF:AF,'Crosswalk AEO to EPS Summary'!$C:$C,$B31)*Percent_urban*quadrillion</f>
        <v/>
      </c>
      <c r="AF31">
        <f>SUMIFS('Crosswalk AEO to EPS Summary'!AG:AG,'Crosswalk AEO to EPS Summary'!$C:$C,$B31)*Percent_urban*quadrillion</f>
        <v/>
      </c>
    </row>
    <row r="32">
      <c r="B32" s="53">
        <f>C32&amp;"-"&amp;D32&amp;"-"&amp;E32</f>
        <v/>
      </c>
      <c r="C32" t="inlineStr">
        <is>
          <t>residential</t>
        </is>
      </c>
      <c r="D32" t="inlineStr">
        <is>
          <t>lighting</t>
        </is>
      </c>
      <c r="E32" t="inlineStr">
        <is>
          <t>coal (BTU)</t>
        </is>
      </c>
      <c r="F32" t="n">
        <v>0</v>
      </c>
      <c r="G32" t="n">
        <v>0</v>
      </c>
      <c r="H32" t="n">
        <v>0</v>
      </c>
      <c r="I32" t="n">
        <v>0</v>
      </c>
      <c r="J32" t="n">
        <v>0</v>
      </c>
      <c r="K32" t="n">
        <v>0</v>
      </c>
      <c r="L32" t="n">
        <v>0</v>
      </c>
      <c r="M32" t="n">
        <v>0</v>
      </c>
      <c r="N32" t="n">
        <v>0</v>
      </c>
      <c r="O32" t="n">
        <v>0</v>
      </c>
      <c r="P32" t="n">
        <v>0</v>
      </c>
      <c r="Q32" t="n">
        <v>0</v>
      </c>
      <c r="R32" t="n">
        <v>0</v>
      </c>
      <c r="S32" t="n">
        <v>0</v>
      </c>
      <c r="T32" t="n">
        <v>0</v>
      </c>
      <c r="U32" t="n">
        <v>0</v>
      </c>
      <c r="V32" t="n">
        <v>0</v>
      </c>
      <c r="W32" t="n">
        <v>0</v>
      </c>
      <c r="X32" t="n">
        <v>0</v>
      </c>
      <c r="Y32" t="n">
        <v>0</v>
      </c>
      <c r="Z32" t="n">
        <v>0</v>
      </c>
      <c r="AA32" t="n">
        <v>0</v>
      </c>
      <c r="AB32" t="n">
        <v>0</v>
      </c>
      <c r="AC32" t="n">
        <v>0</v>
      </c>
      <c r="AD32" t="n">
        <v>0</v>
      </c>
      <c r="AE32" t="n">
        <v>0</v>
      </c>
      <c r="AF32" t="n">
        <v>0</v>
      </c>
    </row>
    <row r="33">
      <c r="B33" s="53">
        <f>C33&amp;"-"&amp;D33&amp;"-"&amp;E33</f>
        <v/>
      </c>
      <c r="C33" t="inlineStr">
        <is>
          <t>residential</t>
        </is>
      </c>
      <c r="D33" t="inlineStr">
        <is>
          <t>lighting</t>
        </is>
      </c>
      <c r="E33" t="inlineStr">
        <is>
          <t>natural gas (BTU)</t>
        </is>
      </c>
      <c r="F33" t="n">
        <v>0</v>
      </c>
      <c r="G33" t="n">
        <v>0</v>
      </c>
      <c r="H33" t="n">
        <v>0</v>
      </c>
      <c r="I33" t="n">
        <v>0</v>
      </c>
      <c r="J33" t="n">
        <v>0</v>
      </c>
      <c r="K33" t="n">
        <v>0</v>
      </c>
      <c r="L33" t="n">
        <v>0</v>
      </c>
      <c r="M33" t="n">
        <v>0</v>
      </c>
      <c r="N33" t="n">
        <v>0</v>
      </c>
      <c r="O33" t="n">
        <v>0</v>
      </c>
      <c r="P33" t="n">
        <v>0</v>
      </c>
      <c r="Q33" t="n">
        <v>0</v>
      </c>
      <c r="R33" t="n">
        <v>0</v>
      </c>
      <c r="S33" t="n">
        <v>0</v>
      </c>
      <c r="T33" t="n">
        <v>0</v>
      </c>
      <c r="U33" t="n">
        <v>0</v>
      </c>
      <c r="V33" t="n">
        <v>0</v>
      </c>
      <c r="W33" t="n">
        <v>0</v>
      </c>
      <c r="X33" t="n">
        <v>0</v>
      </c>
      <c r="Y33" t="n">
        <v>0</v>
      </c>
      <c r="Z33" t="n">
        <v>0</v>
      </c>
      <c r="AA33" t="n">
        <v>0</v>
      </c>
      <c r="AB33" t="n">
        <v>0</v>
      </c>
      <c r="AC33" t="n">
        <v>0</v>
      </c>
      <c r="AD33" t="n">
        <v>0</v>
      </c>
      <c r="AE33" t="n">
        <v>0</v>
      </c>
      <c r="AF33" t="n">
        <v>0</v>
      </c>
    </row>
    <row r="34">
      <c r="B34" s="53">
        <f>C34&amp;"-"&amp;D34&amp;"-"&amp;E34</f>
        <v/>
      </c>
      <c r="C34" t="inlineStr">
        <is>
          <t>residential</t>
        </is>
      </c>
      <c r="D34" t="inlineStr">
        <is>
          <t>lighting</t>
        </is>
      </c>
      <c r="E34" t="inlineStr">
        <is>
          <t>petroleum diesel (BTU)</t>
        </is>
      </c>
      <c r="F34" t="n">
        <v>0</v>
      </c>
      <c r="G34" t="n">
        <v>0</v>
      </c>
      <c r="H34" t="n">
        <v>0</v>
      </c>
      <c r="I34" t="n">
        <v>0</v>
      </c>
      <c r="J34" t="n">
        <v>0</v>
      </c>
      <c r="K34" t="n">
        <v>0</v>
      </c>
      <c r="L34" t="n">
        <v>0</v>
      </c>
      <c r="M34" t="n">
        <v>0</v>
      </c>
      <c r="N34" t="n">
        <v>0</v>
      </c>
      <c r="O34" t="n">
        <v>0</v>
      </c>
      <c r="P34" t="n">
        <v>0</v>
      </c>
      <c r="Q34" t="n">
        <v>0</v>
      </c>
      <c r="R34" t="n">
        <v>0</v>
      </c>
      <c r="S34" t="n">
        <v>0</v>
      </c>
      <c r="T34" t="n">
        <v>0</v>
      </c>
      <c r="U34" t="n">
        <v>0</v>
      </c>
      <c r="V34" t="n">
        <v>0</v>
      </c>
      <c r="W34" t="n">
        <v>0</v>
      </c>
      <c r="X34" t="n">
        <v>0</v>
      </c>
      <c r="Y34" t="n">
        <v>0</v>
      </c>
      <c r="Z34" t="n">
        <v>0</v>
      </c>
      <c r="AA34" t="n">
        <v>0</v>
      </c>
      <c r="AB34" t="n">
        <v>0</v>
      </c>
      <c r="AC34" t="n">
        <v>0</v>
      </c>
      <c r="AD34" t="n">
        <v>0</v>
      </c>
      <c r="AE34" t="n">
        <v>0</v>
      </c>
      <c r="AF34" t="n">
        <v>0</v>
      </c>
    </row>
    <row r="35">
      <c r="B35" s="53">
        <f>C35&amp;"-"&amp;D35&amp;"-"&amp;E35</f>
        <v/>
      </c>
      <c r="C35" t="inlineStr">
        <is>
          <t>residential</t>
        </is>
      </c>
      <c r="D35" t="inlineStr">
        <is>
          <t>lighting</t>
        </is>
      </c>
      <c r="E35" t="inlineStr">
        <is>
          <t>heat (BTU)</t>
        </is>
      </c>
      <c r="F35" t="n">
        <v>0</v>
      </c>
      <c r="G35" t="n">
        <v>0</v>
      </c>
      <c r="H35" t="n">
        <v>0</v>
      </c>
      <c r="I35" t="n">
        <v>0</v>
      </c>
      <c r="J35" t="n">
        <v>0</v>
      </c>
      <c r="K35" t="n">
        <v>0</v>
      </c>
      <c r="L35" t="n">
        <v>0</v>
      </c>
      <c r="M35" t="n">
        <v>0</v>
      </c>
      <c r="N35" t="n">
        <v>0</v>
      </c>
      <c r="O35" t="n">
        <v>0</v>
      </c>
      <c r="P35" t="n">
        <v>0</v>
      </c>
      <c r="Q35" t="n">
        <v>0</v>
      </c>
      <c r="R35" t="n">
        <v>0</v>
      </c>
      <c r="S35" t="n">
        <v>0</v>
      </c>
      <c r="T35" t="n">
        <v>0</v>
      </c>
      <c r="U35" t="n">
        <v>0</v>
      </c>
      <c r="V35" t="n">
        <v>0</v>
      </c>
      <c r="W35" t="n">
        <v>0</v>
      </c>
      <c r="X35" t="n">
        <v>0</v>
      </c>
      <c r="Y35" t="n">
        <v>0</v>
      </c>
      <c r="Z35" t="n">
        <v>0</v>
      </c>
      <c r="AA35" t="n">
        <v>0</v>
      </c>
      <c r="AB35" t="n">
        <v>0</v>
      </c>
      <c r="AC35" t="n">
        <v>0</v>
      </c>
      <c r="AD35" t="n">
        <v>0</v>
      </c>
      <c r="AE35" t="n">
        <v>0</v>
      </c>
      <c r="AF35" t="n">
        <v>0</v>
      </c>
    </row>
    <row r="36">
      <c r="B36" s="53">
        <f>C36&amp;"-"&amp;D36&amp;"-"&amp;E36</f>
        <v/>
      </c>
      <c r="C36" t="inlineStr">
        <is>
          <t>residential</t>
        </is>
      </c>
      <c r="D36" t="inlineStr">
        <is>
          <t>lighting</t>
        </is>
      </c>
      <c r="E36" t="inlineStr">
        <is>
          <t>biomass (BTU)</t>
        </is>
      </c>
      <c r="F36" t="n">
        <v>0</v>
      </c>
      <c r="G36" t="n">
        <v>0</v>
      </c>
      <c r="H36" t="n">
        <v>0</v>
      </c>
      <c r="I36" t="n">
        <v>0</v>
      </c>
      <c r="J36" t="n">
        <v>0</v>
      </c>
      <c r="K36" t="n">
        <v>0</v>
      </c>
      <c r="L36" t="n">
        <v>0</v>
      </c>
      <c r="M36" t="n">
        <v>0</v>
      </c>
      <c r="N36" t="n">
        <v>0</v>
      </c>
      <c r="O36" t="n">
        <v>0</v>
      </c>
      <c r="P36" t="n">
        <v>0</v>
      </c>
      <c r="Q36" t="n">
        <v>0</v>
      </c>
      <c r="R36" t="n">
        <v>0</v>
      </c>
      <c r="S36" t="n">
        <v>0</v>
      </c>
      <c r="T36" t="n">
        <v>0</v>
      </c>
      <c r="U36" t="n">
        <v>0</v>
      </c>
      <c r="V36" t="n">
        <v>0</v>
      </c>
      <c r="W36" t="n">
        <v>0</v>
      </c>
      <c r="X36" t="n">
        <v>0</v>
      </c>
      <c r="Y36" t="n">
        <v>0</v>
      </c>
      <c r="Z36" t="n">
        <v>0</v>
      </c>
      <c r="AA36" t="n">
        <v>0</v>
      </c>
      <c r="AB36" t="n">
        <v>0</v>
      </c>
      <c r="AC36" t="n">
        <v>0</v>
      </c>
      <c r="AD36" t="n">
        <v>0</v>
      </c>
      <c r="AE36" t="n">
        <v>0</v>
      </c>
      <c r="AF36" t="n">
        <v>0</v>
      </c>
    </row>
    <row r="37">
      <c r="B37" s="53">
        <f>C37&amp;"-"&amp;D37&amp;"-"&amp;E37</f>
        <v/>
      </c>
      <c r="C37" t="inlineStr">
        <is>
          <t>residential</t>
        </is>
      </c>
      <c r="D37" t="inlineStr">
        <is>
          <t>lighting</t>
        </is>
      </c>
      <c r="E37" t="inlineStr">
        <is>
          <t>kerosene (BTU)</t>
        </is>
      </c>
      <c r="F37" t="n">
        <v>0</v>
      </c>
      <c r="G37" t="n">
        <v>0</v>
      </c>
      <c r="H37" t="n">
        <v>0</v>
      </c>
      <c r="I37" t="n">
        <v>0</v>
      </c>
      <c r="J37" t="n">
        <v>0</v>
      </c>
      <c r="K37" t="n">
        <v>0</v>
      </c>
      <c r="L37" t="n">
        <v>0</v>
      </c>
      <c r="M37" t="n">
        <v>0</v>
      </c>
      <c r="N37" t="n">
        <v>0</v>
      </c>
      <c r="O37" t="n">
        <v>0</v>
      </c>
      <c r="P37" t="n">
        <v>0</v>
      </c>
      <c r="Q37" t="n">
        <v>0</v>
      </c>
      <c r="R37" t="n">
        <v>0</v>
      </c>
      <c r="S37" t="n">
        <v>0</v>
      </c>
      <c r="T37" t="n">
        <v>0</v>
      </c>
      <c r="U37" t="n">
        <v>0</v>
      </c>
      <c r="V37" t="n">
        <v>0</v>
      </c>
      <c r="W37" t="n">
        <v>0</v>
      </c>
      <c r="X37" t="n">
        <v>0</v>
      </c>
      <c r="Y37" t="n">
        <v>0</v>
      </c>
      <c r="Z37" t="n">
        <v>0</v>
      </c>
      <c r="AA37" t="n">
        <v>0</v>
      </c>
      <c r="AB37" t="n">
        <v>0</v>
      </c>
      <c r="AC37" t="n">
        <v>0</v>
      </c>
      <c r="AD37" t="n">
        <v>0</v>
      </c>
      <c r="AE37" t="n">
        <v>0</v>
      </c>
      <c r="AF37" t="n">
        <v>0</v>
      </c>
    </row>
    <row r="38">
      <c r="B38" s="53">
        <f>C38&amp;"-"&amp;D38&amp;"-"&amp;E38</f>
        <v/>
      </c>
      <c r="C38" t="inlineStr">
        <is>
          <t>residential</t>
        </is>
      </c>
      <c r="D38" t="inlineStr">
        <is>
          <t>lighting</t>
        </is>
      </c>
      <c r="E38" t="inlineStr">
        <is>
          <t>heavy or residual fuel oil (BTU)</t>
        </is>
      </c>
      <c r="F38" t="n">
        <v>0</v>
      </c>
      <c r="G38" t="n">
        <v>0</v>
      </c>
      <c r="H38" t="n">
        <v>0</v>
      </c>
      <c r="I38" t="n">
        <v>0</v>
      </c>
      <c r="J38" t="n">
        <v>0</v>
      </c>
      <c r="K38" t="n">
        <v>0</v>
      </c>
      <c r="L38" t="n">
        <v>0</v>
      </c>
      <c r="M38" t="n">
        <v>0</v>
      </c>
      <c r="N38" t="n">
        <v>0</v>
      </c>
      <c r="O38" t="n">
        <v>0</v>
      </c>
      <c r="P38" t="n">
        <v>0</v>
      </c>
      <c r="Q38" t="n">
        <v>0</v>
      </c>
      <c r="R38" t="n">
        <v>0</v>
      </c>
      <c r="S38" t="n">
        <v>0</v>
      </c>
      <c r="T38" t="n">
        <v>0</v>
      </c>
      <c r="U38" t="n">
        <v>0</v>
      </c>
      <c r="V38" t="n">
        <v>0</v>
      </c>
      <c r="W38" t="n">
        <v>0</v>
      </c>
      <c r="X38" t="n">
        <v>0</v>
      </c>
      <c r="Y38" t="n">
        <v>0</v>
      </c>
      <c r="Z38" t="n">
        <v>0</v>
      </c>
      <c r="AA38" t="n">
        <v>0</v>
      </c>
      <c r="AB38" t="n">
        <v>0</v>
      </c>
      <c r="AC38" t="n">
        <v>0</v>
      </c>
      <c r="AD38" t="n">
        <v>0</v>
      </c>
      <c r="AE38" t="n">
        <v>0</v>
      </c>
      <c r="AF38" t="n">
        <v>0</v>
      </c>
    </row>
    <row r="39">
      <c r="B39" s="53">
        <f>C39&amp;"-"&amp;D39&amp;"-"&amp;E39</f>
        <v/>
      </c>
      <c r="C39" t="inlineStr">
        <is>
          <t>residential</t>
        </is>
      </c>
      <c r="D39" t="inlineStr">
        <is>
          <t>lighting</t>
        </is>
      </c>
      <c r="E39" t="inlineStr">
        <is>
          <t>LPG propane or butane (BTU)</t>
        </is>
      </c>
      <c r="F39" t="n">
        <v>0</v>
      </c>
      <c r="G39" t="n">
        <v>0</v>
      </c>
      <c r="H39" t="n">
        <v>0</v>
      </c>
      <c r="I39" t="n">
        <v>0</v>
      </c>
      <c r="J39" t="n">
        <v>0</v>
      </c>
      <c r="K39" t="n">
        <v>0</v>
      </c>
      <c r="L39" t="n">
        <v>0</v>
      </c>
      <c r="M39" t="n">
        <v>0</v>
      </c>
      <c r="N39" t="n">
        <v>0</v>
      </c>
      <c r="O39" t="n">
        <v>0</v>
      </c>
      <c r="P39" t="n">
        <v>0</v>
      </c>
      <c r="Q39" t="n">
        <v>0</v>
      </c>
      <c r="R39" t="n">
        <v>0</v>
      </c>
      <c r="S39" t="n">
        <v>0</v>
      </c>
      <c r="T39" t="n">
        <v>0</v>
      </c>
      <c r="U39" t="n">
        <v>0</v>
      </c>
      <c r="V39" t="n">
        <v>0</v>
      </c>
      <c r="W39" t="n">
        <v>0</v>
      </c>
      <c r="X39" t="n">
        <v>0</v>
      </c>
      <c r="Y39" t="n">
        <v>0</v>
      </c>
      <c r="Z39" t="n">
        <v>0</v>
      </c>
      <c r="AA39" t="n">
        <v>0</v>
      </c>
      <c r="AB39" t="n">
        <v>0</v>
      </c>
      <c r="AC39" t="n">
        <v>0</v>
      </c>
      <c r="AD39" t="n">
        <v>0</v>
      </c>
      <c r="AE39" t="n">
        <v>0</v>
      </c>
      <c r="AF39" t="n">
        <v>0</v>
      </c>
    </row>
    <row r="40">
      <c r="B40" s="53">
        <f>C40&amp;"-"&amp;D40&amp;"-"&amp;E40</f>
        <v/>
      </c>
      <c r="C40" t="inlineStr">
        <is>
          <t>residential</t>
        </is>
      </c>
      <c r="D40" t="inlineStr">
        <is>
          <t>lighting</t>
        </is>
      </c>
      <c r="E40" t="inlineStr">
        <is>
          <t>hydrogen (BTU)</t>
        </is>
      </c>
      <c r="F40" t="n">
        <v>0</v>
      </c>
      <c r="G40" t="n">
        <v>0</v>
      </c>
      <c r="H40" t="n">
        <v>0</v>
      </c>
      <c r="I40" t="n">
        <v>0</v>
      </c>
      <c r="J40" t="n">
        <v>0</v>
      </c>
      <c r="K40" t="n">
        <v>0</v>
      </c>
      <c r="L40" t="n">
        <v>0</v>
      </c>
      <c r="M40" t="n">
        <v>0</v>
      </c>
      <c r="N40" t="n">
        <v>0</v>
      </c>
      <c r="O40" t="n">
        <v>0</v>
      </c>
      <c r="P40" t="n">
        <v>0</v>
      </c>
      <c r="Q40" t="n">
        <v>0</v>
      </c>
      <c r="R40" t="n">
        <v>0</v>
      </c>
      <c r="S40" t="n">
        <v>0</v>
      </c>
      <c r="T40" t="n">
        <v>0</v>
      </c>
      <c r="U40" t="n">
        <v>0</v>
      </c>
      <c r="V40" t="n">
        <v>0</v>
      </c>
      <c r="W40" t="n">
        <v>0</v>
      </c>
      <c r="X40" t="n">
        <v>0</v>
      </c>
      <c r="Y40" t="n">
        <v>0</v>
      </c>
      <c r="Z40" t="n">
        <v>0</v>
      </c>
      <c r="AA40" t="n">
        <v>0</v>
      </c>
      <c r="AB40" t="n">
        <v>0</v>
      </c>
      <c r="AC40" t="n">
        <v>0</v>
      </c>
      <c r="AD40" t="n">
        <v>0</v>
      </c>
      <c r="AE40" t="n">
        <v>0</v>
      </c>
      <c r="AF40" t="n">
        <v>0</v>
      </c>
    </row>
    <row r="41"/>
    <row r="42">
      <c r="B42" s="1" t="inlineStr">
        <is>
          <t>BCEU-urban-residential-appl</t>
        </is>
      </c>
    </row>
    <row r="43">
      <c r="E43" t="inlineStr">
        <is>
          <t>Year</t>
        </is>
      </c>
      <c r="F43" s="1" t="n">
        <v>2024</v>
      </c>
      <c r="G43" s="1" t="n">
        <v>2025</v>
      </c>
      <c r="H43" s="1" t="n">
        <v>2026</v>
      </c>
      <c r="I43" s="1" t="n">
        <v>2027</v>
      </c>
      <c r="J43" s="1" t="n">
        <v>2028</v>
      </c>
      <c r="K43" s="1" t="n">
        <v>2029</v>
      </c>
      <c r="L43" s="1" t="n">
        <v>2030</v>
      </c>
      <c r="M43" s="1" t="n">
        <v>2031</v>
      </c>
      <c r="N43" s="1" t="n">
        <v>2032</v>
      </c>
      <c r="O43" s="1" t="n">
        <v>2033</v>
      </c>
      <c r="P43" s="1" t="n">
        <v>2034</v>
      </c>
      <c r="Q43" s="1" t="n">
        <v>2035</v>
      </c>
      <c r="R43" s="1" t="n">
        <v>2036</v>
      </c>
      <c r="S43" s="1" t="n">
        <v>2037</v>
      </c>
      <c r="T43" s="1" t="n">
        <v>2038</v>
      </c>
      <c r="U43" s="1" t="n">
        <v>2039</v>
      </c>
      <c r="V43" s="1" t="n">
        <v>2040</v>
      </c>
      <c r="W43" s="1" t="n">
        <v>2041</v>
      </c>
      <c r="X43" s="1" t="n">
        <v>2042</v>
      </c>
      <c r="Y43" s="1" t="n">
        <v>2043</v>
      </c>
      <c r="Z43" s="1" t="n">
        <v>2044</v>
      </c>
      <c r="AA43" s="1" t="n">
        <v>2045</v>
      </c>
      <c r="AB43" s="1" t="n">
        <v>2046</v>
      </c>
      <c r="AC43" s="1" t="n">
        <v>2047</v>
      </c>
      <c r="AD43" s="1" t="n">
        <v>2048</v>
      </c>
      <c r="AE43" s="1" t="n">
        <v>2049</v>
      </c>
      <c r="AF43" s="1" t="n">
        <v>2050</v>
      </c>
    </row>
    <row r="44">
      <c r="B44" s="53">
        <f>C44&amp;"-"&amp;D44&amp;"-"&amp;E44</f>
        <v/>
      </c>
      <c r="C44" t="inlineStr">
        <is>
          <t>residential</t>
        </is>
      </c>
      <c r="D44" t="inlineStr">
        <is>
          <t>appliances</t>
        </is>
      </c>
      <c r="E44" t="inlineStr">
        <is>
          <t>electricity (BTU)</t>
        </is>
      </c>
      <c r="F44">
        <f>SUMIFS('Crosswalk AEO to EPS Summary'!G:G,'Crosswalk AEO to EPS Summary'!$C:$C,$B44)*Percent_urban*quadrillion</f>
        <v/>
      </c>
      <c r="G44">
        <f>SUMIFS('Crosswalk AEO to EPS Summary'!H:H,'Crosswalk AEO to EPS Summary'!$C:$C,$B44)*Percent_urban*quadrillion</f>
        <v/>
      </c>
      <c r="H44">
        <f>SUMIFS('Crosswalk AEO to EPS Summary'!I:I,'Crosswalk AEO to EPS Summary'!$C:$C,$B44)*Percent_urban*quadrillion</f>
        <v/>
      </c>
      <c r="I44">
        <f>SUMIFS('Crosswalk AEO to EPS Summary'!J:J,'Crosswalk AEO to EPS Summary'!$C:$C,$B44)*Percent_urban*quadrillion</f>
        <v/>
      </c>
      <c r="J44">
        <f>SUMIFS('Crosswalk AEO to EPS Summary'!K:K,'Crosswalk AEO to EPS Summary'!$C:$C,$B44)*Percent_urban*quadrillion</f>
        <v/>
      </c>
      <c r="K44">
        <f>SUMIFS('Crosswalk AEO to EPS Summary'!L:L,'Crosswalk AEO to EPS Summary'!$C:$C,$B44)*Percent_urban*quadrillion</f>
        <v/>
      </c>
      <c r="L44">
        <f>SUMIFS('Crosswalk AEO to EPS Summary'!M:M,'Crosswalk AEO to EPS Summary'!$C:$C,$B44)*Percent_urban*quadrillion</f>
        <v/>
      </c>
      <c r="M44">
        <f>SUMIFS('Crosswalk AEO to EPS Summary'!N:N,'Crosswalk AEO to EPS Summary'!$C:$C,$B44)*Percent_urban*quadrillion</f>
        <v/>
      </c>
      <c r="N44">
        <f>SUMIFS('Crosswalk AEO to EPS Summary'!O:O,'Crosswalk AEO to EPS Summary'!$C:$C,$B44)*Percent_urban*quadrillion</f>
        <v/>
      </c>
      <c r="O44">
        <f>SUMIFS('Crosswalk AEO to EPS Summary'!P:P,'Crosswalk AEO to EPS Summary'!$C:$C,$B44)*Percent_urban*quadrillion</f>
        <v/>
      </c>
      <c r="P44">
        <f>SUMIFS('Crosswalk AEO to EPS Summary'!Q:Q,'Crosswalk AEO to EPS Summary'!$C:$C,$B44)*Percent_urban*quadrillion</f>
        <v/>
      </c>
      <c r="Q44">
        <f>SUMIFS('Crosswalk AEO to EPS Summary'!R:R,'Crosswalk AEO to EPS Summary'!$C:$C,$B44)*Percent_urban*quadrillion</f>
        <v/>
      </c>
      <c r="R44">
        <f>SUMIFS('Crosswalk AEO to EPS Summary'!S:S,'Crosswalk AEO to EPS Summary'!$C:$C,$B44)*Percent_urban*quadrillion</f>
        <v/>
      </c>
      <c r="S44">
        <f>SUMIFS('Crosswalk AEO to EPS Summary'!T:T,'Crosswalk AEO to EPS Summary'!$C:$C,$B44)*Percent_urban*quadrillion</f>
        <v/>
      </c>
      <c r="T44">
        <f>SUMIFS('Crosswalk AEO to EPS Summary'!U:U,'Crosswalk AEO to EPS Summary'!$C:$C,$B44)*Percent_urban*quadrillion</f>
        <v/>
      </c>
      <c r="U44">
        <f>SUMIFS('Crosswalk AEO to EPS Summary'!V:V,'Crosswalk AEO to EPS Summary'!$C:$C,$B44)*Percent_urban*quadrillion</f>
        <v/>
      </c>
      <c r="V44">
        <f>SUMIFS('Crosswalk AEO to EPS Summary'!W:W,'Crosswalk AEO to EPS Summary'!$C:$C,$B44)*Percent_urban*quadrillion</f>
        <v/>
      </c>
      <c r="W44">
        <f>SUMIFS('Crosswalk AEO to EPS Summary'!X:X,'Crosswalk AEO to EPS Summary'!$C:$C,$B44)*Percent_urban*quadrillion</f>
        <v/>
      </c>
      <c r="X44">
        <f>SUMIFS('Crosswalk AEO to EPS Summary'!Y:Y,'Crosswalk AEO to EPS Summary'!$C:$C,$B44)*Percent_urban*quadrillion</f>
        <v/>
      </c>
      <c r="Y44">
        <f>SUMIFS('Crosswalk AEO to EPS Summary'!Z:Z,'Crosswalk AEO to EPS Summary'!$C:$C,$B44)*Percent_urban*quadrillion</f>
        <v/>
      </c>
      <c r="Z44">
        <f>SUMIFS('Crosswalk AEO to EPS Summary'!AA:AA,'Crosswalk AEO to EPS Summary'!$C:$C,$B44)*Percent_urban*quadrillion</f>
        <v/>
      </c>
      <c r="AA44">
        <f>SUMIFS('Crosswalk AEO to EPS Summary'!AB:AB,'Crosswalk AEO to EPS Summary'!$C:$C,$B44)*Percent_urban*quadrillion</f>
        <v/>
      </c>
      <c r="AB44">
        <f>SUMIFS('Crosswalk AEO to EPS Summary'!AC:AC,'Crosswalk AEO to EPS Summary'!$C:$C,$B44)*Percent_urban*quadrillion</f>
        <v/>
      </c>
      <c r="AC44">
        <f>SUMIFS('Crosswalk AEO to EPS Summary'!AD:AD,'Crosswalk AEO to EPS Summary'!$C:$C,$B44)*Percent_urban*quadrillion</f>
        <v/>
      </c>
      <c r="AD44">
        <f>SUMIFS('Crosswalk AEO to EPS Summary'!AE:AE,'Crosswalk AEO to EPS Summary'!$C:$C,$B44)*Percent_urban*quadrillion</f>
        <v/>
      </c>
      <c r="AE44">
        <f>SUMIFS('Crosswalk AEO to EPS Summary'!AF:AF,'Crosswalk AEO to EPS Summary'!$C:$C,$B44)*Percent_urban*quadrillion</f>
        <v/>
      </c>
      <c r="AF44">
        <f>SUMIFS('Crosswalk AEO to EPS Summary'!AG:AG,'Crosswalk AEO to EPS Summary'!$C:$C,$B44)*Percent_urban*quadrillion</f>
        <v/>
      </c>
    </row>
    <row r="45">
      <c r="B45" s="53">
        <f>C45&amp;"-"&amp;D45&amp;"-"&amp;E45</f>
        <v/>
      </c>
      <c r="C45" t="inlineStr">
        <is>
          <t>residential</t>
        </is>
      </c>
      <c r="D45" t="inlineStr">
        <is>
          <t>appliances</t>
        </is>
      </c>
      <c r="E45" t="inlineStr">
        <is>
          <t>coal (BTU)</t>
        </is>
      </c>
      <c r="F45" t="n">
        <v>0</v>
      </c>
      <c r="G45" t="n">
        <v>0</v>
      </c>
      <c r="H45" t="n">
        <v>0</v>
      </c>
      <c r="I45" t="n">
        <v>0</v>
      </c>
      <c r="J45" t="n">
        <v>0</v>
      </c>
      <c r="K45" t="n">
        <v>0</v>
      </c>
      <c r="L45" t="n">
        <v>0</v>
      </c>
      <c r="M45" t="n">
        <v>0</v>
      </c>
      <c r="N45" t="n">
        <v>0</v>
      </c>
      <c r="O45" t="n">
        <v>0</v>
      </c>
      <c r="P45" t="n">
        <v>0</v>
      </c>
      <c r="Q45" t="n">
        <v>0</v>
      </c>
      <c r="R45" t="n">
        <v>0</v>
      </c>
      <c r="S45" t="n">
        <v>0</v>
      </c>
      <c r="T45" t="n">
        <v>0</v>
      </c>
      <c r="U45" t="n">
        <v>0</v>
      </c>
      <c r="V45" t="n">
        <v>0</v>
      </c>
      <c r="W45" t="n">
        <v>0</v>
      </c>
      <c r="X45" t="n">
        <v>0</v>
      </c>
      <c r="Y45" t="n">
        <v>0</v>
      </c>
      <c r="Z45" t="n">
        <v>0</v>
      </c>
      <c r="AA45" t="n">
        <v>0</v>
      </c>
      <c r="AB45" t="n">
        <v>0</v>
      </c>
      <c r="AC45" t="n">
        <v>0</v>
      </c>
      <c r="AD45" t="n">
        <v>0</v>
      </c>
      <c r="AE45" t="n">
        <v>0</v>
      </c>
      <c r="AF45" t="n">
        <v>0</v>
      </c>
    </row>
    <row r="46">
      <c r="B46" s="53">
        <f>C46&amp;"-"&amp;D46&amp;"-"&amp;E46</f>
        <v/>
      </c>
      <c r="C46" t="inlineStr">
        <is>
          <t>residential</t>
        </is>
      </c>
      <c r="D46" t="inlineStr">
        <is>
          <t>appliances</t>
        </is>
      </c>
      <c r="E46" t="inlineStr">
        <is>
          <t>natural gas (BTU)</t>
        </is>
      </c>
      <c r="F46">
        <f>SUMIFS('Crosswalk AEO to EPS Summary'!G:G,'Crosswalk AEO to EPS Summary'!$C:$C,$B46)*Percent_urban*quadrillion</f>
        <v/>
      </c>
      <c r="G46">
        <f>SUMIFS('Crosswalk AEO to EPS Summary'!H:H,'Crosswalk AEO to EPS Summary'!$C:$C,$B46)*Percent_urban*quadrillion</f>
        <v/>
      </c>
      <c r="H46">
        <f>SUMIFS('Crosswalk AEO to EPS Summary'!I:I,'Crosswalk AEO to EPS Summary'!$C:$C,$B46)*Percent_urban*quadrillion</f>
        <v/>
      </c>
      <c r="I46">
        <f>SUMIFS('Crosswalk AEO to EPS Summary'!J:J,'Crosswalk AEO to EPS Summary'!$C:$C,$B46)*Percent_urban*quadrillion</f>
        <v/>
      </c>
      <c r="J46">
        <f>SUMIFS('Crosswalk AEO to EPS Summary'!K:K,'Crosswalk AEO to EPS Summary'!$C:$C,$B46)*Percent_urban*quadrillion</f>
        <v/>
      </c>
      <c r="K46">
        <f>SUMIFS('Crosswalk AEO to EPS Summary'!L:L,'Crosswalk AEO to EPS Summary'!$C:$C,$B46)*Percent_urban*quadrillion</f>
        <v/>
      </c>
      <c r="L46">
        <f>SUMIFS('Crosswalk AEO to EPS Summary'!M:M,'Crosswalk AEO to EPS Summary'!$C:$C,$B46)*Percent_urban*quadrillion</f>
        <v/>
      </c>
      <c r="M46">
        <f>SUMIFS('Crosswalk AEO to EPS Summary'!N:N,'Crosswalk AEO to EPS Summary'!$C:$C,$B46)*Percent_urban*quadrillion</f>
        <v/>
      </c>
      <c r="N46">
        <f>SUMIFS('Crosswalk AEO to EPS Summary'!O:O,'Crosswalk AEO to EPS Summary'!$C:$C,$B46)*Percent_urban*quadrillion</f>
        <v/>
      </c>
      <c r="O46">
        <f>SUMIFS('Crosswalk AEO to EPS Summary'!P:P,'Crosswalk AEO to EPS Summary'!$C:$C,$B46)*Percent_urban*quadrillion</f>
        <v/>
      </c>
      <c r="P46">
        <f>SUMIFS('Crosswalk AEO to EPS Summary'!Q:Q,'Crosswalk AEO to EPS Summary'!$C:$C,$B46)*Percent_urban*quadrillion</f>
        <v/>
      </c>
      <c r="Q46">
        <f>SUMIFS('Crosswalk AEO to EPS Summary'!R:R,'Crosswalk AEO to EPS Summary'!$C:$C,$B46)*Percent_urban*quadrillion</f>
        <v/>
      </c>
      <c r="R46">
        <f>SUMIFS('Crosswalk AEO to EPS Summary'!S:S,'Crosswalk AEO to EPS Summary'!$C:$C,$B46)*Percent_urban*quadrillion</f>
        <v/>
      </c>
      <c r="S46">
        <f>SUMIFS('Crosswalk AEO to EPS Summary'!T:T,'Crosswalk AEO to EPS Summary'!$C:$C,$B46)*Percent_urban*quadrillion</f>
        <v/>
      </c>
      <c r="T46">
        <f>SUMIFS('Crosswalk AEO to EPS Summary'!U:U,'Crosswalk AEO to EPS Summary'!$C:$C,$B46)*Percent_urban*quadrillion</f>
        <v/>
      </c>
      <c r="U46">
        <f>SUMIFS('Crosswalk AEO to EPS Summary'!V:V,'Crosswalk AEO to EPS Summary'!$C:$C,$B46)*Percent_urban*quadrillion</f>
        <v/>
      </c>
      <c r="V46">
        <f>SUMIFS('Crosswalk AEO to EPS Summary'!W:W,'Crosswalk AEO to EPS Summary'!$C:$C,$B46)*Percent_urban*quadrillion</f>
        <v/>
      </c>
      <c r="W46">
        <f>SUMIFS('Crosswalk AEO to EPS Summary'!X:X,'Crosswalk AEO to EPS Summary'!$C:$C,$B46)*Percent_urban*quadrillion</f>
        <v/>
      </c>
      <c r="X46">
        <f>SUMIFS('Crosswalk AEO to EPS Summary'!Y:Y,'Crosswalk AEO to EPS Summary'!$C:$C,$B46)*Percent_urban*quadrillion</f>
        <v/>
      </c>
      <c r="Y46">
        <f>SUMIFS('Crosswalk AEO to EPS Summary'!Z:Z,'Crosswalk AEO to EPS Summary'!$C:$C,$B46)*Percent_urban*quadrillion</f>
        <v/>
      </c>
      <c r="Z46">
        <f>SUMIFS('Crosswalk AEO to EPS Summary'!AA:AA,'Crosswalk AEO to EPS Summary'!$C:$C,$B46)*Percent_urban*quadrillion</f>
        <v/>
      </c>
      <c r="AA46">
        <f>SUMIFS('Crosswalk AEO to EPS Summary'!AB:AB,'Crosswalk AEO to EPS Summary'!$C:$C,$B46)*Percent_urban*quadrillion</f>
        <v/>
      </c>
      <c r="AB46">
        <f>SUMIFS('Crosswalk AEO to EPS Summary'!AC:AC,'Crosswalk AEO to EPS Summary'!$C:$C,$B46)*Percent_urban*quadrillion</f>
        <v/>
      </c>
      <c r="AC46">
        <f>SUMIFS('Crosswalk AEO to EPS Summary'!AD:AD,'Crosswalk AEO to EPS Summary'!$C:$C,$B46)*Percent_urban*quadrillion</f>
        <v/>
      </c>
      <c r="AD46">
        <f>SUMIFS('Crosswalk AEO to EPS Summary'!AE:AE,'Crosswalk AEO to EPS Summary'!$C:$C,$B46)*Percent_urban*quadrillion</f>
        <v/>
      </c>
      <c r="AE46">
        <f>SUMIFS('Crosswalk AEO to EPS Summary'!AF:AF,'Crosswalk AEO to EPS Summary'!$C:$C,$B46)*Percent_urban*quadrillion</f>
        <v/>
      </c>
      <c r="AF46">
        <f>SUMIFS('Crosswalk AEO to EPS Summary'!AG:AG,'Crosswalk AEO to EPS Summary'!$C:$C,$B46)*Percent_urban*quadrillion</f>
        <v/>
      </c>
    </row>
    <row r="47">
      <c r="B47" s="53">
        <f>C47&amp;"-"&amp;D47&amp;"-"&amp;E47</f>
        <v/>
      </c>
      <c r="C47" t="inlineStr">
        <is>
          <t>residential</t>
        </is>
      </c>
      <c r="D47" t="inlineStr">
        <is>
          <t>appliances</t>
        </is>
      </c>
      <c r="E47" t="inlineStr">
        <is>
          <t>petroleum diesel (BTU)</t>
        </is>
      </c>
      <c r="F47">
        <f>SUMIFS('Crosswalk AEO to EPS Summary'!G:G,'Crosswalk AEO to EPS Summary'!$C:$C,$B47)*Percent_urban*quadrillion</f>
        <v/>
      </c>
      <c r="G47">
        <f>SUMIFS('Crosswalk AEO to EPS Summary'!H:H,'Crosswalk AEO to EPS Summary'!$C:$C,$B47)*Percent_urban*quadrillion</f>
        <v/>
      </c>
      <c r="H47">
        <f>SUMIFS('Crosswalk AEO to EPS Summary'!I:I,'Crosswalk AEO to EPS Summary'!$C:$C,$B47)*Percent_urban*quadrillion</f>
        <v/>
      </c>
      <c r="I47">
        <f>SUMIFS('Crosswalk AEO to EPS Summary'!J:J,'Crosswalk AEO to EPS Summary'!$C:$C,$B47)*Percent_urban*quadrillion</f>
        <v/>
      </c>
      <c r="J47">
        <f>SUMIFS('Crosswalk AEO to EPS Summary'!K:K,'Crosswalk AEO to EPS Summary'!$C:$C,$B47)*Percent_urban*quadrillion</f>
        <v/>
      </c>
      <c r="K47">
        <f>SUMIFS('Crosswalk AEO to EPS Summary'!L:L,'Crosswalk AEO to EPS Summary'!$C:$C,$B47)*Percent_urban*quadrillion</f>
        <v/>
      </c>
      <c r="L47">
        <f>SUMIFS('Crosswalk AEO to EPS Summary'!M:M,'Crosswalk AEO to EPS Summary'!$C:$C,$B47)*Percent_urban*quadrillion</f>
        <v/>
      </c>
      <c r="M47">
        <f>SUMIFS('Crosswalk AEO to EPS Summary'!N:N,'Crosswalk AEO to EPS Summary'!$C:$C,$B47)*Percent_urban*quadrillion</f>
        <v/>
      </c>
      <c r="N47">
        <f>SUMIFS('Crosswalk AEO to EPS Summary'!O:O,'Crosswalk AEO to EPS Summary'!$C:$C,$B47)*Percent_urban*quadrillion</f>
        <v/>
      </c>
      <c r="O47">
        <f>SUMIFS('Crosswalk AEO to EPS Summary'!P:P,'Crosswalk AEO to EPS Summary'!$C:$C,$B47)*Percent_urban*quadrillion</f>
        <v/>
      </c>
      <c r="P47">
        <f>SUMIFS('Crosswalk AEO to EPS Summary'!Q:Q,'Crosswalk AEO to EPS Summary'!$C:$C,$B47)*Percent_urban*quadrillion</f>
        <v/>
      </c>
      <c r="Q47">
        <f>SUMIFS('Crosswalk AEO to EPS Summary'!R:R,'Crosswalk AEO to EPS Summary'!$C:$C,$B47)*Percent_urban*quadrillion</f>
        <v/>
      </c>
      <c r="R47">
        <f>SUMIFS('Crosswalk AEO to EPS Summary'!S:S,'Crosswalk AEO to EPS Summary'!$C:$C,$B47)*Percent_urban*quadrillion</f>
        <v/>
      </c>
      <c r="S47">
        <f>SUMIFS('Crosswalk AEO to EPS Summary'!T:T,'Crosswalk AEO to EPS Summary'!$C:$C,$B47)*Percent_urban*quadrillion</f>
        <v/>
      </c>
      <c r="T47">
        <f>SUMIFS('Crosswalk AEO to EPS Summary'!U:U,'Crosswalk AEO to EPS Summary'!$C:$C,$B47)*Percent_urban*quadrillion</f>
        <v/>
      </c>
      <c r="U47">
        <f>SUMIFS('Crosswalk AEO to EPS Summary'!V:V,'Crosswalk AEO to EPS Summary'!$C:$C,$B47)*Percent_urban*quadrillion</f>
        <v/>
      </c>
      <c r="V47">
        <f>SUMIFS('Crosswalk AEO to EPS Summary'!W:W,'Crosswalk AEO to EPS Summary'!$C:$C,$B47)*Percent_urban*quadrillion</f>
        <v/>
      </c>
      <c r="W47">
        <f>SUMIFS('Crosswalk AEO to EPS Summary'!X:X,'Crosswalk AEO to EPS Summary'!$C:$C,$B47)*Percent_urban*quadrillion</f>
        <v/>
      </c>
      <c r="X47">
        <f>SUMIFS('Crosswalk AEO to EPS Summary'!Y:Y,'Crosswalk AEO to EPS Summary'!$C:$C,$B47)*Percent_urban*quadrillion</f>
        <v/>
      </c>
      <c r="Y47">
        <f>SUMIFS('Crosswalk AEO to EPS Summary'!Z:Z,'Crosswalk AEO to EPS Summary'!$C:$C,$B47)*Percent_urban*quadrillion</f>
        <v/>
      </c>
      <c r="Z47">
        <f>SUMIFS('Crosswalk AEO to EPS Summary'!AA:AA,'Crosswalk AEO to EPS Summary'!$C:$C,$B47)*Percent_urban*quadrillion</f>
        <v/>
      </c>
      <c r="AA47">
        <f>SUMIFS('Crosswalk AEO to EPS Summary'!AB:AB,'Crosswalk AEO to EPS Summary'!$C:$C,$B47)*Percent_urban*quadrillion</f>
        <v/>
      </c>
      <c r="AB47">
        <f>SUMIFS('Crosswalk AEO to EPS Summary'!AC:AC,'Crosswalk AEO to EPS Summary'!$C:$C,$B47)*Percent_urban*quadrillion</f>
        <v/>
      </c>
      <c r="AC47">
        <f>SUMIFS('Crosswalk AEO to EPS Summary'!AD:AD,'Crosswalk AEO to EPS Summary'!$C:$C,$B47)*Percent_urban*quadrillion</f>
        <v/>
      </c>
      <c r="AD47">
        <f>SUMIFS('Crosswalk AEO to EPS Summary'!AE:AE,'Crosswalk AEO to EPS Summary'!$C:$C,$B47)*Percent_urban*quadrillion</f>
        <v/>
      </c>
      <c r="AE47">
        <f>SUMIFS('Crosswalk AEO to EPS Summary'!AF:AF,'Crosswalk AEO to EPS Summary'!$C:$C,$B47)*Percent_urban*quadrillion</f>
        <v/>
      </c>
      <c r="AF47">
        <f>SUMIFS('Crosswalk AEO to EPS Summary'!AG:AG,'Crosswalk AEO to EPS Summary'!$C:$C,$B47)*Percent_urban*quadrillion</f>
        <v/>
      </c>
    </row>
    <row r="48">
      <c r="B48" s="53">
        <f>C48&amp;"-"&amp;D48&amp;"-"&amp;E48</f>
        <v/>
      </c>
      <c r="C48" t="inlineStr">
        <is>
          <t>residential</t>
        </is>
      </c>
      <c r="D48" t="inlineStr">
        <is>
          <t>appliances</t>
        </is>
      </c>
      <c r="E48" t="inlineStr">
        <is>
          <t>heat (BTU)</t>
        </is>
      </c>
      <c r="F48" t="n">
        <v>0</v>
      </c>
      <c r="G48" t="n">
        <v>0</v>
      </c>
      <c r="H48" t="n">
        <v>0</v>
      </c>
      <c r="I48" t="n">
        <v>0</v>
      </c>
      <c r="J48" t="n">
        <v>0</v>
      </c>
      <c r="K48" t="n">
        <v>0</v>
      </c>
      <c r="L48" t="n">
        <v>0</v>
      </c>
      <c r="M48" t="n">
        <v>0</v>
      </c>
      <c r="N48" t="n">
        <v>0</v>
      </c>
      <c r="O48" t="n">
        <v>0</v>
      </c>
      <c r="P48" t="n">
        <v>0</v>
      </c>
      <c r="Q48" t="n">
        <v>0</v>
      </c>
      <c r="R48" t="n">
        <v>0</v>
      </c>
      <c r="S48" t="n">
        <v>0</v>
      </c>
      <c r="T48" t="n">
        <v>0</v>
      </c>
      <c r="U48" t="n">
        <v>0</v>
      </c>
      <c r="V48" t="n">
        <v>0</v>
      </c>
      <c r="W48" t="n">
        <v>0</v>
      </c>
      <c r="X48" t="n">
        <v>0</v>
      </c>
      <c r="Y48" t="n">
        <v>0</v>
      </c>
      <c r="Z48" t="n">
        <v>0</v>
      </c>
      <c r="AA48" t="n">
        <v>0</v>
      </c>
      <c r="AB48" t="n">
        <v>0</v>
      </c>
      <c r="AC48" t="n">
        <v>0</v>
      </c>
      <c r="AD48" t="n">
        <v>0</v>
      </c>
      <c r="AE48" t="n">
        <v>0</v>
      </c>
      <c r="AF48" t="n">
        <v>0</v>
      </c>
    </row>
    <row r="49">
      <c r="B49" s="53">
        <f>C49&amp;"-"&amp;D49&amp;"-"&amp;E49</f>
        <v/>
      </c>
      <c r="C49" t="inlineStr">
        <is>
          <t>residential</t>
        </is>
      </c>
      <c r="D49" t="inlineStr">
        <is>
          <t>appliances</t>
        </is>
      </c>
      <c r="E49" t="inlineStr">
        <is>
          <t>biomass (BTU)</t>
        </is>
      </c>
      <c r="F49" t="n">
        <v>0</v>
      </c>
      <c r="G49" t="n">
        <v>0</v>
      </c>
      <c r="H49" t="n">
        <v>0</v>
      </c>
      <c r="I49" t="n">
        <v>0</v>
      </c>
      <c r="J49" t="n">
        <v>0</v>
      </c>
      <c r="K49" t="n">
        <v>0</v>
      </c>
      <c r="L49" t="n">
        <v>0</v>
      </c>
      <c r="M49" t="n">
        <v>0</v>
      </c>
      <c r="N49" t="n">
        <v>0</v>
      </c>
      <c r="O49" t="n">
        <v>0</v>
      </c>
      <c r="P49" t="n">
        <v>0</v>
      </c>
      <c r="Q49" t="n">
        <v>0</v>
      </c>
      <c r="R49" t="n">
        <v>0</v>
      </c>
      <c r="S49" t="n">
        <v>0</v>
      </c>
      <c r="T49" t="n">
        <v>0</v>
      </c>
      <c r="U49" t="n">
        <v>0</v>
      </c>
      <c r="V49" t="n">
        <v>0</v>
      </c>
      <c r="W49" t="n">
        <v>0</v>
      </c>
      <c r="X49" t="n">
        <v>0</v>
      </c>
      <c r="Y49" t="n">
        <v>0</v>
      </c>
      <c r="Z49" t="n">
        <v>0</v>
      </c>
      <c r="AA49" t="n">
        <v>0</v>
      </c>
      <c r="AB49" t="n">
        <v>0</v>
      </c>
      <c r="AC49" t="n">
        <v>0</v>
      </c>
      <c r="AD49" t="n">
        <v>0</v>
      </c>
      <c r="AE49" t="n">
        <v>0</v>
      </c>
      <c r="AF49" t="n">
        <v>0</v>
      </c>
    </row>
    <row r="50">
      <c r="B50" s="53">
        <f>C50&amp;"-"&amp;D50&amp;"-"&amp;E50</f>
        <v/>
      </c>
      <c r="C50" t="inlineStr">
        <is>
          <t>residential</t>
        </is>
      </c>
      <c r="D50" t="inlineStr">
        <is>
          <t>appliances</t>
        </is>
      </c>
      <c r="E50" t="inlineStr">
        <is>
          <t>kerosene (BTU)</t>
        </is>
      </c>
      <c r="F50" t="n">
        <v>0</v>
      </c>
      <c r="G50" t="n">
        <v>0</v>
      </c>
      <c r="H50" t="n">
        <v>0</v>
      </c>
      <c r="I50" t="n">
        <v>0</v>
      </c>
      <c r="J50" t="n">
        <v>0</v>
      </c>
      <c r="K50" t="n">
        <v>0</v>
      </c>
      <c r="L50" t="n">
        <v>0</v>
      </c>
      <c r="M50" t="n">
        <v>0</v>
      </c>
      <c r="N50" t="n">
        <v>0</v>
      </c>
      <c r="O50" t="n">
        <v>0</v>
      </c>
      <c r="P50" t="n">
        <v>0</v>
      </c>
      <c r="Q50" t="n">
        <v>0</v>
      </c>
      <c r="R50" t="n">
        <v>0</v>
      </c>
      <c r="S50" t="n">
        <v>0</v>
      </c>
      <c r="T50" t="n">
        <v>0</v>
      </c>
      <c r="U50" t="n">
        <v>0</v>
      </c>
      <c r="V50" t="n">
        <v>0</v>
      </c>
      <c r="W50" t="n">
        <v>0</v>
      </c>
      <c r="X50" t="n">
        <v>0</v>
      </c>
      <c r="Y50" t="n">
        <v>0</v>
      </c>
      <c r="Z50" t="n">
        <v>0</v>
      </c>
      <c r="AA50" t="n">
        <v>0</v>
      </c>
      <c r="AB50" t="n">
        <v>0</v>
      </c>
      <c r="AC50" t="n">
        <v>0</v>
      </c>
      <c r="AD50" t="n">
        <v>0</v>
      </c>
      <c r="AE50" t="n">
        <v>0</v>
      </c>
      <c r="AF50" t="n">
        <v>0</v>
      </c>
    </row>
    <row r="51">
      <c r="B51" s="53">
        <f>C51&amp;"-"&amp;D51&amp;"-"&amp;E51</f>
        <v/>
      </c>
      <c r="C51" t="inlineStr">
        <is>
          <t>residential</t>
        </is>
      </c>
      <c r="D51" t="inlineStr">
        <is>
          <t>appliances</t>
        </is>
      </c>
      <c r="E51" t="inlineStr">
        <is>
          <t>heavy or residual fuel oil (BTU)</t>
        </is>
      </c>
      <c r="F51" t="n">
        <v>0</v>
      </c>
      <c r="G51" t="n">
        <v>0</v>
      </c>
      <c r="H51" t="n">
        <v>0</v>
      </c>
      <c r="I51" t="n">
        <v>0</v>
      </c>
      <c r="J51" t="n">
        <v>0</v>
      </c>
      <c r="K51" t="n">
        <v>0</v>
      </c>
      <c r="L51" t="n">
        <v>0</v>
      </c>
      <c r="M51" t="n">
        <v>0</v>
      </c>
      <c r="N51" t="n">
        <v>0</v>
      </c>
      <c r="O51" t="n">
        <v>0</v>
      </c>
      <c r="P51" t="n">
        <v>0</v>
      </c>
      <c r="Q51" t="n">
        <v>0</v>
      </c>
      <c r="R51" t="n">
        <v>0</v>
      </c>
      <c r="S51" t="n">
        <v>0</v>
      </c>
      <c r="T51" t="n">
        <v>0</v>
      </c>
      <c r="U51" t="n">
        <v>0</v>
      </c>
      <c r="V51" t="n">
        <v>0</v>
      </c>
      <c r="W51" t="n">
        <v>0</v>
      </c>
      <c r="X51" t="n">
        <v>0</v>
      </c>
      <c r="Y51" t="n">
        <v>0</v>
      </c>
      <c r="Z51" t="n">
        <v>0</v>
      </c>
      <c r="AA51" t="n">
        <v>0</v>
      </c>
      <c r="AB51" t="n">
        <v>0</v>
      </c>
      <c r="AC51" t="n">
        <v>0</v>
      </c>
      <c r="AD51" t="n">
        <v>0</v>
      </c>
      <c r="AE51" t="n">
        <v>0</v>
      </c>
      <c r="AF51" t="n">
        <v>0</v>
      </c>
    </row>
    <row r="52">
      <c r="B52" s="53">
        <f>C52&amp;"-"&amp;D52&amp;"-"&amp;E52</f>
        <v/>
      </c>
      <c r="C52" t="inlineStr">
        <is>
          <t>residential</t>
        </is>
      </c>
      <c r="D52" t="inlineStr">
        <is>
          <t>appliances</t>
        </is>
      </c>
      <c r="E52" t="inlineStr">
        <is>
          <t>LPG propane or butane (BTU)</t>
        </is>
      </c>
      <c r="F52">
        <f>SUMIFS('Crosswalk AEO to EPS Summary'!G:G,'Crosswalk AEO to EPS Summary'!$C:$C,$B52)*Percent_urban*quadrillion</f>
        <v/>
      </c>
      <c r="G52">
        <f>SUMIFS('Crosswalk AEO to EPS Summary'!H:H,'Crosswalk AEO to EPS Summary'!$C:$C,$B52)*Percent_urban*quadrillion</f>
        <v/>
      </c>
      <c r="H52">
        <f>SUMIFS('Crosswalk AEO to EPS Summary'!I:I,'Crosswalk AEO to EPS Summary'!$C:$C,$B52)*Percent_urban*quadrillion</f>
        <v/>
      </c>
      <c r="I52">
        <f>SUMIFS('Crosswalk AEO to EPS Summary'!J:J,'Crosswalk AEO to EPS Summary'!$C:$C,$B52)*Percent_urban*quadrillion</f>
        <v/>
      </c>
      <c r="J52">
        <f>SUMIFS('Crosswalk AEO to EPS Summary'!K:K,'Crosswalk AEO to EPS Summary'!$C:$C,$B52)*Percent_urban*quadrillion</f>
        <v/>
      </c>
      <c r="K52">
        <f>SUMIFS('Crosswalk AEO to EPS Summary'!L:L,'Crosswalk AEO to EPS Summary'!$C:$C,$B52)*Percent_urban*quadrillion</f>
        <v/>
      </c>
      <c r="L52">
        <f>SUMIFS('Crosswalk AEO to EPS Summary'!M:M,'Crosswalk AEO to EPS Summary'!$C:$C,$B52)*Percent_urban*quadrillion</f>
        <v/>
      </c>
      <c r="M52">
        <f>SUMIFS('Crosswalk AEO to EPS Summary'!N:N,'Crosswalk AEO to EPS Summary'!$C:$C,$B52)*Percent_urban*quadrillion</f>
        <v/>
      </c>
      <c r="N52">
        <f>SUMIFS('Crosswalk AEO to EPS Summary'!O:O,'Crosswalk AEO to EPS Summary'!$C:$C,$B52)*Percent_urban*quadrillion</f>
        <v/>
      </c>
      <c r="O52">
        <f>SUMIFS('Crosswalk AEO to EPS Summary'!P:P,'Crosswalk AEO to EPS Summary'!$C:$C,$B52)*Percent_urban*quadrillion</f>
        <v/>
      </c>
      <c r="P52">
        <f>SUMIFS('Crosswalk AEO to EPS Summary'!Q:Q,'Crosswalk AEO to EPS Summary'!$C:$C,$B52)*Percent_urban*quadrillion</f>
        <v/>
      </c>
      <c r="Q52">
        <f>SUMIFS('Crosswalk AEO to EPS Summary'!R:R,'Crosswalk AEO to EPS Summary'!$C:$C,$B52)*Percent_urban*quadrillion</f>
        <v/>
      </c>
      <c r="R52">
        <f>SUMIFS('Crosswalk AEO to EPS Summary'!S:S,'Crosswalk AEO to EPS Summary'!$C:$C,$B52)*Percent_urban*quadrillion</f>
        <v/>
      </c>
      <c r="S52">
        <f>SUMIFS('Crosswalk AEO to EPS Summary'!T:T,'Crosswalk AEO to EPS Summary'!$C:$C,$B52)*Percent_urban*quadrillion</f>
        <v/>
      </c>
      <c r="T52">
        <f>SUMIFS('Crosswalk AEO to EPS Summary'!U:U,'Crosswalk AEO to EPS Summary'!$C:$C,$B52)*Percent_urban*quadrillion</f>
        <v/>
      </c>
      <c r="U52">
        <f>SUMIFS('Crosswalk AEO to EPS Summary'!V:V,'Crosswalk AEO to EPS Summary'!$C:$C,$B52)*Percent_urban*quadrillion</f>
        <v/>
      </c>
      <c r="V52">
        <f>SUMIFS('Crosswalk AEO to EPS Summary'!W:W,'Crosswalk AEO to EPS Summary'!$C:$C,$B52)*Percent_urban*quadrillion</f>
        <v/>
      </c>
      <c r="W52">
        <f>SUMIFS('Crosswalk AEO to EPS Summary'!X:X,'Crosswalk AEO to EPS Summary'!$C:$C,$B52)*Percent_urban*quadrillion</f>
        <v/>
      </c>
      <c r="X52">
        <f>SUMIFS('Crosswalk AEO to EPS Summary'!Y:Y,'Crosswalk AEO to EPS Summary'!$C:$C,$B52)*Percent_urban*quadrillion</f>
        <v/>
      </c>
      <c r="Y52">
        <f>SUMIFS('Crosswalk AEO to EPS Summary'!Z:Z,'Crosswalk AEO to EPS Summary'!$C:$C,$B52)*Percent_urban*quadrillion</f>
        <v/>
      </c>
      <c r="Z52">
        <f>SUMIFS('Crosswalk AEO to EPS Summary'!AA:AA,'Crosswalk AEO to EPS Summary'!$C:$C,$B52)*Percent_urban*quadrillion</f>
        <v/>
      </c>
      <c r="AA52">
        <f>SUMIFS('Crosswalk AEO to EPS Summary'!AB:AB,'Crosswalk AEO to EPS Summary'!$C:$C,$B52)*Percent_urban*quadrillion</f>
        <v/>
      </c>
      <c r="AB52">
        <f>SUMIFS('Crosswalk AEO to EPS Summary'!AC:AC,'Crosswalk AEO to EPS Summary'!$C:$C,$B52)*Percent_urban*quadrillion</f>
        <v/>
      </c>
      <c r="AC52">
        <f>SUMIFS('Crosswalk AEO to EPS Summary'!AD:AD,'Crosswalk AEO to EPS Summary'!$C:$C,$B52)*Percent_urban*quadrillion</f>
        <v/>
      </c>
      <c r="AD52">
        <f>SUMIFS('Crosswalk AEO to EPS Summary'!AE:AE,'Crosswalk AEO to EPS Summary'!$C:$C,$B52)*Percent_urban*quadrillion</f>
        <v/>
      </c>
      <c r="AE52">
        <f>SUMIFS('Crosswalk AEO to EPS Summary'!AF:AF,'Crosswalk AEO to EPS Summary'!$C:$C,$B52)*Percent_urban*quadrillion</f>
        <v/>
      </c>
      <c r="AF52">
        <f>SUMIFS('Crosswalk AEO to EPS Summary'!AG:AG,'Crosswalk AEO to EPS Summary'!$C:$C,$B52)*Percent_urban*quadrillion</f>
        <v/>
      </c>
    </row>
    <row r="53">
      <c r="B53" s="53">
        <f>C53&amp;"-"&amp;D53&amp;"-"&amp;E53</f>
        <v/>
      </c>
      <c r="C53" t="inlineStr">
        <is>
          <t>residential</t>
        </is>
      </c>
      <c r="D53" t="inlineStr">
        <is>
          <t>appliances</t>
        </is>
      </c>
      <c r="E53" t="inlineStr">
        <is>
          <t>hydrogen (BTU)</t>
        </is>
      </c>
      <c r="F53" t="n">
        <v>0</v>
      </c>
      <c r="G53" t="n">
        <v>0</v>
      </c>
      <c r="H53" t="n">
        <v>0</v>
      </c>
      <c r="I53" t="n">
        <v>0</v>
      </c>
      <c r="J53" t="n">
        <v>0</v>
      </c>
      <c r="K53" t="n">
        <v>0</v>
      </c>
      <c r="L53" t="n">
        <v>0</v>
      </c>
      <c r="M53" t="n">
        <v>0</v>
      </c>
      <c r="N53" t="n">
        <v>0</v>
      </c>
      <c r="O53" t="n">
        <v>0</v>
      </c>
      <c r="P53" t="n">
        <v>0</v>
      </c>
      <c r="Q53" t="n">
        <v>0</v>
      </c>
      <c r="R53" t="n">
        <v>0</v>
      </c>
      <c r="S53" t="n">
        <v>0</v>
      </c>
      <c r="T53" t="n">
        <v>0</v>
      </c>
      <c r="U53" t="n">
        <v>0</v>
      </c>
      <c r="V53" t="n">
        <v>0</v>
      </c>
      <c r="W53" t="n">
        <v>0</v>
      </c>
      <c r="X53" t="n">
        <v>0</v>
      </c>
      <c r="Y53" t="n">
        <v>0</v>
      </c>
      <c r="Z53" t="n">
        <v>0</v>
      </c>
      <c r="AA53" t="n">
        <v>0</v>
      </c>
      <c r="AB53" t="n">
        <v>0</v>
      </c>
      <c r="AC53" t="n">
        <v>0</v>
      </c>
      <c r="AD53" t="n">
        <v>0</v>
      </c>
      <c r="AE53" t="n">
        <v>0</v>
      </c>
      <c r="AF53" t="n">
        <v>0</v>
      </c>
    </row>
    <row r="54"/>
    <row r="55">
      <c r="B55" s="1" t="inlineStr">
        <is>
          <t>BCEU-urban-residential-other</t>
        </is>
      </c>
    </row>
    <row r="56">
      <c r="E56" t="inlineStr">
        <is>
          <t>Year</t>
        </is>
      </c>
      <c r="F56" s="1" t="n">
        <v>2024</v>
      </c>
      <c r="G56" s="1" t="n">
        <v>2025</v>
      </c>
      <c r="H56" s="1" t="n">
        <v>2026</v>
      </c>
      <c r="I56" s="1" t="n">
        <v>2027</v>
      </c>
      <c r="J56" s="1" t="n">
        <v>2028</v>
      </c>
      <c r="K56" s="1" t="n">
        <v>2029</v>
      </c>
      <c r="L56" s="1" t="n">
        <v>2030</v>
      </c>
      <c r="M56" s="1" t="n">
        <v>2031</v>
      </c>
      <c r="N56" s="1" t="n">
        <v>2032</v>
      </c>
      <c r="O56" s="1" t="n">
        <v>2033</v>
      </c>
      <c r="P56" s="1" t="n">
        <v>2034</v>
      </c>
      <c r="Q56" s="1" t="n">
        <v>2035</v>
      </c>
      <c r="R56" s="1" t="n">
        <v>2036</v>
      </c>
      <c r="S56" s="1" t="n">
        <v>2037</v>
      </c>
      <c r="T56" s="1" t="n">
        <v>2038</v>
      </c>
      <c r="U56" s="1" t="n">
        <v>2039</v>
      </c>
      <c r="V56" s="1" t="n">
        <v>2040</v>
      </c>
      <c r="W56" s="1" t="n">
        <v>2041</v>
      </c>
      <c r="X56" s="1" t="n">
        <v>2042</v>
      </c>
      <c r="Y56" s="1" t="n">
        <v>2043</v>
      </c>
      <c r="Z56" s="1" t="n">
        <v>2044</v>
      </c>
      <c r="AA56" s="1" t="n">
        <v>2045</v>
      </c>
      <c r="AB56" s="1" t="n">
        <v>2046</v>
      </c>
      <c r="AC56" s="1" t="n">
        <v>2047</v>
      </c>
      <c r="AD56" s="1" t="n">
        <v>2048</v>
      </c>
      <c r="AE56" s="1" t="n">
        <v>2049</v>
      </c>
      <c r="AF56" s="1" t="n">
        <v>2050</v>
      </c>
    </row>
    <row r="57">
      <c r="B57" s="53">
        <f>C57&amp;"-"&amp;D57&amp;"-"&amp;E57</f>
        <v/>
      </c>
      <c r="C57" t="inlineStr">
        <is>
          <t>residential</t>
        </is>
      </c>
      <c r="D57" t="inlineStr">
        <is>
          <t>other</t>
        </is>
      </c>
      <c r="E57" t="inlineStr">
        <is>
          <t>electricity (BTU)</t>
        </is>
      </c>
      <c r="F57">
        <f>SUMIFS('Crosswalk AEO to EPS Summary'!G:G,'Crosswalk AEO to EPS Summary'!$C:$C,$B57)*Percent_urban*quadrillion</f>
        <v/>
      </c>
      <c r="G57">
        <f>SUMIFS('Crosswalk AEO to EPS Summary'!H:H,'Crosswalk AEO to EPS Summary'!$C:$C,$B57)*Percent_urban*quadrillion</f>
        <v/>
      </c>
      <c r="H57">
        <f>SUMIFS('Crosswalk AEO to EPS Summary'!I:I,'Crosswalk AEO to EPS Summary'!$C:$C,$B57)*Percent_urban*quadrillion</f>
        <v/>
      </c>
      <c r="I57">
        <f>SUMIFS('Crosswalk AEO to EPS Summary'!J:J,'Crosswalk AEO to EPS Summary'!$C:$C,$B57)*Percent_urban*quadrillion</f>
        <v/>
      </c>
      <c r="J57">
        <f>SUMIFS('Crosswalk AEO to EPS Summary'!K:K,'Crosswalk AEO to EPS Summary'!$C:$C,$B57)*Percent_urban*quadrillion</f>
        <v/>
      </c>
      <c r="K57">
        <f>SUMIFS('Crosswalk AEO to EPS Summary'!L:L,'Crosswalk AEO to EPS Summary'!$C:$C,$B57)*Percent_urban*quadrillion</f>
        <v/>
      </c>
      <c r="L57">
        <f>SUMIFS('Crosswalk AEO to EPS Summary'!M:M,'Crosswalk AEO to EPS Summary'!$C:$C,$B57)*Percent_urban*quadrillion</f>
        <v/>
      </c>
      <c r="M57">
        <f>SUMIFS('Crosswalk AEO to EPS Summary'!N:N,'Crosswalk AEO to EPS Summary'!$C:$C,$B57)*Percent_urban*quadrillion</f>
        <v/>
      </c>
      <c r="N57">
        <f>SUMIFS('Crosswalk AEO to EPS Summary'!O:O,'Crosswalk AEO to EPS Summary'!$C:$C,$B57)*Percent_urban*quadrillion</f>
        <v/>
      </c>
      <c r="O57">
        <f>SUMIFS('Crosswalk AEO to EPS Summary'!P:P,'Crosswalk AEO to EPS Summary'!$C:$C,$B57)*Percent_urban*quadrillion</f>
        <v/>
      </c>
      <c r="P57">
        <f>SUMIFS('Crosswalk AEO to EPS Summary'!Q:Q,'Crosswalk AEO to EPS Summary'!$C:$C,$B57)*Percent_urban*quadrillion</f>
        <v/>
      </c>
      <c r="Q57">
        <f>SUMIFS('Crosswalk AEO to EPS Summary'!R:R,'Crosswalk AEO to EPS Summary'!$C:$C,$B57)*Percent_urban*quadrillion</f>
        <v/>
      </c>
      <c r="R57">
        <f>SUMIFS('Crosswalk AEO to EPS Summary'!S:S,'Crosswalk AEO to EPS Summary'!$C:$C,$B57)*Percent_urban*quadrillion</f>
        <v/>
      </c>
      <c r="S57">
        <f>SUMIFS('Crosswalk AEO to EPS Summary'!T:T,'Crosswalk AEO to EPS Summary'!$C:$C,$B57)*Percent_urban*quadrillion</f>
        <v/>
      </c>
      <c r="T57">
        <f>SUMIFS('Crosswalk AEO to EPS Summary'!U:U,'Crosswalk AEO to EPS Summary'!$C:$C,$B57)*Percent_urban*quadrillion</f>
        <v/>
      </c>
      <c r="U57">
        <f>SUMIFS('Crosswalk AEO to EPS Summary'!V:V,'Crosswalk AEO to EPS Summary'!$C:$C,$B57)*Percent_urban*quadrillion</f>
        <v/>
      </c>
      <c r="V57">
        <f>SUMIFS('Crosswalk AEO to EPS Summary'!W:W,'Crosswalk AEO to EPS Summary'!$C:$C,$B57)*Percent_urban*quadrillion</f>
        <v/>
      </c>
      <c r="W57">
        <f>SUMIFS('Crosswalk AEO to EPS Summary'!X:X,'Crosswalk AEO to EPS Summary'!$C:$C,$B57)*Percent_urban*quadrillion</f>
        <v/>
      </c>
      <c r="X57">
        <f>SUMIFS('Crosswalk AEO to EPS Summary'!Y:Y,'Crosswalk AEO to EPS Summary'!$C:$C,$B57)*Percent_urban*quadrillion</f>
        <v/>
      </c>
      <c r="Y57">
        <f>SUMIFS('Crosswalk AEO to EPS Summary'!Z:Z,'Crosswalk AEO to EPS Summary'!$C:$C,$B57)*Percent_urban*quadrillion</f>
        <v/>
      </c>
      <c r="Z57">
        <f>SUMIFS('Crosswalk AEO to EPS Summary'!AA:AA,'Crosswalk AEO to EPS Summary'!$C:$C,$B57)*Percent_urban*quadrillion</f>
        <v/>
      </c>
      <c r="AA57">
        <f>SUMIFS('Crosswalk AEO to EPS Summary'!AB:AB,'Crosswalk AEO to EPS Summary'!$C:$C,$B57)*Percent_urban*quadrillion</f>
        <v/>
      </c>
      <c r="AB57">
        <f>SUMIFS('Crosswalk AEO to EPS Summary'!AC:AC,'Crosswalk AEO to EPS Summary'!$C:$C,$B57)*Percent_urban*quadrillion</f>
        <v/>
      </c>
      <c r="AC57">
        <f>SUMIFS('Crosswalk AEO to EPS Summary'!AD:AD,'Crosswalk AEO to EPS Summary'!$C:$C,$B57)*Percent_urban*quadrillion</f>
        <v/>
      </c>
      <c r="AD57">
        <f>SUMIFS('Crosswalk AEO to EPS Summary'!AE:AE,'Crosswalk AEO to EPS Summary'!$C:$C,$B57)*Percent_urban*quadrillion</f>
        <v/>
      </c>
      <c r="AE57">
        <f>SUMIFS('Crosswalk AEO to EPS Summary'!AF:AF,'Crosswalk AEO to EPS Summary'!$C:$C,$B57)*Percent_urban*quadrillion</f>
        <v/>
      </c>
      <c r="AF57">
        <f>SUMIFS('Crosswalk AEO to EPS Summary'!AG:AG,'Crosswalk AEO to EPS Summary'!$C:$C,$B57)*Percent_urban*quadrillion</f>
        <v/>
      </c>
    </row>
    <row r="58">
      <c r="B58" s="53">
        <f>C58&amp;"-"&amp;D58&amp;"-"&amp;E58</f>
        <v/>
      </c>
      <c r="C58" t="inlineStr">
        <is>
          <t>residential</t>
        </is>
      </c>
      <c r="D58" t="inlineStr">
        <is>
          <t>other</t>
        </is>
      </c>
      <c r="E58" t="inlineStr">
        <is>
          <t>coal (BTU)</t>
        </is>
      </c>
      <c r="F58" t="n">
        <v>0</v>
      </c>
      <c r="G58" t="n">
        <v>0</v>
      </c>
      <c r="H58" t="n">
        <v>0</v>
      </c>
      <c r="I58" t="n">
        <v>0</v>
      </c>
      <c r="J58" t="n">
        <v>0</v>
      </c>
      <c r="K58" t="n">
        <v>0</v>
      </c>
      <c r="L58" t="n">
        <v>0</v>
      </c>
      <c r="M58" t="n">
        <v>0</v>
      </c>
      <c r="N58" t="n">
        <v>0</v>
      </c>
      <c r="O58" t="n">
        <v>0</v>
      </c>
      <c r="P58" t="n">
        <v>0</v>
      </c>
      <c r="Q58" t="n">
        <v>0</v>
      </c>
      <c r="R58" t="n">
        <v>0</v>
      </c>
      <c r="S58" t="n">
        <v>0</v>
      </c>
      <c r="T58" t="n">
        <v>0</v>
      </c>
      <c r="U58" t="n">
        <v>0</v>
      </c>
      <c r="V58" t="n">
        <v>0</v>
      </c>
      <c r="W58" t="n">
        <v>0</v>
      </c>
      <c r="X58" t="n">
        <v>0</v>
      </c>
      <c r="Y58" t="n">
        <v>0</v>
      </c>
      <c r="Z58" t="n">
        <v>0</v>
      </c>
      <c r="AA58" t="n">
        <v>0</v>
      </c>
      <c r="AB58" t="n">
        <v>0</v>
      </c>
      <c r="AC58" t="n">
        <v>0</v>
      </c>
      <c r="AD58" t="n">
        <v>0</v>
      </c>
      <c r="AE58" t="n">
        <v>0</v>
      </c>
      <c r="AF58" t="n">
        <v>0</v>
      </c>
    </row>
    <row r="59">
      <c r="B59" s="53">
        <f>C59&amp;"-"&amp;D59&amp;"-"&amp;E59</f>
        <v/>
      </c>
      <c r="C59" t="inlineStr">
        <is>
          <t>residential</t>
        </is>
      </c>
      <c r="D59" t="inlineStr">
        <is>
          <t>other</t>
        </is>
      </c>
      <c r="E59" t="inlineStr">
        <is>
          <t>natural gas (BTU)</t>
        </is>
      </c>
      <c r="F59">
        <f>SUMIFS('Crosswalk AEO to EPS Summary'!G:G,'Crosswalk AEO to EPS Summary'!$C:$C,$B59)*Percent_urban*quadrillion</f>
        <v/>
      </c>
      <c r="G59">
        <f>SUMIFS('Crosswalk AEO to EPS Summary'!H:H,'Crosswalk AEO to EPS Summary'!$C:$C,$B59)*Percent_urban*quadrillion</f>
        <v/>
      </c>
      <c r="H59">
        <f>SUMIFS('Crosswalk AEO to EPS Summary'!I:I,'Crosswalk AEO to EPS Summary'!$C:$C,$B59)*Percent_urban*quadrillion</f>
        <v/>
      </c>
      <c r="I59">
        <f>SUMIFS('Crosswalk AEO to EPS Summary'!J:J,'Crosswalk AEO to EPS Summary'!$C:$C,$B59)*Percent_urban*quadrillion</f>
        <v/>
      </c>
      <c r="J59">
        <f>SUMIFS('Crosswalk AEO to EPS Summary'!K:K,'Crosswalk AEO to EPS Summary'!$C:$C,$B59)*Percent_urban*quadrillion</f>
        <v/>
      </c>
      <c r="K59">
        <f>SUMIFS('Crosswalk AEO to EPS Summary'!L:L,'Crosswalk AEO to EPS Summary'!$C:$C,$B59)*Percent_urban*quadrillion</f>
        <v/>
      </c>
      <c r="L59">
        <f>SUMIFS('Crosswalk AEO to EPS Summary'!M:M,'Crosswalk AEO to EPS Summary'!$C:$C,$B59)*Percent_urban*quadrillion</f>
        <v/>
      </c>
      <c r="M59">
        <f>SUMIFS('Crosswalk AEO to EPS Summary'!N:N,'Crosswalk AEO to EPS Summary'!$C:$C,$B59)*Percent_urban*quadrillion</f>
        <v/>
      </c>
      <c r="N59">
        <f>SUMIFS('Crosswalk AEO to EPS Summary'!O:O,'Crosswalk AEO to EPS Summary'!$C:$C,$B59)*Percent_urban*quadrillion</f>
        <v/>
      </c>
      <c r="O59">
        <f>SUMIFS('Crosswalk AEO to EPS Summary'!P:P,'Crosswalk AEO to EPS Summary'!$C:$C,$B59)*Percent_urban*quadrillion</f>
        <v/>
      </c>
      <c r="P59">
        <f>SUMIFS('Crosswalk AEO to EPS Summary'!Q:Q,'Crosswalk AEO to EPS Summary'!$C:$C,$B59)*Percent_urban*quadrillion</f>
        <v/>
      </c>
      <c r="Q59">
        <f>SUMIFS('Crosswalk AEO to EPS Summary'!R:R,'Crosswalk AEO to EPS Summary'!$C:$C,$B59)*Percent_urban*quadrillion</f>
        <v/>
      </c>
      <c r="R59">
        <f>SUMIFS('Crosswalk AEO to EPS Summary'!S:S,'Crosswalk AEO to EPS Summary'!$C:$C,$B59)*Percent_urban*quadrillion</f>
        <v/>
      </c>
      <c r="S59">
        <f>SUMIFS('Crosswalk AEO to EPS Summary'!T:T,'Crosswalk AEO to EPS Summary'!$C:$C,$B59)*Percent_urban*quadrillion</f>
        <v/>
      </c>
      <c r="T59">
        <f>SUMIFS('Crosswalk AEO to EPS Summary'!U:U,'Crosswalk AEO to EPS Summary'!$C:$C,$B59)*Percent_urban*quadrillion</f>
        <v/>
      </c>
      <c r="U59">
        <f>SUMIFS('Crosswalk AEO to EPS Summary'!V:V,'Crosswalk AEO to EPS Summary'!$C:$C,$B59)*Percent_urban*quadrillion</f>
        <v/>
      </c>
      <c r="V59">
        <f>SUMIFS('Crosswalk AEO to EPS Summary'!W:W,'Crosswalk AEO to EPS Summary'!$C:$C,$B59)*Percent_urban*quadrillion</f>
        <v/>
      </c>
      <c r="W59">
        <f>SUMIFS('Crosswalk AEO to EPS Summary'!X:X,'Crosswalk AEO to EPS Summary'!$C:$C,$B59)*Percent_urban*quadrillion</f>
        <v/>
      </c>
      <c r="X59">
        <f>SUMIFS('Crosswalk AEO to EPS Summary'!Y:Y,'Crosswalk AEO to EPS Summary'!$C:$C,$B59)*Percent_urban*quadrillion</f>
        <v/>
      </c>
      <c r="Y59">
        <f>SUMIFS('Crosswalk AEO to EPS Summary'!Z:Z,'Crosswalk AEO to EPS Summary'!$C:$C,$B59)*Percent_urban*quadrillion</f>
        <v/>
      </c>
      <c r="Z59">
        <f>SUMIFS('Crosswalk AEO to EPS Summary'!AA:AA,'Crosswalk AEO to EPS Summary'!$C:$C,$B59)*Percent_urban*quadrillion</f>
        <v/>
      </c>
      <c r="AA59">
        <f>SUMIFS('Crosswalk AEO to EPS Summary'!AB:AB,'Crosswalk AEO to EPS Summary'!$C:$C,$B59)*Percent_urban*quadrillion</f>
        <v/>
      </c>
      <c r="AB59">
        <f>SUMIFS('Crosswalk AEO to EPS Summary'!AC:AC,'Crosswalk AEO to EPS Summary'!$C:$C,$B59)*Percent_urban*quadrillion</f>
        <v/>
      </c>
      <c r="AC59">
        <f>SUMIFS('Crosswalk AEO to EPS Summary'!AD:AD,'Crosswalk AEO to EPS Summary'!$C:$C,$B59)*Percent_urban*quadrillion</f>
        <v/>
      </c>
      <c r="AD59">
        <f>SUMIFS('Crosswalk AEO to EPS Summary'!AE:AE,'Crosswalk AEO to EPS Summary'!$C:$C,$B59)*Percent_urban*quadrillion</f>
        <v/>
      </c>
      <c r="AE59">
        <f>SUMIFS('Crosswalk AEO to EPS Summary'!AF:AF,'Crosswalk AEO to EPS Summary'!$C:$C,$B59)*Percent_urban*quadrillion</f>
        <v/>
      </c>
      <c r="AF59">
        <f>SUMIFS('Crosswalk AEO to EPS Summary'!AG:AG,'Crosswalk AEO to EPS Summary'!$C:$C,$B59)*Percent_urban*quadrillion</f>
        <v/>
      </c>
    </row>
    <row r="60">
      <c r="B60" s="53">
        <f>C60&amp;"-"&amp;D60&amp;"-"&amp;E60</f>
        <v/>
      </c>
      <c r="C60" t="inlineStr">
        <is>
          <t>residential</t>
        </is>
      </c>
      <c r="D60" t="inlineStr">
        <is>
          <t>other</t>
        </is>
      </c>
      <c r="E60" t="inlineStr">
        <is>
          <t>petroleum diesel (BTU)</t>
        </is>
      </c>
      <c r="F60">
        <f>SUMIFS('Crosswalk AEO to EPS Summary'!G:G,'Crosswalk AEO to EPS Summary'!$C:$C,$B60)*Percent_urban*quadrillion</f>
        <v/>
      </c>
      <c r="G60">
        <f>SUMIFS('Crosswalk AEO to EPS Summary'!H:H,'Crosswalk AEO to EPS Summary'!$C:$C,$B60)*Percent_urban*quadrillion</f>
        <v/>
      </c>
      <c r="H60">
        <f>SUMIFS('Crosswalk AEO to EPS Summary'!I:I,'Crosswalk AEO to EPS Summary'!$C:$C,$B60)*Percent_urban*quadrillion</f>
        <v/>
      </c>
      <c r="I60">
        <f>SUMIFS('Crosswalk AEO to EPS Summary'!J:J,'Crosswalk AEO to EPS Summary'!$C:$C,$B60)*Percent_urban*quadrillion</f>
        <v/>
      </c>
      <c r="J60">
        <f>SUMIFS('Crosswalk AEO to EPS Summary'!K:K,'Crosswalk AEO to EPS Summary'!$C:$C,$B60)*Percent_urban*quadrillion</f>
        <v/>
      </c>
      <c r="K60">
        <f>SUMIFS('Crosswalk AEO to EPS Summary'!L:L,'Crosswalk AEO to EPS Summary'!$C:$C,$B60)*Percent_urban*quadrillion</f>
        <v/>
      </c>
      <c r="L60">
        <f>SUMIFS('Crosswalk AEO to EPS Summary'!M:M,'Crosswalk AEO to EPS Summary'!$C:$C,$B60)*Percent_urban*quadrillion</f>
        <v/>
      </c>
      <c r="M60">
        <f>SUMIFS('Crosswalk AEO to EPS Summary'!N:N,'Crosswalk AEO to EPS Summary'!$C:$C,$B60)*Percent_urban*quadrillion</f>
        <v/>
      </c>
      <c r="N60">
        <f>SUMIFS('Crosswalk AEO to EPS Summary'!O:O,'Crosswalk AEO to EPS Summary'!$C:$C,$B60)*Percent_urban*quadrillion</f>
        <v/>
      </c>
      <c r="O60">
        <f>SUMIFS('Crosswalk AEO to EPS Summary'!P:P,'Crosswalk AEO to EPS Summary'!$C:$C,$B60)*Percent_urban*quadrillion</f>
        <v/>
      </c>
      <c r="P60">
        <f>SUMIFS('Crosswalk AEO to EPS Summary'!Q:Q,'Crosswalk AEO to EPS Summary'!$C:$C,$B60)*Percent_urban*quadrillion</f>
        <v/>
      </c>
      <c r="Q60">
        <f>SUMIFS('Crosswalk AEO to EPS Summary'!R:R,'Crosswalk AEO to EPS Summary'!$C:$C,$B60)*Percent_urban*quadrillion</f>
        <v/>
      </c>
      <c r="R60">
        <f>SUMIFS('Crosswalk AEO to EPS Summary'!S:S,'Crosswalk AEO to EPS Summary'!$C:$C,$B60)*Percent_urban*quadrillion</f>
        <v/>
      </c>
      <c r="S60">
        <f>SUMIFS('Crosswalk AEO to EPS Summary'!T:T,'Crosswalk AEO to EPS Summary'!$C:$C,$B60)*Percent_urban*quadrillion</f>
        <v/>
      </c>
      <c r="T60">
        <f>SUMIFS('Crosswalk AEO to EPS Summary'!U:U,'Crosswalk AEO to EPS Summary'!$C:$C,$B60)*Percent_urban*quadrillion</f>
        <v/>
      </c>
      <c r="U60">
        <f>SUMIFS('Crosswalk AEO to EPS Summary'!V:V,'Crosswalk AEO to EPS Summary'!$C:$C,$B60)*Percent_urban*quadrillion</f>
        <v/>
      </c>
      <c r="V60">
        <f>SUMIFS('Crosswalk AEO to EPS Summary'!W:W,'Crosswalk AEO to EPS Summary'!$C:$C,$B60)*Percent_urban*quadrillion</f>
        <v/>
      </c>
      <c r="W60">
        <f>SUMIFS('Crosswalk AEO to EPS Summary'!X:X,'Crosswalk AEO to EPS Summary'!$C:$C,$B60)*Percent_urban*quadrillion</f>
        <v/>
      </c>
      <c r="X60">
        <f>SUMIFS('Crosswalk AEO to EPS Summary'!Y:Y,'Crosswalk AEO to EPS Summary'!$C:$C,$B60)*Percent_urban*quadrillion</f>
        <v/>
      </c>
      <c r="Y60">
        <f>SUMIFS('Crosswalk AEO to EPS Summary'!Z:Z,'Crosswalk AEO to EPS Summary'!$C:$C,$B60)*Percent_urban*quadrillion</f>
        <v/>
      </c>
      <c r="Z60">
        <f>SUMIFS('Crosswalk AEO to EPS Summary'!AA:AA,'Crosswalk AEO to EPS Summary'!$C:$C,$B60)*Percent_urban*quadrillion</f>
        <v/>
      </c>
      <c r="AA60">
        <f>SUMIFS('Crosswalk AEO to EPS Summary'!AB:AB,'Crosswalk AEO to EPS Summary'!$C:$C,$B60)*Percent_urban*quadrillion</f>
        <v/>
      </c>
      <c r="AB60">
        <f>SUMIFS('Crosswalk AEO to EPS Summary'!AC:AC,'Crosswalk AEO to EPS Summary'!$C:$C,$B60)*Percent_urban*quadrillion</f>
        <v/>
      </c>
      <c r="AC60">
        <f>SUMIFS('Crosswalk AEO to EPS Summary'!AD:AD,'Crosswalk AEO to EPS Summary'!$C:$C,$B60)*Percent_urban*quadrillion</f>
        <v/>
      </c>
      <c r="AD60">
        <f>SUMIFS('Crosswalk AEO to EPS Summary'!AE:AE,'Crosswalk AEO to EPS Summary'!$C:$C,$B60)*Percent_urban*quadrillion</f>
        <v/>
      </c>
      <c r="AE60">
        <f>SUMIFS('Crosswalk AEO to EPS Summary'!AF:AF,'Crosswalk AEO to EPS Summary'!$C:$C,$B60)*Percent_urban*quadrillion</f>
        <v/>
      </c>
      <c r="AF60">
        <f>SUMIFS('Crosswalk AEO to EPS Summary'!AG:AG,'Crosswalk AEO to EPS Summary'!$C:$C,$B60)*Percent_urban*quadrillion</f>
        <v/>
      </c>
    </row>
    <row r="61">
      <c r="B61" s="53">
        <f>C61&amp;"-"&amp;D61&amp;"-"&amp;E61</f>
        <v/>
      </c>
      <c r="C61" t="inlineStr">
        <is>
          <t>residential</t>
        </is>
      </c>
      <c r="D61" t="inlineStr">
        <is>
          <t>other</t>
        </is>
      </c>
      <c r="E61" t="inlineStr">
        <is>
          <t>heat (BTU)</t>
        </is>
      </c>
      <c r="F61" t="n">
        <v>0</v>
      </c>
      <c r="G61" t="n">
        <v>0</v>
      </c>
      <c r="H61" t="n">
        <v>0</v>
      </c>
      <c r="I61" t="n">
        <v>0</v>
      </c>
      <c r="J61" t="n">
        <v>0</v>
      </c>
      <c r="K61" t="n">
        <v>0</v>
      </c>
      <c r="L61" t="n">
        <v>0</v>
      </c>
      <c r="M61" t="n">
        <v>0</v>
      </c>
      <c r="N61" t="n">
        <v>0</v>
      </c>
      <c r="O61" t="n">
        <v>0</v>
      </c>
      <c r="P61" t="n">
        <v>0</v>
      </c>
      <c r="Q61" t="n">
        <v>0</v>
      </c>
      <c r="R61" t="n">
        <v>0</v>
      </c>
      <c r="S61" t="n">
        <v>0</v>
      </c>
      <c r="T61" t="n">
        <v>0</v>
      </c>
      <c r="U61" t="n">
        <v>0</v>
      </c>
      <c r="V61" t="n">
        <v>0</v>
      </c>
      <c r="W61" t="n">
        <v>0</v>
      </c>
      <c r="X61" t="n">
        <v>0</v>
      </c>
      <c r="Y61" t="n">
        <v>0</v>
      </c>
      <c r="Z61" t="n">
        <v>0</v>
      </c>
      <c r="AA61" t="n">
        <v>0</v>
      </c>
      <c r="AB61" t="n">
        <v>0</v>
      </c>
      <c r="AC61" t="n">
        <v>0</v>
      </c>
      <c r="AD61" t="n">
        <v>0</v>
      </c>
      <c r="AE61" t="n">
        <v>0</v>
      </c>
      <c r="AF61" t="n">
        <v>0</v>
      </c>
    </row>
    <row r="62">
      <c r="B62" s="53">
        <f>C62&amp;"-"&amp;D62&amp;"-"&amp;E62</f>
        <v/>
      </c>
      <c r="C62" t="inlineStr">
        <is>
          <t>residential</t>
        </is>
      </c>
      <c r="D62" t="inlineStr">
        <is>
          <t>other</t>
        </is>
      </c>
      <c r="E62" t="inlineStr">
        <is>
          <t>biomass (BTU)</t>
        </is>
      </c>
      <c r="F62" t="n">
        <v>0</v>
      </c>
      <c r="G62" t="n">
        <v>0</v>
      </c>
      <c r="H62" t="n">
        <v>0</v>
      </c>
      <c r="I62" t="n">
        <v>0</v>
      </c>
      <c r="J62" t="n">
        <v>0</v>
      </c>
      <c r="K62" t="n">
        <v>0</v>
      </c>
      <c r="L62" t="n">
        <v>0</v>
      </c>
      <c r="M62" t="n">
        <v>0</v>
      </c>
      <c r="N62" t="n">
        <v>0</v>
      </c>
      <c r="O62" t="n">
        <v>0</v>
      </c>
      <c r="P62" t="n">
        <v>0</v>
      </c>
      <c r="Q62" t="n">
        <v>0</v>
      </c>
      <c r="R62" t="n">
        <v>0</v>
      </c>
      <c r="S62" t="n">
        <v>0</v>
      </c>
      <c r="T62" t="n">
        <v>0</v>
      </c>
      <c r="U62" t="n">
        <v>0</v>
      </c>
      <c r="V62" t="n">
        <v>0</v>
      </c>
      <c r="W62" t="n">
        <v>0</v>
      </c>
      <c r="X62" t="n">
        <v>0</v>
      </c>
      <c r="Y62" t="n">
        <v>0</v>
      </c>
      <c r="Z62" t="n">
        <v>0</v>
      </c>
      <c r="AA62" t="n">
        <v>0</v>
      </c>
      <c r="AB62" t="n">
        <v>0</v>
      </c>
      <c r="AC62" t="n">
        <v>0</v>
      </c>
      <c r="AD62" t="n">
        <v>0</v>
      </c>
      <c r="AE62" t="n">
        <v>0</v>
      </c>
      <c r="AF62" t="n">
        <v>0</v>
      </c>
    </row>
    <row r="63">
      <c r="B63" s="53">
        <f>C63&amp;"-"&amp;D63&amp;"-"&amp;E63</f>
        <v/>
      </c>
      <c r="C63" t="inlineStr">
        <is>
          <t>residential</t>
        </is>
      </c>
      <c r="D63" t="inlineStr">
        <is>
          <t>other</t>
        </is>
      </c>
      <c r="E63" t="inlineStr">
        <is>
          <t>kerosene (BTU)</t>
        </is>
      </c>
      <c r="F63" t="n">
        <v>0</v>
      </c>
      <c r="G63" t="n">
        <v>0</v>
      </c>
      <c r="H63" t="n">
        <v>0</v>
      </c>
      <c r="I63" t="n">
        <v>0</v>
      </c>
      <c r="J63" t="n">
        <v>0</v>
      </c>
      <c r="K63" t="n">
        <v>0</v>
      </c>
      <c r="L63" t="n">
        <v>0</v>
      </c>
      <c r="M63" t="n">
        <v>0</v>
      </c>
      <c r="N63" t="n">
        <v>0</v>
      </c>
      <c r="O63" t="n">
        <v>0</v>
      </c>
      <c r="P63" t="n">
        <v>0</v>
      </c>
      <c r="Q63" t="n">
        <v>0</v>
      </c>
      <c r="R63" t="n">
        <v>0</v>
      </c>
      <c r="S63" t="n">
        <v>0</v>
      </c>
      <c r="T63" t="n">
        <v>0</v>
      </c>
      <c r="U63" t="n">
        <v>0</v>
      </c>
      <c r="V63" t="n">
        <v>0</v>
      </c>
      <c r="W63" t="n">
        <v>0</v>
      </c>
      <c r="X63" t="n">
        <v>0</v>
      </c>
      <c r="Y63" t="n">
        <v>0</v>
      </c>
      <c r="Z63" t="n">
        <v>0</v>
      </c>
      <c r="AA63" t="n">
        <v>0</v>
      </c>
      <c r="AB63" t="n">
        <v>0</v>
      </c>
      <c r="AC63" t="n">
        <v>0</v>
      </c>
      <c r="AD63" t="n">
        <v>0</v>
      </c>
      <c r="AE63" t="n">
        <v>0</v>
      </c>
      <c r="AF63" t="n">
        <v>0</v>
      </c>
    </row>
    <row r="64">
      <c r="B64" s="53">
        <f>C64&amp;"-"&amp;D64&amp;"-"&amp;E64</f>
        <v/>
      </c>
      <c r="C64" t="inlineStr">
        <is>
          <t>residential</t>
        </is>
      </c>
      <c r="D64" t="inlineStr">
        <is>
          <t>other</t>
        </is>
      </c>
      <c r="E64" t="inlineStr">
        <is>
          <t>heavy or residual fuel oil (BTU)</t>
        </is>
      </c>
      <c r="F64" t="n">
        <v>0</v>
      </c>
      <c r="G64" t="n">
        <v>0</v>
      </c>
      <c r="H64" t="n">
        <v>0</v>
      </c>
      <c r="I64" t="n">
        <v>0</v>
      </c>
      <c r="J64" t="n">
        <v>0</v>
      </c>
      <c r="K64" t="n">
        <v>0</v>
      </c>
      <c r="L64" t="n">
        <v>0</v>
      </c>
      <c r="M64" t="n">
        <v>0</v>
      </c>
      <c r="N64" t="n">
        <v>0</v>
      </c>
      <c r="O64" t="n">
        <v>0</v>
      </c>
      <c r="P64" t="n">
        <v>0</v>
      </c>
      <c r="Q64" t="n">
        <v>0</v>
      </c>
      <c r="R64" t="n">
        <v>0</v>
      </c>
      <c r="S64" t="n">
        <v>0</v>
      </c>
      <c r="T64" t="n">
        <v>0</v>
      </c>
      <c r="U64" t="n">
        <v>0</v>
      </c>
      <c r="V64" t="n">
        <v>0</v>
      </c>
      <c r="W64" t="n">
        <v>0</v>
      </c>
      <c r="X64" t="n">
        <v>0</v>
      </c>
      <c r="Y64" t="n">
        <v>0</v>
      </c>
      <c r="Z64" t="n">
        <v>0</v>
      </c>
      <c r="AA64" t="n">
        <v>0</v>
      </c>
      <c r="AB64" t="n">
        <v>0</v>
      </c>
      <c r="AC64" t="n">
        <v>0</v>
      </c>
      <c r="AD64" t="n">
        <v>0</v>
      </c>
      <c r="AE64" t="n">
        <v>0</v>
      </c>
      <c r="AF64" t="n">
        <v>0</v>
      </c>
    </row>
    <row r="65">
      <c r="B65" s="53">
        <f>C65&amp;"-"&amp;D65&amp;"-"&amp;E65</f>
        <v/>
      </c>
      <c r="C65" t="inlineStr">
        <is>
          <t>residential</t>
        </is>
      </c>
      <c r="D65" t="inlineStr">
        <is>
          <t>other</t>
        </is>
      </c>
      <c r="E65" t="inlineStr">
        <is>
          <t>LPG propane or butane (BTU)</t>
        </is>
      </c>
      <c r="F65">
        <f>SUMIFS('Crosswalk AEO to EPS Summary'!G:G,'Crosswalk AEO to EPS Summary'!$C:$C,$B65)*Percent_urban*quadrillion</f>
        <v/>
      </c>
      <c r="G65">
        <f>SUMIFS('Crosswalk AEO to EPS Summary'!H:H,'Crosswalk AEO to EPS Summary'!$C:$C,$B65)*Percent_urban*quadrillion</f>
        <v/>
      </c>
      <c r="H65">
        <f>SUMIFS('Crosswalk AEO to EPS Summary'!I:I,'Crosswalk AEO to EPS Summary'!$C:$C,$B65)*Percent_urban*quadrillion</f>
        <v/>
      </c>
      <c r="I65">
        <f>SUMIFS('Crosswalk AEO to EPS Summary'!J:J,'Crosswalk AEO to EPS Summary'!$C:$C,$B65)*Percent_urban*quadrillion</f>
        <v/>
      </c>
      <c r="J65">
        <f>SUMIFS('Crosswalk AEO to EPS Summary'!K:K,'Crosswalk AEO to EPS Summary'!$C:$C,$B65)*Percent_urban*quadrillion</f>
        <v/>
      </c>
      <c r="K65">
        <f>SUMIFS('Crosswalk AEO to EPS Summary'!L:L,'Crosswalk AEO to EPS Summary'!$C:$C,$B65)*Percent_urban*quadrillion</f>
        <v/>
      </c>
      <c r="L65">
        <f>SUMIFS('Crosswalk AEO to EPS Summary'!M:M,'Crosswalk AEO to EPS Summary'!$C:$C,$B65)*Percent_urban*quadrillion</f>
        <v/>
      </c>
      <c r="M65">
        <f>SUMIFS('Crosswalk AEO to EPS Summary'!N:N,'Crosswalk AEO to EPS Summary'!$C:$C,$B65)*Percent_urban*quadrillion</f>
        <v/>
      </c>
      <c r="N65">
        <f>SUMIFS('Crosswalk AEO to EPS Summary'!O:O,'Crosswalk AEO to EPS Summary'!$C:$C,$B65)*Percent_urban*quadrillion</f>
        <v/>
      </c>
      <c r="O65">
        <f>SUMIFS('Crosswalk AEO to EPS Summary'!P:P,'Crosswalk AEO to EPS Summary'!$C:$C,$B65)*Percent_urban*quadrillion</f>
        <v/>
      </c>
      <c r="P65">
        <f>SUMIFS('Crosswalk AEO to EPS Summary'!Q:Q,'Crosswalk AEO to EPS Summary'!$C:$C,$B65)*Percent_urban*quadrillion</f>
        <v/>
      </c>
      <c r="Q65">
        <f>SUMIFS('Crosswalk AEO to EPS Summary'!R:R,'Crosswalk AEO to EPS Summary'!$C:$C,$B65)*Percent_urban*quadrillion</f>
        <v/>
      </c>
      <c r="R65">
        <f>SUMIFS('Crosswalk AEO to EPS Summary'!S:S,'Crosswalk AEO to EPS Summary'!$C:$C,$B65)*Percent_urban*quadrillion</f>
        <v/>
      </c>
      <c r="S65">
        <f>SUMIFS('Crosswalk AEO to EPS Summary'!T:T,'Crosswalk AEO to EPS Summary'!$C:$C,$B65)*Percent_urban*quadrillion</f>
        <v/>
      </c>
      <c r="T65">
        <f>SUMIFS('Crosswalk AEO to EPS Summary'!U:U,'Crosswalk AEO to EPS Summary'!$C:$C,$B65)*Percent_urban*quadrillion</f>
        <v/>
      </c>
      <c r="U65">
        <f>SUMIFS('Crosswalk AEO to EPS Summary'!V:V,'Crosswalk AEO to EPS Summary'!$C:$C,$B65)*Percent_urban*quadrillion</f>
        <v/>
      </c>
      <c r="V65">
        <f>SUMIFS('Crosswalk AEO to EPS Summary'!W:W,'Crosswalk AEO to EPS Summary'!$C:$C,$B65)*Percent_urban*quadrillion</f>
        <v/>
      </c>
      <c r="W65">
        <f>SUMIFS('Crosswalk AEO to EPS Summary'!X:X,'Crosswalk AEO to EPS Summary'!$C:$C,$B65)*Percent_urban*quadrillion</f>
        <v/>
      </c>
      <c r="X65">
        <f>SUMIFS('Crosswalk AEO to EPS Summary'!Y:Y,'Crosswalk AEO to EPS Summary'!$C:$C,$B65)*Percent_urban*quadrillion</f>
        <v/>
      </c>
      <c r="Y65">
        <f>SUMIFS('Crosswalk AEO to EPS Summary'!Z:Z,'Crosswalk AEO to EPS Summary'!$C:$C,$B65)*Percent_urban*quadrillion</f>
        <v/>
      </c>
      <c r="Z65">
        <f>SUMIFS('Crosswalk AEO to EPS Summary'!AA:AA,'Crosswalk AEO to EPS Summary'!$C:$C,$B65)*Percent_urban*quadrillion</f>
        <v/>
      </c>
      <c r="AA65">
        <f>SUMIFS('Crosswalk AEO to EPS Summary'!AB:AB,'Crosswalk AEO to EPS Summary'!$C:$C,$B65)*Percent_urban*quadrillion</f>
        <v/>
      </c>
      <c r="AB65">
        <f>SUMIFS('Crosswalk AEO to EPS Summary'!AC:AC,'Crosswalk AEO to EPS Summary'!$C:$C,$B65)*Percent_urban*quadrillion</f>
        <v/>
      </c>
      <c r="AC65">
        <f>SUMIFS('Crosswalk AEO to EPS Summary'!AD:AD,'Crosswalk AEO to EPS Summary'!$C:$C,$B65)*Percent_urban*quadrillion</f>
        <v/>
      </c>
      <c r="AD65">
        <f>SUMIFS('Crosswalk AEO to EPS Summary'!AE:AE,'Crosswalk AEO to EPS Summary'!$C:$C,$B65)*Percent_urban*quadrillion</f>
        <v/>
      </c>
      <c r="AE65">
        <f>SUMIFS('Crosswalk AEO to EPS Summary'!AF:AF,'Crosswalk AEO to EPS Summary'!$C:$C,$B65)*Percent_urban*quadrillion</f>
        <v/>
      </c>
      <c r="AF65">
        <f>SUMIFS('Crosswalk AEO to EPS Summary'!AG:AG,'Crosswalk AEO to EPS Summary'!$C:$C,$B65)*Percent_urban*quadrillion</f>
        <v/>
      </c>
    </row>
    <row r="66">
      <c r="B66" s="53">
        <f>C66&amp;"-"&amp;D66&amp;"-"&amp;E66</f>
        <v/>
      </c>
      <c r="C66" t="inlineStr">
        <is>
          <t>residential</t>
        </is>
      </c>
      <c r="D66" t="inlineStr">
        <is>
          <t>other</t>
        </is>
      </c>
      <c r="E66" t="inlineStr">
        <is>
          <t>hydrogen (BTU)</t>
        </is>
      </c>
      <c r="F66" t="n">
        <v>0</v>
      </c>
      <c r="G66" t="n">
        <v>0</v>
      </c>
      <c r="H66" t="n">
        <v>0</v>
      </c>
      <c r="I66" t="n">
        <v>0</v>
      </c>
      <c r="J66" t="n">
        <v>0</v>
      </c>
      <c r="K66" t="n">
        <v>0</v>
      </c>
      <c r="L66" t="n">
        <v>0</v>
      </c>
      <c r="M66" t="n">
        <v>0</v>
      </c>
      <c r="N66" t="n">
        <v>0</v>
      </c>
      <c r="O66" t="n">
        <v>0</v>
      </c>
      <c r="P66" t="n">
        <v>0</v>
      </c>
      <c r="Q66" t="n">
        <v>0</v>
      </c>
      <c r="R66" t="n">
        <v>0</v>
      </c>
      <c r="S66" t="n">
        <v>0</v>
      </c>
      <c r="T66" t="n">
        <v>0</v>
      </c>
      <c r="U66" t="n">
        <v>0</v>
      </c>
      <c r="V66" t="n">
        <v>0</v>
      </c>
      <c r="W66" t="n">
        <v>0</v>
      </c>
      <c r="X66" t="n">
        <v>0</v>
      </c>
      <c r="Y66" t="n">
        <v>0</v>
      </c>
      <c r="Z66" t="n">
        <v>0</v>
      </c>
      <c r="AA66" t="n">
        <v>0</v>
      </c>
      <c r="AB66" t="n">
        <v>0</v>
      </c>
      <c r="AC66" t="n">
        <v>0</v>
      </c>
      <c r="AD66" t="n">
        <v>0</v>
      </c>
      <c r="AE66" t="n">
        <v>0</v>
      </c>
      <c r="AF66" t="n">
        <v>0</v>
      </c>
    </row>
    <row r="67"/>
    <row r="68">
      <c r="B68" s="1" t="inlineStr">
        <is>
          <t>BCEU-rural-residential-heating</t>
        </is>
      </c>
    </row>
    <row r="69">
      <c r="E69" t="inlineStr">
        <is>
          <t>Year</t>
        </is>
      </c>
      <c r="F69" s="1" t="n">
        <v>2024</v>
      </c>
      <c r="G69" s="1" t="n">
        <v>2025</v>
      </c>
      <c r="H69" s="1" t="n">
        <v>2026</v>
      </c>
      <c r="I69" s="1" t="n">
        <v>2027</v>
      </c>
      <c r="J69" s="1" t="n">
        <v>2028</v>
      </c>
      <c r="K69" s="1" t="n">
        <v>2029</v>
      </c>
      <c r="L69" s="1" t="n">
        <v>2030</v>
      </c>
      <c r="M69" s="1" t="n">
        <v>2031</v>
      </c>
      <c r="N69" s="1" t="n">
        <v>2032</v>
      </c>
      <c r="O69" s="1" t="n">
        <v>2033</v>
      </c>
      <c r="P69" s="1" t="n">
        <v>2034</v>
      </c>
      <c r="Q69" s="1" t="n">
        <v>2035</v>
      </c>
      <c r="R69" s="1" t="n">
        <v>2036</v>
      </c>
      <c r="S69" s="1" t="n">
        <v>2037</v>
      </c>
      <c r="T69" s="1" t="n">
        <v>2038</v>
      </c>
      <c r="U69" s="1" t="n">
        <v>2039</v>
      </c>
      <c r="V69" s="1" t="n">
        <v>2040</v>
      </c>
      <c r="W69" s="1" t="n">
        <v>2041</v>
      </c>
      <c r="X69" s="1" t="n">
        <v>2042</v>
      </c>
      <c r="Y69" s="1" t="n">
        <v>2043</v>
      </c>
      <c r="Z69" s="1" t="n">
        <v>2044</v>
      </c>
      <c r="AA69" s="1" t="n">
        <v>2045</v>
      </c>
      <c r="AB69" s="1" t="n">
        <v>2046</v>
      </c>
      <c r="AC69" s="1" t="n">
        <v>2047</v>
      </c>
      <c r="AD69" s="1" t="n">
        <v>2048</v>
      </c>
      <c r="AE69" s="1" t="n">
        <v>2049</v>
      </c>
      <c r="AF69" s="1" t="n">
        <v>2050</v>
      </c>
    </row>
    <row r="70">
      <c r="B70" s="53">
        <f>C70&amp;"-"&amp;D70&amp;"-"&amp;E70</f>
        <v/>
      </c>
      <c r="C70" t="inlineStr">
        <is>
          <t>residential</t>
        </is>
      </c>
      <c r="D70" t="inlineStr">
        <is>
          <t>heating</t>
        </is>
      </c>
      <c r="E70" t="inlineStr">
        <is>
          <t>electricity (BTU)</t>
        </is>
      </c>
      <c r="F70">
        <f>SUMIFS('Crosswalk AEO to EPS Summary'!G:G,'Crosswalk AEO to EPS Summary'!$C:$C,$B70)*Percent_rural*quadrillion</f>
        <v/>
      </c>
      <c r="G70">
        <f>SUMIFS('Crosswalk AEO to EPS Summary'!H:H,'Crosswalk AEO to EPS Summary'!$C:$C,$B70)*Percent_rural*quadrillion</f>
        <v/>
      </c>
      <c r="H70">
        <f>SUMIFS('Crosswalk AEO to EPS Summary'!I:I,'Crosswalk AEO to EPS Summary'!$C:$C,$B70)*Percent_rural*quadrillion</f>
        <v/>
      </c>
      <c r="I70">
        <f>SUMIFS('Crosswalk AEO to EPS Summary'!J:J,'Crosswalk AEO to EPS Summary'!$C:$C,$B70)*Percent_rural*quadrillion</f>
        <v/>
      </c>
      <c r="J70">
        <f>SUMIFS('Crosswalk AEO to EPS Summary'!K:K,'Crosswalk AEO to EPS Summary'!$C:$C,$B70)*Percent_rural*quadrillion</f>
        <v/>
      </c>
      <c r="K70">
        <f>SUMIFS('Crosswalk AEO to EPS Summary'!L:L,'Crosswalk AEO to EPS Summary'!$C:$C,$B70)*Percent_rural*quadrillion</f>
        <v/>
      </c>
      <c r="L70">
        <f>SUMIFS('Crosswalk AEO to EPS Summary'!M:M,'Crosswalk AEO to EPS Summary'!$C:$C,$B70)*Percent_rural*quadrillion</f>
        <v/>
      </c>
      <c r="M70">
        <f>SUMIFS('Crosswalk AEO to EPS Summary'!N:N,'Crosswalk AEO to EPS Summary'!$C:$C,$B70)*Percent_rural*quadrillion</f>
        <v/>
      </c>
      <c r="N70">
        <f>SUMIFS('Crosswalk AEO to EPS Summary'!O:O,'Crosswalk AEO to EPS Summary'!$C:$C,$B70)*Percent_rural*quadrillion</f>
        <v/>
      </c>
      <c r="O70">
        <f>SUMIFS('Crosswalk AEO to EPS Summary'!P:P,'Crosswalk AEO to EPS Summary'!$C:$C,$B70)*Percent_rural*quadrillion</f>
        <v/>
      </c>
      <c r="P70">
        <f>SUMIFS('Crosswalk AEO to EPS Summary'!Q:Q,'Crosswalk AEO to EPS Summary'!$C:$C,$B70)*Percent_rural*quadrillion</f>
        <v/>
      </c>
      <c r="Q70">
        <f>SUMIFS('Crosswalk AEO to EPS Summary'!R:R,'Crosswalk AEO to EPS Summary'!$C:$C,$B70)*Percent_rural*quadrillion</f>
        <v/>
      </c>
      <c r="R70">
        <f>SUMIFS('Crosswalk AEO to EPS Summary'!S:S,'Crosswalk AEO to EPS Summary'!$C:$C,$B70)*Percent_rural*quadrillion</f>
        <v/>
      </c>
      <c r="S70">
        <f>SUMIFS('Crosswalk AEO to EPS Summary'!T:T,'Crosswalk AEO to EPS Summary'!$C:$C,$B70)*Percent_rural*quadrillion</f>
        <v/>
      </c>
      <c r="T70">
        <f>SUMIFS('Crosswalk AEO to EPS Summary'!U:U,'Crosswalk AEO to EPS Summary'!$C:$C,$B70)*Percent_rural*quadrillion</f>
        <v/>
      </c>
      <c r="U70">
        <f>SUMIFS('Crosswalk AEO to EPS Summary'!V:V,'Crosswalk AEO to EPS Summary'!$C:$C,$B70)*Percent_rural*quadrillion</f>
        <v/>
      </c>
      <c r="V70">
        <f>SUMIFS('Crosswalk AEO to EPS Summary'!W:W,'Crosswalk AEO to EPS Summary'!$C:$C,$B70)*Percent_rural*quadrillion</f>
        <v/>
      </c>
      <c r="W70">
        <f>SUMIFS('Crosswalk AEO to EPS Summary'!X:X,'Crosswalk AEO to EPS Summary'!$C:$C,$B70)*Percent_rural*quadrillion</f>
        <v/>
      </c>
      <c r="X70">
        <f>SUMIFS('Crosswalk AEO to EPS Summary'!Y:Y,'Crosswalk AEO to EPS Summary'!$C:$C,$B70)*Percent_rural*quadrillion</f>
        <v/>
      </c>
      <c r="Y70">
        <f>SUMIFS('Crosswalk AEO to EPS Summary'!Z:Z,'Crosswalk AEO to EPS Summary'!$C:$C,$B70)*Percent_rural*quadrillion</f>
        <v/>
      </c>
      <c r="Z70">
        <f>SUMIFS('Crosswalk AEO to EPS Summary'!AA:AA,'Crosswalk AEO to EPS Summary'!$C:$C,$B70)*Percent_rural*quadrillion</f>
        <v/>
      </c>
      <c r="AA70">
        <f>SUMIFS('Crosswalk AEO to EPS Summary'!AB:AB,'Crosswalk AEO to EPS Summary'!$C:$C,$B70)*Percent_rural*quadrillion</f>
        <v/>
      </c>
      <c r="AB70">
        <f>SUMIFS('Crosswalk AEO to EPS Summary'!AC:AC,'Crosswalk AEO to EPS Summary'!$C:$C,$B70)*Percent_rural*quadrillion</f>
        <v/>
      </c>
      <c r="AC70">
        <f>SUMIFS('Crosswalk AEO to EPS Summary'!AD:AD,'Crosswalk AEO to EPS Summary'!$C:$C,$B70)*Percent_rural*quadrillion</f>
        <v/>
      </c>
      <c r="AD70">
        <f>SUMIFS('Crosswalk AEO to EPS Summary'!AE:AE,'Crosswalk AEO to EPS Summary'!$C:$C,$B70)*Percent_rural*quadrillion</f>
        <v/>
      </c>
      <c r="AE70">
        <f>SUMIFS('Crosswalk AEO to EPS Summary'!AF:AF,'Crosswalk AEO to EPS Summary'!$C:$C,$B70)*Percent_rural*quadrillion</f>
        <v/>
      </c>
      <c r="AF70">
        <f>SUMIFS('Crosswalk AEO to EPS Summary'!AG:AG,'Crosswalk AEO to EPS Summary'!$C:$C,$B70)*Percent_rural*quadrillion</f>
        <v/>
      </c>
    </row>
    <row r="71">
      <c r="B71" s="53">
        <f>C71&amp;"-"&amp;D71&amp;"-"&amp;E71</f>
        <v/>
      </c>
      <c r="C71" t="inlineStr">
        <is>
          <t>residential</t>
        </is>
      </c>
      <c r="D71" t="inlineStr">
        <is>
          <t>heating</t>
        </is>
      </c>
      <c r="E71" t="inlineStr">
        <is>
          <t>coal (BTU)</t>
        </is>
      </c>
      <c r="F71" t="n">
        <v>0</v>
      </c>
      <c r="G71" t="n">
        <v>0</v>
      </c>
      <c r="H71" t="n">
        <v>0</v>
      </c>
      <c r="I71" t="n">
        <v>0</v>
      </c>
      <c r="J71" t="n">
        <v>0</v>
      </c>
      <c r="K71" t="n">
        <v>0</v>
      </c>
      <c r="L71" t="n">
        <v>0</v>
      </c>
      <c r="M71" t="n">
        <v>0</v>
      </c>
      <c r="N71" t="n">
        <v>0</v>
      </c>
      <c r="O71" t="n">
        <v>0</v>
      </c>
      <c r="P71" t="n">
        <v>0</v>
      </c>
      <c r="Q71" t="n">
        <v>0</v>
      </c>
      <c r="R71" t="n">
        <v>0</v>
      </c>
      <c r="S71" t="n">
        <v>0</v>
      </c>
      <c r="T71" t="n">
        <v>0</v>
      </c>
      <c r="U71" t="n">
        <v>0</v>
      </c>
      <c r="V71" t="n">
        <v>0</v>
      </c>
      <c r="W71" t="n">
        <v>0</v>
      </c>
      <c r="X71" t="n">
        <v>0</v>
      </c>
      <c r="Y71" t="n">
        <v>0</v>
      </c>
      <c r="Z71" t="n">
        <v>0</v>
      </c>
      <c r="AA71" t="n">
        <v>0</v>
      </c>
      <c r="AB71" t="n">
        <v>0</v>
      </c>
      <c r="AC71" t="n">
        <v>0</v>
      </c>
      <c r="AD71" t="n">
        <v>0</v>
      </c>
      <c r="AE71" t="n">
        <v>0</v>
      </c>
      <c r="AF71" t="n">
        <v>0</v>
      </c>
    </row>
    <row r="72">
      <c r="B72" s="53">
        <f>C72&amp;"-"&amp;D72&amp;"-"&amp;E72</f>
        <v/>
      </c>
      <c r="C72" t="inlineStr">
        <is>
          <t>residential</t>
        </is>
      </c>
      <c r="D72" t="inlineStr">
        <is>
          <t>heating</t>
        </is>
      </c>
      <c r="E72" t="inlineStr">
        <is>
          <t>natural gas (BTU)</t>
        </is>
      </c>
      <c r="F72">
        <f>SUMIFS('Crosswalk AEO to EPS Summary'!G:G,'Crosswalk AEO to EPS Summary'!$C:$C,$B72)*Percent_rural*quadrillion</f>
        <v/>
      </c>
      <c r="G72">
        <f>SUMIFS('Crosswalk AEO to EPS Summary'!H:H,'Crosswalk AEO to EPS Summary'!$C:$C,$B72)*Percent_rural*quadrillion</f>
        <v/>
      </c>
      <c r="H72">
        <f>SUMIFS('Crosswalk AEO to EPS Summary'!I:I,'Crosswalk AEO to EPS Summary'!$C:$C,$B72)*Percent_rural*quadrillion</f>
        <v/>
      </c>
      <c r="I72">
        <f>SUMIFS('Crosswalk AEO to EPS Summary'!J:J,'Crosswalk AEO to EPS Summary'!$C:$C,$B72)*Percent_rural*quadrillion</f>
        <v/>
      </c>
      <c r="J72">
        <f>SUMIFS('Crosswalk AEO to EPS Summary'!K:K,'Crosswalk AEO to EPS Summary'!$C:$C,$B72)*Percent_rural*quadrillion</f>
        <v/>
      </c>
      <c r="K72">
        <f>SUMIFS('Crosswalk AEO to EPS Summary'!L:L,'Crosswalk AEO to EPS Summary'!$C:$C,$B72)*Percent_rural*quadrillion</f>
        <v/>
      </c>
      <c r="L72">
        <f>SUMIFS('Crosswalk AEO to EPS Summary'!M:M,'Crosswalk AEO to EPS Summary'!$C:$C,$B72)*Percent_rural*quadrillion</f>
        <v/>
      </c>
      <c r="M72">
        <f>SUMIFS('Crosswalk AEO to EPS Summary'!N:N,'Crosswalk AEO to EPS Summary'!$C:$C,$B72)*Percent_rural*quadrillion</f>
        <v/>
      </c>
      <c r="N72">
        <f>SUMIFS('Crosswalk AEO to EPS Summary'!O:O,'Crosswalk AEO to EPS Summary'!$C:$C,$B72)*Percent_rural*quadrillion</f>
        <v/>
      </c>
      <c r="O72">
        <f>SUMIFS('Crosswalk AEO to EPS Summary'!P:P,'Crosswalk AEO to EPS Summary'!$C:$C,$B72)*Percent_rural*quadrillion</f>
        <v/>
      </c>
      <c r="P72">
        <f>SUMIFS('Crosswalk AEO to EPS Summary'!Q:Q,'Crosswalk AEO to EPS Summary'!$C:$C,$B72)*Percent_rural*quadrillion</f>
        <v/>
      </c>
      <c r="Q72">
        <f>SUMIFS('Crosswalk AEO to EPS Summary'!R:R,'Crosswalk AEO to EPS Summary'!$C:$C,$B72)*Percent_rural*quadrillion</f>
        <v/>
      </c>
      <c r="R72">
        <f>SUMIFS('Crosswalk AEO to EPS Summary'!S:S,'Crosswalk AEO to EPS Summary'!$C:$C,$B72)*Percent_rural*quadrillion</f>
        <v/>
      </c>
      <c r="S72">
        <f>SUMIFS('Crosswalk AEO to EPS Summary'!T:T,'Crosswalk AEO to EPS Summary'!$C:$C,$B72)*Percent_rural*quadrillion</f>
        <v/>
      </c>
      <c r="T72">
        <f>SUMIFS('Crosswalk AEO to EPS Summary'!U:U,'Crosswalk AEO to EPS Summary'!$C:$C,$B72)*Percent_rural*quadrillion</f>
        <v/>
      </c>
      <c r="U72">
        <f>SUMIFS('Crosswalk AEO to EPS Summary'!V:V,'Crosswalk AEO to EPS Summary'!$C:$C,$B72)*Percent_rural*quadrillion</f>
        <v/>
      </c>
      <c r="V72">
        <f>SUMIFS('Crosswalk AEO to EPS Summary'!W:W,'Crosswalk AEO to EPS Summary'!$C:$C,$B72)*Percent_rural*quadrillion</f>
        <v/>
      </c>
      <c r="W72">
        <f>SUMIFS('Crosswalk AEO to EPS Summary'!X:X,'Crosswalk AEO to EPS Summary'!$C:$C,$B72)*Percent_rural*quadrillion</f>
        <v/>
      </c>
      <c r="X72">
        <f>SUMIFS('Crosswalk AEO to EPS Summary'!Y:Y,'Crosswalk AEO to EPS Summary'!$C:$C,$B72)*Percent_rural*quadrillion</f>
        <v/>
      </c>
      <c r="Y72">
        <f>SUMIFS('Crosswalk AEO to EPS Summary'!Z:Z,'Crosswalk AEO to EPS Summary'!$C:$C,$B72)*Percent_rural*quadrillion</f>
        <v/>
      </c>
      <c r="Z72">
        <f>SUMIFS('Crosswalk AEO to EPS Summary'!AA:AA,'Crosswalk AEO to EPS Summary'!$C:$C,$B72)*Percent_rural*quadrillion</f>
        <v/>
      </c>
      <c r="AA72">
        <f>SUMIFS('Crosswalk AEO to EPS Summary'!AB:AB,'Crosswalk AEO to EPS Summary'!$C:$C,$B72)*Percent_rural*quadrillion</f>
        <v/>
      </c>
      <c r="AB72">
        <f>SUMIFS('Crosswalk AEO to EPS Summary'!AC:AC,'Crosswalk AEO to EPS Summary'!$C:$C,$B72)*Percent_rural*quadrillion</f>
        <v/>
      </c>
      <c r="AC72">
        <f>SUMIFS('Crosswalk AEO to EPS Summary'!AD:AD,'Crosswalk AEO to EPS Summary'!$C:$C,$B72)*Percent_rural*quadrillion</f>
        <v/>
      </c>
      <c r="AD72">
        <f>SUMIFS('Crosswalk AEO to EPS Summary'!AE:AE,'Crosswalk AEO to EPS Summary'!$C:$C,$B72)*Percent_rural*quadrillion</f>
        <v/>
      </c>
      <c r="AE72">
        <f>SUMIFS('Crosswalk AEO to EPS Summary'!AF:AF,'Crosswalk AEO to EPS Summary'!$C:$C,$B72)*Percent_rural*quadrillion</f>
        <v/>
      </c>
      <c r="AF72">
        <f>SUMIFS('Crosswalk AEO to EPS Summary'!AG:AG,'Crosswalk AEO to EPS Summary'!$C:$C,$B72)*Percent_rural*quadrillion</f>
        <v/>
      </c>
    </row>
    <row r="73">
      <c r="B73" s="53">
        <f>C73&amp;"-"&amp;D73&amp;"-"&amp;E73</f>
        <v/>
      </c>
      <c r="C73" t="inlineStr">
        <is>
          <t>residential</t>
        </is>
      </c>
      <c r="D73" t="inlineStr">
        <is>
          <t>heating</t>
        </is>
      </c>
      <c r="E73" t="inlineStr">
        <is>
          <t>petroleum diesel (BTU)</t>
        </is>
      </c>
      <c r="F73">
        <f>SUMIFS('Crosswalk AEO to EPS Summary'!G:G,'Crosswalk AEO to EPS Summary'!$C:$C,$B73)*Percent_rural*quadrillion</f>
        <v/>
      </c>
      <c r="G73">
        <f>SUMIFS('Crosswalk AEO to EPS Summary'!H:H,'Crosswalk AEO to EPS Summary'!$C:$C,$B73)*Percent_rural*quadrillion</f>
        <v/>
      </c>
      <c r="H73">
        <f>SUMIFS('Crosswalk AEO to EPS Summary'!I:I,'Crosswalk AEO to EPS Summary'!$C:$C,$B73)*Percent_rural*quadrillion</f>
        <v/>
      </c>
      <c r="I73">
        <f>SUMIFS('Crosswalk AEO to EPS Summary'!J:J,'Crosswalk AEO to EPS Summary'!$C:$C,$B73)*Percent_rural*quadrillion</f>
        <v/>
      </c>
      <c r="J73">
        <f>SUMIFS('Crosswalk AEO to EPS Summary'!K:K,'Crosswalk AEO to EPS Summary'!$C:$C,$B73)*Percent_rural*quadrillion</f>
        <v/>
      </c>
      <c r="K73">
        <f>SUMIFS('Crosswalk AEO to EPS Summary'!L:L,'Crosswalk AEO to EPS Summary'!$C:$C,$B73)*Percent_rural*quadrillion</f>
        <v/>
      </c>
      <c r="L73">
        <f>SUMIFS('Crosswalk AEO to EPS Summary'!M:M,'Crosswalk AEO to EPS Summary'!$C:$C,$B73)*Percent_rural*quadrillion</f>
        <v/>
      </c>
      <c r="M73">
        <f>SUMIFS('Crosswalk AEO to EPS Summary'!N:N,'Crosswalk AEO to EPS Summary'!$C:$C,$B73)*Percent_rural*quadrillion</f>
        <v/>
      </c>
      <c r="N73">
        <f>SUMIFS('Crosswalk AEO to EPS Summary'!O:O,'Crosswalk AEO to EPS Summary'!$C:$C,$B73)*Percent_rural*quadrillion</f>
        <v/>
      </c>
      <c r="O73">
        <f>SUMIFS('Crosswalk AEO to EPS Summary'!P:P,'Crosswalk AEO to EPS Summary'!$C:$C,$B73)*Percent_rural*quadrillion</f>
        <v/>
      </c>
      <c r="P73">
        <f>SUMIFS('Crosswalk AEO to EPS Summary'!Q:Q,'Crosswalk AEO to EPS Summary'!$C:$C,$B73)*Percent_rural*quadrillion</f>
        <v/>
      </c>
      <c r="Q73">
        <f>SUMIFS('Crosswalk AEO to EPS Summary'!R:R,'Crosswalk AEO to EPS Summary'!$C:$C,$B73)*Percent_rural*quadrillion</f>
        <v/>
      </c>
      <c r="R73">
        <f>SUMIFS('Crosswalk AEO to EPS Summary'!S:S,'Crosswalk AEO to EPS Summary'!$C:$C,$B73)*Percent_rural*quadrillion</f>
        <v/>
      </c>
      <c r="S73">
        <f>SUMIFS('Crosswalk AEO to EPS Summary'!T:T,'Crosswalk AEO to EPS Summary'!$C:$C,$B73)*Percent_rural*quadrillion</f>
        <v/>
      </c>
      <c r="T73">
        <f>SUMIFS('Crosswalk AEO to EPS Summary'!U:U,'Crosswalk AEO to EPS Summary'!$C:$C,$B73)*Percent_rural*quadrillion</f>
        <v/>
      </c>
      <c r="U73">
        <f>SUMIFS('Crosswalk AEO to EPS Summary'!V:V,'Crosswalk AEO to EPS Summary'!$C:$C,$B73)*Percent_rural*quadrillion</f>
        <v/>
      </c>
      <c r="V73">
        <f>SUMIFS('Crosswalk AEO to EPS Summary'!W:W,'Crosswalk AEO to EPS Summary'!$C:$C,$B73)*Percent_rural*quadrillion</f>
        <v/>
      </c>
      <c r="W73">
        <f>SUMIFS('Crosswalk AEO to EPS Summary'!X:X,'Crosswalk AEO to EPS Summary'!$C:$C,$B73)*Percent_rural*quadrillion</f>
        <v/>
      </c>
      <c r="X73">
        <f>SUMIFS('Crosswalk AEO to EPS Summary'!Y:Y,'Crosswalk AEO to EPS Summary'!$C:$C,$B73)*Percent_rural*quadrillion</f>
        <v/>
      </c>
      <c r="Y73">
        <f>SUMIFS('Crosswalk AEO to EPS Summary'!Z:Z,'Crosswalk AEO to EPS Summary'!$C:$C,$B73)*Percent_rural*quadrillion</f>
        <v/>
      </c>
      <c r="Z73">
        <f>SUMIFS('Crosswalk AEO to EPS Summary'!AA:AA,'Crosswalk AEO to EPS Summary'!$C:$C,$B73)*Percent_rural*quadrillion</f>
        <v/>
      </c>
      <c r="AA73">
        <f>SUMIFS('Crosswalk AEO to EPS Summary'!AB:AB,'Crosswalk AEO to EPS Summary'!$C:$C,$B73)*Percent_rural*quadrillion</f>
        <v/>
      </c>
      <c r="AB73">
        <f>SUMIFS('Crosswalk AEO to EPS Summary'!AC:AC,'Crosswalk AEO to EPS Summary'!$C:$C,$B73)*Percent_rural*quadrillion</f>
        <v/>
      </c>
      <c r="AC73">
        <f>SUMIFS('Crosswalk AEO to EPS Summary'!AD:AD,'Crosswalk AEO to EPS Summary'!$C:$C,$B73)*Percent_rural*quadrillion</f>
        <v/>
      </c>
      <c r="AD73">
        <f>SUMIFS('Crosswalk AEO to EPS Summary'!AE:AE,'Crosswalk AEO to EPS Summary'!$C:$C,$B73)*Percent_rural*quadrillion</f>
        <v/>
      </c>
      <c r="AE73">
        <f>SUMIFS('Crosswalk AEO to EPS Summary'!AF:AF,'Crosswalk AEO to EPS Summary'!$C:$C,$B73)*Percent_rural*quadrillion</f>
        <v/>
      </c>
      <c r="AF73">
        <f>SUMIFS('Crosswalk AEO to EPS Summary'!AG:AG,'Crosswalk AEO to EPS Summary'!$C:$C,$B73)*Percent_rural*quadrillion</f>
        <v/>
      </c>
    </row>
    <row r="74">
      <c r="B74" s="53">
        <f>C74&amp;"-"&amp;D74&amp;"-"&amp;E74</f>
        <v/>
      </c>
      <c r="C74" t="inlineStr">
        <is>
          <t>residential</t>
        </is>
      </c>
      <c r="D74" t="inlineStr">
        <is>
          <t>heating</t>
        </is>
      </c>
      <c r="E74" t="inlineStr">
        <is>
          <t>heat (BTU)</t>
        </is>
      </c>
      <c r="F74" t="n">
        <v>0</v>
      </c>
      <c r="G74" t="n">
        <v>0</v>
      </c>
      <c r="H74" t="n">
        <v>0</v>
      </c>
      <c r="I74" t="n">
        <v>0</v>
      </c>
      <c r="J74" t="n">
        <v>0</v>
      </c>
      <c r="K74" t="n">
        <v>0</v>
      </c>
      <c r="L74" t="n">
        <v>0</v>
      </c>
      <c r="M74" t="n">
        <v>0</v>
      </c>
      <c r="N74" t="n">
        <v>0</v>
      </c>
      <c r="O74" t="n">
        <v>0</v>
      </c>
      <c r="P74" t="n">
        <v>0</v>
      </c>
      <c r="Q74" t="n">
        <v>0</v>
      </c>
      <c r="R74" t="n">
        <v>0</v>
      </c>
      <c r="S74" t="n">
        <v>0</v>
      </c>
      <c r="T74" t="n">
        <v>0</v>
      </c>
      <c r="U74" t="n">
        <v>0</v>
      </c>
      <c r="V74" t="n">
        <v>0</v>
      </c>
      <c r="W74" t="n">
        <v>0</v>
      </c>
      <c r="X74" t="n">
        <v>0</v>
      </c>
      <c r="Y74" t="n">
        <v>0</v>
      </c>
      <c r="Z74" t="n">
        <v>0</v>
      </c>
      <c r="AA74" t="n">
        <v>0</v>
      </c>
      <c r="AB74" t="n">
        <v>0</v>
      </c>
      <c r="AC74" t="n">
        <v>0</v>
      </c>
      <c r="AD74" t="n">
        <v>0</v>
      </c>
      <c r="AE74" t="n">
        <v>0</v>
      </c>
      <c r="AF74" t="n">
        <v>0</v>
      </c>
    </row>
    <row r="75">
      <c r="B75" s="53">
        <f>C75&amp;"-"&amp;D75&amp;"-"&amp;E75</f>
        <v/>
      </c>
      <c r="C75" t="inlineStr">
        <is>
          <t>residential</t>
        </is>
      </c>
      <c r="D75" t="inlineStr">
        <is>
          <t>heating</t>
        </is>
      </c>
      <c r="E75" t="inlineStr">
        <is>
          <t>biomass (BTU)</t>
        </is>
      </c>
      <c r="F75">
        <f>SUMIFS('Crosswalk AEO to EPS Summary'!G:G,'Crosswalk AEO to EPS Summary'!$C:$C,$B75)*Percent_rural*quadrillion</f>
        <v/>
      </c>
      <c r="G75">
        <f>SUMIFS('Crosswalk AEO to EPS Summary'!H:H,'Crosswalk AEO to EPS Summary'!$C:$C,$B75)*Percent_rural*quadrillion</f>
        <v/>
      </c>
      <c r="H75">
        <f>SUMIFS('Crosswalk AEO to EPS Summary'!I:I,'Crosswalk AEO to EPS Summary'!$C:$C,$B75)*Percent_rural*quadrillion</f>
        <v/>
      </c>
      <c r="I75">
        <f>SUMIFS('Crosswalk AEO to EPS Summary'!J:J,'Crosswalk AEO to EPS Summary'!$C:$C,$B75)*Percent_rural*quadrillion</f>
        <v/>
      </c>
      <c r="J75">
        <f>SUMIFS('Crosswalk AEO to EPS Summary'!K:K,'Crosswalk AEO to EPS Summary'!$C:$C,$B75)*Percent_rural*quadrillion</f>
        <v/>
      </c>
      <c r="K75">
        <f>SUMIFS('Crosswalk AEO to EPS Summary'!L:L,'Crosswalk AEO to EPS Summary'!$C:$C,$B75)*Percent_rural*quadrillion</f>
        <v/>
      </c>
      <c r="L75">
        <f>SUMIFS('Crosswalk AEO to EPS Summary'!M:M,'Crosswalk AEO to EPS Summary'!$C:$C,$B75)*Percent_rural*quadrillion</f>
        <v/>
      </c>
      <c r="M75">
        <f>SUMIFS('Crosswalk AEO to EPS Summary'!N:N,'Crosswalk AEO to EPS Summary'!$C:$C,$B75)*Percent_rural*quadrillion</f>
        <v/>
      </c>
      <c r="N75">
        <f>SUMIFS('Crosswalk AEO to EPS Summary'!O:O,'Crosswalk AEO to EPS Summary'!$C:$C,$B75)*Percent_rural*quadrillion</f>
        <v/>
      </c>
      <c r="O75">
        <f>SUMIFS('Crosswalk AEO to EPS Summary'!P:P,'Crosswalk AEO to EPS Summary'!$C:$C,$B75)*Percent_rural*quadrillion</f>
        <v/>
      </c>
      <c r="P75">
        <f>SUMIFS('Crosswalk AEO to EPS Summary'!Q:Q,'Crosswalk AEO to EPS Summary'!$C:$C,$B75)*Percent_rural*quadrillion</f>
        <v/>
      </c>
      <c r="Q75">
        <f>SUMIFS('Crosswalk AEO to EPS Summary'!R:R,'Crosswalk AEO to EPS Summary'!$C:$C,$B75)*Percent_rural*quadrillion</f>
        <v/>
      </c>
      <c r="R75">
        <f>SUMIFS('Crosswalk AEO to EPS Summary'!S:S,'Crosswalk AEO to EPS Summary'!$C:$C,$B75)*Percent_rural*quadrillion</f>
        <v/>
      </c>
      <c r="S75">
        <f>SUMIFS('Crosswalk AEO to EPS Summary'!T:T,'Crosswalk AEO to EPS Summary'!$C:$C,$B75)*Percent_rural*quadrillion</f>
        <v/>
      </c>
      <c r="T75">
        <f>SUMIFS('Crosswalk AEO to EPS Summary'!U:U,'Crosswalk AEO to EPS Summary'!$C:$C,$B75)*Percent_rural*quadrillion</f>
        <v/>
      </c>
      <c r="U75">
        <f>SUMIFS('Crosswalk AEO to EPS Summary'!V:V,'Crosswalk AEO to EPS Summary'!$C:$C,$B75)*Percent_rural*quadrillion</f>
        <v/>
      </c>
      <c r="V75">
        <f>SUMIFS('Crosswalk AEO to EPS Summary'!W:W,'Crosswalk AEO to EPS Summary'!$C:$C,$B75)*Percent_rural*quadrillion</f>
        <v/>
      </c>
      <c r="W75">
        <f>SUMIFS('Crosswalk AEO to EPS Summary'!X:X,'Crosswalk AEO to EPS Summary'!$C:$C,$B75)*Percent_rural*quadrillion</f>
        <v/>
      </c>
      <c r="X75">
        <f>SUMIFS('Crosswalk AEO to EPS Summary'!Y:Y,'Crosswalk AEO to EPS Summary'!$C:$C,$B75)*Percent_rural*quadrillion</f>
        <v/>
      </c>
      <c r="Y75">
        <f>SUMIFS('Crosswalk AEO to EPS Summary'!Z:Z,'Crosswalk AEO to EPS Summary'!$C:$C,$B75)*Percent_rural*quadrillion</f>
        <v/>
      </c>
      <c r="Z75">
        <f>SUMIFS('Crosswalk AEO to EPS Summary'!AA:AA,'Crosswalk AEO to EPS Summary'!$C:$C,$B75)*Percent_rural*quadrillion</f>
        <v/>
      </c>
      <c r="AA75">
        <f>SUMIFS('Crosswalk AEO to EPS Summary'!AB:AB,'Crosswalk AEO to EPS Summary'!$C:$C,$B75)*Percent_rural*quadrillion</f>
        <v/>
      </c>
      <c r="AB75">
        <f>SUMIFS('Crosswalk AEO to EPS Summary'!AC:AC,'Crosswalk AEO to EPS Summary'!$C:$C,$B75)*Percent_rural*quadrillion</f>
        <v/>
      </c>
      <c r="AC75">
        <f>SUMIFS('Crosswalk AEO to EPS Summary'!AD:AD,'Crosswalk AEO to EPS Summary'!$C:$C,$B75)*Percent_rural*quadrillion</f>
        <v/>
      </c>
      <c r="AD75">
        <f>SUMIFS('Crosswalk AEO to EPS Summary'!AE:AE,'Crosswalk AEO to EPS Summary'!$C:$C,$B75)*Percent_rural*quadrillion</f>
        <v/>
      </c>
      <c r="AE75">
        <f>SUMIFS('Crosswalk AEO to EPS Summary'!AF:AF,'Crosswalk AEO to EPS Summary'!$C:$C,$B75)*Percent_rural*quadrillion</f>
        <v/>
      </c>
      <c r="AF75">
        <f>SUMIFS('Crosswalk AEO to EPS Summary'!AG:AG,'Crosswalk AEO to EPS Summary'!$C:$C,$B75)*Percent_rural*quadrillion</f>
        <v/>
      </c>
    </row>
    <row r="76">
      <c r="B76" s="53">
        <f>C76&amp;"-"&amp;D76&amp;"-"&amp;E76</f>
        <v/>
      </c>
      <c r="C76" t="inlineStr">
        <is>
          <t>residential</t>
        </is>
      </c>
      <c r="D76" t="inlineStr">
        <is>
          <t>heating</t>
        </is>
      </c>
      <c r="E76" t="inlineStr">
        <is>
          <t>kerosene (BTU)</t>
        </is>
      </c>
      <c r="F76" t="n">
        <v>0</v>
      </c>
      <c r="G76" t="n">
        <v>0</v>
      </c>
      <c r="H76" t="n">
        <v>0</v>
      </c>
      <c r="I76" t="n">
        <v>0</v>
      </c>
      <c r="J76" t="n">
        <v>0</v>
      </c>
      <c r="K76" t="n">
        <v>0</v>
      </c>
      <c r="L76" t="n">
        <v>0</v>
      </c>
      <c r="M76" t="n">
        <v>0</v>
      </c>
      <c r="N76" t="n">
        <v>0</v>
      </c>
      <c r="O76" t="n">
        <v>0</v>
      </c>
      <c r="P76" t="n">
        <v>0</v>
      </c>
      <c r="Q76" t="n">
        <v>0</v>
      </c>
      <c r="R76" t="n">
        <v>0</v>
      </c>
      <c r="S76" t="n">
        <v>0</v>
      </c>
      <c r="T76" t="n">
        <v>0</v>
      </c>
      <c r="U76" t="n">
        <v>0</v>
      </c>
      <c r="V76" t="n">
        <v>0</v>
      </c>
      <c r="W76" t="n">
        <v>0</v>
      </c>
      <c r="X76" t="n">
        <v>0</v>
      </c>
      <c r="Y76" t="n">
        <v>0</v>
      </c>
      <c r="Z76" t="n">
        <v>0</v>
      </c>
      <c r="AA76" t="n">
        <v>0</v>
      </c>
      <c r="AB76" t="n">
        <v>0</v>
      </c>
      <c r="AC76" t="n">
        <v>0</v>
      </c>
      <c r="AD76" t="n">
        <v>0</v>
      </c>
      <c r="AE76" t="n">
        <v>0</v>
      </c>
      <c r="AF76" t="n">
        <v>0</v>
      </c>
    </row>
    <row r="77">
      <c r="B77" s="53">
        <f>C77&amp;"-"&amp;D77&amp;"-"&amp;E77</f>
        <v/>
      </c>
      <c r="C77" t="inlineStr">
        <is>
          <t>residential</t>
        </is>
      </c>
      <c r="D77" t="inlineStr">
        <is>
          <t>heating</t>
        </is>
      </c>
      <c r="E77" t="inlineStr">
        <is>
          <t>heavy or residual fuel oil (BTU)</t>
        </is>
      </c>
      <c r="F77" t="n">
        <v>0</v>
      </c>
      <c r="G77" t="n">
        <v>0</v>
      </c>
      <c r="H77" t="n">
        <v>0</v>
      </c>
      <c r="I77" t="n">
        <v>0</v>
      </c>
      <c r="J77" t="n">
        <v>0</v>
      </c>
      <c r="K77" t="n">
        <v>0</v>
      </c>
      <c r="L77" t="n">
        <v>0</v>
      </c>
      <c r="M77" t="n">
        <v>0</v>
      </c>
      <c r="N77" t="n">
        <v>0</v>
      </c>
      <c r="O77" t="n">
        <v>0</v>
      </c>
      <c r="P77" t="n">
        <v>0</v>
      </c>
      <c r="Q77" t="n">
        <v>0</v>
      </c>
      <c r="R77" t="n">
        <v>0</v>
      </c>
      <c r="S77" t="n">
        <v>0</v>
      </c>
      <c r="T77" t="n">
        <v>0</v>
      </c>
      <c r="U77" t="n">
        <v>0</v>
      </c>
      <c r="V77" t="n">
        <v>0</v>
      </c>
      <c r="W77" t="n">
        <v>0</v>
      </c>
      <c r="X77" t="n">
        <v>0</v>
      </c>
      <c r="Y77" t="n">
        <v>0</v>
      </c>
      <c r="Z77" t="n">
        <v>0</v>
      </c>
      <c r="AA77" t="n">
        <v>0</v>
      </c>
      <c r="AB77" t="n">
        <v>0</v>
      </c>
      <c r="AC77" t="n">
        <v>0</v>
      </c>
      <c r="AD77" t="n">
        <v>0</v>
      </c>
      <c r="AE77" t="n">
        <v>0</v>
      </c>
      <c r="AF77" t="n">
        <v>0</v>
      </c>
    </row>
    <row r="78">
      <c r="B78" s="53">
        <f>C78&amp;"-"&amp;D78&amp;"-"&amp;E78</f>
        <v/>
      </c>
      <c r="C78" t="inlineStr">
        <is>
          <t>residential</t>
        </is>
      </c>
      <c r="D78" t="inlineStr">
        <is>
          <t>heating</t>
        </is>
      </c>
      <c r="E78" t="inlineStr">
        <is>
          <t>LPG propane or butane (BTU)</t>
        </is>
      </c>
      <c r="F78">
        <f>SUMIFS('Crosswalk AEO to EPS Summary'!G:G,'Crosswalk AEO to EPS Summary'!$C:$C,$B78)*Percent_rural*quadrillion</f>
        <v/>
      </c>
      <c r="G78">
        <f>SUMIFS('Crosswalk AEO to EPS Summary'!H:H,'Crosswalk AEO to EPS Summary'!$C:$C,$B78)*Percent_rural*quadrillion</f>
        <v/>
      </c>
      <c r="H78">
        <f>SUMIFS('Crosswalk AEO to EPS Summary'!I:I,'Crosswalk AEO to EPS Summary'!$C:$C,$B78)*Percent_rural*quadrillion</f>
        <v/>
      </c>
      <c r="I78">
        <f>SUMIFS('Crosswalk AEO to EPS Summary'!J:J,'Crosswalk AEO to EPS Summary'!$C:$C,$B78)*Percent_rural*quadrillion</f>
        <v/>
      </c>
      <c r="J78">
        <f>SUMIFS('Crosswalk AEO to EPS Summary'!K:K,'Crosswalk AEO to EPS Summary'!$C:$C,$B78)*Percent_rural*quadrillion</f>
        <v/>
      </c>
      <c r="K78">
        <f>SUMIFS('Crosswalk AEO to EPS Summary'!L:L,'Crosswalk AEO to EPS Summary'!$C:$C,$B78)*Percent_rural*quadrillion</f>
        <v/>
      </c>
      <c r="L78">
        <f>SUMIFS('Crosswalk AEO to EPS Summary'!M:M,'Crosswalk AEO to EPS Summary'!$C:$C,$B78)*Percent_rural*quadrillion</f>
        <v/>
      </c>
      <c r="M78">
        <f>SUMIFS('Crosswalk AEO to EPS Summary'!N:N,'Crosswalk AEO to EPS Summary'!$C:$C,$B78)*Percent_rural*quadrillion</f>
        <v/>
      </c>
      <c r="N78">
        <f>SUMIFS('Crosswalk AEO to EPS Summary'!O:O,'Crosswalk AEO to EPS Summary'!$C:$C,$B78)*Percent_rural*quadrillion</f>
        <v/>
      </c>
      <c r="O78">
        <f>SUMIFS('Crosswalk AEO to EPS Summary'!P:P,'Crosswalk AEO to EPS Summary'!$C:$C,$B78)*Percent_rural*quadrillion</f>
        <v/>
      </c>
      <c r="P78">
        <f>SUMIFS('Crosswalk AEO to EPS Summary'!Q:Q,'Crosswalk AEO to EPS Summary'!$C:$C,$B78)*Percent_rural*quadrillion</f>
        <v/>
      </c>
      <c r="Q78">
        <f>SUMIFS('Crosswalk AEO to EPS Summary'!R:R,'Crosswalk AEO to EPS Summary'!$C:$C,$B78)*Percent_rural*quadrillion</f>
        <v/>
      </c>
      <c r="R78">
        <f>SUMIFS('Crosswalk AEO to EPS Summary'!S:S,'Crosswalk AEO to EPS Summary'!$C:$C,$B78)*Percent_rural*quadrillion</f>
        <v/>
      </c>
      <c r="S78">
        <f>SUMIFS('Crosswalk AEO to EPS Summary'!T:T,'Crosswalk AEO to EPS Summary'!$C:$C,$B78)*Percent_rural*quadrillion</f>
        <v/>
      </c>
      <c r="T78">
        <f>SUMIFS('Crosswalk AEO to EPS Summary'!U:U,'Crosswalk AEO to EPS Summary'!$C:$C,$B78)*Percent_rural*quadrillion</f>
        <v/>
      </c>
      <c r="U78">
        <f>SUMIFS('Crosswalk AEO to EPS Summary'!V:V,'Crosswalk AEO to EPS Summary'!$C:$C,$B78)*Percent_rural*quadrillion</f>
        <v/>
      </c>
      <c r="V78">
        <f>SUMIFS('Crosswalk AEO to EPS Summary'!W:W,'Crosswalk AEO to EPS Summary'!$C:$C,$B78)*Percent_rural*quadrillion</f>
        <v/>
      </c>
      <c r="W78">
        <f>SUMIFS('Crosswalk AEO to EPS Summary'!X:X,'Crosswalk AEO to EPS Summary'!$C:$C,$B78)*Percent_rural*quadrillion</f>
        <v/>
      </c>
      <c r="X78">
        <f>SUMIFS('Crosswalk AEO to EPS Summary'!Y:Y,'Crosswalk AEO to EPS Summary'!$C:$C,$B78)*Percent_rural*quadrillion</f>
        <v/>
      </c>
      <c r="Y78">
        <f>SUMIFS('Crosswalk AEO to EPS Summary'!Z:Z,'Crosswalk AEO to EPS Summary'!$C:$C,$B78)*Percent_rural*quadrillion</f>
        <v/>
      </c>
      <c r="Z78">
        <f>SUMIFS('Crosswalk AEO to EPS Summary'!AA:AA,'Crosswalk AEO to EPS Summary'!$C:$C,$B78)*Percent_rural*quadrillion</f>
        <v/>
      </c>
      <c r="AA78">
        <f>SUMIFS('Crosswalk AEO to EPS Summary'!AB:AB,'Crosswalk AEO to EPS Summary'!$C:$C,$B78)*Percent_rural*quadrillion</f>
        <v/>
      </c>
      <c r="AB78">
        <f>SUMIFS('Crosswalk AEO to EPS Summary'!AC:AC,'Crosswalk AEO to EPS Summary'!$C:$C,$B78)*Percent_rural*quadrillion</f>
        <v/>
      </c>
      <c r="AC78">
        <f>SUMIFS('Crosswalk AEO to EPS Summary'!AD:AD,'Crosswalk AEO to EPS Summary'!$C:$C,$B78)*Percent_rural*quadrillion</f>
        <v/>
      </c>
      <c r="AD78">
        <f>SUMIFS('Crosswalk AEO to EPS Summary'!AE:AE,'Crosswalk AEO to EPS Summary'!$C:$C,$B78)*Percent_rural*quadrillion</f>
        <v/>
      </c>
      <c r="AE78">
        <f>SUMIFS('Crosswalk AEO to EPS Summary'!AF:AF,'Crosswalk AEO to EPS Summary'!$C:$C,$B78)*Percent_rural*quadrillion</f>
        <v/>
      </c>
      <c r="AF78">
        <f>SUMIFS('Crosswalk AEO to EPS Summary'!AG:AG,'Crosswalk AEO to EPS Summary'!$C:$C,$B78)*Percent_rural*quadrillion</f>
        <v/>
      </c>
    </row>
    <row r="79">
      <c r="B79" s="53">
        <f>C79&amp;"-"&amp;D79&amp;"-"&amp;E79</f>
        <v/>
      </c>
      <c r="C79" t="inlineStr">
        <is>
          <t>residential</t>
        </is>
      </c>
      <c r="D79" t="inlineStr">
        <is>
          <t>heating</t>
        </is>
      </c>
      <c r="E79" t="inlineStr">
        <is>
          <t>hydrogen (BTU)</t>
        </is>
      </c>
      <c r="F79" t="n">
        <v>0</v>
      </c>
      <c r="G79" t="n">
        <v>0</v>
      </c>
      <c r="H79" t="n">
        <v>0</v>
      </c>
      <c r="I79" t="n">
        <v>0</v>
      </c>
      <c r="J79" t="n">
        <v>0</v>
      </c>
      <c r="K79" t="n">
        <v>0</v>
      </c>
      <c r="L79" t="n">
        <v>0</v>
      </c>
      <c r="M79" t="n">
        <v>0</v>
      </c>
      <c r="N79" t="n">
        <v>0</v>
      </c>
      <c r="O79" t="n">
        <v>0</v>
      </c>
      <c r="P79" t="n">
        <v>0</v>
      </c>
      <c r="Q79" t="n">
        <v>0</v>
      </c>
      <c r="R79" t="n">
        <v>0</v>
      </c>
      <c r="S79" t="n">
        <v>0</v>
      </c>
      <c r="T79" t="n">
        <v>0</v>
      </c>
      <c r="U79" t="n">
        <v>0</v>
      </c>
      <c r="V79" t="n">
        <v>0</v>
      </c>
      <c r="W79" t="n">
        <v>0</v>
      </c>
      <c r="X79" t="n">
        <v>0</v>
      </c>
      <c r="Y79" t="n">
        <v>0</v>
      </c>
      <c r="Z79" t="n">
        <v>0</v>
      </c>
      <c r="AA79" t="n">
        <v>0</v>
      </c>
      <c r="AB79" t="n">
        <v>0</v>
      </c>
      <c r="AC79" t="n">
        <v>0</v>
      </c>
      <c r="AD79" t="n">
        <v>0</v>
      </c>
      <c r="AE79" t="n">
        <v>0</v>
      </c>
      <c r="AF79" t="n">
        <v>0</v>
      </c>
    </row>
    <row r="80"/>
    <row r="81">
      <c r="B81" s="1" t="inlineStr">
        <is>
          <t>BCEU-rural-residential-cooling</t>
        </is>
      </c>
    </row>
    <row r="82">
      <c r="E82" t="inlineStr">
        <is>
          <t>Year</t>
        </is>
      </c>
      <c r="F82" s="1" t="n">
        <v>2024</v>
      </c>
      <c r="G82" s="1" t="n">
        <v>2025</v>
      </c>
      <c r="H82" s="1" t="n">
        <v>2026</v>
      </c>
      <c r="I82" s="1" t="n">
        <v>2027</v>
      </c>
      <c r="J82" s="1" t="n">
        <v>2028</v>
      </c>
      <c r="K82" s="1" t="n">
        <v>2029</v>
      </c>
      <c r="L82" s="1" t="n">
        <v>2030</v>
      </c>
      <c r="M82" s="1" t="n">
        <v>2031</v>
      </c>
      <c r="N82" s="1" t="n">
        <v>2032</v>
      </c>
      <c r="O82" s="1" t="n">
        <v>2033</v>
      </c>
      <c r="P82" s="1" t="n">
        <v>2034</v>
      </c>
      <c r="Q82" s="1" t="n">
        <v>2035</v>
      </c>
      <c r="R82" s="1" t="n">
        <v>2036</v>
      </c>
      <c r="S82" s="1" t="n">
        <v>2037</v>
      </c>
      <c r="T82" s="1" t="n">
        <v>2038</v>
      </c>
      <c r="U82" s="1" t="n">
        <v>2039</v>
      </c>
      <c r="V82" s="1" t="n">
        <v>2040</v>
      </c>
      <c r="W82" s="1" t="n">
        <v>2041</v>
      </c>
      <c r="X82" s="1" t="n">
        <v>2042</v>
      </c>
      <c r="Y82" s="1" t="n">
        <v>2043</v>
      </c>
      <c r="Z82" s="1" t="n">
        <v>2044</v>
      </c>
      <c r="AA82" s="1" t="n">
        <v>2045</v>
      </c>
      <c r="AB82" s="1" t="n">
        <v>2046</v>
      </c>
      <c r="AC82" s="1" t="n">
        <v>2047</v>
      </c>
      <c r="AD82" s="1" t="n">
        <v>2048</v>
      </c>
      <c r="AE82" s="1" t="n">
        <v>2049</v>
      </c>
      <c r="AF82" s="1" t="n">
        <v>2050</v>
      </c>
    </row>
    <row r="83">
      <c r="B83" s="53">
        <f>C83&amp;"-"&amp;D83&amp;"-"&amp;E83</f>
        <v/>
      </c>
      <c r="C83" t="inlineStr">
        <is>
          <t>residential</t>
        </is>
      </c>
      <c r="D83" t="inlineStr">
        <is>
          <t>cooling</t>
        </is>
      </c>
      <c r="E83" t="inlineStr">
        <is>
          <t>electricity (BTU)</t>
        </is>
      </c>
      <c r="F83">
        <f>SUMIFS('Crosswalk AEO to EPS Summary'!G:G,'Crosswalk AEO to EPS Summary'!$C:$C,$B83)*Percent_rural*quadrillion</f>
        <v/>
      </c>
      <c r="G83">
        <f>SUMIFS('Crosswalk AEO to EPS Summary'!H:H,'Crosswalk AEO to EPS Summary'!$C:$C,$B83)*Percent_rural*quadrillion</f>
        <v/>
      </c>
      <c r="H83">
        <f>SUMIFS('Crosswalk AEO to EPS Summary'!I:I,'Crosswalk AEO to EPS Summary'!$C:$C,$B83)*Percent_rural*quadrillion</f>
        <v/>
      </c>
      <c r="I83">
        <f>SUMIFS('Crosswalk AEO to EPS Summary'!J:J,'Crosswalk AEO to EPS Summary'!$C:$C,$B83)*Percent_rural*quadrillion</f>
        <v/>
      </c>
      <c r="J83">
        <f>SUMIFS('Crosswalk AEO to EPS Summary'!K:K,'Crosswalk AEO to EPS Summary'!$C:$C,$B83)*Percent_rural*quadrillion</f>
        <v/>
      </c>
      <c r="K83">
        <f>SUMIFS('Crosswalk AEO to EPS Summary'!L:L,'Crosswalk AEO to EPS Summary'!$C:$C,$B83)*Percent_rural*quadrillion</f>
        <v/>
      </c>
      <c r="L83">
        <f>SUMIFS('Crosswalk AEO to EPS Summary'!M:M,'Crosswalk AEO to EPS Summary'!$C:$C,$B83)*Percent_rural*quadrillion</f>
        <v/>
      </c>
      <c r="M83">
        <f>SUMIFS('Crosswalk AEO to EPS Summary'!N:N,'Crosswalk AEO to EPS Summary'!$C:$C,$B83)*Percent_rural*quadrillion</f>
        <v/>
      </c>
      <c r="N83">
        <f>SUMIFS('Crosswalk AEO to EPS Summary'!O:O,'Crosswalk AEO to EPS Summary'!$C:$C,$B83)*Percent_rural*quadrillion</f>
        <v/>
      </c>
      <c r="O83">
        <f>SUMIFS('Crosswalk AEO to EPS Summary'!P:P,'Crosswalk AEO to EPS Summary'!$C:$C,$B83)*Percent_rural*quadrillion</f>
        <v/>
      </c>
      <c r="P83">
        <f>SUMIFS('Crosswalk AEO to EPS Summary'!Q:Q,'Crosswalk AEO to EPS Summary'!$C:$C,$B83)*Percent_rural*quadrillion</f>
        <v/>
      </c>
      <c r="Q83">
        <f>SUMIFS('Crosswalk AEO to EPS Summary'!R:R,'Crosswalk AEO to EPS Summary'!$C:$C,$B83)*Percent_rural*quadrillion</f>
        <v/>
      </c>
      <c r="R83">
        <f>SUMIFS('Crosswalk AEO to EPS Summary'!S:S,'Crosswalk AEO to EPS Summary'!$C:$C,$B83)*Percent_rural*quadrillion</f>
        <v/>
      </c>
      <c r="S83">
        <f>SUMIFS('Crosswalk AEO to EPS Summary'!T:T,'Crosswalk AEO to EPS Summary'!$C:$C,$B83)*Percent_rural*quadrillion</f>
        <v/>
      </c>
      <c r="T83">
        <f>SUMIFS('Crosswalk AEO to EPS Summary'!U:U,'Crosswalk AEO to EPS Summary'!$C:$C,$B83)*Percent_rural*quadrillion</f>
        <v/>
      </c>
      <c r="U83">
        <f>SUMIFS('Crosswalk AEO to EPS Summary'!V:V,'Crosswalk AEO to EPS Summary'!$C:$C,$B83)*Percent_rural*quadrillion</f>
        <v/>
      </c>
      <c r="V83">
        <f>SUMIFS('Crosswalk AEO to EPS Summary'!W:W,'Crosswalk AEO to EPS Summary'!$C:$C,$B83)*Percent_rural*quadrillion</f>
        <v/>
      </c>
      <c r="W83">
        <f>SUMIFS('Crosswalk AEO to EPS Summary'!X:X,'Crosswalk AEO to EPS Summary'!$C:$C,$B83)*Percent_rural*quadrillion</f>
        <v/>
      </c>
      <c r="X83">
        <f>SUMIFS('Crosswalk AEO to EPS Summary'!Y:Y,'Crosswalk AEO to EPS Summary'!$C:$C,$B83)*Percent_rural*quadrillion</f>
        <v/>
      </c>
      <c r="Y83">
        <f>SUMIFS('Crosswalk AEO to EPS Summary'!Z:Z,'Crosswalk AEO to EPS Summary'!$C:$C,$B83)*Percent_rural*quadrillion</f>
        <v/>
      </c>
      <c r="Z83">
        <f>SUMIFS('Crosswalk AEO to EPS Summary'!AA:AA,'Crosswalk AEO to EPS Summary'!$C:$C,$B83)*Percent_rural*quadrillion</f>
        <v/>
      </c>
      <c r="AA83">
        <f>SUMIFS('Crosswalk AEO to EPS Summary'!AB:AB,'Crosswalk AEO to EPS Summary'!$C:$C,$B83)*Percent_rural*quadrillion</f>
        <v/>
      </c>
      <c r="AB83">
        <f>SUMIFS('Crosswalk AEO to EPS Summary'!AC:AC,'Crosswalk AEO to EPS Summary'!$C:$C,$B83)*Percent_rural*quadrillion</f>
        <v/>
      </c>
      <c r="AC83">
        <f>SUMIFS('Crosswalk AEO to EPS Summary'!AD:AD,'Crosswalk AEO to EPS Summary'!$C:$C,$B83)*Percent_rural*quadrillion</f>
        <v/>
      </c>
      <c r="AD83">
        <f>SUMIFS('Crosswalk AEO to EPS Summary'!AE:AE,'Crosswalk AEO to EPS Summary'!$C:$C,$B83)*Percent_rural*quadrillion</f>
        <v/>
      </c>
      <c r="AE83">
        <f>SUMIFS('Crosswalk AEO to EPS Summary'!AF:AF,'Crosswalk AEO to EPS Summary'!$C:$C,$B83)*Percent_rural*quadrillion</f>
        <v/>
      </c>
      <c r="AF83">
        <f>SUMIFS('Crosswalk AEO to EPS Summary'!AG:AG,'Crosswalk AEO to EPS Summary'!$C:$C,$B83)*Percent_rural*quadrillion</f>
        <v/>
      </c>
    </row>
    <row r="84">
      <c r="B84" s="53">
        <f>C84&amp;"-"&amp;D84&amp;"-"&amp;E84</f>
        <v/>
      </c>
      <c r="C84" t="inlineStr">
        <is>
          <t>residential</t>
        </is>
      </c>
      <c r="D84" t="inlineStr">
        <is>
          <t>cooling</t>
        </is>
      </c>
      <c r="E84" t="inlineStr">
        <is>
          <t>coal (BTU)</t>
        </is>
      </c>
      <c r="F84" t="n">
        <v>0</v>
      </c>
      <c r="G84" t="n">
        <v>0</v>
      </c>
      <c r="H84" t="n">
        <v>0</v>
      </c>
      <c r="I84" t="n">
        <v>0</v>
      </c>
      <c r="J84" t="n">
        <v>0</v>
      </c>
      <c r="K84" t="n">
        <v>0</v>
      </c>
      <c r="L84" t="n">
        <v>0</v>
      </c>
      <c r="M84" t="n">
        <v>0</v>
      </c>
      <c r="N84" t="n">
        <v>0</v>
      </c>
      <c r="O84" t="n">
        <v>0</v>
      </c>
      <c r="P84" t="n">
        <v>0</v>
      </c>
      <c r="Q84" t="n">
        <v>0</v>
      </c>
      <c r="R84" t="n">
        <v>0</v>
      </c>
      <c r="S84" t="n">
        <v>0</v>
      </c>
      <c r="T84" t="n">
        <v>0</v>
      </c>
      <c r="U84" t="n">
        <v>0</v>
      </c>
      <c r="V84" t="n">
        <v>0</v>
      </c>
      <c r="W84" t="n">
        <v>0</v>
      </c>
      <c r="X84" t="n">
        <v>0</v>
      </c>
      <c r="Y84" t="n">
        <v>0</v>
      </c>
      <c r="Z84" t="n">
        <v>0</v>
      </c>
      <c r="AA84" t="n">
        <v>0</v>
      </c>
      <c r="AB84" t="n">
        <v>0</v>
      </c>
      <c r="AC84" t="n">
        <v>0</v>
      </c>
      <c r="AD84" t="n">
        <v>0</v>
      </c>
      <c r="AE84" t="n">
        <v>0</v>
      </c>
      <c r="AF84" t="n">
        <v>0</v>
      </c>
    </row>
    <row r="85">
      <c r="B85" s="53">
        <f>C85&amp;"-"&amp;D85&amp;"-"&amp;E85</f>
        <v/>
      </c>
      <c r="C85" t="inlineStr">
        <is>
          <t>residential</t>
        </is>
      </c>
      <c r="D85" t="inlineStr">
        <is>
          <t>cooling</t>
        </is>
      </c>
      <c r="E85" t="inlineStr">
        <is>
          <t>natural gas (BTU)</t>
        </is>
      </c>
      <c r="F85">
        <f>SUMIFS('Crosswalk AEO to EPS Summary'!G:G,'Crosswalk AEO to EPS Summary'!$C:$C,$B85)*Percent_rural*quadrillion</f>
        <v/>
      </c>
      <c r="G85">
        <f>SUMIFS('Crosswalk AEO to EPS Summary'!H:H,'Crosswalk AEO to EPS Summary'!$C:$C,$B85)*Percent_rural*quadrillion</f>
        <v/>
      </c>
      <c r="H85">
        <f>SUMIFS('Crosswalk AEO to EPS Summary'!I:I,'Crosswalk AEO to EPS Summary'!$C:$C,$B85)*Percent_rural*quadrillion</f>
        <v/>
      </c>
      <c r="I85">
        <f>SUMIFS('Crosswalk AEO to EPS Summary'!J:J,'Crosswalk AEO to EPS Summary'!$C:$C,$B85)*Percent_rural*quadrillion</f>
        <v/>
      </c>
      <c r="J85">
        <f>SUMIFS('Crosswalk AEO to EPS Summary'!K:K,'Crosswalk AEO to EPS Summary'!$C:$C,$B85)*Percent_rural*quadrillion</f>
        <v/>
      </c>
      <c r="K85">
        <f>SUMIFS('Crosswalk AEO to EPS Summary'!L:L,'Crosswalk AEO to EPS Summary'!$C:$C,$B85)*Percent_rural*quadrillion</f>
        <v/>
      </c>
      <c r="L85">
        <f>SUMIFS('Crosswalk AEO to EPS Summary'!M:M,'Crosswalk AEO to EPS Summary'!$C:$C,$B85)*Percent_rural*quadrillion</f>
        <v/>
      </c>
      <c r="M85">
        <f>SUMIFS('Crosswalk AEO to EPS Summary'!N:N,'Crosswalk AEO to EPS Summary'!$C:$C,$B85)*Percent_rural*quadrillion</f>
        <v/>
      </c>
      <c r="N85">
        <f>SUMIFS('Crosswalk AEO to EPS Summary'!O:O,'Crosswalk AEO to EPS Summary'!$C:$C,$B85)*Percent_rural*quadrillion</f>
        <v/>
      </c>
      <c r="O85">
        <f>SUMIFS('Crosswalk AEO to EPS Summary'!P:P,'Crosswalk AEO to EPS Summary'!$C:$C,$B85)*Percent_rural*quadrillion</f>
        <v/>
      </c>
      <c r="P85">
        <f>SUMIFS('Crosswalk AEO to EPS Summary'!Q:Q,'Crosswalk AEO to EPS Summary'!$C:$C,$B85)*Percent_rural*quadrillion</f>
        <v/>
      </c>
      <c r="Q85">
        <f>SUMIFS('Crosswalk AEO to EPS Summary'!R:R,'Crosswalk AEO to EPS Summary'!$C:$C,$B85)*Percent_rural*quadrillion</f>
        <v/>
      </c>
      <c r="R85">
        <f>SUMIFS('Crosswalk AEO to EPS Summary'!S:S,'Crosswalk AEO to EPS Summary'!$C:$C,$B85)*Percent_rural*quadrillion</f>
        <v/>
      </c>
      <c r="S85">
        <f>SUMIFS('Crosswalk AEO to EPS Summary'!T:T,'Crosswalk AEO to EPS Summary'!$C:$C,$B85)*Percent_rural*quadrillion</f>
        <v/>
      </c>
      <c r="T85">
        <f>SUMIFS('Crosswalk AEO to EPS Summary'!U:U,'Crosswalk AEO to EPS Summary'!$C:$C,$B85)*Percent_rural*quadrillion</f>
        <v/>
      </c>
      <c r="U85">
        <f>SUMIFS('Crosswalk AEO to EPS Summary'!V:V,'Crosswalk AEO to EPS Summary'!$C:$C,$B85)*Percent_rural*quadrillion</f>
        <v/>
      </c>
      <c r="V85">
        <f>SUMIFS('Crosswalk AEO to EPS Summary'!W:W,'Crosswalk AEO to EPS Summary'!$C:$C,$B85)*Percent_rural*quadrillion</f>
        <v/>
      </c>
      <c r="W85">
        <f>SUMIFS('Crosswalk AEO to EPS Summary'!X:X,'Crosswalk AEO to EPS Summary'!$C:$C,$B85)*Percent_rural*quadrillion</f>
        <v/>
      </c>
      <c r="X85">
        <f>SUMIFS('Crosswalk AEO to EPS Summary'!Y:Y,'Crosswalk AEO to EPS Summary'!$C:$C,$B85)*Percent_rural*quadrillion</f>
        <v/>
      </c>
      <c r="Y85">
        <f>SUMIFS('Crosswalk AEO to EPS Summary'!Z:Z,'Crosswalk AEO to EPS Summary'!$C:$C,$B85)*Percent_rural*quadrillion</f>
        <v/>
      </c>
      <c r="Z85">
        <f>SUMIFS('Crosswalk AEO to EPS Summary'!AA:AA,'Crosswalk AEO to EPS Summary'!$C:$C,$B85)*Percent_rural*quadrillion</f>
        <v/>
      </c>
      <c r="AA85">
        <f>SUMIFS('Crosswalk AEO to EPS Summary'!AB:AB,'Crosswalk AEO to EPS Summary'!$C:$C,$B85)*Percent_rural*quadrillion</f>
        <v/>
      </c>
      <c r="AB85">
        <f>SUMIFS('Crosswalk AEO to EPS Summary'!AC:AC,'Crosswalk AEO to EPS Summary'!$C:$C,$B85)*Percent_rural*quadrillion</f>
        <v/>
      </c>
      <c r="AC85">
        <f>SUMIFS('Crosswalk AEO to EPS Summary'!AD:AD,'Crosswalk AEO to EPS Summary'!$C:$C,$B85)*Percent_rural*quadrillion</f>
        <v/>
      </c>
      <c r="AD85">
        <f>SUMIFS('Crosswalk AEO to EPS Summary'!AE:AE,'Crosswalk AEO to EPS Summary'!$C:$C,$B85)*Percent_rural*quadrillion</f>
        <v/>
      </c>
      <c r="AE85">
        <f>SUMIFS('Crosswalk AEO to EPS Summary'!AF:AF,'Crosswalk AEO to EPS Summary'!$C:$C,$B85)*Percent_rural*quadrillion</f>
        <v/>
      </c>
      <c r="AF85">
        <f>SUMIFS('Crosswalk AEO to EPS Summary'!AG:AG,'Crosswalk AEO to EPS Summary'!$C:$C,$B85)*Percent_rural*quadrillion</f>
        <v/>
      </c>
    </row>
    <row r="86">
      <c r="B86" s="53">
        <f>C86&amp;"-"&amp;D86&amp;"-"&amp;E86</f>
        <v/>
      </c>
      <c r="C86" t="inlineStr">
        <is>
          <t>residential</t>
        </is>
      </c>
      <c r="D86" t="inlineStr">
        <is>
          <t>cooling</t>
        </is>
      </c>
      <c r="E86" t="inlineStr">
        <is>
          <t>petroleum diesel (BTU)</t>
        </is>
      </c>
      <c r="F86" t="n">
        <v>0</v>
      </c>
      <c r="G86" t="n">
        <v>0</v>
      </c>
      <c r="H86" t="n">
        <v>0</v>
      </c>
      <c r="I86" t="n">
        <v>0</v>
      </c>
      <c r="J86" t="n">
        <v>0</v>
      </c>
      <c r="K86" t="n">
        <v>0</v>
      </c>
      <c r="L86" t="n">
        <v>0</v>
      </c>
      <c r="M86" t="n">
        <v>0</v>
      </c>
      <c r="N86" t="n">
        <v>0</v>
      </c>
      <c r="O86" t="n">
        <v>0</v>
      </c>
      <c r="P86" t="n">
        <v>0</v>
      </c>
      <c r="Q86" t="n">
        <v>0</v>
      </c>
      <c r="R86" t="n">
        <v>0</v>
      </c>
      <c r="S86" t="n">
        <v>0</v>
      </c>
      <c r="T86" t="n">
        <v>0</v>
      </c>
      <c r="U86" t="n">
        <v>0</v>
      </c>
      <c r="V86" t="n">
        <v>0</v>
      </c>
      <c r="W86" t="n">
        <v>0</v>
      </c>
      <c r="X86" t="n">
        <v>0</v>
      </c>
      <c r="Y86" t="n">
        <v>0</v>
      </c>
      <c r="Z86" t="n">
        <v>0</v>
      </c>
      <c r="AA86" t="n">
        <v>0</v>
      </c>
      <c r="AB86" t="n">
        <v>0</v>
      </c>
      <c r="AC86" t="n">
        <v>0</v>
      </c>
      <c r="AD86" t="n">
        <v>0</v>
      </c>
      <c r="AE86" t="n">
        <v>0</v>
      </c>
      <c r="AF86" t="n">
        <v>0</v>
      </c>
    </row>
    <row r="87">
      <c r="B87" s="53">
        <f>C87&amp;"-"&amp;D87&amp;"-"&amp;E87</f>
        <v/>
      </c>
      <c r="C87" t="inlineStr">
        <is>
          <t>residential</t>
        </is>
      </c>
      <c r="D87" t="inlineStr">
        <is>
          <t>cooling</t>
        </is>
      </c>
      <c r="E87" t="inlineStr">
        <is>
          <t>heat (BTU)</t>
        </is>
      </c>
      <c r="F87" t="n">
        <v>0</v>
      </c>
      <c r="G87" t="n">
        <v>0</v>
      </c>
      <c r="H87" t="n">
        <v>0</v>
      </c>
      <c r="I87" t="n">
        <v>0</v>
      </c>
      <c r="J87" t="n">
        <v>0</v>
      </c>
      <c r="K87" t="n">
        <v>0</v>
      </c>
      <c r="L87" t="n">
        <v>0</v>
      </c>
      <c r="M87" t="n">
        <v>0</v>
      </c>
      <c r="N87" t="n">
        <v>0</v>
      </c>
      <c r="O87" t="n">
        <v>0</v>
      </c>
      <c r="P87" t="n">
        <v>0</v>
      </c>
      <c r="Q87" t="n">
        <v>0</v>
      </c>
      <c r="R87" t="n">
        <v>0</v>
      </c>
      <c r="S87" t="n">
        <v>0</v>
      </c>
      <c r="T87" t="n">
        <v>0</v>
      </c>
      <c r="U87" t="n">
        <v>0</v>
      </c>
      <c r="V87" t="n">
        <v>0</v>
      </c>
      <c r="W87" t="n">
        <v>0</v>
      </c>
      <c r="X87" t="n">
        <v>0</v>
      </c>
      <c r="Y87" t="n">
        <v>0</v>
      </c>
      <c r="Z87" t="n">
        <v>0</v>
      </c>
      <c r="AA87" t="n">
        <v>0</v>
      </c>
      <c r="AB87" t="n">
        <v>0</v>
      </c>
      <c r="AC87" t="n">
        <v>0</v>
      </c>
      <c r="AD87" t="n">
        <v>0</v>
      </c>
      <c r="AE87" t="n">
        <v>0</v>
      </c>
      <c r="AF87" t="n">
        <v>0</v>
      </c>
    </row>
    <row r="88">
      <c r="B88" s="53">
        <f>C88&amp;"-"&amp;D88&amp;"-"&amp;E88</f>
        <v/>
      </c>
      <c r="C88" t="inlineStr">
        <is>
          <t>residential</t>
        </is>
      </c>
      <c r="D88" t="inlineStr">
        <is>
          <t>cooling</t>
        </is>
      </c>
      <c r="E88" t="inlineStr">
        <is>
          <t>biomass (BTU)</t>
        </is>
      </c>
      <c r="F88" t="n">
        <v>0</v>
      </c>
      <c r="G88" t="n">
        <v>0</v>
      </c>
      <c r="H88" t="n">
        <v>0</v>
      </c>
      <c r="I88" t="n">
        <v>0</v>
      </c>
      <c r="J88" t="n">
        <v>0</v>
      </c>
      <c r="K88" t="n">
        <v>0</v>
      </c>
      <c r="L88" t="n">
        <v>0</v>
      </c>
      <c r="M88" t="n">
        <v>0</v>
      </c>
      <c r="N88" t="n">
        <v>0</v>
      </c>
      <c r="O88" t="n">
        <v>0</v>
      </c>
      <c r="P88" t="n">
        <v>0</v>
      </c>
      <c r="Q88" t="n">
        <v>0</v>
      </c>
      <c r="R88" t="n">
        <v>0</v>
      </c>
      <c r="S88" t="n">
        <v>0</v>
      </c>
      <c r="T88" t="n">
        <v>0</v>
      </c>
      <c r="U88" t="n">
        <v>0</v>
      </c>
      <c r="V88" t="n">
        <v>0</v>
      </c>
      <c r="W88" t="n">
        <v>0</v>
      </c>
      <c r="X88" t="n">
        <v>0</v>
      </c>
      <c r="Y88" t="n">
        <v>0</v>
      </c>
      <c r="Z88" t="n">
        <v>0</v>
      </c>
      <c r="AA88" t="n">
        <v>0</v>
      </c>
      <c r="AB88" t="n">
        <v>0</v>
      </c>
      <c r="AC88" t="n">
        <v>0</v>
      </c>
      <c r="AD88" t="n">
        <v>0</v>
      </c>
      <c r="AE88" t="n">
        <v>0</v>
      </c>
      <c r="AF88" t="n">
        <v>0</v>
      </c>
    </row>
    <row r="89">
      <c r="B89" s="53">
        <f>C89&amp;"-"&amp;D89&amp;"-"&amp;E89</f>
        <v/>
      </c>
      <c r="C89" t="inlineStr">
        <is>
          <t>residential</t>
        </is>
      </c>
      <c r="D89" t="inlineStr">
        <is>
          <t>cooling</t>
        </is>
      </c>
      <c r="E89" t="inlineStr">
        <is>
          <t>kerosene (BTU)</t>
        </is>
      </c>
      <c r="F89" t="n">
        <v>0</v>
      </c>
      <c r="G89" t="n">
        <v>0</v>
      </c>
      <c r="H89" t="n">
        <v>0</v>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c r="AF89" t="n">
        <v>0</v>
      </c>
    </row>
    <row r="90">
      <c r="B90" s="53">
        <f>C90&amp;"-"&amp;D90&amp;"-"&amp;E90</f>
        <v/>
      </c>
      <c r="C90" t="inlineStr">
        <is>
          <t>residential</t>
        </is>
      </c>
      <c r="D90" t="inlineStr">
        <is>
          <t>cooling</t>
        </is>
      </c>
      <c r="E90" t="inlineStr">
        <is>
          <t>heavy or residual fuel oil (BTU)</t>
        </is>
      </c>
      <c r="F90" t="n">
        <v>0</v>
      </c>
      <c r="G90" t="n">
        <v>0</v>
      </c>
      <c r="H90" t="n">
        <v>0</v>
      </c>
      <c r="I90" t="n">
        <v>0</v>
      </c>
      <c r="J90" t="n">
        <v>0</v>
      </c>
      <c r="K90" t="n">
        <v>0</v>
      </c>
      <c r="L90" t="n">
        <v>0</v>
      </c>
      <c r="M90" t="n">
        <v>0</v>
      </c>
      <c r="N90" t="n">
        <v>0</v>
      </c>
      <c r="O90" t="n">
        <v>0</v>
      </c>
      <c r="P90" t="n">
        <v>0</v>
      </c>
      <c r="Q90" t="n">
        <v>0</v>
      </c>
      <c r="R90" t="n">
        <v>0</v>
      </c>
      <c r="S90" t="n">
        <v>0</v>
      </c>
      <c r="T90" t="n">
        <v>0</v>
      </c>
      <c r="U90" t="n">
        <v>0</v>
      </c>
      <c r="V90" t="n">
        <v>0</v>
      </c>
      <c r="W90" t="n">
        <v>0</v>
      </c>
      <c r="X90" t="n">
        <v>0</v>
      </c>
      <c r="Y90" t="n">
        <v>0</v>
      </c>
      <c r="Z90" t="n">
        <v>0</v>
      </c>
      <c r="AA90" t="n">
        <v>0</v>
      </c>
      <c r="AB90" t="n">
        <v>0</v>
      </c>
      <c r="AC90" t="n">
        <v>0</v>
      </c>
      <c r="AD90" t="n">
        <v>0</v>
      </c>
      <c r="AE90" t="n">
        <v>0</v>
      </c>
      <c r="AF90" t="n">
        <v>0</v>
      </c>
    </row>
    <row r="91">
      <c r="B91" s="53">
        <f>C91&amp;"-"&amp;D91&amp;"-"&amp;E91</f>
        <v/>
      </c>
      <c r="C91" t="inlineStr">
        <is>
          <t>residential</t>
        </is>
      </c>
      <c r="D91" t="inlineStr">
        <is>
          <t>cooling</t>
        </is>
      </c>
      <c r="E91" t="inlineStr">
        <is>
          <t>LPG propane or butane (BTU)</t>
        </is>
      </c>
      <c r="F91" t="n">
        <v>0</v>
      </c>
      <c r="G91" t="n">
        <v>0</v>
      </c>
      <c r="H91" t="n">
        <v>0</v>
      </c>
      <c r="I91" t="n">
        <v>0</v>
      </c>
      <c r="J91" t="n">
        <v>0</v>
      </c>
      <c r="K91" t="n">
        <v>0</v>
      </c>
      <c r="L91" t="n">
        <v>0</v>
      </c>
      <c r="M91" t="n">
        <v>0</v>
      </c>
      <c r="N91" t="n">
        <v>0</v>
      </c>
      <c r="O91" t="n">
        <v>0</v>
      </c>
      <c r="P91" t="n">
        <v>0</v>
      </c>
      <c r="Q91" t="n">
        <v>0</v>
      </c>
      <c r="R91" t="n">
        <v>0</v>
      </c>
      <c r="S91" t="n">
        <v>0</v>
      </c>
      <c r="T91" t="n">
        <v>0</v>
      </c>
      <c r="U91" t="n">
        <v>0</v>
      </c>
      <c r="V91" t="n">
        <v>0</v>
      </c>
      <c r="W91" t="n">
        <v>0</v>
      </c>
      <c r="X91" t="n">
        <v>0</v>
      </c>
      <c r="Y91" t="n">
        <v>0</v>
      </c>
      <c r="Z91" t="n">
        <v>0</v>
      </c>
      <c r="AA91" t="n">
        <v>0</v>
      </c>
      <c r="AB91" t="n">
        <v>0</v>
      </c>
      <c r="AC91" t="n">
        <v>0</v>
      </c>
      <c r="AD91" t="n">
        <v>0</v>
      </c>
      <c r="AE91" t="n">
        <v>0</v>
      </c>
      <c r="AF91" t="n">
        <v>0</v>
      </c>
    </row>
    <row r="92">
      <c r="B92" s="53">
        <f>C92&amp;"-"&amp;D92&amp;"-"&amp;E92</f>
        <v/>
      </c>
      <c r="C92" t="inlineStr">
        <is>
          <t>residential</t>
        </is>
      </c>
      <c r="D92" t="inlineStr">
        <is>
          <t>cooling</t>
        </is>
      </c>
      <c r="E92" t="inlineStr">
        <is>
          <t>hydrogen (BTU)</t>
        </is>
      </c>
      <c r="F92" t="n">
        <v>0</v>
      </c>
      <c r="G92" t="n">
        <v>0</v>
      </c>
      <c r="H92" t="n">
        <v>0</v>
      </c>
      <c r="I92" t="n">
        <v>0</v>
      </c>
      <c r="J92" t="n">
        <v>0</v>
      </c>
      <c r="K92" t="n">
        <v>0</v>
      </c>
      <c r="L92" t="n">
        <v>0</v>
      </c>
      <c r="M92" t="n">
        <v>0</v>
      </c>
      <c r="N92" t="n">
        <v>0</v>
      </c>
      <c r="O92" t="n">
        <v>0</v>
      </c>
      <c r="P92" t="n">
        <v>0</v>
      </c>
      <c r="Q92" t="n">
        <v>0</v>
      </c>
      <c r="R92" t="n">
        <v>0</v>
      </c>
      <c r="S92" t="n">
        <v>0</v>
      </c>
      <c r="T92" t="n">
        <v>0</v>
      </c>
      <c r="U92" t="n">
        <v>0</v>
      </c>
      <c r="V92" t="n">
        <v>0</v>
      </c>
      <c r="W92" t="n">
        <v>0</v>
      </c>
      <c r="X92" t="n">
        <v>0</v>
      </c>
      <c r="Y92" t="n">
        <v>0</v>
      </c>
      <c r="Z92" t="n">
        <v>0</v>
      </c>
      <c r="AA92" t="n">
        <v>0</v>
      </c>
      <c r="AB92" t="n">
        <v>0</v>
      </c>
      <c r="AC92" t="n">
        <v>0</v>
      </c>
      <c r="AD92" t="n">
        <v>0</v>
      </c>
      <c r="AE92" t="n">
        <v>0</v>
      </c>
      <c r="AF92" t="n">
        <v>0</v>
      </c>
    </row>
    <row r="93"/>
    <row r="94">
      <c r="B94" s="1" t="inlineStr">
        <is>
          <t>BCEU-rural-residential-lighting</t>
        </is>
      </c>
    </row>
    <row r="95">
      <c r="E95" t="inlineStr">
        <is>
          <t>Year</t>
        </is>
      </c>
      <c r="F95" s="1" t="n">
        <v>2024</v>
      </c>
      <c r="G95" s="1" t="n">
        <v>2025</v>
      </c>
      <c r="H95" s="1" t="n">
        <v>2026</v>
      </c>
      <c r="I95" s="1" t="n">
        <v>2027</v>
      </c>
      <c r="J95" s="1" t="n">
        <v>2028</v>
      </c>
      <c r="K95" s="1" t="n">
        <v>2029</v>
      </c>
      <c r="L95" s="1" t="n">
        <v>2030</v>
      </c>
      <c r="M95" s="1" t="n">
        <v>2031</v>
      </c>
      <c r="N95" s="1" t="n">
        <v>2032</v>
      </c>
      <c r="O95" s="1" t="n">
        <v>2033</v>
      </c>
      <c r="P95" s="1" t="n">
        <v>2034</v>
      </c>
      <c r="Q95" s="1" t="n">
        <v>2035</v>
      </c>
      <c r="R95" s="1" t="n">
        <v>2036</v>
      </c>
      <c r="S95" s="1" t="n">
        <v>2037</v>
      </c>
      <c r="T95" s="1" t="n">
        <v>2038</v>
      </c>
      <c r="U95" s="1" t="n">
        <v>2039</v>
      </c>
      <c r="V95" s="1" t="n">
        <v>2040</v>
      </c>
      <c r="W95" s="1" t="n">
        <v>2041</v>
      </c>
      <c r="X95" s="1" t="n">
        <v>2042</v>
      </c>
      <c r="Y95" s="1" t="n">
        <v>2043</v>
      </c>
      <c r="Z95" s="1" t="n">
        <v>2044</v>
      </c>
      <c r="AA95" s="1" t="n">
        <v>2045</v>
      </c>
      <c r="AB95" s="1" t="n">
        <v>2046</v>
      </c>
      <c r="AC95" s="1" t="n">
        <v>2047</v>
      </c>
      <c r="AD95" s="1" t="n">
        <v>2048</v>
      </c>
      <c r="AE95" s="1" t="n">
        <v>2049</v>
      </c>
      <c r="AF95" s="1" t="n">
        <v>2050</v>
      </c>
    </row>
    <row r="96">
      <c r="B96" s="53">
        <f>C96&amp;"-"&amp;D96&amp;"-"&amp;E96</f>
        <v/>
      </c>
      <c r="C96" t="inlineStr">
        <is>
          <t>residential</t>
        </is>
      </c>
      <c r="D96" t="inlineStr">
        <is>
          <t>lighting</t>
        </is>
      </c>
      <c r="E96" t="inlineStr">
        <is>
          <t>electricity (BTU)</t>
        </is>
      </c>
      <c r="F96">
        <f>SUMIFS('Crosswalk AEO to EPS Summary'!G:G,'Crosswalk AEO to EPS Summary'!$C:$C,$B96)*Percent_rural*quadrillion</f>
        <v/>
      </c>
      <c r="G96">
        <f>SUMIFS('Crosswalk AEO to EPS Summary'!H:H,'Crosswalk AEO to EPS Summary'!$C:$C,$B96)*Percent_rural*quadrillion</f>
        <v/>
      </c>
      <c r="H96">
        <f>SUMIFS('Crosswalk AEO to EPS Summary'!I:I,'Crosswalk AEO to EPS Summary'!$C:$C,$B96)*Percent_rural*quadrillion</f>
        <v/>
      </c>
      <c r="I96">
        <f>SUMIFS('Crosswalk AEO to EPS Summary'!J:J,'Crosswalk AEO to EPS Summary'!$C:$C,$B96)*Percent_rural*quadrillion</f>
        <v/>
      </c>
      <c r="J96">
        <f>SUMIFS('Crosswalk AEO to EPS Summary'!K:K,'Crosswalk AEO to EPS Summary'!$C:$C,$B96)*Percent_rural*quadrillion</f>
        <v/>
      </c>
      <c r="K96">
        <f>SUMIFS('Crosswalk AEO to EPS Summary'!L:L,'Crosswalk AEO to EPS Summary'!$C:$C,$B96)*Percent_rural*quadrillion</f>
        <v/>
      </c>
      <c r="L96">
        <f>SUMIFS('Crosswalk AEO to EPS Summary'!M:M,'Crosswalk AEO to EPS Summary'!$C:$C,$B96)*Percent_rural*quadrillion</f>
        <v/>
      </c>
      <c r="M96">
        <f>SUMIFS('Crosswalk AEO to EPS Summary'!N:N,'Crosswalk AEO to EPS Summary'!$C:$C,$B96)*Percent_rural*quadrillion</f>
        <v/>
      </c>
      <c r="N96">
        <f>SUMIFS('Crosswalk AEO to EPS Summary'!O:O,'Crosswalk AEO to EPS Summary'!$C:$C,$B96)*Percent_rural*quadrillion</f>
        <v/>
      </c>
      <c r="O96">
        <f>SUMIFS('Crosswalk AEO to EPS Summary'!P:P,'Crosswalk AEO to EPS Summary'!$C:$C,$B96)*Percent_rural*quadrillion</f>
        <v/>
      </c>
      <c r="P96">
        <f>SUMIFS('Crosswalk AEO to EPS Summary'!Q:Q,'Crosswalk AEO to EPS Summary'!$C:$C,$B96)*Percent_rural*quadrillion</f>
        <v/>
      </c>
      <c r="Q96">
        <f>SUMIFS('Crosswalk AEO to EPS Summary'!R:R,'Crosswalk AEO to EPS Summary'!$C:$C,$B96)*Percent_rural*quadrillion</f>
        <v/>
      </c>
      <c r="R96">
        <f>SUMIFS('Crosswalk AEO to EPS Summary'!S:S,'Crosswalk AEO to EPS Summary'!$C:$C,$B96)*Percent_rural*quadrillion</f>
        <v/>
      </c>
      <c r="S96">
        <f>SUMIFS('Crosswalk AEO to EPS Summary'!T:T,'Crosswalk AEO to EPS Summary'!$C:$C,$B96)*Percent_rural*quadrillion</f>
        <v/>
      </c>
      <c r="T96">
        <f>SUMIFS('Crosswalk AEO to EPS Summary'!U:U,'Crosswalk AEO to EPS Summary'!$C:$C,$B96)*Percent_rural*quadrillion</f>
        <v/>
      </c>
      <c r="U96">
        <f>SUMIFS('Crosswalk AEO to EPS Summary'!V:V,'Crosswalk AEO to EPS Summary'!$C:$C,$B96)*Percent_rural*quadrillion</f>
        <v/>
      </c>
      <c r="V96">
        <f>SUMIFS('Crosswalk AEO to EPS Summary'!W:W,'Crosswalk AEO to EPS Summary'!$C:$C,$B96)*Percent_rural*quadrillion</f>
        <v/>
      </c>
      <c r="W96">
        <f>SUMIFS('Crosswalk AEO to EPS Summary'!X:X,'Crosswalk AEO to EPS Summary'!$C:$C,$B96)*Percent_rural*quadrillion</f>
        <v/>
      </c>
      <c r="X96">
        <f>SUMIFS('Crosswalk AEO to EPS Summary'!Y:Y,'Crosswalk AEO to EPS Summary'!$C:$C,$B96)*Percent_rural*quadrillion</f>
        <v/>
      </c>
      <c r="Y96">
        <f>SUMIFS('Crosswalk AEO to EPS Summary'!Z:Z,'Crosswalk AEO to EPS Summary'!$C:$C,$B96)*Percent_rural*quadrillion</f>
        <v/>
      </c>
      <c r="Z96">
        <f>SUMIFS('Crosswalk AEO to EPS Summary'!AA:AA,'Crosswalk AEO to EPS Summary'!$C:$C,$B96)*Percent_rural*quadrillion</f>
        <v/>
      </c>
      <c r="AA96">
        <f>SUMIFS('Crosswalk AEO to EPS Summary'!AB:AB,'Crosswalk AEO to EPS Summary'!$C:$C,$B96)*Percent_rural*quadrillion</f>
        <v/>
      </c>
      <c r="AB96">
        <f>SUMIFS('Crosswalk AEO to EPS Summary'!AC:AC,'Crosswalk AEO to EPS Summary'!$C:$C,$B96)*Percent_rural*quadrillion</f>
        <v/>
      </c>
      <c r="AC96">
        <f>SUMIFS('Crosswalk AEO to EPS Summary'!AD:AD,'Crosswalk AEO to EPS Summary'!$C:$C,$B96)*Percent_rural*quadrillion</f>
        <v/>
      </c>
      <c r="AD96">
        <f>SUMIFS('Crosswalk AEO to EPS Summary'!AE:AE,'Crosswalk AEO to EPS Summary'!$C:$C,$B96)*Percent_rural*quadrillion</f>
        <v/>
      </c>
      <c r="AE96">
        <f>SUMIFS('Crosswalk AEO to EPS Summary'!AF:AF,'Crosswalk AEO to EPS Summary'!$C:$C,$B96)*Percent_rural*quadrillion</f>
        <v/>
      </c>
      <c r="AF96">
        <f>SUMIFS('Crosswalk AEO to EPS Summary'!AG:AG,'Crosswalk AEO to EPS Summary'!$C:$C,$B96)*Percent_rural*quadrillion</f>
        <v/>
      </c>
    </row>
    <row r="97">
      <c r="B97" s="53">
        <f>C97&amp;"-"&amp;D97&amp;"-"&amp;E97</f>
        <v/>
      </c>
      <c r="C97" t="inlineStr">
        <is>
          <t>residential</t>
        </is>
      </c>
      <c r="D97" t="inlineStr">
        <is>
          <t>lighting</t>
        </is>
      </c>
      <c r="E97" t="inlineStr">
        <is>
          <t>coal (BTU)</t>
        </is>
      </c>
      <c r="F97" t="n">
        <v>0</v>
      </c>
      <c r="G97" t="n">
        <v>0</v>
      </c>
      <c r="H97" t="n">
        <v>0</v>
      </c>
      <c r="I97" t="n">
        <v>0</v>
      </c>
      <c r="J97" t="n">
        <v>0</v>
      </c>
      <c r="K97" t="n">
        <v>0</v>
      </c>
      <c r="L97" t="n">
        <v>0</v>
      </c>
      <c r="M97" t="n">
        <v>0</v>
      </c>
      <c r="N97" t="n">
        <v>0</v>
      </c>
      <c r="O97" t="n">
        <v>0</v>
      </c>
      <c r="P97" t="n">
        <v>0</v>
      </c>
      <c r="Q97" t="n">
        <v>0</v>
      </c>
      <c r="R97" t="n">
        <v>0</v>
      </c>
      <c r="S97" t="n">
        <v>0</v>
      </c>
      <c r="T97" t="n">
        <v>0</v>
      </c>
      <c r="U97" t="n">
        <v>0</v>
      </c>
      <c r="V97" t="n">
        <v>0</v>
      </c>
      <c r="W97" t="n">
        <v>0</v>
      </c>
      <c r="X97" t="n">
        <v>0</v>
      </c>
      <c r="Y97" t="n">
        <v>0</v>
      </c>
      <c r="Z97" t="n">
        <v>0</v>
      </c>
      <c r="AA97" t="n">
        <v>0</v>
      </c>
      <c r="AB97" t="n">
        <v>0</v>
      </c>
      <c r="AC97" t="n">
        <v>0</v>
      </c>
      <c r="AD97" t="n">
        <v>0</v>
      </c>
      <c r="AE97" t="n">
        <v>0</v>
      </c>
      <c r="AF97" t="n">
        <v>0</v>
      </c>
    </row>
    <row r="98">
      <c r="B98" s="53">
        <f>C98&amp;"-"&amp;D98&amp;"-"&amp;E98</f>
        <v/>
      </c>
      <c r="C98" t="inlineStr">
        <is>
          <t>residential</t>
        </is>
      </c>
      <c r="D98" t="inlineStr">
        <is>
          <t>lighting</t>
        </is>
      </c>
      <c r="E98" t="inlineStr">
        <is>
          <t>natural gas (BTU)</t>
        </is>
      </c>
      <c r="F98" t="n">
        <v>0</v>
      </c>
      <c r="G98" t="n">
        <v>0</v>
      </c>
      <c r="H98" t="n">
        <v>0</v>
      </c>
      <c r="I98" t="n">
        <v>0</v>
      </c>
      <c r="J98" t="n">
        <v>0</v>
      </c>
      <c r="K98" t="n">
        <v>0</v>
      </c>
      <c r="L98" t="n">
        <v>0</v>
      </c>
      <c r="M98" t="n">
        <v>0</v>
      </c>
      <c r="N98" t="n">
        <v>0</v>
      </c>
      <c r="O98" t="n">
        <v>0</v>
      </c>
      <c r="P98" t="n">
        <v>0</v>
      </c>
      <c r="Q98" t="n">
        <v>0</v>
      </c>
      <c r="R98" t="n">
        <v>0</v>
      </c>
      <c r="S98" t="n">
        <v>0</v>
      </c>
      <c r="T98" t="n">
        <v>0</v>
      </c>
      <c r="U98" t="n">
        <v>0</v>
      </c>
      <c r="V98" t="n">
        <v>0</v>
      </c>
      <c r="W98" t="n">
        <v>0</v>
      </c>
      <c r="X98" t="n">
        <v>0</v>
      </c>
      <c r="Y98" t="n">
        <v>0</v>
      </c>
      <c r="Z98" t="n">
        <v>0</v>
      </c>
      <c r="AA98" t="n">
        <v>0</v>
      </c>
      <c r="AB98" t="n">
        <v>0</v>
      </c>
      <c r="AC98" t="n">
        <v>0</v>
      </c>
      <c r="AD98" t="n">
        <v>0</v>
      </c>
      <c r="AE98" t="n">
        <v>0</v>
      </c>
      <c r="AF98" t="n">
        <v>0</v>
      </c>
    </row>
    <row r="99">
      <c r="B99" s="53">
        <f>C99&amp;"-"&amp;D99&amp;"-"&amp;E99</f>
        <v/>
      </c>
      <c r="C99" t="inlineStr">
        <is>
          <t>residential</t>
        </is>
      </c>
      <c r="D99" t="inlineStr">
        <is>
          <t>lighting</t>
        </is>
      </c>
      <c r="E99" t="inlineStr">
        <is>
          <t>petroleum diesel (BTU)</t>
        </is>
      </c>
      <c r="F99" t="n">
        <v>0</v>
      </c>
      <c r="G99" t="n">
        <v>0</v>
      </c>
      <c r="H99" t="n">
        <v>0</v>
      </c>
      <c r="I99" t="n">
        <v>0</v>
      </c>
      <c r="J99" t="n">
        <v>0</v>
      </c>
      <c r="K99" t="n">
        <v>0</v>
      </c>
      <c r="L99" t="n">
        <v>0</v>
      </c>
      <c r="M99" t="n">
        <v>0</v>
      </c>
      <c r="N99" t="n">
        <v>0</v>
      </c>
      <c r="O99" t="n">
        <v>0</v>
      </c>
      <c r="P99" t="n">
        <v>0</v>
      </c>
      <c r="Q99" t="n">
        <v>0</v>
      </c>
      <c r="R99" t="n">
        <v>0</v>
      </c>
      <c r="S99" t="n">
        <v>0</v>
      </c>
      <c r="T99" t="n">
        <v>0</v>
      </c>
      <c r="U99" t="n">
        <v>0</v>
      </c>
      <c r="V99" t="n">
        <v>0</v>
      </c>
      <c r="W99" t="n">
        <v>0</v>
      </c>
      <c r="X99" t="n">
        <v>0</v>
      </c>
      <c r="Y99" t="n">
        <v>0</v>
      </c>
      <c r="Z99" t="n">
        <v>0</v>
      </c>
      <c r="AA99" t="n">
        <v>0</v>
      </c>
      <c r="AB99" t="n">
        <v>0</v>
      </c>
      <c r="AC99" t="n">
        <v>0</v>
      </c>
      <c r="AD99" t="n">
        <v>0</v>
      </c>
      <c r="AE99" t="n">
        <v>0</v>
      </c>
      <c r="AF99" t="n">
        <v>0</v>
      </c>
    </row>
    <row r="100">
      <c r="B100" s="53">
        <f>C100&amp;"-"&amp;D100&amp;"-"&amp;E100</f>
        <v/>
      </c>
      <c r="C100" t="inlineStr">
        <is>
          <t>residential</t>
        </is>
      </c>
      <c r="D100" t="inlineStr">
        <is>
          <t>lighting</t>
        </is>
      </c>
      <c r="E100" t="inlineStr">
        <is>
          <t>heat (BTU)</t>
        </is>
      </c>
      <c r="F100" t="n">
        <v>0</v>
      </c>
      <c r="G100" t="n">
        <v>0</v>
      </c>
      <c r="H100" t="n">
        <v>0</v>
      </c>
      <c r="I100" t="n">
        <v>0</v>
      </c>
      <c r="J100" t="n">
        <v>0</v>
      </c>
      <c r="K100" t="n">
        <v>0</v>
      </c>
      <c r="L100" t="n">
        <v>0</v>
      </c>
      <c r="M100" t="n">
        <v>0</v>
      </c>
      <c r="N100" t="n">
        <v>0</v>
      </c>
      <c r="O100" t="n">
        <v>0</v>
      </c>
      <c r="P100" t="n">
        <v>0</v>
      </c>
      <c r="Q100" t="n">
        <v>0</v>
      </c>
      <c r="R100" t="n">
        <v>0</v>
      </c>
      <c r="S100" t="n">
        <v>0</v>
      </c>
      <c r="T100" t="n">
        <v>0</v>
      </c>
      <c r="U100" t="n">
        <v>0</v>
      </c>
      <c r="V100" t="n">
        <v>0</v>
      </c>
      <c r="W100" t="n">
        <v>0</v>
      </c>
      <c r="X100" t="n">
        <v>0</v>
      </c>
      <c r="Y100" t="n">
        <v>0</v>
      </c>
      <c r="Z100" t="n">
        <v>0</v>
      </c>
      <c r="AA100" t="n">
        <v>0</v>
      </c>
      <c r="AB100" t="n">
        <v>0</v>
      </c>
      <c r="AC100" t="n">
        <v>0</v>
      </c>
      <c r="AD100" t="n">
        <v>0</v>
      </c>
      <c r="AE100" t="n">
        <v>0</v>
      </c>
      <c r="AF100" t="n">
        <v>0</v>
      </c>
    </row>
    <row r="101">
      <c r="B101" s="53">
        <f>C101&amp;"-"&amp;D101&amp;"-"&amp;E101</f>
        <v/>
      </c>
      <c r="C101" t="inlineStr">
        <is>
          <t>residential</t>
        </is>
      </c>
      <c r="D101" t="inlineStr">
        <is>
          <t>lighting</t>
        </is>
      </c>
      <c r="E101" t="inlineStr">
        <is>
          <t>biomass (BTU)</t>
        </is>
      </c>
      <c r="F101" t="n">
        <v>0</v>
      </c>
      <c r="G101" t="n">
        <v>0</v>
      </c>
      <c r="H101" t="n">
        <v>0</v>
      </c>
      <c r="I101" t="n">
        <v>0</v>
      </c>
      <c r="J101" t="n">
        <v>0</v>
      </c>
      <c r="K101" t="n">
        <v>0</v>
      </c>
      <c r="L101" t="n">
        <v>0</v>
      </c>
      <c r="M101" t="n">
        <v>0</v>
      </c>
      <c r="N101" t="n">
        <v>0</v>
      </c>
      <c r="O101" t="n">
        <v>0</v>
      </c>
      <c r="P101" t="n">
        <v>0</v>
      </c>
      <c r="Q101" t="n">
        <v>0</v>
      </c>
      <c r="R101" t="n">
        <v>0</v>
      </c>
      <c r="S101" t="n">
        <v>0</v>
      </c>
      <c r="T101" t="n">
        <v>0</v>
      </c>
      <c r="U101" t="n">
        <v>0</v>
      </c>
      <c r="V101" t="n">
        <v>0</v>
      </c>
      <c r="W101" t="n">
        <v>0</v>
      </c>
      <c r="X101" t="n">
        <v>0</v>
      </c>
      <c r="Y101" t="n">
        <v>0</v>
      </c>
      <c r="Z101" t="n">
        <v>0</v>
      </c>
      <c r="AA101" t="n">
        <v>0</v>
      </c>
      <c r="AB101" t="n">
        <v>0</v>
      </c>
      <c r="AC101" t="n">
        <v>0</v>
      </c>
      <c r="AD101" t="n">
        <v>0</v>
      </c>
      <c r="AE101" t="n">
        <v>0</v>
      </c>
      <c r="AF101" t="n">
        <v>0</v>
      </c>
    </row>
    <row r="102">
      <c r="B102" s="53">
        <f>C102&amp;"-"&amp;D102&amp;"-"&amp;E102</f>
        <v/>
      </c>
      <c r="C102" t="inlineStr">
        <is>
          <t>residential</t>
        </is>
      </c>
      <c r="D102" t="inlineStr">
        <is>
          <t>lighting</t>
        </is>
      </c>
      <c r="E102" t="inlineStr">
        <is>
          <t>kerosene (BTU)</t>
        </is>
      </c>
      <c r="F102" t="n">
        <v>0</v>
      </c>
      <c r="G102" t="n">
        <v>0</v>
      </c>
      <c r="H102" t="n">
        <v>0</v>
      </c>
      <c r="I102" t="n">
        <v>0</v>
      </c>
      <c r="J102" t="n">
        <v>0</v>
      </c>
      <c r="K102" t="n">
        <v>0</v>
      </c>
      <c r="L102" t="n">
        <v>0</v>
      </c>
      <c r="M102" t="n">
        <v>0</v>
      </c>
      <c r="N102" t="n">
        <v>0</v>
      </c>
      <c r="O102" t="n">
        <v>0</v>
      </c>
      <c r="P102" t="n">
        <v>0</v>
      </c>
      <c r="Q102" t="n">
        <v>0</v>
      </c>
      <c r="R102" t="n">
        <v>0</v>
      </c>
      <c r="S102" t="n">
        <v>0</v>
      </c>
      <c r="T102" t="n">
        <v>0</v>
      </c>
      <c r="U102" t="n">
        <v>0</v>
      </c>
      <c r="V102" t="n">
        <v>0</v>
      </c>
      <c r="W102" t="n">
        <v>0</v>
      </c>
      <c r="X102" t="n">
        <v>0</v>
      </c>
      <c r="Y102" t="n">
        <v>0</v>
      </c>
      <c r="Z102" t="n">
        <v>0</v>
      </c>
      <c r="AA102" t="n">
        <v>0</v>
      </c>
      <c r="AB102" t="n">
        <v>0</v>
      </c>
      <c r="AC102" t="n">
        <v>0</v>
      </c>
      <c r="AD102" t="n">
        <v>0</v>
      </c>
      <c r="AE102" t="n">
        <v>0</v>
      </c>
      <c r="AF102" t="n">
        <v>0</v>
      </c>
    </row>
    <row r="103">
      <c r="B103" s="53">
        <f>C103&amp;"-"&amp;D103&amp;"-"&amp;E103</f>
        <v/>
      </c>
      <c r="C103" t="inlineStr">
        <is>
          <t>residential</t>
        </is>
      </c>
      <c r="D103" t="inlineStr">
        <is>
          <t>lighting</t>
        </is>
      </c>
      <c r="E103" t="inlineStr">
        <is>
          <t>heavy or residual fuel oil (BTU)</t>
        </is>
      </c>
      <c r="F103" t="n">
        <v>0</v>
      </c>
      <c r="G103" t="n">
        <v>0</v>
      </c>
      <c r="H103" t="n">
        <v>0</v>
      </c>
      <c r="I103" t="n">
        <v>0</v>
      </c>
      <c r="J103" t="n">
        <v>0</v>
      </c>
      <c r="K103" t="n">
        <v>0</v>
      </c>
      <c r="L103" t="n">
        <v>0</v>
      </c>
      <c r="M103" t="n">
        <v>0</v>
      </c>
      <c r="N103" t="n">
        <v>0</v>
      </c>
      <c r="O103" t="n">
        <v>0</v>
      </c>
      <c r="P103" t="n">
        <v>0</v>
      </c>
      <c r="Q103" t="n">
        <v>0</v>
      </c>
      <c r="R103" t="n">
        <v>0</v>
      </c>
      <c r="S103" t="n">
        <v>0</v>
      </c>
      <c r="T103" t="n">
        <v>0</v>
      </c>
      <c r="U103" t="n">
        <v>0</v>
      </c>
      <c r="V103" t="n">
        <v>0</v>
      </c>
      <c r="W103" t="n">
        <v>0</v>
      </c>
      <c r="X103" t="n">
        <v>0</v>
      </c>
      <c r="Y103" t="n">
        <v>0</v>
      </c>
      <c r="Z103" t="n">
        <v>0</v>
      </c>
      <c r="AA103" t="n">
        <v>0</v>
      </c>
      <c r="AB103" t="n">
        <v>0</v>
      </c>
      <c r="AC103" t="n">
        <v>0</v>
      </c>
      <c r="AD103" t="n">
        <v>0</v>
      </c>
      <c r="AE103" t="n">
        <v>0</v>
      </c>
      <c r="AF103" t="n">
        <v>0</v>
      </c>
    </row>
    <row r="104">
      <c r="B104" s="53">
        <f>C104&amp;"-"&amp;D104&amp;"-"&amp;E104</f>
        <v/>
      </c>
      <c r="C104" t="inlineStr">
        <is>
          <t>residential</t>
        </is>
      </c>
      <c r="D104" t="inlineStr">
        <is>
          <t>lighting</t>
        </is>
      </c>
      <c r="E104" t="inlineStr">
        <is>
          <t>LPG propane or butane (BTU)</t>
        </is>
      </c>
      <c r="F104" t="n">
        <v>0</v>
      </c>
      <c r="G104" t="n">
        <v>0</v>
      </c>
      <c r="H104" t="n">
        <v>0</v>
      </c>
      <c r="I104" t="n">
        <v>0</v>
      </c>
      <c r="J104" t="n">
        <v>0</v>
      </c>
      <c r="K104" t="n">
        <v>0</v>
      </c>
      <c r="L104" t="n">
        <v>0</v>
      </c>
      <c r="M104" t="n">
        <v>0</v>
      </c>
      <c r="N104" t="n">
        <v>0</v>
      </c>
      <c r="O104" t="n">
        <v>0</v>
      </c>
      <c r="P104" t="n">
        <v>0</v>
      </c>
      <c r="Q104" t="n">
        <v>0</v>
      </c>
      <c r="R104" t="n">
        <v>0</v>
      </c>
      <c r="S104" t="n">
        <v>0</v>
      </c>
      <c r="T104" t="n">
        <v>0</v>
      </c>
      <c r="U104" t="n">
        <v>0</v>
      </c>
      <c r="V104" t="n">
        <v>0</v>
      </c>
      <c r="W104" t="n">
        <v>0</v>
      </c>
      <c r="X104" t="n">
        <v>0</v>
      </c>
      <c r="Y104" t="n">
        <v>0</v>
      </c>
      <c r="Z104" t="n">
        <v>0</v>
      </c>
      <c r="AA104" t="n">
        <v>0</v>
      </c>
      <c r="AB104" t="n">
        <v>0</v>
      </c>
      <c r="AC104" t="n">
        <v>0</v>
      </c>
      <c r="AD104" t="n">
        <v>0</v>
      </c>
      <c r="AE104" t="n">
        <v>0</v>
      </c>
      <c r="AF104" t="n">
        <v>0</v>
      </c>
    </row>
    <row r="105">
      <c r="B105" s="53">
        <f>C105&amp;"-"&amp;D105&amp;"-"&amp;E105</f>
        <v/>
      </c>
      <c r="C105" t="inlineStr">
        <is>
          <t>residential</t>
        </is>
      </c>
      <c r="D105" t="inlineStr">
        <is>
          <t>lighting</t>
        </is>
      </c>
      <c r="E105" t="inlineStr">
        <is>
          <t>hydrogen (BTU)</t>
        </is>
      </c>
      <c r="F105" t="n">
        <v>0</v>
      </c>
      <c r="G105" t="n">
        <v>0</v>
      </c>
      <c r="H105" t="n">
        <v>0</v>
      </c>
      <c r="I105" t="n">
        <v>0</v>
      </c>
      <c r="J105" t="n">
        <v>0</v>
      </c>
      <c r="K105" t="n">
        <v>0</v>
      </c>
      <c r="L105" t="n">
        <v>0</v>
      </c>
      <c r="M105" t="n">
        <v>0</v>
      </c>
      <c r="N105" t="n">
        <v>0</v>
      </c>
      <c r="O105" t="n">
        <v>0</v>
      </c>
      <c r="P105" t="n">
        <v>0</v>
      </c>
      <c r="Q105" t="n">
        <v>0</v>
      </c>
      <c r="R105" t="n">
        <v>0</v>
      </c>
      <c r="S105" t="n">
        <v>0</v>
      </c>
      <c r="T105" t="n">
        <v>0</v>
      </c>
      <c r="U105" t="n">
        <v>0</v>
      </c>
      <c r="V105" t="n">
        <v>0</v>
      </c>
      <c r="W105" t="n">
        <v>0</v>
      </c>
      <c r="X105" t="n">
        <v>0</v>
      </c>
      <c r="Y105" t="n">
        <v>0</v>
      </c>
      <c r="Z105" t="n">
        <v>0</v>
      </c>
      <c r="AA105" t="n">
        <v>0</v>
      </c>
      <c r="AB105" t="n">
        <v>0</v>
      </c>
      <c r="AC105" t="n">
        <v>0</v>
      </c>
      <c r="AD105" t="n">
        <v>0</v>
      </c>
      <c r="AE105" t="n">
        <v>0</v>
      </c>
      <c r="AF105" t="n">
        <v>0</v>
      </c>
    </row>
    <row r="106"/>
    <row r="107">
      <c r="B107" s="1" t="inlineStr">
        <is>
          <t>BCEU-rural-residential-appl</t>
        </is>
      </c>
    </row>
    <row r="108">
      <c r="E108" t="inlineStr">
        <is>
          <t>Year</t>
        </is>
      </c>
      <c r="F108" s="1" t="n">
        <v>2024</v>
      </c>
      <c r="G108" s="1" t="n">
        <v>2025</v>
      </c>
      <c r="H108" s="1" t="n">
        <v>2026</v>
      </c>
      <c r="I108" s="1" t="n">
        <v>2027</v>
      </c>
      <c r="J108" s="1" t="n">
        <v>2028</v>
      </c>
      <c r="K108" s="1" t="n">
        <v>2029</v>
      </c>
      <c r="L108" s="1" t="n">
        <v>2030</v>
      </c>
      <c r="M108" s="1" t="n">
        <v>2031</v>
      </c>
      <c r="N108" s="1" t="n">
        <v>2032</v>
      </c>
      <c r="O108" s="1" t="n">
        <v>2033</v>
      </c>
      <c r="P108" s="1" t="n">
        <v>2034</v>
      </c>
      <c r="Q108" s="1" t="n">
        <v>2035</v>
      </c>
      <c r="R108" s="1" t="n">
        <v>2036</v>
      </c>
      <c r="S108" s="1" t="n">
        <v>2037</v>
      </c>
      <c r="T108" s="1" t="n">
        <v>2038</v>
      </c>
      <c r="U108" s="1" t="n">
        <v>2039</v>
      </c>
      <c r="V108" s="1" t="n">
        <v>2040</v>
      </c>
      <c r="W108" s="1" t="n">
        <v>2041</v>
      </c>
      <c r="X108" s="1" t="n">
        <v>2042</v>
      </c>
      <c r="Y108" s="1" t="n">
        <v>2043</v>
      </c>
      <c r="Z108" s="1" t="n">
        <v>2044</v>
      </c>
      <c r="AA108" s="1" t="n">
        <v>2045</v>
      </c>
      <c r="AB108" s="1" t="n">
        <v>2046</v>
      </c>
      <c r="AC108" s="1" t="n">
        <v>2047</v>
      </c>
      <c r="AD108" s="1" t="n">
        <v>2048</v>
      </c>
      <c r="AE108" s="1" t="n">
        <v>2049</v>
      </c>
      <c r="AF108" s="1" t="n">
        <v>2050</v>
      </c>
    </row>
    <row r="109">
      <c r="B109" s="53">
        <f>C109&amp;"-"&amp;D109&amp;"-"&amp;E109</f>
        <v/>
      </c>
      <c r="C109" t="inlineStr">
        <is>
          <t>residential</t>
        </is>
      </c>
      <c r="D109" t="inlineStr">
        <is>
          <t>appliances</t>
        </is>
      </c>
      <c r="E109" t="inlineStr">
        <is>
          <t>electricity (BTU)</t>
        </is>
      </c>
      <c r="F109">
        <f>SUMIFS('Crosswalk AEO to EPS Summary'!G:G,'Crosswalk AEO to EPS Summary'!$C:$C,$B109)*Percent_rural*quadrillion</f>
        <v/>
      </c>
      <c r="G109">
        <f>SUMIFS('Crosswalk AEO to EPS Summary'!H:H,'Crosswalk AEO to EPS Summary'!$C:$C,$B109)*Percent_rural*quadrillion</f>
        <v/>
      </c>
      <c r="H109">
        <f>SUMIFS('Crosswalk AEO to EPS Summary'!I:I,'Crosswalk AEO to EPS Summary'!$C:$C,$B109)*Percent_rural*quadrillion</f>
        <v/>
      </c>
      <c r="I109">
        <f>SUMIFS('Crosswalk AEO to EPS Summary'!J:J,'Crosswalk AEO to EPS Summary'!$C:$C,$B109)*Percent_rural*quadrillion</f>
        <v/>
      </c>
      <c r="J109">
        <f>SUMIFS('Crosswalk AEO to EPS Summary'!K:K,'Crosswalk AEO to EPS Summary'!$C:$C,$B109)*Percent_rural*quadrillion</f>
        <v/>
      </c>
      <c r="K109">
        <f>SUMIFS('Crosswalk AEO to EPS Summary'!L:L,'Crosswalk AEO to EPS Summary'!$C:$C,$B109)*Percent_rural*quadrillion</f>
        <v/>
      </c>
      <c r="L109">
        <f>SUMIFS('Crosswalk AEO to EPS Summary'!M:M,'Crosswalk AEO to EPS Summary'!$C:$C,$B109)*Percent_rural*quadrillion</f>
        <v/>
      </c>
      <c r="M109">
        <f>SUMIFS('Crosswalk AEO to EPS Summary'!N:N,'Crosswalk AEO to EPS Summary'!$C:$C,$B109)*Percent_rural*quadrillion</f>
        <v/>
      </c>
      <c r="N109">
        <f>SUMIFS('Crosswalk AEO to EPS Summary'!O:O,'Crosswalk AEO to EPS Summary'!$C:$C,$B109)*Percent_rural*quadrillion</f>
        <v/>
      </c>
      <c r="O109">
        <f>SUMIFS('Crosswalk AEO to EPS Summary'!P:P,'Crosswalk AEO to EPS Summary'!$C:$C,$B109)*Percent_rural*quadrillion</f>
        <v/>
      </c>
      <c r="P109">
        <f>SUMIFS('Crosswalk AEO to EPS Summary'!Q:Q,'Crosswalk AEO to EPS Summary'!$C:$C,$B109)*Percent_rural*quadrillion</f>
        <v/>
      </c>
      <c r="Q109">
        <f>SUMIFS('Crosswalk AEO to EPS Summary'!R:R,'Crosswalk AEO to EPS Summary'!$C:$C,$B109)*Percent_rural*quadrillion</f>
        <v/>
      </c>
      <c r="R109">
        <f>SUMIFS('Crosswalk AEO to EPS Summary'!S:S,'Crosswalk AEO to EPS Summary'!$C:$C,$B109)*Percent_rural*quadrillion</f>
        <v/>
      </c>
      <c r="S109">
        <f>SUMIFS('Crosswalk AEO to EPS Summary'!T:T,'Crosswalk AEO to EPS Summary'!$C:$C,$B109)*Percent_rural*quadrillion</f>
        <v/>
      </c>
      <c r="T109">
        <f>SUMIFS('Crosswalk AEO to EPS Summary'!U:U,'Crosswalk AEO to EPS Summary'!$C:$C,$B109)*Percent_rural*quadrillion</f>
        <v/>
      </c>
      <c r="U109">
        <f>SUMIFS('Crosswalk AEO to EPS Summary'!V:V,'Crosswalk AEO to EPS Summary'!$C:$C,$B109)*Percent_rural*quadrillion</f>
        <v/>
      </c>
      <c r="V109">
        <f>SUMIFS('Crosswalk AEO to EPS Summary'!W:W,'Crosswalk AEO to EPS Summary'!$C:$C,$B109)*Percent_rural*quadrillion</f>
        <v/>
      </c>
      <c r="W109">
        <f>SUMIFS('Crosswalk AEO to EPS Summary'!X:X,'Crosswalk AEO to EPS Summary'!$C:$C,$B109)*Percent_rural*quadrillion</f>
        <v/>
      </c>
      <c r="X109">
        <f>SUMIFS('Crosswalk AEO to EPS Summary'!Y:Y,'Crosswalk AEO to EPS Summary'!$C:$C,$B109)*Percent_rural*quadrillion</f>
        <v/>
      </c>
      <c r="Y109">
        <f>SUMIFS('Crosswalk AEO to EPS Summary'!Z:Z,'Crosswalk AEO to EPS Summary'!$C:$C,$B109)*Percent_rural*quadrillion</f>
        <v/>
      </c>
      <c r="Z109">
        <f>SUMIFS('Crosswalk AEO to EPS Summary'!AA:AA,'Crosswalk AEO to EPS Summary'!$C:$C,$B109)*Percent_rural*quadrillion</f>
        <v/>
      </c>
      <c r="AA109">
        <f>SUMIFS('Crosswalk AEO to EPS Summary'!AB:AB,'Crosswalk AEO to EPS Summary'!$C:$C,$B109)*Percent_rural*quadrillion</f>
        <v/>
      </c>
      <c r="AB109">
        <f>SUMIFS('Crosswalk AEO to EPS Summary'!AC:AC,'Crosswalk AEO to EPS Summary'!$C:$C,$B109)*Percent_rural*quadrillion</f>
        <v/>
      </c>
      <c r="AC109">
        <f>SUMIFS('Crosswalk AEO to EPS Summary'!AD:AD,'Crosswalk AEO to EPS Summary'!$C:$C,$B109)*Percent_rural*quadrillion</f>
        <v/>
      </c>
      <c r="AD109">
        <f>SUMIFS('Crosswalk AEO to EPS Summary'!AE:AE,'Crosswalk AEO to EPS Summary'!$C:$C,$B109)*Percent_rural*quadrillion</f>
        <v/>
      </c>
      <c r="AE109">
        <f>SUMIFS('Crosswalk AEO to EPS Summary'!AF:AF,'Crosswalk AEO to EPS Summary'!$C:$C,$B109)*Percent_rural*quadrillion</f>
        <v/>
      </c>
      <c r="AF109">
        <f>SUMIFS('Crosswalk AEO to EPS Summary'!AG:AG,'Crosswalk AEO to EPS Summary'!$C:$C,$B109)*Percent_rural*quadrillion</f>
        <v/>
      </c>
    </row>
    <row r="110">
      <c r="B110" s="53">
        <f>C110&amp;"-"&amp;D110&amp;"-"&amp;E110</f>
        <v/>
      </c>
      <c r="C110" t="inlineStr">
        <is>
          <t>residential</t>
        </is>
      </c>
      <c r="D110" t="inlineStr">
        <is>
          <t>appliances</t>
        </is>
      </c>
      <c r="E110" t="inlineStr">
        <is>
          <t>coal (BTU)</t>
        </is>
      </c>
      <c r="F110" t="n">
        <v>0</v>
      </c>
      <c r="G110" t="n">
        <v>0</v>
      </c>
      <c r="H110" t="n">
        <v>0</v>
      </c>
      <c r="I110" t="n">
        <v>0</v>
      </c>
      <c r="J110" t="n">
        <v>0</v>
      </c>
      <c r="K110" t="n">
        <v>0</v>
      </c>
      <c r="L110" t="n">
        <v>0</v>
      </c>
      <c r="M110" t="n">
        <v>0</v>
      </c>
      <c r="N110" t="n">
        <v>0</v>
      </c>
      <c r="O110" t="n">
        <v>0</v>
      </c>
      <c r="P110" t="n">
        <v>0</v>
      </c>
      <c r="Q110" t="n">
        <v>0</v>
      </c>
      <c r="R110" t="n">
        <v>0</v>
      </c>
      <c r="S110" t="n">
        <v>0</v>
      </c>
      <c r="T110" t="n">
        <v>0</v>
      </c>
      <c r="U110" t="n">
        <v>0</v>
      </c>
      <c r="V110" t="n">
        <v>0</v>
      </c>
      <c r="W110" t="n">
        <v>0</v>
      </c>
      <c r="X110" t="n">
        <v>0</v>
      </c>
      <c r="Y110" t="n">
        <v>0</v>
      </c>
      <c r="Z110" t="n">
        <v>0</v>
      </c>
      <c r="AA110" t="n">
        <v>0</v>
      </c>
      <c r="AB110" t="n">
        <v>0</v>
      </c>
      <c r="AC110" t="n">
        <v>0</v>
      </c>
      <c r="AD110" t="n">
        <v>0</v>
      </c>
      <c r="AE110" t="n">
        <v>0</v>
      </c>
      <c r="AF110" t="n">
        <v>0</v>
      </c>
    </row>
    <row r="111">
      <c r="B111" s="53">
        <f>C111&amp;"-"&amp;D111&amp;"-"&amp;E111</f>
        <v/>
      </c>
      <c r="C111" t="inlineStr">
        <is>
          <t>residential</t>
        </is>
      </c>
      <c r="D111" t="inlineStr">
        <is>
          <t>appliances</t>
        </is>
      </c>
      <c r="E111" t="inlineStr">
        <is>
          <t>natural gas (BTU)</t>
        </is>
      </c>
      <c r="F111">
        <f>SUMIFS('Crosswalk AEO to EPS Summary'!G:G,'Crosswalk AEO to EPS Summary'!$C:$C,$B111)*Percent_rural*quadrillion</f>
        <v/>
      </c>
      <c r="G111">
        <f>SUMIFS('Crosswalk AEO to EPS Summary'!H:H,'Crosswalk AEO to EPS Summary'!$C:$C,$B111)*Percent_rural*quadrillion</f>
        <v/>
      </c>
      <c r="H111">
        <f>SUMIFS('Crosswalk AEO to EPS Summary'!I:I,'Crosswalk AEO to EPS Summary'!$C:$C,$B111)*Percent_rural*quadrillion</f>
        <v/>
      </c>
      <c r="I111">
        <f>SUMIFS('Crosswalk AEO to EPS Summary'!J:J,'Crosswalk AEO to EPS Summary'!$C:$C,$B111)*Percent_rural*quadrillion</f>
        <v/>
      </c>
      <c r="J111">
        <f>SUMIFS('Crosswalk AEO to EPS Summary'!K:K,'Crosswalk AEO to EPS Summary'!$C:$C,$B111)*Percent_rural*quadrillion</f>
        <v/>
      </c>
      <c r="K111">
        <f>SUMIFS('Crosswalk AEO to EPS Summary'!L:L,'Crosswalk AEO to EPS Summary'!$C:$C,$B111)*Percent_rural*quadrillion</f>
        <v/>
      </c>
      <c r="L111">
        <f>SUMIFS('Crosswalk AEO to EPS Summary'!M:M,'Crosswalk AEO to EPS Summary'!$C:$C,$B111)*Percent_rural*quadrillion</f>
        <v/>
      </c>
      <c r="M111">
        <f>SUMIFS('Crosswalk AEO to EPS Summary'!N:N,'Crosswalk AEO to EPS Summary'!$C:$C,$B111)*Percent_rural*quadrillion</f>
        <v/>
      </c>
      <c r="N111">
        <f>SUMIFS('Crosswalk AEO to EPS Summary'!O:O,'Crosswalk AEO to EPS Summary'!$C:$C,$B111)*Percent_rural*quadrillion</f>
        <v/>
      </c>
      <c r="O111">
        <f>SUMIFS('Crosswalk AEO to EPS Summary'!P:P,'Crosswalk AEO to EPS Summary'!$C:$C,$B111)*Percent_rural*quadrillion</f>
        <v/>
      </c>
      <c r="P111">
        <f>SUMIFS('Crosswalk AEO to EPS Summary'!Q:Q,'Crosswalk AEO to EPS Summary'!$C:$C,$B111)*Percent_rural*quadrillion</f>
        <v/>
      </c>
      <c r="Q111">
        <f>SUMIFS('Crosswalk AEO to EPS Summary'!R:R,'Crosswalk AEO to EPS Summary'!$C:$C,$B111)*Percent_rural*quadrillion</f>
        <v/>
      </c>
      <c r="R111">
        <f>SUMIFS('Crosswalk AEO to EPS Summary'!S:S,'Crosswalk AEO to EPS Summary'!$C:$C,$B111)*Percent_rural*quadrillion</f>
        <v/>
      </c>
      <c r="S111">
        <f>SUMIFS('Crosswalk AEO to EPS Summary'!T:T,'Crosswalk AEO to EPS Summary'!$C:$C,$B111)*Percent_rural*quadrillion</f>
        <v/>
      </c>
      <c r="T111">
        <f>SUMIFS('Crosswalk AEO to EPS Summary'!U:U,'Crosswalk AEO to EPS Summary'!$C:$C,$B111)*Percent_rural*quadrillion</f>
        <v/>
      </c>
      <c r="U111">
        <f>SUMIFS('Crosswalk AEO to EPS Summary'!V:V,'Crosswalk AEO to EPS Summary'!$C:$C,$B111)*Percent_rural*quadrillion</f>
        <v/>
      </c>
      <c r="V111">
        <f>SUMIFS('Crosswalk AEO to EPS Summary'!W:W,'Crosswalk AEO to EPS Summary'!$C:$C,$B111)*Percent_rural*quadrillion</f>
        <v/>
      </c>
      <c r="W111">
        <f>SUMIFS('Crosswalk AEO to EPS Summary'!X:X,'Crosswalk AEO to EPS Summary'!$C:$C,$B111)*Percent_rural*quadrillion</f>
        <v/>
      </c>
      <c r="X111">
        <f>SUMIFS('Crosswalk AEO to EPS Summary'!Y:Y,'Crosswalk AEO to EPS Summary'!$C:$C,$B111)*Percent_rural*quadrillion</f>
        <v/>
      </c>
      <c r="Y111">
        <f>SUMIFS('Crosswalk AEO to EPS Summary'!Z:Z,'Crosswalk AEO to EPS Summary'!$C:$C,$B111)*Percent_rural*quadrillion</f>
        <v/>
      </c>
      <c r="Z111">
        <f>SUMIFS('Crosswalk AEO to EPS Summary'!AA:AA,'Crosswalk AEO to EPS Summary'!$C:$C,$B111)*Percent_rural*quadrillion</f>
        <v/>
      </c>
      <c r="AA111">
        <f>SUMIFS('Crosswalk AEO to EPS Summary'!AB:AB,'Crosswalk AEO to EPS Summary'!$C:$C,$B111)*Percent_rural*quadrillion</f>
        <v/>
      </c>
      <c r="AB111">
        <f>SUMIFS('Crosswalk AEO to EPS Summary'!AC:AC,'Crosswalk AEO to EPS Summary'!$C:$C,$B111)*Percent_rural*quadrillion</f>
        <v/>
      </c>
      <c r="AC111">
        <f>SUMIFS('Crosswalk AEO to EPS Summary'!AD:AD,'Crosswalk AEO to EPS Summary'!$C:$C,$B111)*Percent_rural*quadrillion</f>
        <v/>
      </c>
      <c r="AD111">
        <f>SUMIFS('Crosswalk AEO to EPS Summary'!AE:AE,'Crosswalk AEO to EPS Summary'!$C:$C,$B111)*Percent_rural*quadrillion</f>
        <v/>
      </c>
      <c r="AE111">
        <f>SUMIFS('Crosswalk AEO to EPS Summary'!AF:AF,'Crosswalk AEO to EPS Summary'!$C:$C,$B111)*Percent_rural*quadrillion</f>
        <v/>
      </c>
      <c r="AF111">
        <f>SUMIFS('Crosswalk AEO to EPS Summary'!AG:AG,'Crosswalk AEO to EPS Summary'!$C:$C,$B111)*Percent_rural*quadrillion</f>
        <v/>
      </c>
    </row>
    <row r="112">
      <c r="B112" s="53">
        <f>C112&amp;"-"&amp;D112&amp;"-"&amp;E112</f>
        <v/>
      </c>
      <c r="C112" t="inlineStr">
        <is>
          <t>residential</t>
        </is>
      </c>
      <c r="D112" t="inlineStr">
        <is>
          <t>appliances</t>
        </is>
      </c>
      <c r="E112" t="inlineStr">
        <is>
          <t>petroleum diesel (BTU)</t>
        </is>
      </c>
      <c r="F112">
        <f>SUMIFS('Crosswalk AEO to EPS Summary'!G:G,'Crosswalk AEO to EPS Summary'!$C:$C,$B112)*Percent_rural*quadrillion</f>
        <v/>
      </c>
      <c r="G112">
        <f>SUMIFS('Crosswalk AEO to EPS Summary'!H:H,'Crosswalk AEO to EPS Summary'!$C:$C,$B112)*Percent_rural*quadrillion</f>
        <v/>
      </c>
      <c r="H112">
        <f>SUMIFS('Crosswalk AEO to EPS Summary'!I:I,'Crosswalk AEO to EPS Summary'!$C:$C,$B112)*Percent_rural*quadrillion</f>
        <v/>
      </c>
      <c r="I112">
        <f>SUMIFS('Crosswalk AEO to EPS Summary'!J:J,'Crosswalk AEO to EPS Summary'!$C:$C,$B112)*Percent_rural*quadrillion</f>
        <v/>
      </c>
      <c r="J112">
        <f>SUMIFS('Crosswalk AEO to EPS Summary'!K:K,'Crosswalk AEO to EPS Summary'!$C:$C,$B112)*Percent_rural*quadrillion</f>
        <v/>
      </c>
      <c r="K112">
        <f>SUMIFS('Crosswalk AEO to EPS Summary'!L:L,'Crosswalk AEO to EPS Summary'!$C:$C,$B112)*Percent_rural*quadrillion</f>
        <v/>
      </c>
      <c r="L112">
        <f>SUMIFS('Crosswalk AEO to EPS Summary'!M:M,'Crosswalk AEO to EPS Summary'!$C:$C,$B112)*Percent_rural*quadrillion</f>
        <v/>
      </c>
      <c r="M112">
        <f>SUMIFS('Crosswalk AEO to EPS Summary'!N:N,'Crosswalk AEO to EPS Summary'!$C:$C,$B112)*Percent_rural*quadrillion</f>
        <v/>
      </c>
      <c r="N112">
        <f>SUMIFS('Crosswalk AEO to EPS Summary'!O:O,'Crosswalk AEO to EPS Summary'!$C:$C,$B112)*Percent_rural*quadrillion</f>
        <v/>
      </c>
      <c r="O112">
        <f>SUMIFS('Crosswalk AEO to EPS Summary'!P:P,'Crosswalk AEO to EPS Summary'!$C:$C,$B112)*Percent_rural*quadrillion</f>
        <v/>
      </c>
      <c r="P112">
        <f>SUMIFS('Crosswalk AEO to EPS Summary'!Q:Q,'Crosswalk AEO to EPS Summary'!$C:$C,$B112)*Percent_rural*quadrillion</f>
        <v/>
      </c>
      <c r="Q112">
        <f>SUMIFS('Crosswalk AEO to EPS Summary'!R:R,'Crosswalk AEO to EPS Summary'!$C:$C,$B112)*Percent_rural*quadrillion</f>
        <v/>
      </c>
      <c r="R112">
        <f>SUMIFS('Crosswalk AEO to EPS Summary'!S:S,'Crosswalk AEO to EPS Summary'!$C:$C,$B112)*Percent_rural*quadrillion</f>
        <v/>
      </c>
      <c r="S112">
        <f>SUMIFS('Crosswalk AEO to EPS Summary'!T:T,'Crosswalk AEO to EPS Summary'!$C:$C,$B112)*Percent_rural*quadrillion</f>
        <v/>
      </c>
      <c r="T112">
        <f>SUMIFS('Crosswalk AEO to EPS Summary'!U:U,'Crosswalk AEO to EPS Summary'!$C:$C,$B112)*Percent_rural*quadrillion</f>
        <v/>
      </c>
      <c r="U112">
        <f>SUMIFS('Crosswalk AEO to EPS Summary'!V:V,'Crosswalk AEO to EPS Summary'!$C:$C,$B112)*Percent_rural*quadrillion</f>
        <v/>
      </c>
      <c r="V112">
        <f>SUMIFS('Crosswalk AEO to EPS Summary'!W:W,'Crosswalk AEO to EPS Summary'!$C:$C,$B112)*Percent_rural*quadrillion</f>
        <v/>
      </c>
      <c r="W112">
        <f>SUMIFS('Crosswalk AEO to EPS Summary'!X:X,'Crosswalk AEO to EPS Summary'!$C:$C,$B112)*Percent_rural*quadrillion</f>
        <v/>
      </c>
      <c r="X112">
        <f>SUMIFS('Crosswalk AEO to EPS Summary'!Y:Y,'Crosswalk AEO to EPS Summary'!$C:$C,$B112)*Percent_rural*quadrillion</f>
        <v/>
      </c>
      <c r="Y112">
        <f>SUMIFS('Crosswalk AEO to EPS Summary'!Z:Z,'Crosswalk AEO to EPS Summary'!$C:$C,$B112)*Percent_rural*quadrillion</f>
        <v/>
      </c>
      <c r="Z112">
        <f>SUMIFS('Crosswalk AEO to EPS Summary'!AA:AA,'Crosswalk AEO to EPS Summary'!$C:$C,$B112)*Percent_rural*quadrillion</f>
        <v/>
      </c>
      <c r="AA112">
        <f>SUMIFS('Crosswalk AEO to EPS Summary'!AB:AB,'Crosswalk AEO to EPS Summary'!$C:$C,$B112)*Percent_rural*quadrillion</f>
        <v/>
      </c>
      <c r="AB112">
        <f>SUMIFS('Crosswalk AEO to EPS Summary'!AC:AC,'Crosswalk AEO to EPS Summary'!$C:$C,$B112)*Percent_rural*quadrillion</f>
        <v/>
      </c>
      <c r="AC112">
        <f>SUMIFS('Crosswalk AEO to EPS Summary'!AD:AD,'Crosswalk AEO to EPS Summary'!$C:$C,$B112)*Percent_rural*quadrillion</f>
        <v/>
      </c>
      <c r="AD112">
        <f>SUMIFS('Crosswalk AEO to EPS Summary'!AE:AE,'Crosswalk AEO to EPS Summary'!$C:$C,$B112)*Percent_rural*quadrillion</f>
        <v/>
      </c>
      <c r="AE112">
        <f>SUMIFS('Crosswalk AEO to EPS Summary'!AF:AF,'Crosswalk AEO to EPS Summary'!$C:$C,$B112)*Percent_rural*quadrillion</f>
        <v/>
      </c>
      <c r="AF112">
        <f>SUMIFS('Crosswalk AEO to EPS Summary'!AG:AG,'Crosswalk AEO to EPS Summary'!$C:$C,$B112)*Percent_rural*quadrillion</f>
        <v/>
      </c>
    </row>
    <row r="113">
      <c r="B113" s="53">
        <f>C113&amp;"-"&amp;D113&amp;"-"&amp;E113</f>
        <v/>
      </c>
      <c r="C113" t="inlineStr">
        <is>
          <t>residential</t>
        </is>
      </c>
      <c r="D113" t="inlineStr">
        <is>
          <t>appliances</t>
        </is>
      </c>
      <c r="E113" t="inlineStr">
        <is>
          <t>heat (BTU)</t>
        </is>
      </c>
      <c r="F113" t="n">
        <v>0</v>
      </c>
      <c r="G113" t="n">
        <v>0</v>
      </c>
      <c r="H113" t="n">
        <v>0</v>
      </c>
      <c r="I113" t="n">
        <v>0</v>
      </c>
      <c r="J113" t="n">
        <v>0</v>
      </c>
      <c r="K113" t="n">
        <v>0</v>
      </c>
      <c r="L113" t="n">
        <v>0</v>
      </c>
      <c r="M113" t="n">
        <v>0</v>
      </c>
      <c r="N113" t="n">
        <v>0</v>
      </c>
      <c r="O113" t="n">
        <v>0</v>
      </c>
      <c r="P113" t="n">
        <v>0</v>
      </c>
      <c r="Q113" t="n">
        <v>0</v>
      </c>
      <c r="R113" t="n">
        <v>0</v>
      </c>
      <c r="S113" t="n">
        <v>0</v>
      </c>
      <c r="T113" t="n">
        <v>0</v>
      </c>
      <c r="U113" t="n">
        <v>0</v>
      </c>
      <c r="V113" t="n">
        <v>0</v>
      </c>
      <c r="W113" t="n">
        <v>0</v>
      </c>
      <c r="X113" t="n">
        <v>0</v>
      </c>
      <c r="Y113" t="n">
        <v>0</v>
      </c>
      <c r="Z113" t="n">
        <v>0</v>
      </c>
      <c r="AA113" t="n">
        <v>0</v>
      </c>
      <c r="AB113" t="n">
        <v>0</v>
      </c>
      <c r="AC113" t="n">
        <v>0</v>
      </c>
      <c r="AD113" t="n">
        <v>0</v>
      </c>
      <c r="AE113" t="n">
        <v>0</v>
      </c>
      <c r="AF113" t="n">
        <v>0</v>
      </c>
    </row>
    <row r="114">
      <c r="B114" s="53">
        <f>C114&amp;"-"&amp;D114&amp;"-"&amp;E114</f>
        <v/>
      </c>
      <c r="C114" t="inlineStr">
        <is>
          <t>residential</t>
        </is>
      </c>
      <c r="D114" t="inlineStr">
        <is>
          <t>appliances</t>
        </is>
      </c>
      <c r="E114" t="inlineStr">
        <is>
          <t>biomass (BTU)</t>
        </is>
      </c>
      <c r="F114" t="n">
        <v>0</v>
      </c>
      <c r="G114" t="n">
        <v>0</v>
      </c>
      <c r="H114" t="n">
        <v>0</v>
      </c>
      <c r="I114" t="n">
        <v>0</v>
      </c>
      <c r="J114" t="n">
        <v>0</v>
      </c>
      <c r="K114" t="n">
        <v>0</v>
      </c>
      <c r="L114" t="n">
        <v>0</v>
      </c>
      <c r="M114" t="n">
        <v>0</v>
      </c>
      <c r="N114" t="n">
        <v>0</v>
      </c>
      <c r="O114" t="n">
        <v>0</v>
      </c>
      <c r="P114" t="n">
        <v>0</v>
      </c>
      <c r="Q114" t="n">
        <v>0</v>
      </c>
      <c r="R114" t="n">
        <v>0</v>
      </c>
      <c r="S114" t="n">
        <v>0</v>
      </c>
      <c r="T114" t="n">
        <v>0</v>
      </c>
      <c r="U114" t="n">
        <v>0</v>
      </c>
      <c r="V114" t="n">
        <v>0</v>
      </c>
      <c r="W114" t="n">
        <v>0</v>
      </c>
      <c r="X114" t="n">
        <v>0</v>
      </c>
      <c r="Y114" t="n">
        <v>0</v>
      </c>
      <c r="Z114" t="n">
        <v>0</v>
      </c>
      <c r="AA114" t="n">
        <v>0</v>
      </c>
      <c r="AB114" t="n">
        <v>0</v>
      </c>
      <c r="AC114" t="n">
        <v>0</v>
      </c>
      <c r="AD114" t="n">
        <v>0</v>
      </c>
      <c r="AE114" t="n">
        <v>0</v>
      </c>
      <c r="AF114" t="n">
        <v>0</v>
      </c>
    </row>
    <row r="115">
      <c r="B115" s="53">
        <f>C115&amp;"-"&amp;D115&amp;"-"&amp;E115</f>
        <v/>
      </c>
      <c r="C115" t="inlineStr">
        <is>
          <t>residential</t>
        </is>
      </c>
      <c r="D115" t="inlineStr">
        <is>
          <t>appliances</t>
        </is>
      </c>
      <c r="E115" t="inlineStr">
        <is>
          <t>kerosene (BTU)</t>
        </is>
      </c>
      <c r="F115" t="n">
        <v>0</v>
      </c>
      <c r="G115" t="n">
        <v>0</v>
      </c>
      <c r="H115" t="n">
        <v>0</v>
      </c>
      <c r="I115" t="n">
        <v>0</v>
      </c>
      <c r="J115" t="n">
        <v>0</v>
      </c>
      <c r="K115" t="n">
        <v>0</v>
      </c>
      <c r="L115" t="n">
        <v>0</v>
      </c>
      <c r="M115" t="n">
        <v>0</v>
      </c>
      <c r="N115" t="n">
        <v>0</v>
      </c>
      <c r="O115" t="n">
        <v>0</v>
      </c>
      <c r="P115" t="n">
        <v>0</v>
      </c>
      <c r="Q115" t="n">
        <v>0</v>
      </c>
      <c r="R115" t="n">
        <v>0</v>
      </c>
      <c r="S115" t="n">
        <v>0</v>
      </c>
      <c r="T115" t="n">
        <v>0</v>
      </c>
      <c r="U115" t="n">
        <v>0</v>
      </c>
      <c r="V115" t="n">
        <v>0</v>
      </c>
      <c r="W115" t="n">
        <v>0</v>
      </c>
      <c r="X115" t="n">
        <v>0</v>
      </c>
      <c r="Y115" t="n">
        <v>0</v>
      </c>
      <c r="Z115" t="n">
        <v>0</v>
      </c>
      <c r="AA115" t="n">
        <v>0</v>
      </c>
      <c r="AB115" t="n">
        <v>0</v>
      </c>
      <c r="AC115" t="n">
        <v>0</v>
      </c>
      <c r="AD115" t="n">
        <v>0</v>
      </c>
      <c r="AE115" t="n">
        <v>0</v>
      </c>
      <c r="AF115" t="n">
        <v>0</v>
      </c>
    </row>
    <row r="116">
      <c r="B116" s="53">
        <f>C116&amp;"-"&amp;D116&amp;"-"&amp;E116</f>
        <v/>
      </c>
      <c r="C116" t="inlineStr">
        <is>
          <t>residential</t>
        </is>
      </c>
      <c r="D116" t="inlineStr">
        <is>
          <t>appliances</t>
        </is>
      </c>
      <c r="E116" t="inlineStr">
        <is>
          <t>heavy or residual fuel oil (BTU)</t>
        </is>
      </c>
      <c r="F116" t="n">
        <v>0</v>
      </c>
      <c r="G116" t="n">
        <v>0</v>
      </c>
      <c r="H116" t="n">
        <v>0</v>
      </c>
      <c r="I116" t="n">
        <v>0</v>
      </c>
      <c r="J116" t="n">
        <v>0</v>
      </c>
      <c r="K116" t="n">
        <v>0</v>
      </c>
      <c r="L116" t="n">
        <v>0</v>
      </c>
      <c r="M116" t="n">
        <v>0</v>
      </c>
      <c r="N116" t="n">
        <v>0</v>
      </c>
      <c r="O116" t="n">
        <v>0</v>
      </c>
      <c r="P116" t="n">
        <v>0</v>
      </c>
      <c r="Q116" t="n">
        <v>0</v>
      </c>
      <c r="R116" t="n">
        <v>0</v>
      </c>
      <c r="S116" t="n">
        <v>0</v>
      </c>
      <c r="T116" t="n">
        <v>0</v>
      </c>
      <c r="U116" t="n">
        <v>0</v>
      </c>
      <c r="V116" t="n">
        <v>0</v>
      </c>
      <c r="W116" t="n">
        <v>0</v>
      </c>
      <c r="X116" t="n">
        <v>0</v>
      </c>
      <c r="Y116" t="n">
        <v>0</v>
      </c>
      <c r="Z116" t="n">
        <v>0</v>
      </c>
      <c r="AA116" t="n">
        <v>0</v>
      </c>
      <c r="AB116" t="n">
        <v>0</v>
      </c>
      <c r="AC116" t="n">
        <v>0</v>
      </c>
      <c r="AD116" t="n">
        <v>0</v>
      </c>
      <c r="AE116" t="n">
        <v>0</v>
      </c>
      <c r="AF116" t="n">
        <v>0</v>
      </c>
    </row>
    <row r="117">
      <c r="B117" s="53">
        <f>C117&amp;"-"&amp;D117&amp;"-"&amp;E117</f>
        <v/>
      </c>
      <c r="C117" t="inlineStr">
        <is>
          <t>residential</t>
        </is>
      </c>
      <c r="D117" t="inlineStr">
        <is>
          <t>appliances</t>
        </is>
      </c>
      <c r="E117" t="inlineStr">
        <is>
          <t>LPG propane or butane (BTU)</t>
        </is>
      </c>
      <c r="F117">
        <f>SUMIFS('Crosswalk AEO to EPS Summary'!G:G,'Crosswalk AEO to EPS Summary'!$C:$C,$B117)*Percent_rural*quadrillion</f>
        <v/>
      </c>
      <c r="G117">
        <f>SUMIFS('Crosswalk AEO to EPS Summary'!H:H,'Crosswalk AEO to EPS Summary'!$C:$C,$B117)*Percent_rural*quadrillion</f>
        <v/>
      </c>
      <c r="H117">
        <f>SUMIFS('Crosswalk AEO to EPS Summary'!I:I,'Crosswalk AEO to EPS Summary'!$C:$C,$B117)*Percent_rural*quadrillion</f>
        <v/>
      </c>
      <c r="I117">
        <f>SUMIFS('Crosswalk AEO to EPS Summary'!J:J,'Crosswalk AEO to EPS Summary'!$C:$C,$B117)*Percent_rural*quadrillion</f>
        <v/>
      </c>
      <c r="J117">
        <f>SUMIFS('Crosswalk AEO to EPS Summary'!K:K,'Crosswalk AEO to EPS Summary'!$C:$C,$B117)*Percent_rural*quadrillion</f>
        <v/>
      </c>
      <c r="K117">
        <f>SUMIFS('Crosswalk AEO to EPS Summary'!L:L,'Crosswalk AEO to EPS Summary'!$C:$C,$B117)*Percent_rural*quadrillion</f>
        <v/>
      </c>
      <c r="L117">
        <f>SUMIFS('Crosswalk AEO to EPS Summary'!M:M,'Crosswalk AEO to EPS Summary'!$C:$C,$B117)*Percent_rural*quadrillion</f>
        <v/>
      </c>
      <c r="M117">
        <f>SUMIFS('Crosswalk AEO to EPS Summary'!N:N,'Crosswalk AEO to EPS Summary'!$C:$C,$B117)*Percent_rural*quadrillion</f>
        <v/>
      </c>
      <c r="N117">
        <f>SUMIFS('Crosswalk AEO to EPS Summary'!O:O,'Crosswalk AEO to EPS Summary'!$C:$C,$B117)*Percent_rural*quadrillion</f>
        <v/>
      </c>
      <c r="O117">
        <f>SUMIFS('Crosswalk AEO to EPS Summary'!P:P,'Crosswalk AEO to EPS Summary'!$C:$C,$B117)*Percent_rural*quadrillion</f>
        <v/>
      </c>
      <c r="P117">
        <f>SUMIFS('Crosswalk AEO to EPS Summary'!Q:Q,'Crosswalk AEO to EPS Summary'!$C:$C,$B117)*Percent_rural*quadrillion</f>
        <v/>
      </c>
      <c r="Q117">
        <f>SUMIFS('Crosswalk AEO to EPS Summary'!R:R,'Crosswalk AEO to EPS Summary'!$C:$C,$B117)*Percent_rural*quadrillion</f>
        <v/>
      </c>
      <c r="R117">
        <f>SUMIFS('Crosswalk AEO to EPS Summary'!S:S,'Crosswalk AEO to EPS Summary'!$C:$C,$B117)*Percent_rural*quadrillion</f>
        <v/>
      </c>
      <c r="S117">
        <f>SUMIFS('Crosswalk AEO to EPS Summary'!T:T,'Crosswalk AEO to EPS Summary'!$C:$C,$B117)*Percent_rural*quadrillion</f>
        <v/>
      </c>
      <c r="T117">
        <f>SUMIFS('Crosswalk AEO to EPS Summary'!U:U,'Crosswalk AEO to EPS Summary'!$C:$C,$B117)*Percent_rural*quadrillion</f>
        <v/>
      </c>
      <c r="U117">
        <f>SUMIFS('Crosswalk AEO to EPS Summary'!V:V,'Crosswalk AEO to EPS Summary'!$C:$C,$B117)*Percent_rural*quadrillion</f>
        <v/>
      </c>
      <c r="V117">
        <f>SUMIFS('Crosswalk AEO to EPS Summary'!W:W,'Crosswalk AEO to EPS Summary'!$C:$C,$B117)*Percent_rural*quadrillion</f>
        <v/>
      </c>
      <c r="W117">
        <f>SUMIFS('Crosswalk AEO to EPS Summary'!X:X,'Crosswalk AEO to EPS Summary'!$C:$C,$B117)*Percent_rural*quadrillion</f>
        <v/>
      </c>
      <c r="X117">
        <f>SUMIFS('Crosswalk AEO to EPS Summary'!Y:Y,'Crosswalk AEO to EPS Summary'!$C:$C,$B117)*Percent_rural*quadrillion</f>
        <v/>
      </c>
      <c r="Y117">
        <f>SUMIFS('Crosswalk AEO to EPS Summary'!Z:Z,'Crosswalk AEO to EPS Summary'!$C:$C,$B117)*Percent_rural*quadrillion</f>
        <v/>
      </c>
      <c r="Z117">
        <f>SUMIFS('Crosswalk AEO to EPS Summary'!AA:AA,'Crosswalk AEO to EPS Summary'!$C:$C,$B117)*Percent_rural*quadrillion</f>
        <v/>
      </c>
      <c r="AA117">
        <f>SUMIFS('Crosswalk AEO to EPS Summary'!AB:AB,'Crosswalk AEO to EPS Summary'!$C:$C,$B117)*Percent_rural*quadrillion</f>
        <v/>
      </c>
      <c r="AB117">
        <f>SUMIFS('Crosswalk AEO to EPS Summary'!AC:AC,'Crosswalk AEO to EPS Summary'!$C:$C,$B117)*Percent_rural*quadrillion</f>
        <v/>
      </c>
      <c r="AC117">
        <f>SUMIFS('Crosswalk AEO to EPS Summary'!AD:AD,'Crosswalk AEO to EPS Summary'!$C:$C,$B117)*Percent_rural*quadrillion</f>
        <v/>
      </c>
      <c r="AD117">
        <f>SUMIFS('Crosswalk AEO to EPS Summary'!AE:AE,'Crosswalk AEO to EPS Summary'!$C:$C,$B117)*Percent_rural*quadrillion</f>
        <v/>
      </c>
      <c r="AE117">
        <f>SUMIFS('Crosswalk AEO to EPS Summary'!AF:AF,'Crosswalk AEO to EPS Summary'!$C:$C,$B117)*Percent_rural*quadrillion</f>
        <v/>
      </c>
      <c r="AF117">
        <f>SUMIFS('Crosswalk AEO to EPS Summary'!AG:AG,'Crosswalk AEO to EPS Summary'!$C:$C,$B117)*Percent_rural*quadrillion</f>
        <v/>
      </c>
    </row>
    <row r="118">
      <c r="B118" s="53">
        <f>C118&amp;"-"&amp;D118&amp;"-"&amp;E118</f>
        <v/>
      </c>
      <c r="C118" t="inlineStr">
        <is>
          <t>residential</t>
        </is>
      </c>
      <c r="D118" t="inlineStr">
        <is>
          <t>appliances</t>
        </is>
      </c>
      <c r="E118" t="inlineStr">
        <is>
          <t>hydrogen (BTU)</t>
        </is>
      </c>
      <c r="F118" t="n">
        <v>0</v>
      </c>
      <c r="G118" t="n">
        <v>0</v>
      </c>
      <c r="H118" t="n">
        <v>0</v>
      </c>
      <c r="I118" t="n">
        <v>0</v>
      </c>
      <c r="J118" t="n">
        <v>0</v>
      </c>
      <c r="K118" t="n">
        <v>0</v>
      </c>
      <c r="L118" t="n">
        <v>0</v>
      </c>
      <c r="M118" t="n">
        <v>0</v>
      </c>
      <c r="N118" t="n">
        <v>0</v>
      </c>
      <c r="O118" t="n">
        <v>0</v>
      </c>
      <c r="P118" t="n">
        <v>0</v>
      </c>
      <c r="Q118" t="n">
        <v>0</v>
      </c>
      <c r="R118" t="n">
        <v>0</v>
      </c>
      <c r="S118" t="n">
        <v>0</v>
      </c>
      <c r="T118" t="n">
        <v>0</v>
      </c>
      <c r="U118" t="n">
        <v>0</v>
      </c>
      <c r="V118" t="n">
        <v>0</v>
      </c>
      <c r="W118" t="n">
        <v>0</v>
      </c>
      <c r="X118" t="n">
        <v>0</v>
      </c>
      <c r="Y118" t="n">
        <v>0</v>
      </c>
      <c r="Z118" t="n">
        <v>0</v>
      </c>
      <c r="AA118" t="n">
        <v>0</v>
      </c>
      <c r="AB118" t="n">
        <v>0</v>
      </c>
      <c r="AC118" t="n">
        <v>0</v>
      </c>
      <c r="AD118" t="n">
        <v>0</v>
      </c>
      <c r="AE118" t="n">
        <v>0</v>
      </c>
      <c r="AF118" t="n">
        <v>0</v>
      </c>
    </row>
    <row r="119"/>
    <row r="120">
      <c r="B120" s="1" t="inlineStr">
        <is>
          <t>BCEU-rural-residential-other</t>
        </is>
      </c>
    </row>
    <row r="121">
      <c r="E121" t="inlineStr">
        <is>
          <t>Year</t>
        </is>
      </c>
      <c r="F121" s="1" t="n">
        <v>2024</v>
      </c>
      <c r="G121" s="1" t="n">
        <v>2025</v>
      </c>
      <c r="H121" s="1" t="n">
        <v>2026</v>
      </c>
      <c r="I121" s="1" t="n">
        <v>2027</v>
      </c>
      <c r="J121" s="1" t="n">
        <v>2028</v>
      </c>
      <c r="K121" s="1" t="n">
        <v>2029</v>
      </c>
      <c r="L121" s="1" t="n">
        <v>2030</v>
      </c>
      <c r="M121" s="1" t="n">
        <v>2031</v>
      </c>
      <c r="N121" s="1" t="n">
        <v>2032</v>
      </c>
      <c r="O121" s="1" t="n">
        <v>2033</v>
      </c>
      <c r="P121" s="1" t="n">
        <v>2034</v>
      </c>
      <c r="Q121" s="1" t="n">
        <v>2035</v>
      </c>
      <c r="R121" s="1" t="n">
        <v>2036</v>
      </c>
      <c r="S121" s="1" t="n">
        <v>2037</v>
      </c>
      <c r="T121" s="1" t="n">
        <v>2038</v>
      </c>
      <c r="U121" s="1" t="n">
        <v>2039</v>
      </c>
      <c r="V121" s="1" t="n">
        <v>2040</v>
      </c>
      <c r="W121" s="1" t="n">
        <v>2041</v>
      </c>
      <c r="X121" s="1" t="n">
        <v>2042</v>
      </c>
      <c r="Y121" s="1" t="n">
        <v>2043</v>
      </c>
      <c r="Z121" s="1" t="n">
        <v>2044</v>
      </c>
      <c r="AA121" s="1" t="n">
        <v>2045</v>
      </c>
      <c r="AB121" s="1" t="n">
        <v>2046</v>
      </c>
      <c r="AC121" s="1" t="n">
        <v>2047</v>
      </c>
      <c r="AD121" s="1" t="n">
        <v>2048</v>
      </c>
      <c r="AE121" s="1" t="n">
        <v>2049</v>
      </c>
      <c r="AF121" s="1" t="n">
        <v>2050</v>
      </c>
    </row>
    <row r="122">
      <c r="B122" s="53">
        <f>C122&amp;"-"&amp;D122&amp;"-"&amp;E122</f>
        <v/>
      </c>
      <c r="C122" t="inlineStr">
        <is>
          <t>residential</t>
        </is>
      </c>
      <c r="D122" t="inlineStr">
        <is>
          <t>other</t>
        </is>
      </c>
      <c r="E122" t="inlineStr">
        <is>
          <t>electricity (BTU)</t>
        </is>
      </c>
      <c r="F122">
        <f>SUMIFS('Crosswalk AEO to EPS Summary'!G:G,'Crosswalk AEO to EPS Summary'!$C:$C,$B122)*Percent_rural*quadrillion</f>
        <v/>
      </c>
      <c r="G122">
        <f>SUMIFS('Crosswalk AEO to EPS Summary'!H:H,'Crosswalk AEO to EPS Summary'!$C:$C,$B122)*Percent_rural*quadrillion</f>
        <v/>
      </c>
      <c r="H122">
        <f>SUMIFS('Crosswalk AEO to EPS Summary'!I:I,'Crosswalk AEO to EPS Summary'!$C:$C,$B122)*Percent_rural*quadrillion</f>
        <v/>
      </c>
      <c r="I122">
        <f>SUMIFS('Crosswalk AEO to EPS Summary'!J:J,'Crosswalk AEO to EPS Summary'!$C:$C,$B122)*Percent_rural*quadrillion</f>
        <v/>
      </c>
      <c r="J122">
        <f>SUMIFS('Crosswalk AEO to EPS Summary'!K:K,'Crosswalk AEO to EPS Summary'!$C:$C,$B122)*Percent_rural*quadrillion</f>
        <v/>
      </c>
      <c r="K122">
        <f>SUMIFS('Crosswalk AEO to EPS Summary'!L:L,'Crosswalk AEO to EPS Summary'!$C:$C,$B122)*Percent_rural*quadrillion</f>
        <v/>
      </c>
      <c r="L122">
        <f>SUMIFS('Crosswalk AEO to EPS Summary'!M:M,'Crosswalk AEO to EPS Summary'!$C:$C,$B122)*Percent_rural*quadrillion</f>
        <v/>
      </c>
      <c r="M122">
        <f>SUMIFS('Crosswalk AEO to EPS Summary'!N:N,'Crosswalk AEO to EPS Summary'!$C:$C,$B122)*Percent_rural*quadrillion</f>
        <v/>
      </c>
      <c r="N122">
        <f>SUMIFS('Crosswalk AEO to EPS Summary'!O:O,'Crosswalk AEO to EPS Summary'!$C:$C,$B122)*Percent_rural*quadrillion</f>
        <v/>
      </c>
      <c r="O122">
        <f>SUMIFS('Crosswalk AEO to EPS Summary'!P:P,'Crosswalk AEO to EPS Summary'!$C:$C,$B122)*Percent_rural*quadrillion</f>
        <v/>
      </c>
      <c r="P122">
        <f>SUMIFS('Crosswalk AEO to EPS Summary'!Q:Q,'Crosswalk AEO to EPS Summary'!$C:$C,$B122)*Percent_rural*quadrillion</f>
        <v/>
      </c>
      <c r="Q122">
        <f>SUMIFS('Crosswalk AEO to EPS Summary'!R:R,'Crosswalk AEO to EPS Summary'!$C:$C,$B122)*Percent_rural*quadrillion</f>
        <v/>
      </c>
      <c r="R122">
        <f>SUMIFS('Crosswalk AEO to EPS Summary'!S:S,'Crosswalk AEO to EPS Summary'!$C:$C,$B122)*Percent_rural*quadrillion</f>
        <v/>
      </c>
      <c r="S122">
        <f>SUMIFS('Crosswalk AEO to EPS Summary'!T:T,'Crosswalk AEO to EPS Summary'!$C:$C,$B122)*Percent_rural*quadrillion</f>
        <v/>
      </c>
      <c r="T122">
        <f>SUMIFS('Crosswalk AEO to EPS Summary'!U:U,'Crosswalk AEO to EPS Summary'!$C:$C,$B122)*Percent_rural*quadrillion</f>
        <v/>
      </c>
      <c r="U122">
        <f>SUMIFS('Crosswalk AEO to EPS Summary'!V:V,'Crosswalk AEO to EPS Summary'!$C:$C,$B122)*Percent_rural*quadrillion</f>
        <v/>
      </c>
      <c r="V122">
        <f>SUMIFS('Crosswalk AEO to EPS Summary'!W:W,'Crosswalk AEO to EPS Summary'!$C:$C,$B122)*Percent_rural*quadrillion</f>
        <v/>
      </c>
      <c r="W122">
        <f>SUMIFS('Crosswalk AEO to EPS Summary'!X:X,'Crosswalk AEO to EPS Summary'!$C:$C,$B122)*Percent_rural*quadrillion</f>
        <v/>
      </c>
      <c r="X122">
        <f>SUMIFS('Crosswalk AEO to EPS Summary'!Y:Y,'Crosswalk AEO to EPS Summary'!$C:$C,$B122)*Percent_rural*quadrillion</f>
        <v/>
      </c>
      <c r="Y122">
        <f>SUMIFS('Crosswalk AEO to EPS Summary'!Z:Z,'Crosswalk AEO to EPS Summary'!$C:$C,$B122)*Percent_rural*quadrillion</f>
        <v/>
      </c>
      <c r="Z122">
        <f>SUMIFS('Crosswalk AEO to EPS Summary'!AA:AA,'Crosswalk AEO to EPS Summary'!$C:$C,$B122)*Percent_rural*quadrillion</f>
        <v/>
      </c>
      <c r="AA122">
        <f>SUMIFS('Crosswalk AEO to EPS Summary'!AB:AB,'Crosswalk AEO to EPS Summary'!$C:$C,$B122)*Percent_rural*quadrillion</f>
        <v/>
      </c>
      <c r="AB122">
        <f>SUMIFS('Crosswalk AEO to EPS Summary'!AC:AC,'Crosswalk AEO to EPS Summary'!$C:$C,$B122)*Percent_rural*quadrillion</f>
        <v/>
      </c>
      <c r="AC122">
        <f>SUMIFS('Crosswalk AEO to EPS Summary'!AD:AD,'Crosswalk AEO to EPS Summary'!$C:$C,$B122)*Percent_rural*quadrillion</f>
        <v/>
      </c>
      <c r="AD122">
        <f>SUMIFS('Crosswalk AEO to EPS Summary'!AE:AE,'Crosswalk AEO to EPS Summary'!$C:$C,$B122)*Percent_rural*quadrillion</f>
        <v/>
      </c>
      <c r="AE122">
        <f>SUMIFS('Crosswalk AEO to EPS Summary'!AF:AF,'Crosswalk AEO to EPS Summary'!$C:$C,$B122)*Percent_rural*quadrillion</f>
        <v/>
      </c>
      <c r="AF122">
        <f>SUMIFS('Crosswalk AEO to EPS Summary'!AG:AG,'Crosswalk AEO to EPS Summary'!$C:$C,$B122)*Percent_rural*quadrillion</f>
        <v/>
      </c>
    </row>
    <row r="123">
      <c r="B123" s="53">
        <f>C123&amp;"-"&amp;D123&amp;"-"&amp;E123</f>
        <v/>
      </c>
      <c r="C123" t="inlineStr">
        <is>
          <t>residential</t>
        </is>
      </c>
      <c r="D123" t="inlineStr">
        <is>
          <t>other</t>
        </is>
      </c>
      <c r="E123" t="inlineStr">
        <is>
          <t>coal (BTU)</t>
        </is>
      </c>
      <c r="F123" t="n">
        <v>0</v>
      </c>
      <c r="G123" t="n">
        <v>0</v>
      </c>
      <c r="H123" t="n">
        <v>0</v>
      </c>
      <c r="I123" t="n">
        <v>0</v>
      </c>
      <c r="J123" t="n">
        <v>0</v>
      </c>
      <c r="K123" t="n">
        <v>0</v>
      </c>
      <c r="L123" t="n">
        <v>0</v>
      </c>
      <c r="M123" t="n">
        <v>0</v>
      </c>
      <c r="N123" t="n">
        <v>0</v>
      </c>
      <c r="O123" t="n">
        <v>0</v>
      </c>
      <c r="P123" t="n">
        <v>0</v>
      </c>
      <c r="Q123" t="n">
        <v>0</v>
      </c>
      <c r="R123" t="n">
        <v>0</v>
      </c>
      <c r="S123" t="n">
        <v>0</v>
      </c>
      <c r="T123" t="n">
        <v>0</v>
      </c>
      <c r="U123" t="n">
        <v>0</v>
      </c>
      <c r="V123" t="n">
        <v>0</v>
      </c>
      <c r="W123" t="n">
        <v>0</v>
      </c>
      <c r="X123" t="n">
        <v>0</v>
      </c>
      <c r="Y123" t="n">
        <v>0</v>
      </c>
      <c r="Z123" t="n">
        <v>0</v>
      </c>
      <c r="AA123" t="n">
        <v>0</v>
      </c>
      <c r="AB123" t="n">
        <v>0</v>
      </c>
      <c r="AC123" t="n">
        <v>0</v>
      </c>
      <c r="AD123" t="n">
        <v>0</v>
      </c>
      <c r="AE123" t="n">
        <v>0</v>
      </c>
      <c r="AF123" t="n">
        <v>0</v>
      </c>
    </row>
    <row r="124">
      <c r="B124" s="53">
        <f>C124&amp;"-"&amp;D124&amp;"-"&amp;E124</f>
        <v/>
      </c>
      <c r="C124" t="inlineStr">
        <is>
          <t>residential</t>
        </is>
      </c>
      <c r="D124" t="inlineStr">
        <is>
          <t>other</t>
        </is>
      </c>
      <c r="E124" t="inlineStr">
        <is>
          <t>natural gas (BTU)</t>
        </is>
      </c>
      <c r="F124">
        <f>SUMIFS('Crosswalk AEO to EPS Summary'!G:G,'Crosswalk AEO to EPS Summary'!$C:$C,$B124)*Percent_rural*quadrillion</f>
        <v/>
      </c>
      <c r="G124">
        <f>SUMIFS('Crosswalk AEO to EPS Summary'!H:H,'Crosswalk AEO to EPS Summary'!$C:$C,$B124)*Percent_rural*quadrillion</f>
        <v/>
      </c>
      <c r="H124">
        <f>SUMIFS('Crosswalk AEO to EPS Summary'!I:I,'Crosswalk AEO to EPS Summary'!$C:$C,$B124)*Percent_rural*quadrillion</f>
        <v/>
      </c>
      <c r="I124">
        <f>SUMIFS('Crosswalk AEO to EPS Summary'!J:J,'Crosswalk AEO to EPS Summary'!$C:$C,$B124)*Percent_rural*quadrillion</f>
        <v/>
      </c>
      <c r="J124">
        <f>SUMIFS('Crosswalk AEO to EPS Summary'!K:K,'Crosswalk AEO to EPS Summary'!$C:$C,$B124)*Percent_rural*quadrillion</f>
        <v/>
      </c>
      <c r="K124">
        <f>SUMIFS('Crosswalk AEO to EPS Summary'!L:L,'Crosswalk AEO to EPS Summary'!$C:$C,$B124)*Percent_rural*quadrillion</f>
        <v/>
      </c>
      <c r="L124">
        <f>SUMIFS('Crosswalk AEO to EPS Summary'!M:M,'Crosswalk AEO to EPS Summary'!$C:$C,$B124)*Percent_rural*quadrillion</f>
        <v/>
      </c>
      <c r="M124">
        <f>SUMIFS('Crosswalk AEO to EPS Summary'!N:N,'Crosswalk AEO to EPS Summary'!$C:$C,$B124)*Percent_rural*quadrillion</f>
        <v/>
      </c>
      <c r="N124">
        <f>SUMIFS('Crosswalk AEO to EPS Summary'!O:O,'Crosswalk AEO to EPS Summary'!$C:$C,$B124)*Percent_rural*quadrillion</f>
        <v/>
      </c>
      <c r="O124">
        <f>SUMIFS('Crosswalk AEO to EPS Summary'!P:P,'Crosswalk AEO to EPS Summary'!$C:$C,$B124)*Percent_rural*quadrillion</f>
        <v/>
      </c>
      <c r="P124">
        <f>SUMIFS('Crosswalk AEO to EPS Summary'!Q:Q,'Crosswalk AEO to EPS Summary'!$C:$C,$B124)*Percent_rural*quadrillion</f>
        <v/>
      </c>
      <c r="Q124">
        <f>SUMIFS('Crosswalk AEO to EPS Summary'!R:R,'Crosswalk AEO to EPS Summary'!$C:$C,$B124)*Percent_rural*quadrillion</f>
        <v/>
      </c>
      <c r="R124">
        <f>SUMIFS('Crosswalk AEO to EPS Summary'!S:S,'Crosswalk AEO to EPS Summary'!$C:$C,$B124)*Percent_rural*quadrillion</f>
        <v/>
      </c>
      <c r="S124">
        <f>SUMIFS('Crosswalk AEO to EPS Summary'!T:T,'Crosswalk AEO to EPS Summary'!$C:$C,$B124)*Percent_rural*quadrillion</f>
        <v/>
      </c>
      <c r="T124">
        <f>SUMIFS('Crosswalk AEO to EPS Summary'!U:U,'Crosswalk AEO to EPS Summary'!$C:$C,$B124)*Percent_rural*quadrillion</f>
        <v/>
      </c>
      <c r="U124">
        <f>SUMIFS('Crosswalk AEO to EPS Summary'!V:V,'Crosswalk AEO to EPS Summary'!$C:$C,$B124)*Percent_rural*quadrillion</f>
        <v/>
      </c>
      <c r="V124">
        <f>SUMIFS('Crosswalk AEO to EPS Summary'!W:W,'Crosswalk AEO to EPS Summary'!$C:$C,$B124)*Percent_rural*quadrillion</f>
        <v/>
      </c>
      <c r="W124">
        <f>SUMIFS('Crosswalk AEO to EPS Summary'!X:X,'Crosswalk AEO to EPS Summary'!$C:$C,$B124)*Percent_rural*quadrillion</f>
        <v/>
      </c>
      <c r="X124">
        <f>SUMIFS('Crosswalk AEO to EPS Summary'!Y:Y,'Crosswalk AEO to EPS Summary'!$C:$C,$B124)*Percent_rural*quadrillion</f>
        <v/>
      </c>
      <c r="Y124">
        <f>SUMIFS('Crosswalk AEO to EPS Summary'!Z:Z,'Crosswalk AEO to EPS Summary'!$C:$C,$B124)*Percent_rural*quadrillion</f>
        <v/>
      </c>
      <c r="Z124">
        <f>SUMIFS('Crosswalk AEO to EPS Summary'!AA:AA,'Crosswalk AEO to EPS Summary'!$C:$C,$B124)*Percent_rural*quadrillion</f>
        <v/>
      </c>
      <c r="AA124">
        <f>SUMIFS('Crosswalk AEO to EPS Summary'!AB:AB,'Crosswalk AEO to EPS Summary'!$C:$C,$B124)*Percent_rural*quadrillion</f>
        <v/>
      </c>
      <c r="AB124">
        <f>SUMIFS('Crosswalk AEO to EPS Summary'!AC:AC,'Crosswalk AEO to EPS Summary'!$C:$C,$B124)*Percent_rural*quadrillion</f>
        <v/>
      </c>
      <c r="AC124">
        <f>SUMIFS('Crosswalk AEO to EPS Summary'!AD:AD,'Crosswalk AEO to EPS Summary'!$C:$C,$B124)*Percent_rural*quadrillion</f>
        <v/>
      </c>
      <c r="AD124">
        <f>SUMIFS('Crosswalk AEO to EPS Summary'!AE:AE,'Crosswalk AEO to EPS Summary'!$C:$C,$B124)*Percent_rural*quadrillion</f>
        <v/>
      </c>
      <c r="AE124">
        <f>SUMIFS('Crosswalk AEO to EPS Summary'!AF:AF,'Crosswalk AEO to EPS Summary'!$C:$C,$B124)*Percent_rural*quadrillion</f>
        <v/>
      </c>
      <c r="AF124">
        <f>SUMIFS('Crosswalk AEO to EPS Summary'!AG:AG,'Crosswalk AEO to EPS Summary'!$C:$C,$B124)*Percent_rural*quadrillion</f>
        <v/>
      </c>
    </row>
    <row r="125">
      <c r="B125" s="53">
        <f>C125&amp;"-"&amp;D125&amp;"-"&amp;E125</f>
        <v/>
      </c>
      <c r="C125" t="inlineStr">
        <is>
          <t>residential</t>
        </is>
      </c>
      <c r="D125" t="inlineStr">
        <is>
          <t>other</t>
        </is>
      </c>
      <c r="E125" t="inlineStr">
        <is>
          <t>petroleum diesel (BTU)</t>
        </is>
      </c>
      <c r="F125">
        <f>SUMIFS('Crosswalk AEO to EPS Summary'!G:G,'Crosswalk AEO to EPS Summary'!$C:$C,$B125)*Percent_rural*quadrillion</f>
        <v/>
      </c>
      <c r="G125">
        <f>SUMIFS('Crosswalk AEO to EPS Summary'!H:H,'Crosswalk AEO to EPS Summary'!$C:$C,$B125)*Percent_rural*quadrillion</f>
        <v/>
      </c>
      <c r="H125">
        <f>SUMIFS('Crosswalk AEO to EPS Summary'!I:I,'Crosswalk AEO to EPS Summary'!$C:$C,$B125)*Percent_rural*quadrillion</f>
        <v/>
      </c>
      <c r="I125">
        <f>SUMIFS('Crosswalk AEO to EPS Summary'!J:J,'Crosswalk AEO to EPS Summary'!$C:$C,$B125)*Percent_rural*quadrillion</f>
        <v/>
      </c>
      <c r="J125">
        <f>SUMIFS('Crosswalk AEO to EPS Summary'!K:K,'Crosswalk AEO to EPS Summary'!$C:$C,$B125)*Percent_rural*quadrillion</f>
        <v/>
      </c>
      <c r="K125">
        <f>SUMIFS('Crosswalk AEO to EPS Summary'!L:L,'Crosswalk AEO to EPS Summary'!$C:$C,$B125)*Percent_rural*quadrillion</f>
        <v/>
      </c>
      <c r="L125">
        <f>SUMIFS('Crosswalk AEO to EPS Summary'!M:M,'Crosswalk AEO to EPS Summary'!$C:$C,$B125)*Percent_rural*quadrillion</f>
        <v/>
      </c>
      <c r="M125">
        <f>SUMIFS('Crosswalk AEO to EPS Summary'!N:N,'Crosswalk AEO to EPS Summary'!$C:$C,$B125)*Percent_rural*quadrillion</f>
        <v/>
      </c>
      <c r="N125">
        <f>SUMIFS('Crosswalk AEO to EPS Summary'!O:O,'Crosswalk AEO to EPS Summary'!$C:$C,$B125)*Percent_rural*quadrillion</f>
        <v/>
      </c>
      <c r="O125">
        <f>SUMIFS('Crosswalk AEO to EPS Summary'!P:P,'Crosswalk AEO to EPS Summary'!$C:$C,$B125)*Percent_rural*quadrillion</f>
        <v/>
      </c>
      <c r="P125">
        <f>SUMIFS('Crosswalk AEO to EPS Summary'!Q:Q,'Crosswalk AEO to EPS Summary'!$C:$C,$B125)*Percent_rural*quadrillion</f>
        <v/>
      </c>
      <c r="Q125">
        <f>SUMIFS('Crosswalk AEO to EPS Summary'!R:R,'Crosswalk AEO to EPS Summary'!$C:$C,$B125)*Percent_rural*quadrillion</f>
        <v/>
      </c>
      <c r="R125">
        <f>SUMIFS('Crosswalk AEO to EPS Summary'!S:S,'Crosswalk AEO to EPS Summary'!$C:$C,$B125)*Percent_rural*quadrillion</f>
        <v/>
      </c>
      <c r="S125">
        <f>SUMIFS('Crosswalk AEO to EPS Summary'!T:T,'Crosswalk AEO to EPS Summary'!$C:$C,$B125)*Percent_rural*quadrillion</f>
        <v/>
      </c>
      <c r="T125">
        <f>SUMIFS('Crosswalk AEO to EPS Summary'!U:U,'Crosswalk AEO to EPS Summary'!$C:$C,$B125)*Percent_rural*quadrillion</f>
        <v/>
      </c>
      <c r="U125">
        <f>SUMIFS('Crosswalk AEO to EPS Summary'!V:V,'Crosswalk AEO to EPS Summary'!$C:$C,$B125)*Percent_rural*quadrillion</f>
        <v/>
      </c>
      <c r="V125">
        <f>SUMIFS('Crosswalk AEO to EPS Summary'!W:W,'Crosswalk AEO to EPS Summary'!$C:$C,$B125)*Percent_rural*quadrillion</f>
        <v/>
      </c>
      <c r="W125">
        <f>SUMIFS('Crosswalk AEO to EPS Summary'!X:X,'Crosswalk AEO to EPS Summary'!$C:$C,$B125)*Percent_rural*quadrillion</f>
        <v/>
      </c>
      <c r="X125">
        <f>SUMIFS('Crosswalk AEO to EPS Summary'!Y:Y,'Crosswalk AEO to EPS Summary'!$C:$C,$B125)*Percent_rural*quadrillion</f>
        <v/>
      </c>
      <c r="Y125">
        <f>SUMIFS('Crosswalk AEO to EPS Summary'!Z:Z,'Crosswalk AEO to EPS Summary'!$C:$C,$B125)*Percent_rural*quadrillion</f>
        <v/>
      </c>
      <c r="Z125">
        <f>SUMIFS('Crosswalk AEO to EPS Summary'!AA:AA,'Crosswalk AEO to EPS Summary'!$C:$C,$B125)*Percent_rural*quadrillion</f>
        <v/>
      </c>
      <c r="AA125">
        <f>SUMIFS('Crosswalk AEO to EPS Summary'!AB:AB,'Crosswalk AEO to EPS Summary'!$C:$C,$B125)*Percent_rural*quadrillion</f>
        <v/>
      </c>
      <c r="AB125">
        <f>SUMIFS('Crosswalk AEO to EPS Summary'!AC:AC,'Crosswalk AEO to EPS Summary'!$C:$C,$B125)*Percent_rural*quadrillion</f>
        <v/>
      </c>
      <c r="AC125">
        <f>SUMIFS('Crosswalk AEO to EPS Summary'!AD:AD,'Crosswalk AEO to EPS Summary'!$C:$C,$B125)*Percent_rural*quadrillion</f>
        <v/>
      </c>
      <c r="AD125">
        <f>SUMIFS('Crosswalk AEO to EPS Summary'!AE:AE,'Crosswalk AEO to EPS Summary'!$C:$C,$B125)*Percent_rural*quadrillion</f>
        <v/>
      </c>
      <c r="AE125">
        <f>SUMIFS('Crosswalk AEO to EPS Summary'!AF:AF,'Crosswalk AEO to EPS Summary'!$C:$C,$B125)*Percent_rural*quadrillion</f>
        <v/>
      </c>
      <c r="AF125">
        <f>SUMIFS('Crosswalk AEO to EPS Summary'!AG:AG,'Crosswalk AEO to EPS Summary'!$C:$C,$B125)*Percent_rural*quadrillion</f>
        <v/>
      </c>
    </row>
    <row r="126">
      <c r="B126" s="53">
        <f>C126&amp;"-"&amp;D126&amp;"-"&amp;E126</f>
        <v/>
      </c>
      <c r="C126" t="inlineStr">
        <is>
          <t>residential</t>
        </is>
      </c>
      <c r="D126" t="inlineStr">
        <is>
          <t>other</t>
        </is>
      </c>
      <c r="E126" t="inlineStr">
        <is>
          <t>heat (BTU)</t>
        </is>
      </c>
      <c r="F126" t="n">
        <v>0</v>
      </c>
      <c r="G126" t="n">
        <v>0</v>
      </c>
      <c r="H126" t="n">
        <v>0</v>
      </c>
      <c r="I126" t="n">
        <v>0</v>
      </c>
      <c r="J126" t="n">
        <v>0</v>
      </c>
      <c r="K126" t="n">
        <v>0</v>
      </c>
      <c r="L126" t="n">
        <v>0</v>
      </c>
      <c r="M126" t="n">
        <v>0</v>
      </c>
      <c r="N126" t="n">
        <v>0</v>
      </c>
      <c r="O126" t="n">
        <v>0</v>
      </c>
      <c r="P126" t="n">
        <v>0</v>
      </c>
      <c r="Q126" t="n">
        <v>0</v>
      </c>
      <c r="R126" t="n">
        <v>0</v>
      </c>
      <c r="S126" t="n">
        <v>0</v>
      </c>
      <c r="T126" t="n">
        <v>0</v>
      </c>
      <c r="U126" t="n">
        <v>0</v>
      </c>
      <c r="V126" t="n">
        <v>0</v>
      </c>
      <c r="W126" t="n">
        <v>0</v>
      </c>
      <c r="X126" t="n">
        <v>0</v>
      </c>
      <c r="Y126" t="n">
        <v>0</v>
      </c>
      <c r="Z126" t="n">
        <v>0</v>
      </c>
      <c r="AA126" t="n">
        <v>0</v>
      </c>
      <c r="AB126" t="n">
        <v>0</v>
      </c>
      <c r="AC126" t="n">
        <v>0</v>
      </c>
      <c r="AD126" t="n">
        <v>0</v>
      </c>
      <c r="AE126" t="n">
        <v>0</v>
      </c>
      <c r="AF126" t="n">
        <v>0</v>
      </c>
    </row>
    <row r="127">
      <c r="B127" s="53">
        <f>C127&amp;"-"&amp;D127&amp;"-"&amp;E127</f>
        <v/>
      </c>
      <c r="C127" t="inlineStr">
        <is>
          <t>residential</t>
        </is>
      </c>
      <c r="D127" t="inlineStr">
        <is>
          <t>other</t>
        </is>
      </c>
      <c r="E127" t="inlineStr">
        <is>
          <t>biomass (BTU)</t>
        </is>
      </c>
      <c r="F127" t="n">
        <v>0</v>
      </c>
      <c r="G127" t="n">
        <v>0</v>
      </c>
      <c r="H127" t="n">
        <v>0</v>
      </c>
      <c r="I127" t="n">
        <v>0</v>
      </c>
      <c r="J127" t="n">
        <v>0</v>
      </c>
      <c r="K127" t="n">
        <v>0</v>
      </c>
      <c r="L127" t="n">
        <v>0</v>
      </c>
      <c r="M127" t="n">
        <v>0</v>
      </c>
      <c r="N127" t="n">
        <v>0</v>
      </c>
      <c r="O127" t="n">
        <v>0</v>
      </c>
      <c r="P127" t="n">
        <v>0</v>
      </c>
      <c r="Q127" t="n">
        <v>0</v>
      </c>
      <c r="R127" t="n">
        <v>0</v>
      </c>
      <c r="S127" t="n">
        <v>0</v>
      </c>
      <c r="T127" t="n">
        <v>0</v>
      </c>
      <c r="U127" t="n">
        <v>0</v>
      </c>
      <c r="V127" t="n">
        <v>0</v>
      </c>
      <c r="W127" t="n">
        <v>0</v>
      </c>
      <c r="X127" t="n">
        <v>0</v>
      </c>
      <c r="Y127" t="n">
        <v>0</v>
      </c>
      <c r="Z127" t="n">
        <v>0</v>
      </c>
      <c r="AA127" t="n">
        <v>0</v>
      </c>
      <c r="AB127" t="n">
        <v>0</v>
      </c>
      <c r="AC127" t="n">
        <v>0</v>
      </c>
      <c r="AD127" t="n">
        <v>0</v>
      </c>
      <c r="AE127" t="n">
        <v>0</v>
      </c>
      <c r="AF127" t="n">
        <v>0</v>
      </c>
    </row>
    <row r="128">
      <c r="B128" s="53">
        <f>C128&amp;"-"&amp;D128&amp;"-"&amp;E128</f>
        <v/>
      </c>
      <c r="C128" t="inlineStr">
        <is>
          <t>residential</t>
        </is>
      </c>
      <c r="D128" t="inlineStr">
        <is>
          <t>other</t>
        </is>
      </c>
      <c r="E128" t="inlineStr">
        <is>
          <t>kerosene (BTU)</t>
        </is>
      </c>
      <c r="F128" t="n">
        <v>0</v>
      </c>
      <c r="G128" t="n">
        <v>0</v>
      </c>
      <c r="H128" t="n">
        <v>0</v>
      </c>
      <c r="I128" t="n">
        <v>0</v>
      </c>
      <c r="J128" t="n">
        <v>0</v>
      </c>
      <c r="K128" t="n">
        <v>0</v>
      </c>
      <c r="L128" t="n">
        <v>0</v>
      </c>
      <c r="M128" t="n">
        <v>0</v>
      </c>
      <c r="N128" t="n">
        <v>0</v>
      </c>
      <c r="O128" t="n">
        <v>0</v>
      </c>
      <c r="P128" t="n">
        <v>0</v>
      </c>
      <c r="Q128" t="n">
        <v>0</v>
      </c>
      <c r="R128" t="n">
        <v>0</v>
      </c>
      <c r="S128" t="n">
        <v>0</v>
      </c>
      <c r="T128" t="n">
        <v>0</v>
      </c>
      <c r="U128" t="n">
        <v>0</v>
      </c>
      <c r="V128" t="n">
        <v>0</v>
      </c>
      <c r="W128" t="n">
        <v>0</v>
      </c>
      <c r="X128" t="n">
        <v>0</v>
      </c>
      <c r="Y128" t="n">
        <v>0</v>
      </c>
      <c r="Z128" t="n">
        <v>0</v>
      </c>
      <c r="AA128" t="n">
        <v>0</v>
      </c>
      <c r="AB128" t="n">
        <v>0</v>
      </c>
      <c r="AC128" t="n">
        <v>0</v>
      </c>
      <c r="AD128" t="n">
        <v>0</v>
      </c>
      <c r="AE128" t="n">
        <v>0</v>
      </c>
      <c r="AF128" t="n">
        <v>0</v>
      </c>
    </row>
    <row r="129">
      <c r="B129" s="53">
        <f>C129&amp;"-"&amp;D129&amp;"-"&amp;E129</f>
        <v/>
      </c>
      <c r="C129" t="inlineStr">
        <is>
          <t>residential</t>
        </is>
      </c>
      <c r="D129" t="inlineStr">
        <is>
          <t>other</t>
        </is>
      </c>
      <c r="E129" t="inlineStr">
        <is>
          <t>heavy or residual fuel oil (BTU)</t>
        </is>
      </c>
      <c r="F129" t="n">
        <v>0</v>
      </c>
      <c r="G129" t="n">
        <v>0</v>
      </c>
      <c r="H129" t="n">
        <v>0</v>
      </c>
      <c r="I129" t="n">
        <v>0</v>
      </c>
      <c r="J129" t="n">
        <v>0</v>
      </c>
      <c r="K129" t="n">
        <v>0</v>
      </c>
      <c r="L129" t="n">
        <v>0</v>
      </c>
      <c r="M129" t="n">
        <v>0</v>
      </c>
      <c r="N129" t="n">
        <v>0</v>
      </c>
      <c r="O129" t="n">
        <v>0</v>
      </c>
      <c r="P129" t="n">
        <v>0</v>
      </c>
      <c r="Q129" t="n">
        <v>0</v>
      </c>
      <c r="R129" t="n">
        <v>0</v>
      </c>
      <c r="S129" t="n">
        <v>0</v>
      </c>
      <c r="T129" t="n">
        <v>0</v>
      </c>
      <c r="U129" t="n">
        <v>0</v>
      </c>
      <c r="V129" t="n">
        <v>0</v>
      </c>
      <c r="W129" t="n">
        <v>0</v>
      </c>
      <c r="X129" t="n">
        <v>0</v>
      </c>
      <c r="Y129" t="n">
        <v>0</v>
      </c>
      <c r="Z129" t="n">
        <v>0</v>
      </c>
      <c r="AA129" t="n">
        <v>0</v>
      </c>
      <c r="AB129" t="n">
        <v>0</v>
      </c>
      <c r="AC129" t="n">
        <v>0</v>
      </c>
      <c r="AD129" t="n">
        <v>0</v>
      </c>
      <c r="AE129" t="n">
        <v>0</v>
      </c>
      <c r="AF129" t="n">
        <v>0</v>
      </c>
    </row>
    <row r="130">
      <c r="B130" s="53">
        <f>C130&amp;"-"&amp;D130&amp;"-"&amp;E130</f>
        <v/>
      </c>
      <c r="C130" t="inlineStr">
        <is>
          <t>residential</t>
        </is>
      </c>
      <c r="D130" t="inlineStr">
        <is>
          <t>other</t>
        </is>
      </c>
      <c r="E130" t="inlineStr">
        <is>
          <t>LPG propane or butane (BTU)</t>
        </is>
      </c>
      <c r="F130">
        <f>SUMIFS('Crosswalk AEO to EPS Summary'!G:G,'Crosswalk AEO to EPS Summary'!$C:$C,$B130)*Percent_rural*quadrillion</f>
        <v/>
      </c>
      <c r="G130">
        <f>SUMIFS('Crosswalk AEO to EPS Summary'!H:H,'Crosswalk AEO to EPS Summary'!$C:$C,$B130)*Percent_rural*quadrillion</f>
        <v/>
      </c>
      <c r="H130">
        <f>SUMIFS('Crosswalk AEO to EPS Summary'!I:I,'Crosswalk AEO to EPS Summary'!$C:$C,$B130)*Percent_rural*quadrillion</f>
        <v/>
      </c>
      <c r="I130">
        <f>SUMIFS('Crosswalk AEO to EPS Summary'!J:J,'Crosswalk AEO to EPS Summary'!$C:$C,$B130)*Percent_rural*quadrillion</f>
        <v/>
      </c>
      <c r="J130">
        <f>SUMIFS('Crosswalk AEO to EPS Summary'!K:K,'Crosswalk AEO to EPS Summary'!$C:$C,$B130)*Percent_rural*quadrillion</f>
        <v/>
      </c>
      <c r="K130">
        <f>SUMIFS('Crosswalk AEO to EPS Summary'!L:L,'Crosswalk AEO to EPS Summary'!$C:$C,$B130)*Percent_rural*quadrillion</f>
        <v/>
      </c>
      <c r="L130">
        <f>SUMIFS('Crosswalk AEO to EPS Summary'!M:M,'Crosswalk AEO to EPS Summary'!$C:$C,$B130)*Percent_rural*quadrillion</f>
        <v/>
      </c>
      <c r="M130">
        <f>SUMIFS('Crosswalk AEO to EPS Summary'!N:N,'Crosswalk AEO to EPS Summary'!$C:$C,$B130)*Percent_rural*quadrillion</f>
        <v/>
      </c>
      <c r="N130">
        <f>SUMIFS('Crosswalk AEO to EPS Summary'!O:O,'Crosswalk AEO to EPS Summary'!$C:$C,$B130)*Percent_rural*quadrillion</f>
        <v/>
      </c>
      <c r="O130">
        <f>SUMIFS('Crosswalk AEO to EPS Summary'!P:P,'Crosswalk AEO to EPS Summary'!$C:$C,$B130)*Percent_rural*quadrillion</f>
        <v/>
      </c>
      <c r="P130">
        <f>SUMIFS('Crosswalk AEO to EPS Summary'!Q:Q,'Crosswalk AEO to EPS Summary'!$C:$C,$B130)*Percent_rural*quadrillion</f>
        <v/>
      </c>
      <c r="Q130">
        <f>SUMIFS('Crosswalk AEO to EPS Summary'!R:R,'Crosswalk AEO to EPS Summary'!$C:$C,$B130)*Percent_rural*quadrillion</f>
        <v/>
      </c>
      <c r="R130">
        <f>SUMIFS('Crosswalk AEO to EPS Summary'!S:S,'Crosswalk AEO to EPS Summary'!$C:$C,$B130)*Percent_rural*quadrillion</f>
        <v/>
      </c>
      <c r="S130">
        <f>SUMIFS('Crosswalk AEO to EPS Summary'!T:T,'Crosswalk AEO to EPS Summary'!$C:$C,$B130)*Percent_rural*quadrillion</f>
        <v/>
      </c>
      <c r="T130">
        <f>SUMIFS('Crosswalk AEO to EPS Summary'!U:U,'Crosswalk AEO to EPS Summary'!$C:$C,$B130)*Percent_rural*quadrillion</f>
        <v/>
      </c>
      <c r="U130">
        <f>SUMIFS('Crosswalk AEO to EPS Summary'!V:V,'Crosswalk AEO to EPS Summary'!$C:$C,$B130)*Percent_rural*quadrillion</f>
        <v/>
      </c>
      <c r="V130">
        <f>SUMIFS('Crosswalk AEO to EPS Summary'!W:W,'Crosswalk AEO to EPS Summary'!$C:$C,$B130)*Percent_rural*quadrillion</f>
        <v/>
      </c>
      <c r="W130">
        <f>SUMIFS('Crosswalk AEO to EPS Summary'!X:X,'Crosswalk AEO to EPS Summary'!$C:$C,$B130)*Percent_rural*quadrillion</f>
        <v/>
      </c>
      <c r="X130">
        <f>SUMIFS('Crosswalk AEO to EPS Summary'!Y:Y,'Crosswalk AEO to EPS Summary'!$C:$C,$B130)*Percent_rural*quadrillion</f>
        <v/>
      </c>
      <c r="Y130">
        <f>SUMIFS('Crosswalk AEO to EPS Summary'!Z:Z,'Crosswalk AEO to EPS Summary'!$C:$C,$B130)*Percent_rural*quadrillion</f>
        <v/>
      </c>
      <c r="Z130">
        <f>SUMIFS('Crosswalk AEO to EPS Summary'!AA:AA,'Crosswalk AEO to EPS Summary'!$C:$C,$B130)*Percent_rural*quadrillion</f>
        <v/>
      </c>
      <c r="AA130">
        <f>SUMIFS('Crosswalk AEO to EPS Summary'!AB:AB,'Crosswalk AEO to EPS Summary'!$C:$C,$B130)*Percent_rural*quadrillion</f>
        <v/>
      </c>
      <c r="AB130">
        <f>SUMIFS('Crosswalk AEO to EPS Summary'!AC:AC,'Crosswalk AEO to EPS Summary'!$C:$C,$B130)*Percent_rural*quadrillion</f>
        <v/>
      </c>
      <c r="AC130">
        <f>SUMIFS('Crosswalk AEO to EPS Summary'!AD:AD,'Crosswalk AEO to EPS Summary'!$C:$C,$B130)*Percent_rural*quadrillion</f>
        <v/>
      </c>
      <c r="AD130">
        <f>SUMIFS('Crosswalk AEO to EPS Summary'!AE:AE,'Crosswalk AEO to EPS Summary'!$C:$C,$B130)*Percent_rural*quadrillion</f>
        <v/>
      </c>
      <c r="AE130">
        <f>SUMIFS('Crosswalk AEO to EPS Summary'!AF:AF,'Crosswalk AEO to EPS Summary'!$C:$C,$B130)*Percent_rural*quadrillion</f>
        <v/>
      </c>
      <c r="AF130">
        <f>SUMIFS('Crosswalk AEO to EPS Summary'!AG:AG,'Crosswalk AEO to EPS Summary'!$C:$C,$B130)*Percent_rural*quadrillion</f>
        <v/>
      </c>
    </row>
    <row r="131">
      <c r="B131" s="53">
        <f>C131&amp;"-"&amp;D131&amp;"-"&amp;E131</f>
        <v/>
      </c>
      <c r="C131" t="inlineStr">
        <is>
          <t>residential</t>
        </is>
      </c>
      <c r="D131" t="inlineStr">
        <is>
          <t>other</t>
        </is>
      </c>
      <c r="E131" t="inlineStr">
        <is>
          <t>hydrogen (BTU)</t>
        </is>
      </c>
      <c r="F131" t="n">
        <v>0</v>
      </c>
      <c r="G131" t="n">
        <v>0</v>
      </c>
      <c r="H131" t="n">
        <v>0</v>
      </c>
      <c r="I131" t="n">
        <v>0</v>
      </c>
      <c r="J131" t="n">
        <v>0</v>
      </c>
      <c r="K131" t="n">
        <v>0</v>
      </c>
      <c r="L131" t="n">
        <v>0</v>
      </c>
      <c r="M131" t="n">
        <v>0</v>
      </c>
      <c r="N131" t="n">
        <v>0</v>
      </c>
      <c r="O131" t="n">
        <v>0</v>
      </c>
      <c r="P131" t="n">
        <v>0</v>
      </c>
      <c r="Q131" t="n">
        <v>0</v>
      </c>
      <c r="R131" t="n">
        <v>0</v>
      </c>
      <c r="S131" t="n">
        <v>0</v>
      </c>
      <c r="T131" t="n">
        <v>0</v>
      </c>
      <c r="U131" t="n">
        <v>0</v>
      </c>
      <c r="V131" t="n">
        <v>0</v>
      </c>
      <c r="W131" t="n">
        <v>0</v>
      </c>
      <c r="X131" t="n">
        <v>0</v>
      </c>
      <c r="Y131" t="n">
        <v>0</v>
      </c>
      <c r="Z131" t="n">
        <v>0</v>
      </c>
      <c r="AA131" t="n">
        <v>0</v>
      </c>
      <c r="AB131" t="n">
        <v>0</v>
      </c>
      <c r="AC131" t="n">
        <v>0</v>
      </c>
      <c r="AD131" t="n">
        <v>0</v>
      </c>
      <c r="AE131" t="n">
        <v>0</v>
      </c>
      <c r="AF131" t="n">
        <v>0</v>
      </c>
    </row>
    <row r="132" ht="18" customFormat="1" customHeight="1" s="12">
      <c r="A132" s="14" t="inlineStr">
        <is>
          <t>Table 5</t>
        </is>
      </c>
    </row>
    <row r="133">
      <c r="B133" s="1" t="inlineStr">
        <is>
          <t>BCEU-commercial-heating</t>
        </is>
      </c>
    </row>
    <row r="134">
      <c r="E134" t="inlineStr">
        <is>
          <t>Year</t>
        </is>
      </c>
      <c r="F134" s="1" t="n">
        <v>2024</v>
      </c>
      <c r="G134" s="1" t="n">
        <v>2025</v>
      </c>
      <c r="H134" s="1" t="n">
        <v>2026</v>
      </c>
      <c r="I134" s="1" t="n">
        <v>2027</v>
      </c>
      <c r="J134" s="1" t="n">
        <v>2028</v>
      </c>
      <c r="K134" s="1" t="n">
        <v>2029</v>
      </c>
      <c r="L134" s="1" t="n">
        <v>2030</v>
      </c>
      <c r="M134" s="1" t="n">
        <v>2031</v>
      </c>
      <c r="N134" s="1" t="n">
        <v>2032</v>
      </c>
      <c r="O134" s="1" t="n">
        <v>2033</v>
      </c>
      <c r="P134" s="1" t="n">
        <v>2034</v>
      </c>
      <c r="Q134" s="1" t="n">
        <v>2035</v>
      </c>
      <c r="R134" s="1" t="n">
        <v>2036</v>
      </c>
      <c r="S134" s="1" t="n">
        <v>2037</v>
      </c>
      <c r="T134" s="1" t="n">
        <v>2038</v>
      </c>
      <c r="U134" s="1" t="n">
        <v>2039</v>
      </c>
      <c r="V134" s="1" t="n">
        <v>2040</v>
      </c>
      <c r="W134" s="1" t="n">
        <v>2041</v>
      </c>
      <c r="X134" s="1" t="n">
        <v>2042</v>
      </c>
      <c r="Y134" s="1" t="n">
        <v>2043</v>
      </c>
      <c r="Z134" s="1" t="n">
        <v>2044</v>
      </c>
      <c r="AA134" s="1" t="n">
        <v>2045</v>
      </c>
      <c r="AB134" s="1" t="n">
        <v>2046</v>
      </c>
      <c r="AC134" s="1" t="n">
        <v>2047</v>
      </c>
      <c r="AD134" s="1" t="n">
        <v>2048</v>
      </c>
      <c r="AE134" s="1" t="n">
        <v>2049</v>
      </c>
      <c r="AF134" s="1" t="n">
        <v>2050</v>
      </c>
    </row>
    <row r="135">
      <c r="B135" s="53">
        <f>C135&amp;"-"&amp;D135&amp;"-"&amp;E135</f>
        <v/>
      </c>
      <c r="C135" t="inlineStr">
        <is>
          <t>commercial</t>
        </is>
      </c>
      <c r="D135" t="inlineStr">
        <is>
          <t>heating</t>
        </is>
      </c>
      <c r="E135" t="inlineStr">
        <is>
          <t>electricity (BTU)</t>
        </is>
      </c>
      <c r="F135">
        <f>SUMIFS('Crosswalk AEO to EPS Summary'!G:G,'Crosswalk AEO to EPS Summary'!$C:$C,$B135)*quadrillion</f>
        <v/>
      </c>
      <c r="G135">
        <f>SUMIFS('Crosswalk AEO to EPS Summary'!H:H,'Crosswalk AEO to EPS Summary'!$C:$C,$B135)*quadrillion</f>
        <v/>
      </c>
      <c r="H135">
        <f>SUMIFS('Crosswalk AEO to EPS Summary'!I:I,'Crosswalk AEO to EPS Summary'!$C:$C,$B135)*quadrillion</f>
        <v/>
      </c>
      <c r="I135">
        <f>SUMIFS('Crosswalk AEO to EPS Summary'!J:J,'Crosswalk AEO to EPS Summary'!$C:$C,$B135)*quadrillion</f>
        <v/>
      </c>
      <c r="J135">
        <f>SUMIFS('Crosswalk AEO to EPS Summary'!K:K,'Crosswalk AEO to EPS Summary'!$C:$C,$B135)*quadrillion</f>
        <v/>
      </c>
      <c r="K135">
        <f>SUMIFS('Crosswalk AEO to EPS Summary'!L:L,'Crosswalk AEO to EPS Summary'!$C:$C,$B135)*quadrillion</f>
        <v/>
      </c>
      <c r="L135">
        <f>SUMIFS('Crosswalk AEO to EPS Summary'!M:M,'Crosswalk AEO to EPS Summary'!$C:$C,$B135)*quadrillion</f>
        <v/>
      </c>
      <c r="M135">
        <f>SUMIFS('Crosswalk AEO to EPS Summary'!N:N,'Crosswalk AEO to EPS Summary'!$C:$C,$B135)*quadrillion</f>
        <v/>
      </c>
      <c r="N135">
        <f>SUMIFS('Crosswalk AEO to EPS Summary'!O:O,'Crosswalk AEO to EPS Summary'!$C:$C,$B135)*quadrillion</f>
        <v/>
      </c>
      <c r="O135">
        <f>SUMIFS('Crosswalk AEO to EPS Summary'!P:P,'Crosswalk AEO to EPS Summary'!$C:$C,$B135)*quadrillion</f>
        <v/>
      </c>
      <c r="P135">
        <f>SUMIFS('Crosswalk AEO to EPS Summary'!Q:Q,'Crosswalk AEO to EPS Summary'!$C:$C,$B135)*quadrillion</f>
        <v/>
      </c>
      <c r="Q135">
        <f>SUMIFS('Crosswalk AEO to EPS Summary'!R:R,'Crosswalk AEO to EPS Summary'!$C:$C,$B135)*quadrillion</f>
        <v/>
      </c>
      <c r="R135">
        <f>SUMIFS('Crosswalk AEO to EPS Summary'!S:S,'Crosswalk AEO to EPS Summary'!$C:$C,$B135)*quadrillion</f>
        <v/>
      </c>
      <c r="S135">
        <f>SUMIFS('Crosswalk AEO to EPS Summary'!T:T,'Crosswalk AEO to EPS Summary'!$C:$C,$B135)*quadrillion</f>
        <v/>
      </c>
      <c r="T135">
        <f>SUMIFS('Crosswalk AEO to EPS Summary'!U:U,'Crosswalk AEO to EPS Summary'!$C:$C,$B135)*quadrillion</f>
        <v/>
      </c>
      <c r="U135">
        <f>SUMIFS('Crosswalk AEO to EPS Summary'!V:V,'Crosswalk AEO to EPS Summary'!$C:$C,$B135)*quadrillion</f>
        <v/>
      </c>
      <c r="V135">
        <f>SUMIFS('Crosswalk AEO to EPS Summary'!W:W,'Crosswalk AEO to EPS Summary'!$C:$C,$B135)*quadrillion</f>
        <v/>
      </c>
      <c r="W135">
        <f>SUMIFS('Crosswalk AEO to EPS Summary'!X:X,'Crosswalk AEO to EPS Summary'!$C:$C,$B135)*quadrillion</f>
        <v/>
      </c>
      <c r="X135">
        <f>SUMIFS('Crosswalk AEO to EPS Summary'!Y:Y,'Crosswalk AEO to EPS Summary'!$C:$C,$B135)*quadrillion</f>
        <v/>
      </c>
      <c r="Y135">
        <f>SUMIFS('Crosswalk AEO to EPS Summary'!Z:Z,'Crosswalk AEO to EPS Summary'!$C:$C,$B135)*quadrillion</f>
        <v/>
      </c>
      <c r="Z135">
        <f>SUMIFS('Crosswalk AEO to EPS Summary'!AA:AA,'Crosswalk AEO to EPS Summary'!$C:$C,$B135)*quadrillion</f>
        <v/>
      </c>
      <c r="AA135">
        <f>SUMIFS('Crosswalk AEO to EPS Summary'!AB:AB,'Crosswalk AEO to EPS Summary'!$C:$C,$B135)*quadrillion</f>
        <v/>
      </c>
      <c r="AB135">
        <f>SUMIFS('Crosswalk AEO to EPS Summary'!AC:AC,'Crosswalk AEO to EPS Summary'!$C:$C,$B135)*quadrillion</f>
        <v/>
      </c>
      <c r="AC135">
        <f>SUMIFS('Crosswalk AEO to EPS Summary'!AD:AD,'Crosswalk AEO to EPS Summary'!$C:$C,$B135)*quadrillion</f>
        <v/>
      </c>
      <c r="AD135">
        <f>SUMIFS('Crosswalk AEO to EPS Summary'!AE:AE,'Crosswalk AEO to EPS Summary'!$C:$C,$B135)*quadrillion</f>
        <v/>
      </c>
      <c r="AE135">
        <f>SUMIFS('Crosswalk AEO to EPS Summary'!AF:AF,'Crosswalk AEO to EPS Summary'!$C:$C,$B135)*quadrillion</f>
        <v/>
      </c>
      <c r="AF135">
        <f>SUMIFS('Crosswalk AEO to EPS Summary'!AG:AG,'Crosswalk AEO to EPS Summary'!$C:$C,$B135)*quadrillion</f>
        <v/>
      </c>
    </row>
    <row r="136">
      <c r="B136" s="53">
        <f>C136&amp;"-"&amp;D136&amp;"-"&amp;E136</f>
        <v/>
      </c>
      <c r="C136" t="inlineStr">
        <is>
          <t>commercial</t>
        </is>
      </c>
      <c r="D136" t="inlineStr">
        <is>
          <t>heating</t>
        </is>
      </c>
      <c r="E136" t="inlineStr">
        <is>
          <t>coal (BTU)</t>
        </is>
      </c>
      <c r="F136" t="n">
        <v>0</v>
      </c>
      <c r="G136" t="n">
        <v>0</v>
      </c>
      <c r="H136" t="n">
        <v>0</v>
      </c>
      <c r="I136" t="n">
        <v>0</v>
      </c>
      <c r="J136" t="n">
        <v>0</v>
      </c>
      <c r="K136" t="n">
        <v>0</v>
      </c>
      <c r="L136" t="n">
        <v>0</v>
      </c>
      <c r="M136" t="n">
        <v>0</v>
      </c>
      <c r="N136" t="n">
        <v>0</v>
      </c>
      <c r="O136" t="n">
        <v>0</v>
      </c>
      <c r="P136" t="n">
        <v>0</v>
      </c>
      <c r="Q136" t="n">
        <v>0</v>
      </c>
      <c r="R136" t="n">
        <v>0</v>
      </c>
      <c r="S136" t="n">
        <v>0</v>
      </c>
      <c r="T136" t="n">
        <v>0</v>
      </c>
      <c r="U136" t="n">
        <v>0</v>
      </c>
      <c r="V136" t="n">
        <v>0</v>
      </c>
      <c r="W136" t="n">
        <v>0</v>
      </c>
      <c r="X136" t="n">
        <v>0</v>
      </c>
      <c r="Y136" t="n">
        <v>0</v>
      </c>
      <c r="Z136" t="n">
        <v>0</v>
      </c>
      <c r="AA136" t="n">
        <v>0</v>
      </c>
      <c r="AB136" t="n">
        <v>0</v>
      </c>
      <c r="AC136" t="n">
        <v>0</v>
      </c>
      <c r="AD136" t="n">
        <v>0</v>
      </c>
      <c r="AE136" t="n">
        <v>0</v>
      </c>
      <c r="AF136" t="n">
        <v>0</v>
      </c>
    </row>
    <row r="137">
      <c r="B137" s="53">
        <f>C137&amp;"-"&amp;D137&amp;"-"&amp;E137</f>
        <v/>
      </c>
      <c r="C137" t="inlineStr">
        <is>
          <t>commercial</t>
        </is>
      </c>
      <c r="D137" t="inlineStr">
        <is>
          <t>heating</t>
        </is>
      </c>
      <c r="E137" t="inlineStr">
        <is>
          <t>natural gas (BTU)</t>
        </is>
      </c>
      <c r="F137">
        <f>SUMIFS('Crosswalk AEO to EPS Summary'!G:G,'Crosswalk AEO to EPS Summary'!$C:$C,$B137)*quadrillion</f>
        <v/>
      </c>
      <c r="G137">
        <f>SUMIFS('Crosswalk AEO to EPS Summary'!H:H,'Crosswalk AEO to EPS Summary'!$C:$C,$B137)*quadrillion</f>
        <v/>
      </c>
      <c r="H137">
        <f>SUMIFS('Crosswalk AEO to EPS Summary'!I:I,'Crosswalk AEO to EPS Summary'!$C:$C,$B137)*quadrillion</f>
        <v/>
      </c>
      <c r="I137">
        <f>SUMIFS('Crosswalk AEO to EPS Summary'!J:J,'Crosswalk AEO to EPS Summary'!$C:$C,$B137)*quadrillion</f>
        <v/>
      </c>
      <c r="J137">
        <f>SUMIFS('Crosswalk AEO to EPS Summary'!K:K,'Crosswalk AEO to EPS Summary'!$C:$C,$B137)*quadrillion</f>
        <v/>
      </c>
      <c r="K137">
        <f>SUMIFS('Crosswalk AEO to EPS Summary'!L:L,'Crosswalk AEO to EPS Summary'!$C:$C,$B137)*quadrillion</f>
        <v/>
      </c>
      <c r="L137">
        <f>SUMIFS('Crosswalk AEO to EPS Summary'!M:M,'Crosswalk AEO to EPS Summary'!$C:$C,$B137)*quadrillion</f>
        <v/>
      </c>
      <c r="M137">
        <f>SUMIFS('Crosswalk AEO to EPS Summary'!N:N,'Crosswalk AEO to EPS Summary'!$C:$C,$B137)*quadrillion</f>
        <v/>
      </c>
      <c r="N137">
        <f>SUMIFS('Crosswalk AEO to EPS Summary'!O:O,'Crosswalk AEO to EPS Summary'!$C:$C,$B137)*quadrillion</f>
        <v/>
      </c>
      <c r="O137">
        <f>SUMIFS('Crosswalk AEO to EPS Summary'!P:P,'Crosswalk AEO to EPS Summary'!$C:$C,$B137)*quadrillion</f>
        <v/>
      </c>
      <c r="P137">
        <f>SUMIFS('Crosswalk AEO to EPS Summary'!Q:Q,'Crosswalk AEO to EPS Summary'!$C:$C,$B137)*quadrillion</f>
        <v/>
      </c>
      <c r="Q137">
        <f>SUMIFS('Crosswalk AEO to EPS Summary'!R:R,'Crosswalk AEO to EPS Summary'!$C:$C,$B137)*quadrillion</f>
        <v/>
      </c>
      <c r="R137">
        <f>SUMIFS('Crosswalk AEO to EPS Summary'!S:S,'Crosswalk AEO to EPS Summary'!$C:$C,$B137)*quadrillion</f>
        <v/>
      </c>
      <c r="S137">
        <f>SUMIFS('Crosswalk AEO to EPS Summary'!T:T,'Crosswalk AEO to EPS Summary'!$C:$C,$B137)*quadrillion</f>
        <v/>
      </c>
      <c r="T137">
        <f>SUMIFS('Crosswalk AEO to EPS Summary'!U:U,'Crosswalk AEO to EPS Summary'!$C:$C,$B137)*quadrillion</f>
        <v/>
      </c>
      <c r="U137">
        <f>SUMIFS('Crosswalk AEO to EPS Summary'!V:V,'Crosswalk AEO to EPS Summary'!$C:$C,$B137)*quadrillion</f>
        <v/>
      </c>
      <c r="V137">
        <f>SUMIFS('Crosswalk AEO to EPS Summary'!W:W,'Crosswalk AEO to EPS Summary'!$C:$C,$B137)*quadrillion</f>
        <v/>
      </c>
      <c r="W137">
        <f>SUMIFS('Crosswalk AEO to EPS Summary'!X:X,'Crosswalk AEO to EPS Summary'!$C:$C,$B137)*quadrillion</f>
        <v/>
      </c>
      <c r="X137">
        <f>SUMIFS('Crosswalk AEO to EPS Summary'!Y:Y,'Crosswalk AEO to EPS Summary'!$C:$C,$B137)*quadrillion</f>
        <v/>
      </c>
      <c r="Y137">
        <f>SUMIFS('Crosswalk AEO to EPS Summary'!Z:Z,'Crosswalk AEO to EPS Summary'!$C:$C,$B137)*quadrillion</f>
        <v/>
      </c>
      <c r="Z137">
        <f>SUMIFS('Crosswalk AEO to EPS Summary'!AA:AA,'Crosswalk AEO to EPS Summary'!$C:$C,$B137)*quadrillion</f>
        <v/>
      </c>
      <c r="AA137">
        <f>SUMIFS('Crosswalk AEO to EPS Summary'!AB:AB,'Crosswalk AEO to EPS Summary'!$C:$C,$B137)*quadrillion</f>
        <v/>
      </c>
      <c r="AB137">
        <f>SUMIFS('Crosswalk AEO to EPS Summary'!AC:AC,'Crosswalk AEO to EPS Summary'!$C:$C,$B137)*quadrillion</f>
        <v/>
      </c>
      <c r="AC137">
        <f>SUMIFS('Crosswalk AEO to EPS Summary'!AD:AD,'Crosswalk AEO to EPS Summary'!$C:$C,$B137)*quadrillion</f>
        <v/>
      </c>
      <c r="AD137">
        <f>SUMIFS('Crosswalk AEO to EPS Summary'!AE:AE,'Crosswalk AEO to EPS Summary'!$C:$C,$B137)*quadrillion</f>
        <v/>
      </c>
      <c r="AE137">
        <f>SUMIFS('Crosswalk AEO to EPS Summary'!AF:AF,'Crosswalk AEO to EPS Summary'!$C:$C,$B137)*quadrillion</f>
        <v/>
      </c>
      <c r="AF137">
        <f>SUMIFS('Crosswalk AEO to EPS Summary'!AG:AG,'Crosswalk AEO to EPS Summary'!$C:$C,$B137)*quadrillion</f>
        <v/>
      </c>
    </row>
    <row r="138">
      <c r="B138" s="53">
        <f>C138&amp;"-"&amp;D138&amp;"-"&amp;E138</f>
        <v/>
      </c>
      <c r="C138" t="inlineStr">
        <is>
          <t>commercial</t>
        </is>
      </c>
      <c r="D138" t="inlineStr">
        <is>
          <t>heating</t>
        </is>
      </c>
      <c r="E138" t="inlineStr">
        <is>
          <t>petroleum diesel (BTU)</t>
        </is>
      </c>
      <c r="F138">
        <f>SUMIFS('Crosswalk AEO to EPS Summary'!G:G,'Crosswalk AEO to EPS Summary'!$C:$C,$B138)*quadrillion</f>
        <v/>
      </c>
      <c r="G138">
        <f>SUMIFS('Crosswalk AEO to EPS Summary'!H:H,'Crosswalk AEO to EPS Summary'!$C:$C,$B138)*quadrillion</f>
        <v/>
      </c>
      <c r="H138">
        <f>SUMIFS('Crosswalk AEO to EPS Summary'!I:I,'Crosswalk AEO to EPS Summary'!$C:$C,$B138)*quadrillion</f>
        <v/>
      </c>
      <c r="I138">
        <f>SUMIFS('Crosswalk AEO to EPS Summary'!J:J,'Crosswalk AEO to EPS Summary'!$C:$C,$B138)*quadrillion</f>
        <v/>
      </c>
      <c r="J138">
        <f>SUMIFS('Crosswalk AEO to EPS Summary'!K:K,'Crosswalk AEO to EPS Summary'!$C:$C,$B138)*quadrillion</f>
        <v/>
      </c>
      <c r="K138">
        <f>SUMIFS('Crosswalk AEO to EPS Summary'!L:L,'Crosswalk AEO to EPS Summary'!$C:$C,$B138)*quadrillion</f>
        <v/>
      </c>
      <c r="L138">
        <f>SUMIFS('Crosswalk AEO to EPS Summary'!M:M,'Crosswalk AEO to EPS Summary'!$C:$C,$B138)*quadrillion</f>
        <v/>
      </c>
      <c r="M138">
        <f>SUMIFS('Crosswalk AEO to EPS Summary'!N:N,'Crosswalk AEO to EPS Summary'!$C:$C,$B138)*quadrillion</f>
        <v/>
      </c>
      <c r="N138">
        <f>SUMIFS('Crosswalk AEO to EPS Summary'!O:O,'Crosswalk AEO to EPS Summary'!$C:$C,$B138)*quadrillion</f>
        <v/>
      </c>
      <c r="O138">
        <f>SUMIFS('Crosswalk AEO to EPS Summary'!P:P,'Crosswalk AEO to EPS Summary'!$C:$C,$B138)*quadrillion</f>
        <v/>
      </c>
      <c r="P138">
        <f>SUMIFS('Crosswalk AEO to EPS Summary'!Q:Q,'Crosswalk AEO to EPS Summary'!$C:$C,$B138)*quadrillion</f>
        <v/>
      </c>
      <c r="Q138">
        <f>SUMIFS('Crosswalk AEO to EPS Summary'!R:R,'Crosswalk AEO to EPS Summary'!$C:$C,$B138)*quadrillion</f>
        <v/>
      </c>
      <c r="R138">
        <f>SUMIFS('Crosswalk AEO to EPS Summary'!S:S,'Crosswalk AEO to EPS Summary'!$C:$C,$B138)*quadrillion</f>
        <v/>
      </c>
      <c r="S138">
        <f>SUMIFS('Crosswalk AEO to EPS Summary'!T:T,'Crosswalk AEO to EPS Summary'!$C:$C,$B138)*quadrillion</f>
        <v/>
      </c>
      <c r="T138">
        <f>SUMIFS('Crosswalk AEO to EPS Summary'!U:U,'Crosswalk AEO to EPS Summary'!$C:$C,$B138)*quadrillion</f>
        <v/>
      </c>
      <c r="U138">
        <f>SUMIFS('Crosswalk AEO to EPS Summary'!V:V,'Crosswalk AEO to EPS Summary'!$C:$C,$B138)*quadrillion</f>
        <v/>
      </c>
      <c r="V138">
        <f>SUMIFS('Crosswalk AEO to EPS Summary'!W:W,'Crosswalk AEO to EPS Summary'!$C:$C,$B138)*quadrillion</f>
        <v/>
      </c>
      <c r="W138">
        <f>SUMIFS('Crosswalk AEO to EPS Summary'!X:X,'Crosswalk AEO to EPS Summary'!$C:$C,$B138)*quadrillion</f>
        <v/>
      </c>
      <c r="X138">
        <f>SUMIFS('Crosswalk AEO to EPS Summary'!Y:Y,'Crosswalk AEO to EPS Summary'!$C:$C,$B138)*quadrillion</f>
        <v/>
      </c>
      <c r="Y138">
        <f>SUMIFS('Crosswalk AEO to EPS Summary'!Z:Z,'Crosswalk AEO to EPS Summary'!$C:$C,$B138)*quadrillion</f>
        <v/>
      </c>
      <c r="Z138">
        <f>SUMIFS('Crosswalk AEO to EPS Summary'!AA:AA,'Crosswalk AEO to EPS Summary'!$C:$C,$B138)*quadrillion</f>
        <v/>
      </c>
      <c r="AA138">
        <f>SUMIFS('Crosswalk AEO to EPS Summary'!AB:AB,'Crosswalk AEO to EPS Summary'!$C:$C,$B138)*quadrillion</f>
        <v/>
      </c>
      <c r="AB138">
        <f>SUMIFS('Crosswalk AEO to EPS Summary'!AC:AC,'Crosswalk AEO to EPS Summary'!$C:$C,$B138)*quadrillion</f>
        <v/>
      </c>
      <c r="AC138">
        <f>SUMIFS('Crosswalk AEO to EPS Summary'!AD:AD,'Crosswalk AEO to EPS Summary'!$C:$C,$B138)*quadrillion</f>
        <v/>
      </c>
      <c r="AD138">
        <f>SUMIFS('Crosswalk AEO to EPS Summary'!AE:AE,'Crosswalk AEO to EPS Summary'!$C:$C,$B138)*quadrillion</f>
        <v/>
      </c>
      <c r="AE138">
        <f>SUMIFS('Crosswalk AEO to EPS Summary'!AF:AF,'Crosswalk AEO to EPS Summary'!$C:$C,$B138)*quadrillion</f>
        <v/>
      </c>
      <c r="AF138">
        <f>SUMIFS('Crosswalk AEO to EPS Summary'!AG:AG,'Crosswalk AEO to EPS Summary'!$C:$C,$B138)*quadrillion</f>
        <v/>
      </c>
    </row>
    <row r="139">
      <c r="B139" s="53">
        <f>C139&amp;"-"&amp;D139&amp;"-"&amp;E139</f>
        <v/>
      </c>
      <c r="C139" t="inlineStr">
        <is>
          <t>commercial</t>
        </is>
      </c>
      <c r="D139" t="inlineStr">
        <is>
          <t>heating</t>
        </is>
      </c>
      <c r="E139" t="inlineStr">
        <is>
          <t>heat (BTU)</t>
        </is>
      </c>
      <c r="F139">
        <f>SUMIFS('Crosswalk AEO to EPS Summary'!G:G,'Crosswalk AEO to EPS Summary'!$C:$C,$B139)*quadrillion</f>
        <v/>
      </c>
      <c r="G139">
        <f>SUMIFS('Crosswalk AEO to EPS Summary'!H:H,'Crosswalk AEO to EPS Summary'!$C:$C,$B139)*quadrillion</f>
        <v/>
      </c>
      <c r="H139">
        <f>SUMIFS('Crosswalk AEO to EPS Summary'!I:I,'Crosswalk AEO to EPS Summary'!$C:$C,$B139)*quadrillion</f>
        <v/>
      </c>
      <c r="I139">
        <f>SUMIFS('Crosswalk AEO to EPS Summary'!J:J,'Crosswalk AEO to EPS Summary'!$C:$C,$B139)*quadrillion</f>
        <v/>
      </c>
      <c r="J139">
        <f>SUMIFS('Crosswalk AEO to EPS Summary'!K:K,'Crosswalk AEO to EPS Summary'!$C:$C,$B139)*quadrillion</f>
        <v/>
      </c>
      <c r="K139">
        <f>SUMIFS('Crosswalk AEO to EPS Summary'!L:L,'Crosswalk AEO to EPS Summary'!$C:$C,$B139)*quadrillion</f>
        <v/>
      </c>
      <c r="L139">
        <f>SUMIFS('Crosswalk AEO to EPS Summary'!M:M,'Crosswalk AEO to EPS Summary'!$C:$C,$B139)*quadrillion</f>
        <v/>
      </c>
      <c r="M139">
        <f>SUMIFS('Crosswalk AEO to EPS Summary'!N:N,'Crosswalk AEO to EPS Summary'!$C:$C,$B139)*quadrillion</f>
        <v/>
      </c>
      <c r="N139">
        <f>SUMIFS('Crosswalk AEO to EPS Summary'!O:O,'Crosswalk AEO to EPS Summary'!$C:$C,$B139)*quadrillion</f>
        <v/>
      </c>
      <c r="O139">
        <f>SUMIFS('Crosswalk AEO to EPS Summary'!P:P,'Crosswalk AEO to EPS Summary'!$C:$C,$B139)*quadrillion</f>
        <v/>
      </c>
      <c r="P139">
        <f>SUMIFS('Crosswalk AEO to EPS Summary'!Q:Q,'Crosswalk AEO to EPS Summary'!$C:$C,$B139)*quadrillion</f>
        <v/>
      </c>
      <c r="Q139">
        <f>SUMIFS('Crosswalk AEO to EPS Summary'!R:R,'Crosswalk AEO to EPS Summary'!$C:$C,$B139)*quadrillion</f>
        <v/>
      </c>
      <c r="R139">
        <f>SUMIFS('Crosswalk AEO to EPS Summary'!S:S,'Crosswalk AEO to EPS Summary'!$C:$C,$B139)*quadrillion</f>
        <v/>
      </c>
      <c r="S139">
        <f>SUMIFS('Crosswalk AEO to EPS Summary'!T:T,'Crosswalk AEO to EPS Summary'!$C:$C,$B139)*quadrillion</f>
        <v/>
      </c>
      <c r="T139">
        <f>SUMIFS('Crosswalk AEO to EPS Summary'!U:U,'Crosswalk AEO to EPS Summary'!$C:$C,$B139)*quadrillion</f>
        <v/>
      </c>
      <c r="U139">
        <f>SUMIFS('Crosswalk AEO to EPS Summary'!V:V,'Crosswalk AEO to EPS Summary'!$C:$C,$B139)*quadrillion</f>
        <v/>
      </c>
      <c r="V139">
        <f>SUMIFS('Crosswalk AEO to EPS Summary'!W:W,'Crosswalk AEO to EPS Summary'!$C:$C,$B139)*quadrillion</f>
        <v/>
      </c>
      <c r="W139">
        <f>SUMIFS('Crosswalk AEO to EPS Summary'!X:X,'Crosswalk AEO to EPS Summary'!$C:$C,$B139)*quadrillion</f>
        <v/>
      </c>
      <c r="X139">
        <f>SUMIFS('Crosswalk AEO to EPS Summary'!Y:Y,'Crosswalk AEO to EPS Summary'!$C:$C,$B139)*quadrillion</f>
        <v/>
      </c>
      <c r="Y139">
        <f>SUMIFS('Crosswalk AEO to EPS Summary'!Z:Z,'Crosswalk AEO to EPS Summary'!$C:$C,$B139)*quadrillion</f>
        <v/>
      </c>
      <c r="Z139">
        <f>SUMIFS('Crosswalk AEO to EPS Summary'!AA:AA,'Crosswalk AEO to EPS Summary'!$C:$C,$B139)*quadrillion</f>
        <v/>
      </c>
      <c r="AA139">
        <f>SUMIFS('Crosswalk AEO to EPS Summary'!AB:AB,'Crosswalk AEO to EPS Summary'!$C:$C,$B139)*quadrillion</f>
        <v/>
      </c>
      <c r="AB139">
        <f>SUMIFS('Crosswalk AEO to EPS Summary'!AC:AC,'Crosswalk AEO to EPS Summary'!$C:$C,$B139)*quadrillion</f>
        <v/>
      </c>
      <c r="AC139">
        <f>SUMIFS('Crosswalk AEO to EPS Summary'!AD:AD,'Crosswalk AEO to EPS Summary'!$C:$C,$B139)*quadrillion</f>
        <v/>
      </c>
      <c r="AD139">
        <f>SUMIFS('Crosswalk AEO to EPS Summary'!AE:AE,'Crosswalk AEO to EPS Summary'!$C:$C,$B139)*quadrillion</f>
        <v/>
      </c>
      <c r="AE139">
        <f>SUMIFS('Crosswalk AEO to EPS Summary'!AF:AF,'Crosswalk AEO to EPS Summary'!$C:$C,$B139)*quadrillion</f>
        <v/>
      </c>
      <c r="AF139">
        <f>SUMIFS('Crosswalk AEO to EPS Summary'!AG:AG,'Crosswalk AEO to EPS Summary'!$C:$C,$B139)*quadrillion</f>
        <v/>
      </c>
    </row>
    <row r="140">
      <c r="B140" s="53">
        <f>C140&amp;"-"&amp;D140&amp;"-"&amp;E140</f>
        <v/>
      </c>
      <c r="C140" t="inlineStr">
        <is>
          <t>commercial</t>
        </is>
      </c>
      <c r="D140" t="inlineStr">
        <is>
          <t>heating</t>
        </is>
      </c>
      <c r="E140" t="inlineStr">
        <is>
          <t>biomass (BTU)</t>
        </is>
      </c>
      <c r="F140">
        <f>SUMIFS('Crosswalk AEO to EPS Summary'!G:G,'Crosswalk AEO to EPS Summary'!$C:$C,$B140)*quadrillion</f>
        <v/>
      </c>
      <c r="G140">
        <f>SUMIFS('Crosswalk AEO to EPS Summary'!H:H,'Crosswalk AEO to EPS Summary'!$C:$C,$B140)*quadrillion</f>
        <v/>
      </c>
      <c r="H140">
        <f>SUMIFS('Crosswalk AEO to EPS Summary'!I:I,'Crosswalk AEO to EPS Summary'!$C:$C,$B140)*quadrillion</f>
        <v/>
      </c>
      <c r="I140">
        <f>SUMIFS('Crosswalk AEO to EPS Summary'!J:J,'Crosswalk AEO to EPS Summary'!$C:$C,$B140)*quadrillion</f>
        <v/>
      </c>
      <c r="J140">
        <f>SUMIFS('Crosswalk AEO to EPS Summary'!K:K,'Crosswalk AEO to EPS Summary'!$C:$C,$B140)*quadrillion</f>
        <v/>
      </c>
      <c r="K140">
        <f>SUMIFS('Crosswalk AEO to EPS Summary'!L:L,'Crosswalk AEO to EPS Summary'!$C:$C,$B140)*quadrillion</f>
        <v/>
      </c>
      <c r="L140">
        <f>SUMIFS('Crosswalk AEO to EPS Summary'!M:M,'Crosswalk AEO to EPS Summary'!$C:$C,$B140)*quadrillion</f>
        <v/>
      </c>
      <c r="M140">
        <f>SUMIFS('Crosswalk AEO to EPS Summary'!N:N,'Crosswalk AEO to EPS Summary'!$C:$C,$B140)*quadrillion</f>
        <v/>
      </c>
      <c r="N140">
        <f>SUMIFS('Crosswalk AEO to EPS Summary'!O:O,'Crosswalk AEO to EPS Summary'!$C:$C,$B140)*quadrillion</f>
        <v/>
      </c>
      <c r="O140">
        <f>SUMIFS('Crosswalk AEO to EPS Summary'!P:P,'Crosswalk AEO to EPS Summary'!$C:$C,$B140)*quadrillion</f>
        <v/>
      </c>
      <c r="P140">
        <f>SUMIFS('Crosswalk AEO to EPS Summary'!Q:Q,'Crosswalk AEO to EPS Summary'!$C:$C,$B140)*quadrillion</f>
        <v/>
      </c>
      <c r="Q140">
        <f>SUMIFS('Crosswalk AEO to EPS Summary'!R:R,'Crosswalk AEO to EPS Summary'!$C:$C,$B140)*quadrillion</f>
        <v/>
      </c>
      <c r="R140">
        <f>SUMIFS('Crosswalk AEO to EPS Summary'!S:S,'Crosswalk AEO to EPS Summary'!$C:$C,$B140)*quadrillion</f>
        <v/>
      </c>
      <c r="S140">
        <f>SUMIFS('Crosswalk AEO to EPS Summary'!T:T,'Crosswalk AEO to EPS Summary'!$C:$C,$B140)*quadrillion</f>
        <v/>
      </c>
      <c r="T140">
        <f>SUMIFS('Crosswalk AEO to EPS Summary'!U:U,'Crosswalk AEO to EPS Summary'!$C:$C,$B140)*quadrillion</f>
        <v/>
      </c>
      <c r="U140">
        <f>SUMIFS('Crosswalk AEO to EPS Summary'!V:V,'Crosswalk AEO to EPS Summary'!$C:$C,$B140)*quadrillion</f>
        <v/>
      </c>
      <c r="V140">
        <f>SUMIFS('Crosswalk AEO to EPS Summary'!W:W,'Crosswalk AEO to EPS Summary'!$C:$C,$B140)*quadrillion</f>
        <v/>
      </c>
      <c r="W140">
        <f>SUMIFS('Crosswalk AEO to EPS Summary'!X:X,'Crosswalk AEO to EPS Summary'!$C:$C,$B140)*quadrillion</f>
        <v/>
      </c>
      <c r="X140">
        <f>SUMIFS('Crosswalk AEO to EPS Summary'!Y:Y,'Crosswalk AEO to EPS Summary'!$C:$C,$B140)*quadrillion</f>
        <v/>
      </c>
      <c r="Y140">
        <f>SUMIFS('Crosswalk AEO to EPS Summary'!Z:Z,'Crosswalk AEO to EPS Summary'!$C:$C,$B140)*quadrillion</f>
        <v/>
      </c>
      <c r="Z140">
        <f>SUMIFS('Crosswalk AEO to EPS Summary'!AA:AA,'Crosswalk AEO to EPS Summary'!$C:$C,$B140)*quadrillion</f>
        <v/>
      </c>
      <c r="AA140">
        <f>SUMIFS('Crosswalk AEO to EPS Summary'!AB:AB,'Crosswalk AEO to EPS Summary'!$C:$C,$B140)*quadrillion</f>
        <v/>
      </c>
      <c r="AB140">
        <f>SUMIFS('Crosswalk AEO to EPS Summary'!AC:AC,'Crosswalk AEO to EPS Summary'!$C:$C,$B140)*quadrillion</f>
        <v/>
      </c>
      <c r="AC140">
        <f>SUMIFS('Crosswalk AEO to EPS Summary'!AD:AD,'Crosswalk AEO to EPS Summary'!$C:$C,$B140)*quadrillion</f>
        <v/>
      </c>
      <c r="AD140">
        <f>SUMIFS('Crosswalk AEO to EPS Summary'!AE:AE,'Crosswalk AEO to EPS Summary'!$C:$C,$B140)*quadrillion</f>
        <v/>
      </c>
      <c r="AE140">
        <f>SUMIFS('Crosswalk AEO to EPS Summary'!AF:AF,'Crosswalk AEO to EPS Summary'!$C:$C,$B140)*quadrillion</f>
        <v/>
      </c>
      <c r="AF140">
        <f>SUMIFS('Crosswalk AEO to EPS Summary'!AG:AG,'Crosswalk AEO to EPS Summary'!$C:$C,$B140)*quadrillion</f>
        <v/>
      </c>
    </row>
    <row r="141">
      <c r="B141" s="53">
        <f>C141&amp;"-"&amp;D141&amp;"-"&amp;E141</f>
        <v/>
      </c>
      <c r="C141" t="inlineStr">
        <is>
          <t>commercial</t>
        </is>
      </c>
      <c r="D141" t="inlineStr">
        <is>
          <t>heating</t>
        </is>
      </c>
      <c r="E141" t="inlineStr">
        <is>
          <t>kerosene (BTU)</t>
        </is>
      </c>
      <c r="F141" t="n">
        <v>0</v>
      </c>
      <c r="G141" t="n">
        <v>0</v>
      </c>
      <c r="H141" t="n">
        <v>0</v>
      </c>
      <c r="I141" t="n">
        <v>0</v>
      </c>
      <c r="J141" t="n">
        <v>0</v>
      </c>
      <c r="K141" t="n">
        <v>0</v>
      </c>
      <c r="L141" t="n">
        <v>0</v>
      </c>
      <c r="M141" t="n">
        <v>0</v>
      </c>
      <c r="N141" t="n">
        <v>0</v>
      </c>
      <c r="O141" t="n">
        <v>0</v>
      </c>
      <c r="P141" t="n">
        <v>0</v>
      </c>
      <c r="Q141" t="n">
        <v>0</v>
      </c>
      <c r="R141" t="n">
        <v>0</v>
      </c>
      <c r="S141" t="n">
        <v>0</v>
      </c>
      <c r="T141" t="n">
        <v>0</v>
      </c>
      <c r="U141" t="n">
        <v>0</v>
      </c>
      <c r="V141" t="n">
        <v>0</v>
      </c>
      <c r="W141" t="n">
        <v>0</v>
      </c>
      <c r="X141" t="n">
        <v>0</v>
      </c>
      <c r="Y141" t="n">
        <v>0</v>
      </c>
      <c r="Z141" t="n">
        <v>0</v>
      </c>
      <c r="AA141" t="n">
        <v>0</v>
      </c>
      <c r="AB141" t="n">
        <v>0</v>
      </c>
      <c r="AC141" t="n">
        <v>0</v>
      </c>
      <c r="AD141" t="n">
        <v>0</v>
      </c>
      <c r="AE141" t="n">
        <v>0</v>
      </c>
      <c r="AF141" t="n">
        <v>0</v>
      </c>
    </row>
    <row r="142">
      <c r="B142" s="53">
        <f>C142&amp;"-"&amp;D142&amp;"-"&amp;E142</f>
        <v/>
      </c>
      <c r="C142" t="inlineStr">
        <is>
          <t>commercial</t>
        </is>
      </c>
      <c r="D142" t="inlineStr">
        <is>
          <t>heating</t>
        </is>
      </c>
      <c r="E142" t="inlineStr">
        <is>
          <t>heavy or residual fuel oil (BTU)</t>
        </is>
      </c>
      <c r="F142" t="n">
        <v>0</v>
      </c>
      <c r="G142" t="n">
        <v>0</v>
      </c>
      <c r="H142" t="n">
        <v>0</v>
      </c>
      <c r="I142" t="n">
        <v>0</v>
      </c>
      <c r="J142" t="n">
        <v>0</v>
      </c>
      <c r="K142" t="n">
        <v>0</v>
      </c>
      <c r="L142" t="n">
        <v>0</v>
      </c>
      <c r="M142" t="n">
        <v>0</v>
      </c>
      <c r="N142" t="n">
        <v>0</v>
      </c>
      <c r="O142" t="n">
        <v>0</v>
      </c>
      <c r="P142" t="n">
        <v>0</v>
      </c>
      <c r="Q142" t="n">
        <v>0</v>
      </c>
      <c r="R142" t="n">
        <v>0</v>
      </c>
      <c r="S142" t="n">
        <v>0</v>
      </c>
      <c r="T142" t="n">
        <v>0</v>
      </c>
      <c r="U142" t="n">
        <v>0</v>
      </c>
      <c r="V142" t="n">
        <v>0</v>
      </c>
      <c r="W142" t="n">
        <v>0</v>
      </c>
      <c r="X142" t="n">
        <v>0</v>
      </c>
      <c r="Y142" t="n">
        <v>0</v>
      </c>
      <c r="Z142" t="n">
        <v>0</v>
      </c>
      <c r="AA142" t="n">
        <v>0</v>
      </c>
      <c r="AB142" t="n">
        <v>0</v>
      </c>
      <c r="AC142" t="n">
        <v>0</v>
      </c>
      <c r="AD142" t="n">
        <v>0</v>
      </c>
      <c r="AE142" t="n">
        <v>0</v>
      </c>
      <c r="AF142" t="n">
        <v>0</v>
      </c>
    </row>
    <row r="143">
      <c r="B143" s="53">
        <f>C143&amp;"-"&amp;D143&amp;"-"&amp;E143</f>
        <v/>
      </c>
      <c r="C143" t="inlineStr">
        <is>
          <t>commercial</t>
        </is>
      </c>
      <c r="D143" t="inlineStr">
        <is>
          <t>other</t>
        </is>
      </c>
      <c r="E143" t="inlineStr">
        <is>
          <t>LPG propane or butane (BTU)</t>
        </is>
      </c>
      <c r="F143" s="43">
        <f>SUMIFS('Crosswalk AEO to EPS Summary'!G:G,'Crosswalk AEO to EPS Summary'!$C:$C,$B143)*(1-Fraction_coal)*quadrillion*(F138/SUM(F$138,F$177,F$190))</f>
        <v/>
      </c>
      <c r="G143" s="43">
        <f>SUMIFS('Crosswalk AEO to EPS Summary'!H:H,'Crosswalk AEO to EPS Summary'!$C:$C,$B143)*(1-Fraction_coal)*quadrillion*(G138/SUM(G$138,G$177,G$190))</f>
        <v/>
      </c>
      <c r="H143" s="43">
        <f>SUMIFS('Crosswalk AEO to EPS Summary'!I:I,'Crosswalk AEO to EPS Summary'!$C:$C,$B143)*(1-Fraction_coal)*quadrillion*(H138/SUM(H$138,H$177,H$190))</f>
        <v/>
      </c>
      <c r="I143" s="43">
        <f>SUMIFS('Crosswalk AEO to EPS Summary'!J:J,'Crosswalk AEO to EPS Summary'!$C:$C,$B143)*(1-Fraction_coal)*quadrillion*(I138/SUM(I$138,I$177,I$190))</f>
        <v/>
      </c>
      <c r="J143" s="43">
        <f>SUMIFS('Crosswalk AEO to EPS Summary'!K:K,'Crosswalk AEO to EPS Summary'!$C:$C,$B143)*(1-Fraction_coal)*quadrillion*(J138/SUM(J$138,J$177,J$190))</f>
        <v/>
      </c>
      <c r="K143" s="43">
        <f>SUMIFS('Crosswalk AEO to EPS Summary'!L:L,'Crosswalk AEO to EPS Summary'!$C:$C,$B143)*(1-Fraction_coal)*quadrillion*(K138/SUM(K$138,K$177,K$190))</f>
        <v/>
      </c>
      <c r="L143" s="43">
        <f>SUMIFS('Crosswalk AEO to EPS Summary'!M:M,'Crosswalk AEO to EPS Summary'!$C:$C,$B143)*(1-Fraction_coal)*quadrillion*(L138/SUM(L$138,L$177,L$190))</f>
        <v/>
      </c>
      <c r="M143" s="43">
        <f>SUMIFS('Crosswalk AEO to EPS Summary'!N:N,'Crosswalk AEO to EPS Summary'!$C:$C,$B143)*(1-Fraction_coal)*quadrillion*(M138/SUM(M$138,M$177,M$190))</f>
        <v/>
      </c>
      <c r="N143" s="43">
        <f>SUMIFS('Crosswalk AEO to EPS Summary'!O:O,'Crosswalk AEO to EPS Summary'!$C:$C,$B143)*(1-Fraction_coal)*quadrillion*(N138/SUM(N$138,N$177,N$190))</f>
        <v/>
      </c>
      <c r="O143" s="43">
        <f>SUMIFS('Crosswalk AEO to EPS Summary'!P:P,'Crosswalk AEO to EPS Summary'!$C:$C,$B143)*(1-Fraction_coal)*quadrillion*(O138/SUM(O$138,O$177,O$190))</f>
        <v/>
      </c>
      <c r="P143" s="43">
        <f>SUMIFS('Crosswalk AEO to EPS Summary'!Q:Q,'Crosswalk AEO to EPS Summary'!$C:$C,$B143)*(1-Fraction_coal)*quadrillion*(P138/SUM(P$138,P$177,P$190))</f>
        <v/>
      </c>
      <c r="Q143" s="43">
        <f>SUMIFS('Crosswalk AEO to EPS Summary'!R:R,'Crosswalk AEO to EPS Summary'!$C:$C,$B143)*(1-Fraction_coal)*quadrillion*(Q138/SUM(Q$138,Q$177,Q$190))</f>
        <v/>
      </c>
      <c r="R143" s="43">
        <f>SUMIFS('Crosswalk AEO to EPS Summary'!S:S,'Crosswalk AEO to EPS Summary'!$C:$C,$B143)*(1-Fraction_coal)*quadrillion*(R138/SUM(R$138,R$177,R$190))</f>
        <v/>
      </c>
      <c r="S143" s="43">
        <f>SUMIFS('Crosswalk AEO to EPS Summary'!T:T,'Crosswalk AEO to EPS Summary'!$C:$C,$B143)*(1-Fraction_coal)*quadrillion*(S138/SUM(S$138,S$177,S$190))</f>
        <v/>
      </c>
      <c r="T143" s="43">
        <f>SUMIFS('Crosswalk AEO to EPS Summary'!U:U,'Crosswalk AEO to EPS Summary'!$C:$C,$B143)*(1-Fraction_coal)*quadrillion*(T138/SUM(T$138,T$177,T$190))</f>
        <v/>
      </c>
      <c r="U143" s="43">
        <f>SUMIFS('Crosswalk AEO to EPS Summary'!V:V,'Crosswalk AEO to EPS Summary'!$C:$C,$B143)*(1-Fraction_coal)*quadrillion*(U138/SUM(U$138,U$177,U$190))</f>
        <v/>
      </c>
      <c r="V143" s="43">
        <f>SUMIFS('Crosswalk AEO to EPS Summary'!W:W,'Crosswalk AEO to EPS Summary'!$C:$C,$B143)*(1-Fraction_coal)*quadrillion*(V138/SUM(V$138,V$177,V$190))</f>
        <v/>
      </c>
      <c r="W143" s="43">
        <f>SUMIFS('Crosswalk AEO to EPS Summary'!X:X,'Crosswalk AEO to EPS Summary'!$C:$C,$B143)*(1-Fraction_coal)*quadrillion*(W138/SUM(W$138,W$177,W$190))</f>
        <v/>
      </c>
      <c r="X143" s="43">
        <f>SUMIFS('Crosswalk AEO to EPS Summary'!Y:Y,'Crosswalk AEO to EPS Summary'!$C:$C,$B143)*(1-Fraction_coal)*quadrillion*(X138/SUM(X$138,X$177,X$190))</f>
        <v/>
      </c>
      <c r="Y143" s="43">
        <f>SUMIFS('Crosswalk AEO to EPS Summary'!Z:Z,'Crosswalk AEO to EPS Summary'!$C:$C,$B143)*(1-Fraction_coal)*quadrillion*(Y138/SUM(Y$138,Y$177,Y$190))</f>
        <v/>
      </c>
      <c r="Z143" s="43">
        <f>SUMIFS('Crosswalk AEO to EPS Summary'!AA:AA,'Crosswalk AEO to EPS Summary'!$C:$C,$B143)*(1-Fraction_coal)*quadrillion*(Z138/SUM(Z$138,Z$177,Z$190))</f>
        <v/>
      </c>
      <c r="AA143" s="43">
        <f>SUMIFS('Crosswalk AEO to EPS Summary'!AB:AB,'Crosswalk AEO to EPS Summary'!$C:$C,$B143)*(1-Fraction_coal)*quadrillion*(AA138/SUM(AA$138,AA$177,AA$190))</f>
        <v/>
      </c>
      <c r="AB143" s="43">
        <f>SUMIFS('Crosswalk AEO to EPS Summary'!AC:AC,'Crosswalk AEO to EPS Summary'!$C:$C,$B143)*(1-Fraction_coal)*quadrillion*(AB138/SUM(AB$138,AB$177,AB$190))</f>
        <v/>
      </c>
      <c r="AC143" s="43">
        <f>SUMIFS('Crosswalk AEO to EPS Summary'!AD:AD,'Crosswalk AEO to EPS Summary'!$C:$C,$B143)*(1-Fraction_coal)*quadrillion*(AC138/SUM(AC$138,AC$177,AC$190))</f>
        <v/>
      </c>
      <c r="AD143" s="43">
        <f>SUMIFS('Crosswalk AEO to EPS Summary'!AE:AE,'Crosswalk AEO to EPS Summary'!$C:$C,$B143)*(1-Fraction_coal)*quadrillion*(AD138/SUM(AD$138,AD$177,AD$190))</f>
        <v/>
      </c>
      <c r="AE143" s="43">
        <f>SUMIFS('Crosswalk AEO to EPS Summary'!AF:AF,'Crosswalk AEO to EPS Summary'!$C:$C,$B143)*(1-Fraction_coal)*quadrillion*(AE138/SUM(AE$138,AE$177,AE$190))</f>
        <v/>
      </c>
      <c r="AF143" s="43">
        <f>SUMIFS('Crosswalk AEO to EPS Summary'!AG:AG,'Crosswalk AEO to EPS Summary'!$C:$C,$B143)*(1-Fraction_coal)*quadrillion*(AF138/SUM(AF$138,AF$177,AF$190))</f>
        <v/>
      </c>
    </row>
    <row r="144">
      <c r="B144" s="53">
        <f>C144&amp;"-"&amp;D144&amp;"-"&amp;E144</f>
        <v/>
      </c>
      <c r="C144" t="inlineStr">
        <is>
          <t>commercial</t>
        </is>
      </c>
      <c r="D144" t="inlineStr">
        <is>
          <t>heating</t>
        </is>
      </c>
      <c r="E144" t="inlineStr">
        <is>
          <t>hydrogen (BTU)</t>
        </is>
      </c>
      <c r="F144" t="n">
        <v>0</v>
      </c>
      <c r="G144" t="n">
        <v>0</v>
      </c>
      <c r="H144" t="n">
        <v>0</v>
      </c>
      <c r="I144" t="n">
        <v>0</v>
      </c>
      <c r="J144" t="n">
        <v>0</v>
      </c>
      <c r="K144" t="n">
        <v>0</v>
      </c>
      <c r="L144" t="n">
        <v>0</v>
      </c>
      <c r="M144" t="n">
        <v>0</v>
      </c>
      <c r="N144" t="n">
        <v>0</v>
      </c>
      <c r="O144" t="n">
        <v>0</v>
      </c>
      <c r="P144" t="n">
        <v>0</v>
      </c>
      <c r="Q144" t="n">
        <v>0</v>
      </c>
      <c r="R144" t="n">
        <v>0</v>
      </c>
      <c r="S144" t="n">
        <v>0</v>
      </c>
      <c r="T144" t="n">
        <v>0</v>
      </c>
      <c r="U144" t="n">
        <v>0</v>
      </c>
      <c r="V144" t="n">
        <v>0</v>
      </c>
      <c r="W144" t="n">
        <v>0</v>
      </c>
      <c r="X144" t="n">
        <v>0</v>
      </c>
      <c r="Y144" t="n">
        <v>0</v>
      </c>
      <c r="Z144" t="n">
        <v>0</v>
      </c>
      <c r="AA144" t="n">
        <v>0</v>
      </c>
      <c r="AB144" t="n">
        <v>0</v>
      </c>
      <c r="AC144" t="n">
        <v>0</v>
      </c>
      <c r="AD144" t="n">
        <v>0</v>
      </c>
      <c r="AE144" t="n">
        <v>0</v>
      </c>
      <c r="AF144" t="n">
        <v>0</v>
      </c>
    </row>
    <row r="145"/>
    <row r="146">
      <c r="B146" s="1" t="inlineStr">
        <is>
          <t>BCEU-commercial-cooling</t>
        </is>
      </c>
    </row>
    <row r="147">
      <c r="E147" t="inlineStr">
        <is>
          <t>Year</t>
        </is>
      </c>
      <c r="F147" s="1" t="n">
        <v>2024</v>
      </c>
      <c r="G147" s="1" t="n">
        <v>2025</v>
      </c>
      <c r="H147" s="1" t="n">
        <v>2026</v>
      </c>
      <c r="I147" s="1" t="n">
        <v>2027</v>
      </c>
      <c r="J147" s="1" t="n">
        <v>2028</v>
      </c>
      <c r="K147" s="1" t="n">
        <v>2029</v>
      </c>
      <c r="L147" s="1" t="n">
        <v>2030</v>
      </c>
      <c r="M147" s="1" t="n">
        <v>2031</v>
      </c>
      <c r="N147" s="1" t="n">
        <v>2032</v>
      </c>
      <c r="O147" s="1" t="n">
        <v>2033</v>
      </c>
      <c r="P147" s="1" t="n">
        <v>2034</v>
      </c>
      <c r="Q147" s="1" t="n">
        <v>2035</v>
      </c>
      <c r="R147" s="1" t="n">
        <v>2036</v>
      </c>
      <c r="S147" s="1" t="n">
        <v>2037</v>
      </c>
      <c r="T147" s="1" t="n">
        <v>2038</v>
      </c>
      <c r="U147" s="1" t="n">
        <v>2039</v>
      </c>
      <c r="V147" s="1" t="n">
        <v>2040</v>
      </c>
      <c r="W147" s="1" t="n">
        <v>2041</v>
      </c>
      <c r="X147" s="1" t="n">
        <v>2042</v>
      </c>
      <c r="Y147" s="1" t="n">
        <v>2043</v>
      </c>
      <c r="Z147" s="1" t="n">
        <v>2044</v>
      </c>
      <c r="AA147" s="1" t="n">
        <v>2045</v>
      </c>
      <c r="AB147" s="1" t="n">
        <v>2046</v>
      </c>
      <c r="AC147" s="1" t="n">
        <v>2047</v>
      </c>
      <c r="AD147" s="1" t="n">
        <v>2048</v>
      </c>
      <c r="AE147" s="1" t="n">
        <v>2049</v>
      </c>
      <c r="AF147" s="1" t="n">
        <v>2050</v>
      </c>
    </row>
    <row r="148">
      <c r="B148" s="53">
        <f>C148&amp;"-"&amp;D148&amp;"-"&amp;E148</f>
        <v/>
      </c>
      <c r="C148" t="inlineStr">
        <is>
          <t>commercial</t>
        </is>
      </c>
      <c r="D148" t="inlineStr">
        <is>
          <t>cooling</t>
        </is>
      </c>
      <c r="E148" s="58" t="inlineStr">
        <is>
          <t>electricity (BTU)</t>
        </is>
      </c>
      <c r="F148">
        <f>SUMIFS('Crosswalk AEO to EPS Summary'!G:G,'Crosswalk AEO to EPS Summary'!$C:$C,$B148)*quadrillion-'AEO Data Center Load'!B16</f>
        <v/>
      </c>
      <c r="G148">
        <f>SUMIFS('Crosswalk AEO to EPS Summary'!H:H,'Crosswalk AEO to EPS Summary'!$C:$C,$B148)*quadrillion-'AEO Data Center Load'!C16</f>
        <v/>
      </c>
      <c r="H148">
        <f>SUMIFS('Crosswalk AEO to EPS Summary'!I:I,'Crosswalk AEO to EPS Summary'!$C:$C,$B148)*quadrillion-'AEO Data Center Load'!D16</f>
        <v/>
      </c>
      <c r="I148">
        <f>SUMIFS('Crosswalk AEO to EPS Summary'!J:J,'Crosswalk AEO to EPS Summary'!$C:$C,$B148)*quadrillion-'AEO Data Center Load'!E16</f>
        <v/>
      </c>
      <c r="J148">
        <f>SUMIFS('Crosswalk AEO to EPS Summary'!K:K,'Crosswalk AEO to EPS Summary'!$C:$C,$B148)*quadrillion-'AEO Data Center Load'!F16</f>
        <v/>
      </c>
      <c r="K148">
        <f>SUMIFS('Crosswalk AEO to EPS Summary'!L:L,'Crosswalk AEO to EPS Summary'!$C:$C,$B148)*quadrillion-'AEO Data Center Load'!G16</f>
        <v/>
      </c>
      <c r="L148">
        <f>SUMIFS('Crosswalk AEO to EPS Summary'!M:M,'Crosswalk AEO to EPS Summary'!$C:$C,$B148)*quadrillion-'AEO Data Center Load'!H16</f>
        <v/>
      </c>
      <c r="M148">
        <f>SUMIFS('Crosswalk AEO to EPS Summary'!N:N,'Crosswalk AEO to EPS Summary'!$C:$C,$B148)*quadrillion-'AEO Data Center Load'!I16</f>
        <v/>
      </c>
      <c r="N148">
        <f>SUMIFS('Crosswalk AEO to EPS Summary'!O:O,'Crosswalk AEO to EPS Summary'!$C:$C,$B148)*quadrillion-'AEO Data Center Load'!J16</f>
        <v/>
      </c>
      <c r="O148">
        <f>SUMIFS('Crosswalk AEO to EPS Summary'!P:P,'Crosswalk AEO to EPS Summary'!$C:$C,$B148)*quadrillion-'AEO Data Center Load'!K16</f>
        <v/>
      </c>
      <c r="P148">
        <f>SUMIFS('Crosswalk AEO to EPS Summary'!Q:Q,'Crosswalk AEO to EPS Summary'!$C:$C,$B148)*quadrillion-'AEO Data Center Load'!L16</f>
        <v/>
      </c>
      <c r="Q148">
        <f>SUMIFS('Crosswalk AEO to EPS Summary'!R:R,'Crosswalk AEO to EPS Summary'!$C:$C,$B148)*quadrillion-'AEO Data Center Load'!M16</f>
        <v/>
      </c>
      <c r="R148">
        <f>SUMIFS('Crosswalk AEO to EPS Summary'!S:S,'Crosswalk AEO to EPS Summary'!$C:$C,$B148)*quadrillion-'AEO Data Center Load'!N16</f>
        <v/>
      </c>
      <c r="S148">
        <f>SUMIFS('Crosswalk AEO to EPS Summary'!T:T,'Crosswalk AEO to EPS Summary'!$C:$C,$B148)*quadrillion-'AEO Data Center Load'!O16</f>
        <v/>
      </c>
      <c r="T148">
        <f>SUMIFS('Crosswalk AEO to EPS Summary'!U:U,'Crosswalk AEO to EPS Summary'!$C:$C,$B148)*quadrillion-'AEO Data Center Load'!P16</f>
        <v/>
      </c>
      <c r="U148">
        <f>SUMIFS('Crosswalk AEO to EPS Summary'!V:V,'Crosswalk AEO to EPS Summary'!$C:$C,$B148)*quadrillion-'AEO Data Center Load'!Q16</f>
        <v/>
      </c>
      <c r="V148">
        <f>SUMIFS('Crosswalk AEO to EPS Summary'!W:W,'Crosswalk AEO to EPS Summary'!$C:$C,$B148)*quadrillion-'AEO Data Center Load'!R16</f>
        <v/>
      </c>
      <c r="W148">
        <f>SUMIFS('Crosswalk AEO to EPS Summary'!X:X,'Crosswalk AEO to EPS Summary'!$C:$C,$B148)*quadrillion-'AEO Data Center Load'!S16</f>
        <v/>
      </c>
      <c r="X148">
        <f>SUMIFS('Crosswalk AEO to EPS Summary'!Y:Y,'Crosswalk AEO to EPS Summary'!$C:$C,$B148)*quadrillion-'AEO Data Center Load'!T16</f>
        <v/>
      </c>
      <c r="Y148">
        <f>SUMIFS('Crosswalk AEO to EPS Summary'!Z:Z,'Crosswalk AEO to EPS Summary'!$C:$C,$B148)*quadrillion-'AEO Data Center Load'!U16</f>
        <v/>
      </c>
      <c r="Z148">
        <f>SUMIFS('Crosswalk AEO to EPS Summary'!AA:AA,'Crosswalk AEO to EPS Summary'!$C:$C,$B148)*quadrillion-'AEO Data Center Load'!V16</f>
        <v/>
      </c>
      <c r="AA148">
        <f>SUMIFS('Crosswalk AEO to EPS Summary'!AB:AB,'Crosswalk AEO to EPS Summary'!$C:$C,$B148)*quadrillion-'AEO Data Center Load'!W16</f>
        <v/>
      </c>
      <c r="AB148">
        <f>SUMIFS('Crosswalk AEO to EPS Summary'!AC:AC,'Crosswalk AEO to EPS Summary'!$C:$C,$B148)*quadrillion-'AEO Data Center Load'!X16</f>
        <v/>
      </c>
      <c r="AC148">
        <f>SUMIFS('Crosswalk AEO to EPS Summary'!AD:AD,'Crosswalk AEO to EPS Summary'!$C:$C,$B148)*quadrillion-'AEO Data Center Load'!Y16</f>
        <v/>
      </c>
      <c r="AD148">
        <f>SUMIFS('Crosswalk AEO to EPS Summary'!AE:AE,'Crosswalk AEO to EPS Summary'!$C:$C,$B148)*quadrillion-'AEO Data Center Load'!Z16</f>
        <v/>
      </c>
      <c r="AE148">
        <f>SUMIFS('Crosswalk AEO to EPS Summary'!AF:AF,'Crosswalk AEO to EPS Summary'!$C:$C,$B148)*quadrillion-'AEO Data Center Load'!AA16</f>
        <v/>
      </c>
      <c r="AF148">
        <f>SUMIFS('Crosswalk AEO to EPS Summary'!AG:AG,'Crosswalk AEO to EPS Summary'!$C:$C,$B148)*quadrillion-'AEO Data Center Load'!AB16</f>
        <v/>
      </c>
    </row>
    <row r="149">
      <c r="B149" s="53">
        <f>C149&amp;"-"&amp;D149&amp;"-"&amp;E149</f>
        <v/>
      </c>
      <c r="C149" t="inlineStr">
        <is>
          <t>commercial</t>
        </is>
      </c>
      <c r="D149" t="inlineStr">
        <is>
          <t>cooling</t>
        </is>
      </c>
      <c r="E149" t="inlineStr">
        <is>
          <t>coal (BTU)</t>
        </is>
      </c>
      <c r="F149" t="n">
        <v>0</v>
      </c>
      <c r="G149" t="n">
        <v>0</v>
      </c>
      <c r="H149" t="n">
        <v>0</v>
      </c>
      <c r="I149" t="n">
        <v>0</v>
      </c>
      <c r="J149" t="n">
        <v>0</v>
      </c>
      <c r="K149" t="n">
        <v>0</v>
      </c>
      <c r="L149" t="n">
        <v>0</v>
      </c>
      <c r="M149" t="n">
        <v>0</v>
      </c>
      <c r="N149" t="n">
        <v>0</v>
      </c>
      <c r="O149" t="n">
        <v>0</v>
      </c>
      <c r="P149" t="n">
        <v>0</v>
      </c>
      <c r="Q149" t="n">
        <v>0</v>
      </c>
      <c r="R149" t="n">
        <v>0</v>
      </c>
      <c r="S149" t="n">
        <v>0</v>
      </c>
      <c r="T149" t="n">
        <v>0</v>
      </c>
      <c r="U149" t="n">
        <v>0</v>
      </c>
      <c r="V149" t="n">
        <v>0</v>
      </c>
      <c r="W149" t="n">
        <v>0</v>
      </c>
      <c r="X149" t="n">
        <v>0</v>
      </c>
      <c r="Y149" t="n">
        <v>0</v>
      </c>
      <c r="Z149" t="n">
        <v>0</v>
      </c>
      <c r="AA149" t="n">
        <v>0</v>
      </c>
      <c r="AB149" t="n">
        <v>0</v>
      </c>
      <c r="AC149" t="n">
        <v>0</v>
      </c>
      <c r="AD149" t="n">
        <v>0</v>
      </c>
      <c r="AE149" t="n">
        <v>0</v>
      </c>
      <c r="AF149" t="n">
        <v>0</v>
      </c>
    </row>
    <row r="150">
      <c r="B150" s="53">
        <f>C150&amp;"-"&amp;D150&amp;"-"&amp;E150</f>
        <v/>
      </c>
      <c r="C150" t="inlineStr">
        <is>
          <t>commercial</t>
        </is>
      </c>
      <c r="D150" t="inlineStr">
        <is>
          <t>cooling</t>
        </is>
      </c>
      <c r="E150" t="inlineStr">
        <is>
          <t>natural gas (BTU)</t>
        </is>
      </c>
      <c r="F150">
        <f>SUMIFS('Crosswalk AEO to EPS Summary'!G:G,'Crosswalk AEO to EPS Summary'!$C:$C,$B150)*quadrillion</f>
        <v/>
      </c>
      <c r="G150">
        <f>SUMIFS('Crosswalk AEO to EPS Summary'!H:H,'Crosswalk AEO to EPS Summary'!$C:$C,$B150)*quadrillion</f>
        <v/>
      </c>
      <c r="H150">
        <f>SUMIFS('Crosswalk AEO to EPS Summary'!I:I,'Crosswalk AEO to EPS Summary'!$C:$C,$B150)*quadrillion</f>
        <v/>
      </c>
      <c r="I150">
        <f>SUMIFS('Crosswalk AEO to EPS Summary'!J:J,'Crosswalk AEO to EPS Summary'!$C:$C,$B150)*quadrillion</f>
        <v/>
      </c>
      <c r="J150">
        <f>SUMIFS('Crosswalk AEO to EPS Summary'!K:K,'Crosswalk AEO to EPS Summary'!$C:$C,$B150)*quadrillion</f>
        <v/>
      </c>
      <c r="K150">
        <f>SUMIFS('Crosswalk AEO to EPS Summary'!L:L,'Crosswalk AEO to EPS Summary'!$C:$C,$B150)*quadrillion</f>
        <v/>
      </c>
      <c r="L150">
        <f>SUMIFS('Crosswalk AEO to EPS Summary'!M:M,'Crosswalk AEO to EPS Summary'!$C:$C,$B150)*quadrillion</f>
        <v/>
      </c>
      <c r="M150">
        <f>SUMIFS('Crosswalk AEO to EPS Summary'!N:N,'Crosswalk AEO to EPS Summary'!$C:$C,$B150)*quadrillion</f>
        <v/>
      </c>
      <c r="N150">
        <f>SUMIFS('Crosswalk AEO to EPS Summary'!O:O,'Crosswalk AEO to EPS Summary'!$C:$C,$B150)*quadrillion</f>
        <v/>
      </c>
      <c r="O150">
        <f>SUMIFS('Crosswalk AEO to EPS Summary'!P:P,'Crosswalk AEO to EPS Summary'!$C:$C,$B150)*quadrillion</f>
        <v/>
      </c>
      <c r="P150">
        <f>SUMIFS('Crosswalk AEO to EPS Summary'!Q:Q,'Crosswalk AEO to EPS Summary'!$C:$C,$B150)*quadrillion</f>
        <v/>
      </c>
      <c r="Q150">
        <f>SUMIFS('Crosswalk AEO to EPS Summary'!R:R,'Crosswalk AEO to EPS Summary'!$C:$C,$B150)*quadrillion</f>
        <v/>
      </c>
      <c r="R150">
        <f>SUMIFS('Crosswalk AEO to EPS Summary'!S:S,'Crosswalk AEO to EPS Summary'!$C:$C,$B150)*quadrillion</f>
        <v/>
      </c>
      <c r="S150">
        <f>SUMIFS('Crosswalk AEO to EPS Summary'!T:T,'Crosswalk AEO to EPS Summary'!$C:$C,$B150)*quadrillion</f>
        <v/>
      </c>
      <c r="T150">
        <f>SUMIFS('Crosswalk AEO to EPS Summary'!U:U,'Crosswalk AEO to EPS Summary'!$C:$C,$B150)*quadrillion</f>
        <v/>
      </c>
      <c r="U150">
        <f>SUMIFS('Crosswalk AEO to EPS Summary'!V:V,'Crosswalk AEO to EPS Summary'!$C:$C,$B150)*quadrillion</f>
        <v/>
      </c>
      <c r="V150">
        <f>SUMIFS('Crosswalk AEO to EPS Summary'!W:W,'Crosswalk AEO to EPS Summary'!$C:$C,$B150)*quadrillion</f>
        <v/>
      </c>
      <c r="W150">
        <f>SUMIFS('Crosswalk AEO to EPS Summary'!X:X,'Crosswalk AEO to EPS Summary'!$C:$C,$B150)*quadrillion</f>
        <v/>
      </c>
      <c r="X150">
        <f>SUMIFS('Crosswalk AEO to EPS Summary'!Y:Y,'Crosswalk AEO to EPS Summary'!$C:$C,$B150)*quadrillion</f>
        <v/>
      </c>
      <c r="Y150">
        <f>SUMIFS('Crosswalk AEO to EPS Summary'!Z:Z,'Crosswalk AEO to EPS Summary'!$C:$C,$B150)*quadrillion</f>
        <v/>
      </c>
      <c r="Z150">
        <f>SUMIFS('Crosswalk AEO to EPS Summary'!AA:AA,'Crosswalk AEO to EPS Summary'!$C:$C,$B150)*quadrillion</f>
        <v/>
      </c>
      <c r="AA150">
        <f>SUMIFS('Crosswalk AEO to EPS Summary'!AB:AB,'Crosswalk AEO to EPS Summary'!$C:$C,$B150)*quadrillion</f>
        <v/>
      </c>
      <c r="AB150">
        <f>SUMIFS('Crosswalk AEO to EPS Summary'!AC:AC,'Crosswalk AEO to EPS Summary'!$C:$C,$B150)*quadrillion</f>
        <v/>
      </c>
      <c r="AC150">
        <f>SUMIFS('Crosswalk AEO to EPS Summary'!AD:AD,'Crosswalk AEO to EPS Summary'!$C:$C,$B150)*quadrillion</f>
        <v/>
      </c>
      <c r="AD150">
        <f>SUMIFS('Crosswalk AEO to EPS Summary'!AE:AE,'Crosswalk AEO to EPS Summary'!$C:$C,$B150)*quadrillion</f>
        <v/>
      </c>
      <c r="AE150">
        <f>SUMIFS('Crosswalk AEO to EPS Summary'!AF:AF,'Crosswalk AEO to EPS Summary'!$C:$C,$B150)*quadrillion</f>
        <v/>
      </c>
      <c r="AF150">
        <f>SUMIFS('Crosswalk AEO to EPS Summary'!AG:AG,'Crosswalk AEO to EPS Summary'!$C:$C,$B150)*quadrillion</f>
        <v/>
      </c>
    </row>
    <row r="151">
      <c r="B151" s="53">
        <f>C151&amp;"-"&amp;D151&amp;"-"&amp;E151</f>
        <v/>
      </c>
      <c r="C151" t="inlineStr">
        <is>
          <t>commercial</t>
        </is>
      </c>
      <c r="D151" t="inlineStr">
        <is>
          <t>cooling</t>
        </is>
      </c>
      <c r="E151" t="inlineStr">
        <is>
          <t>petroleum diesel (BTU)</t>
        </is>
      </c>
      <c r="F151" t="n">
        <v>0</v>
      </c>
      <c r="G151" t="n">
        <v>0</v>
      </c>
      <c r="H151" t="n">
        <v>0</v>
      </c>
      <c r="I151" t="n">
        <v>0</v>
      </c>
      <c r="J151" t="n">
        <v>0</v>
      </c>
      <c r="K151" t="n">
        <v>0</v>
      </c>
      <c r="L151" t="n">
        <v>0</v>
      </c>
      <c r="M151" t="n">
        <v>0</v>
      </c>
      <c r="N151" t="n">
        <v>0</v>
      </c>
      <c r="O151" t="n">
        <v>0</v>
      </c>
      <c r="P151" t="n">
        <v>0</v>
      </c>
      <c r="Q151" t="n">
        <v>0</v>
      </c>
      <c r="R151" t="n">
        <v>0</v>
      </c>
      <c r="S151" t="n">
        <v>0</v>
      </c>
      <c r="T151" t="n">
        <v>0</v>
      </c>
      <c r="U151" t="n">
        <v>0</v>
      </c>
      <c r="V151" t="n">
        <v>0</v>
      </c>
      <c r="W151" t="n">
        <v>0</v>
      </c>
      <c r="X151" t="n">
        <v>0</v>
      </c>
      <c r="Y151" t="n">
        <v>0</v>
      </c>
      <c r="Z151" t="n">
        <v>0</v>
      </c>
      <c r="AA151" t="n">
        <v>0</v>
      </c>
      <c r="AB151" t="n">
        <v>0</v>
      </c>
      <c r="AC151" t="n">
        <v>0</v>
      </c>
      <c r="AD151" t="n">
        <v>0</v>
      </c>
      <c r="AE151" t="n">
        <v>0</v>
      </c>
      <c r="AF151" t="n">
        <v>0</v>
      </c>
    </row>
    <row r="152">
      <c r="B152" s="53">
        <f>C152&amp;"-"&amp;D152&amp;"-"&amp;E152</f>
        <v/>
      </c>
      <c r="C152" t="inlineStr">
        <is>
          <t>commercial</t>
        </is>
      </c>
      <c r="D152" t="inlineStr">
        <is>
          <t>cooling</t>
        </is>
      </c>
      <c r="E152" t="inlineStr">
        <is>
          <t>heat (BTU)</t>
        </is>
      </c>
      <c r="F152" t="n">
        <v>0</v>
      </c>
      <c r="G152" t="n">
        <v>0</v>
      </c>
      <c r="H152" t="n">
        <v>0</v>
      </c>
      <c r="I152" t="n">
        <v>0</v>
      </c>
      <c r="J152" t="n">
        <v>0</v>
      </c>
      <c r="K152" t="n">
        <v>0</v>
      </c>
      <c r="L152" t="n">
        <v>0</v>
      </c>
      <c r="M152" t="n">
        <v>0</v>
      </c>
      <c r="N152" t="n">
        <v>0</v>
      </c>
      <c r="O152" t="n">
        <v>0</v>
      </c>
      <c r="P152" t="n">
        <v>0</v>
      </c>
      <c r="Q152" t="n">
        <v>0</v>
      </c>
      <c r="R152" t="n">
        <v>0</v>
      </c>
      <c r="S152" t="n">
        <v>0</v>
      </c>
      <c r="T152" t="n">
        <v>0</v>
      </c>
      <c r="U152" t="n">
        <v>0</v>
      </c>
      <c r="V152" t="n">
        <v>0</v>
      </c>
      <c r="W152" t="n">
        <v>0</v>
      </c>
      <c r="X152" t="n">
        <v>0</v>
      </c>
      <c r="Y152" t="n">
        <v>0</v>
      </c>
      <c r="Z152" t="n">
        <v>0</v>
      </c>
      <c r="AA152" t="n">
        <v>0</v>
      </c>
      <c r="AB152" t="n">
        <v>0</v>
      </c>
      <c r="AC152" t="n">
        <v>0</v>
      </c>
      <c r="AD152" t="n">
        <v>0</v>
      </c>
      <c r="AE152" t="n">
        <v>0</v>
      </c>
      <c r="AF152" t="n">
        <v>0</v>
      </c>
    </row>
    <row r="153">
      <c r="B153" s="53">
        <f>C153&amp;"-"&amp;D153&amp;"-"&amp;E153</f>
        <v/>
      </c>
      <c r="C153" t="inlineStr">
        <is>
          <t>commercial</t>
        </is>
      </c>
      <c r="D153" t="inlineStr">
        <is>
          <t>cooling</t>
        </is>
      </c>
      <c r="E153" t="inlineStr">
        <is>
          <t>biomass (BTU)</t>
        </is>
      </c>
      <c r="F153" t="n">
        <v>0</v>
      </c>
      <c r="G153" t="n">
        <v>0</v>
      </c>
      <c r="H153" t="n">
        <v>0</v>
      </c>
      <c r="I153" t="n">
        <v>0</v>
      </c>
      <c r="J153" t="n">
        <v>0</v>
      </c>
      <c r="K153" t="n">
        <v>0</v>
      </c>
      <c r="L153" t="n">
        <v>0</v>
      </c>
      <c r="M153" t="n">
        <v>0</v>
      </c>
      <c r="N153" t="n">
        <v>0</v>
      </c>
      <c r="O153" t="n">
        <v>0</v>
      </c>
      <c r="P153" t="n">
        <v>0</v>
      </c>
      <c r="Q153" t="n">
        <v>0</v>
      </c>
      <c r="R153" t="n">
        <v>0</v>
      </c>
      <c r="S153" t="n">
        <v>0</v>
      </c>
      <c r="T153" t="n">
        <v>0</v>
      </c>
      <c r="U153" t="n">
        <v>0</v>
      </c>
      <c r="V153" t="n">
        <v>0</v>
      </c>
      <c r="W153" t="n">
        <v>0</v>
      </c>
      <c r="X153" t="n">
        <v>0</v>
      </c>
      <c r="Y153" t="n">
        <v>0</v>
      </c>
      <c r="Z153" t="n">
        <v>0</v>
      </c>
      <c r="AA153" t="n">
        <v>0</v>
      </c>
      <c r="AB153" t="n">
        <v>0</v>
      </c>
      <c r="AC153" t="n">
        <v>0</v>
      </c>
      <c r="AD153" t="n">
        <v>0</v>
      </c>
      <c r="AE153" t="n">
        <v>0</v>
      </c>
      <c r="AF153" t="n">
        <v>0</v>
      </c>
    </row>
    <row r="154">
      <c r="B154" s="53">
        <f>C154&amp;"-"&amp;D154&amp;"-"&amp;E154</f>
        <v/>
      </c>
      <c r="C154" t="inlineStr">
        <is>
          <t>commercial</t>
        </is>
      </c>
      <c r="D154" t="inlineStr">
        <is>
          <t>cooling</t>
        </is>
      </c>
      <c r="E154" t="inlineStr">
        <is>
          <t>kerosene (BTU)</t>
        </is>
      </c>
      <c r="F154" t="n">
        <v>0</v>
      </c>
      <c r="G154" t="n">
        <v>0</v>
      </c>
      <c r="H154" t="n">
        <v>0</v>
      </c>
      <c r="I154" t="n">
        <v>0</v>
      </c>
      <c r="J154" t="n">
        <v>0</v>
      </c>
      <c r="K154" t="n">
        <v>0</v>
      </c>
      <c r="L154" t="n">
        <v>0</v>
      </c>
      <c r="M154" t="n">
        <v>0</v>
      </c>
      <c r="N154" t="n">
        <v>0</v>
      </c>
      <c r="O154" t="n">
        <v>0</v>
      </c>
      <c r="P154" t="n">
        <v>0</v>
      </c>
      <c r="Q154" t="n">
        <v>0</v>
      </c>
      <c r="R154" t="n">
        <v>0</v>
      </c>
      <c r="S154" t="n">
        <v>0</v>
      </c>
      <c r="T154" t="n">
        <v>0</v>
      </c>
      <c r="U154" t="n">
        <v>0</v>
      </c>
      <c r="V154" t="n">
        <v>0</v>
      </c>
      <c r="W154" t="n">
        <v>0</v>
      </c>
      <c r="X154" t="n">
        <v>0</v>
      </c>
      <c r="Y154" t="n">
        <v>0</v>
      </c>
      <c r="Z154" t="n">
        <v>0</v>
      </c>
      <c r="AA154" t="n">
        <v>0</v>
      </c>
      <c r="AB154" t="n">
        <v>0</v>
      </c>
      <c r="AC154" t="n">
        <v>0</v>
      </c>
      <c r="AD154" t="n">
        <v>0</v>
      </c>
      <c r="AE154" t="n">
        <v>0</v>
      </c>
      <c r="AF154" t="n">
        <v>0</v>
      </c>
    </row>
    <row r="155">
      <c r="B155" s="53">
        <f>C155&amp;"-"&amp;D155&amp;"-"&amp;E155</f>
        <v/>
      </c>
      <c r="C155" t="inlineStr">
        <is>
          <t>commercial</t>
        </is>
      </c>
      <c r="D155" t="inlineStr">
        <is>
          <t>cooling</t>
        </is>
      </c>
      <c r="E155" t="inlineStr">
        <is>
          <t>heavy or residual fuel oil (BTU)</t>
        </is>
      </c>
      <c r="F155" t="n">
        <v>0</v>
      </c>
      <c r="G155" t="n">
        <v>0</v>
      </c>
      <c r="H155" t="n">
        <v>0</v>
      </c>
      <c r="I155" t="n">
        <v>0</v>
      </c>
      <c r="J155" t="n">
        <v>0</v>
      </c>
      <c r="K155" t="n">
        <v>0</v>
      </c>
      <c r="L155" t="n">
        <v>0</v>
      </c>
      <c r="M155" t="n">
        <v>0</v>
      </c>
      <c r="N155" t="n">
        <v>0</v>
      </c>
      <c r="O155" t="n">
        <v>0</v>
      </c>
      <c r="P155" t="n">
        <v>0</v>
      </c>
      <c r="Q155" t="n">
        <v>0</v>
      </c>
      <c r="R155" t="n">
        <v>0</v>
      </c>
      <c r="S155" t="n">
        <v>0</v>
      </c>
      <c r="T155" t="n">
        <v>0</v>
      </c>
      <c r="U155" t="n">
        <v>0</v>
      </c>
      <c r="V155" t="n">
        <v>0</v>
      </c>
      <c r="W155" t="n">
        <v>0</v>
      </c>
      <c r="X155" t="n">
        <v>0</v>
      </c>
      <c r="Y155" t="n">
        <v>0</v>
      </c>
      <c r="Z155" t="n">
        <v>0</v>
      </c>
      <c r="AA155" t="n">
        <v>0</v>
      </c>
      <c r="AB155" t="n">
        <v>0</v>
      </c>
      <c r="AC155" t="n">
        <v>0</v>
      </c>
      <c r="AD155" t="n">
        <v>0</v>
      </c>
      <c r="AE155" t="n">
        <v>0</v>
      </c>
      <c r="AF155" t="n">
        <v>0</v>
      </c>
    </row>
    <row r="156">
      <c r="B156" s="53">
        <f>C156&amp;"-"&amp;D156&amp;"-"&amp;E156</f>
        <v/>
      </c>
      <c r="C156" t="inlineStr">
        <is>
          <t>commercial</t>
        </is>
      </c>
      <c r="D156" t="inlineStr">
        <is>
          <t>cooling</t>
        </is>
      </c>
      <c r="E156" t="inlineStr">
        <is>
          <t>LPG propane or butane (BTU)</t>
        </is>
      </c>
      <c r="F156" t="n">
        <v>0</v>
      </c>
      <c r="G156" t="n">
        <v>0</v>
      </c>
      <c r="H156" t="n">
        <v>0</v>
      </c>
      <c r="I156" t="n">
        <v>0</v>
      </c>
      <c r="J156" t="n">
        <v>0</v>
      </c>
      <c r="K156" t="n">
        <v>0</v>
      </c>
      <c r="L156" t="n">
        <v>0</v>
      </c>
      <c r="M156" t="n">
        <v>0</v>
      </c>
      <c r="N156" t="n">
        <v>0</v>
      </c>
      <c r="O156" t="n">
        <v>0</v>
      </c>
      <c r="P156" t="n">
        <v>0</v>
      </c>
      <c r="Q156" t="n">
        <v>0</v>
      </c>
      <c r="R156" t="n">
        <v>0</v>
      </c>
      <c r="S156" t="n">
        <v>0</v>
      </c>
      <c r="T156" t="n">
        <v>0</v>
      </c>
      <c r="U156" t="n">
        <v>0</v>
      </c>
      <c r="V156" t="n">
        <v>0</v>
      </c>
      <c r="W156" t="n">
        <v>0</v>
      </c>
      <c r="X156" t="n">
        <v>0</v>
      </c>
      <c r="Y156" t="n">
        <v>0</v>
      </c>
      <c r="Z156" t="n">
        <v>0</v>
      </c>
      <c r="AA156" t="n">
        <v>0</v>
      </c>
      <c r="AB156" t="n">
        <v>0</v>
      </c>
      <c r="AC156" t="n">
        <v>0</v>
      </c>
      <c r="AD156" t="n">
        <v>0</v>
      </c>
      <c r="AE156" t="n">
        <v>0</v>
      </c>
      <c r="AF156" t="n">
        <v>0</v>
      </c>
    </row>
    <row r="157">
      <c r="B157" s="53">
        <f>C157&amp;"-"&amp;D157&amp;"-"&amp;E157</f>
        <v/>
      </c>
      <c r="C157" t="inlineStr">
        <is>
          <t>commercial</t>
        </is>
      </c>
      <c r="D157" t="inlineStr">
        <is>
          <t>cooling</t>
        </is>
      </c>
      <c r="E157" t="inlineStr">
        <is>
          <t>hydrogen (BTU)</t>
        </is>
      </c>
      <c r="F157" t="n">
        <v>0</v>
      </c>
      <c r="G157" t="n">
        <v>0</v>
      </c>
      <c r="H157" t="n">
        <v>0</v>
      </c>
      <c r="I157" t="n">
        <v>0</v>
      </c>
      <c r="J157" t="n">
        <v>0</v>
      </c>
      <c r="K157" t="n">
        <v>0</v>
      </c>
      <c r="L157" t="n">
        <v>0</v>
      </c>
      <c r="M157" t="n">
        <v>0</v>
      </c>
      <c r="N157" t="n">
        <v>0</v>
      </c>
      <c r="O157" t="n">
        <v>0</v>
      </c>
      <c r="P157" t="n">
        <v>0</v>
      </c>
      <c r="Q157" t="n">
        <v>0</v>
      </c>
      <c r="R157" t="n">
        <v>0</v>
      </c>
      <c r="S157" t="n">
        <v>0</v>
      </c>
      <c r="T157" t="n">
        <v>0</v>
      </c>
      <c r="U157" t="n">
        <v>0</v>
      </c>
      <c r="V157" t="n">
        <v>0</v>
      </c>
      <c r="W157" t="n">
        <v>0</v>
      </c>
      <c r="X157" t="n">
        <v>0</v>
      </c>
      <c r="Y157" t="n">
        <v>0</v>
      </c>
      <c r="Z157" t="n">
        <v>0</v>
      </c>
      <c r="AA157" t="n">
        <v>0</v>
      </c>
      <c r="AB157" t="n">
        <v>0</v>
      </c>
      <c r="AC157" t="n">
        <v>0</v>
      </c>
      <c r="AD157" t="n">
        <v>0</v>
      </c>
      <c r="AE157" t="n">
        <v>0</v>
      </c>
      <c r="AF157" t="n">
        <v>0</v>
      </c>
    </row>
    <row r="158"/>
    <row r="159">
      <c r="B159" s="1" t="inlineStr">
        <is>
          <t>BCEU-commercial-lighting</t>
        </is>
      </c>
    </row>
    <row r="160">
      <c r="E160" t="inlineStr">
        <is>
          <t>Year</t>
        </is>
      </c>
      <c r="F160" s="1" t="n">
        <v>2024</v>
      </c>
      <c r="G160" s="1" t="n">
        <v>2025</v>
      </c>
      <c r="H160" s="1" t="n">
        <v>2026</v>
      </c>
      <c r="I160" s="1" t="n">
        <v>2027</v>
      </c>
      <c r="J160" s="1" t="n">
        <v>2028</v>
      </c>
      <c r="K160" s="1" t="n">
        <v>2029</v>
      </c>
      <c r="L160" s="1" t="n">
        <v>2030</v>
      </c>
      <c r="M160" s="1" t="n">
        <v>2031</v>
      </c>
      <c r="N160" s="1" t="n">
        <v>2032</v>
      </c>
      <c r="O160" s="1" t="n">
        <v>2033</v>
      </c>
      <c r="P160" s="1" t="n">
        <v>2034</v>
      </c>
      <c r="Q160" s="1" t="n">
        <v>2035</v>
      </c>
      <c r="R160" s="1" t="n">
        <v>2036</v>
      </c>
      <c r="S160" s="1" t="n">
        <v>2037</v>
      </c>
      <c r="T160" s="1" t="n">
        <v>2038</v>
      </c>
      <c r="U160" s="1" t="n">
        <v>2039</v>
      </c>
      <c r="V160" s="1" t="n">
        <v>2040</v>
      </c>
      <c r="W160" s="1" t="n">
        <v>2041</v>
      </c>
      <c r="X160" s="1" t="n">
        <v>2042</v>
      </c>
      <c r="Y160" s="1" t="n">
        <v>2043</v>
      </c>
      <c r="Z160" s="1" t="n">
        <v>2044</v>
      </c>
      <c r="AA160" s="1" t="n">
        <v>2045</v>
      </c>
      <c r="AB160" s="1" t="n">
        <v>2046</v>
      </c>
      <c r="AC160" s="1" t="n">
        <v>2047</v>
      </c>
      <c r="AD160" s="1" t="n">
        <v>2048</v>
      </c>
      <c r="AE160" s="1" t="n">
        <v>2049</v>
      </c>
      <c r="AF160" s="1" t="n">
        <v>2050</v>
      </c>
    </row>
    <row r="161">
      <c r="B161" s="53">
        <f>C161&amp;"-"&amp;D161&amp;"-"&amp;E161</f>
        <v/>
      </c>
      <c r="C161" t="inlineStr">
        <is>
          <t>commercial</t>
        </is>
      </c>
      <c r="D161" t="inlineStr">
        <is>
          <t>lighting</t>
        </is>
      </c>
      <c r="E161" t="inlineStr">
        <is>
          <t>electricity (BTU)</t>
        </is>
      </c>
      <c r="F161">
        <f>SUMIFS('Crosswalk AEO to EPS Summary'!G:G,'Crosswalk AEO to EPS Summary'!$C:$C,$B161)*quadrillion</f>
        <v/>
      </c>
      <c r="G161">
        <f>SUMIFS('Crosswalk AEO to EPS Summary'!H:H,'Crosswalk AEO to EPS Summary'!$C:$C,$B161)*quadrillion</f>
        <v/>
      </c>
      <c r="H161">
        <f>SUMIFS('Crosswalk AEO to EPS Summary'!I:I,'Crosswalk AEO to EPS Summary'!$C:$C,$B161)*quadrillion</f>
        <v/>
      </c>
      <c r="I161">
        <f>SUMIFS('Crosswalk AEO to EPS Summary'!J:J,'Crosswalk AEO to EPS Summary'!$C:$C,$B161)*quadrillion</f>
        <v/>
      </c>
      <c r="J161">
        <f>SUMIFS('Crosswalk AEO to EPS Summary'!K:K,'Crosswalk AEO to EPS Summary'!$C:$C,$B161)*quadrillion</f>
        <v/>
      </c>
      <c r="K161">
        <f>SUMIFS('Crosswalk AEO to EPS Summary'!L:L,'Crosswalk AEO to EPS Summary'!$C:$C,$B161)*quadrillion</f>
        <v/>
      </c>
      <c r="L161">
        <f>SUMIFS('Crosswalk AEO to EPS Summary'!M:M,'Crosswalk AEO to EPS Summary'!$C:$C,$B161)*quadrillion</f>
        <v/>
      </c>
      <c r="M161">
        <f>SUMIFS('Crosswalk AEO to EPS Summary'!N:N,'Crosswalk AEO to EPS Summary'!$C:$C,$B161)*quadrillion</f>
        <v/>
      </c>
      <c r="N161">
        <f>SUMIFS('Crosswalk AEO to EPS Summary'!O:O,'Crosswalk AEO to EPS Summary'!$C:$C,$B161)*quadrillion</f>
        <v/>
      </c>
      <c r="O161">
        <f>SUMIFS('Crosswalk AEO to EPS Summary'!P:P,'Crosswalk AEO to EPS Summary'!$C:$C,$B161)*quadrillion</f>
        <v/>
      </c>
      <c r="P161">
        <f>SUMIFS('Crosswalk AEO to EPS Summary'!Q:Q,'Crosswalk AEO to EPS Summary'!$C:$C,$B161)*quadrillion</f>
        <v/>
      </c>
      <c r="Q161">
        <f>SUMIFS('Crosswalk AEO to EPS Summary'!R:R,'Crosswalk AEO to EPS Summary'!$C:$C,$B161)*quadrillion</f>
        <v/>
      </c>
      <c r="R161">
        <f>SUMIFS('Crosswalk AEO to EPS Summary'!S:S,'Crosswalk AEO to EPS Summary'!$C:$C,$B161)*quadrillion</f>
        <v/>
      </c>
      <c r="S161">
        <f>SUMIFS('Crosswalk AEO to EPS Summary'!T:T,'Crosswalk AEO to EPS Summary'!$C:$C,$B161)*quadrillion</f>
        <v/>
      </c>
      <c r="T161">
        <f>SUMIFS('Crosswalk AEO to EPS Summary'!U:U,'Crosswalk AEO to EPS Summary'!$C:$C,$B161)*quadrillion</f>
        <v/>
      </c>
      <c r="U161">
        <f>SUMIFS('Crosswalk AEO to EPS Summary'!V:V,'Crosswalk AEO to EPS Summary'!$C:$C,$B161)*quadrillion</f>
        <v/>
      </c>
      <c r="V161">
        <f>SUMIFS('Crosswalk AEO to EPS Summary'!W:W,'Crosswalk AEO to EPS Summary'!$C:$C,$B161)*quadrillion</f>
        <v/>
      </c>
      <c r="W161">
        <f>SUMIFS('Crosswalk AEO to EPS Summary'!X:X,'Crosswalk AEO to EPS Summary'!$C:$C,$B161)*quadrillion</f>
        <v/>
      </c>
      <c r="X161">
        <f>SUMIFS('Crosswalk AEO to EPS Summary'!Y:Y,'Crosswalk AEO to EPS Summary'!$C:$C,$B161)*quadrillion</f>
        <v/>
      </c>
      <c r="Y161">
        <f>SUMIFS('Crosswalk AEO to EPS Summary'!Z:Z,'Crosswalk AEO to EPS Summary'!$C:$C,$B161)*quadrillion</f>
        <v/>
      </c>
      <c r="Z161">
        <f>SUMIFS('Crosswalk AEO to EPS Summary'!AA:AA,'Crosswalk AEO to EPS Summary'!$C:$C,$B161)*quadrillion</f>
        <v/>
      </c>
      <c r="AA161">
        <f>SUMIFS('Crosswalk AEO to EPS Summary'!AB:AB,'Crosswalk AEO to EPS Summary'!$C:$C,$B161)*quadrillion</f>
        <v/>
      </c>
      <c r="AB161">
        <f>SUMIFS('Crosswalk AEO to EPS Summary'!AC:AC,'Crosswalk AEO to EPS Summary'!$C:$C,$B161)*quadrillion</f>
        <v/>
      </c>
      <c r="AC161">
        <f>SUMIFS('Crosswalk AEO to EPS Summary'!AD:AD,'Crosswalk AEO to EPS Summary'!$C:$C,$B161)*quadrillion</f>
        <v/>
      </c>
      <c r="AD161">
        <f>SUMIFS('Crosswalk AEO to EPS Summary'!AE:AE,'Crosswalk AEO to EPS Summary'!$C:$C,$B161)*quadrillion</f>
        <v/>
      </c>
      <c r="AE161">
        <f>SUMIFS('Crosswalk AEO to EPS Summary'!AF:AF,'Crosswalk AEO to EPS Summary'!$C:$C,$B161)*quadrillion</f>
        <v/>
      </c>
      <c r="AF161">
        <f>SUMIFS('Crosswalk AEO to EPS Summary'!AG:AG,'Crosswalk AEO to EPS Summary'!$C:$C,$B161)*quadrillion</f>
        <v/>
      </c>
    </row>
    <row r="162">
      <c r="B162" s="53">
        <f>C162&amp;"-"&amp;D162&amp;"-"&amp;E162</f>
        <v/>
      </c>
      <c r="C162" t="inlineStr">
        <is>
          <t>commercial</t>
        </is>
      </c>
      <c r="D162" t="inlineStr">
        <is>
          <t>lighting</t>
        </is>
      </c>
      <c r="E162" t="inlineStr">
        <is>
          <t>coal (BTU)</t>
        </is>
      </c>
      <c r="F162" t="n">
        <v>0</v>
      </c>
      <c r="G162" t="n">
        <v>0</v>
      </c>
      <c r="H162" t="n">
        <v>0</v>
      </c>
      <c r="I162" t="n">
        <v>0</v>
      </c>
      <c r="J162" t="n">
        <v>0</v>
      </c>
      <c r="K162" t="n">
        <v>0</v>
      </c>
      <c r="L162" t="n">
        <v>0</v>
      </c>
      <c r="M162" t="n">
        <v>0</v>
      </c>
      <c r="N162" t="n">
        <v>0</v>
      </c>
      <c r="O162" t="n">
        <v>0</v>
      </c>
      <c r="P162" t="n">
        <v>0</v>
      </c>
      <c r="Q162" t="n">
        <v>0</v>
      </c>
      <c r="R162" t="n">
        <v>0</v>
      </c>
      <c r="S162" t="n">
        <v>0</v>
      </c>
      <c r="T162" t="n">
        <v>0</v>
      </c>
      <c r="U162" t="n">
        <v>0</v>
      </c>
      <c r="V162" t="n">
        <v>0</v>
      </c>
      <c r="W162" t="n">
        <v>0</v>
      </c>
      <c r="X162" t="n">
        <v>0</v>
      </c>
      <c r="Y162" t="n">
        <v>0</v>
      </c>
      <c r="Z162" t="n">
        <v>0</v>
      </c>
      <c r="AA162" t="n">
        <v>0</v>
      </c>
      <c r="AB162" t="n">
        <v>0</v>
      </c>
      <c r="AC162" t="n">
        <v>0</v>
      </c>
      <c r="AD162" t="n">
        <v>0</v>
      </c>
      <c r="AE162" t="n">
        <v>0</v>
      </c>
      <c r="AF162" t="n">
        <v>0</v>
      </c>
    </row>
    <row r="163">
      <c r="B163" s="53">
        <f>C163&amp;"-"&amp;D163&amp;"-"&amp;E163</f>
        <v/>
      </c>
      <c r="C163" t="inlineStr">
        <is>
          <t>commercial</t>
        </is>
      </c>
      <c r="D163" t="inlineStr">
        <is>
          <t>lighting</t>
        </is>
      </c>
      <c r="E163" t="inlineStr">
        <is>
          <t>natural gas (BTU)</t>
        </is>
      </c>
      <c r="F163" t="n">
        <v>0</v>
      </c>
      <c r="G163" t="n">
        <v>0</v>
      </c>
      <c r="H163" t="n">
        <v>0</v>
      </c>
      <c r="I163" t="n">
        <v>0</v>
      </c>
      <c r="J163" t="n">
        <v>0</v>
      </c>
      <c r="K163" t="n">
        <v>0</v>
      </c>
      <c r="L163" t="n">
        <v>0</v>
      </c>
      <c r="M163" t="n">
        <v>0</v>
      </c>
      <c r="N163" t="n">
        <v>0</v>
      </c>
      <c r="O163" t="n">
        <v>0</v>
      </c>
      <c r="P163" t="n">
        <v>0</v>
      </c>
      <c r="Q163" t="n">
        <v>0</v>
      </c>
      <c r="R163" t="n">
        <v>0</v>
      </c>
      <c r="S163" t="n">
        <v>0</v>
      </c>
      <c r="T163" t="n">
        <v>0</v>
      </c>
      <c r="U163" t="n">
        <v>0</v>
      </c>
      <c r="V163" t="n">
        <v>0</v>
      </c>
      <c r="W163" t="n">
        <v>0</v>
      </c>
      <c r="X163" t="n">
        <v>0</v>
      </c>
      <c r="Y163" t="n">
        <v>0</v>
      </c>
      <c r="Z163" t="n">
        <v>0</v>
      </c>
      <c r="AA163" t="n">
        <v>0</v>
      </c>
      <c r="AB163" t="n">
        <v>0</v>
      </c>
      <c r="AC163" t="n">
        <v>0</v>
      </c>
      <c r="AD163" t="n">
        <v>0</v>
      </c>
      <c r="AE163" t="n">
        <v>0</v>
      </c>
      <c r="AF163" t="n">
        <v>0</v>
      </c>
    </row>
    <row r="164">
      <c r="B164" s="53">
        <f>C164&amp;"-"&amp;D164&amp;"-"&amp;E164</f>
        <v/>
      </c>
      <c r="C164" t="inlineStr">
        <is>
          <t>commercial</t>
        </is>
      </c>
      <c r="D164" t="inlineStr">
        <is>
          <t>lighting</t>
        </is>
      </c>
      <c r="E164" t="inlineStr">
        <is>
          <t>petroleum diesel (BTU)</t>
        </is>
      </c>
      <c r="F164" t="n">
        <v>0</v>
      </c>
      <c r="G164" t="n">
        <v>0</v>
      </c>
      <c r="H164" t="n">
        <v>0</v>
      </c>
      <c r="I164" t="n">
        <v>0</v>
      </c>
      <c r="J164" t="n">
        <v>0</v>
      </c>
      <c r="K164" t="n">
        <v>0</v>
      </c>
      <c r="L164" t="n">
        <v>0</v>
      </c>
      <c r="M164" t="n">
        <v>0</v>
      </c>
      <c r="N164" t="n">
        <v>0</v>
      </c>
      <c r="O164" t="n">
        <v>0</v>
      </c>
      <c r="P164" t="n">
        <v>0</v>
      </c>
      <c r="Q164" t="n">
        <v>0</v>
      </c>
      <c r="R164" t="n">
        <v>0</v>
      </c>
      <c r="S164" t="n">
        <v>0</v>
      </c>
      <c r="T164" t="n">
        <v>0</v>
      </c>
      <c r="U164" t="n">
        <v>0</v>
      </c>
      <c r="V164" t="n">
        <v>0</v>
      </c>
      <c r="W164" t="n">
        <v>0</v>
      </c>
      <c r="X164" t="n">
        <v>0</v>
      </c>
      <c r="Y164" t="n">
        <v>0</v>
      </c>
      <c r="Z164" t="n">
        <v>0</v>
      </c>
      <c r="AA164" t="n">
        <v>0</v>
      </c>
      <c r="AB164" t="n">
        <v>0</v>
      </c>
      <c r="AC164" t="n">
        <v>0</v>
      </c>
      <c r="AD164" t="n">
        <v>0</v>
      </c>
      <c r="AE164" t="n">
        <v>0</v>
      </c>
      <c r="AF164" t="n">
        <v>0</v>
      </c>
    </row>
    <row r="165">
      <c r="B165" s="53">
        <f>C165&amp;"-"&amp;D165&amp;"-"&amp;E165</f>
        <v/>
      </c>
      <c r="C165" t="inlineStr">
        <is>
          <t>commercial</t>
        </is>
      </c>
      <c r="D165" t="inlineStr">
        <is>
          <t>lighting</t>
        </is>
      </c>
      <c r="E165" t="inlineStr">
        <is>
          <t>heat (BTU)</t>
        </is>
      </c>
      <c r="F165" t="n">
        <v>0</v>
      </c>
      <c r="G165" t="n">
        <v>0</v>
      </c>
      <c r="H165" t="n">
        <v>0</v>
      </c>
      <c r="I165" t="n">
        <v>0</v>
      </c>
      <c r="J165" t="n">
        <v>0</v>
      </c>
      <c r="K165" t="n">
        <v>0</v>
      </c>
      <c r="L165" t="n">
        <v>0</v>
      </c>
      <c r="M165" t="n">
        <v>0</v>
      </c>
      <c r="N165" t="n">
        <v>0</v>
      </c>
      <c r="O165" t="n">
        <v>0</v>
      </c>
      <c r="P165" t="n">
        <v>0</v>
      </c>
      <c r="Q165" t="n">
        <v>0</v>
      </c>
      <c r="R165" t="n">
        <v>0</v>
      </c>
      <c r="S165" t="n">
        <v>0</v>
      </c>
      <c r="T165" t="n">
        <v>0</v>
      </c>
      <c r="U165" t="n">
        <v>0</v>
      </c>
      <c r="V165" t="n">
        <v>0</v>
      </c>
      <c r="W165" t="n">
        <v>0</v>
      </c>
      <c r="X165" t="n">
        <v>0</v>
      </c>
      <c r="Y165" t="n">
        <v>0</v>
      </c>
      <c r="Z165" t="n">
        <v>0</v>
      </c>
      <c r="AA165" t="n">
        <v>0</v>
      </c>
      <c r="AB165" t="n">
        <v>0</v>
      </c>
      <c r="AC165" t="n">
        <v>0</v>
      </c>
      <c r="AD165" t="n">
        <v>0</v>
      </c>
      <c r="AE165" t="n">
        <v>0</v>
      </c>
      <c r="AF165" t="n">
        <v>0</v>
      </c>
    </row>
    <row r="166">
      <c r="B166" s="53">
        <f>C166&amp;"-"&amp;D166&amp;"-"&amp;E166</f>
        <v/>
      </c>
      <c r="C166" t="inlineStr">
        <is>
          <t>commercial</t>
        </is>
      </c>
      <c r="D166" t="inlineStr">
        <is>
          <t>lighting</t>
        </is>
      </c>
      <c r="E166" t="inlineStr">
        <is>
          <t>biomass (BTU)</t>
        </is>
      </c>
      <c r="F166" t="n">
        <v>0</v>
      </c>
      <c r="G166" t="n">
        <v>0</v>
      </c>
      <c r="H166" t="n">
        <v>0</v>
      </c>
      <c r="I166" t="n">
        <v>0</v>
      </c>
      <c r="J166" t="n">
        <v>0</v>
      </c>
      <c r="K166" t="n">
        <v>0</v>
      </c>
      <c r="L166" t="n">
        <v>0</v>
      </c>
      <c r="M166" t="n">
        <v>0</v>
      </c>
      <c r="N166" t="n">
        <v>0</v>
      </c>
      <c r="O166" t="n">
        <v>0</v>
      </c>
      <c r="P166" t="n">
        <v>0</v>
      </c>
      <c r="Q166" t="n">
        <v>0</v>
      </c>
      <c r="R166" t="n">
        <v>0</v>
      </c>
      <c r="S166" t="n">
        <v>0</v>
      </c>
      <c r="T166" t="n">
        <v>0</v>
      </c>
      <c r="U166" t="n">
        <v>0</v>
      </c>
      <c r="V166" t="n">
        <v>0</v>
      </c>
      <c r="W166" t="n">
        <v>0</v>
      </c>
      <c r="X166" t="n">
        <v>0</v>
      </c>
      <c r="Y166" t="n">
        <v>0</v>
      </c>
      <c r="Z166" t="n">
        <v>0</v>
      </c>
      <c r="AA166" t="n">
        <v>0</v>
      </c>
      <c r="AB166" t="n">
        <v>0</v>
      </c>
      <c r="AC166" t="n">
        <v>0</v>
      </c>
      <c r="AD166" t="n">
        <v>0</v>
      </c>
      <c r="AE166" t="n">
        <v>0</v>
      </c>
      <c r="AF166" t="n">
        <v>0</v>
      </c>
    </row>
    <row r="167">
      <c r="B167" s="53">
        <f>C167&amp;"-"&amp;D167&amp;"-"&amp;E167</f>
        <v/>
      </c>
      <c r="C167" t="inlineStr">
        <is>
          <t>commercial</t>
        </is>
      </c>
      <c r="D167" t="inlineStr">
        <is>
          <t>lighting</t>
        </is>
      </c>
      <c r="E167" t="inlineStr">
        <is>
          <t>kerosene (BTU)</t>
        </is>
      </c>
      <c r="F167" t="n">
        <v>0</v>
      </c>
      <c r="G167" t="n">
        <v>0</v>
      </c>
      <c r="H167" t="n">
        <v>0</v>
      </c>
      <c r="I167" t="n">
        <v>0</v>
      </c>
      <c r="J167" t="n">
        <v>0</v>
      </c>
      <c r="K167" t="n">
        <v>0</v>
      </c>
      <c r="L167" t="n">
        <v>0</v>
      </c>
      <c r="M167" t="n">
        <v>0</v>
      </c>
      <c r="N167" t="n">
        <v>0</v>
      </c>
      <c r="O167" t="n">
        <v>0</v>
      </c>
      <c r="P167" t="n">
        <v>0</v>
      </c>
      <c r="Q167" t="n">
        <v>0</v>
      </c>
      <c r="R167" t="n">
        <v>0</v>
      </c>
      <c r="S167" t="n">
        <v>0</v>
      </c>
      <c r="T167" t="n">
        <v>0</v>
      </c>
      <c r="U167" t="n">
        <v>0</v>
      </c>
      <c r="V167" t="n">
        <v>0</v>
      </c>
      <c r="W167" t="n">
        <v>0</v>
      </c>
      <c r="X167" t="n">
        <v>0</v>
      </c>
      <c r="Y167" t="n">
        <v>0</v>
      </c>
      <c r="Z167" t="n">
        <v>0</v>
      </c>
      <c r="AA167" t="n">
        <v>0</v>
      </c>
      <c r="AB167" t="n">
        <v>0</v>
      </c>
      <c r="AC167" t="n">
        <v>0</v>
      </c>
      <c r="AD167" t="n">
        <v>0</v>
      </c>
      <c r="AE167" t="n">
        <v>0</v>
      </c>
      <c r="AF167" t="n">
        <v>0</v>
      </c>
    </row>
    <row r="168">
      <c r="B168" s="53">
        <f>C168&amp;"-"&amp;D168&amp;"-"&amp;E168</f>
        <v/>
      </c>
      <c r="C168" t="inlineStr">
        <is>
          <t>commercial</t>
        </is>
      </c>
      <c r="D168" t="inlineStr">
        <is>
          <t>lighting</t>
        </is>
      </c>
      <c r="E168" t="inlineStr">
        <is>
          <t>heavy or residual fuel oil (BTU)</t>
        </is>
      </c>
      <c r="F168" t="n">
        <v>0</v>
      </c>
      <c r="G168" t="n">
        <v>0</v>
      </c>
      <c r="H168" t="n">
        <v>0</v>
      </c>
      <c r="I168" t="n">
        <v>0</v>
      </c>
      <c r="J168" t="n">
        <v>0</v>
      </c>
      <c r="K168" t="n">
        <v>0</v>
      </c>
      <c r="L168" t="n">
        <v>0</v>
      </c>
      <c r="M168" t="n">
        <v>0</v>
      </c>
      <c r="N168" t="n">
        <v>0</v>
      </c>
      <c r="O168" t="n">
        <v>0</v>
      </c>
      <c r="P168" t="n">
        <v>0</v>
      </c>
      <c r="Q168" t="n">
        <v>0</v>
      </c>
      <c r="R168" t="n">
        <v>0</v>
      </c>
      <c r="S168" t="n">
        <v>0</v>
      </c>
      <c r="T168" t="n">
        <v>0</v>
      </c>
      <c r="U168" t="n">
        <v>0</v>
      </c>
      <c r="V168" t="n">
        <v>0</v>
      </c>
      <c r="W168" t="n">
        <v>0</v>
      </c>
      <c r="X168" t="n">
        <v>0</v>
      </c>
      <c r="Y168" t="n">
        <v>0</v>
      </c>
      <c r="Z168" t="n">
        <v>0</v>
      </c>
      <c r="AA168" t="n">
        <v>0</v>
      </c>
      <c r="AB168" t="n">
        <v>0</v>
      </c>
      <c r="AC168" t="n">
        <v>0</v>
      </c>
      <c r="AD168" t="n">
        <v>0</v>
      </c>
      <c r="AE168" t="n">
        <v>0</v>
      </c>
      <c r="AF168" t="n">
        <v>0</v>
      </c>
    </row>
    <row r="169">
      <c r="B169" s="53">
        <f>C169&amp;"-"&amp;D169&amp;"-"&amp;E169</f>
        <v/>
      </c>
      <c r="C169" t="inlineStr">
        <is>
          <t>commercial</t>
        </is>
      </c>
      <c r="D169" t="inlineStr">
        <is>
          <t>lighting</t>
        </is>
      </c>
      <c r="E169" t="inlineStr">
        <is>
          <t>LPG propane or butane (BTU)</t>
        </is>
      </c>
      <c r="F169" t="n">
        <v>0</v>
      </c>
      <c r="G169" t="n">
        <v>0</v>
      </c>
      <c r="H169" t="n">
        <v>0</v>
      </c>
      <c r="I169" t="n">
        <v>0</v>
      </c>
      <c r="J169" t="n">
        <v>0</v>
      </c>
      <c r="K169" t="n">
        <v>0</v>
      </c>
      <c r="L169" t="n">
        <v>0</v>
      </c>
      <c r="M169" t="n">
        <v>0</v>
      </c>
      <c r="N169" t="n">
        <v>0</v>
      </c>
      <c r="O169" t="n">
        <v>0</v>
      </c>
      <c r="P169" t="n">
        <v>0</v>
      </c>
      <c r="Q169" t="n">
        <v>0</v>
      </c>
      <c r="R169" t="n">
        <v>0</v>
      </c>
      <c r="S169" t="n">
        <v>0</v>
      </c>
      <c r="T169" t="n">
        <v>0</v>
      </c>
      <c r="U169" t="n">
        <v>0</v>
      </c>
      <c r="V169" t="n">
        <v>0</v>
      </c>
      <c r="W169" t="n">
        <v>0</v>
      </c>
      <c r="X169" t="n">
        <v>0</v>
      </c>
      <c r="Y169" t="n">
        <v>0</v>
      </c>
      <c r="Z169" t="n">
        <v>0</v>
      </c>
      <c r="AA169" t="n">
        <v>0</v>
      </c>
      <c r="AB169" t="n">
        <v>0</v>
      </c>
      <c r="AC169" t="n">
        <v>0</v>
      </c>
      <c r="AD169" t="n">
        <v>0</v>
      </c>
      <c r="AE169" t="n">
        <v>0</v>
      </c>
      <c r="AF169" t="n">
        <v>0</v>
      </c>
    </row>
    <row r="170">
      <c r="B170" s="53">
        <f>C170&amp;"-"&amp;D170&amp;"-"&amp;E170</f>
        <v/>
      </c>
      <c r="C170" t="inlineStr">
        <is>
          <t>commercial</t>
        </is>
      </c>
      <c r="D170" t="inlineStr">
        <is>
          <t>lighting</t>
        </is>
      </c>
      <c r="E170" t="inlineStr">
        <is>
          <t>hydrogen (BTU)</t>
        </is>
      </c>
      <c r="F170" t="n">
        <v>0</v>
      </c>
      <c r="G170" t="n">
        <v>0</v>
      </c>
      <c r="H170" t="n">
        <v>0</v>
      </c>
      <c r="I170" t="n">
        <v>0</v>
      </c>
      <c r="J170" t="n">
        <v>0</v>
      </c>
      <c r="K170" t="n">
        <v>0</v>
      </c>
      <c r="L170" t="n">
        <v>0</v>
      </c>
      <c r="M170" t="n">
        <v>0</v>
      </c>
      <c r="N170" t="n">
        <v>0</v>
      </c>
      <c r="O170" t="n">
        <v>0</v>
      </c>
      <c r="P170" t="n">
        <v>0</v>
      </c>
      <c r="Q170" t="n">
        <v>0</v>
      </c>
      <c r="R170" t="n">
        <v>0</v>
      </c>
      <c r="S170" t="n">
        <v>0</v>
      </c>
      <c r="T170" t="n">
        <v>0</v>
      </c>
      <c r="U170" t="n">
        <v>0</v>
      </c>
      <c r="V170" t="n">
        <v>0</v>
      </c>
      <c r="W170" t="n">
        <v>0</v>
      </c>
      <c r="X170" t="n">
        <v>0</v>
      </c>
      <c r="Y170" t="n">
        <v>0</v>
      </c>
      <c r="Z170" t="n">
        <v>0</v>
      </c>
      <c r="AA170" t="n">
        <v>0</v>
      </c>
      <c r="AB170" t="n">
        <v>0</v>
      </c>
      <c r="AC170" t="n">
        <v>0</v>
      </c>
      <c r="AD170" t="n">
        <v>0</v>
      </c>
      <c r="AE170" t="n">
        <v>0</v>
      </c>
      <c r="AF170" t="n">
        <v>0</v>
      </c>
    </row>
    <row r="171"/>
    <row r="172">
      <c r="B172" s="1" t="inlineStr">
        <is>
          <t>BCEU-commercial-appl</t>
        </is>
      </c>
    </row>
    <row r="173">
      <c r="E173" t="inlineStr">
        <is>
          <t>Year</t>
        </is>
      </c>
      <c r="F173" s="1" t="n">
        <v>2024</v>
      </c>
      <c r="G173" s="1" t="n">
        <v>2025</v>
      </c>
      <c r="H173" s="1" t="n">
        <v>2026</v>
      </c>
      <c r="I173" s="1" t="n">
        <v>2027</v>
      </c>
      <c r="J173" s="1" t="n">
        <v>2028</v>
      </c>
      <c r="K173" s="1" t="n">
        <v>2029</v>
      </c>
      <c r="L173" s="1" t="n">
        <v>2030</v>
      </c>
      <c r="M173" s="1" t="n">
        <v>2031</v>
      </c>
      <c r="N173" s="1" t="n">
        <v>2032</v>
      </c>
      <c r="O173" s="1" t="n">
        <v>2033</v>
      </c>
      <c r="P173" s="1" t="n">
        <v>2034</v>
      </c>
      <c r="Q173" s="1" t="n">
        <v>2035</v>
      </c>
      <c r="R173" s="1" t="n">
        <v>2036</v>
      </c>
      <c r="S173" s="1" t="n">
        <v>2037</v>
      </c>
      <c r="T173" s="1" t="n">
        <v>2038</v>
      </c>
      <c r="U173" s="1" t="n">
        <v>2039</v>
      </c>
      <c r="V173" s="1" t="n">
        <v>2040</v>
      </c>
      <c r="W173" s="1" t="n">
        <v>2041</v>
      </c>
      <c r="X173" s="1" t="n">
        <v>2042</v>
      </c>
      <c r="Y173" s="1" t="n">
        <v>2043</v>
      </c>
      <c r="Z173" s="1" t="n">
        <v>2044</v>
      </c>
      <c r="AA173" s="1" t="n">
        <v>2045</v>
      </c>
      <c r="AB173" s="1" t="n">
        <v>2046</v>
      </c>
      <c r="AC173" s="1" t="n">
        <v>2047</v>
      </c>
      <c r="AD173" s="1" t="n">
        <v>2048</v>
      </c>
      <c r="AE173" s="1" t="n">
        <v>2049</v>
      </c>
      <c r="AF173" s="1" t="n">
        <v>2050</v>
      </c>
    </row>
    <row r="174">
      <c r="B174" s="53">
        <f>C174&amp;"-"&amp;D174&amp;"-"&amp;E174</f>
        <v/>
      </c>
      <c r="C174" t="inlineStr">
        <is>
          <t>commercial</t>
        </is>
      </c>
      <c r="D174" t="inlineStr">
        <is>
          <t>appliances</t>
        </is>
      </c>
      <c r="E174" t="inlineStr">
        <is>
          <t>electricity (BTU)</t>
        </is>
      </c>
      <c r="F174">
        <f>SUMIFS('Crosswalk AEO to EPS Summary'!G:G,'Crosswalk AEO to EPS Summary'!$C:$C,$B174)*quadrillion</f>
        <v/>
      </c>
      <c r="G174">
        <f>SUMIFS('Crosswalk AEO to EPS Summary'!H:H,'Crosswalk AEO to EPS Summary'!$C:$C,$B174)*quadrillion</f>
        <v/>
      </c>
      <c r="H174">
        <f>SUMIFS('Crosswalk AEO to EPS Summary'!I:I,'Crosswalk AEO to EPS Summary'!$C:$C,$B174)*quadrillion</f>
        <v/>
      </c>
      <c r="I174">
        <f>SUMIFS('Crosswalk AEO to EPS Summary'!J:J,'Crosswalk AEO to EPS Summary'!$C:$C,$B174)*quadrillion</f>
        <v/>
      </c>
      <c r="J174">
        <f>SUMIFS('Crosswalk AEO to EPS Summary'!K:K,'Crosswalk AEO to EPS Summary'!$C:$C,$B174)*quadrillion</f>
        <v/>
      </c>
      <c r="K174">
        <f>SUMIFS('Crosswalk AEO to EPS Summary'!L:L,'Crosswalk AEO to EPS Summary'!$C:$C,$B174)*quadrillion</f>
        <v/>
      </c>
      <c r="L174">
        <f>SUMIFS('Crosswalk AEO to EPS Summary'!M:M,'Crosswalk AEO to EPS Summary'!$C:$C,$B174)*quadrillion</f>
        <v/>
      </c>
      <c r="M174">
        <f>SUMIFS('Crosswalk AEO to EPS Summary'!N:N,'Crosswalk AEO to EPS Summary'!$C:$C,$B174)*quadrillion</f>
        <v/>
      </c>
      <c r="N174">
        <f>SUMIFS('Crosswalk AEO to EPS Summary'!O:O,'Crosswalk AEO to EPS Summary'!$C:$C,$B174)*quadrillion</f>
        <v/>
      </c>
      <c r="O174">
        <f>SUMIFS('Crosswalk AEO to EPS Summary'!P:P,'Crosswalk AEO to EPS Summary'!$C:$C,$B174)*quadrillion</f>
        <v/>
      </c>
      <c r="P174">
        <f>SUMIFS('Crosswalk AEO to EPS Summary'!Q:Q,'Crosswalk AEO to EPS Summary'!$C:$C,$B174)*quadrillion</f>
        <v/>
      </c>
      <c r="Q174">
        <f>SUMIFS('Crosswalk AEO to EPS Summary'!R:R,'Crosswalk AEO to EPS Summary'!$C:$C,$B174)*quadrillion</f>
        <v/>
      </c>
      <c r="R174">
        <f>SUMIFS('Crosswalk AEO to EPS Summary'!S:S,'Crosswalk AEO to EPS Summary'!$C:$C,$B174)*quadrillion</f>
        <v/>
      </c>
      <c r="S174">
        <f>SUMIFS('Crosswalk AEO to EPS Summary'!T:T,'Crosswalk AEO to EPS Summary'!$C:$C,$B174)*quadrillion</f>
        <v/>
      </c>
      <c r="T174">
        <f>SUMIFS('Crosswalk AEO to EPS Summary'!U:U,'Crosswalk AEO to EPS Summary'!$C:$C,$B174)*quadrillion</f>
        <v/>
      </c>
      <c r="U174">
        <f>SUMIFS('Crosswalk AEO to EPS Summary'!V:V,'Crosswalk AEO to EPS Summary'!$C:$C,$B174)*quadrillion</f>
        <v/>
      </c>
      <c r="V174">
        <f>SUMIFS('Crosswalk AEO to EPS Summary'!W:W,'Crosswalk AEO to EPS Summary'!$C:$C,$B174)*quadrillion</f>
        <v/>
      </c>
      <c r="W174">
        <f>SUMIFS('Crosswalk AEO to EPS Summary'!X:X,'Crosswalk AEO to EPS Summary'!$C:$C,$B174)*quadrillion</f>
        <v/>
      </c>
      <c r="X174">
        <f>SUMIFS('Crosswalk AEO to EPS Summary'!Y:Y,'Crosswalk AEO to EPS Summary'!$C:$C,$B174)*quadrillion</f>
        <v/>
      </c>
      <c r="Y174">
        <f>SUMIFS('Crosswalk AEO to EPS Summary'!Z:Z,'Crosswalk AEO to EPS Summary'!$C:$C,$B174)*quadrillion</f>
        <v/>
      </c>
      <c r="Z174">
        <f>SUMIFS('Crosswalk AEO to EPS Summary'!AA:AA,'Crosswalk AEO to EPS Summary'!$C:$C,$B174)*quadrillion</f>
        <v/>
      </c>
      <c r="AA174">
        <f>SUMIFS('Crosswalk AEO to EPS Summary'!AB:AB,'Crosswalk AEO to EPS Summary'!$C:$C,$B174)*quadrillion</f>
        <v/>
      </c>
      <c r="AB174">
        <f>SUMIFS('Crosswalk AEO to EPS Summary'!AC:AC,'Crosswalk AEO to EPS Summary'!$C:$C,$B174)*quadrillion</f>
        <v/>
      </c>
      <c r="AC174">
        <f>SUMIFS('Crosswalk AEO to EPS Summary'!AD:AD,'Crosswalk AEO to EPS Summary'!$C:$C,$B174)*quadrillion</f>
        <v/>
      </c>
      <c r="AD174">
        <f>SUMIFS('Crosswalk AEO to EPS Summary'!AE:AE,'Crosswalk AEO to EPS Summary'!$C:$C,$B174)*quadrillion</f>
        <v/>
      </c>
      <c r="AE174">
        <f>SUMIFS('Crosswalk AEO to EPS Summary'!AF:AF,'Crosswalk AEO to EPS Summary'!$C:$C,$B174)*quadrillion</f>
        <v/>
      </c>
      <c r="AF174">
        <f>SUMIFS('Crosswalk AEO to EPS Summary'!AG:AG,'Crosswalk AEO to EPS Summary'!$C:$C,$B174)*quadrillion</f>
        <v/>
      </c>
    </row>
    <row r="175">
      <c r="B175" s="53">
        <f>C175&amp;"-"&amp;D175&amp;"-"&amp;E175</f>
        <v/>
      </c>
      <c r="C175" t="inlineStr">
        <is>
          <t>commercial</t>
        </is>
      </c>
      <c r="D175" t="inlineStr">
        <is>
          <t>appliances</t>
        </is>
      </c>
      <c r="E175" t="inlineStr">
        <is>
          <t>coal (BTU)</t>
        </is>
      </c>
      <c r="F175" t="n">
        <v>0</v>
      </c>
      <c r="G175" t="n">
        <v>0</v>
      </c>
      <c r="H175" t="n">
        <v>0</v>
      </c>
      <c r="I175" t="n">
        <v>0</v>
      </c>
      <c r="J175" t="n">
        <v>0</v>
      </c>
      <c r="K175" t="n">
        <v>0</v>
      </c>
      <c r="L175" t="n">
        <v>0</v>
      </c>
      <c r="M175" t="n">
        <v>0</v>
      </c>
      <c r="N175" t="n">
        <v>0</v>
      </c>
      <c r="O175" t="n">
        <v>0</v>
      </c>
      <c r="P175" t="n">
        <v>0</v>
      </c>
      <c r="Q175" t="n">
        <v>0</v>
      </c>
      <c r="R175" t="n">
        <v>0</v>
      </c>
      <c r="S175" t="n">
        <v>0</v>
      </c>
      <c r="T175" t="n">
        <v>0</v>
      </c>
      <c r="U175" t="n">
        <v>0</v>
      </c>
      <c r="V175" t="n">
        <v>0</v>
      </c>
      <c r="W175" t="n">
        <v>0</v>
      </c>
      <c r="X175" t="n">
        <v>0</v>
      </c>
      <c r="Y175" t="n">
        <v>0</v>
      </c>
      <c r="Z175" t="n">
        <v>0</v>
      </c>
      <c r="AA175" t="n">
        <v>0</v>
      </c>
      <c r="AB175" t="n">
        <v>0</v>
      </c>
      <c r="AC175" t="n">
        <v>0</v>
      </c>
      <c r="AD175" t="n">
        <v>0</v>
      </c>
      <c r="AE175" t="n">
        <v>0</v>
      </c>
      <c r="AF175" t="n">
        <v>0</v>
      </c>
    </row>
    <row r="176">
      <c r="B176" s="53">
        <f>C176&amp;"-"&amp;D176&amp;"-"&amp;E176</f>
        <v/>
      </c>
      <c r="C176" t="inlineStr">
        <is>
          <t>commercial</t>
        </is>
      </c>
      <c r="D176" t="inlineStr">
        <is>
          <t>appliances</t>
        </is>
      </c>
      <c r="E176" t="inlineStr">
        <is>
          <t>natural gas (BTU)</t>
        </is>
      </c>
      <c r="F176">
        <f>SUMIFS('Crosswalk AEO to EPS Summary'!G:G,'Crosswalk AEO to EPS Summary'!$C:$C,$B176)*quadrillion</f>
        <v/>
      </c>
      <c r="G176">
        <f>SUMIFS('Crosswalk AEO to EPS Summary'!H:H,'Crosswalk AEO to EPS Summary'!$C:$C,$B176)*quadrillion</f>
        <v/>
      </c>
      <c r="H176">
        <f>SUMIFS('Crosswalk AEO to EPS Summary'!I:I,'Crosswalk AEO to EPS Summary'!$C:$C,$B176)*quadrillion</f>
        <v/>
      </c>
      <c r="I176">
        <f>SUMIFS('Crosswalk AEO to EPS Summary'!J:J,'Crosswalk AEO to EPS Summary'!$C:$C,$B176)*quadrillion</f>
        <v/>
      </c>
      <c r="J176">
        <f>SUMIFS('Crosswalk AEO to EPS Summary'!K:K,'Crosswalk AEO to EPS Summary'!$C:$C,$B176)*quadrillion</f>
        <v/>
      </c>
      <c r="K176">
        <f>SUMIFS('Crosswalk AEO to EPS Summary'!L:L,'Crosswalk AEO to EPS Summary'!$C:$C,$B176)*quadrillion</f>
        <v/>
      </c>
      <c r="L176">
        <f>SUMIFS('Crosswalk AEO to EPS Summary'!M:M,'Crosswalk AEO to EPS Summary'!$C:$C,$B176)*quadrillion</f>
        <v/>
      </c>
      <c r="M176">
        <f>SUMIFS('Crosswalk AEO to EPS Summary'!N:N,'Crosswalk AEO to EPS Summary'!$C:$C,$B176)*quadrillion</f>
        <v/>
      </c>
      <c r="N176">
        <f>SUMIFS('Crosswalk AEO to EPS Summary'!O:O,'Crosswalk AEO to EPS Summary'!$C:$C,$B176)*quadrillion</f>
        <v/>
      </c>
      <c r="O176">
        <f>SUMIFS('Crosswalk AEO to EPS Summary'!P:P,'Crosswalk AEO to EPS Summary'!$C:$C,$B176)*quadrillion</f>
        <v/>
      </c>
      <c r="P176">
        <f>SUMIFS('Crosswalk AEO to EPS Summary'!Q:Q,'Crosswalk AEO to EPS Summary'!$C:$C,$B176)*quadrillion</f>
        <v/>
      </c>
      <c r="Q176">
        <f>SUMIFS('Crosswalk AEO to EPS Summary'!R:R,'Crosswalk AEO to EPS Summary'!$C:$C,$B176)*quadrillion</f>
        <v/>
      </c>
      <c r="R176">
        <f>SUMIFS('Crosswalk AEO to EPS Summary'!S:S,'Crosswalk AEO to EPS Summary'!$C:$C,$B176)*quadrillion</f>
        <v/>
      </c>
      <c r="S176">
        <f>SUMIFS('Crosswalk AEO to EPS Summary'!T:T,'Crosswalk AEO to EPS Summary'!$C:$C,$B176)*quadrillion</f>
        <v/>
      </c>
      <c r="T176">
        <f>SUMIFS('Crosswalk AEO to EPS Summary'!U:U,'Crosswalk AEO to EPS Summary'!$C:$C,$B176)*quadrillion</f>
        <v/>
      </c>
      <c r="U176">
        <f>SUMIFS('Crosswalk AEO to EPS Summary'!V:V,'Crosswalk AEO to EPS Summary'!$C:$C,$B176)*quadrillion</f>
        <v/>
      </c>
      <c r="V176">
        <f>SUMIFS('Crosswalk AEO to EPS Summary'!W:W,'Crosswalk AEO to EPS Summary'!$C:$C,$B176)*quadrillion</f>
        <v/>
      </c>
      <c r="W176">
        <f>SUMIFS('Crosswalk AEO to EPS Summary'!X:X,'Crosswalk AEO to EPS Summary'!$C:$C,$B176)*quadrillion</f>
        <v/>
      </c>
      <c r="X176">
        <f>SUMIFS('Crosswalk AEO to EPS Summary'!Y:Y,'Crosswalk AEO to EPS Summary'!$C:$C,$B176)*quadrillion</f>
        <v/>
      </c>
      <c r="Y176">
        <f>SUMIFS('Crosswalk AEO to EPS Summary'!Z:Z,'Crosswalk AEO to EPS Summary'!$C:$C,$B176)*quadrillion</f>
        <v/>
      </c>
      <c r="Z176">
        <f>SUMIFS('Crosswalk AEO to EPS Summary'!AA:AA,'Crosswalk AEO to EPS Summary'!$C:$C,$B176)*quadrillion</f>
        <v/>
      </c>
      <c r="AA176">
        <f>SUMIFS('Crosswalk AEO to EPS Summary'!AB:AB,'Crosswalk AEO to EPS Summary'!$C:$C,$B176)*quadrillion</f>
        <v/>
      </c>
      <c r="AB176">
        <f>SUMIFS('Crosswalk AEO to EPS Summary'!AC:AC,'Crosswalk AEO to EPS Summary'!$C:$C,$B176)*quadrillion</f>
        <v/>
      </c>
      <c r="AC176">
        <f>SUMIFS('Crosswalk AEO to EPS Summary'!AD:AD,'Crosswalk AEO to EPS Summary'!$C:$C,$B176)*quadrillion</f>
        <v/>
      </c>
      <c r="AD176">
        <f>SUMIFS('Crosswalk AEO to EPS Summary'!AE:AE,'Crosswalk AEO to EPS Summary'!$C:$C,$B176)*quadrillion</f>
        <v/>
      </c>
      <c r="AE176">
        <f>SUMIFS('Crosswalk AEO to EPS Summary'!AF:AF,'Crosswalk AEO to EPS Summary'!$C:$C,$B176)*quadrillion</f>
        <v/>
      </c>
      <c r="AF176">
        <f>SUMIFS('Crosswalk AEO to EPS Summary'!AG:AG,'Crosswalk AEO to EPS Summary'!$C:$C,$B176)*quadrillion</f>
        <v/>
      </c>
    </row>
    <row r="177">
      <c r="B177" s="53">
        <f>C177&amp;"-"&amp;D177&amp;"-"&amp;E177</f>
        <v/>
      </c>
      <c r="C177" t="inlineStr">
        <is>
          <t>commercial</t>
        </is>
      </c>
      <c r="D177" t="inlineStr">
        <is>
          <t>appliances</t>
        </is>
      </c>
      <c r="E177" t="inlineStr">
        <is>
          <t>petroleum diesel (BTU)</t>
        </is>
      </c>
      <c r="F177">
        <f>SUMIFS('Crosswalk AEO to EPS Summary'!G:G,'Crosswalk AEO to EPS Summary'!$C:$C,$B177)*quadrillion</f>
        <v/>
      </c>
      <c r="G177">
        <f>SUMIFS('Crosswalk AEO to EPS Summary'!H:H,'Crosswalk AEO to EPS Summary'!$C:$C,$B177)*quadrillion</f>
        <v/>
      </c>
      <c r="H177">
        <f>SUMIFS('Crosswalk AEO to EPS Summary'!I:I,'Crosswalk AEO to EPS Summary'!$C:$C,$B177)*quadrillion</f>
        <v/>
      </c>
      <c r="I177">
        <f>SUMIFS('Crosswalk AEO to EPS Summary'!J:J,'Crosswalk AEO to EPS Summary'!$C:$C,$B177)*quadrillion</f>
        <v/>
      </c>
      <c r="J177">
        <f>SUMIFS('Crosswalk AEO to EPS Summary'!K:K,'Crosswalk AEO to EPS Summary'!$C:$C,$B177)*quadrillion</f>
        <v/>
      </c>
      <c r="K177">
        <f>SUMIFS('Crosswalk AEO to EPS Summary'!L:L,'Crosswalk AEO to EPS Summary'!$C:$C,$B177)*quadrillion</f>
        <v/>
      </c>
      <c r="L177">
        <f>SUMIFS('Crosswalk AEO to EPS Summary'!M:M,'Crosswalk AEO to EPS Summary'!$C:$C,$B177)*quadrillion</f>
        <v/>
      </c>
      <c r="M177">
        <f>SUMIFS('Crosswalk AEO to EPS Summary'!N:N,'Crosswalk AEO to EPS Summary'!$C:$C,$B177)*quadrillion</f>
        <v/>
      </c>
      <c r="N177">
        <f>SUMIFS('Crosswalk AEO to EPS Summary'!O:O,'Crosswalk AEO to EPS Summary'!$C:$C,$B177)*quadrillion</f>
        <v/>
      </c>
      <c r="O177">
        <f>SUMIFS('Crosswalk AEO to EPS Summary'!P:P,'Crosswalk AEO to EPS Summary'!$C:$C,$B177)*quadrillion</f>
        <v/>
      </c>
      <c r="P177">
        <f>SUMIFS('Crosswalk AEO to EPS Summary'!Q:Q,'Crosswalk AEO to EPS Summary'!$C:$C,$B177)*quadrillion</f>
        <v/>
      </c>
      <c r="Q177">
        <f>SUMIFS('Crosswalk AEO to EPS Summary'!R:R,'Crosswalk AEO to EPS Summary'!$C:$C,$B177)*quadrillion</f>
        <v/>
      </c>
      <c r="R177">
        <f>SUMIFS('Crosswalk AEO to EPS Summary'!S:S,'Crosswalk AEO to EPS Summary'!$C:$C,$B177)*quadrillion</f>
        <v/>
      </c>
      <c r="S177">
        <f>SUMIFS('Crosswalk AEO to EPS Summary'!T:T,'Crosswalk AEO to EPS Summary'!$C:$C,$B177)*quadrillion</f>
        <v/>
      </c>
      <c r="T177">
        <f>SUMIFS('Crosswalk AEO to EPS Summary'!U:U,'Crosswalk AEO to EPS Summary'!$C:$C,$B177)*quadrillion</f>
        <v/>
      </c>
      <c r="U177">
        <f>SUMIFS('Crosswalk AEO to EPS Summary'!V:V,'Crosswalk AEO to EPS Summary'!$C:$C,$B177)*quadrillion</f>
        <v/>
      </c>
      <c r="V177">
        <f>SUMIFS('Crosswalk AEO to EPS Summary'!W:W,'Crosswalk AEO to EPS Summary'!$C:$C,$B177)*quadrillion</f>
        <v/>
      </c>
      <c r="W177">
        <f>SUMIFS('Crosswalk AEO to EPS Summary'!X:X,'Crosswalk AEO to EPS Summary'!$C:$C,$B177)*quadrillion</f>
        <v/>
      </c>
      <c r="X177">
        <f>SUMIFS('Crosswalk AEO to EPS Summary'!Y:Y,'Crosswalk AEO to EPS Summary'!$C:$C,$B177)*quadrillion</f>
        <v/>
      </c>
      <c r="Y177">
        <f>SUMIFS('Crosswalk AEO to EPS Summary'!Z:Z,'Crosswalk AEO to EPS Summary'!$C:$C,$B177)*quadrillion</f>
        <v/>
      </c>
      <c r="Z177">
        <f>SUMIFS('Crosswalk AEO to EPS Summary'!AA:AA,'Crosswalk AEO to EPS Summary'!$C:$C,$B177)*quadrillion</f>
        <v/>
      </c>
      <c r="AA177">
        <f>SUMIFS('Crosswalk AEO to EPS Summary'!AB:AB,'Crosswalk AEO to EPS Summary'!$C:$C,$B177)*quadrillion</f>
        <v/>
      </c>
      <c r="AB177">
        <f>SUMIFS('Crosswalk AEO to EPS Summary'!AC:AC,'Crosswalk AEO to EPS Summary'!$C:$C,$B177)*quadrillion</f>
        <v/>
      </c>
      <c r="AC177">
        <f>SUMIFS('Crosswalk AEO to EPS Summary'!AD:AD,'Crosswalk AEO to EPS Summary'!$C:$C,$B177)*quadrillion</f>
        <v/>
      </c>
      <c r="AD177">
        <f>SUMIFS('Crosswalk AEO to EPS Summary'!AE:AE,'Crosswalk AEO to EPS Summary'!$C:$C,$B177)*quadrillion</f>
        <v/>
      </c>
      <c r="AE177">
        <f>SUMIFS('Crosswalk AEO to EPS Summary'!AF:AF,'Crosswalk AEO to EPS Summary'!$C:$C,$B177)*quadrillion</f>
        <v/>
      </c>
      <c r="AF177">
        <f>SUMIFS('Crosswalk AEO to EPS Summary'!AG:AG,'Crosswalk AEO to EPS Summary'!$C:$C,$B177)*quadrillion</f>
        <v/>
      </c>
    </row>
    <row r="178">
      <c r="B178" s="53">
        <f>C178&amp;"-"&amp;D178&amp;"-"&amp;E178</f>
        <v/>
      </c>
      <c r="C178" t="inlineStr">
        <is>
          <t>commercial</t>
        </is>
      </c>
      <c r="D178" t="inlineStr">
        <is>
          <t>appliances</t>
        </is>
      </c>
      <c r="E178" t="inlineStr">
        <is>
          <t>heat (BTU)</t>
        </is>
      </c>
      <c r="F178" t="n">
        <v>0</v>
      </c>
      <c r="G178" t="n">
        <v>0</v>
      </c>
      <c r="H178" t="n">
        <v>0</v>
      </c>
      <c r="I178" t="n">
        <v>0</v>
      </c>
      <c r="J178" t="n">
        <v>0</v>
      </c>
      <c r="K178" t="n">
        <v>0</v>
      </c>
      <c r="L178" t="n">
        <v>0</v>
      </c>
      <c r="M178" t="n">
        <v>0</v>
      </c>
      <c r="N178" t="n">
        <v>0</v>
      </c>
      <c r="O178" t="n">
        <v>0</v>
      </c>
      <c r="P178" t="n">
        <v>0</v>
      </c>
      <c r="Q178" t="n">
        <v>0</v>
      </c>
      <c r="R178" t="n">
        <v>0</v>
      </c>
      <c r="S178" t="n">
        <v>0</v>
      </c>
      <c r="T178" t="n">
        <v>0</v>
      </c>
      <c r="U178" t="n">
        <v>0</v>
      </c>
      <c r="V178" t="n">
        <v>0</v>
      </c>
      <c r="W178" t="n">
        <v>0</v>
      </c>
      <c r="X178" t="n">
        <v>0</v>
      </c>
      <c r="Y178" t="n">
        <v>0</v>
      </c>
      <c r="Z178" t="n">
        <v>0</v>
      </c>
      <c r="AA178" t="n">
        <v>0</v>
      </c>
      <c r="AB178" t="n">
        <v>0</v>
      </c>
      <c r="AC178" t="n">
        <v>0</v>
      </c>
      <c r="AD178" t="n">
        <v>0</v>
      </c>
      <c r="AE178" t="n">
        <v>0</v>
      </c>
      <c r="AF178" t="n">
        <v>0</v>
      </c>
    </row>
    <row r="179">
      <c r="B179" s="53">
        <f>C179&amp;"-"&amp;D179&amp;"-"&amp;E179</f>
        <v/>
      </c>
      <c r="C179" t="inlineStr">
        <is>
          <t>commercial</t>
        </is>
      </c>
      <c r="D179" t="inlineStr">
        <is>
          <t>appliances</t>
        </is>
      </c>
      <c r="E179" t="inlineStr">
        <is>
          <t>biomass (BTU)</t>
        </is>
      </c>
      <c r="F179" t="n">
        <v>0</v>
      </c>
      <c r="G179" t="n">
        <v>0</v>
      </c>
      <c r="H179" t="n">
        <v>0</v>
      </c>
      <c r="I179" t="n">
        <v>0</v>
      </c>
      <c r="J179" t="n">
        <v>0</v>
      </c>
      <c r="K179" t="n">
        <v>0</v>
      </c>
      <c r="L179" t="n">
        <v>0</v>
      </c>
      <c r="M179" t="n">
        <v>0</v>
      </c>
      <c r="N179" t="n">
        <v>0</v>
      </c>
      <c r="O179" t="n">
        <v>0</v>
      </c>
      <c r="P179" t="n">
        <v>0</v>
      </c>
      <c r="Q179" t="n">
        <v>0</v>
      </c>
      <c r="R179" t="n">
        <v>0</v>
      </c>
      <c r="S179" t="n">
        <v>0</v>
      </c>
      <c r="T179" t="n">
        <v>0</v>
      </c>
      <c r="U179" t="n">
        <v>0</v>
      </c>
      <c r="V179" t="n">
        <v>0</v>
      </c>
      <c r="W179" t="n">
        <v>0</v>
      </c>
      <c r="X179" t="n">
        <v>0</v>
      </c>
      <c r="Y179" t="n">
        <v>0</v>
      </c>
      <c r="Z179" t="n">
        <v>0</v>
      </c>
      <c r="AA179" t="n">
        <v>0</v>
      </c>
      <c r="AB179" t="n">
        <v>0</v>
      </c>
      <c r="AC179" t="n">
        <v>0</v>
      </c>
      <c r="AD179" t="n">
        <v>0</v>
      </c>
      <c r="AE179" t="n">
        <v>0</v>
      </c>
      <c r="AF179" t="n">
        <v>0</v>
      </c>
    </row>
    <row r="180">
      <c r="B180" s="53">
        <f>C180&amp;"-"&amp;D180&amp;"-"&amp;E180</f>
        <v/>
      </c>
      <c r="C180" t="inlineStr">
        <is>
          <t>commercial</t>
        </is>
      </c>
      <c r="D180" t="inlineStr">
        <is>
          <t>appliances</t>
        </is>
      </c>
      <c r="E180" t="inlineStr">
        <is>
          <t>kerosene (BTU)</t>
        </is>
      </c>
      <c r="F180" t="n">
        <v>0</v>
      </c>
      <c r="G180" t="n">
        <v>0</v>
      </c>
      <c r="H180" t="n">
        <v>0</v>
      </c>
      <c r="I180" t="n">
        <v>0</v>
      </c>
      <c r="J180" t="n">
        <v>0</v>
      </c>
      <c r="K180" t="n">
        <v>0</v>
      </c>
      <c r="L180" t="n">
        <v>0</v>
      </c>
      <c r="M180" t="n">
        <v>0</v>
      </c>
      <c r="N180" t="n">
        <v>0</v>
      </c>
      <c r="O180" t="n">
        <v>0</v>
      </c>
      <c r="P180" t="n">
        <v>0</v>
      </c>
      <c r="Q180" t="n">
        <v>0</v>
      </c>
      <c r="R180" t="n">
        <v>0</v>
      </c>
      <c r="S180" t="n">
        <v>0</v>
      </c>
      <c r="T180" t="n">
        <v>0</v>
      </c>
      <c r="U180" t="n">
        <v>0</v>
      </c>
      <c r="V180" t="n">
        <v>0</v>
      </c>
      <c r="W180" t="n">
        <v>0</v>
      </c>
      <c r="X180" t="n">
        <v>0</v>
      </c>
      <c r="Y180" t="n">
        <v>0</v>
      </c>
      <c r="Z180" t="n">
        <v>0</v>
      </c>
      <c r="AA180" t="n">
        <v>0</v>
      </c>
      <c r="AB180" t="n">
        <v>0</v>
      </c>
      <c r="AC180" t="n">
        <v>0</v>
      </c>
      <c r="AD180" t="n">
        <v>0</v>
      </c>
      <c r="AE180" t="n">
        <v>0</v>
      </c>
      <c r="AF180" t="n">
        <v>0</v>
      </c>
    </row>
    <row r="181">
      <c r="B181" s="53">
        <f>C181&amp;"-"&amp;D181&amp;"-"&amp;E181</f>
        <v/>
      </c>
      <c r="C181" t="inlineStr">
        <is>
          <t>commercial</t>
        </is>
      </c>
      <c r="D181" t="inlineStr">
        <is>
          <t>appliances</t>
        </is>
      </c>
      <c r="E181" t="inlineStr">
        <is>
          <t>heavy or residual fuel oil (BTU)</t>
        </is>
      </c>
      <c r="F181" t="n">
        <v>0</v>
      </c>
      <c r="G181" t="n">
        <v>0</v>
      </c>
      <c r="H181" t="n">
        <v>0</v>
      </c>
      <c r="I181" t="n">
        <v>0</v>
      </c>
      <c r="J181" t="n">
        <v>0</v>
      </c>
      <c r="K181" t="n">
        <v>0</v>
      </c>
      <c r="L181" t="n">
        <v>0</v>
      </c>
      <c r="M181" t="n">
        <v>0</v>
      </c>
      <c r="N181" t="n">
        <v>0</v>
      </c>
      <c r="O181" t="n">
        <v>0</v>
      </c>
      <c r="P181" t="n">
        <v>0</v>
      </c>
      <c r="Q181" t="n">
        <v>0</v>
      </c>
      <c r="R181" t="n">
        <v>0</v>
      </c>
      <c r="S181" t="n">
        <v>0</v>
      </c>
      <c r="T181" t="n">
        <v>0</v>
      </c>
      <c r="U181" t="n">
        <v>0</v>
      </c>
      <c r="V181" t="n">
        <v>0</v>
      </c>
      <c r="W181" t="n">
        <v>0</v>
      </c>
      <c r="X181" t="n">
        <v>0</v>
      </c>
      <c r="Y181" t="n">
        <v>0</v>
      </c>
      <c r="Z181" t="n">
        <v>0</v>
      </c>
      <c r="AA181" t="n">
        <v>0</v>
      </c>
      <c r="AB181" t="n">
        <v>0</v>
      </c>
      <c r="AC181" t="n">
        <v>0</v>
      </c>
      <c r="AD181" t="n">
        <v>0</v>
      </c>
      <c r="AE181" t="n">
        <v>0</v>
      </c>
      <c r="AF181" t="n">
        <v>0</v>
      </c>
    </row>
    <row r="182">
      <c r="B182" s="53">
        <f>C182&amp;"-"&amp;D182&amp;"-"&amp;E182</f>
        <v/>
      </c>
      <c r="C182" t="inlineStr">
        <is>
          <t>commercial</t>
        </is>
      </c>
      <c r="D182" t="inlineStr">
        <is>
          <t>other</t>
        </is>
      </c>
      <c r="E182" t="inlineStr">
        <is>
          <t>LPG propane or butane (BTU)</t>
        </is>
      </c>
      <c r="F182" s="43">
        <f>SUMIFS('Crosswalk AEO to EPS Summary'!G:G,'Crosswalk AEO to EPS Summary'!$C:$C,$B182)*(1-Fraction_coal)*quadrillion*(F177/SUM(F$138,F$177,F$190))</f>
        <v/>
      </c>
      <c r="G182" s="43">
        <f>SUMIFS('Crosswalk AEO to EPS Summary'!H:H,'Crosswalk AEO to EPS Summary'!$C:$C,$B182)*(1-Fraction_coal)*quadrillion*(G177/SUM(G$138,G$177,G$190))</f>
        <v/>
      </c>
      <c r="H182" s="43">
        <f>SUMIFS('Crosswalk AEO to EPS Summary'!I:I,'Crosswalk AEO to EPS Summary'!$C:$C,$B182)*(1-Fraction_coal)*quadrillion*(H177/SUM(H$138,H$177,H$190))</f>
        <v/>
      </c>
      <c r="I182" s="43">
        <f>SUMIFS('Crosswalk AEO to EPS Summary'!J:J,'Crosswalk AEO to EPS Summary'!$C:$C,$B182)*(1-Fraction_coal)*quadrillion*(I177/SUM(I$138,I$177,I$190))</f>
        <v/>
      </c>
      <c r="J182" s="43">
        <f>SUMIFS('Crosswalk AEO to EPS Summary'!K:K,'Crosswalk AEO to EPS Summary'!$C:$C,$B182)*(1-Fraction_coal)*quadrillion*(J177/SUM(J$138,J$177,J$190))</f>
        <v/>
      </c>
      <c r="K182" s="43">
        <f>SUMIFS('Crosswalk AEO to EPS Summary'!L:L,'Crosswalk AEO to EPS Summary'!$C:$C,$B182)*(1-Fraction_coal)*quadrillion*(K177/SUM(K$138,K$177,K$190))</f>
        <v/>
      </c>
      <c r="L182" s="43">
        <f>SUMIFS('Crosswalk AEO to EPS Summary'!M:M,'Crosswalk AEO to EPS Summary'!$C:$C,$B182)*(1-Fraction_coal)*quadrillion*(L177/SUM(L$138,L$177,L$190))</f>
        <v/>
      </c>
      <c r="M182" s="43">
        <f>SUMIFS('Crosswalk AEO to EPS Summary'!N:N,'Crosswalk AEO to EPS Summary'!$C:$C,$B182)*(1-Fraction_coal)*quadrillion*(M177/SUM(M$138,M$177,M$190))</f>
        <v/>
      </c>
      <c r="N182" s="43">
        <f>SUMIFS('Crosswalk AEO to EPS Summary'!O:O,'Crosswalk AEO to EPS Summary'!$C:$C,$B182)*(1-Fraction_coal)*quadrillion*(N177/SUM(N$138,N$177,N$190))</f>
        <v/>
      </c>
      <c r="O182" s="43">
        <f>SUMIFS('Crosswalk AEO to EPS Summary'!P:P,'Crosswalk AEO to EPS Summary'!$C:$C,$B182)*(1-Fraction_coal)*quadrillion*(O177/SUM(O$138,O$177,O$190))</f>
        <v/>
      </c>
      <c r="P182" s="43">
        <f>SUMIFS('Crosswalk AEO to EPS Summary'!Q:Q,'Crosswalk AEO to EPS Summary'!$C:$C,$B182)*(1-Fraction_coal)*quadrillion*(P177/SUM(P$138,P$177,P$190))</f>
        <v/>
      </c>
      <c r="Q182" s="43">
        <f>SUMIFS('Crosswalk AEO to EPS Summary'!R:R,'Crosswalk AEO to EPS Summary'!$C:$C,$B182)*(1-Fraction_coal)*quadrillion*(Q177/SUM(Q$138,Q$177,Q$190))</f>
        <v/>
      </c>
      <c r="R182" s="43">
        <f>SUMIFS('Crosswalk AEO to EPS Summary'!S:S,'Crosswalk AEO to EPS Summary'!$C:$C,$B182)*(1-Fraction_coal)*quadrillion*(R177/SUM(R$138,R$177,R$190))</f>
        <v/>
      </c>
      <c r="S182" s="43">
        <f>SUMIFS('Crosswalk AEO to EPS Summary'!T:T,'Crosswalk AEO to EPS Summary'!$C:$C,$B182)*(1-Fraction_coal)*quadrillion*(S177/SUM(S$138,S$177,S$190))</f>
        <v/>
      </c>
      <c r="T182" s="43">
        <f>SUMIFS('Crosswalk AEO to EPS Summary'!U:U,'Crosswalk AEO to EPS Summary'!$C:$C,$B182)*(1-Fraction_coal)*quadrillion*(T177/SUM(T$138,T$177,T$190))</f>
        <v/>
      </c>
      <c r="U182" s="43">
        <f>SUMIFS('Crosswalk AEO to EPS Summary'!V:V,'Crosswalk AEO to EPS Summary'!$C:$C,$B182)*(1-Fraction_coal)*quadrillion*(U177/SUM(U$138,U$177,U$190))</f>
        <v/>
      </c>
      <c r="V182" s="43">
        <f>SUMIFS('Crosswalk AEO to EPS Summary'!W:W,'Crosswalk AEO to EPS Summary'!$C:$C,$B182)*(1-Fraction_coal)*quadrillion*(V177/SUM(V$138,V$177,V$190))</f>
        <v/>
      </c>
      <c r="W182" s="43">
        <f>SUMIFS('Crosswalk AEO to EPS Summary'!X:X,'Crosswalk AEO to EPS Summary'!$C:$C,$B182)*(1-Fraction_coal)*quadrillion*(W177/SUM(W$138,W$177,W$190))</f>
        <v/>
      </c>
      <c r="X182" s="43">
        <f>SUMIFS('Crosswalk AEO to EPS Summary'!Y:Y,'Crosswalk AEO to EPS Summary'!$C:$C,$B182)*(1-Fraction_coal)*quadrillion*(X177/SUM(X$138,X$177,X$190))</f>
        <v/>
      </c>
      <c r="Y182" s="43">
        <f>SUMIFS('Crosswalk AEO to EPS Summary'!Z:Z,'Crosswalk AEO to EPS Summary'!$C:$C,$B182)*(1-Fraction_coal)*quadrillion*(Y177/SUM(Y$138,Y$177,Y$190))</f>
        <v/>
      </c>
      <c r="Z182" s="43">
        <f>SUMIFS('Crosswalk AEO to EPS Summary'!AA:AA,'Crosswalk AEO to EPS Summary'!$C:$C,$B182)*(1-Fraction_coal)*quadrillion*(Z177/SUM(Z$138,Z$177,Z$190))</f>
        <v/>
      </c>
      <c r="AA182" s="43">
        <f>SUMIFS('Crosswalk AEO to EPS Summary'!AB:AB,'Crosswalk AEO to EPS Summary'!$C:$C,$B182)*(1-Fraction_coal)*quadrillion*(AA177/SUM(AA$138,AA$177,AA$190))</f>
        <v/>
      </c>
      <c r="AB182" s="43">
        <f>SUMIFS('Crosswalk AEO to EPS Summary'!AC:AC,'Crosswalk AEO to EPS Summary'!$C:$C,$B182)*(1-Fraction_coal)*quadrillion*(AB177/SUM(AB$138,AB$177,AB$190))</f>
        <v/>
      </c>
      <c r="AC182" s="43">
        <f>SUMIFS('Crosswalk AEO to EPS Summary'!AD:AD,'Crosswalk AEO to EPS Summary'!$C:$C,$B182)*(1-Fraction_coal)*quadrillion*(AC177/SUM(AC$138,AC$177,AC$190))</f>
        <v/>
      </c>
      <c r="AD182" s="43">
        <f>SUMIFS('Crosswalk AEO to EPS Summary'!AE:AE,'Crosswalk AEO to EPS Summary'!$C:$C,$B182)*(1-Fraction_coal)*quadrillion*(AD177/SUM(AD$138,AD$177,AD$190))</f>
        <v/>
      </c>
      <c r="AE182" s="43">
        <f>SUMIFS('Crosswalk AEO to EPS Summary'!AF:AF,'Crosswalk AEO to EPS Summary'!$C:$C,$B182)*(1-Fraction_coal)*quadrillion*(AE177/SUM(AE$138,AE$177,AE$190))</f>
        <v/>
      </c>
      <c r="AF182" s="43">
        <f>SUMIFS('Crosswalk AEO to EPS Summary'!AG:AG,'Crosswalk AEO to EPS Summary'!$C:$C,$B182)*(1-Fraction_coal)*quadrillion*(AF177/SUM(AF$138,AF$177,AF$190))</f>
        <v/>
      </c>
    </row>
    <row r="183">
      <c r="B183" s="53">
        <f>C183&amp;"-"&amp;D183&amp;"-"&amp;E183</f>
        <v/>
      </c>
      <c r="C183" t="inlineStr">
        <is>
          <t>commercial</t>
        </is>
      </c>
      <c r="D183" t="inlineStr">
        <is>
          <t>appliances</t>
        </is>
      </c>
      <c r="E183" t="inlineStr">
        <is>
          <t>hydrogen (BTU)</t>
        </is>
      </c>
      <c r="F183" t="n">
        <v>0</v>
      </c>
      <c r="G183" t="n">
        <v>0</v>
      </c>
      <c r="H183" t="n">
        <v>0</v>
      </c>
      <c r="I183" t="n">
        <v>0</v>
      </c>
      <c r="J183" t="n">
        <v>0</v>
      </c>
      <c r="K183" t="n">
        <v>0</v>
      </c>
      <c r="L183" t="n">
        <v>0</v>
      </c>
      <c r="M183" t="n">
        <v>0</v>
      </c>
      <c r="N183" t="n">
        <v>0</v>
      </c>
      <c r="O183" t="n">
        <v>0</v>
      </c>
      <c r="P183" t="n">
        <v>0</v>
      </c>
      <c r="Q183" t="n">
        <v>0</v>
      </c>
      <c r="R183" t="n">
        <v>0</v>
      </c>
      <c r="S183" t="n">
        <v>0</v>
      </c>
      <c r="T183" t="n">
        <v>0</v>
      </c>
      <c r="U183" t="n">
        <v>0</v>
      </c>
      <c r="V183" t="n">
        <v>0</v>
      </c>
      <c r="W183" t="n">
        <v>0</v>
      </c>
      <c r="X183" t="n">
        <v>0</v>
      </c>
      <c r="Y183" t="n">
        <v>0</v>
      </c>
      <c r="Z183" t="n">
        <v>0</v>
      </c>
      <c r="AA183" t="n">
        <v>0</v>
      </c>
      <c r="AB183" t="n">
        <v>0</v>
      </c>
      <c r="AC183" t="n">
        <v>0</v>
      </c>
      <c r="AD183" t="n">
        <v>0</v>
      </c>
      <c r="AE183" t="n">
        <v>0</v>
      </c>
      <c r="AF183" t="n">
        <v>0</v>
      </c>
    </row>
    <row r="184"/>
    <row r="185">
      <c r="B185" s="1" t="inlineStr">
        <is>
          <t>BCEU-commercial-other</t>
        </is>
      </c>
    </row>
    <row r="186">
      <c r="E186" t="inlineStr">
        <is>
          <t>Year</t>
        </is>
      </c>
      <c r="F186" s="1" t="n">
        <v>2024</v>
      </c>
      <c r="G186" s="1" t="n">
        <v>2025</v>
      </c>
      <c r="H186" s="1" t="n">
        <v>2026</v>
      </c>
      <c r="I186" s="1" t="n">
        <v>2027</v>
      </c>
      <c r="J186" s="1" t="n">
        <v>2028</v>
      </c>
      <c r="K186" s="1" t="n">
        <v>2029</v>
      </c>
      <c r="L186" s="1" t="n">
        <v>2030</v>
      </c>
      <c r="M186" s="1" t="n">
        <v>2031</v>
      </c>
      <c r="N186" s="1" t="n">
        <v>2032</v>
      </c>
      <c r="O186" s="1" t="n">
        <v>2033</v>
      </c>
      <c r="P186" s="1" t="n">
        <v>2034</v>
      </c>
      <c r="Q186" s="1" t="n">
        <v>2035</v>
      </c>
      <c r="R186" s="1" t="n">
        <v>2036</v>
      </c>
      <c r="S186" s="1" t="n">
        <v>2037</v>
      </c>
      <c r="T186" s="1" t="n">
        <v>2038</v>
      </c>
      <c r="U186" s="1" t="n">
        <v>2039</v>
      </c>
      <c r="V186" s="1" t="n">
        <v>2040</v>
      </c>
      <c r="W186" s="1" t="n">
        <v>2041</v>
      </c>
      <c r="X186" s="1" t="n">
        <v>2042</v>
      </c>
      <c r="Y186" s="1" t="n">
        <v>2043</v>
      </c>
      <c r="Z186" s="1" t="n">
        <v>2044</v>
      </c>
      <c r="AA186" s="1" t="n">
        <v>2045</v>
      </c>
      <c r="AB186" s="1" t="n">
        <v>2046</v>
      </c>
      <c r="AC186" s="1" t="n">
        <v>2047</v>
      </c>
      <c r="AD186" s="1" t="n">
        <v>2048</v>
      </c>
      <c r="AE186" s="1" t="n">
        <v>2049</v>
      </c>
      <c r="AF186" s="1" t="n">
        <v>2050</v>
      </c>
    </row>
    <row r="187">
      <c r="B187" s="53">
        <f>C187&amp;"-"&amp;D187&amp;"-"&amp;E187</f>
        <v/>
      </c>
      <c r="C187" t="inlineStr">
        <is>
          <t>commercial</t>
        </is>
      </c>
      <c r="D187" t="inlineStr">
        <is>
          <t>other</t>
        </is>
      </c>
      <c r="E187" s="58" t="inlineStr">
        <is>
          <t>electricity (BTU)</t>
        </is>
      </c>
      <c r="F187">
        <f>SUMIFS('Crosswalk AEO to EPS Summary'!G:G,'Crosswalk AEO to EPS Summary'!$C:$C,$B187)*quadrillion-'AEO Data Center Load'!B17</f>
        <v/>
      </c>
      <c r="G187">
        <f>SUMIFS('Crosswalk AEO to EPS Summary'!H:H,'Crosswalk AEO to EPS Summary'!$C:$C,$B187)*quadrillion-'AEO Data Center Load'!C17</f>
        <v/>
      </c>
      <c r="H187">
        <f>SUMIFS('Crosswalk AEO to EPS Summary'!I:I,'Crosswalk AEO to EPS Summary'!$C:$C,$B187)*quadrillion-'AEO Data Center Load'!D17</f>
        <v/>
      </c>
      <c r="I187">
        <f>SUMIFS('Crosswalk AEO to EPS Summary'!J:J,'Crosswalk AEO to EPS Summary'!$C:$C,$B187)*quadrillion-'AEO Data Center Load'!E17</f>
        <v/>
      </c>
      <c r="J187">
        <f>SUMIFS('Crosswalk AEO to EPS Summary'!K:K,'Crosswalk AEO to EPS Summary'!$C:$C,$B187)*quadrillion-'AEO Data Center Load'!F17</f>
        <v/>
      </c>
      <c r="K187">
        <f>SUMIFS('Crosswalk AEO to EPS Summary'!L:L,'Crosswalk AEO to EPS Summary'!$C:$C,$B187)*quadrillion-'AEO Data Center Load'!G17</f>
        <v/>
      </c>
      <c r="L187">
        <f>SUMIFS('Crosswalk AEO to EPS Summary'!M:M,'Crosswalk AEO to EPS Summary'!$C:$C,$B187)*quadrillion-'AEO Data Center Load'!H17</f>
        <v/>
      </c>
      <c r="M187">
        <f>SUMIFS('Crosswalk AEO to EPS Summary'!N:N,'Crosswalk AEO to EPS Summary'!$C:$C,$B187)*quadrillion-'AEO Data Center Load'!I17</f>
        <v/>
      </c>
      <c r="N187">
        <f>SUMIFS('Crosswalk AEO to EPS Summary'!O:O,'Crosswalk AEO to EPS Summary'!$C:$C,$B187)*quadrillion-'AEO Data Center Load'!J17</f>
        <v/>
      </c>
      <c r="O187">
        <f>SUMIFS('Crosswalk AEO to EPS Summary'!P:P,'Crosswalk AEO to EPS Summary'!$C:$C,$B187)*quadrillion-'AEO Data Center Load'!K17</f>
        <v/>
      </c>
      <c r="P187">
        <f>SUMIFS('Crosswalk AEO to EPS Summary'!Q:Q,'Crosswalk AEO to EPS Summary'!$C:$C,$B187)*quadrillion-'AEO Data Center Load'!L17</f>
        <v/>
      </c>
      <c r="Q187">
        <f>SUMIFS('Crosswalk AEO to EPS Summary'!R:R,'Crosswalk AEO to EPS Summary'!$C:$C,$B187)*quadrillion-'AEO Data Center Load'!M17</f>
        <v/>
      </c>
      <c r="R187">
        <f>SUMIFS('Crosswalk AEO to EPS Summary'!S:S,'Crosswalk AEO to EPS Summary'!$C:$C,$B187)*quadrillion-'AEO Data Center Load'!N17</f>
        <v/>
      </c>
      <c r="S187">
        <f>SUMIFS('Crosswalk AEO to EPS Summary'!T:T,'Crosswalk AEO to EPS Summary'!$C:$C,$B187)*quadrillion-'AEO Data Center Load'!O17</f>
        <v/>
      </c>
      <c r="T187">
        <f>SUMIFS('Crosswalk AEO to EPS Summary'!U:U,'Crosswalk AEO to EPS Summary'!$C:$C,$B187)*quadrillion-'AEO Data Center Load'!P17</f>
        <v/>
      </c>
      <c r="U187">
        <f>SUMIFS('Crosswalk AEO to EPS Summary'!V:V,'Crosswalk AEO to EPS Summary'!$C:$C,$B187)*quadrillion-'AEO Data Center Load'!Q17</f>
        <v/>
      </c>
      <c r="V187">
        <f>SUMIFS('Crosswalk AEO to EPS Summary'!W:W,'Crosswalk AEO to EPS Summary'!$C:$C,$B187)*quadrillion-'AEO Data Center Load'!R17</f>
        <v/>
      </c>
      <c r="W187">
        <f>SUMIFS('Crosswalk AEO to EPS Summary'!X:X,'Crosswalk AEO to EPS Summary'!$C:$C,$B187)*quadrillion-'AEO Data Center Load'!S17</f>
        <v/>
      </c>
      <c r="X187">
        <f>SUMIFS('Crosswalk AEO to EPS Summary'!Y:Y,'Crosswalk AEO to EPS Summary'!$C:$C,$B187)*quadrillion-'AEO Data Center Load'!T17</f>
        <v/>
      </c>
      <c r="Y187">
        <f>SUMIFS('Crosswalk AEO to EPS Summary'!Z:Z,'Crosswalk AEO to EPS Summary'!$C:$C,$B187)*quadrillion-'AEO Data Center Load'!U17</f>
        <v/>
      </c>
      <c r="Z187">
        <f>SUMIFS('Crosswalk AEO to EPS Summary'!AA:AA,'Crosswalk AEO to EPS Summary'!$C:$C,$B187)*quadrillion-'AEO Data Center Load'!V17</f>
        <v/>
      </c>
      <c r="AA187">
        <f>SUMIFS('Crosswalk AEO to EPS Summary'!AB:AB,'Crosswalk AEO to EPS Summary'!$C:$C,$B187)*quadrillion-'AEO Data Center Load'!W17</f>
        <v/>
      </c>
      <c r="AB187">
        <f>SUMIFS('Crosswalk AEO to EPS Summary'!AC:AC,'Crosswalk AEO to EPS Summary'!$C:$C,$B187)*quadrillion-'AEO Data Center Load'!X17</f>
        <v/>
      </c>
      <c r="AC187">
        <f>SUMIFS('Crosswalk AEO to EPS Summary'!AD:AD,'Crosswalk AEO to EPS Summary'!$C:$C,$B187)*quadrillion-'AEO Data Center Load'!Y17</f>
        <v/>
      </c>
      <c r="AD187">
        <f>SUMIFS('Crosswalk AEO to EPS Summary'!AE:AE,'Crosswalk AEO to EPS Summary'!$C:$C,$B187)*quadrillion-'AEO Data Center Load'!Z17</f>
        <v/>
      </c>
      <c r="AE187">
        <f>SUMIFS('Crosswalk AEO to EPS Summary'!AF:AF,'Crosswalk AEO to EPS Summary'!$C:$C,$B187)*quadrillion-'AEO Data Center Load'!AA17</f>
        <v/>
      </c>
      <c r="AF187">
        <f>SUMIFS('Crosswalk AEO to EPS Summary'!AG:AG,'Crosswalk AEO to EPS Summary'!$C:$C,$B187)*quadrillion-'AEO Data Center Load'!AB17</f>
        <v/>
      </c>
    </row>
    <row r="188">
      <c r="B188" s="53">
        <f>C188&amp;"-"&amp;D188&amp;"-"&amp;E188</f>
        <v/>
      </c>
      <c r="C188" t="inlineStr">
        <is>
          <t>commercial</t>
        </is>
      </c>
      <c r="D188" t="inlineStr">
        <is>
          <t>other</t>
        </is>
      </c>
      <c r="E188" t="inlineStr">
        <is>
          <t>coal (BTU)</t>
        </is>
      </c>
      <c r="F188" s="43">
        <f>SUMIFS('Crosswalk AEO to EPS Summary'!G:G,'Crosswalk AEO to EPS Summary'!$C:$C,$B195)*(Fraction_coal)*quadrillion</f>
        <v/>
      </c>
      <c r="G188" s="43">
        <f>SUMIFS('Crosswalk AEO to EPS Summary'!H:H,'Crosswalk AEO to EPS Summary'!$C:$C,$B195)*(Fraction_coal)*quadrillion</f>
        <v/>
      </c>
      <c r="H188" s="43">
        <f>SUMIFS('Crosswalk AEO to EPS Summary'!I:I,'Crosswalk AEO to EPS Summary'!$C:$C,$B195)*(Fraction_coal)*quadrillion</f>
        <v/>
      </c>
      <c r="I188" s="43">
        <f>SUMIFS('Crosswalk AEO to EPS Summary'!J:J,'Crosswalk AEO to EPS Summary'!$C:$C,$B195)*(Fraction_coal)*quadrillion</f>
        <v/>
      </c>
      <c r="J188" s="43">
        <f>SUMIFS('Crosswalk AEO to EPS Summary'!K:K,'Crosswalk AEO to EPS Summary'!$C:$C,$B195)*(Fraction_coal)*quadrillion</f>
        <v/>
      </c>
      <c r="K188" s="43">
        <f>SUMIFS('Crosswalk AEO to EPS Summary'!L:L,'Crosswalk AEO to EPS Summary'!$C:$C,$B195)*(Fraction_coal)*quadrillion</f>
        <v/>
      </c>
      <c r="L188" s="43">
        <f>SUMIFS('Crosswalk AEO to EPS Summary'!M:M,'Crosswalk AEO to EPS Summary'!$C:$C,$B195)*(Fraction_coal)*quadrillion</f>
        <v/>
      </c>
      <c r="M188" s="43">
        <f>SUMIFS('Crosswalk AEO to EPS Summary'!N:N,'Crosswalk AEO to EPS Summary'!$C:$C,$B195)*(Fraction_coal)*quadrillion</f>
        <v/>
      </c>
      <c r="N188" s="43">
        <f>SUMIFS('Crosswalk AEO to EPS Summary'!O:O,'Crosswalk AEO to EPS Summary'!$C:$C,$B195)*(Fraction_coal)*quadrillion</f>
        <v/>
      </c>
      <c r="O188" s="43">
        <f>SUMIFS('Crosswalk AEO to EPS Summary'!P:P,'Crosswalk AEO to EPS Summary'!$C:$C,$B195)*(Fraction_coal)*quadrillion</f>
        <v/>
      </c>
      <c r="P188" s="43">
        <f>SUMIFS('Crosswalk AEO to EPS Summary'!Q:Q,'Crosswalk AEO to EPS Summary'!$C:$C,$B195)*(Fraction_coal)*quadrillion</f>
        <v/>
      </c>
      <c r="Q188" s="43">
        <f>SUMIFS('Crosswalk AEO to EPS Summary'!R:R,'Crosswalk AEO to EPS Summary'!$C:$C,$B195)*(Fraction_coal)*quadrillion</f>
        <v/>
      </c>
      <c r="R188" s="43">
        <f>SUMIFS('Crosswalk AEO to EPS Summary'!S:S,'Crosswalk AEO to EPS Summary'!$C:$C,$B195)*(Fraction_coal)*quadrillion</f>
        <v/>
      </c>
      <c r="S188" s="43">
        <f>SUMIFS('Crosswalk AEO to EPS Summary'!T:T,'Crosswalk AEO to EPS Summary'!$C:$C,$B195)*(Fraction_coal)*quadrillion</f>
        <v/>
      </c>
      <c r="T188" s="43">
        <f>SUMIFS('Crosswalk AEO to EPS Summary'!U:U,'Crosswalk AEO to EPS Summary'!$C:$C,$B195)*(Fraction_coal)*quadrillion</f>
        <v/>
      </c>
      <c r="U188" s="43">
        <f>SUMIFS('Crosswalk AEO to EPS Summary'!V:V,'Crosswalk AEO to EPS Summary'!$C:$C,$B195)*(Fraction_coal)*quadrillion</f>
        <v/>
      </c>
      <c r="V188" s="43">
        <f>SUMIFS('Crosswalk AEO to EPS Summary'!W:W,'Crosswalk AEO to EPS Summary'!$C:$C,$B195)*(Fraction_coal)*quadrillion</f>
        <v/>
      </c>
      <c r="W188" s="43">
        <f>SUMIFS('Crosswalk AEO to EPS Summary'!X:X,'Crosswalk AEO to EPS Summary'!$C:$C,$B195)*(Fraction_coal)*quadrillion</f>
        <v/>
      </c>
      <c r="X188" s="43">
        <f>SUMIFS('Crosswalk AEO to EPS Summary'!Y:Y,'Crosswalk AEO to EPS Summary'!$C:$C,$B195)*(Fraction_coal)*quadrillion</f>
        <v/>
      </c>
      <c r="Y188" s="43">
        <f>SUMIFS('Crosswalk AEO to EPS Summary'!Z:Z,'Crosswalk AEO to EPS Summary'!$C:$C,$B195)*(Fraction_coal)*quadrillion</f>
        <v/>
      </c>
      <c r="Z188" s="43">
        <f>SUMIFS('Crosswalk AEO to EPS Summary'!AA:AA,'Crosswalk AEO to EPS Summary'!$C:$C,$B195)*(Fraction_coal)*quadrillion</f>
        <v/>
      </c>
      <c r="AA188" s="43">
        <f>SUMIFS('Crosswalk AEO to EPS Summary'!AB:AB,'Crosswalk AEO to EPS Summary'!$C:$C,$B195)*(Fraction_coal)*quadrillion</f>
        <v/>
      </c>
      <c r="AB188" s="43">
        <f>SUMIFS('Crosswalk AEO to EPS Summary'!AC:AC,'Crosswalk AEO to EPS Summary'!$C:$C,$B195)*(Fraction_coal)*quadrillion</f>
        <v/>
      </c>
      <c r="AC188" s="43">
        <f>SUMIFS('Crosswalk AEO to EPS Summary'!AD:AD,'Crosswalk AEO to EPS Summary'!$C:$C,$B195)*(Fraction_coal)*quadrillion</f>
        <v/>
      </c>
      <c r="AD188" s="43">
        <f>SUMIFS('Crosswalk AEO to EPS Summary'!AE:AE,'Crosswalk AEO to EPS Summary'!$C:$C,$B195)*(Fraction_coal)*quadrillion</f>
        <v/>
      </c>
      <c r="AE188" s="43">
        <f>SUMIFS('Crosswalk AEO to EPS Summary'!AF:AF,'Crosswalk AEO to EPS Summary'!$C:$C,$B195)*(Fraction_coal)*quadrillion</f>
        <v/>
      </c>
      <c r="AF188" s="43">
        <f>SUMIFS('Crosswalk AEO to EPS Summary'!AG:AG,'Crosswalk AEO to EPS Summary'!$C:$C,$B195)*(Fraction_coal)*quadrillion</f>
        <v/>
      </c>
    </row>
    <row r="189">
      <c r="B189" s="53">
        <f>C189&amp;"-"&amp;D189&amp;"-"&amp;E189</f>
        <v/>
      </c>
      <c r="C189" t="inlineStr">
        <is>
          <t>commercial</t>
        </is>
      </c>
      <c r="D189" t="inlineStr">
        <is>
          <t>other</t>
        </is>
      </c>
      <c r="E189" t="inlineStr">
        <is>
          <t>natural gas (BTU)</t>
        </is>
      </c>
      <c r="F189">
        <f>SUMIFS('Crosswalk AEO to EPS Summary'!G:G,'Crosswalk AEO to EPS Summary'!$C:$C,$B189)*quadrillion</f>
        <v/>
      </c>
      <c r="G189">
        <f>SUMIFS('Crosswalk AEO to EPS Summary'!H:H,'Crosswalk AEO to EPS Summary'!$C:$C,$B189)*quadrillion</f>
        <v/>
      </c>
      <c r="H189">
        <f>SUMIFS('Crosswalk AEO to EPS Summary'!I:I,'Crosswalk AEO to EPS Summary'!$C:$C,$B189)*quadrillion</f>
        <v/>
      </c>
      <c r="I189">
        <f>SUMIFS('Crosswalk AEO to EPS Summary'!J:J,'Crosswalk AEO to EPS Summary'!$C:$C,$B189)*quadrillion</f>
        <v/>
      </c>
      <c r="J189">
        <f>SUMIFS('Crosswalk AEO to EPS Summary'!K:K,'Crosswalk AEO to EPS Summary'!$C:$C,$B189)*quadrillion</f>
        <v/>
      </c>
      <c r="K189">
        <f>SUMIFS('Crosswalk AEO to EPS Summary'!L:L,'Crosswalk AEO to EPS Summary'!$C:$C,$B189)*quadrillion</f>
        <v/>
      </c>
      <c r="L189">
        <f>SUMIFS('Crosswalk AEO to EPS Summary'!M:M,'Crosswalk AEO to EPS Summary'!$C:$C,$B189)*quadrillion</f>
        <v/>
      </c>
      <c r="M189">
        <f>SUMIFS('Crosswalk AEO to EPS Summary'!N:N,'Crosswalk AEO to EPS Summary'!$C:$C,$B189)*quadrillion</f>
        <v/>
      </c>
      <c r="N189">
        <f>SUMIFS('Crosswalk AEO to EPS Summary'!O:O,'Crosswalk AEO to EPS Summary'!$C:$C,$B189)*quadrillion</f>
        <v/>
      </c>
      <c r="O189">
        <f>SUMIFS('Crosswalk AEO to EPS Summary'!P:P,'Crosswalk AEO to EPS Summary'!$C:$C,$B189)*quadrillion</f>
        <v/>
      </c>
      <c r="P189">
        <f>SUMIFS('Crosswalk AEO to EPS Summary'!Q:Q,'Crosswalk AEO to EPS Summary'!$C:$C,$B189)*quadrillion</f>
        <v/>
      </c>
      <c r="Q189">
        <f>SUMIFS('Crosswalk AEO to EPS Summary'!R:R,'Crosswalk AEO to EPS Summary'!$C:$C,$B189)*quadrillion</f>
        <v/>
      </c>
      <c r="R189">
        <f>SUMIFS('Crosswalk AEO to EPS Summary'!S:S,'Crosswalk AEO to EPS Summary'!$C:$C,$B189)*quadrillion</f>
        <v/>
      </c>
      <c r="S189">
        <f>SUMIFS('Crosswalk AEO to EPS Summary'!T:T,'Crosswalk AEO to EPS Summary'!$C:$C,$B189)*quadrillion</f>
        <v/>
      </c>
      <c r="T189">
        <f>SUMIFS('Crosswalk AEO to EPS Summary'!U:U,'Crosswalk AEO to EPS Summary'!$C:$C,$B189)*quadrillion</f>
        <v/>
      </c>
      <c r="U189">
        <f>SUMIFS('Crosswalk AEO to EPS Summary'!V:V,'Crosswalk AEO to EPS Summary'!$C:$C,$B189)*quadrillion</f>
        <v/>
      </c>
      <c r="V189">
        <f>SUMIFS('Crosswalk AEO to EPS Summary'!W:W,'Crosswalk AEO to EPS Summary'!$C:$C,$B189)*quadrillion</f>
        <v/>
      </c>
      <c r="W189">
        <f>SUMIFS('Crosswalk AEO to EPS Summary'!X:X,'Crosswalk AEO to EPS Summary'!$C:$C,$B189)*quadrillion</f>
        <v/>
      </c>
      <c r="X189">
        <f>SUMIFS('Crosswalk AEO to EPS Summary'!Y:Y,'Crosswalk AEO to EPS Summary'!$C:$C,$B189)*quadrillion</f>
        <v/>
      </c>
      <c r="Y189">
        <f>SUMIFS('Crosswalk AEO to EPS Summary'!Z:Z,'Crosswalk AEO to EPS Summary'!$C:$C,$B189)*quadrillion</f>
        <v/>
      </c>
      <c r="Z189">
        <f>SUMIFS('Crosswalk AEO to EPS Summary'!AA:AA,'Crosswalk AEO to EPS Summary'!$C:$C,$B189)*quadrillion</f>
        <v/>
      </c>
      <c r="AA189">
        <f>SUMIFS('Crosswalk AEO to EPS Summary'!AB:AB,'Crosswalk AEO to EPS Summary'!$C:$C,$B189)*quadrillion</f>
        <v/>
      </c>
      <c r="AB189">
        <f>SUMIFS('Crosswalk AEO to EPS Summary'!AC:AC,'Crosswalk AEO to EPS Summary'!$C:$C,$B189)*quadrillion</f>
        <v/>
      </c>
      <c r="AC189">
        <f>SUMIFS('Crosswalk AEO to EPS Summary'!AD:AD,'Crosswalk AEO to EPS Summary'!$C:$C,$B189)*quadrillion</f>
        <v/>
      </c>
      <c r="AD189">
        <f>SUMIFS('Crosswalk AEO to EPS Summary'!AE:AE,'Crosswalk AEO to EPS Summary'!$C:$C,$B189)*quadrillion</f>
        <v/>
      </c>
      <c r="AE189">
        <f>SUMIFS('Crosswalk AEO to EPS Summary'!AF:AF,'Crosswalk AEO to EPS Summary'!$C:$C,$B189)*quadrillion</f>
        <v/>
      </c>
      <c r="AF189">
        <f>SUMIFS('Crosswalk AEO to EPS Summary'!AG:AG,'Crosswalk AEO to EPS Summary'!$C:$C,$B189)*quadrillion</f>
        <v/>
      </c>
    </row>
    <row r="190">
      <c r="B190" s="53">
        <f>C190&amp;"-"&amp;D190&amp;"-"&amp;E190</f>
        <v/>
      </c>
      <c r="C190" t="inlineStr">
        <is>
          <t>commercial</t>
        </is>
      </c>
      <c r="D190" t="inlineStr">
        <is>
          <t>other</t>
        </is>
      </c>
      <c r="E190" t="inlineStr">
        <is>
          <t>petroleum diesel (BTU)</t>
        </is>
      </c>
      <c r="F190">
        <f>SUMIFS('Crosswalk AEO to EPS Summary'!G:G,'Crosswalk AEO to EPS Summary'!$C:$C,$B190)*quadrillion</f>
        <v/>
      </c>
      <c r="G190">
        <f>SUMIFS('Crosswalk AEO to EPS Summary'!H:H,'Crosswalk AEO to EPS Summary'!$C:$C,$B190)*quadrillion</f>
        <v/>
      </c>
      <c r="H190">
        <f>SUMIFS('Crosswalk AEO to EPS Summary'!I:I,'Crosswalk AEO to EPS Summary'!$C:$C,$B190)*quadrillion</f>
        <v/>
      </c>
      <c r="I190">
        <f>SUMIFS('Crosswalk AEO to EPS Summary'!J:J,'Crosswalk AEO to EPS Summary'!$C:$C,$B190)*quadrillion</f>
        <v/>
      </c>
      <c r="J190">
        <f>SUMIFS('Crosswalk AEO to EPS Summary'!K:K,'Crosswalk AEO to EPS Summary'!$C:$C,$B190)*quadrillion</f>
        <v/>
      </c>
      <c r="K190">
        <f>SUMIFS('Crosswalk AEO to EPS Summary'!L:L,'Crosswalk AEO to EPS Summary'!$C:$C,$B190)*quadrillion</f>
        <v/>
      </c>
      <c r="L190">
        <f>SUMIFS('Crosswalk AEO to EPS Summary'!M:M,'Crosswalk AEO to EPS Summary'!$C:$C,$B190)*quadrillion</f>
        <v/>
      </c>
      <c r="M190">
        <f>SUMIFS('Crosswalk AEO to EPS Summary'!N:N,'Crosswalk AEO to EPS Summary'!$C:$C,$B190)*quadrillion</f>
        <v/>
      </c>
      <c r="N190">
        <f>SUMIFS('Crosswalk AEO to EPS Summary'!O:O,'Crosswalk AEO to EPS Summary'!$C:$C,$B190)*quadrillion</f>
        <v/>
      </c>
      <c r="O190">
        <f>SUMIFS('Crosswalk AEO to EPS Summary'!P:P,'Crosswalk AEO to EPS Summary'!$C:$C,$B190)*quadrillion</f>
        <v/>
      </c>
      <c r="P190">
        <f>SUMIFS('Crosswalk AEO to EPS Summary'!Q:Q,'Crosswalk AEO to EPS Summary'!$C:$C,$B190)*quadrillion</f>
        <v/>
      </c>
      <c r="Q190">
        <f>SUMIFS('Crosswalk AEO to EPS Summary'!R:R,'Crosswalk AEO to EPS Summary'!$C:$C,$B190)*quadrillion</f>
        <v/>
      </c>
      <c r="R190">
        <f>SUMIFS('Crosswalk AEO to EPS Summary'!S:S,'Crosswalk AEO to EPS Summary'!$C:$C,$B190)*quadrillion</f>
        <v/>
      </c>
      <c r="S190">
        <f>SUMIFS('Crosswalk AEO to EPS Summary'!T:T,'Crosswalk AEO to EPS Summary'!$C:$C,$B190)*quadrillion</f>
        <v/>
      </c>
      <c r="T190">
        <f>SUMIFS('Crosswalk AEO to EPS Summary'!U:U,'Crosswalk AEO to EPS Summary'!$C:$C,$B190)*quadrillion</f>
        <v/>
      </c>
      <c r="U190">
        <f>SUMIFS('Crosswalk AEO to EPS Summary'!V:V,'Crosswalk AEO to EPS Summary'!$C:$C,$B190)*quadrillion</f>
        <v/>
      </c>
      <c r="V190">
        <f>SUMIFS('Crosswalk AEO to EPS Summary'!W:W,'Crosswalk AEO to EPS Summary'!$C:$C,$B190)*quadrillion</f>
        <v/>
      </c>
      <c r="W190">
        <f>SUMIFS('Crosswalk AEO to EPS Summary'!X:X,'Crosswalk AEO to EPS Summary'!$C:$C,$B190)*quadrillion</f>
        <v/>
      </c>
      <c r="X190">
        <f>SUMIFS('Crosswalk AEO to EPS Summary'!Y:Y,'Crosswalk AEO to EPS Summary'!$C:$C,$B190)*quadrillion</f>
        <v/>
      </c>
      <c r="Y190">
        <f>SUMIFS('Crosswalk AEO to EPS Summary'!Z:Z,'Crosswalk AEO to EPS Summary'!$C:$C,$B190)*quadrillion</f>
        <v/>
      </c>
      <c r="Z190">
        <f>SUMIFS('Crosswalk AEO to EPS Summary'!AA:AA,'Crosswalk AEO to EPS Summary'!$C:$C,$B190)*quadrillion</f>
        <v/>
      </c>
      <c r="AA190">
        <f>SUMIFS('Crosswalk AEO to EPS Summary'!AB:AB,'Crosswalk AEO to EPS Summary'!$C:$C,$B190)*quadrillion</f>
        <v/>
      </c>
      <c r="AB190">
        <f>SUMIFS('Crosswalk AEO to EPS Summary'!AC:AC,'Crosswalk AEO to EPS Summary'!$C:$C,$B190)*quadrillion</f>
        <v/>
      </c>
      <c r="AC190">
        <f>SUMIFS('Crosswalk AEO to EPS Summary'!AD:AD,'Crosswalk AEO to EPS Summary'!$C:$C,$B190)*quadrillion</f>
        <v/>
      </c>
      <c r="AD190">
        <f>SUMIFS('Crosswalk AEO to EPS Summary'!AE:AE,'Crosswalk AEO to EPS Summary'!$C:$C,$B190)*quadrillion</f>
        <v/>
      </c>
      <c r="AE190">
        <f>SUMIFS('Crosswalk AEO to EPS Summary'!AF:AF,'Crosswalk AEO to EPS Summary'!$C:$C,$B190)*quadrillion</f>
        <v/>
      </c>
      <c r="AF190">
        <f>SUMIFS('Crosswalk AEO to EPS Summary'!AG:AG,'Crosswalk AEO to EPS Summary'!$C:$C,$B190)*quadrillion</f>
        <v/>
      </c>
    </row>
    <row r="191">
      <c r="B191" s="53">
        <f>C191&amp;"-"&amp;D191&amp;"-"&amp;E191</f>
        <v/>
      </c>
      <c r="C191" t="inlineStr">
        <is>
          <t>commercial</t>
        </is>
      </c>
      <c r="D191" t="inlineStr">
        <is>
          <t>other</t>
        </is>
      </c>
      <c r="E191" t="inlineStr">
        <is>
          <t>heat (BTU)</t>
        </is>
      </c>
      <c r="F191" t="n">
        <v>0</v>
      </c>
      <c r="G191" t="n">
        <v>0</v>
      </c>
      <c r="H191" t="n">
        <v>0</v>
      </c>
      <c r="I191" t="n">
        <v>0</v>
      </c>
      <c r="J191" t="n">
        <v>0</v>
      </c>
      <c r="K191" t="n">
        <v>0</v>
      </c>
      <c r="L191" t="n">
        <v>0</v>
      </c>
      <c r="M191" t="n">
        <v>0</v>
      </c>
      <c r="N191" t="n">
        <v>0</v>
      </c>
      <c r="O191" t="n">
        <v>0</v>
      </c>
      <c r="P191" t="n">
        <v>0</v>
      </c>
      <c r="Q191" t="n">
        <v>0</v>
      </c>
      <c r="R191" t="n">
        <v>0</v>
      </c>
      <c r="S191" t="n">
        <v>0</v>
      </c>
      <c r="T191" t="n">
        <v>0</v>
      </c>
      <c r="U191" t="n">
        <v>0</v>
      </c>
      <c r="V191" t="n">
        <v>0</v>
      </c>
      <c r="W191" t="n">
        <v>0</v>
      </c>
      <c r="X191" t="n">
        <v>0</v>
      </c>
      <c r="Y191" t="n">
        <v>0</v>
      </c>
      <c r="Z191" t="n">
        <v>0</v>
      </c>
      <c r="AA191" t="n">
        <v>0</v>
      </c>
      <c r="AB191" t="n">
        <v>0</v>
      </c>
      <c r="AC191" t="n">
        <v>0</v>
      </c>
      <c r="AD191" t="n">
        <v>0</v>
      </c>
      <c r="AE191" t="n">
        <v>0</v>
      </c>
      <c r="AF191" t="n">
        <v>0</v>
      </c>
    </row>
    <row r="192">
      <c r="B192" s="53">
        <f>C192&amp;"-"&amp;D192&amp;"-"&amp;E192</f>
        <v/>
      </c>
      <c r="C192" t="inlineStr">
        <is>
          <t>commercial</t>
        </is>
      </c>
      <c r="D192" t="inlineStr">
        <is>
          <t>other</t>
        </is>
      </c>
      <c r="E192" t="inlineStr">
        <is>
          <t>biomass (BTU)</t>
        </is>
      </c>
      <c r="F192" t="n">
        <v>0</v>
      </c>
      <c r="G192" t="n">
        <v>0</v>
      </c>
      <c r="H192" t="n">
        <v>0</v>
      </c>
      <c r="I192" t="n">
        <v>0</v>
      </c>
      <c r="J192" t="n">
        <v>0</v>
      </c>
      <c r="K192" t="n">
        <v>0</v>
      </c>
      <c r="L192" t="n">
        <v>0</v>
      </c>
      <c r="M192" t="n">
        <v>0</v>
      </c>
      <c r="N192" t="n">
        <v>0</v>
      </c>
      <c r="O192" t="n">
        <v>0</v>
      </c>
      <c r="P192" t="n">
        <v>0</v>
      </c>
      <c r="Q192" t="n">
        <v>0</v>
      </c>
      <c r="R192" t="n">
        <v>0</v>
      </c>
      <c r="S192" t="n">
        <v>0</v>
      </c>
      <c r="T192" t="n">
        <v>0</v>
      </c>
      <c r="U192" t="n">
        <v>0</v>
      </c>
      <c r="V192" t="n">
        <v>0</v>
      </c>
      <c r="W192" t="n">
        <v>0</v>
      </c>
      <c r="X192" t="n">
        <v>0</v>
      </c>
      <c r="Y192" t="n">
        <v>0</v>
      </c>
      <c r="Z192" t="n">
        <v>0</v>
      </c>
      <c r="AA192" t="n">
        <v>0</v>
      </c>
      <c r="AB192" t="n">
        <v>0</v>
      </c>
      <c r="AC192" t="n">
        <v>0</v>
      </c>
      <c r="AD192" t="n">
        <v>0</v>
      </c>
      <c r="AE192" t="n">
        <v>0</v>
      </c>
      <c r="AF192" t="n">
        <v>0</v>
      </c>
    </row>
    <row r="193">
      <c r="B193" s="53">
        <f>C193&amp;"-"&amp;D193&amp;"-"&amp;E193</f>
        <v/>
      </c>
      <c r="C193" t="inlineStr">
        <is>
          <t>commercial</t>
        </is>
      </c>
      <c r="D193" t="inlineStr">
        <is>
          <t>other</t>
        </is>
      </c>
      <c r="E193" t="inlineStr">
        <is>
          <t>kerosene (BTU)</t>
        </is>
      </c>
      <c r="F193" t="n">
        <v>0</v>
      </c>
      <c r="G193" t="n">
        <v>0</v>
      </c>
      <c r="H193" t="n">
        <v>0</v>
      </c>
      <c r="I193" t="n">
        <v>0</v>
      </c>
      <c r="J193" t="n">
        <v>0</v>
      </c>
      <c r="K193" t="n">
        <v>0</v>
      </c>
      <c r="L193" t="n">
        <v>0</v>
      </c>
      <c r="M193" t="n">
        <v>0</v>
      </c>
      <c r="N193" t="n">
        <v>0</v>
      </c>
      <c r="O193" t="n">
        <v>0</v>
      </c>
      <c r="P193" t="n">
        <v>0</v>
      </c>
      <c r="Q193" t="n">
        <v>0</v>
      </c>
      <c r="R193" t="n">
        <v>0</v>
      </c>
      <c r="S193" t="n">
        <v>0</v>
      </c>
      <c r="T193" t="n">
        <v>0</v>
      </c>
      <c r="U193" t="n">
        <v>0</v>
      </c>
      <c r="V193" t="n">
        <v>0</v>
      </c>
      <c r="W193" t="n">
        <v>0</v>
      </c>
      <c r="X193" t="n">
        <v>0</v>
      </c>
      <c r="Y193" t="n">
        <v>0</v>
      </c>
      <c r="Z193" t="n">
        <v>0</v>
      </c>
      <c r="AA193" t="n">
        <v>0</v>
      </c>
      <c r="AB193" t="n">
        <v>0</v>
      </c>
      <c r="AC193" t="n">
        <v>0</v>
      </c>
      <c r="AD193" t="n">
        <v>0</v>
      </c>
      <c r="AE193" t="n">
        <v>0</v>
      </c>
      <c r="AF193" t="n">
        <v>0</v>
      </c>
    </row>
    <row r="194">
      <c r="B194" s="53">
        <f>C194&amp;"-"&amp;D194&amp;"-"&amp;E194</f>
        <v/>
      </c>
      <c r="C194" t="inlineStr">
        <is>
          <t>commercial</t>
        </is>
      </c>
      <c r="D194" t="inlineStr">
        <is>
          <t>other</t>
        </is>
      </c>
      <c r="E194" t="inlineStr">
        <is>
          <t>heavy or residual fuel oil (BTU)</t>
        </is>
      </c>
      <c r="F194" t="n">
        <v>0</v>
      </c>
      <c r="G194" t="n">
        <v>0</v>
      </c>
      <c r="H194" t="n">
        <v>0</v>
      </c>
      <c r="I194" t="n">
        <v>0</v>
      </c>
      <c r="J194" t="n">
        <v>0</v>
      </c>
      <c r="K194" t="n">
        <v>0</v>
      </c>
      <c r="L194" t="n">
        <v>0</v>
      </c>
      <c r="M194" t="n">
        <v>0</v>
      </c>
      <c r="N194" t="n">
        <v>0</v>
      </c>
      <c r="O194" t="n">
        <v>0</v>
      </c>
      <c r="P194" t="n">
        <v>0</v>
      </c>
      <c r="Q194" t="n">
        <v>0</v>
      </c>
      <c r="R194" t="n">
        <v>0</v>
      </c>
      <c r="S194" t="n">
        <v>0</v>
      </c>
      <c r="T194" t="n">
        <v>0</v>
      </c>
      <c r="U194" t="n">
        <v>0</v>
      </c>
      <c r="V194" t="n">
        <v>0</v>
      </c>
      <c r="W194" t="n">
        <v>0</v>
      </c>
      <c r="X194" t="n">
        <v>0</v>
      </c>
      <c r="Y194" t="n">
        <v>0</v>
      </c>
      <c r="Z194" t="n">
        <v>0</v>
      </c>
      <c r="AA194" t="n">
        <v>0</v>
      </c>
      <c r="AB194" t="n">
        <v>0</v>
      </c>
      <c r="AC194" t="n">
        <v>0</v>
      </c>
      <c r="AD194" t="n">
        <v>0</v>
      </c>
      <c r="AE194" t="n">
        <v>0</v>
      </c>
      <c r="AF194" t="n">
        <v>0</v>
      </c>
    </row>
    <row r="195">
      <c r="B195" s="53">
        <f>C195&amp;"-"&amp;D195&amp;"-"&amp;E195</f>
        <v/>
      </c>
      <c r="C195" t="inlineStr">
        <is>
          <t>commercial</t>
        </is>
      </c>
      <c r="D195" t="inlineStr">
        <is>
          <t>other</t>
        </is>
      </c>
      <c r="E195" t="inlineStr">
        <is>
          <t>LPG propane or butane (BTU)</t>
        </is>
      </c>
      <c r="F195" s="43">
        <f>SUMIFS('Crosswalk AEO to EPS Summary'!G:G,'Crosswalk AEO to EPS Summary'!$C:$C,$B195)*(1-Fraction_coal)*quadrillion*(F190/SUM(F$138,F$177,F$190))</f>
        <v/>
      </c>
      <c r="G195" s="43">
        <f>SUMIFS('Crosswalk AEO to EPS Summary'!H:H,'Crosswalk AEO to EPS Summary'!$C:$C,$B195)*(1-Fraction_coal)*quadrillion*(G190/SUM(G$138,G$177,G$190))</f>
        <v/>
      </c>
      <c r="H195" s="43">
        <f>SUMIFS('Crosswalk AEO to EPS Summary'!I:I,'Crosswalk AEO to EPS Summary'!$C:$C,$B195)*(1-Fraction_coal)*quadrillion*(H190/SUM(H$138,H$177,H$190))</f>
        <v/>
      </c>
      <c r="I195" s="43">
        <f>SUMIFS('Crosswalk AEO to EPS Summary'!J:J,'Crosswalk AEO to EPS Summary'!$C:$C,$B195)*(1-Fraction_coal)*quadrillion*(I190/SUM(I$138,I$177,I$190))</f>
        <v/>
      </c>
      <c r="J195" s="43">
        <f>SUMIFS('Crosswalk AEO to EPS Summary'!K:K,'Crosswalk AEO to EPS Summary'!$C:$C,$B195)*(1-Fraction_coal)*quadrillion*(J190/SUM(J$138,J$177,J$190))</f>
        <v/>
      </c>
      <c r="K195" s="43">
        <f>SUMIFS('Crosswalk AEO to EPS Summary'!L:L,'Crosswalk AEO to EPS Summary'!$C:$C,$B195)*(1-Fraction_coal)*quadrillion*(K190/SUM(K$138,K$177,K$190))</f>
        <v/>
      </c>
      <c r="L195" s="43">
        <f>SUMIFS('Crosswalk AEO to EPS Summary'!M:M,'Crosswalk AEO to EPS Summary'!$C:$C,$B195)*(1-Fraction_coal)*quadrillion*(L190/SUM(L$138,L$177,L$190))</f>
        <v/>
      </c>
      <c r="M195" s="43">
        <f>SUMIFS('Crosswalk AEO to EPS Summary'!N:N,'Crosswalk AEO to EPS Summary'!$C:$C,$B195)*(1-Fraction_coal)*quadrillion*(M190/SUM(M$138,M$177,M$190))</f>
        <v/>
      </c>
      <c r="N195" s="43">
        <f>SUMIFS('Crosswalk AEO to EPS Summary'!O:O,'Crosswalk AEO to EPS Summary'!$C:$C,$B195)*(1-Fraction_coal)*quadrillion*(N190/SUM(N$138,N$177,N$190))</f>
        <v/>
      </c>
      <c r="O195" s="43">
        <f>SUMIFS('Crosswalk AEO to EPS Summary'!P:P,'Crosswalk AEO to EPS Summary'!$C:$C,$B195)*(1-Fraction_coal)*quadrillion*(O190/SUM(O$138,O$177,O$190))</f>
        <v/>
      </c>
      <c r="P195" s="43">
        <f>SUMIFS('Crosswalk AEO to EPS Summary'!Q:Q,'Crosswalk AEO to EPS Summary'!$C:$C,$B195)*(1-Fraction_coal)*quadrillion*(P190/SUM(P$138,P$177,P$190))</f>
        <v/>
      </c>
      <c r="Q195" s="43">
        <f>SUMIFS('Crosswalk AEO to EPS Summary'!R:R,'Crosswalk AEO to EPS Summary'!$C:$C,$B195)*(1-Fraction_coal)*quadrillion*(Q190/SUM(Q$138,Q$177,Q$190))</f>
        <v/>
      </c>
      <c r="R195" s="43">
        <f>SUMIFS('Crosswalk AEO to EPS Summary'!S:S,'Crosswalk AEO to EPS Summary'!$C:$C,$B195)*(1-Fraction_coal)*quadrillion*(R190/SUM(R$138,R$177,R$190))</f>
        <v/>
      </c>
      <c r="S195" s="43">
        <f>SUMIFS('Crosswalk AEO to EPS Summary'!T:T,'Crosswalk AEO to EPS Summary'!$C:$C,$B195)*(1-Fraction_coal)*quadrillion*(S190/SUM(S$138,S$177,S$190))</f>
        <v/>
      </c>
      <c r="T195" s="43">
        <f>SUMIFS('Crosswalk AEO to EPS Summary'!U:U,'Crosswalk AEO to EPS Summary'!$C:$C,$B195)*(1-Fraction_coal)*quadrillion*(T190/SUM(T$138,T$177,T$190))</f>
        <v/>
      </c>
      <c r="U195" s="43">
        <f>SUMIFS('Crosswalk AEO to EPS Summary'!V:V,'Crosswalk AEO to EPS Summary'!$C:$C,$B195)*(1-Fraction_coal)*quadrillion*(U190/SUM(U$138,U$177,U$190))</f>
        <v/>
      </c>
      <c r="V195" s="43">
        <f>SUMIFS('Crosswalk AEO to EPS Summary'!W:W,'Crosswalk AEO to EPS Summary'!$C:$C,$B195)*(1-Fraction_coal)*quadrillion*(V190/SUM(V$138,V$177,V$190))</f>
        <v/>
      </c>
      <c r="W195" s="43">
        <f>SUMIFS('Crosswalk AEO to EPS Summary'!X:X,'Crosswalk AEO to EPS Summary'!$C:$C,$B195)*(1-Fraction_coal)*quadrillion*(W190/SUM(W$138,W$177,W$190))</f>
        <v/>
      </c>
      <c r="X195" s="43">
        <f>SUMIFS('Crosswalk AEO to EPS Summary'!Y:Y,'Crosswalk AEO to EPS Summary'!$C:$C,$B195)*(1-Fraction_coal)*quadrillion*(X190/SUM(X$138,X$177,X$190))</f>
        <v/>
      </c>
      <c r="Y195" s="43">
        <f>SUMIFS('Crosswalk AEO to EPS Summary'!Z:Z,'Crosswalk AEO to EPS Summary'!$C:$C,$B195)*(1-Fraction_coal)*quadrillion*(Y190/SUM(Y$138,Y$177,Y$190))</f>
        <v/>
      </c>
      <c r="Z195" s="43">
        <f>SUMIFS('Crosswalk AEO to EPS Summary'!AA:AA,'Crosswalk AEO to EPS Summary'!$C:$C,$B195)*(1-Fraction_coal)*quadrillion*(Z190/SUM(Z$138,Z$177,Z$190))</f>
        <v/>
      </c>
      <c r="AA195" s="43">
        <f>SUMIFS('Crosswalk AEO to EPS Summary'!AB:AB,'Crosswalk AEO to EPS Summary'!$C:$C,$B195)*(1-Fraction_coal)*quadrillion*(AA190/SUM(AA$138,AA$177,AA$190))</f>
        <v/>
      </c>
      <c r="AB195" s="43">
        <f>SUMIFS('Crosswalk AEO to EPS Summary'!AC:AC,'Crosswalk AEO to EPS Summary'!$C:$C,$B195)*(1-Fraction_coal)*quadrillion*(AB190/SUM(AB$138,AB$177,AB$190))</f>
        <v/>
      </c>
      <c r="AC195" s="43">
        <f>SUMIFS('Crosswalk AEO to EPS Summary'!AD:AD,'Crosswalk AEO to EPS Summary'!$C:$C,$B195)*(1-Fraction_coal)*quadrillion*(AC190/SUM(AC$138,AC$177,AC$190))</f>
        <v/>
      </c>
      <c r="AD195" s="43">
        <f>SUMIFS('Crosswalk AEO to EPS Summary'!AE:AE,'Crosswalk AEO to EPS Summary'!$C:$C,$B195)*(1-Fraction_coal)*quadrillion*(AD190/SUM(AD$138,AD$177,AD$190))</f>
        <v/>
      </c>
      <c r="AE195" s="43">
        <f>SUMIFS('Crosswalk AEO to EPS Summary'!AF:AF,'Crosswalk AEO to EPS Summary'!$C:$C,$B195)*(1-Fraction_coal)*quadrillion*(AE190/SUM(AE$138,AE$177,AE$190))</f>
        <v/>
      </c>
      <c r="AF195" s="43">
        <f>SUMIFS('Crosswalk AEO to EPS Summary'!AG:AG,'Crosswalk AEO to EPS Summary'!$C:$C,$B195)*(1-Fraction_coal)*quadrillion*(AF190/SUM(AF$138,AF$177,AF$190))</f>
        <v/>
      </c>
    </row>
    <row r="196">
      <c r="B196" s="53">
        <f>C196&amp;"-"&amp;D196&amp;"-"&amp;E196</f>
        <v/>
      </c>
      <c r="C196" t="inlineStr">
        <is>
          <t>commercial</t>
        </is>
      </c>
      <c r="D196" t="inlineStr">
        <is>
          <t>other</t>
        </is>
      </c>
      <c r="E196" t="inlineStr">
        <is>
          <t>hydrogen (BTU)</t>
        </is>
      </c>
      <c r="F196" t="n">
        <v>0</v>
      </c>
      <c r="G196" t="n">
        <v>0</v>
      </c>
      <c r="H196" t="n">
        <v>0</v>
      </c>
      <c r="I196" t="n">
        <v>0</v>
      </c>
      <c r="J196" t="n">
        <v>0</v>
      </c>
      <c r="K196" t="n">
        <v>0</v>
      </c>
      <c r="L196" t="n">
        <v>0</v>
      </c>
      <c r="M196" t="n">
        <v>0</v>
      </c>
      <c r="N196" t="n">
        <v>0</v>
      </c>
      <c r="O196" t="n">
        <v>0</v>
      </c>
      <c r="P196" t="n">
        <v>0</v>
      </c>
      <c r="Q196" t="n">
        <v>0</v>
      </c>
      <c r="R196" t="n">
        <v>0</v>
      </c>
      <c r="S196" t="n">
        <v>0</v>
      </c>
      <c r="T196" t="n">
        <v>0</v>
      </c>
      <c r="U196" t="n">
        <v>0</v>
      </c>
      <c r="V196" t="n">
        <v>0</v>
      </c>
      <c r="W196" t="n">
        <v>0</v>
      </c>
      <c r="X196" t="n">
        <v>0</v>
      </c>
      <c r="Y196" t="n">
        <v>0</v>
      </c>
      <c r="Z196" t="n">
        <v>0</v>
      </c>
      <c r="AA196" t="n">
        <v>0</v>
      </c>
      <c r="AB196" t="n">
        <v>0</v>
      </c>
      <c r="AC196" t="n">
        <v>0</v>
      </c>
      <c r="AD196" t="n">
        <v>0</v>
      </c>
      <c r="AE196" t="n">
        <v>0</v>
      </c>
      <c r="AF196" t="n">
        <v>0</v>
      </c>
    </row>
    <row r="197"/>
    <row r="198" customFormat="1" s="50">
      <c r="B198" s="50" t="inlineStr">
        <is>
          <t>CHECK</t>
        </is>
      </c>
      <c r="C198" s="52" t="n"/>
      <c r="D198" s="52" t="n"/>
      <c r="E198" s="52" t="n"/>
      <c r="F198" s="50">
        <f>F186</f>
        <v/>
      </c>
      <c r="G198" s="50">
        <f>G186</f>
        <v/>
      </c>
      <c r="H198" s="50">
        <f>H186</f>
        <v/>
      </c>
      <c r="I198" s="50">
        <f>I186</f>
        <v/>
      </c>
      <c r="J198" s="50">
        <f>J186</f>
        <v/>
      </c>
      <c r="K198" s="50">
        <f>K186</f>
        <v/>
      </c>
      <c r="L198" s="50">
        <f>L186</f>
        <v/>
      </c>
      <c r="M198" s="50">
        <f>M186</f>
        <v/>
      </c>
      <c r="N198" s="50">
        <f>N186</f>
        <v/>
      </c>
      <c r="O198" s="50">
        <f>O186</f>
        <v/>
      </c>
      <c r="P198" s="50">
        <f>P186</f>
        <v/>
      </c>
      <c r="Q198" s="50">
        <f>Q186</f>
        <v/>
      </c>
      <c r="R198" s="50">
        <f>R186</f>
        <v/>
      </c>
      <c r="S198" s="50">
        <f>S186</f>
        <v/>
      </c>
      <c r="T198" s="50">
        <f>T186</f>
        <v/>
      </c>
      <c r="U198" s="50">
        <f>U186</f>
        <v/>
      </c>
      <c r="V198" s="50">
        <f>V186</f>
        <v/>
      </c>
      <c r="W198" s="50">
        <f>W186</f>
        <v/>
      </c>
      <c r="X198" s="50">
        <f>X186</f>
        <v/>
      </c>
      <c r="Y198" s="50">
        <f>Y186</f>
        <v/>
      </c>
      <c r="Z198" s="50">
        <f>Z186</f>
        <v/>
      </c>
      <c r="AA198" s="50">
        <f>AA186</f>
        <v/>
      </c>
      <c r="AB198" s="50">
        <f>AB186</f>
        <v/>
      </c>
      <c r="AC198" s="50">
        <f>AC186</f>
        <v/>
      </c>
      <c r="AD198" s="50">
        <f>AD186</f>
        <v/>
      </c>
      <c r="AE198" s="50">
        <f>AE186</f>
        <v/>
      </c>
      <c r="AF198" s="50">
        <f>AF186</f>
        <v/>
      </c>
    </row>
    <row r="199" customFormat="1" s="48">
      <c r="C199" s="49" t="n"/>
      <c r="D199" s="49" t="inlineStr">
        <is>
          <t>RESIDENTIAL CHECK</t>
        </is>
      </c>
      <c r="E199" s="49" t="n"/>
    </row>
    <row r="200">
      <c r="C200" t="inlineStr">
        <is>
          <t>aeo</t>
        </is>
      </c>
      <c r="E200" t="inlineStr">
        <is>
          <t>electricity</t>
        </is>
      </c>
      <c r="F200">
        <f>Table_4._Residential_Sector_Key!F36*quadrillion</f>
        <v/>
      </c>
      <c r="G200">
        <f>Table_4._Residential_Sector_Key!G36*quadrillion</f>
        <v/>
      </c>
      <c r="H200">
        <f>Table_4._Residential_Sector_Key!H36*quadrillion</f>
        <v/>
      </c>
      <c r="I200">
        <f>Table_4._Residential_Sector_Key!I36*quadrillion</f>
        <v/>
      </c>
      <c r="J200">
        <f>Table_4._Residential_Sector_Key!J36*quadrillion</f>
        <v/>
      </c>
      <c r="K200">
        <f>Table_4._Residential_Sector_Key!K36*quadrillion</f>
        <v/>
      </c>
      <c r="L200">
        <f>Table_4._Residential_Sector_Key!L36*quadrillion</f>
        <v/>
      </c>
      <c r="M200">
        <f>Table_4._Residential_Sector_Key!M36*quadrillion</f>
        <v/>
      </c>
      <c r="N200">
        <f>Table_4._Residential_Sector_Key!N36*quadrillion</f>
        <v/>
      </c>
      <c r="O200">
        <f>Table_4._Residential_Sector_Key!O36*quadrillion</f>
        <v/>
      </c>
      <c r="P200">
        <f>Table_4._Residential_Sector_Key!P36*quadrillion</f>
        <v/>
      </c>
      <c r="Q200">
        <f>Table_4._Residential_Sector_Key!Q36*quadrillion</f>
        <v/>
      </c>
      <c r="R200">
        <f>Table_4._Residential_Sector_Key!R36*quadrillion</f>
        <v/>
      </c>
      <c r="S200">
        <f>Table_4._Residential_Sector_Key!S36*quadrillion</f>
        <v/>
      </c>
      <c r="T200">
        <f>Table_4._Residential_Sector_Key!T36*quadrillion</f>
        <v/>
      </c>
      <c r="U200">
        <f>Table_4._Residential_Sector_Key!U36*quadrillion</f>
        <v/>
      </c>
      <c r="V200">
        <f>Table_4._Residential_Sector_Key!V36*quadrillion</f>
        <v/>
      </c>
      <c r="W200">
        <f>Table_4._Residential_Sector_Key!W36*quadrillion</f>
        <v/>
      </c>
      <c r="X200">
        <f>Table_4._Residential_Sector_Key!X36*quadrillion</f>
        <v/>
      </c>
      <c r="Y200">
        <f>Table_4._Residential_Sector_Key!Y36*quadrillion</f>
        <v/>
      </c>
      <c r="Z200">
        <f>Table_4._Residential_Sector_Key!Z36*quadrillion</f>
        <v/>
      </c>
      <c r="AA200">
        <f>Table_4._Residential_Sector_Key!AA36*quadrillion</f>
        <v/>
      </c>
      <c r="AB200">
        <f>Table_4._Residential_Sector_Key!AB36*quadrillion</f>
        <v/>
      </c>
      <c r="AC200">
        <f>Table_4._Residential_Sector_Key!AC36*quadrillion</f>
        <v/>
      </c>
      <c r="AD200">
        <f>Table_4._Residential_Sector_Key!AD36*quadrillion</f>
        <v/>
      </c>
      <c r="AE200">
        <f>Table_4._Residential_Sector_Key!AE36*quadrillion</f>
        <v/>
      </c>
      <c r="AF200">
        <f>Table_4._Residential_Sector_Key!AF36*quadrillion</f>
        <v/>
      </c>
    </row>
    <row r="201">
      <c r="C201" t="inlineStr">
        <is>
          <t>eps</t>
        </is>
      </c>
      <c r="D201" t="inlineStr">
        <is>
          <t>residential</t>
        </is>
      </c>
      <c r="E201" t="inlineStr">
        <is>
          <t>electricity (BTU)</t>
        </is>
      </c>
      <c r="F201">
        <f>SUMIFS(F$5:F$196,$C$5:$C$196,$D201,$E$5:$E$196,$E201)</f>
        <v/>
      </c>
      <c r="G201">
        <f>SUMIFS(G$5:G$196,$C$5:$C$196,$D201,$E$5:$E$196,$E201)</f>
        <v/>
      </c>
      <c r="H201">
        <f>SUMIFS(H$5:H$196,$C$5:$C$196,$D201,$E$5:$E$196,$E201)</f>
        <v/>
      </c>
      <c r="I201">
        <f>SUMIFS(I$5:I$196,$C$5:$C$196,$D201,$E$5:$E$196,$E201)</f>
        <v/>
      </c>
      <c r="J201">
        <f>SUMIFS(J$5:J$196,$C$5:$C$196,$D201,$E$5:$E$196,$E201)</f>
        <v/>
      </c>
      <c r="K201">
        <f>SUMIFS(K$5:K$196,$C$5:$C$196,$D201,$E$5:$E$196,$E201)</f>
        <v/>
      </c>
      <c r="L201">
        <f>SUMIFS(L$5:L$196,$C$5:$C$196,$D201,$E$5:$E$196,$E201)</f>
        <v/>
      </c>
      <c r="M201">
        <f>SUMIFS(M$5:M$196,$C$5:$C$196,$D201,$E$5:$E$196,$E201)</f>
        <v/>
      </c>
      <c r="N201">
        <f>SUMIFS(N$5:N$196,$C$5:$C$196,$D201,$E$5:$E$196,$E201)</f>
        <v/>
      </c>
      <c r="O201">
        <f>SUMIFS(O$5:O$196,$C$5:$C$196,$D201,$E$5:$E$196,$E201)</f>
        <v/>
      </c>
      <c r="P201">
        <f>SUMIFS(P$5:P$196,$C$5:$C$196,$D201,$E$5:$E$196,$E201)</f>
        <v/>
      </c>
      <c r="Q201">
        <f>SUMIFS(Q$5:Q$196,$C$5:$C$196,$D201,$E$5:$E$196,$E201)</f>
        <v/>
      </c>
      <c r="R201">
        <f>SUMIFS(R$5:R$196,$C$5:$C$196,$D201,$E$5:$E$196,$E201)</f>
        <v/>
      </c>
      <c r="S201">
        <f>SUMIFS(S$5:S$196,$C$5:$C$196,$D201,$E$5:$E$196,$E201)</f>
        <v/>
      </c>
      <c r="T201">
        <f>SUMIFS(T$5:T$196,$C$5:$C$196,$D201,$E$5:$E$196,$E201)</f>
        <v/>
      </c>
      <c r="U201">
        <f>SUMIFS(U$5:U$196,$C$5:$C$196,$D201,$E$5:$E$196,$E201)</f>
        <v/>
      </c>
      <c r="V201">
        <f>SUMIFS(V$5:V$196,$C$5:$C$196,$D201,$E$5:$E$196,$E201)</f>
        <v/>
      </c>
      <c r="W201">
        <f>SUMIFS(W$5:W$196,$C$5:$C$196,$D201,$E$5:$E$196,$E201)</f>
        <v/>
      </c>
      <c r="X201">
        <f>SUMIFS(X$5:X$196,$C$5:$C$196,$D201,$E$5:$E$196,$E201)</f>
        <v/>
      </c>
      <c r="Y201">
        <f>SUMIFS(Y$5:Y$196,$C$5:$C$196,$D201,$E$5:$E$196,$E201)</f>
        <v/>
      </c>
      <c r="Z201">
        <f>SUMIFS(Z$5:Z$196,$C$5:$C$196,$D201,$E$5:$E$196,$E201)</f>
        <v/>
      </c>
      <c r="AA201">
        <f>SUMIFS(AA$5:AA$196,$C$5:$C$196,$D201,$E$5:$E$196,$E201)</f>
        <v/>
      </c>
      <c r="AB201">
        <f>SUMIFS(AB$5:AB$196,$C$5:$C$196,$D201,$E$5:$E$196,$E201)</f>
        <v/>
      </c>
      <c r="AC201">
        <f>SUMIFS(AC$5:AC$196,$C$5:$C$196,$D201,$E$5:$E$196,$E201)</f>
        <v/>
      </c>
      <c r="AD201">
        <f>SUMIFS(AD$5:AD$196,$C$5:$C$196,$D201,$E$5:$E$196,$E201)</f>
        <v/>
      </c>
      <c r="AE201">
        <f>SUMIFS(AE$5:AE$196,$C$5:$C$196,$D201,$E$5:$E$196,$E201)</f>
        <v/>
      </c>
      <c r="AF201">
        <f>SUMIFS(AF$5:AF$196,$C$5:$C$196,$D201,$E$5:$E$196,$E201)</f>
        <v/>
      </c>
    </row>
    <row r="202">
      <c r="F202" s="47">
        <f>F201/SUM(F200:F200)</f>
        <v/>
      </c>
      <c r="G202" s="47">
        <f>G201/SUM(G200:G200)</f>
        <v/>
      </c>
      <c r="H202" s="47">
        <f>H201/SUM(H200:H200)</f>
        <v/>
      </c>
      <c r="I202" s="47">
        <f>I201/SUM(I200:I200)</f>
        <v/>
      </c>
      <c r="J202" s="47">
        <f>J201/SUM(J200:J200)</f>
        <v/>
      </c>
      <c r="K202" s="47">
        <f>K201/SUM(K200:K200)</f>
        <v/>
      </c>
      <c r="L202" s="47">
        <f>L201/SUM(L200:L200)</f>
        <v/>
      </c>
      <c r="M202" s="47">
        <f>M201/SUM(M200:M200)</f>
        <v/>
      </c>
      <c r="N202" s="47">
        <f>N201/SUM(N200:N200)</f>
        <v/>
      </c>
      <c r="O202" s="47">
        <f>O201/SUM(O200:O200)</f>
        <v/>
      </c>
      <c r="P202" s="47">
        <f>P201/SUM(P200:P200)</f>
        <v/>
      </c>
      <c r="Q202" s="47">
        <f>Q201/SUM(Q200:Q200)</f>
        <v/>
      </c>
      <c r="R202" s="47">
        <f>R201/SUM(R200:R200)</f>
        <v/>
      </c>
      <c r="S202" s="47">
        <f>S201/SUM(S200:S200)</f>
        <v/>
      </c>
      <c r="T202" s="47">
        <f>T201/SUM(T200:T200)</f>
        <v/>
      </c>
      <c r="U202" s="47">
        <f>U201/SUM(U200:U200)</f>
        <v/>
      </c>
      <c r="V202" s="47">
        <f>V201/SUM(V200:V200)</f>
        <v/>
      </c>
      <c r="W202" s="47">
        <f>W201/SUM(W200:W200)</f>
        <v/>
      </c>
      <c r="X202" s="47">
        <f>X201/SUM(X200:X200)</f>
        <v/>
      </c>
      <c r="Y202" s="47">
        <f>Y201/SUM(Y200:Y200)</f>
        <v/>
      </c>
      <c r="Z202" s="47">
        <f>Z201/SUM(Z200:Z200)</f>
        <v/>
      </c>
      <c r="AA202" s="47">
        <f>AA201/SUM(AA200:AA200)</f>
        <v/>
      </c>
      <c r="AB202" s="47">
        <f>AB201/SUM(AB200:AB200)</f>
        <v/>
      </c>
      <c r="AC202" s="47">
        <f>AC201/SUM(AC200:AC200)</f>
        <v/>
      </c>
      <c r="AD202" s="47">
        <f>AD201/SUM(AD200:AD200)</f>
        <v/>
      </c>
      <c r="AE202" s="47">
        <f>AE201/SUM(AE200:AE200)</f>
        <v/>
      </c>
      <c r="AF202" s="47">
        <f>AF201/SUM(AF200:AF200)</f>
        <v/>
      </c>
    </row>
    <row r="203">
      <c r="F203" s="13" t="n"/>
      <c r="G203" s="13" t="n"/>
      <c r="H203" s="13" t="n"/>
      <c r="I203" s="13" t="n"/>
      <c r="J203" s="13" t="n"/>
      <c r="K203" s="13" t="n"/>
      <c r="L203" s="13" t="n"/>
      <c r="M203" s="13" t="n"/>
      <c r="N203" s="13" t="n"/>
      <c r="O203" s="13" t="n"/>
      <c r="P203" s="13" t="n"/>
      <c r="Q203" s="13" t="n"/>
      <c r="R203" s="13" t="n"/>
      <c r="S203" s="13" t="n"/>
      <c r="T203" s="13" t="n"/>
      <c r="U203" s="13" t="n"/>
      <c r="V203" s="13" t="n"/>
      <c r="W203" s="13" t="n"/>
      <c r="X203" s="13" t="n"/>
      <c r="Y203" s="13" t="n"/>
      <c r="Z203" s="13" t="n"/>
      <c r="AA203" s="13" t="n"/>
      <c r="AB203" s="13" t="n"/>
      <c r="AC203" s="13" t="n"/>
      <c r="AD203" s="13" t="n"/>
      <c r="AE203" s="13" t="n"/>
      <c r="AF203" s="13" t="n"/>
    </row>
    <row r="204">
      <c r="C204" t="inlineStr">
        <is>
          <t>aeo</t>
        </is>
      </c>
      <c r="E204" t="inlineStr">
        <is>
          <t>natural gas (BTU)</t>
        </is>
      </c>
      <c r="F204">
        <f>Table_4._Residential_Sector_Key!F47*quadrillion</f>
        <v/>
      </c>
      <c r="G204">
        <f>Table_4._Residential_Sector_Key!G47*quadrillion</f>
        <v/>
      </c>
      <c r="H204">
        <f>Table_4._Residential_Sector_Key!H47*quadrillion</f>
        <v/>
      </c>
      <c r="I204">
        <f>Table_4._Residential_Sector_Key!I47*quadrillion</f>
        <v/>
      </c>
      <c r="J204">
        <f>Table_4._Residential_Sector_Key!J47*quadrillion</f>
        <v/>
      </c>
      <c r="K204">
        <f>Table_4._Residential_Sector_Key!K47*quadrillion</f>
        <v/>
      </c>
      <c r="L204">
        <f>Table_4._Residential_Sector_Key!L47*quadrillion</f>
        <v/>
      </c>
      <c r="M204">
        <f>Table_4._Residential_Sector_Key!M47*quadrillion</f>
        <v/>
      </c>
      <c r="N204">
        <f>Table_4._Residential_Sector_Key!N47*quadrillion</f>
        <v/>
      </c>
      <c r="O204">
        <f>Table_4._Residential_Sector_Key!O47*quadrillion</f>
        <v/>
      </c>
      <c r="P204">
        <f>Table_4._Residential_Sector_Key!P47*quadrillion</f>
        <v/>
      </c>
      <c r="Q204">
        <f>Table_4._Residential_Sector_Key!Q47*quadrillion</f>
        <v/>
      </c>
      <c r="R204">
        <f>Table_4._Residential_Sector_Key!R47*quadrillion</f>
        <v/>
      </c>
      <c r="S204">
        <f>Table_4._Residential_Sector_Key!S47*quadrillion</f>
        <v/>
      </c>
      <c r="T204">
        <f>Table_4._Residential_Sector_Key!T47*quadrillion</f>
        <v/>
      </c>
      <c r="U204">
        <f>Table_4._Residential_Sector_Key!U47*quadrillion</f>
        <v/>
      </c>
      <c r="V204">
        <f>Table_4._Residential_Sector_Key!V47*quadrillion</f>
        <v/>
      </c>
      <c r="W204">
        <f>Table_4._Residential_Sector_Key!W47*quadrillion</f>
        <v/>
      </c>
      <c r="X204">
        <f>Table_4._Residential_Sector_Key!X47*quadrillion</f>
        <v/>
      </c>
      <c r="Y204">
        <f>Table_4._Residential_Sector_Key!Y47*quadrillion</f>
        <v/>
      </c>
      <c r="Z204">
        <f>Table_4._Residential_Sector_Key!Z47*quadrillion</f>
        <v/>
      </c>
      <c r="AA204">
        <f>Table_4._Residential_Sector_Key!AA47*quadrillion</f>
        <v/>
      </c>
      <c r="AB204">
        <f>Table_4._Residential_Sector_Key!AB47*quadrillion</f>
        <v/>
      </c>
      <c r="AC204">
        <f>Table_4._Residential_Sector_Key!AC47*quadrillion</f>
        <v/>
      </c>
      <c r="AD204">
        <f>Table_4._Residential_Sector_Key!AD47*quadrillion</f>
        <v/>
      </c>
      <c r="AE204">
        <f>Table_4._Residential_Sector_Key!AE47*quadrillion</f>
        <v/>
      </c>
      <c r="AF204">
        <f>Table_4._Residential_Sector_Key!AF47*quadrillion</f>
        <v/>
      </c>
    </row>
    <row r="205">
      <c r="C205" t="inlineStr">
        <is>
          <t>eps</t>
        </is>
      </c>
      <c r="D205" t="inlineStr">
        <is>
          <t>residential</t>
        </is>
      </c>
      <c r="E205" t="inlineStr">
        <is>
          <t>natural gas (BTU)</t>
        </is>
      </c>
      <c r="F205">
        <f>SUMIFS(F$5:F$196,$C$5:$C$196,$D205,$E$5:$E$196,$E205)</f>
        <v/>
      </c>
      <c r="G205">
        <f>SUMIFS(G$5:G$196,$C$5:$C$196,$D205,$E$5:$E$196,$E205)</f>
        <v/>
      </c>
      <c r="H205">
        <f>SUMIFS(H$5:H$196,$C$5:$C$196,$D205,$E$5:$E$196,$E205)</f>
        <v/>
      </c>
      <c r="I205">
        <f>SUMIFS(I$5:I$196,$C$5:$C$196,$D205,$E$5:$E$196,$E205)</f>
        <v/>
      </c>
      <c r="J205">
        <f>SUMIFS(J$5:J$196,$C$5:$C$196,$D205,$E$5:$E$196,$E205)</f>
        <v/>
      </c>
      <c r="K205">
        <f>SUMIFS(K$5:K$196,$C$5:$C$196,$D205,$E$5:$E$196,$E205)</f>
        <v/>
      </c>
      <c r="L205">
        <f>SUMIFS(L$5:L$196,$C$5:$C$196,$D205,$E$5:$E$196,$E205)</f>
        <v/>
      </c>
      <c r="M205">
        <f>SUMIFS(M$5:M$196,$C$5:$C$196,$D205,$E$5:$E$196,$E205)</f>
        <v/>
      </c>
      <c r="N205">
        <f>SUMIFS(N$5:N$196,$C$5:$C$196,$D205,$E$5:$E$196,$E205)</f>
        <v/>
      </c>
      <c r="O205">
        <f>SUMIFS(O$5:O$196,$C$5:$C$196,$D205,$E$5:$E$196,$E205)</f>
        <v/>
      </c>
      <c r="P205">
        <f>SUMIFS(P$5:P$196,$C$5:$C$196,$D205,$E$5:$E$196,$E205)</f>
        <v/>
      </c>
      <c r="Q205">
        <f>SUMIFS(Q$5:Q$196,$C$5:$C$196,$D205,$E$5:$E$196,$E205)</f>
        <v/>
      </c>
      <c r="R205">
        <f>SUMIFS(R$5:R$196,$C$5:$C$196,$D205,$E$5:$E$196,$E205)</f>
        <v/>
      </c>
      <c r="S205">
        <f>SUMIFS(S$5:S$196,$C$5:$C$196,$D205,$E$5:$E$196,$E205)</f>
        <v/>
      </c>
      <c r="T205">
        <f>SUMIFS(T$5:T$196,$C$5:$C$196,$D205,$E$5:$E$196,$E205)</f>
        <v/>
      </c>
      <c r="U205">
        <f>SUMIFS(U$5:U$196,$C$5:$C$196,$D205,$E$5:$E$196,$E205)</f>
        <v/>
      </c>
      <c r="V205">
        <f>SUMIFS(V$5:V$196,$C$5:$C$196,$D205,$E$5:$E$196,$E205)</f>
        <v/>
      </c>
      <c r="W205">
        <f>SUMIFS(W$5:W$196,$C$5:$C$196,$D205,$E$5:$E$196,$E205)</f>
        <v/>
      </c>
      <c r="X205">
        <f>SUMIFS(X$5:X$196,$C$5:$C$196,$D205,$E$5:$E$196,$E205)</f>
        <v/>
      </c>
      <c r="Y205">
        <f>SUMIFS(Y$5:Y$196,$C$5:$C$196,$D205,$E$5:$E$196,$E205)</f>
        <v/>
      </c>
      <c r="Z205">
        <f>SUMIFS(Z$5:Z$196,$C$5:$C$196,$D205,$E$5:$E$196,$E205)</f>
        <v/>
      </c>
      <c r="AA205">
        <f>SUMIFS(AA$5:AA$196,$C$5:$C$196,$D205,$E$5:$E$196,$E205)</f>
        <v/>
      </c>
      <c r="AB205">
        <f>SUMIFS(AB$5:AB$196,$C$5:$C$196,$D205,$E$5:$E$196,$E205)</f>
        <v/>
      </c>
      <c r="AC205">
        <f>SUMIFS(AC$5:AC$196,$C$5:$C$196,$D205,$E$5:$E$196,$E205)</f>
        <v/>
      </c>
      <c r="AD205">
        <f>SUMIFS(AD$5:AD$196,$C$5:$C$196,$D205,$E$5:$E$196,$E205)</f>
        <v/>
      </c>
      <c r="AE205">
        <f>SUMIFS(AE$5:AE$196,$C$5:$C$196,$D205,$E$5:$E$196,$E205)</f>
        <v/>
      </c>
      <c r="AF205">
        <f>SUMIFS(AF$5:AF$196,$C$5:$C$196,$D205,$E$5:$E$196,$E205)</f>
        <v/>
      </c>
    </row>
    <row r="206">
      <c r="F206" s="47">
        <f>F205/SUM(F204:F204)</f>
        <v/>
      </c>
      <c r="G206" s="47">
        <f>G205/SUM(G204:G204)</f>
        <v/>
      </c>
      <c r="H206" s="47">
        <f>H205/SUM(H204:H204)</f>
        <v/>
      </c>
      <c r="I206" s="47">
        <f>I205/SUM(I204:I204)</f>
        <v/>
      </c>
      <c r="J206" s="47">
        <f>J205/SUM(J204:J204)</f>
        <v/>
      </c>
      <c r="K206" s="47">
        <f>K205/SUM(K204:K204)</f>
        <v/>
      </c>
      <c r="L206" s="47">
        <f>L205/SUM(L204:L204)</f>
        <v/>
      </c>
      <c r="M206" s="47">
        <f>M205/SUM(M204:M204)</f>
        <v/>
      </c>
      <c r="N206" s="47">
        <f>N205/SUM(N204:N204)</f>
        <v/>
      </c>
      <c r="O206" s="47">
        <f>O205/SUM(O204:O204)</f>
        <v/>
      </c>
      <c r="P206" s="47">
        <f>P205/SUM(P204:P204)</f>
        <v/>
      </c>
      <c r="Q206" s="47">
        <f>Q205/SUM(Q204:Q204)</f>
        <v/>
      </c>
      <c r="R206" s="47">
        <f>R205/SUM(R204:R204)</f>
        <v/>
      </c>
      <c r="S206" s="47">
        <f>S205/SUM(S204:S204)</f>
        <v/>
      </c>
      <c r="T206" s="47">
        <f>T205/SUM(T204:T204)</f>
        <v/>
      </c>
      <c r="U206" s="47">
        <f>U205/SUM(U204:U204)</f>
        <v/>
      </c>
      <c r="V206" s="47">
        <f>V205/SUM(V204:V204)</f>
        <v/>
      </c>
      <c r="W206" s="47">
        <f>W205/SUM(W204:W204)</f>
        <v/>
      </c>
      <c r="X206" s="47">
        <f>X205/SUM(X204:X204)</f>
        <v/>
      </c>
      <c r="Y206" s="47">
        <f>Y205/SUM(Y204:Y204)</f>
        <v/>
      </c>
      <c r="Z206" s="47">
        <f>Z205/SUM(Z204:Z204)</f>
        <v/>
      </c>
      <c r="AA206" s="47">
        <f>AA205/SUM(AA204:AA204)</f>
        <v/>
      </c>
      <c r="AB206" s="47">
        <f>AB205/SUM(AB204:AB204)</f>
        <v/>
      </c>
      <c r="AC206" s="47">
        <f>AC205/SUM(AC204:AC204)</f>
        <v/>
      </c>
      <c r="AD206" s="47">
        <f>AD205/SUM(AD204:AD204)</f>
        <v/>
      </c>
      <c r="AE206" s="47">
        <f>AE205/SUM(AE204:AE204)</f>
        <v/>
      </c>
      <c r="AF206" s="47">
        <f>AF205/SUM(AF204:AF204)</f>
        <v/>
      </c>
    </row>
    <row r="207"/>
    <row r="208">
      <c r="C208" t="inlineStr">
        <is>
          <t>aeo</t>
        </is>
      </c>
      <c r="E208" t="inlineStr">
        <is>
          <t>petroleum diesel (BTU)</t>
        </is>
      </c>
      <c r="F208">
        <f>Table_4._Residential_Sector_Key!F52*quadrillion</f>
        <v/>
      </c>
      <c r="G208">
        <f>Table_4._Residential_Sector_Key!G52*quadrillion</f>
        <v/>
      </c>
      <c r="H208">
        <f>Table_4._Residential_Sector_Key!H52*quadrillion</f>
        <v/>
      </c>
      <c r="I208">
        <f>Table_4._Residential_Sector_Key!I52*quadrillion</f>
        <v/>
      </c>
      <c r="J208">
        <f>Table_4._Residential_Sector_Key!J52*quadrillion</f>
        <v/>
      </c>
      <c r="K208">
        <f>Table_4._Residential_Sector_Key!K52*quadrillion</f>
        <v/>
      </c>
      <c r="L208">
        <f>Table_4._Residential_Sector_Key!L52*quadrillion</f>
        <v/>
      </c>
      <c r="M208">
        <f>Table_4._Residential_Sector_Key!M52*quadrillion</f>
        <v/>
      </c>
      <c r="N208">
        <f>Table_4._Residential_Sector_Key!N52*quadrillion</f>
        <v/>
      </c>
      <c r="O208">
        <f>Table_4._Residential_Sector_Key!O52*quadrillion</f>
        <v/>
      </c>
      <c r="P208">
        <f>Table_4._Residential_Sector_Key!P52*quadrillion</f>
        <v/>
      </c>
      <c r="Q208">
        <f>Table_4._Residential_Sector_Key!Q52*quadrillion</f>
        <v/>
      </c>
      <c r="R208">
        <f>Table_4._Residential_Sector_Key!R52*quadrillion</f>
        <v/>
      </c>
      <c r="S208">
        <f>Table_4._Residential_Sector_Key!S52*quadrillion</f>
        <v/>
      </c>
      <c r="T208">
        <f>Table_4._Residential_Sector_Key!T52*quadrillion</f>
        <v/>
      </c>
      <c r="U208">
        <f>Table_4._Residential_Sector_Key!U52*quadrillion</f>
        <v/>
      </c>
      <c r="V208">
        <f>Table_4._Residential_Sector_Key!V52*quadrillion</f>
        <v/>
      </c>
      <c r="W208">
        <f>Table_4._Residential_Sector_Key!W52*quadrillion</f>
        <v/>
      </c>
      <c r="X208">
        <f>Table_4._Residential_Sector_Key!X52*quadrillion</f>
        <v/>
      </c>
      <c r="Y208">
        <f>Table_4._Residential_Sector_Key!Y52*quadrillion</f>
        <v/>
      </c>
      <c r="Z208">
        <f>Table_4._Residential_Sector_Key!Z52*quadrillion</f>
        <v/>
      </c>
      <c r="AA208">
        <f>Table_4._Residential_Sector_Key!AA52*quadrillion</f>
        <v/>
      </c>
      <c r="AB208">
        <f>Table_4._Residential_Sector_Key!AB52*quadrillion</f>
        <v/>
      </c>
      <c r="AC208">
        <f>Table_4._Residential_Sector_Key!AC52*quadrillion</f>
        <v/>
      </c>
      <c r="AD208">
        <f>Table_4._Residential_Sector_Key!AD52*quadrillion</f>
        <v/>
      </c>
      <c r="AE208">
        <f>Table_4._Residential_Sector_Key!AE52*quadrillion</f>
        <v/>
      </c>
      <c r="AF208">
        <f>Table_4._Residential_Sector_Key!AF52*quadrillion</f>
        <v/>
      </c>
    </row>
    <row r="209">
      <c r="C209" t="inlineStr">
        <is>
          <t>eps</t>
        </is>
      </c>
      <c r="D209" t="inlineStr">
        <is>
          <t>residential</t>
        </is>
      </c>
      <c r="E209" t="inlineStr">
        <is>
          <t>petroleum diesel (BTU)</t>
        </is>
      </c>
      <c r="F209">
        <f>SUMIFS(F$5:F$196,$C$5:$C$196,$D209,$E$5:$E$196,$E209)</f>
        <v/>
      </c>
      <c r="G209">
        <f>SUMIFS(G$5:G$196,$C$5:$C$196,$D209,$E$5:$E$196,$E209)</f>
        <v/>
      </c>
      <c r="H209">
        <f>SUMIFS(H$5:H$196,$C$5:$C$196,$D209,$E$5:$E$196,$E209)</f>
        <v/>
      </c>
      <c r="I209">
        <f>SUMIFS(I$5:I$196,$C$5:$C$196,$D209,$E$5:$E$196,$E209)</f>
        <v/>
      </c>
      <c r="J209">
        <f>SUMIFS(J$5:J$196,$C$5:$C$196,$D209,$E$5:$E$196,$E209)</f>
        <v/>
      </c>
      <c r="K209">
        <f>SUMIFS(K$5:K$196,$C$5:$C$196,$D209,$E$5:$E$196,$E209)</f>
        <v/>
      </c>
      <c r="L209">
        <f>SUMIFS(L$5:L$196,$C$5:$C$196,$D209,$E$5:$E$196,$E209)</f>
        <v/>
      </c>
      <c r="M209">
        <f>SUMIFS(M$5:M$196,$C$5:$C$196,$D209,$E$5:$E$196,$E209)</f>
        <v/>
      </c>
      <c r="N209">
        <f>SUMIFS(N$5:N$196,$C$5:$C$196,$D209,$E$5:$E$196,$E209)</f>
        <v/>
      </c>
      <c r="O209">
        <f>SUMIFS(O$5:O$196,$C$5:$C$196,$D209,$E$5:$E$196,$E209)</f>
        <v/>
      </c>
      <c r="P209">
        <f>SUMIFS(P$5:P$196,$C$5:$C$196,$D209,$E$5:$E$196,$E209)</f>
        <v/>
      </c>
      <c r="Q209">
        <f>SUMIFS(Q$5:Q$196,$C$5:$C$196,$D209,$E$5:$E$196,$E209)</f>
        <v/>
      </c>
      <c r="R209">
        <f>SUMIFS(R$5:R$196,$C$5:$C$196,$D209,$E$5:$E$196,$E209)</f>
        <v/>
      </c>
      <c r="S209">
        <f>SUMIFS(S$5:S$196,$C$5:$C$196,$D209,$E$5:$E$196,$E209)</f>
        <v/>
      </c>
      <c r="T209">
        <f>SUMIFS(T$5:T$196,$C$5:$C$196,$D209,$E$5:$E$196,$E209)</f>
        <v/>
      </c>
      <c r="U209">
        <f>SUMIFS(U$5:U$196,$C$5:$C$196,$D209,$E$5:$E$196,$E209)</f>
        <v/>
      </c>
      <c r="V209">
        <f>SUMIFS(V$5:V$196,$C$5:$C$196,$D209,$E$5:$E$196,$E209)</f>
        <v/>
      </c>
      <c r="W209">
        <f>SUMIFS(W$5:W$196,$C$5:$C$196,$D209,$E$5:$E$196,$E209)</f>
        <v/>
      </c>
      <c r="X209">
        <f>SUMIFS(X$5:X$196,$C$5:$C$196,$D209,$E$5:$E$196,$E209)</f>
        <v/>
      </c>
      <c r="Y209">
        <f>SUMIFS(Y$5:Y$196,$C$5:$C$196,$D209,$E$5:$E$196,$E209)</f>
        <v/>
      </c>
      <c r="Z209">
        <f>SUMIFS(Z$5:Z$196,$C$5:$C$196,$D209,$E$5:$E$196,$E209)</f>
        <v/>
      </c>
      <c r="AA209">
        <f>SUMIFS(AA$5:AA$196,$C$5:$C$196,$D209,$E$5:$E$196,$E209)</f>
        <v/>
      </c>
      <c r="AB209">
        <f>SUMIFS(AB$5:AB$196,$C$5:$C$196,$D209,$E$5:$E$196,$E209)</f>
        <v/>
      </c>
      <c r="AC209">
        <f>SUMIFS(AC$5:AC$196,$C$5:$C$196,$D209,$E$5:$E$196,$E209)</f>
        <v/>
      </c>
      <c r="AD209">
        <f>SUMIFS(AD$5:AD$196,$C$5:$C$196,$D209,$E$5:$E$196,$E209)</f>
        <v/>
      </c>
      <c r="AE209">
        <f>SUMIFS(AE$5:AE$196,$C$5:$C$196,$D209,$E$5:$E$196,$E209)</f>
        <v/>
      </c>
      <c r="AF209">
        <f>SUMIFS(AF$5:AF$196,$C$5:$C$196,$D209,$E$5:$E$196,$E209)</f>
        <v/>
      </c>
    </row>
    <row r="210">
      <c r="F210" s="47">
        <f>F209/SUM(F208:F208)</f>
        <v/>
      </c>
      <c r="G210" s="47">
        <f>G209/SUM(G208:G208)</f>
        <v/>
      </c>
      <c r="H210" s="47">
        <f>H209/SUM(H208:H208)</f>
        <v/>
      </c>
      <c r="I210" s="47">
        <f>I209/SUM(I208:I208)</f>
        <v/>
      </c>
      <c r="J210" s="47">
        <f>J209/SUM(J208:J208)</f>
        <v/>
      </c>
      <c r="K210" s="47">
        <f>K209/SUM(K208:K208)</f>
        <v/>
      </c>
      <c r="L210" s="47">
        <f>L209/SUM(L208:L208)</f>
        <v/>
      </c>
      <c r="M210" s="47">
        <f>M209/SUM(M208:M208)</f>
        <v/>
      </c>
      <c r="N210" s="47">
        <f>N209/SUM(N208:N208)</f>
        <v/>
      </c>
      <c r="O210" s="47">
        <f>O209/SUM(O208:O208)</f>
        <v/>
      </c>
      <c r="P210" s="47">
        <f>P209/SUM(P208:P208)</f>
        <v/>
      </c>
      <c r="Q210" s="47">
        <f>Q209/SUM(Q208:Q208)</f>
        <v/>
      </c>
      <c r="R210" s="47">
        <f>R209/SUM(R208:R208)</f>
        <v/>
      </c>
      <c r="S210" s="47">
        <f>S209/SUM(S208:S208)</f>
        <v/>
      </c>
      <c r="T210" s="47">
        <f>T209/SUM(T208:T208)</f>
        <v/>
      </c>
      <c r="U210" s="47">
        <f>U209/SUM(U208:U208)</f>
        <v/>
      </c>
      <c r="V210" s="47">
        <f>V209/SUM(V208:V208)</f>
        <v/>
      </c>
      <c r="W210" s="47">
        <f>W209/SUM(W208:W208)</f>
        <v/>
      </c>
      <c r="X210" s="47">
        <f>X209/SUM(X208:X208)</f>
        <v/>
      </c>
      <c r="Y210" s="47">
        <f>Y209/SUM(Y208:Y208)</f>
        <v/>
      </c>
      <c r="Z210" s="47">
        <f>Z209/SUM(Z208:Z208)</f>
        <v/>
      </c>
      <c r="AA210" s="47">
        <f>AA209/SUM(AA208:AA208)</f>
        <v/>
      </c>
      <c r="AB210" s="47">
        <f>AB209/SUM(AB208:AB208)</f>
        <v/>
      </c>
      <c r="AC210" s="47">
        <f>AC209/SUM(AC208:AC208)</f>
        <v/>
      </c>
      <c r="AD210" s="47">
        <f>AD209/SUM(AD208:AD208)</f>
        <v/>
      </c>
      <c r="AE210" s="47">
        <f>AE209/SUM(AE208:AE208)</f>
        <v/>
      </c>
      <c r="AF210" s="47">
        <f>AF209/SUM(AF208:AF208)</f>
        <v/>
      </c>
    </row>
    <row r="211"/>
    <row r="212">
      <c r="C212" t="inlineStr">
        <is>
          <t>aeo</t>
        </is>
      </c>
      <c r="E212" t="inlineStr">
        <is>
          <t>LPG propane or butane (BTU)</t>
        </is>
      </c>
      <c r="F212">
        <f>Table_4._Residential_Sector_Key!F58*quadrillion</f>
        <v/>
      </c>
      <c r="G212">
        <f>Table_4._Residential_Sector_Key!G58*quadrillion</f>
        <v/>
      </c>
      <c r="H212">
        <f>Table_4._Residential_Sector_Key!H58*quadrillion</f>
        <v/>
      </c>
      <c r="I212">
        <f>Table_4._Residential_Sector_Key!I58*quadrillion</f>
        <v/>
      </c>
      <c r="J212">
        <f>Table_4._Residential_Sector_Key!J58*quadrillion</f>
        <v/>
      </c>
      <c r="K212">
        <f>Table_4._Residential_Sector_Key!K58*quadrillion</f>
        <v/>
      </c>
      <c r="L212">
        <f>Table_4._Residential_Sector_Key!L58*quadrillion</f>
        <v/>
      </c>
      <c r="M212">
        <f>Table_4._Residential_Sector_Key!M58*quadrillion</f>
        <v/>
      </c>
      <c r="N212">
        <f>Table_4._Residential_Sector_Key!N58*quadrillion</f>
        <v/>
      </c>
      <c r="O212">
        <f>Table_4._Residential_Sector_Key!O58*quadrillion</f>
        <v/>
      </c>
      <c r="P212">
        <f>Table_4._Residential_Sector_Key!P58*quadrillion</f>
        <v/>
      </c>
      <c r="Q212">
        <f>Table_4._Residential_Sector_Key!Q58*quadrillion</f>
        <v/>
      </c>
      <c r="R212">
        <f>Table_4._Residential_Sector_Key!R58*quadrillion</f>
        <v/>
      </c>
      <c r="S212">
        <f>Table_4._Residential_Sector_Key!S58*quadrillion</f>
        <v/>
      </c>
      <c r="T212">
        <f>Table_4._Residential_Sector_Key!T58*quadrillion</f>
        <v/>
      </c>
      <c r="U212">
        <f>Table_4._Residential_Sector_Key!U58*quadrillion</f>
        <v/>
      </c>
      <c r="V212">
        <f>Table_4._Residential_Sector_Key!V58*quadrillion</f>
        <v/>
      </c>
      <c r="W212">
        <f>Table_4._Residential_Sector_Key!W58*quadrillion</f>
        <v/>
      </c>
      <c r="X212">
        <f>Table_4._Residential_Sector_Key!X58*quadrillion</f>
        <v/>
      </c>
      <c r="Y212">
        <f>Table_4._Residential_Sector_Key!Y58*quadrillion</f>
        <v/>
      </c>
      <c r="Z212">
        <f>Table_4._Residential_Sector_Key!Z58*quadrillion</f>
        <v/>
      </c>
      <c r="AA212">
        <f>Table_4._Residential_Sector_Key!AA58*quadrillion</f>
        <v/>
      </c>
      <c r="AB212">
        <f>Table_4._Residential_Sector_Key!AB58*quadrillion</f>
        <v/>
      </c>
      <c r="AC212">
        <f>Table_4._Residential_Sector_Key!AC58*quadrillion</f>
        <v/>
      </c>
      <c r="AD212">
        <f>Table_4._Residential_Sector_Key!AD58*quadrillion</f>
        <v/>
      </c>
      <c r="AE212">
        <f>Table_4._Residential_Sector_Key!AE58*quadrillion</f>
        <v/>
      </c>
      <c r="AF212">
        <f>Table_4._Residential_Sector_Key!AF58*quadrillion</f>
        <v/>
      </c>
    </row>
    <row r="213">
      <c r="C213" t="inlineStr">
        <is>
          <t>eps</t>
        </is>
      </c>
      <c r="D213" t="inlineStr">
        <is>
          <t>residential</t>
        </is>
      </c>
      <c r="E213" t="inlineStr">
        <is>
          <t>LPG propane or butane (BTU)</t>
        </is>
      </c>
      <c r="F213">
        <f>SUMIFS(F$5:F$196,$C$5:$C$196,$D213,$E$5:$E$196,$E213)</f>
        <v/>
      </c>
      <c r="G213">
        <f>SUMIFS(G$5:G$196,$C$5:$C$196,$D213,$E$5:$E$196,$E213)</f>
        <v/>
      </c>
      <c r="H213">
        <f>SUMIFS(H$5:H$196,$C$5:$C$196,$D213,$E$5:$E$196,$E213)</f>
        <v/>
      </c>
      <c r="I213">
        <f>SUMIFS(I$5:I$196,$C$5:$C$196,$D213,$E$5:$E$196,$E213)</f>
        <v/>
      </c>
      <c r="J213">
        <f>SUMIFS(J$5:J$196,$C$5:$C$196,$D213,$E$5:$E$196,$E213)</f>
        <v/>
      </c>
      <c r="K213">
        <f>SUMIFS(K$5:K$196,$C$5:$C$196,$D213,$E$5:$E$196,$E213)</f>
        <v/>
      </c>
      <c r="L213">
        <f>SUMIFS(L$5:L$196,$C$5:$C$196,$D213,$E$5:$E$196,$E213)</f>
        <v/>
      </c>
      <c r="M213">
        <f>SUMIFS(M$5:M$196,$C$5:$C$196,$D213,$E$5:$E$196,$E213)</f>
        <v/>
      </c>
      <c r="N213">
        <f>SUMIFS(N$5:N$196,$C$5:$C$196,$D213,$E$5:$E$196,$E213)</f>
        <v/>
      </c>
      <c r="O213">
        <f>SUMIFS(O$5:O$196,$C$5:$C$196,$D213,$E$5:$E$196,$E213)</f>
        <v/>
      </c>
      <c r="P213">
        <f>SUMIFS(P$5:P$196,$C$5:$C$196,$D213,$E$5:$E$196,$E213)</f>
        <v/>
      </c>
      <c r="Q213">
        <f>SUMIFS(Q$5:Q$196,$C$5:$C$196,$D213,$E$5:$E$196,$E213)</f>
        <v/>
      </c>
      <c r="R213">
        <f>SUMIFS(R$5:R$196,$C$5:$C$196,$D213,$E$5:$E$196,$E213)</f>
        <v/>
      </c>
      <c r="S213">
        <f>SUMIFS(S$5:S$196,$C$5:$C$196,$D213,$E$5:$E$196,$E213)</f>
        <v/>
      </c>
      <c r="T213">
        <f>SUMIFS(T$5:T$196,$C$5:$C$196,$D213,$E$5:$E$196,$E213)</f>
        <v/>
      </c>
      <c r="U213">
        <f>SUMIFS(U$5:U$196,$C$5:$C$196,$D213,$E$5:$E$196,$E213)</f>
        <v/>
      </c>
      <c r="V213">
        <f>SUMIFS(V$5:V$196,$C$5:$C$196,$D213,$E$5:$E$196,$E213)</f>
        <v/>
      </c>
      <c r="W213">
        <f>SUMIFS(W$5:W$196,$C$5:$C$196,$D213,$E$5:$E$196,$E213)</f>
        <v/>
      </c>
      <c r="X213">
        <f>SUMIFS(X$5:X$196,$C$5:$C$196,$D213,$E$5:$E$196,$E213)</f>
        <v/>
      </c>
      <c r="Y213">
        <f>SUMIFS(Y$5:Y$196,$C$5:$C$196,$D213,$E$5:$E$196,$E213)</f>
        <v/>
      </c>
      <c r="Z213">
        <f>SUMIFS(Z$5:Z$196,$C$5:$C$196,$D213,$E$5:$E$196,$E213)</f>
        <v/>
      </c>
      <c r="AA213">
        <f>SUMIFS(AA$5:AA$196,$C$5:$C$196,$D213,$E$5:$E$196,$E213)</f>
        <v/>
      </c>
      <c r="AB213">
        <f>SUMIFS(AB$5:AB$196,$C$5:$C$196,$D213,$E$5:$E$196,$E213)</f>
        <v/>
      </c>
      <c r="AC213">
        <f>SUMIFS(AC$5:AC$196,$C$5:$C$196,$D213,$E$5:$E$196,$E213)</f>
        <v/>
      </c>
      <c r="AD213">
        <f>SUMIFS(AD$5:AD$196,$C$5:$C$196,$D213,$E$5:$E$196,$E213)</f>
        <v/>
      </c>
      <c r="AE213">
        <f>SUMIFS(AE$5:AE$196,$C$5:$C$196,$D213,$E$5:$E$196,$E213)</f>
        <v/>
      </c>
      <c r="AF213">
        <f>SUMIFS(AF$5:AF$196,$C$5:$C$196,$D213,$E$5:$E$196,$E213)</f>
        <v/>
      </c>
    </row>
    <row r="214">
      <c r="F214" s="47">
        <f>F213/SUM(F212:F212)</f>
        <v/>
      </c>
      <c r="G214" s="47">
        <f>G213/SUM(G212:G212)</f>
        <v/>
      </c>
      <c r="H214" s="47">
        <f>H213/SUM(H212:H212)</f>
        <v/>
      </c>
      <c r="I214" s="47">
        <f>I213/SUM(I212:I212)</f>
        <v/>
      </c>
      <c r="J214" s="47">
        <f>J213/SUM(J212:J212)</f>
        <v/>
      </c>
      <c r="K214" s="47">
        <f>K213/SUM(K212:K212)</f>
        <v/>
      </c>
      <c r="L214" s="47">
        <f>L213/SUM(L212:L212)</f>
        <v/>
      </c>
      <c r="M214" s="47">
        <f>M213/SUM(M212:M212)</f>
        <v/>
      </c>
      <c r="N214" s="47">
        <f>N213/SUM(N212:N212)</f>
        <v/>
      </c>
      <c r="O214" s="47">
        <f>O213/SUM(O212:O212)</f>
        <v/>
      </c>
      <c r="P214" s="47">
        <f>P213/SUM(P212:P212)</f>
        <v/>
      </c>
      <c r="Q214" s="47">
        <f>Q213/SUM(Q212:Q212)</f>
        <v/>
      </c>
      <c r="R214" s="47">
        <f>R213/SUM(R212:R212)</f>
        <v/>
      </c>
      <c r="S214" s="47">
        <f>S213/SUM(S212:S212)</f>
        <v/>
      </c>
      <c r="T214" s="47">
        <f>T213/SUM(T212:T212)</f>
        <v/>
      </c>
      <c r="U214" s="47">
        <f>U213/SUM(U212:U212)</f>
        <v/>
      </c>
      <c r="V214" s="47">
        <f>V213/SUM(V212:V212)</f>
        <v/>
      </c>
      <c r="W214" s="47">
        <f>W213/SUM(W212:W212)</f>
        <v/>
      </c>
      <c r="X214" s="47">
        <f>X213/SUM(X212:X212)</f>
        <v/>
      </c>
      <c r="Y214" s="47">
        <f>Y213/SUM(Y212:Y212)</f>
        <v/>
      </c>
      <c r="Z214" s="47">
        <f>Z213/SUM(Z212:Z212)</f>
        <v/>
      </c>
      <c r="AA214" s="47">
        <f>AA213/SUM(AA212:AA212)</f>
        <v/>
      </c>
      <c r="AB214" s="47">
        <f>AB213/SUM(AB212:AB212)</f>
        <v/>
      </c>
      <c r="AC214" s="47">
        <f>AC213/SUM(AC212:AC212)</f>
        <v/>
      </c>
      <c r="AD214" s="47">
        <f>AD213/SUM(AD212:AD212)</f>
        <v/>
      </c>
      <c r="AE214" s="47">
        <f>AE213/SUM(AE212:AE212)</f>
        <v/>
      </c>
      <c r="AF214" s="47">
        <f>AF213/SUM(AF212:AF212)</f>
        <v/>
      </c>
    </row>
    <row r="215"/>
    <row r="216">
      <c r="C216" t="inlineStr">
        <is>
          <t>aeo</t>
        </is>
      </c>
      <c r="E216" t="inlineStr">
        <is>
          <t>biomass (BTU)</t>
        </is>
      </c>
      <c r="F216">
        <f>Table_4._Residential_Sector_Key!F59*quadrillion</f>
        <v/>
      </c>
      <c r="G216">
        <f>Table_4._Residential_Sector_Key!G59*quadrillion</f>
        <v/>
      </c>
      <c r="H216">
        <f>Table_4._Residential_Sector_Key!H59*quadrillion</f>
        <v/>
      </c>
      <c r="I216">
        <f>Table_4._Residential_Sector_Key!I59*quadrillion</f>
        <v/>
      </c>
      <c r="J216">
        <f>Table_4._Residential_Sector_Key!J59*quadrillion</f>
        <v/>
      </c>
      <c r="K216">
        <f>Table_4._Residential_Sector_Key!K59*quadrillion</f>
        <v/>
      </c>
      <c r="L216">
        <f>Table_4._Residential_Sector_Key!L59*quadrillion</f>
        <v/>
      </c>
      <c r="M216">
        <f>Table_4._Residential_Sector_Key!M59*quadrillion</f>
        <v/>
      </c>
      <c r="N216">
        <f>Table_4._Residential_Sector_Key!N59*quadrillion</f>
        <v/>
      </c>
      <c r="O216">
        <f>Table_4._Residential_Sector_Key!O59*quadrillion</f>
        <v/>
      </c>
      <c r="P216">
        <f>Table_4._Residential_Sector_Key!P59*quadrillion</f>
        <v/>
      </c>
      <c r="Q216">
        <f>Table_4._Residential_Sector_Key!Q59*quadrillion</f>
        <v/>
      </c>
      <c r="R216">
        <f>Table_4._Residential_Sector_Key!R59*quadrillion</f>
        <v/>
      </c>
      <c r="S216">
        <f>Table_4._Residential_Sector_Key!S59*quadrillion</f>
        <v/>
      </c>
      <c r="T216">
        <f>Table_4._Residential_Sector_Key!T59*quadrillion</f>
        <v/>
      </c>
      <c r="U216">
        <f>Table_4._Residential_Sector_Key!U59*quadrillion</f>
        <v/>
      </c>
      <c r="V216">
        <f>Table_4._Residential_Sector_Key!V59*quadrillion</f>
        <v/>
      </c>
      <c r="W216">
        <f>Table_4._Residential_Sector_Key!W59*quadrillion</f>
        <v/>
      </c>
      <c r="X216">
        <f>Table_4._Residential_Sector_Key!X59*quadrillion</f>
        <v/>
      </c>
      <c r="Y216">
        <f>Table_4._Residential_Sector_Key!Y59*quadrillion</f>
        <v/>
      </c>
      <c r="Z216">
        <f>Table_4._Residential_Sector_Key!Z59*quadrillion</f>
        <v/>
      </c>
      <c r="AA216">
        <f>Table_4._Residential_Sector_Key!AA59*quadrillion</f>
        <v/>
      </c>
      <c r="AB216">
        <f>Table_4._Residential_Sector_Key!AB59*quadrillion</f>
        <v/>
      </c>
      <c r="AC216">
        <f>Table_4._Residential_Sector_Key!AC59*quadrillion</f>
        <v/>
      </c>
      <c r="AD216">
        <f>Table_4._Residential_Sector_Key!AD59*quadrillion</f>
        <v/>
      </c>
      <c r="AE216">
        <f>Table_4._Residential_Sector_Key!AE59*quadrillion</f>
        <v/>
      </c>
      <c r="AF216">
        <f>Table_4._Residential_Sector_Key!AF59*quadrillion</f>
        <v/>
      </c>
    </row>
    <row r="217">
      <c r="C217" t="inlineStr">
        <is>
          <t>eps</t>
        </is>
      </c>
      <c r="D217" t="inlineStr">
        <is>
          <t>residential</t>
        </is>
      </c>
      <c r="E217" t="inlineStr">
        <is>
          <t>biomass (BTU)</t>
        </is>
      </c>
      <c r="F217">
        <f>SUMIFS(F$5:F$196,$C$5:$C$196,$D217,$E$5:$E$196,$E217)</f>
        <v/>
      </c>
      <c r="G217">
        <f>SUMIFS(G$5:G$196,$C$5:$C$196,$D217,$E$5:$E$196,$E217)</f>
        <v/>
      </c>
      <c r="H217">
        <f>SUMIFS(H$5:H$196,$C$5:$C$196,$D217,$E$5:$E$196,$E217)</f>
        <v/>
      </c>
      <c r="I217">
        <f>SUMIFS(I$5:I$196,$C$5:$C$196,$D217,$E$5:$E$196,$E217)</f>
        <v/>
      </c>
      <c r="J217">
        <f>SUMIFS(J$5:J$196,$C$5:$C$196,$D217,$E$5:$E$196,$E217)</f>
        <v/>
      </c>
      <c r="K217">
        <f>SUMIFS(K$5:K$196,$C$5:$C$196,$D217,$E$5:$E$196,$E217)</f>
        <v/>
      </c>
      <c r="L217">
        <f>SUMIFS(L$5:L$196,$C$5:$C$196,$D217,$E$5:$E$196,$E217)</f>
        <v/>
      </c>
      <c r="M217">
        <f>SUMIFS(M$5:M$196,$C$5:$C$196,$D217,$E$5:$E$196,$E217)</f>
        <v/>
      </c>
      <c r="N217">
        <f>SUMIFS(N$5:N$196,$C$5:$C$196,$D217,$E$5:$E$196,$E217)</f>
        <v/>
      </c>
      <c r="O217">
        <f>SUMIFS(O$5:O$196,$C$5:$C$196,$D217,$E$5:$E$196,$E217)</f>
        <v/>
      </c>
      <c r="P217">
        <f>SUMIFS(P$5:P$196,$C$5:$C$196,$D217,$E$5:$E$196,$E217)</f>
        <v/>
      </c>
      <c r="Q217">
        <f>SUMIFS(Q$5:Q$196,$C$5:$C$196,$D217,$E$5:$E$196,$E217)</f>
        <v/>
      </c>
      <c r="R217">
        <f>SUMIFS(R$5:R$196,$C$5:$C$196,$D217,$E$5:$E$196,$E217)</f>
        <v/>
      </c>
      <c r="S217">
        <f>SUMIFS(S$5:S$196,$C$5:$C$196,$D217,$E$5:$E$196,$E217)</f>
        <v/>
      </c>
      <c r="T217">
        <f>SUMIFS(T$5:T$196,$C$5:$C$196,$D217,$E$5:$E$196,$E217)</f>
        <v/>
      </c>
      <c r="U217">
        <f>SUMIFS(U$5:U$196,$C$5:$C$196,$D217,$E$5:$E$196,$E217)</f>
        <v/>
      </c>
      <c r="V217">
        <f>SUMIFS(V$5:V$196,$C$5:$C$196,$D217,$E$5:$E$196,$E217)</f>
        <v/>
      </c>
      <c r="W217">
        <f>SUMIFS(W$5:W$196,$C$5:$C$196,$D217,$E$5:$E$196,$E217)</f>
        <v/>
      </c>
      <c r="X217">
        <f>SUMIFS(X$5:X$196,$C$5:$C$196,$D217,$E$5:$E$196,$E217)</f>
        <v/>
      </c>
      <c r="Y217">
        <f>SUMIFS(Y$5:Y$196,$C$5:$C$196,$D217,$E$5:$E$196,$E217)</f>
        <v/>
      </c>
      <c r="Z217">
        <f>SUMIFS(Z$5:Z$196,$C$5:$C$196,$D217,$E$5:$E$196,$E217)</f>
        <v/>
      </c>
      <c r="AA217">
        <f>SUMIFS(AA$5:AA$196,$C$5:$C$196,$D217,$E$5:$E$196,$E217)</f>
        <v/>
      </c>
      <c r="AB217">
        <f>SUMIFS(AB$5:AB$196,$C$5:$C$196,$D217,$E$5:$E$196,$E217)</f>
        <v/>
      </c>
      <c r="AC217">
        <f>SUMIFS(AC$5:AC$196,$C$5:$C$196,$D217,$E$5:$E$196,$E217)</f>
        <v/>
      </c>
      <c r="AD217">
        <f>SUMIFS(AD$5:AD$196,$C$5:$C$196,$D217,$E$5:$E$196,$E217)</f>
        <v/>
      </c>
      <c r="AE217">
        <f>SUMIFS(AE$5:AE$196,$C$5:$C$196,$D217,$E$5:$E$196,$E217)</f>
        <v/>
      </c>
      <c r="AF217">
        <f>SUMIFS(AF$5:AF$196,$C$5:$C$196,$D217,$E$5:$E$196,$E217)</f>
        <v/>
      </c>
    </row>
    <row r="218">
      <c r="F218" s="47">
        <f>F217/SUM(F216:F216)</f>
        <v/>
      </c>
      <c r="G218" s="47">
        <f>G217/SUM(G216:G216)</f>
        <v/>
      </c>
      <c r="H218" s="47">
        <f>H217/SUM(H216:H216)</f>
        <v/>
      </c>
      <c r="I218" s="47">
        <f>I217/SUM(I216:I216)</f>
        <v/>
      </c>
      <c r="J218" s="47">
        <f>J217/SUM(J216:J216)</f>
        <v/>
      </c>
      <c r="K218" s="47">
        <f>K217/SUM(K216:K216)</f>
        <v/>
      </c>
      <c r="L218" s="47">
        <f>L217/SUM(L216:L216)</f>
        <v/>
      </c>
      <c r="M218" s="47">
        <f>M217/SUM(M216:M216)</f>
        <v/>
      </c>
      <c r="N218" s="47">
        <f>N217/SUM(N216:N216)</f>
        <v/>
      </c>
      <c r="O218" s="47">
        <f>O217/SUM(O216:O216)</f>
        <v/>
      </c>
      <c r="P218" s="47">
        <f>P217/SUM(P216:P216)</f>
        <v/>
      </c>
      <c r="Q218" s="47">
        <f>Q217/SUM(Q216:Q216)</f>
        <v/>
      </c>
      <c r="R218" s="47">
        <f>R217/SUM(R216:R216)</f>
        <v/>
      </c>
      <c r="S218" s="47">
        <f>S217/SUM(S216:S216)</f>
        <v/>
      </c>
      <c r="T218" s="47">
        <f>T217/SUM(T216:T216)</f>
        <v/>
      </c>
      <c r="U218" s="47">
        <f>U217/SUM(U216:U216)</f>
        <v/>
      </c>
      <c r="V218" s="47">
        <f>V217/SUM(V216:V216)</f>
        <v/>
      </c>
      <c r="W218" s="47">
        <f>W217/SUM(W216:W216)</f>
        <v/>
      </c>
      <c r="X218" s="47">
        <f>X217/SUM(X216:X216)</f>
        <v/>
      </c>
      <c r="Y218" s="47">
        <f>Y217/SUM(Y216:Y216)</f>
        <v/>
      </c>
      <c r="Z218" s="47">
        <f>Z217/SUM(Z216:Z216)</f>
        <v/>
      </c>
      <c r="AA218" s="47">
        <f>AA217/SUM(AA216:AA216)</f>
        <v/>
      </c>
      <c r="AB218" s="47">
        <f>AB217/SUM(AB216:AB216)</f>
        <v/>
      </c>
      <c r="AC218" s="47">
        <f>AC217/SUM(AC216:AC216)</f>
        <v/>
      </c>
      <c r="AD218" s="47">
        <f>AD217/SUM(AD216:AD216)</f>
        <v/>
      </c>
      <c r="AE218" s="47">
        <f>AE217/SUM(AE216:AE216)</f>
        <v/>
      </c>
      <c r="AF218" s="47">
        <f>AF217/SUM(AF216:AF216)</f>
        <v/>
      </c>
    </row>
    <row r="219"/>
    <row r="220" customFormat="1" s="49">
      <c r="D220" s="49" t="inlineStr">
        <is>
          <t>COMMERCIAL CHECK</t>
        </is>
      </c>
    </row>
    <row r="221">
      <c r="C221" t="inlineStr">
        <is>
          <t>aeo</t>
        </is>
      </c>
      <c r="E221" t="inlineStr">
        <is>
          <t>electricity</t>
        </is>
      </c>
      <c r="F221">
        <f>'AEO 2025 Table 5'!F27*quadrillion</f>
        <v/>
      </c>
      <c r="G221">
        <f>'AEO 2026 Table 5'!E27*quadrillion</f>
        <v/>
      </c>
      <c r="H221">
        <f>'AEO 2026 Table 5'!F27*quadrillion</f>
        <v/>
      </c>
      <c r="I221">
        <f>'AEO 2026 Table 5'!G27*quadrillion</f>
        <v/>
      </c>
      <c r="J221">
        <f>'AEO 2026 Table 5'!H27*quadrillion</f>
        <v/>
      </c>
      <c r="K221">
        <f>'AEO 2026 Table 5'!I27*quadrillion</f>
        <v/>
      </c>
      <c r="L221">
        <f>'AEO 2026 Table 5'!J27*quadrillion</f>
        <v/>
      </c>
      <c r="M221">
        <f>'AEO 2026 Table 5'!K27*quadrillion</f>
        <v/>
      </c>
      <c r="N221">
        <f>'AEO 2026 Table 5'!L27*quadrillion</f>
        <v/>
      </c>
      <c r="O221">
        <f>'AEO 2026 Table 5'!M27*quadrillion</f>
        <v/>
      </c>
      <c r="P221">
        <f>'AEO 2026 Table 5'!N27*quadrillion</f>
        <v/>
      </c>
      <c r="Q221">
        <f>'AEO 2026 Table 5'!O27*quadrillion</f>
        <v/>
      </c>
      <c r="R221">
        <f>'AEO 2026 Table 5'!P27*quadrillion</f>
        <v/>
      </c>
      <c r="S221">
        <f>'AEO 2026 Table 5'!Q27*quadrillion</f>
        <v/>
      </c>
      <c r="T221">
        <f>'AEO 2026 Table 5'!R27*quadrillion</f>
        <v/>
      </c>
      <c r="U221">
        <f>'AEO 2026 Table 5'!S27*quadrillion</f>
        <v/>
      </c>
      <c r="V221">
        <f>'AEO 2026 Table 5'!T27*quadrillion</f>
        <v/>
      </c>
      <c r="W221">
        <f>'AEO 2026 Table 5'!U27*quadrillion</f>
        <v/>
      </c>
      <c r="X221">
        <f>'AEO 2026 Table 5'!V27*quadrillion</f>
        <v/>
      </c>
      <c r="Y221">
        <f>'AEO 2026 Table 5'!W27*quadrillion</f>
        <v/>
      </c>
      <c r="Z221">
        <f>'AEO 2026 Table 5'!X27*quadrillion</f>
        <v/>
      </c>
      <c r="AA221">
        <f>'AEO 2026 Table 5'!Y27*quadrillion</f>
        <v/>
      </c>
      <c r="AB221">
        <f>'AEO 2026 Table 5'!Z27*quadrillion</f>
        <v/>
      </c>
      <c r="AC221">
        <f>'AEO 2026 Table 5'!AA27*quadrillion</f>
        <v/>
      </c>
      <c r="AD221">
        <f>'AEO 2026 Table 5'!AB27*quadrillion</f>
        <v/>
      </c>
      <c r="AE221">
        <f>'AEO 2026 Table 5'!AC27*quadrillion</f>
        <v/>
      </c>
      <c r="AF221">
        <f>'AEO 2026 Table 5'!AD27*quadrillion</f>
        <v/>
      </c>
    </row>
    <row r="222">
      <c r="C222" t="inlineStr">
        <is>
          <t>DOE</t>
        </is>
      </c>
      <c r="E222" t="inlineStr">
        <is>
          <t>electricity</t>
        </is>
      </c>
      <c r="F222" t="n">
        <v>0</v>
      </c>
      <c r="G222" t="n">
        <v>0</v>
      </c>
      <c r="H222" t="n">
        <v>0</v>
      </c>
      <c r="I222" t="n">
        <v>0</v>
      </c>
      <c r="J222" t="n">
        <v>0</v>
      </c>
      <c r="K222" t="n">
        <v>0</v>
      </c>
      <c r="L222" t="n">
        <v>0</v>
      </c>
      <c r="M222" t="n">
        <v>0</v>
      </c>
      <c r="N222" t="n">
        <v>0</v>
      </c>
      <c r="O222" t="n">
        <v>0</v>
      </c>
      <c r="P222" t="n">
        <v>0</v>
      </c>
      <c r="Q222" t="n">
        <v>0</v>
      </c>
      <c r="R222" t="n">
        <v>0</v>
      </c>
      <c r="S222" t="n">
        <v>0</v>
      </c>
      <c r="T222" t="n">
        <v>0</v>
      </c>
      <c r="U222" t="n">
        <v>0</v>
      </c>
      <c r="V222" t="n">
        <v>0</v>
      </c>
      <c r="W222" t="n">
        <v>0</v>
      </c>
      <c r="X222" t="n">
        <v>0</v>
      </c>
      <c r="Y222" t="n">
        <v>0</v>
      </c>
      <c r="Z222" t="n">
        <v>0</v>
      </c>
      <c r="AA222" t="n">
        <v>0</v>
      </c>
      <c r="AB222" t="n">
        <v>0</v>
      </c>
      <c r="AC222" t="n">
        <v>0</v>
      </c>
      <c r="AD222" t="n">
        <v>0</v>
      </c>
      <c r="AE222" t="n">
        <v>0</v>
      </c>
      <c r="AF222" t="n">
        <v>0</v>
      </c>
    </row>
    <row r="223">
      <c r="C223" t="inlineStr">
        <is>
          <t>eps</t>
        </is>
      </c>
      <c r="D223" t="inlineStr">
        <is>
          <t>commercial</t>
        </is>
      </c>
      <c r="E223" t="inlineStr">
        <is>
          <t>electricity (BTU)</t>
        </is>
      </c>
      <c r="F223">
        <f>SUMIFS(F$5:F$196,$C$5:$C$196,$D223,$E$5:$E$196,$E223)</f>
        <v/>
      </c>
      <c r="G223">
        <f>SUMIFS(G$5:G$196,$C$5:$C$196,$D223,$E$5:$E$196,$E223)</f>
        <v/>
      </c>
      <c r="H223">
        <f>SUMIFS(H$5:H$196,$C$5:$C$196,$D223,$E$5:$E$196,$E223)</f>
        <v/>
      </c>
      <c r="I223">
        <f>SUMIFS(I$5:I$196,$C$5:$C$196,$D223,$E$5:$E$196,$E223)</f>
        <v/>
      </c>
      <c r="J223">
        <f>SUMIFS(J$5:J$196,$C$5:$C$196,$D223,$E$5:$E$196,$E223)</f>
        <v/>
      </c>
      <c r="K223">
        <f>SUMIFS(K$5:K$196,$C$5:$C$196,$D223,$E$5:$E$196,$E223)</f>
        <v/>
      </c>
      <c r="L223">
        <f>SUMIFS(L$5:L$196,$C$5:$C$196,$D223,$E$5:$E$196,$E223)</f>
        <v/>
      </c>
      <c r="M223">
        <f>SUMIFS(M$5:M$196,$C$5:$C$196,$D223,$E$5:$E$196,$E223)</f>
        <v/>
      </c>
      <c r="N223">
        <f>SUMIFS(N$5:N$196,$C$5:$C$196,$D223,$E$5:$E$196,$E223)</f>
        <v/>
      </c>
      <c r="O223">
        <f>SUMIFS(O$5:O$196,$C$5:$C$196,$D223,$E$5:$E$196,$E223)</f>
        <v/>
      </c>
      <c r="P223">
        <f>SUMIFS(P$5:P$196,$C$5:$C$196,$D223,$E$5:$E$196,$E223)</f>
        <v/>
      </c>
      <c r="Q223">
        <f>SUMIFS(Q$5:Q$196,$C$5:$C$196,$D223,$E$5:$E$196,$E223)</f>
        <v/>
      </c>
      <c r="R223">
        <f>SUMIFS(R$5:R$196,$C$5:$C$196,$D223,$E$5:$E$196,$E223)</f>
        <v/>
      </c>
      <c r="S223">
        <f>SUMIFS(S$5:S$196,$C$5:$C$196,$D223,$E$5:$E$196,$E223)</f>
        <v/>
      </c>
      <c r="T223">
        <f>SUMIFS(T$5:T$196,$C$5:$C$196,$D223,$E$5:$E$196,$E223)</f>
        <v/>
      </c>
      <c r="U223">
        <f>SUMIFS(U$5:U$196,$C$5:$C$196,$D223,$E$5:$E$196,$E223)</f>
        <v/>
      </c>
      <c r="V223">
        <f>SUMIFS(V$5:V$196,$C$5:$C$196,$D223,$E$5:$E$196,$E223)</f>
        <v/>
      </c>
      <c r="W223">
        <f>SUMIFS(W$5:W$196,$C$5:$C$196,$D223,$E$5:$E$196,$E223)</f>
        <v/>
      </c>
      <c r="X223">
        <f>SUMIFS(X$5:X$196,$C$5:$C$196,$D223,$E$5:$E$196,$E223)</f>
        <v/>
      </c>
      <c r="Y223">
        <f>SUMIFS(Y$5:Y$196,$C$5:$C$196,$D223,$E$5:$E$196,$E223)</f>
        <v/>
      </c>
      <c r="Z223">
        <f>SUMIFS(Z$5:Z$196,$C$5:$C$196,$D223,$E$5:$E$196,$E223)</f>
        <v/>
      </c>
      <c r="AA223">
        <f>SUMIFS(AA$5:AA$196,$C$5:$C$196,$D223,$E$5:$E$196,$E223)</f>
        <v/>
      </c>
      <c r="AB223">
        <f>SUMIFS(AB$5:AB$196,$C$5:$C$196,$D223,$E$5:$E$196,$E223)</f>
        <v/>
      </c>
      <c r="AC223">
        <f>SUMIFS(AC$5:AC$196,$C$5:$C$196,$D223,$E$5:$E$196,$E223)</f>
        <v/>
      </c>
      <c r="AD223">
        <f>SUMIFS(AD$5:AD$196,$C$5:$C$196,$D223,$E$5:$E$196,$E223)</f>
        <v/>
      </c>
      <c r="AE223">
        <f>SUMIFS(AE$5:AE$196,$C$5:$C$196,$D223,$E$5:$E$196,$E223)</f>
        <v/>
      </c>
      <c r="AF223">
        <f>SUMIFS(AF$5:AF$196,$C$5:$C$196,$D223,$E$5:$E$196,$E223)</f>
        <v/>
      </c>
    </row>
    <row r="224">
      <c r="F224" s="47">
        <f>F223/SUM(F221:F222)</f>
        <v/>
      </c>
      <c r="G224" s="47">
        <f>G223/SUM(G221:G222)</f>
        <v/>
      </c>
      <c r="H224" s="47">
        <f>H223/SUM(H221:H222)</f>
        <v/>
      </c>
      <c r="I224" s="47">
        <f>I223/SUM(I221:I222)</f>
        <v/>
      </c>
      <c r="J224" s="47">
        <f>J223/SUM(J221:J222)</f>
        <v/>
      </c>
      <c r="K224" s="47">
        <f>K223/SUM(K221:K222)</f>
        <v/>
      </c>
      <c r="L224" s="47">
        <f>L223/SUM(L221:L222)</f>
        <v/>
      </c>
      <c r="M224" s="47">
        <f>M223/SUM(M221:M222)</f>
        <v/>
      </c>
      <c r="N224" s="47">
        <f>N223/SUM(N221:N222)</f>
        <v/>
      </c>
      <c r="O224" s="47">
        <f>O223/SUM(O221:O222)</f>
        <v/>
      </c>
      <c r="P224" s="47">
        <f>P223/SUM(P221:P222)</f>
        <v/>
      </c>
      <c r="Q224" s="47">
        <f>Q223/SUM(Q221:Q222)</f>
        <v/>
      </c>
      <c r="R224" s="47">
        <f>R223/SUM(R221:R222)</f>
        <v/>
      </c>
      <c r="S224" s="47">
        <f>S223/SUM(S221:S222)</f>
        <v/>
      </c>
      <c r="T224" s="47">
        <f>T223/SUM(T221:T222)</f>
        <v/>
      </c>
      <c r="U224" s="47">
        <f>U223/SUM(U221:U222)</f>
        <v/>
      </c>
      <c r="V224" s="47">
        <f>V223/SUM(V221:V222)</f>
        <v/>
      </c>
      <c r="W224" s="47">
        <f>W223/SUM(W221:W222)</f>
        <v/>
      </c>
      <c r="X224" s="47">
        <f>X223/SUM(X221:X222)</f>
        <v/>
      </c>
      <c r="Y224" s="47">
        <f>Y223/SUM(Y221:Y222)</f>
        <v/>
      </c>
      <c r="Z224" s="47">
        <f>Z223/SUM(Z221:Z222)</f>
        <v/>
      </c>
      <c r="AA224" s="47">
        <f>AA223/SUM(AA221:AA222)</f>
        <v/>
      </c>
      <c r="AB224" s="47">
        <f>AB223/SUM(AB221:AB222)</f>
        <v/>
      </c>
      <c r="AC224" s="47">
        <f>AC223/SUM(AC221:AC222)</f>
        <v/>
      </c>
      <c r="AD224" s="47">
        <f>AD223/SUM(AD221:AD222)</f>
        <v/>
      </c>
      <c r="AE224" s="47">
        <f>AE223/SUM(AE221:AE222)</f>
        <v/>
      </c>
      <c r="AF224" s="47">
        <f>AF223/SUM(AF221:AF222)</f>
        <v/>
      </c>
    </row>
    <row r="225">
      <c r="F225" s="13" t="n"/>
      <c r="G225" s="13" t="n"/>
      <c r="H225" s="13" t="n"/>
      <c r="I225" s="13" t="n"/>
      <c r="J225" s="13" t="n"/>
      <c r="K225" s="13" t="n"/>
      <c r="L225" s="13" t="n"/>
      <c r="M225" s="13" t="n"/>
      <c r="N225" s="13" t="n"/>
      <c r="O225" s="13" t="n"/>
      <c r="P225" s="13" t="n"/>
      <c r="Q225" s="13" t="n"/>
      <c r="R225" s="13" t="n"/>
      <c r="S225" s="13" t="n"/>
      <c r="T225" s="13" t="n"/>
      <c r="U225" s="13" t="n"/>
      <c r="V225" s="13" t="n"/>
      <c r="W225" s="13" t="n"/>
      <c r="X225" s="13" t="n"/>
      <c r="Y225" s="13" t="n"/>
      <c r="Z225" s="13" t="n"/>
      <c r="AA225" s="13" t="n"/>
      <c r="AB225" s="13" t="n"/>
      <c r="AC225" s="13" t="n"/>
      <c r="AD225" s="13" t="n"/>
      <c r="AE225" s="13" t="n"/>
      <c r="AF225" s="13" t="n"/>
    </row>
    <row r="226">
      <c r="C226" t="inlineStr">
        <is>
          <t>aeo</t>
        </is>
      </c>
      <c r="E226" t="inlineStr">
        <is>
          <t>natural gas (BTU)</t>
        </is>
      </c>
      <c r="F226">
        <f>'AEO 2025 Table 5'!F37*quadrillion</f>
        <v/>
      </c>
      <c r="G226">
        <f>'AEO 2026 Table 5'!E37*quadrillion</f>
        <v/>
      </c>
      <c r="H226">
        <f>'AEO 2026 Table 5'!F37*quadrillion</f>
        <v/>
      </c>
      <c r="I226">
        <f>'AEO 2026 Table 5'!G37*quadrillion</f>
        <v/>
      </c>
      <c r="J226">
        <f>'AEO 2026 Table 5'!H37*quadrillion</f>
        <v/>
      </c>
      <c r="K226">
        <f>'AEO 2026 Table 5'!I37*quadrillion</f>
        <v/>
      </c>
      <c r="L226">
        <f>'AEO 2026 Table 5'!J37*quadrillion</f>
        <v/>
      </c>
      <c r="M226">
        <f>'AEO 2026 Table 5'!K37*quadrillion</f>
        <v/>
      </c>
      <c r="N226">
        <f>'AEO 2026 Table 5'!L37*quadrillion</f>
        <v/>
      </c>
      <c r="O226">
        <f>'AEO 2026 Table 5'!M37*quadrillion</f>
        <v/>
      </c>
      <c r="P226">
        <f>'AEO 2026 Table 5'!N37*quadrillion</f>
        <v/>
      </c>
      <c r="Q226">
        <f>'AEO 2026 Table 5'!O37*quadrillion</f>
        <v/>
      </c>
      <c r="R226">
        <f>'AEO 2026 Table 5'!P37*quadrillion</f>
        <v/>
      </c>
      <c r="S226">
        <f>'AEO 2026 Table 5'!Q37*quadrillion</f>
        <v/>
      </c>
      <c r="T226">
        <f>'AEO 2026 Table 5'!R37*quadrillion</f>
        <v/>
      </c>
      <c r="U226">
        <f>'AEO 2026 Table 5'!S37*quadrillion</f>
        <v/>
      </c>
      <c r="V226">
        <f>'AEO 2026 Table 5'!T37*quadrillion</f>
        <v/>
      </c>
      <c r="W226">
        <f>'AEO 2026 Table 5'!U37*quadrillion</f>
        <v/>
      </c>
      <c r="X226">
        <f>'AEO 2026 Table 5'!V37*quadrillion</f>
        <v/>
      </c>
      <c r="Y226">
        <f>'AEO 2026 Table 5'!W37*quadrillion</f>
        <v/>
      </c>
      <c r="Z226">
        <f>'AEO 2026 Table 5'!X37*quadrillion</f>
        <v/>
      </c>
      <c r="AA226">
        <f>'AEO 2026 Table 5'!Y37*quadrillion</f>
        <v/>
      </c>
      <c r="AB226">
        <f>'AEO 2026 Table 5'!Z37*quadrillion</f>
        <v/>
      </c>
      <c r="AC226">
        <f>'AEO 2026 Table 5'!AA37*quadrillion</f>
        <v/>
      </c>
      <c r="AD226">
        <f>'AEO 2026 Table 5'!AB37*quadrillion</f>
        <v/>
      </c>
      <c r="AE226">
        <f>'AEO 2026 Table 5'!AC37*quadrillion</f>
        <v/>
      </c>
      <c r="AF226">
        <f>'AEO 2026 Table 5'!AD37*quadrillion</f>
        <v/>
      </c>
    </row>
    <row r="227">
      <c r="C227" t="inlineStr">
        <is>
          <t>eps</t>
        </is>
      </c>
      <c r="D227" t="inlineStr">
        <is>
          <t>commercial</t>
        </is>
      </c>
      <c r="E227" t="inlineStr">
        <is>
          <t>natural gas (BTU)</t>
        </is>
      </c>
      <c r="F227">
        <f>SUMIFS(F$5:F$196,$C$5:$C$196,$D227,$E$5:$E$196,$E227)</f>
        <v/>
      </c>
      <c r="G227">
        <f>SUMIFS(G$5:G$196,$C$5:$C$196,$D227,$E$5:$E$196,$E227)</f>
        <v/>
      </c>
      <c r="H227">
        <f>SUMIFS(H$5:H$196,$C$5:$C$196,$D227,$E$5:$E$196,$E227)</f>
        <v/>
      </c>
      <c r="I227">
        <f>SUMIFS(I$5:I$196,$C$5:$C$196,$D227,$E$5:$E$196,$E227)</f>
        <v/>
      </c>
      <c r="J227">
        <f>SUMIFS(J$5:J$196,$C$5:$C$196,$D227,$E$5:$E$196,$E227)</f>
        <v/>
      </c>
      <c r="K227">
        <f>SUMIFS(K$5:K$196,$C$5:$C$196,$D227,$E$5:$E$196,$E227)</f>
        <v/>
      </c>
      <c r="L227">
        <f>SUMIFS(L$5:L$196,$C$5:$C$196,$D227,$E$5:$E$196,$E227)</f>
        <v/>
      </c>
      <c r="M227">
        <f>SUMIFS(M$5:M$196,$C$5:$C$196,$D227,$E$5:$E$196,$E227)</f>
        <v/>
      </c>
      <c r="N227">
        <f>SUMIFS(N$5:N$196,$C$5:$C$196,$D227,$E$5:$E$196,$E227)</f>
        <v/>
      </c>
      <c r="O227">
        <f>SUMIFS(O$5:O$196,$C$5:$C$196,$D227,$E$5:$E$196,$E227)</f>
        <v/>
      </c>
      <c r="P227">
        <f>SUMIFS(P$5:P$196,$C$5:$C$196,$D227,$E$5:$E$196,$E227)</f>
        <v/>
      </c>
      <c r="Q227">
        <f>SUMIFS(Q$5:Q$196,$C$5:$C$196,$D227,$E$5:$E$196,$E227)</f>
        <v/>
      </c>
      <c r="R227">
        <f>SUMIFS(R$5:R$196,$C$5:$C$196,$D227,$E$5:$E$196,$E227)</f>
        <v/>
      </c>
      <c r="S227">
        <f>SUMIFS(S$5:S$196,$C$5:$C$196,$D227,$E$5:$E$196,$E227)</f>
        <v/>
      </c>
      <c r="T227">
        <f>SUMIFS(T$5:T$196,$C$5:$C$196,$D227,$E$5:$E$196,$E227)</f>
        <v/>
      </c>
      <c r="U227">
        <f>SUMIFS(U$5:U$196,$C$5:$C$196,$D227,$E$5:$E$196,$E227)</f>
        <v/>
      </c>
      <c r="V227">
        <f>SUMIFS(V$5:V$196,$C$5:$C$196,$D227,$E$5:$E$196,$E227)</f>
        <v/>
      </c>
      <c r="W227">
        <f>SUMIFS(W$5:W$196,$C$5:$C$196,$D227,$E$5:$E$196,$E227)</f>
        <v/>
      </c>
      <c r="X227">
        <f>SUMIFS(X$5:X$196,$C$5:$C$196,$D227,$E$5:$E$196,$E227)</f>
        <v/>
      </c>
      <c r="Y227">
        <f>SUMIFS(Y$5:Y$196,$C$5:$C$196,$D227,$E$5:$E$196,$E227)</f>
        <v/>
      </c>
      <c r="Z227">
        <f>SUMIFS(Z$5:Z$196,$C$5:$C$196,$D227,$E$5:$E$196,$E227)</f>
        <v/>
      </c>
      <c r="AA227">
        <f>SUMIFS(AA$5:AA$196,$C$5:$C$196,$D227,$E$5:$E$196,$E227)</f>
        <v/>
      </c>
      <c r="AB227">
        <f>SUMIFS(AB$5:AB$196,$C$5:$C$196,$D227,$E$5:$E$196,$E227)</f>
        <v/>
      </c>
      <c r="AC227">
        <f>SUMIFS(AC$5:AC$196,$C$5:$C$196,$D227,$E$5:$E$196,$E227)</f>
        <v/>
      </c>
      <c r="AD227">
        <f>SUMIFS(AD$5:AD$196,$C$5:$C$196,$D227,$E$5:$E$196,$E227)</f>
        <v/>
      </c>
      <c r="AE227">
        <f>SUMIFS(AE$5:AE$196,$C$5:$C$196,$D227,$E$5:$E$196,$E227)</f>
        <v/>
      </c>
      <c r="AF227">
        <f>SUMIFS(AF$5:AF$196,$C$5:$C$196,$D227,$E$5:$E$196,$E227)</f>
        <v/>
      </c>
    </row>
    <row r="228">
      <c r="F228" s="47">
        <f>F227/SUM(F226:F226)</f>
        <v/>
      </c>
      <c r="G228" s="47">
        <f>G227/SUM(G226:G226)</f>
        <v/>
      </c>
      <c r="H228" s="47">
        <f>H227/SUM(H226:H226)</f>
        <v/>
      </c>
      <c r="I228" s="47">
        <f>I227/SUM(I226:I226)</f>
        <v/>
      </c>
      <c r="J228" s="47">
        <f>J227/SUM(J226:J226)</f>
        <v/>
      </c>
      <c r="K228" s="47">
        <f>K227/SUM(K226:K226)</f>
        <v/>
      </c>
      <c r="L228" s="47">
        <f>L227/SUM(L226:L226)</f>
        <v/>
      </c>
      <c r="M228" s="47">
        <f>M227/SUM(M226:M226)</f>
        <v/>
      </c>
      <c r="N228" s="47">
        <f>N227/SUM(N226:N226)</f>
        <v/>
      </c>
      <c r="O228" s="47">
        <f>O227/SUM(O226:O226)</f>
        <v/>
      </c>
      <c r="P228" s="47">
        <f>P227/SUM(P226:P226)</f>
        <v/>
      </c>
      <c r="Q228" s="47">
        <f>Q227/SUM(Q226:Q226)</f>
        <v/>
      </c>
      <c r="R228" s="47">
        <f>R227/SUM(R226:R226)</f>
        <v/>
      </c>
      <c r="S228" s="47">
        <f>S227/SUM(S226:S226)</f>
        <v/>
      </c>
      <c r="T228" s="47">
        <f>T227/SUM(T226:T226)</f>
        <v/>
      </c>
      <c r="U228" s="47">
        <f>U227/SUM(U226:U226)</f>
        <v/>
      </c>
      <c r="V228" s="47">
        <f>V227/SUM(V226:V226)</f>
        <v/>
      </c>
      <c r="W228" s="47">
        <f>W227/SUM(W226:W226)</f>
        <v/>
      </c>
      <c r="X228" s="47">
        <f>X227/SUM(X226:X226)</f>
        <v/>
      </c>
      <c r="Y228" s="47">
        <f>Y227/SUM(Y226:Y226)</f>
        <v/>
      </c>
      <c r="Z228" s="47">
        <f>Z227/SUM(Z226:Z226)</f>
        <v/>
      </c>
      <c r="AA228" s="47">
        <f>AA227/SUM(AA226:AA226)</f>
        <v/>
      </c>
      <c r="AB228" s="47">
        <f>AB227/SUM(AB226:AB226)</f>
        <v/>
      </c>
      <c r="AC228" s="47">
        <f>AC227/SUM(AC226:AC226)</f>
        <v/>
      </c>
      <c r="AD228" s="47">
        <f>AD227/SUM(AD226:AD226)</f>
        <v/>
      </c>
      <c r="AE228" s="47">
        <f>AE227/SUM(AE226:AE226)</f>
        <v/>
      </c>
      <c r="AF228" s="47">
        <f>AF227/SUM(AF226:AF226)</f>
        <v/>
      </c>
    </row>
    <row r="229"/>
    <row r="230">
      <c r="C230" t="inlineStr">
        <is>
          <t>aeo</t>
        </is>
      </c>
      <c r="E230" t="inlineStr">
        <is>
          <t>petroleum diesel (BTU)</t>
        </is>
      </c>
      <c r="F230">
        <f>'AEO 2025 Table 5'!F42*quadrillion</f>
        <v/>
      </c>
      <c r="G230">
        <f>'AEO 2026 Table 5'!E42*quadrillion</f>
        <v/>
      </c>
      <c r="H230">
        <f>'AEO 2026 Table 5'!F42*quadrillion</f>
        <v/>
      </c>
      <c r="I230">
        <f>'AEO 2026 Table 5'!G42*quadrillion</f>
        <v/>
      </c>
      <c r="J230">
        <f>'AEO 2026 Table 5'!H42*quadrillion</f>
        <v/>
      </c>
      <c r="K230">
        <f>'AEO 2026 Table 5'!I42*quadrillion</f>
        <v/>
      </c>
      <c r="L230">
        <f>'AEO 2026 Table 5'!J42*quadrillion</f>
        <v/>
      </c>
      <c r="M230">
        <f>'AEO 2026 Table 5'!K42*quadrillion</f>
        <v/>
      </c>
      <c r="N230">
        <f>'AEO 2026 Table 5'!L42*quadrillion</f>
        <v/>
      </c>
      <c r="O230">
        <f>'AEO 2026 Table 5'!M42*quadrillion</f>
        <v/>
      </c>
      <c r="P230">
        <f>'AEO 2026 Table 5'!N42*quadrillion</f>
        <v/>
      </c>
      <c r="Q230">
        <f>'AEO 2026 Table 5'!O42*quadrillion</f>
        <v/>
      </c>
      <c r="R230">
        <f>'AEO 2026 Table 5'!P42*quadrillion</f>
        <v/>
      </c>
      <c r="S230">
        <f>'AEO 2026 Table 5'!Q42*quadrillion</f>
        <v/>
      </c>
      <c r="T230">
        <f>'AEO 2026 Table 5'!R42*quadrillion</f>
        <v/>
      </c>
      <c r="U230">
        <f>'AEO 2026 Table 5'!S42*quadrillion</f>
        <v/>
      </c>
      <c r="V230">
        <f>'AEO 2026 Table 5'!T42*quadrillion</f>
        <v/>
      </c>
      <c r="W230">
        <f>'AEO 2026 Table 5'!U42*quadrillion</f>
        <v/>
      </c>
      <c r="X230">
        <f>'AEO 2026 Table 5'!V42*quadrillion</f>
        <v/>
      </c>
      <c r="Y230">
        <f>'AEO 2026 Table 5'!W42*quadrillion</f>
        <v/>
      </c>
      <c r="Z230">
        <f>'AEO 2026 Table 5'!X42*quadrillion</f>
        <v/>
      </c>
      <c r="AA230">
        <f>'AEO 2026 Table 5'!Y42*quadrillion</f>
        <v/>
      </c>
      <c r="AB230">
        <f>'AEO 2026 Table 5'!Z42*quadrillion</f>
        <v/>
      </c>
      <c r="AC230">
        <f>'AEO 2026 Table 5'!AA42*quadrillion</f>
        <v/>
      </c>
      <c r="AD230">
        <f>'AEO 2026 Table 5'!AB42*quadrillion</f>
        <v/>
      </c>
      <c r="AE230">
        <f>'AEO 2026 Table 5'!AC42*quadrillion</f>
        <v/>
      </c>
      <c r="AF230">
        <f>'AEO 2026 Table 5'!AD42*quadrillion</f>
        <v/>
      </c>
    </row>
    <row r="231">
      <c r="C231" t="inlineStr">
        <is>
          <t>eps</t>
        </is>
      </c>
      <c r="D231" t="inlineStr">
        <is>
          <t>commercial</t>
        </is>
      </c>
      <c r="E231" t="inlineStr">
        <is>
          <t>petroleum diesel (BTU)</t>
        </is>
      </c>
      <c r="F231">
        <f>SUMIFS(F$5:F$196,$C$5:$C$196,$D231,$E$5:$E$196,$E231)</f>
        <v/>
      </c>
      <c r="G231">
        <f>SUMIFS(G$5:G$196,$C$5:$C$196,$D231,$E$5:$E$196,$E231)</f>
        <v/>
      </c>
      <c r="H231">
        <f>SUMIFS(H$5:H$196,$C$5:$C$196,$D231,$E$5:$E$196,$E231)</f>
        <v/>
      </c>
      <c r="I231">
        <f>SUMIFS(I$5:I$196,$C$5:$C$196,$D231,$E$5:$E$196,$E231)</f>
        <v/>
      </c>
      <c r="J231">
        <f>SUMIFS(J$5:J$196,$C$5:$C$196,$D231,$E$5:$E$196,$E231)</f>
        <v/>
      </c>
      <c r="K231">
        <f>SUMIFS(K$5:K$196,$C$5:$C$196,$D231,$E$5:$E$196,$E231)</f>
        <v/>
      </c>
      <c r="L231">
        <f>SUMIFS(L$5:L$196,$C$5:$C$196,$D231,$E$5:$E$196,$E231)</f>
        <v/>
      </c>
      <c r="M231">
        <f>SUMIFS(M$5:M$196,$C$5:$C$196,$D231,$E$5:$E$196,$E231)</f>
        <v/>
      </c>
      <c r="N231">
        <f>SUMIFS(N$5:N$196,$C$5:$C$196,$D231,$E$5:$E$196,$E231)</f>
        <v/>
      </c>
      <c r="O231">
        <f>SUMIFS(O$5:O$196,$C$5:$C$196,$D231,$E$5:$E$196,$E231)</f>
        <v/>
      </c>
      <c r="P231">
        <f>SUMIFS(P$5:P$196,$C$5:$C$196,$D231,$E$5:$E$196,$E231)</f>
        <v/>
      </c>
      <c r="Q231">
        <f>SUMIFS(Q$5:Q$196,$C$5:$C$196,$D231,$E$5:$E$196,$E231)</f>
        <v/>
      </c>
      <c r="R231">
        <f>SUMIFS(R$5:R$196,$C$5:$C$196,$D231,$E$5:$E$196,$E231)</f>
        <v/>
      </c>
      <c r="S231">
        <f>SUMIFS(S$5:S$196,$C$5:$C$196,$D231,$E$5:$E$196,$E231)</f>
        <v/>
      </c>
      <c r="T231">
        <f>SUMIFS(T$5:T$196,$C$5:$C$196,$D231,$E$5:$E$196,$E231)</f>
        <v/>
      </c>
      <c r="U231">
        <f>SUMIFS(U$5:U$196,$C$5:$C$196,$D231,$E$5:$E$196,$E231)</f>
        <v/>
      </c>
      <c r="V231">
        <f>SUMIFS(V$5:V$196,$C$5:$C$196,$D231,$E$5:$E$196,$E231)</f>
        <v/>
      </c>
      <c r="W231">
        <f>SUMIFS(W$5:W$196,$C$5:$C$196,$D231,$E$5:$E$196,$E231)</f>
        <v/>
      </c>
      <c r="X231">
        <f>SUMIFS(X$5:X$196,$C$5:$C$196,$D231,$E$5:$E$196,$E231)</f>
        <v/>
      </c>
      <c r="Y231">
        <f>SUMIFS(Y$5:Y$196,$C$5:$C$196,$D231,$E$5:$E$196,$E231)</f>
        <v/>
      </c>
      <c r="Z231">
        <f>SUMIFS(Z$5:Z$196,$C$5:$C$196,$D231,$E$5:$E$196,$E231)</f>
        <v/>
      </c>
      <c r="AA231">
        <f>SUMIFS(AA$5:AA$196,$C$5:$C$196,$D231,$E$5:$E$196,$E231)</f>
        <v/>
      </c>
      <c r="AB231">
        <f>SUMIFS(AB$5:AB$196,$C$5:$C$196,$D231,$E$5:$E$196,$E231)</f>
        <v/>
      </c>
      <c r="AC231">
        <f>SUMIFS(AC$5:AC$196,$C$5:$C$196,$D231,$E$5:$E$196,$E231)</f>
        <v/>
      </c>
      <c r="AD231">
        <f>SUMIFS(AD$5:AD$196,$C$5:$C$196,$D231,$E$5:$E$196,$E231)</f>
        <v/>
      </c>
      <c r="AE231">
        <f>SUMIFS(AE$5:AE$196,$C$5:$C$196,$D231,$E$5:$E$196,$E231)</f>
        <v/>
      </c>
      <c r="AF231">
        <f>SUMIFS(AF$5:AF$196,$C$5:$C$196,$D231,$E$5:$E$196,$E231)</f>
        <v/>
      </c>
    </row>
    <row r="232">
      <c r="F232" s="47">
        <f>F231/SUM(F230:F230)</f>
        <v/>
      </c>
      <c r="G232" s="47">
        <f>G231/SUM(G230:G230)</f>
        <v/>
      </c>
      <c r="H232" s="47">
        <f>H231/SUM(H230:H230)</f>
        <v/>
      </c>
      <c r="I232" s="47">
        <f>I231/SUM(I230:I230)</f>
        <v/>
      </c>
      <c r="J232" s="47">
        <f>J231/SUM(J230:J230)</f>
        <v/>
      </c>
      <c r="K232" s="47">
        <f>K231/SUM(K230:K230)</f>
        <v/>
      </c>
      <c r="L232" s="47">
        <f>L231/SUM(L230:L230)</f>
        <v/>
      </c>
      <c r="M232" s="47">
        <f>M231/SUM(M230:M230)</f>
        <v/>
      </c>
      <c r="N232" s="47">
        <f>N231/SUM(N230:N230)</f>
        <v/>
      </c>
      <c r="O232" s="47">
        <f>O231/SUM(O230:O230)</f>
        <v/>
      </c>
      <c r="P232" s="47">
        <f>P231/SUM(P230:P230)</f>
        <v/>
      </c>
      <c r="Q232" s="47">
        <f>Q231/SUM(Q230:Q230)</f>
        <v/>
      </c>
      <c r="R232" s="47">
        <f>R231/SUM(R230:R230)</f>
        <v/>
      </c>
      <c r="S232" s="47">
        <f>S231/SUM(S230:S230)</f>
        <v/>
      </c>
      <c r="T232" s="47">
        <f>T231/SUM(T230:T230)</f>
        <v/>
      </c>
      <c r="U232" s="47">
        <f>U231/SUM(U230:U230)</f>
        <v/>
      </c>
      <c r="V232" s="47">
        <f>V231/SUM(V230:V230)</f>
        <v/>
      </c>
      <c r="W232" s="47">
        <f>W231/SUM(W230:W230)</f>
        <v/>
      </c>
      <c r="X232" s="47">
        <f>X231/SUM(X230:X230)</f>
        <v/>
      </c>
      <c r="Y232" s="47">
        <f>Y231/SUM(Y230:Y230)</f>
        <v/>
      </c>
      <c r="Z232" s="47">
        <f>Z231/SUM(Z230:Z230)</f>
        <v/>
      </c>
      <c r="AA232" s="47">
        <f>AA231/SUM(AA230:AA230)</f>
        <v/>
      </c>
      <c r="AB232" s="47">
        <f>AB231/SUM(AB230:AB230)</f>
        <v/>
      </c>
      <c r="AC232" s="47">
        <f>AC231/SUM(AC230:AC230)</f>
        <v/>
      </c>
      <c r="AD232" s="47">
        <f>AD231/SUM(AD230:AD230)</f>
        <v/>
      </c>
      <c r="AE232" s="47">
        <f>AE231/SUM(AE230:AE230)</f>
        <v/>
      </c>
      <c r="AF232" s="47">
        <f>AF231/SUM(AF230:AF230)</f>
        <v/>
      </c>
    </row>
    <row r="233"/>
    <row r="234">
      <c r="C234" t="inlineStr">
        <is>
          <t>aeo</t>
        </is>
      </c>
      <c r="E234" t="inlineStr">
        <is>
          <t>LPG propane or butane (BTU)</t>
        </is>
      </c>
      <c r="F234">
        <f>'AEO 2025 Table 5'!F44*(1-Fraction_coal)*quadrillion</f>
        <v/>
      </c>
      <c r="G234">
        <f>'AEO 2026 Table 5'!E44*(1-Fraction_coal)*quadrillion</f>
        <v/>
      </c>
      <c r="H234">
        <f>'AEO 2026 Table 5'!F44*(1-Fraction_coal)*quadrillion</f>
        <v/>
      </c>
      <c r="I234">
        <f>'AEO 2026 Table 5'!G44*(1-Fraction_coal)*quadrillion</f>
        <v/>
      </c>
      <c r="J234">
        <f>'AEO 2026 Table 5'!H44*(1-Fraction_coal)*quadrillion</f>
        <v/>
      </c>
      <c r="K234">
        <f>'AEO 2026 Table 5'!I44*(1-Fraction_coal)*quadrillion</f>
        <v/>
      </c>
      <c r="L234">
        <f>'AEO 2026 Table 5'!J44*(1-Fraction_coal)*quadrillion</f>
        <v/>
      </c>
      <c r="M234">
        <f>'AEO 2026 Table 5'!K44*(1-Fraction_coal)*quadrillion</f>
        <v/>
      </c>
      <c r="N234">
        <f>'AEO 2026 Table 5'!L44*(1-Fraction_coal)*quadrillion</f>
        <v/>
      </c>
      <c r="O234">
        <f>'AEO 2026 Table 5'!M44*(1-Fraction_coal)*quadrillion</f>
        <v/>
      </c>
      <c r="P234">
        <f>'AEO 2026 Table 5'!N44*(1-Fraction_coal)*quadrillion</f>
        <v/>
      </c>
      <c r="Q234">
        <f>'AEO 2026 Table 5'!O44*(1-Fraction_coal)*quadrillion</f>
        <v/>
      </c>
      <c r="R234">
        <f>'AEO 2026 Table 5'!P44*(1-Fraction_coal)*quadrillion</f>
        <v/>
      </c>
      <c r="S234">
        <f>'AEO 2026 Table 5'!Q44*(1-Fraction_coal)*quadrillion</f>
        <v/>
      </c>
      <c r="T234">
        <f>'AEO 2026 Table 5'!R44*(1-Fraction_coal)*quadrillion</f>
        <v/>
      </c>
      <c r="U234">
        <f>'AEO 2026 Table 5'!S44*(1-Fraction_coal)*quadrillion</f>
        <v/>
      </c>
      <c r="V234">
        <f>'AEO 2026 Table 5'!T44*(1-Fraction_coal)*quadrillion</f>
        <v/>
      </c>
      <c r="W234">
        <f>'AEO 2026 Table 5'!U44*(1-Fraction_coal)*quadrillion</f>
        <v/>
      </c>
      <c r="X234">
        <f>'AEO 2026 Table 5'!V44*(1-Fraction_coal)*quadrillion</f>
        <v/>
      </c>
      <c r="Y234">
        <f>'AEO 2026 Table 5'!W44*(1-Fraction_coal)*quadrillion</f>
        <v/>
      </c>
      <c r="Z234">
        <f>'AEO 2026 Table 5'!X44*(1-Fraction_coal)*quadrillion</f>
        <v/>
      </c>
      <c r="AA234">
        <f>'AEO 2026 Table 5'!Y44*(1-Fraction_coal)*quadrillion</f>
        <v/>
      </c>
      <c r="AB234">
        <f>'AEO 2026 Table 5'!Z44*(1-Fraction_coal)*quadrillion</f>
        <v/>
      </c>
      <c r="AC234">
        <f>'AEO 2026 Table 5'!AA44*(1-Fraction_coal)*quadrillion</f>
        <v/>
      </c>
      <c r="AD234">
        <f>'AEO 2026 Table 5'!AB44*(1-Fraction_coal)*quadrillion</f>
        <v/>
      </c>
      <c r="AE234">
        <f>'AEO 2026 Table 5'!AC44*(1-Fraction_coal)*quadrillion</f>
        <v/>
      </c>
      <c r="AF234">
        <f>'AEO 2026 Table 5'!AD44*(1-Fraction_coal)*quadrillion</f>
        <v/>
      </c>
    </row>
    <row r="235">
      <c r="C235" t="inlineStr">
        <is>
          <t>eps</t>
        </is>
      </c>
      <c r="D235" t="inlineStr">
        <is>
          <t>commercial</t>
        </is>
      </c>
      <c r="E235" t="inlineStr">
        <is>
          <t>LPG propane or butane (BTU)</t>
        </is>
      </c>
      <c r="F235">
        <f>SUMIFS(F$5:F$196,$C$5:$C$196,$D235,$E$5:$E$196,$E235)</f>
        <v/>
      </c>
      <c r="G235">
        <f>SUMIFS(G$5:G$196,$C$5:$C$196,$D235,$E$5:$E$196,$E235)</f>
        <v/>
      </c>
      <c r="H235">
        <f>SUMIFS(H$5:H$196,$C$5:$C$196,$D235,$E$5:$E$196,$E235)</f>
        <v/>
      </c>
      <c r="I235">
        <f>SUMIFS(I$5:I$196,$C$5:$C$196,$D235,$E$5:$E$196,$E235)</f>
        <v/>
      </c>
      <c r="J235">
        <f>SUMIFS(J$5:J$196,$C$5:$C$196,$D235,$E$5:$E$196,$E235)</f>
        <v/>
      </c>
      <c r="K235">
        <f>SUMIFS(K$5:K$196,$C$5:$C$196,$D235,$E$5:$E$196,$E235)</f>
        <v/>
      </c>
      <c r="L235">
        <f>SUMIFS(L$5:L$196,$C$5:$C$196,$D235,$E$5:$E$196,$E235)</f>
        <v/>
      </c>
      <c r="M235">
        <f>SUMIFS(M$5:M$196,$C$5:$C$196,$D235,$E$5:$E$196,$E235)</f>
        <v/>
      </c>
      <c r="N235">
        <f>SUMIFS(N$5:N$196,$C$5:$C$196,$D235,$E$5:$E$196,$E235)</f>
        <v/>
      </c>
      <c r="O235">
        <f>SUMIFS(O$5:O$196,$C$5:$C$196,$D235,$E$5:$E$196,$E235)</f>
        <v/>
      </c>
      <c r="P235">
        <f>SUMIFS(P$5:P$196,$C$5:$C$196,$D235,$E$5:$E$196,$E235)</f>
        <v/>
      </c>
      <c r="Q235">
        <f>SUMIFS(Q$5:Q$196,$C$5:$C$196,$D235,$E$5:$E$196,$E235)</f>
        <v/>
      </c>
      <c r="R235">
        <f>SUMIFS(R$5:R$196,$C$5:$C$196,$D235,$E$5:$E$196,$E235)</f>
        <v/>
      </c>
      <c r="S235">
        <f>SUMIFS(S$5:S$196,$C$5:$C$196,$D235,$E$5:$E$196,$E235)</f>
        <v/>
      </c>
      <c r="T235">
        <f>SUMIFS(T$5:T$196,$C$5:$C$196,$D235,$E$5:$E$196,$E235)</f>
        <v/>
      </c>
      <c r="U235">
        <f>SUMIFS(U$5:U$196,$C$5:$C$196,$D235,$E$5:$E$196,$E235)</f>
        <v/>
      </c>
      <c r="V235">
        <f>SUMIFS(V$5:V$196,$C$5:$C$196,$D235,$E$5:$E$196,$E235)</f>
        <v/>
      </c>
      <c r="W235">
        <f>SUMIFS(W$5:W$196,$C$5:$C$196,$D235,$E$5:$E$196,$E235)</f>
        <v/>
      </c>
      <c r="X235">
        <f>SUMIFS(X$5:X$196,$C$5:$C$196,$D235,$E$5:$E$196,$E235)</f>
        <v/>
      </c>
      <c r="Y235">
        <f>SUMIFS(Y$5:Y$196,$C$5:$C$196,$D235,$E$5:$E$196,$E235)</f>
        <v/>
      </c>
      <c r="Z235">
        <f>SUMIFS(Z$5:Z$196,$C$5:$C$196,$D235,$E$5:$E$196,$E235)</f>
        <v/>
      </c>
      <c r="AA235">
        <f>SUMIFS(AA$5:AA$196,$C$5:$C$196,$D235,$E$5:$E$196,$E235)</f>
        <v/>
      </c>
      <c r="AB235">
        <f>SUMIFS(AB$5:AB$196,$C$5:$C$196,$D235,$E$5:$E$196,$E235)</f>
        <v/>
      </c>
      <c r="AC235">
        <f>SUMIFS(AC$5:AC$196,$C$5:$C$196,$D235,$E$5:$E$196,$E235)</f>
        <v/>
      </c>
      <c r="AD235">
        <f>SUMIFS(AD$5:AD$196,$C$5:$C$196,$D235,$E$5:$E$196,$E235)</f>
        <v/>
      </c>
      <c r="AE235">
        <f>SUMIFS(AE$5:AE$196,$C$5:$C$196,$D235,$E$5:$E$196,$E235)</f>
        <v/>
      </c>
      <c r="AF235">
        <f>SUMIFS(AF$5:AF$196,$C$5:$C$196,$D235,$E$5:$E$196,$E235)</f>
        <v/>
      </c>
    </row>
    <row r="236">
      <c r="F236" s="47">
        <f>F235/SUM(F234:F234)</f>
        <v/>
      </c>
      <c r="G236" s="47">
        <f>G235/SUM(G234:G234)</f>
        <v/>
      </c>
      <c r="H236" s="47">
        <f>H235/SUM(H234:H234)</f>
        <v/>
      </c>
      <c r="I236" s="47">
        <f>I235/SUM(I234:I234)</f>
        <v/>
      </c>
      <c r="J236" s="47">
        <f>J235/SUM(J234:J234)</f>
        <v/>
      </c>
      <c r="K236" s="47">
        <f>K235/SUM(K234:K234)</f>
        <v/>
      </c>
      <c r="L236" s="47">
        <f>L235/SUM(L234:L234)</f>
        <v/>
      </c>
      <c r="M236" s="47">
        <f>M235/SUM(M234:M234)</f>
        <v/>
      </c>
      <c r="N236" s="47">
        <f>N235/SUM(N234:N234)</f>
        <v/>
      </c>
      <c r="O236" s="47">
        <f>O235/SUM(O234:O234)</f>
        <v/>
      </c>
      <c r="P236" s="47">
        <f>P235/SUM(P234:P234)</f>
        <v/>
      </c>
      <c r="Q236" s="47">
        <f>Q235/SUM(Q234:Q234)</f>
        <v/>
      </c>
      <c r="R236" s="47">
        <f>R235/SUM(R234:R234)</f>
        <v/>
      </c>
      <c r="S236" s="47">
        <f>S235/SUM(S234:S234)</f>
        <v/>
      </c>
      <c r="T236" s="47">
        <f>T235/SUM(T234:T234)</f>
        <v/>
      </c>
      <c r="U236" s="47">
        <f>U235/SUM(U234:U234)</f>
        <v/>
      </c>
      <c r="V236" s="47">
        <f>V235/SUM(V234:V234)</f>
        <v/>
      </c>
      <c r="W236" s="47">
        <f>W235/SUM(W234:W234)</f>
        <v/>
      </c>
      <c r="X236" s="47">
        <f>X235/SUM(X234:X234)</f>
        <v/>
      </c>
      <c r="Y236" s="47">
        <f>Y235/SUM(Y234:Y234)</f>
        <v/>
      </c>
      <c r="Z236" s="47">
        <f>Z235/SUM(Z234:Z234)</f>
        <v/>
      </c>
      <c r="AA236" s="47">
        <f>AA235/SUM(AA234:AA234)</f>
        <v/>
      </c>
      <c r="AB236" s="47">
        <f>AB235/SUM(AB234:AB234)</f>
        <v/>
      </c>
      <c r="AC236" s="47">
        <f>AC235/SUM(AC234:AC234)</f>
        <v/>
      </c>
      <c r="AD236" s="47">
        <f>AD235/SUM(AD234:AD234)</f>
        <v/>
      </c>
      <c r="AE236" s="47">
        <f>AE235/SUM(AE234:AE234)</f>
        <v/>
      </c>
      <c r="AF236" s="47">
        <f>AF235/SUM(AF234:AF234)</f>
        <v/>
      </c>
    </row>
    <row r="237"/>
    <row r="238">
      <c r="C238" t="inlineStr">
        <is>
          <t>aeo</t>
        </is>
      </c>
      <c r="E238" t="inlineStr">
        <is>
          <t>biomass (BTU)</t>
        </is>
      </c>
      <c r="F238">
        <f>'AEO 2025 Table 5'!F43*quadrillion</f>
        <v/>
      </c>
      <c r="G238">
        <f>'AEO 2026 Table 5'!E43*quadrillion</f>
        <v/>
      </c>
      <c r="H238">
        <f>'AEO 2026 Table 5'!F43*quadrillion</f>
        <v/>
      </c>
      <c r="I238">
        <f>'AEO 2026 Table 5'!G43*quadrillion</f>
        <v/>
      </c>
      <c r="J238">
        <f>'AEO 2026 Table 5'!H43*quadrillion</f>
        <v/>
      </c>
      <c r="K238">
        <f>'AEO 2026 Table 5'!I43*quadrillion</f>
        <v/>
      </c>
      <c r="L238">
        <f>'AEO 2026 Table 5'!J43*quadrillion</f>
        <v/>
      </c>
      <c r="M238">
        <f>'AEO 2026 Table 5'!K43*quadrillion</f>
        <v/>
      </c>
      <c r="N238">
        <f>'AEO 2026 Table 5'!L43*quadrillion</f>
        <v/>
      </c>
      <c r="O238">
        <f>'AEO 2026 Table 5'!M43*quadrillion</f>
        <v/>
      </c>
      <c r="P238">
        <f>'AEO 2026 Table 5'!N43*quadrillion</f>
        <v/>
      </c>
      <c r="Q238">
        <f>'AEO 2026 Table 5'!O43*quadrillion</f>
        <v/>
      </c>
      <c r="R238">
        <f>'AEO 2026 Table 5'!P43*quadrillion</f>
        <v/>
      </c>
      <c r="S238">
        <f>'AEO 2026 Table 5'!Q43*quadrillion</f>
        <v/>
      </c>
      <c r="T238">
        <f>'AEO 2026 Table 5'!R43*quadrillion</f>
        <v/>
      </c>
      <c r="U238">
        <f>'AEO 2026 Table 5'!S43*quadrillion</f>
        <v/>
      </c>
      <c r="V238">
        <f>'AEO 2026 Table 5'!T43*quadrillion</f>
        <v/>
      </c>
      <c r="W238">
        <f>'AEO 2026 Table 5'!U43*quadrillion</f>
        <v/>
      </c>
      <c r="X238">
        <f>'AEO 2026 Table 5'!V43*quadrillion</f>
        <v/>
      </c>
      <c r="Y238">
        <f>'AEO 2026 Table 5'!W43*quadrillion</f>
        <v/>
      </c>
      <c r="Z238">
        <f>'AEO 2026 Table 5'!X43*quadrillion</f>
        <v/>
      </c>
      <c r="AA238">
        <f>'AEO 2026 Table 5'!Y43*quadrillion</f>
        <v/>
      </c>
      <c r="AB238">
        <f>'AEO 2026 Table 5'!Z43*quadrillion</f>
        <v/>
      </c>
      <c r="AC238">
        <f>'AEO 2026 Table 5'!AA43*quadrillion</f>
        <v/>
      </c>
      <c r="AD238">
        <f>'AEO 2026 Table 5'!AB43*quadrillion</f>
        <v/>
      </c>
      <c r="AE238">
        <f>'AEO 2026 Table 5'!AC43*quadrillion</f>
        <v/>
      </c>
      <c r="AF238">
        <f>'AEO 2026 Table 5'!AD43*quadrillion</f>
        <v/>
      </c>
    </row>
    <row r="239">
      <c r="C239" t="inlineStr">
        <is>
          <t>eps</t>
        </is>
      </c>
      <c r="D239" t="inlineStr">
        <is>
          <t>commercial</t>
        </is>
      </c>
      <c r="E239" t="inlineStr">
        <is>
          <t>biomass (BTU)</t>
        </is>
      </c>
      <c r="F239">
        <f>SUMIFS(F$5:F$196,$C$5:$C$196,$D239,$E$5:$E$196,$E239)</f>
        <v/>
      </c>
      <c r="G239">
        <f>SUMIFS(G$5:G$196,$C$5:$C$196,$D239,$E$5:$E$196,$E239)</f>
        <v/>
      </c>
      <c r="H239">
        <f>SUMIFS(H$5:H$196,$C$5:$C$196,$D239,$E$5:$E$196,$E239)</f>
        <v/>
      </c>
      <c r="I239">
        <f>SUMIFS(I$5:I$196,$C$5:$C$196,$D239,$E$5:$E$196,$E239)</f>
        <v/>
      </c>
      <c r="J239">
        <f>SUMIFS(J$5:J$196,$C$5:$C$196,$D239,$E$5:$E$196,$E239)</f>
        <v/>
      </c>
      <c r="K239">
        <f>SUMIFS(K$5:K$196,$C$5:$C$196,$D239,$E$5:$E$196,$E239)</f>
        <v/>
      </c>
      <c r="L239">
        <f>SUMIFS(L$5:L$196,$C$5:$C$196,$D239,$E$5:$E$196,$E239)</f>
        <v/>
      </c>
      <c r="M239">
        <f>SUMIFS(M$5:M$196,$C$5:$C$196,$D239,$E$5:$E$196,$E239)</f>
        <v/>
      </c>
      <c r="N239">
        <f>SUMIFS(N$5:N$196,$C$5:$C$196,$D239,$E$5:$E$196,$E239)</f>
        <v/>
      </c>
      <c r="O239">
        <f>SUMIFS(O$5:O$196,$C$5:$C$196,$D239,$E$5:$E$196,$E239)</f>
        <v/>
      </c>
      <c r="P239">
        <f>SUMIFS(P$5:P$196,$C$5:$C$196,$D239,$E$5:$E$196,$E239)</f>
        <v/>
      </c>
      <c r="Q239">
        <f>SUMIFS(Q$5:Q$196,$C$5:$C$196,$D239,$E$5:$E$196,$E239)</f>
        <v/>
      </c>
      <c r="R239">
        <f>SUMIFS(R$5:R$196,$C$5:$C$196,$D239,$E$5:$E$196,$E239)</f>
        <v/>
      </c>
      <c r="S239">
        <f>SUMIFS(S$5:S$196,$C$5:$C$196,$D239,$E$5:$E$196,$E239)</f>
        <v/>
      </c>
      <c r="T239">
        <f>SUMIFS(T$5:T$196,$C$5:$C$196,$D239,$E$5:$E$196,$E239)</f>
        <v/>
      </c>
      <c r="U239">
        <f>SUMIFS(U$5:U$196,$C$5:$C$196,$D239,$E$5:$E$196,$E239)</f>
        <v/>
      </c>
      <c r="V239">
        <f>SUMIFS(V$5:V$196,$C$5:$C$196,$D239,$E$5:$E$196,$E239)</f>
        <v/>
      </c>
      <c r="W239">
        <f>SUMIFS(W$5:W$196,$C$5:$C$196,$D239,$E$5:$E$196,$E239)</f>
        <v/>
      </c>
      <c r="X239">
        <f>SUMIFS(X$5:X$196,$C$5:$C$196,$D239,$E$5:$E$196,$E239)</f>
        <v/>
      </c>
      <c r="Y239">
        <f>SUMIFS(Y$5:Y$196,$C$5:$C$196,$D239,$E$5:$E$196,$E239)</f>
        <v/>
      </c>
      <c r="Z239">
        <f>SUMIFS(Z$5:Z$196,$C$5:$C$196,$D239,$E$5:$E$196,$E239)</f>
        <v/>
      </c>
      <c r="AA239">
        <f>SUMIFS(AA$5:AA$196,$C$5:$C$196,$D239,$E$5:$E$196,$E239)</f>
        <v/>
      </c>
      <c r="AB239">
        <f>SUMIFS(AB$5:AB$196,$C$5:$C$196,$D239,$E$5:$E$196,$E239)</f>
        <v/>
      </c>
      <c r="AC239">
        <f>SUMIFS(AC$5:AC$196,$C$5:$C$196,$D239,$E$5:$E$196,$E239)</f>
        <v/>
      </c>
      <c r="AD239">
        <f>SUMIFS(AD$5:AD$196,$C$5:$C$196,$D239,$E$5:$E$196,$E239)</f>
        <v/>
      </c>
      <c r="AE239">
        <f>SUMIFS(AE$5:AE$196,$C$5:$C$196,$D239,$E$5:$E$196,$E239)</f>
        <v/>
      </c>
      <c r="AF239">
        <f>SUMIFS(AF$5:AF$196,$C$5:$C$196,$D239,$E$5:$E$196,$E239)</f>
        <v/>
      </c>
    </row>
    <row r="240">
      <c r="F240" s="47">
        <f>F239/SUM(F238:F238)</f>
        <v/>
      </c>
      <c r="G240" s="47">
        <f>G239/SUM(G238:G238)</f>
        <v/>
      </c>
      <c r="H240" s="47">
        <f>H239/SUM(H238:H238)</f>
        <v/>
      </c>
      <c r="I240" s="47">
        <f>I239/SUM(I238:I238)</f>
        <v/>
      </c>
      <c r="J240" s="47">
        <f>J239/SUM(J238:J238)</f>
        <v/>
      </c>
      <c r="K240" s="47">
        <f>K239/SUM(K238:K238)</f>
        <v/>
      </c>
      <c r="L240" s="47">
        <f>L239/SUM(L238:L238)</f>
        <v/>
      </c>
      <c r="M240" s="47">
        <f>M239/SUM(M238:M238)</f>
        <v/>
      </c>
      <c r="N240" s="47">
        <f>N239/SUM(N238:N238)</f>
        <v/>
      </c>
      <c r="O240" s="47">
        <f>O239/SUM(O238:O238)</f>
        <v/>
      </c>
      <c r="P240" s="47">
        <f>P239/SUM(P238:P238)</f>
        <v/>
      </c>
      <c r="Q240" s="47">
        <f>Q239/SUM(Q238:Q238)</f>
        <v/>
      </c>
      <c r="R240" s="47">
        <f>R239/SUM(R238:R238)</f>
        <v/>
      </c>
      <c r="S240" s="47">
        <f>S239/SUM(S238:S238)</f>
        <v/>
      </c>
      <c r="T240" s="47">
        <f>T239/SUM(T238:T238)</f>
        <v/>
      </c>
      <c r="U240" s="47">
        <f>U239/SUM(U238:U238)</f>
        <v/>
      </c>
      <c r="V240" s="47">
        <f>V239/SUM(V238:V238)</f>
        <v/>
      </c>
      <c r="W240" s="47">
        <f>W239/SUM(W238:W238)</f>
        <v/>
      </c>
      <c r="X240" s="47">
        <f>X239/SUM(X238:X238)</f>
        <v/>
      </c>
      <c r="Y240" s="47">
        <f>Y239/SUM(Y238:Y238)</f>
        <v/>
      </c>
      <c r="Z240" s="47">
        <f>Z239/SUM(Z238:Z238)</f>
        <v/>
      </c>
      <c r="AA240" s="47">
        <f>AA239/SUM(AA238:AA238)</f>
        <v/>
      </c>
      <c r="AB240" s="47">
        <f>AB239/SUM(AB238:AB238)</f>
        <v/>
      </c>
      <c r="AC240" s="47">
        <f>AC239/SUM(AC238:AC238)</f>
        <v/>
      </c>
      <c r="AD240" s="47">
        <f>AD239/SUM(AD238:AD238)</f>
        <v/>
      </c>
      <c r="AE240" s="47">
        <f>AE239/SUM(AE238:AE238)</f>
        <v/>
      </c>
      <c r="AF240" s="47">
        <f>AF239/SUM(AF238:AF238)</f>
        <v/>
      </c>
    </row>
  </sheetData>
  <pageMargins left="0.7" right="0.7" top="0.75" bottom="0.75" header="0.3" footer="0.3"/>
  <pageSetup orientation="portrait" paperSize="9"/>
</worksheet>
</file>

<file path=xl/worksheets/sheet13.xml><?xml version="1.0" encoding="utf-8"?>
<worksheet xmlns="http://schemas.openxmlformats.org/spreadsheetml/2006/main">
  <sheetPr>
    <tabColor theme="3"/>
    <outlinePr summaryBelow="1" summaryRight="1"/>
    <pageSetUpPr/>
  </sheetPr>
  <dimension ref="A1:AD36"/>
  <sheetViews>
    <sheetView workbookViewId="0">
      <selection activeCell="A1" sqref="A1"/>
    </sheetView>
  </sheetViews>
  <sheetFormatPr baseColWidth="8" defaultRowHeight="14.25"/>
  <cols>
    <col width="29.796875" customWidth="1" min="1" max="1"/>
    <col width="15" customWidth="1" min="2" max="28"/>
  </cols>
  <sheetData>
    <row r="1">
      <c r="A1" s="1" t="inlineStr">
        <is>
          <t>Year</t>
        </is>
      </c>
      <c r="B1" s="1" t="n">
        <v>2024</v>
      </c>
      <c r="C1" s="1" t="n">
        <v>2025</v>
      </c>
      <c r="D1" s="1" t="n">
        <v>2026</v>
      </c>
      <c r="E1" s="1" t="n">
        <v>2027</v>
      </c>
      <c r="F1" s="1" t="n">
        <v>2028</v>
      </c>
      <c r="G1" s="1" t="n">
        <v>2029</v>
      </c>
      <c r="H1" s="1" t="n">
        <v>2030</v>
      </c>
      <c r="I1" s="1" t="n">
        <v>2031</v>
      </c>
      <c r="J1" s="1" t="n">
        <v>2032</v>
      </c>
      <c r="K1" s="1" t="n">
        <v>2033</v>
      </c>
      <c r="L1" s="1" t="n">
        <v>2034</v>
      </c>
      <c r="M1" s="1" t="n">
        <v>2035</v>
      </c>
      <c r="N1" s="1" t="n">
        <v>2036</v>
      </c>
      <c r="O1" s="1" t="n">
        <v>2037</v>
      </c>
      <c r="P1" s="1" t="n">
        <v>2038</v>
      </c>
      <c r="Q1" s="1" t="n">
        <v>2039</v>
      </c>
      <c r="R1" s="1" t="n">
        <v>2040</v>
      </c>
      <c r="S1" s="1" t="n">
        <v>2041</v>
      </c>
      <c r="T1" s="1" t="n">
        <v>2042</v>
      </c>
      <c r="U1" s="1" t="n">
        <v>2043</v>
      </c>
      <c r="V1" s="1" t="n">
        <v>2044</v>
      </c>
      <c r="W1" s="1" t="n">
        <v>2045</v>
      </c>
      <c r="X1" s="1" t="n">
        <v>2046</v>
      </c>
      <c r="Y1" s="1" t="n">
        <v>2047</v>
      </c>
      <c r="Z1" s="1" t="n">
        <v>2048</v>
      </c>
      <c r="AA1" s="1" t="n">
        <v>2049</v>
      </c>
      <c r="AB1" s="1" t="n">
        <v>2050</v>
      </c>
      <c r="AC1" s="1" t="n"/>
      <c r="AD1" s="1" t="n"/>
    </row>
    <row r="2">
      <c r="A2" s="1" t="inlineStr">
        <is>
          <t>electricity (BTU)</t>
        </is>
      </c>
      <c r="B2">
        <f>Calculations!F5</f>
        <v/>
      </c>
      <c r="C2">
        <f>Calculations!G5</f>
        <v/>
      </c>
      <c r="D2">
        <f>Calculations!H5</f>
        <v/>
      </c>
      <c r="E2">
        <f>Calculations!I5</f>
        <v/>
      </c>
      <c r="F2">
        <f>Calculations!J5</f>
        <v/>
      </c>
      <c r="G2">
        <f>Calculations!K5</f>
        <v/>
      </c>
      <c r="H2">
        <f>Calculations!L5</f>
        <v/>
      </c>
      <c r="I2">
        <f>Calculations!M5</f>
        <v/>
      </c>
      <c r="J2">
        <f>Calculations!N5</f>
        <v/>
      </c>
      <c r="K2">
        <f>Calculations!O5</f>
        <v/>
      </c>
      <c r="L2">
        <f>Calculations!P5</f>
        <v/>
      </c>
      <c r="M2">
        <f>Calculations!Q5</f>
        <v/>
      </c>
      <c r="N2">
        <f>Calculations!R5</f>
        <v/>
      </c>
      <c r="O2">
        <f>Calculations!S5</f>
        <v/>
      </c>
      <c r="P2">
        <f>Calculations!T5</f>
        <v/>
      </c>
      <c r="Q2">
        <f>Calculations!U5</f>
        <v/>
      </c>
      <c r="R2">
        <f>Calculations!V5</f>
        <v/>
      </c>
      <c r="S2">
        <f>Calculations!W5</f>
        <v/>
      </c>
      <c r="T2">
        <f>Calculations!X5</f>
        <v/>
      </c>
      <c r="U2">
        <f>Calculations!Y5</f>
        <v/>
      </c>
      <c r="V2">
        <f>Calculations!Z5</f>
        <v/>
      </c>
      <c r="W2">
        <f>Calculations!AA5</f>
        <v/>
      </c>
      <c r="X2">
        <f>Calculations!AB5</f>
        <v/>
      </c>
      <c r="Y2">
        <f>Calculations!AC5</f>
        <v/>
      </c>
      <c r="Z2">
        <f>Calculations!AD5</f>
        <v/>
      </c>
      <c r="AA2">
        <f>Calculations!AE5</f>
        <v/>
      </c>
      <c r="AB2">
        <f>Calculations!AF5</f>
        <v/>
      </c>
      <c r="AD2" s="9" t="n"/>
    </row>
    <row r="3">
      <c r="A3" s="1" t="inlineStr">
        <is>
          <t>coal (BTU)</t>
        </is>
      </c>
      <c r="B3">
        <f>Calculations!F6</f>
        <v/>
      </c>
      <c r="C3">
        <f>Calculations!G6</f>
        <v/>
      </c>
      <c r="D3">
        <f>Calculations!H6</f>
        <v/>
      </c>
      <c r="E3">
        <f>Calculations!I6</f>
        <v/>
      </c>
      <c r="F3">
        <f>Calculations!J6</f>
        <v/>
      </c>
      <c r="G3">
        <f>Calculations!K6</f>
        <v/>
      </c>
      <c r="H3">
        <f>Calculations!L6</f>
        <v/>
      </c>
      <c r="I3">
        <f>Calculations!M6</f>
        <v/>
      </c>
      <c r="J3">
        <f>Calculations!N6</f>
        <v/>
      </c>
      <c r="K3">
        <f>Calculations!O6</f>
        <v/>
      </c>
      <c r="L3">
        <f>Calculations!P6</f>
        <v/>
      </c>
      <c r="M3">
        <f>Calculations!Q6</f>
        <v/>
      </c>
      <c r="N3">
        <f>Calculations!R6</f>
        <v/>
      </c>
      <c r="O3">
        <f>Calculations!S6</f>
        <v/>
      </c>
      <c r="P3">
        <f>Calculations!T6</f>
        <v/>
      </c>
      <c r="Q3">
        <f>Calculations!U6</f>
        <v/>
      </c>
      <c r="R3">
        <f>Calculations!V6</f>
        <v/>
      </c>
      <c r="S3">
        <f>Calculations!W6</f>
        <v/>
      </c>
      <c r="T3">
        <f>Calculations!X6</f>
        <v/>
      </c>
      <c r="U3">
        <f>Calculations!Y6</f>
        <v/>
      </c>
      <c r="V3">
        <f>Calculations!Z6</f>
        <v/>
      </c>
      <c r="W3">
        <f>Calculations!AA6</f>
        <v/>
      </c>
      <c r="X3">
        <f>Calculations!AB6</f>
        <v/>
      </c>
      <c r="Y3">
        <f>Calculations!AC6</f>
        <v/>
      </c>
      <c r="Z3">
        <f>Calculations!AD6</f>
        <v/>
      </c>
      <c r="AA3">
        <f>Calculations!AE6</f>
        <v/>
      </c>
      <c r="AB3">
        <f>Calculations!AF6</f>
        <v/>
      </c>
    </row>
    <row r="4">
      <c r="A4" s="1" t="inlineStr">
        <is>
          <t>natural gas (BTU)</t>
        </is>
      </c>
      <c r="B4">
        <f>Calculations!F7</f>
        <v/>
      </c>
      <c r="C4">
        <f>Calculations!G7</f>
        <v/>
      </c>
      <c r="D4">
        <f>Calculations!H7</f>
        <v/>
      </c>
      <c r="E4">
        <f>Calculations!I7</f>
        <v/>
      </c>
      <c r="F4">
        <f>Calculations!J7</f>
        <v/>
      </c>
      <c r="G4">
        <f>Calculations!K7</f>
        <v/>
      </c>
      <c r="H4">
        <f>Calculations!L7</f>
        <v/>
      </c>
      <c r="I4">
        <f>Calculations!M7</f>
        <v/>
      </c>
      <c r="J4">
        <f>Calculations!N7</f>
        <v/>
      </c>
      <c r="K4">
        <f>Calculations!O7</f>
        <v/>
      </c>
      <c r="L4">
        <f>Calculations!P7</f>
        <v/>
      </c>
      <c r="M4">
        <f>Calculations!Q7</f>
        <v/>
      </c>
      <c r="N4">
        <f>Calculations!R7</f>
        <v/>
      </c>
      <c r="O4">
        <f>Calculations!S7</f>
        <v/>
      </c>
      <c r="P4">
        <f>Calculations!T7</f>
        <v/>
      </c>
      <c r="Q4">
        <f>Calculations!U7</f>
        <v/>
      </c>
      <c r="R4">
        <f>Calculations!V7</f>
        <v/>
      </c>
      <c r="S4">
        <f>Calculations!W7</f>
        <v/>
      </c>
      <c r="T4">
        <f>Calculations!X7</f>
        <v/>
      </c>
      <c r="U4">
        <f>Calculations!Y7</f>
        <v/>
      </c>
      <c r="V4">
        <f>Calculations!Z7</f>
        <v/>
      </c>
      <c r="W4">
        <f>Calculations!AA7</f>
        <v/>
      </c>
      <c r="X4">
        <f>Calculations!AB7</f>
        <v/>
      </c>
      <c r="Y4">
        <f>Calculations!AC7</f>
        <v/>
      </c>
      <c r="Z4">
        <f>Calculations!AD7</f>
        <v/>
      </c>
      <c r="AA4">
        <f>Calculations!AE7</f>
        <v/>
      </c>
      <c r="AB4">
        <f>Calculations!AF7</f>
        <v/>
      </c>
    </row>
    <row r="5">
      <c r="A5" s="1" t="inlineStr">
        <is>
          <t>petroleum diesel (BTU)</t>
        </is>
      </c>
      <c r="B5">
        <f>Calculations!F8</f>
        <v/>
      </c>
      <c r="C5">
        <f>Calculations!G8</f>
        <v/>
      </c>
      <c r="D5">
        <f>Calculations!H8</f>
        <v/>
      </c>
      <c r="E5">
        <f>Calculations!I8</f>
        <v/>
      </c>
      <c r="F5">
        <f>Calculations!J8</f>
        <v/>
      </c>
      <c r="G5">
        <f>Calculations!K8</f>
        <v/>
      </c>
      <c r="H5">
        <f>Calculations!L8</f>
        <v/>
      </c>
      <c r="I5">
        <f>Calculations!M8</f>
        <v/>
      </c>
      <c r="J5">
        <f>Calculations!N8</f>
        <v/>
      </c>
      <c r="K5">
        <f>Calculations!O8</f>
        <v/>
      </c>
      <c r="L5">
        <f>Calculations!P8</f>
        <v/>
      </c>
      <c r="M5">
        <f>Calculations!Q8</f>
        <v/>
      </c>
      <c r="N5">
        <f>Calculations!R8</f>
        <v/>
      </c>
      <c r="O5">
        <f>Calculations!S8</f>
        <v/>
      </c>
      <c r="P5">
        <f>Calculations!T8</f>
        <v/>
      </c>
      <c r="Q5">
        <f>Calculations!U8</f>
        <v/>
      </c>
      <c r="R5">
        <f>Calculations!V8</f>
        <v/>
      </c>
      <c r="S5">
        <f>Calculations!W8</f>
        <v/>
      </c>
      <c r="T5">
        <f>Calculations!X8</f>
        <v/>
      </c>
      <c r="U5">
        <f>Calculations!Y8</f>
        <v/>
      </c>
      <c r="V5">
        <f>Calculations!Z8</f>
        <v/>
      </c>
      <c r="W5">
        <f>Calculations!AA8</f>
        <v/>
      </c>
      <c r="X5">
        <f>Calculations!AB8</f>
        <v/>
      </c>
      <c r="Y5">
        <f>Calculations!AC8</f>
        <v/>
      </c>
      <c r="Z5">
        <f>Calculations!AD8</f>
        <v/>
      </c>
      <c r="AA5">
        <f>Calculations!AE8</f>
        <v/>
      </c>
      <c r="AB5">
        <f>Calculations!AF8</f>
        <v/>
      </c>
    </row>
    <row r="6">
      <c r="A6" s="1" t="inlineStr">
        <is>
          <t>heat (BTU)</t>
        </is>
      </c>
      <c r="B6">
        <f>Calculations!F9</f>
        <v/>
      </c>
      <c r="C6">
        <f>Calculations!G9</f>
        <v/>
      </c>
      <c r="D6">
        <f>Calculations!H9</f>
        <v/>
      </c>
      <c r="E6">
        <f>Calculations!I9</f>
        <v/>
      </c>
      <c r="F6">
        <f>Calculations!J9</f>
        <v/>
      </c>
      <c r="G6">
        <f>Calculations!K9</f>
        <v/>
      </c>
      <c r="H6">
        <f>Calculations!L9</f>
        <v/>
      </c>
      <c r="I6">
        <f>Calculations!M9</f>
        <v/>
      </c>
      <c r="J6">
        <f>Calculations!N9</f>
        <v/>
      </c>
      <c r="K6">
        <f>Calculations!O9</f>
        <v/>
      </c>
      <c r="L6">
        <f>Calculations!P9</f>
        <v/>
      </c>
      <c r="M6">
        <f>Calculations!Q9</f>
        <v/>
      </c>
      <c r="N6">
        <f>Calculations!R9</f>
        <v/>
      </c>
      <c r="O6">
        <f>Calculations!S9</f>
        <v/>
      </c>
      <c r="P6">
        <f>Calculations!T9</f>
        <v/>
      </c>
      <c r="Q6">
        <f>Calculations!U9</f>
        <v/>
      </c>
      <c r="R6">
        <f>Calculations!V9</f>
        <v/>
      </c>
      <c r="S6">
        <f>Calculations!W9</f>
        <v/>
      </c>
      <c r="T6">
        <f>Calculations!X9</f>
        <v/>
      </c>
      <c r="U6">
        <f>Calculations!Y9</f>
        <v/>
      </c>
      <c r="V6">
        <f>Calculations!Z9</f>
        <v/>
      </c>
      <c r="W6">
        <f>Calculations!AA9</f>
        <v/>
      </c>
      <c r="X6">
        <f>Calculations!AB9</f>
        <v/>
      </c>
      <c r="Y6">
        <f>Calculations!AC9</f>
        <v/>
      </c>
      <c r="Z6">
        <f>Calculations!AD9</f>
        <v/>
      </c>
      <c r="AA6">
        <f>Calculations!AE9</f>
        <v/>
      </c>
      <c r="AB6">
        <f>Calculations!AF9</f>
        <v/>
      </c>
    </row>
    <row r="7">
      <c r="A7" s="1" t="inlineStr">
        <is>
          <t>biomass (BTU)</t>
        </is>
      </c>
      <c r="B7">
        <f>Calculations!F10</f>
        <v/>
      </c>
      <c r="C7">
        <f>Calculations!G10</f>
        <v/>
      </c>
      <c r="D7">
        <f>Calculations!H10</f>
        <v/>
      </c>
      <c r="E7">
        <f>Calculations!I10</f>
        <v/>
      </c>
      <c r="F7">
        <f>Calculations!J10</f>
        <v/>
      </c>
      <c r="G7">
        <f>Calculations!K10</f>
        <v/>
      </c>
      <c r="H7">
        <f>Calculations!L10</f>
        <v/>
      </c>
      <c r="I7">
        <f>Calculations!M10</f>
        <v/>
      </c>
      <c r="J7">
        <f>Calculations!N10</f>
        <v/>
      </c>
      <c r="K7">
        <f>Calculations!O10</f>
        <v/>
      </c>
      <c r="L7">
        <f>Calculations!P10</f>
        <v/>
      </c>
      <c r="M7">
        <f>Calculations!Q10</f>
        <v/>
      </c>
      <c r="N7">
        <f>Calculations!R10</f>
        <v/>
      </c>
      <c r="O7">
        <f>Calculations!S10</f>
        <v/>
      </c>
      <c r="P7">
        <f>Calculations!T10</f>
        <v/>
      </c>
      <c r="Q7">
        <f>Calculations!U10</f>
        <v/>
      </c>
      <c r="R7">
        <f>Calculations!V10</f>
        <v/>
      </c>
      <c r="S7">
        <f>Calculations!W10</f>
        <v/>
      </c>
      <c r="T7">
        <f>Calculations!X10</f>
        <v/>
      </c>
      <c r="U7">
        <f>Calculations!Y10</f>
        <v/>
      </c>
      <c r="V7">
        <f>Calculations!Z10</f>
        <v/>
      </c>
      <c r="W7">
        <f>Calculations!AA10</f>
        <v/>
      </c>
      <c r="X7">
        <f>Calculations!AB10</f>
        <v/>
      </c>
      <c r="Y7">
        <f>Calculations!AC10</f>
        <v/>
      </c>
      <c r="Z7">
        <f>Calculations!AD10</f>
        <v/>
      </c>
      <c r="AA7">
        <f>Calculations!AE10</f>
        <v/>
      </c>
      <c r="AB7">
        <f>Calculations!AF10</f>
        <v/>
      </c>
    </row>
    <row r="8">
      <c r="A8" s="1" t="inlineStr">
        <is>
          <t>kerosene (BTU)</t>
        </is>
      </c>
      <c r="B8">
        <f>Calculations!F11</f>
        <v/>
      </c>
      <c r="C8">
        <f>Calculations!G11</f>
        <v/>
      </c>
      <c r="D8">
        <f>Calculations!H11</f>
        <v/>
      </c>
      <c r="E8">
        <f>Calculations!I11</f>
        <v/>
      </c>
      <c r="F8">
        <f>Calculations!J11</f>
        <v/>
      </c>
      <c r="G8">
        <f>Calculations!K11</f>
        <v/>
      </c>
      <c r="H8">
        <f>Calculations!L11</f>
        <v/>
      </c>
      <c r="I8">
        <f>Calculations!M11</f>
        <v/>
      </c>
      <c r="J8">
        <f>Calculations!N11</f>
        <v/>
      </c>
      <c r="K8">
        <f>Calculations!O11</f>
        <v/>
      </c>
      <c r="L8">
        <f>Calculations!P11</f>
        <v/>
      </c>
      <c r="M8">
        <f>Calculations!Q11</f>
        <v/>
      </c>
      <c r="N8">
        <f>Calculations!R11</f>
        <v/>
      </c>
      <c r="O8">
        <f>Calculations!S11</f>
        <v/>
      </c>
      <c r="P8">
        <f>Calculations!T11</f>
        <v/>
      </c>
      <c r="Q8">
        <f>Calculations!U11</f>
        <v/>
      </c>
      <c r="R8">
        <f>Calculations!V11</f>
        <v/>
      </c>
      <c r="S8">
        <f>Calculations!W11</f>
        <v/>
      </c>
      <c r="T8">
        <f>Calculations!X11</f>
        <v/>
      </c>
      <c r="U8">
        <f>Calculations!Y11</f>
        <v/>
      </c>
      <c r="V8">
        <f>Calculations!Z11</f>
        <v/>
      </c>
      <c r="W8">
        <f>Calculations!AA11</f>
        <v/>
      </c>
      <c r="X8">
        <f>Calculations!AB11</f>
        <v/>
      </c>
      <c r="Y8">
        <f>Calculations!AC11</f>
        <v/>
      </c>
      <c r="Z8">
        <f>Calculations!AD11</f>
        <v/>
      </c>
      <c r="AA8">
        <f>Calculations!AE11</f>
        <v/>
      </c>
      <c r="AB8">
        <f>Calculations!AF11</f>
        <v/>
      </c>
    </row>
    <row r="9">
      <c r="A9" s="1" t="inlineStr">
        <is>
          <t>heavy or residual fuel oil (BTU)</t>
        </is>
      </c>
      <c r="B9">
        <f>Calculations!F12</f>
        <v/>
      </c>
      <c r="C9">
        <f>Calculations!G12</f>
        <v/>
      </c>
      <c r="D9">
        <f>Calculations!H12</f>
        <v/>
      </c>
      <c r="E9">
        <f>Calculations!I12</f>
        <v/>
      </c>
      <c r="F9">
        <f>Calculations!J12</f>
        <v/>
      </c>
      <c r="G9">
        <f>Calculations!K12</f>
        <v/>
      </c>
      <c r="H9">
        <f>Calculations!L12</f>
        <v/>
      </c>
      <c r="I9">
        <f>Calculations!M12</f>
        <v/>
      </c>
      <c r="J9">
        <f>Calculations!N12</f>
        <v/>
      </c>
      <c r="K9">
        <f>Calculations!O12</f>
        <v/>
      </c>
      <c r="L9">
        <f>Calculations!P12</f>
        <v/>
      </c>
      <c r="M9">
        <f>Calculations!Q12</f>
        <v/>
      </c>
      <c r="N9">
        <f>Calculations!R12</f>
        <v/>
      </c>
      <c r="O9">
        <f>Calculations!S12</f>
        <v/>
      </c>
      <c r="P9">
        <f>Calculations!T12</f>
        <v/>
      </c>
      <c r="Q9">
        <f>Calculations!U12</f>
        <v/>
      </c>
      <c r="R9">
        <f>Calculations!V12</f>
        <v/>
      </c>
      <c r="S9">
        <f>Calculations!W12</f>
        <v/>
      </c>
      <c r="T9">
        <f>Calculations!X12</f>
        <v/>
      </c>
      <c r="U9">
        <f>Calculations!Y12</f>
        <v/>
      </c>
      <c r="V9">
        <f>Calculations!Z12</f>
        <v/>
      </c>
      <c r="W9">
        <f>Calculations!AA12</f>
        <v/>
      </c>
      <c r="X9">
        <f>Calculations!AB12</f>
        <v/>
      </c>
      <c r="Y9">
        <f>Calculations!AC12</f>
        <v/>
      </c>
      <c r="Z9">
        <f>Calculations!AD12</f>
        <v/>
      </c>
      <c r="AA9">
        <f>Calculations!AE12</f>
        <v/>
      </c>
      <c r="AB9">
        <f>Calculations!AF12</f>
        <v/>
      </c>
    </row>
    <row r="10">
      <c r="A10" s="1" t="inlineStr">
        <is>
          <t>LPG propane or butane (BTU)</t>
        </is>
      </c>
      <c r="B10">
        <f>Calculations!F13</f>
        <v/>
      </c>
      <c r="C10">
        <f>Calculations!G13</f>
        <v/>
      </c>
      <c r="D10">
        <f>Calculations!H13</f>
        <v/>
      </c>
      <c r="E10">
        <f>Calculations!I13</f>
        <v/>
      </c>
      <c r="F10">
        <f>Calculations!J13</f>
        <v/>
      </c>
      <c r="G10">
        <f>Calculations!K13</f>
        <v/>
      </c>
      <c r="H10">
        <f>Calculations!L13</f>
        <v/>
      </c>
      <c r="I10">
        <f>Calculations!M13</f>
        <v/>
      </c>
      <c r="J10">
        <f>Calculations!N13</f>
        <v/>
      </c>
      <c r="K10">
        <f>Calculations!O13</f>
        <v/>
      </c>
      <c r="L10">
        <f>Calculations!P13</f>
        <v/>
      </c>
      <c r="M10">
        <f>Calculations!Q13</f>
        <v/>
      </c>
      <c r="N10">
        <f>Calculations!R13</f>
        <v/>
      </c>
      <c r="O10">
        <f>Calculations!S13</f>
        <v/>
      </c>
      <c r="P10">
        <f>Calculations!T13</f>
        <v/>
      </c>
      <c r="Q10">
        <f>Calculations!U13</f>
        <v/>
      </c>
      <c r="R10">
        <f>Calculations!V13</f>
        <v/>
      </c>
      <c r="S10">
        <f>Calculations!W13</f>
        <v/>
      </c>
      <c r="T10">
        <f>Calculations!X13</f>
        <v/>
      </c>
      <c r="U10">
        <f>Calculations!Y13</f>
        <v/>
      </c>
      <c r="V10">
        <f>Calculations!Z13</f>
        <v/>
      </c>
      <c r="W10">
        <f>Calculations!AA13</f>
        <v/>
      </c>
      <c r="X10">
        <f>Calculations!AB13</f>
        <v/>
      </c>
      <c r="Y10">
        <f>Calculations!AC13</f>
        <v/>
      </c>
      <c r="Z10">
        <f>Calculations!AD13</f>
        <v/>
      </c>
      <c r="AA10">
        <f>Calculations!AE13</f>
        <v/>
      </c>
      <c r="AB10">
        <f>Calculations!AF13</f>
        <v/>
      </c>
    </row>
    <row r="11">
      <c r="A11" s="1" t="inlineStr">
        <is>
          <t>hydrogen (BTU)</t>
        </is>
      </c>
      <c r="B11">
        <f>Calculations!F14</f>
        <v/>
      </c>
      <c r="C11">
        <f>Calculations!G14</f>
        <v/>
      </c>
      <c r="D11">
        <f>Calculations!H14</f>
        <v/>
      </c>
      <c r="E11">
        <f>Calculations!I14</f>
        <v/>
      </c>
      <c r="F11">
        <f>Calculations!J14</f>
        <v/>
      </c>
      <c r="G11">
        <f>Calculations!K14</f>
        <v/>
      </c>
      <c r="H11">
        <f>Calculations!L14</f>
        <v/>
      </c>
      <c r="I11">
        <f>Calculations!M14</f>
        <v/>
      </c>
      <c r="J11">
        <f>Calculations!N14</f>
        <v/>
      </c>
      <c r="K11">
        <f>Calculations!O14</f>
        <v/>
      </c>
      <c r="L11">
        <f>Calculations!P14</f>
        <v/>
      </c>
      <c r="M11">
        <f>Calculations!Q14</f>
        <v/>
      </c>
      <c r="N11">
        <f>Calculations!R14</f>
        <v/>
      </c>
      <c r="O11">
        <f>Calculations!S14</f>
        <v/>
      </c>
      <c r="P11">
        <f>Calculations!T14</f>
        <v/>
      </c>
      <c r="Q11">
        <f>Calculations!U14</f>
        <v/>
      </c>
      <c r="R11">
        <f>Calculations!V14</f>
        <v/>
      </c>
      <c r="S11">
        <f>Calculations!W14</f>
        <v/>
      </c>
      <c r="T11">
        <f>Calculations!X14</f>
        <v/>
      </c>
      <c r="U11">
        <f>Calculations!Y14</f>
        <v/>
      </c>
      <c r="V11">
        <f>Calculations!Z14</f>
        <v/>
      </c>
      <c r="W11">
        <f>Calculations!AA14</f>
        <v/>
      </c>
      <c r="X11">
        <f>Calculations!AB14</f>
        <v/>
      </c>
      <c r="Y11">
        <f>Calculations!AC14</f>
        <v/>
      </c>
      <c r="Z11">
        <f>Calculations!AD14</f>
        <v/>
      </c>
      <c r="AA11">
        <f>Calculations!AE14</f>
        <v/>
      </c>
      <c r="AB11">
        <f>Calculations!AF14</f>
        <v/>
      </c>
    </row>
    <row r="27">
      <c r="B27" s="13" t="n"/>
    </row>
    <row r="28">
      <c r="B28" s="13" t="n"/>
    </row>
    <row r="29">
      <c r="B29" s="13" t="n"/>
    </row>
    <row r="30">
      <c r="B30" s="13" t="n"/>
    </row>
    <row r="31">
      <c r="B31" s="13" t="n"/>
    </row>
    <row r="32">
      <c r="B32" s="13" t="n"/>
    </row>
    <row r="33">
      <c r="B33" s="13" t="n"/>
    </row>
    <row r="34">
      <c r="B34" s="13" t="n"/>
    </row>
    <row r="35">
      <c r="B35" s="13" t="n"/>
    </row>
    <row r="36">
      <c r="B36" s="13" t="n"/>
    </row>
  </sheetData>
  <pageMargins left="0.7" right="0.7" top="0.75" bottom="0.75" header="0.3" footer="0.3"/>
  <pageSetup orientation="portrait" horizontalDpi="1200" verticalDpi="1200"/>
</worksheet>
</file>

<file path=xl/worksheets/sheet14.xml><?xml version="1.0" encoding="utf-8"?>
<worksheet xmlns="http://schemas.openxmlformats.org/spreadsheetml/2006/main">
  <sheetPr>
    <tabColor theme="3"/>
    <outlinePr summaryBelow="1" summaryRight="1"/>
    <pageSetUpPr/>
  </sheetPr>
  <dimension ref="A1:AD11"/>
  <sheetViews>
    <sheetView workbookViewId="0">
      <selection activeCell="A1" sqref="A1"/>
    </sheetView>
  </sheetViews>
  <sheetFormatPr baseColWidth="8" defaultRowHeight="14.25"/>
  <cols>
    <col width="29.796875" customWidth="1" min="1" max="1"/>
    <col width="11.796875" customWidth="1" min="2" max="28"/>
  </cols>
  <sheetData>
    <row r="1">
      <c r="A1" s="1" t="inlineStr">
        <is>
          <t>Year</t>
        </is>
      </c>
      <c r="B1" s="1" t="n">
        <v>2024</v>
      </c>
      <c r="C1" s="1" t="n">
        <v>2025</v>
      </c>
      <c r="D1" s="1" t="n">
        <v>2026</v>
      </c>
      <c r="E1" s="1" t="n">
        <v>2027</v>
      </c>
      <c r="F1" s="1" t="n">
        <v>2028</v>
      </c>
      <c r="G1" s="1" t="n">
        <v>2029</v>
      </c>
      <c r="H1" s="1" t="n">
        <v>2030</v>
      </c>
      <c r="I1" s="1" t="n">
        <v>2031</v>
      </c>
      <c r="J1" s="1" t="n">
        <v>2032</v>
      </c>
      <c r="K1" s="1" t="n">
        <v>2033</v>
      </c>
      <c r="L1" s="1" t="n">
        <v>2034</v>
      </c>
      <c r="M1" s="1" t="n">
        <v>2035</v>
      </c>
      <c r="N1" s="1" t="n">
        <v>2036</v>
      </c>
      <c r="O1" s="1" t="n">
        <v>2037</v>
      </c>
      <c r="P1" s="1" t="n">
        <v>2038</v>
      </c>
      <c r="Q1" s="1" t="n">
        <v>2039</v>
      </c>
      <c r="R1" s="1" t="n">
        <v>2040</v>
      </c>
      <c r="S1" s="1" t="n">
        <v>2041</v>
      </c>
      <c r="T1" s="1" t="n">
        <v>2042</v>
      </c>
      <c r="U1" s="1" t="n">
        <v>2043</v>
      </c>
      <c r="V1" s="1" t="n">
        <v>2044</v>
      </c>
      <c r="W1" s="1" t="n">
        <v>2045</v>
      </c>
      <c r="X1" s="1" t="n">
        <v>2046</v>
      </c>
      <c r="Y1" s="1" t="n">
        <v>2047</v>
      </c>
      <c r="Z1" s="1" t="n">
        <v>2048</v>
      </c>
      <c r="AA1" s="1" t="n">
        <v>2049</v>
      </c>
      <c r="AB1" s="1" t="n">
        <v>2050</v>
      </c>
      <c r="AC1" s="1" t="n"/>
      <c r="AD1" s="1" t="n"/>
    </row>
    <row r="2">
      <c r="A2" s="1" t="inlineStr">
        <is>
          <t>electricity (BTU)</t>
        </is>
      </c>
      <c r="B2">
        <f>Calculations!F18</f>
        <v/>
      </c>
      <c r="C2">
        <f>Calculations!G18</f>
        <v/>
      </c>
      <c r="D2">
        <f>Calculations!H18</f>
        <v/>
      </c>
      <c r="E2">
        <f>Calculations!I18</f>
        <v/>
      </c>
      <c r="F2">
        <f>Calculations!J18</f>
        <v/>
      </c>
      <c r="G2">
        <f>Calculations!K18</f>
        <v/>
      </c>
      <c r="H2">
        <f>Calculations!L18</f>
        <v/>
      </c>
      <c r="I2">
        <f>Calculations!M18</f>
        <v/>
      </c>
      <c r="J2">
        <f>Calculations!N18</f>
        <v/>
      </c>
      <c r="K2">
        <f>Calculations!O18</f>
        <v/>
      </c>
      <c r="L2">
        <f>Calculations!P18</f>
        <v/>
      </c>
      <c r="M2">
        <f>Calculations!Q18</f>
        <v/>
      </c>
      <c r="N2">
        <f>Calculations!R18</f>
        <v/>
      </c>
      <c r="O2">
        <f>Calculations!S18</f>
        <v/>
      </c>
      <c r="P2">
        <f>Calculations!T18</f>
        <v/>
      </c>
      <c r="Q2">
        <f>Calculations!U18</f>
        <v/>
      </c>
      <c r="R2">
        <f>Calculations!V18</f>
        <v/>
      </c>
      <c r="S2">
        <f>Calculations!W18</f>
        <v/>
      </c>
      <c r="T2">
        <f>Calculations!X18</f>
        <v/>
      </c>
      <c r="U2">
        <f>Calculations!Y18</f>
        <v/>
      </c>
      <c r="V2">
        <f>Calculations!Z18</f>
        <v/>
      </c>
      <c r="W2">
        <f>Calculations!AA18</f>
        <v/>
      </c>
      <c r="X2">
        <f>Calculations!AB18</f>
        <v/>
      </c>
      <c r="Y2">
        <f>Calculations!AC18</f>
        <v/>
      </c>
      <c r="Z2">
        <f>Calculations!AD18</f>
        <v/>
      </c>
      <c r="AA2">
        <f>Calculations!AE18</f>
        <v/>
      </c>
      <c r="AB2">
        <f>Calculations!AF18</f>
        <v/>
      </c>
    </row>
    <row r="3">
      <c r="A3" s="1" t="inlineStr">
        <is>
          <t>coal (BTU)</t>
        </is>
      </c>
      <c r="B3">
        <f>Calculations!F19</f>
        <v/>
      </c>
      <c r="C3">
        <f>Calculations!G19</f>
        <v/>
      </c>
      <c r="D3">
        <f>Calculations!H19</f>
        <v/>
      </c>
      <c r="E3">
        <f>Calculations!I19</f>
        <v/>
      </c>
      <c r="F3">
        <f>Calculations!J19</f>
        <v/>
      </c>
      <c r="G3">
        <f>Calculations!K19</f>
        <v/>
      </c>
      <c r="H3">
        <f>Calculations!L19</f>
        <v/>
      </c>
      <c r="I3">
        <f>Calculations!M19</f>
        <v/>
      </c>
      <c r="J3">
        <f>Calculations!N19</f>
        <v/>
      </c>
      <c r="K3">
        <f>Calculations!O19</f>
        <v/>
      </c>
      <c r="L3">
        <f>Calculations!P19</f>
        <v/>
      </c>
      <c r="M3">
        <f>Calculations!Q19</f>
        <v/>
      </c>
      <c r="N3">
        <f>Calculations!R19</f>
        <v/>
      </c>
      <c r="O3">
        <f>Calculations!S19</f>
        <v/>
      </c>
      <c r="P3">
        <f>Calculations!T19</f>
        <v/>
      </c>
      <c r="Q3">
        <f>Calculations!U19</f>
        <v/>
      </c>
      <c r="R3">
        <f>Calculations!V19</f>
        <v/>
      </c>
      <c r="S3">
        <f>Calculations!W19</f>
        <v/>
      </c>
      <c r="T3">
        <f>Calculations!X19</f>
        <v/>
      </c>
      <c r="U3">
        <f>Calculations!Y19</f>
        <v/>
      </c>
      <c r="V3">
        <f>Calculations!Z19</f>
        <v/>
      </c>
      <c r="W3">
        <f>Calculations!AA19</f>
        <v/>
      </c>
      <c r="X3">
        <f>Calculations!AB19</f>
        <v/>
      </c>
      <c r="Y3">
        <f>Calculations!AC19</f>
        <v/>
      </c>
      <c r="Z3">
        <f>Calculations!AD19</f>
        <v/>
      </c>
      <c r="AA3">
        <f>Calculations!AE19</f>
        <v/>
      </c>
      <c r="AB3">
        <f>Calculations!AF19</f>
        <v/>
      </c>
    </row>
    <row r="4">
      <c r="A4" s="1" t="inlineStr">
        <is>
          <t>natural gas (BTU)</t>
        </is>
      </c>
      <c r="B4">
        <f>Calculations!F20</f>
        <v/>
      </c>
      <c r="C4">
        <f>Calculations!G20</f>
        <v/>
      </c>
      <c r="D4">
        <f>Calculations!H20</f>
        <v/>
      </c>
      <c r="E4">
        <f>Calculations!I20</f>
        <v/>
      </c>
      <c r="F4">
        <f>Calculations!J20</f>
        <v/>
      </c>
      <c r="G4">
        <f>Calculations!K20</f>
        <v/>
      </c>
      <c r="H4">
        <f>Calculations!L20</f>
        <v/>
      </c>
      <c r="I4">
        <f>Calculations!M20</f>
        <v/>
      </c>
      <c r="J4">
        <f>Calculations!N20</f>
        <v/>
      </c>
      <c r="K4">
        <f>Calculations!O20</f>
        <v/>
      </c>
      <c r="L4">
        <f>Calculations!P20</f>
        <v/>
      </c>
      <c r="M4">
        <f>Calculations!Q20</f>
        <v/>
      </c>
      <c r="N4">
        <f>Calculations!R20</f>
        <v/>
      </c>
      <c r="O4">
        <f>Calculations!S20</f>
        <v/>
      </c>
      <c r="P4">
        <f>Calculations!T20</f>
        <v/>
      </c>
      <c r="Q4">
        <f>Calculations!U20</f>
        <v/>
      </c>
      <c r="R4">
        <f>Calculations!V20</f>
        <v/>
      </c>
      <c r="S4">
        <f>Calculations!W20</f>
        <v/>
      </c>
      <c r="T4">
        <f>Calculations!X20</f>
        <v/>
      </c>
      <c r="U4">
        <f>Calculations!Y20</f>
        <v/>
      </c>
      <c r="V4">
        <f>Calculations!Z20</f>
        <v/>
      </c>
      <c r="W4">
        <f>Calculations!AA20</f>
        <v/>
      </c>
      <c r="X4">
        <f>Calculations!AB20</f>
        <v/>
      </c>
      <c r="Y4">
        <f>Calculations!AC20</f>
        <v/>
      </c>
      <c r="Z4">
        <f>Calculations!AD20</f>
        <v/>
      </c>
      <c r="AA4">
        <f>Calculations!AE20</f>
        <v/>
      </c>
      <c r="AB4">
        <f>Calculations!AF20</f>
        <v/>
      </c>
    </row>
    <row r="5">
      <c r="A5" s="1" t="inlineStr">
        <is>
          <t>petroleum diesel (BTU)</t>
        </is>
      </c>
      <c r="B5">
        <f>Calculations!F21</f>
        <v/>
      </c>
      <c r="C5">
        <f>Calculations!G21</f>
        <v/>
      </c>
      <c r="D5">
        <f>Calculations!H21</f>
        <v/>
      </c>
      <c r="E5">
        <f>Calculations!I21</f>
        <v/>
      </c>
      <c r="F5">
        <f>Calculations!J21</f>
        <v/>
      </c>
      <c r="G5">
        <f>Calculations!K21</f>
        <v/>
      </c>
      <c r="H5">
        <f>Calculations!L21</f>
        <v/>
      </c>
      <c r="I5">
        <f>Calculations!M21</f>
        <v/>
      </c>
      <c r="J5">
        <f>Calculations!N21</f>
        <v/>
      </c>
      <c r="K5">
        <f>Calculations!O21</f>
        <v/>
      </c>
      <c r="L5">
        <f>Calculations!P21</f>
        <v/>
      </c>
      <c r="M5">
        <f>Calculations!Q21</f>
        <v/>
      </c>
      <c r="N5">
        <f>Calculations!R21</f>
        <v/>
      </c>
      <c r="O5">
        <f>Calculations!S21</f>
        <v/>
      </c>
      <c r="P5">
        <f>Calculations!T21</f>
        <v/>
      </c>
      <c r="Q5">
        <f>Calculations!U21</f>
        <v/>
      </c>
      <c r="R5">
        <f>Calculations!V21</f>
        <v/>
      </c>
      <c r="S5">
        <f>Calculations!W21</f>
        <v/>
      </c>
      <c r="T5">
        <f>Calculations!X21</f>
        <v/>
      </c>
      <c r="U5">
        <f>Calculations!Y21</f>
        <v/>
      </c>
      <c r="V5">
        <f>Calculations!Z21</f>
        <v/>
      </c>
      <c r="W5">
        <f>Calculations!AA21</f>
        <v/>
      </c>
      <c r="X5">
        <f>Calculations!AB21</f>
        <v/>
      </c>
      <c r="Y5">
        <f>Calculations!AC21</f>
        <v/>
      </c>
      <c r="Z5">
        <f>Calculations!AD21</f>
        <v/>
      </c>
      <c r="AA5">
        <f>Calculations!AE21</f>
        <v/>
      </c>
      <c r="AB5">
        <f>Calculations!AF21</f>
        <v/>
      </c>
    </row>
    <row r="6">
      <c r="A6" s="1" t="inlineStr">
        <is>
          <t>heat (BTU)</t>
        </is>
      </c>
      <c r="B6">
        <f>Calculations!F22</f>
        <v/>
      </c>
      <c r="C6">
        <f>Calculations!G22</f>
        <v/>
      </c>
      <c r="D6">
        <f>Calculations!H22</f>
        <v/>
      </c>
      <c r="E6">
        <f>Calculations!I22</f>
        <v/>
      </c>
      <c r="F6">
        <f>Calculations!J22</f>
        <v/>
      </c>
      <c r="G6">
        <f>Calculations!K22</f>
        <v/>
      </c>
      <c r="H6">
        <f>Calculations!L22</f>
        <v/>
      </c>
      <c r="I6">
        <f>Calculations!M22</f>
        <v/>
      </c>
      <c r="J6">
        <f>Calculations!N22</f>
        <v/>
      </c>
      <c r="K6">
        <f>Calculations!O22</f>
        <v/>
      </c>
      <c r="L6">
        <f>Calculations!P22</f>
        <v/>
      </c>
      <c r="M6">
        <f>Calculations!Q22</f>
        <v/>
      </c>
      <c r="N6">
        <f>Calculations!R22</f>
        <v/>
      </c>
      <c r="O6">
        <f>Calculations!S22</f>
        <v/>
      </c>
      <c r="P6">
        <f>Calculations!T22</f>
        <v/>
      </c>
      <c r="Q6">
        <f>Calculations!U22</f>
        <v/>
      </c>
      <c r="R6">
        <f>Calculations!V22</f>
        <v/>
      </c>
      <c r="S6">
        <f>Calculations!W22</f>
        <v/>
      </c>
      <c r="T6">
        <f>Calculations!X22</f>
        <v/>
      </c>
      <c r="U6">
        <f>Calculations!Y22</f>
        <v/>
      </c>
      <c r="V6">
        <f>Calculations!Z22</f>
        <v/>
      </c>
      <c r="W6">
        <f>Calculations!AA22</f>
        <v/>
      </c>
      <c r="X6">
        <f>Calculations!AB22</f>
        <v/>
      </c>
      <c r="Y6">
        <f>Calculations!AC22</f>
        <v/>
      </c>
      <c r="Z6">
        <f>Calculations!AD22</f>
        <v/>
      </c>
      <c r="AA6">
        <f>Calculations!AE22</f>
        <v/>
      </c>
      <c r="AB6">
        <f>Calculations!AF22</f>
        <v/>
      </c>
    </row>
    <row r="7">
      <c r="A7" s="1" t="inlineStr">
        <is>
          <t>biomass (BTU)</t>
        </is>
      </c>
      <c r="B7">
        <f>Calculations!F23</f>
        <v/>
      </c>
      <c r="C7">
        <f>Calculations!G23</f>
        <v/>
      </c>
      <c r="D7">
        <f>Calculations!H23</f>
        <v/>
      </c>
      <c r="E7">
        <f>Calculations!I23</f>
        <v/>
      </c>
      <c r="F7">
        <f>Calculations!J23</f>
        <v/>
      </c>
      <c r="G7">
        <f>Calculations!K23</f>
        <v/>
      </c>
      <c r="H7">
        <f>Calculations!L23</f>
        <v/>
      </c>
      <c r="I7">
        <f>Calculations!M23</f>
        <v/>
      </c>
      <c r="J7">
        <f>Calculations!N23</f>
        <v/>
      </c>
      <c r="K7">
        <f>Calculations!O23</f>
        <v/>
      </c>
      <c r="L7">
        <f>Calculations!P23</f>
        <v/>
      </c>
      <c r="M7">
        <f>Calculations!Q23</f>
        <v/>
      </c>
      <c r="N7">
        <f>Calculations!R23</f>
        <v/>
      </c>
      <c r="O7">
        <f>Calculations!S23</f>
        <v/>
      </c>
      <c r="P7">
        <f>Calculations!T23</f>
        <v/>
      </c>
      <c r="Q7">
        <f>Calculations!U23</f>
        <v/>
      </c>
      <c r="R7">
        <f>Calculations!V23</f>
        <v/>
      </c>
      <c r="S7">
        <f>Calculations!W23</f>
        <v/>
      </c>
      <c r="T7">
        <f>Calculations!X23</f>
        <v/>
      </c>
      <c r="U7">
        <f>Calculations!Y23</f>
        <v/>
      </c>
      <c r="V7">
        <f>Calculations!Z23</f>
        <v/>
      </c>
      <c r="W7">
        <f>Calculations!AA23</f>
        <v/>
      </c>
      <c r="X7">
        <f>Calculations!AB23</f>
        <v/>
      </c>
      <c r="Y7">
        <f>Calculations!AC23</f>
        <v/>
      </c>
      <c r="Z7">
        <f>Calculations!AD23</f>
        <v/>
      </c>
      <c r="AA7">
        <f>Calculations!AE23</f>
        <v/>
      </c>
      <c r="AB7">
        <f>Calculations!AF23</f>
        <v/>
      </c>
    </row>
    <row r="8">
      <c r="A8" s="1" t="inlineStr">
        <is>
          <t>kerosene (BTU)</t>
        </is>
      </c>
      <c r="B8">
        <f>Calculations!F24</f>
        <v/>
      </c>
      <c r="C8">
        <f>Calculations!G24</f>
        <v/>
      </c>
      <c r="D8">
        <f>Calculations!H24</f>
        <v/>
      </c>
      <c r="E8">
        <f>Calculations!I24</f>
        <v/>
      </c>
      <c r="F8">
        <f>Calculations!J24</f>
        <v/>
      </c>
      <c r="G8">
        <f>Calculations!K24</f>
        <v/>
      </c>
      <c r="H8">
        <f>Calculations!L24</f>
        <v/>
      </c>
      <c r="I8">
        <f>Calculations!M24</f>
        <v/>
      </c>
      <c r="J8">
        <f>Calculations!N24</f>
        <v/>
      </c>
      <c r="K8">
        <f>Calculations!O24</f>
        <v/>
      </c>
      <c r="L8">
        <f>Calculations!P24</f>
        <v/>
      </c>
      <c r="M8">
        <f>Calculations!Q24</f>
        <v/>
      </c>
      <c r="N8">
        <f>Calculations!R24</f>
        <v/>
      </c>
      <c r="O8">
        <f>Calculations!S24</f>
        <v/>
      </c>
      <c r="P8">
        <f>Calculations!T24</f>
        <v/>
      </c>
      <c r="Q8">
        <f>Calculations!U24</f>
        <v/>
      </c>
      <c r="R8">
        <f>Calculations!V24</f>
        <v/>
      </c>
      <c r="S8">
        <f>Calculations!W24</f>
        <v/>
      </c>
      <c r="T8">
        <f>Calculations!X24</f>
        <v/>
      </c>
      <c r="U8">
        <f>Calculations!Y24</f>
        <v/>
      </c>
      <c r="V8">
        <f>Calculations!Z24</f>
        <v/>
      </c>
      <c r="W8">
        <f>Calculations!AA24</f>
        <v/>
      </c>
      <c r="X8">
        <f>Calculations!AB24</f>
        <v/>
      </c>
      <c r="Y8">
        <f>Calculations!AC24</f>
        <v/>
      </c>
      <c r="Z8">
        <f>Calculations!AD24</f>
        <v/>
      </c>
      <c r="AA8">
        <f>Calculations!AE24</f>
        <v/>
      </c>
      <c r="AB8">
        <f>Calculations!AF24</f>
        <v/>
      </c>
    </row>
    <row r="9">
      <c r="A9" s="1" t="inlineStr">
        <is>
          <t>heavy or residual fuel oil (BTU)</t>
        </is>
      </c>
      <c r="B9">
        <f>Calculations!F25</f>
        <v/>
      </c>
      <c r="C9">
        <f>Calculations!G25</f>
        <v/>
      </c>
      <c r="D9">
        <f>Calculations!H25</f>
        <v/>
      </c>
      <c r="E9">
        <f>Calculations!I25</f>
        <v/>
      </c>
      <c r="F9">
        <f>Calculations!J25</f>
        <v/>
      </c>
      <c r="G9">
        <f>Calculations!K25</f>
        <v/>
      </c>
      <c r="H9">
        <f>Calculations!L25</f>
        <v/>
      </c>
      <c r="I9">
        <f>Calculations!M25</f>
        <v/>
      </c>
      <c r="J9">
        <f>Calculations!N25</f>
        <v/>
      </c>
      <c r="K9">
        <f>Calculations!O25</f>
        <v/>
      </c>
      <c r="L9">
        <f>Calculations!P25</f>
        <v/>
      </c>
      <c r="M9">
        <f>Calculations!Q25</f>
        <v/>
      </c>
      <c r="N9">
        <f>Calculations!R25</f>
        <v/>
      </c>
      <c r="O9">
        <f>Calculations!S25</f>
        <v/>
      </c>
      <c r="P9">
        <f>Calculations!T25</f>
        <v/>
      </c>
      <c r="Q9">
        <f>Calculations!U25</f>
        <v/>
      </c>
      <c r="R9">
        <f>Calculations!V25</f>
        <v/>
      </c>
      <c r="S9">
        <f>Calculations!W25</f>
        <v/>
      </c>
      <c r="T9">
        <f>Calculations!X25</f>
        <v/>
      </c>
      <c r="U9">
        <f>Calculations!Y25</f>
        <v/>
      </c>
      <c r="V9">
        <f>Calculations!Z25</f>
        <v/>
      </c>
      <c r="W9">
        <f>Calculations!AA25</f>
        <v/>
      </c>
      <c r="X9">
        <f>Calculations!AB25</f>
        <v/>
      </c>
      <c r="Y9">
        <f>Calculations!AC25</f>
        <v/>
      </c>
      <c r="Z9">
        <f>Calculations!AD25</f>
        <v/>
      </c>
      <c r="AA9">
        <f>Calculations!AE25</f>
        <v/>
      </c>
      <c r="AB9">
        <f>Calculations!AF25</f>
        <v/>
      </c>
    </row>
    <row r="10">
      <c r="A10" s="1" t="inlineStr">
        <is>
          <t>LPG propane or butane (BTU)</t>
        </is>
      </c>
      <c r="B10">
        <f>Calculations!F26</f>
        <v/>
      </c>
      <c r="C10">
        <f>Calculations!G26</f>
        <v/>
      </c>
      <c r="D10">
        <f>Calculations!H26</f>
        <v/>
      </c>
      <c r="E10">
        <f>Calculations!I26</f>
        <v/>
      </c>
      <c r="F10">
        <f>Calculations!J26</f>
        <v/>
      </c>
      <c r="G10">
        <f>Calculations!K26</f>
        <v/>
      </c>
      <c r="H10">
        <f>Calculations!L26</f>
        <v/>
      </c>
      <c r="I10">
        <f>Calculations!M26</f>
        <v/>
      </c>
      <c r="J10">
        <f>Calculations!N26</f>
        <v/>
      </c>
      <c r="K10">
        <f>Calculations!O26</f>
        <v/>
      </c>
      <c r="L10">
        <f>Calculations!P26</f>
        <v/>
      </c>
      <c r="M10">
        <f>Calculations!Q26</f>
        <v/>
      </c>
      <c r="N10">
        <f>Calculations!R26</f>
        <v/>
      </c>
      <c r="O10">
        <f>Calculations!S26</f>
        <v/>
      </c>
      <c r="P10">
        <f>Calculations!T26</f>
        <v/>
      </c>
      <c r="Q10">
        <f>Calculations!U26</f>
        <v/>
      </c>
      <c r="R10">
        <f>Calculations!V26</f>
        <v/>
      </c>
      <c r="S10">
        <f>Calculations!W26</f>
        <v/>
      </c>
      <c r="T10">
        <f>Calculations!X26</f>
        <v/>
      </c>
      <c r="U10">
        <f>Calculations!Y26</f>
        <v/>
      </c>
      <c r="V10">
        <f>Calculations!Z26</f>
        <v/>
      </c>
      <c r="W10">
        <f>Calculations!AA26</f>
        <v/>
      </c>
      <c r="X10">
        <f>Calculations!AB26</f>
        <v/>
      </c>
      <c r="Y10">
        <f>Calculations!AC26</f>
        <v/>
      </c>
      <c r="Z10">
        <f>Calculations!AD26</f>
        <v/>
      </c>
      <c r="AA10">
        <f>Calculations!AE26</f>
        <v/>
      </c>
      <c r="AB10">
        <f>Calculations!AF26</f>
        <v/>
      </c>
    </row>
    <row r="11">
      <c r="A11" s="1" t="inlineStr">
        <is>
          <t>hydrogen (BTU)</t>
        </is>
      </c>
      <c r="B11">
        <f>Calculations!F27</f>
        <v/>
      </c>
      <c r="C11">
        <f>Calculations!G27</f>
        <v/>
      </c>
      <c r="D11">
        <f>Calculations!H27</f>
        <v/>
      </c>
      <c r="E11">
        <f>Calculations!I27</f>
        <v/>
      </c>
      <c r="F11">
        <f>Calculations!J27</f>
        <v/>
      </c>
      <c r="G11">
        <f>Calculations!K27</f>
        <v/>
      </c>
      <c r="H11">
        <f>Calculations!L27</f>
        <v/>
      </c>
      <c r="I11">
        <f>Calculations!M27</f>
        <v/>
      </c>
      <c r="J11">
        <f>Calculations!N27</f>
        <v/>
      </c>
      <c r="K11">
        <f>Calculations!O27</f>
        <v/>
      </c>
      <c r="L11">
        <f>Calculations!P27</f>
        <v/>
      </c>
      <c r="M11">
        <f>Calculations!Q27</f>
        <v/>
      </c>
      <c r="N11">
        <f>Calculations!R27</f>
        <v/>
      </c>
      <c r="O11">
        <f>Calculations!S27</f>
        <v/>
      </c>
      <c r="P11">
        <f>Calculations!T27</f>
        <v/>
      </c>
      <c r="Q11">
        <f>Calculations!U27</f>
        <v/>
      </c>
      <c r="R11">
        <f>Calculations!V27</f>
        <v/>
      </c>
      <c r="S11">
        <f>Calculations!W27</f>
        <v/>
      </c>
      <c r="T11">
        <f>Calculations!X27</f>
        <v/>
      </c>
      <c r="U11">
        <f>Calculations!Y27</f>
        <v/>
      </c>
      <c r="V11">
        <f>Calculations!Z27</f>
        <v/>
      </c>
      <c r="W11">
        <f>Calculations!AA27</f>
        <v/>
      </c>
      <c r="X11">
        <f>Calculations!AB27</f>
        <v/>
      </c>
      <c r="Y11">
        <f>Calculations!AC27</f>
        <v/>
      </c>
      <c r="Z11">
        <f>Calculations!AD27</f>
        <v/>
      </c>
      <c r="AA11">
        <f>Calculations!AE27</f>
        <v/>
      </c>
      <c r="AB11">
        <f>Calculations!AF27</f>
        <v/>
      </c>
    </row>
  </sheetData>
  <pageMargins left="0.7" right="0.7" top="0.75" bottom="0.75" header="0.3" footer="0.3"/>
  <pageSetup orientation="portrait" horizontalDpi="1200" verticalDpi="1200"/>
</worksheet>
</file>

<file path=xl/worksheets/sheet15.xml><?xml version="1.0" encoding="utf-8"?>
<worksheet xmlns="http://schemas.openxmlformats.org/spreadsheetml/2006/main">
  <sheetPr>
    <tabColor theme="3"/>
    <outlinePr summaryBelow="1" summaryRight="1"/>
    <pageSetUpPr/>
  </sheetPr>
  <dimension ref="A1:AD11"/>
  <sheetViews>
    <sheetView workbookViewId="0">
      <selection activeCell="A1" sqref="A1"/>
    </sheetView>
  </sheetViews>
  <sheetFormatPr baseColWidth="8" defaultRowHeight="14.25"/>
  <cols>
    <col width="29.796875" customWidth="1" min="1" max="1"/>
    <col width="10.53125" bestFit="1" customWidth="1" min="2" max="28"/>
  </cols>
  <sheetData>
    <row r="1">
      <c r="A1" s="1" t="inlineStr">
        <is>
          <t>Year</t>
        </is>
      </c>
      <c r="B1" s="1" t="n">
        <v>2024</v>
      </c>
      <c r="C1" s="1" t="n">
        <v>2025</v>
      </c>
      <c r="D1" s="1" t="n">
        <v>2026</v>
      </c>
      <c r="E1" s="1" t="n">
        <v>2027</v>
      </c>
      <c r="F1" s="1" t="n">
        <v>2028</v>
      </c>
      <c r="G1" s="1" t="n">
        <v>2029</v>
      </c>
      <c r="H1" s="1" t="n">
        <v>2030</v>
      </c>
      <c r="I1" s="1" t="n">
        <v>2031</v>
      </c>
      <c r="J1" s="1" t="n">
        <v>2032</v>
      </c>
      <c r="K1" s="1" t="n">
        <v>2033</v>
      </c>
      <c r="L1" s="1" t="n">
        <v>2034</v>
      </c>
      <c r="M1" s="1" t="n">
        <v>2035</v>
      </c>
      <c r="N1" s="1" t="n">
        <v>2036</v>
      </c>
      <c r="O1" s="1" t="n">
        <v>2037</v>
      </c>
      <c r="P1" s="1" t="n">
        <v>2038</v>
      </c>
      <c r="Q1" s="1" t="n">
        <v>2039</v>
      </c>
      <c r="R1" s="1" t="n">
        <v>2040</v>
      </c>
      <c r="S1" s="1" t="n">
        <v>2041</v>
      </c>
      <c r="T1" s="1" t="n">
        <v>2042</v>
      </c>
      <c r="U1" s="1" t="n">
        <v>2043</v>
      </c>
      <c r="V1" s="1" t="n">
        <v>2044</v>
      </c>
      <c r="W1" s="1" t="n">
        <v>2045</v>
      </c>
      <c r="X1" s="1" t="n">
        <v>2046</v>
      </c>
      <c r="Y1" s="1" t="n">
        <v>2047</v>
      </c>
      <c r="Z1" s="1" t="n">
        <v>2048</v>
      </c>
      <c r="AA1" s="1" t="n">
        <v>2049</v>
      </c>
      <c r="AB1" s="1" t="n">
        <v>2050</v>
      </c>
      <c r="AC1" s="1" t="n"/>
      <c r="AD1" s="1" t="n"/>
    </row>
    <row r="2">
      <c r="A2" s="1" t="inlineStr">
        <is>
          <t>electricity (BTU)</t>
        </is>
      </c>
      <c r="B2" s="76">
        <f>Calculations!F31</f>
        <v/>
      </c>
      <c r="C2" s="76">
        <f>Calculations!G31</f>
        <v/>
      </c>
      <c r="D2" s="76">
        <f>Calculations!H31</f>
        <v/>
      </c>
      <c r="E2" s="76">
        <f>Calculations!I31</f>
        <v/>
      </c>
      <c r="F2" s="76">
        <f>Calculations!J31</f>
        <v/>
      </c>
      <c r="G2" s="76">
        <f>Calculations!K31</f>
        <v/>
      </c>
      <c r="H2" s="76">
        <f>Calculations!L31</f>
        <v/>
      </c>
      <c r="I2" s="76">
        <f>Calculations!M31</f>
        <v/>
      </c>
      <c r="J2" s="76">
        <f>Calculations!N31</f>
        <v/>
      </c>
      <c r="K2" s="76">
        <f>Calculations!O31</f>
        <v/>
      </c>
      <c r="L2" s="76">
        <f>Calculations!P31</f>
        <v/>
      </c>
      <c r="M2" s="76">
        <f>Calculations!Q31</f>
        <v/>
      </c>
      <c r="N2" s="76">
        <f>Calculations!R31</f>
        <v/>
      </c>
      <c r="O2" s="76">
        <f>Calculations!S31</f>
        <v/>
      </c>
      <c r="P2" s="76">
        <f>Calculations!T31</f>
        <v/>
      </c>
      <c r="Q2" s="76">
        <f>Calculations!U31</f>
        <v/>
      </c>
      <c r="R2" s="76">
        <f>Calculations!V31</f>
        <v/>
      </c>
      <c r="S2" s="76">
        <f>Calculations!W31</f>
        <v/>
      </c>
      <c r="T2" s="76">
        <f>Calculations!X31</f>
        <v/>
      </c>
      <c r="U2" s="76">
        <f>Calculations!Y31</f>
        <v/>
      </c>
      <c r="V2" s="76">
        <f>Calculations!Z31</f>
        <v/>
      </c>
      <c r="W2" s="76">
        <f>Calculations!AA31</f>
        <v/>
      </c>
      <c r="X2" s="76">
        <f>Calculations!AB31</f>
        <v/>
      </c>
      <c r="Y2" s="76">
        <f>Calculations!AC31</f>
        <v/>
      </c>
      <c r="Z2" s="76">
        <f>Calculations!AD31</f>
        <v/>
      </c>
      <c r="AA2" s="76">
        <f>Calculations!AE31</f>
        <v/>
      </c>
      <c r="AB2" s="76">
        <f>Calculations!AF31</f>
        <v/>
      </c>
    </row>
    <row r="3">
      <c r="A3" s="1" t="inlineStr">
        <is>
          <t>coal (BTU)</t>
        </is>
      </c>
      <c r="B3" s="76">
        <f>Calculations!F32</f>
        <v/>
      </c>
      <c r="C3" s="76">
        <f>Calculations!G32</f>
        <v/>
      </c>
      <c r="D3" s="76">
        <f>Calculations!H32</f>
        <v/>
      </c>
      <c r="E3" s="76">
        <f>Calculations!I32</f>
        <v/>
      </c>
      <c r="F3" s="76">
        <f>Calculations!J32</f>
        <v/>
      </c>
      <c r="G3" s="76">
        <f>Calculations!K32</f>
        <v/>
      </c>
      <c r="H3" s="76">
        <f>Calculations!L32</f>
        <v/>
      </c>
      <c r="I3" s="76">
        <f>Calculations!M32</f>
        <v/>
      </c>
      <c r="J3" s="76">
        <f>Calculations!N32</f>
        <v/>
      </c>
      <c r="K3" s="76">
        <f>Calculations!O32</f>
        <v/>
      </c>
      <c r="L3" s="76">
        <f>Calculations!P32</f>
        <v/>
      </c>
      <c r="M3" s="76">
        <f>Calculations!Q32</f>
        <v/>
      </c>
      <c r="N3" s="76">
        <f>Calculations!R32</f>
        <v/>
      </c>
      <c r="O3" s="76">
        <f>Calculations!S32</f>
        <v/>
      </c>
      <c r="P3" s="76">
        <f>Calculations!T32</f>
        <v/>
      </c>
      <c r="Q3" s="76">
        <f>Calculations!U32</f>
        <v/>
      </c>
      <c r="R3" s="76">
        <f>Calculations!V32</f>
        <v/>
      </c>
      <c r="S3" s="76">
        <f>Calculations!W32</f>
        <v/>
      </c>
      <c r="T3" s="76">
        <f>Calculations!X32</f>
        <v/>
      </c>
      <c r="U3" s="76">
        <f>Calculations!Y32</f>
        <v/>
      </c>
      <c r="V3" s="76">
        <f>Calculations!Z32</f>
        <v/>
      </c>
      <c r="W3" s="76">
        <f>Calculations!AA32</f>
        <v/>
      </c>
      <c r="X3" s="76">
        <f>Calculations!AB32</f>
        <v/>
      </c>
      <c r="Y3" s="76">
        <f>Calculations!AC32</f>
        <v/>
      </c>
      <c r="Z3" s="76">
        <f>Calculations!AD32</f>
        <v/>
      </c>
      <c r="AA3" s="76">
        <f>Calculations!AE32</f>
        <v/>
      </c>
      <c r="AB3" s="76">
        <f>Calculations!AF32</f>
        <v/>
      </c>
    </row>
    <row r="4">
      <c r="A4" s="1" t="inlineStr">
        <is>
          <t>natural gas (BTU)</t>
        </is>
      </c>
      <c r="B4" s="76">
        <f>Calculations!F33</f>
        <v/>
      </c>
      <c r="C4" s="76">
        <f>Calculations!G33</f>
        <v/>
      </c>
      <c r="D4" s="76">
        <f>Calculations!H33</f>
        <v/>
      </c>
      <c r="E4" s="76">
        <f>Calculations!I33</f>
        <v/>
      </c>
      <c r="F4" s="76">
        <f>Calculations!J33</f>
        <v/>
      </c>
      <c r="G4" s="76">
        <f>Calculations!K33</f>
        <v/>
      </c>
      <c r="H4" s="76">
        <f>Calculations!L33</f>
        <v/>
      </c>
      <c r="I4" s="76">
        <f>Calculations!M33</f>
        <v/>
      </c>
      <c r="J4" s="76">
        <f>Calculations!N33</f>
        <v/>
      </c>
      <c r="K4" s="76">
        <f>Calculations!O33</f>
        <v/>
      </c>
      <c r="L4" s="76">
        <f>Calculations!P33</f>
        <v/>
      </c>
      <c r="M4" s="76">
        <f>Calculations!Q33</f>
        <v/>
      </c>
      <c r="N4" s="76">
        <f>Calculations!R33</f>
        <v/>
      </c>
      <c r="O4" s="76">
        <f>Calculations!S33</f>
        <v/>
      </c>
      <c r="P4" s="76">
        <f>Calculations!T33</f>
        <v/>
      </c>
      <c r="Q4" s="76">
        <f>Calculations!U33</f>
        <v/>
      </c>
      <c r="R4" s="76">
        <f>Calculations!V33</f>
        <v/>
      </c>
      <c r="S4" s="76">
        <f>Calculations!W33</f>
        <v/>
      </c>
      <c r="T4" s="76">
        <f>Calculations!X33</f>
        <v/>
      </c>
      <c r="U4" s="76">
        <f>Calculations!Y33</f>
        <v/>
      </c>
      <c r="V4" s="76">
        <f>Calculations!Z33</f>
        <v/>
      </c>
      <c r="W4" s="76">
        <f>Calculations!AA33</f>
        <v/>
      </c>
      <c r="X4" s="76">
        <f>Calculations!AB33</f>
        <v/>
      </c>
      <c r="Y4" s="76">
        <f>Calculations!AC33</f>
        <v/>
      </c>
      <c r="Z4" s="76">
        <f>Calculations!AD33</f>
        <v/>
      </c>
      <c r="AA4" s="76">
        <f>Calculations!AE33</f>
        <v/>
      </c>
      <c r="AB4" s="76">
        <f>Calculations!AF33</f>
        <v/>
      </c>
    </row>
    <row r="5">
      <c r="A5" s="1" t="inlineStr">
        <is>
          <t>petroleum diesel (BTU)</t>
        </is>
      </c>
      <c r="B5" s="76">
        <f>Calculations!F34</f>
        <v/>
      </c>
      <c r="C5" s="76">
        <f>Calculations!G34</f>
        <v/>
      </c>
      <c r="D5" s="76">
        <f>Calculations!H34</f>
        <v/>
      </c>
      <c r="E5" s="76">
        <f>Calculations!I34</f>
        <v/>
      </c>
      <c r="F5" s="76">
        <f>Calculations!J34</f>
        <v/>
      </c>
      <c r="G5" s="76">
        <f>Calculations!K34</f>
        <v/>
      </c>
      <c r="H5" s="76">
        <f>Calculations!L34</f>
        <v/>
      </c>
      <c r="I5" s="76">
        <f>Calculations!M34</f>
        <v/>
      </c>
      <c r="J5" s="76">
        <f>Calculations!N34</f>
        <v/>
      </c>
      <c r="K5" s="76">
        <f>Calculations!O34</f>
        <v/>
      </c>
      <c r="L5" s="76">
        <f>Calculations!P34</f>
        <v/>
      </c>
      <c r="M5" s="76">
        <f>Calculations!Q34</f>
        <v/>
      </c>
      <c r="N5" s="76">
        <f>Calculations!R34</f>
        <v/>
      </c>
      <c r="O5" s="76">
        <f>Calculations!S34</f>
        <v/>
      </c>
      <c r="P5" s="76">
        <f>Calculations!T34</f>
        <v/>
      </c>
      <c r="Q5" s="76">
        <f>Calculations!U34</f>
        <v/>
      </c>
      <c r="R5" s="76">
        <f>Calculations!V34</f>
        <v/>
      </c>
      <c r="S5" s="76">
        <f>Calculations!W34</f>
        <v/>
      </c>
      <c r="T5" s="76">
        <f>Calculations!X34</f>
        <v/>
      </c>
      <c r="U5" s="76">
        <f>Calculations!Y34</f>
        <v/>
      </c>
      <c r="V5" s="76">
        <f>Calculations!Z34</f>
        <v/>
      </c>
      <c r="W5" s="76">
        <f>Calculations!AA34</f>
        <v/>
      </c>
      <c r="X5" s="76">
        <f>Calculations!AB34</f>
        <v/>
      </c>
      <c r="Y5" s="76">
        <f>Calculations!AC34</f>
        <v/>
      </c>
      <c r="Z5" s="76">
        <f>Calculations!AD34</f>
        <v/>
      </c>
      <c r="AA5" s="76">
        <f>Calculations!AE34</f>
        <v/>
      </c>
      <c r="AB5" s="76">
        <f>Calculations!AF34</f>
        <v/>
      </c>
    </row>
    <row r="6">
      <c r="A6" s="1" t="inlineStr">
        <is>
          <t>heat (BTU)</t>
        </is>
      </c>
      <c r="B6" s="76">
        <f>Calculations!F35</f>
        <v/>
      </c>
      <c r="C6" s="76">
        <f>Calculations!G35</f>
        <v/>
      </c>
      <c r="D6" s="76">
        <f>Calculations!H35</f>
        <v/>
      </c>
      <c r="E6" s="76">
        <f>Calculations!I35</f>
        <v/>
      </c>
      <c r="F6" s="76">
        <f>Calculations!J35</f>
        <v/>
      </c>
      <c r="G6" s="76">
        <f>Calculations!K35</f>
        <v/>
      </c>
      <c r="H6" s="76">
        <f>Calculations!L35</f>
        <v/>
      </c>
      <c r="I6" s="76">
        <f>Calculations!M35</f>
        <v/>
      </c>
      <c r="J6" s="76">
        <f>Calculations!N35</f>
        <v/>
      </c>
      <c r="K6" s="76">
        <f>Calculations!O35</f>
        <v/>
      </c>
      <c r="L6" s="76">
        <f>Calculations!P35</f>
        <v/>
      </c>
      <c r="M6" s="76">
        <f>Calculations!Q35</f>
        <v/>
      </c>
      <c r="N6" s="76">
        <f>Calculations!R35</f>
        <v/>
      </c>
      <c r="O6" s="76">
        <f>Calculations!S35</f>
        <v/>
      </c>
      <c r="P6" s="76">
        <f>Calculations!T35</f>
        <v/>
      </c>
      <c r="Q6" s="76">
        <f>Calculations!U35</f>
        <v/>
      </c>
      <c r="R6" s="76">
        <f>Calculations!V35</f>
        <v/>
      </c>
      <c r="S6" s="76">
        <f>Calculations!W35</f>
        <v/>
      </c>
      <c r="T6" s="76">
        <f>Calculations!X35</f>
        <v/>
      </c>
      <c r="U6" s="76">
        <f>Calculations!Y35</f>
        <v/>
      </c>
      <c r="V6" s="76">
        <f>Calculations!Z35</f>
        <v/>
      </c>
      <c r="W6" s="76">
        <f>Calculations!AA35</f>
        <v/>
      </c>
      <c r="X6" s="76">
        <f>Calculations!AB35</f>
        <v/>
      </c>
      <c r="Y6" s="76">
        <f>Calculations!AC35</f>
        <v/>
      </c>
      <c r="Z6" s="76">
        <f>Calculations!AD35</f>
        <v/>
      </c>
      <c r="AA6" s="76">
        <f>Calculations!AE35</f>
        <v/>
      </c>
      <c r="AB6" s="76">
        <f>Calculations!AF35</f>
        <v/>
      </c>
    </row>
    <row r="7">
      <c r="A7" s="1" t="inlineStr">
        <is>
          <t>biomass (BTU)</t>
        </is>
      </c>
      <c r="B7" s="76">
        <f>Calculations!F36</f>
        <v/>
      </c>
      <c r="C7" s="76">
        <f>Calculations!G36</f>
        <v/>
      </c>
      <c r="D7" s="76">
        <f>Calculations!H36</f>
        <v/>
      </c>
      <c r="E7" s="76">
        <f>Calculations!I36</f>
        <v/>
      </c>
      <c r="F7" s="76">
        <f>Calculations!J36</f>
        <v/>
      </c>
      <c r="G7" s="76">
        <f>Calculations!K36</f>
        <v/>
      </c>
      <c r="H7" s="76">
        <f>Calculations!L36</f>
        <v/>
      </c>
      <c r="I7" s="76">
        <f>Calculations!M36</f>
        <v/>
      </c>
      <c r="J7" s="76">
        <f>Calculations!N36</f>
        <v/>
      </c>
      <c r="K7" s="76">
        <f>Calculations!O36</f>
        <v/>
      </c>
      <c r="L7" s="76">
        <f>Calculations!P36</f>
        <v/>
      </c>
      <c r="M7" s="76">
        <f>Calculations!Q36</f>
        <v/>
      </c>
      <c r="N7" s="76">
        <f>Calculations!R36</f>
        <v/>
      </c>
      <c r="O7" s="76">
        <f>Calculations!S36</f>
        <v/>
      </c>
      <c r="P7" s="76">
        <f>Calculations!T36</f>
        <v/>
      </c>
      <c r="Q7" s="76">
        <f>Calculations!U36</f>
        <v/>
      </c>
      <c r="R7" s="76">
        <f>Calculations!V36</f>
        <v/>
      </c>
      <c r="S7" s="76">
        <f>Calculations!W36</f>
        <v/>
      </c>
      <c r="T7" s="76">
        <f>Calculations!X36</f>
        <v/>
      </c>
      <c r="U7" s="76">
        <f>Calculations!Y36</f>
        <v/>
      </c>
      <c r="V7" s="76">
        <f>Calculations!Z36</f>
        <v/>
      </c>
      <c r="W7" s="76">
        <f>Calculations!AA36</f>
        <v/>
      </c>
      <c r="X7" s="76">
        <f>Calculations!AB36</f>
        <v/>
      </c>
      <c r="Y7" s="76">
        <f>Calculations!AC36</f>
        <v/>
      </c>
      <c r="Z7" s="76">
        <f>Calculations!AD36</f>
        <v/>
      </c>
      <c r="AA7" s="76">
        <f>Calculations!AE36</f>
        <v/>
      </c>
      <c r="AB7" s="76">
        <f>Calculations!AF36</f>
        <v/>
      </c>
    </row>
    <row r="8">
      <c r="A8" s="1" t="inlineStr">
        <is>
          <t>kerosene (BTU)</t>
        </is>
      </c>
      <c r="B8" s="76">
        <f>Calculations!F37</f>
        <v/>
      </c>
      <c r="C8" s="76">
        <f>Calculations!G37</f>
        <v/>
      </c>
      <c r="D8" s="76">
        <f>Calculations!H37</f>
        <v/>
      </c>
      <c r="E8" s="76">
        <f>Calculations!I37</f>
        <v/>
      </c>
      <c r="F8" s="76">
        <f>Calculations!J37</f>
        <v/>
      </c>
      <c r="G8" s="76">
        <f>Calculations!K37</f>
        <v/>
      </c>
      <c r="H8" s="76">
        <f>Calculations!L37</f>
        <v/>
      </c>
      <c r="I8" s="76">
        <f>Calculations!M37</f>
        <v/>
      </c>
      <c r="J8" s="76">
        <f>Calculations!N37</f>
        <v/>
      </c>
      <c r="K8" s="76">
        <f>Calculations!O37</f>
        <v/>
      </c>
      <c r="L8" s="76">
        <f>Calculations!P37</f>
        <v/>
      </c>
      <c r="M8" s="76">
        <f>Calculations!Q37</f>
        <v/>
      </c>
      <c r="N8" s="76">
        <f>Calculations!R37</f>
        <v/>
      </c>
      <c r="O8" s="76">
        <f>Calculations!S37</f>
        <v/>
      </c>
      <c r="P8" s="76">
        <f>Calculations!T37</f>
        <v/>
      </c>
      <c r="Q8" s="76">
        <f>Calculations!U37</f>
        <v/>
      </c>
      <c r="R8" s="76">
        <f>Calculations!V37</f>
        <v/>
      </c>
      <c r="S8" s="76">
        <f>Calculations!W37</f>
        <v/>
      </c>
      <c r="T8" s="76">
        <f>Calculations!X37</f>
        <v/>
      </c>
      <c r="U8" s="76">
        <f>Calculations!Y37</f>
        <v/>
      </c>
      <c r="V8" s="76">
        <f>Calculations!Z37</f>
        <v/>
      </c>
      <c r="W8" s="76">
        <f>Calculations!AA37</f>
        <v/>
      </c>
      <c r="X8" s="76">
        <f>Calculations!AB37</f>
        <v/>
      </c>
      <c r="Y8" s="76">
        <f>Calculations!AC37</f>
        <v/>
      </c>
      <c r="Z8" s="76">
        <f>Calculations!AD37</f>
        <v/>
      </c>
      <c r="AA8" s="76">
        <f>Calculations!AE37</f>
        <v/>
      </c>
      <c r="AB8" s="76">
        <f>Calculations!AF37</f>
        <v/>
      </c>
    </row>
    <row r="9">
      <c r="A9" s="1" t="inlineStr">
        <is>
          <t>heavy or residual fuel oil (BTU)</t>
        </is>
      </c>
      <c r="B9" s="76">
        <f>Calculations!F38</f>
        <v/>
      </c>
      <c r="C9" s="76">
        <f>Calculations!G38</f>
        <v/>
      </c>
      <c r="D9" s="76">
        <f>Calculations!H38</f>
        <v/>
      </c>
      <c r="E9" s="76">
        <f>Calculations!I38</f>
        <v/>
      </c>
      <c r="F9" s="76">
        <f>Calculations!J38</f>
        <v/>
      </c>
      <c r="G9" s="76">
        <f>Calculations!K38</f>
        <v/>
      </c>
      <c r="H9" s="76">
        <f>Calculations!L38</f>
        <v/>
      </c>
      <c r="I9" s="76">
        <f>Calculations!M38</f>
        <v/>
      </c>
      <c r="J9" s="76">
        <f>Calculations!N38</f>
        <v/>
      </c>
      <c r="K9" s="76">
        <f>Calculations!O38</f>
        <v/>
      </c>
      <c r="L9" s="76">
        <f>Calculations!P38</f>
        <v/>
      </c>
      <c r="M9" s="76">
        <f>Calculations!Q38</f>
        <v/>
      </c>
      <c r="N9" s="76">
        <f>Calculations!R38</f>
        <v/>
      </c>
      <c r="O9" s="76">
        <f>Calculations!S38</f>
        <v/>
      </c>
      <c r="P9" s="76">
        <f>Calculations!T38</f>
        <v/>
      </c>
      <c r="Q9" s="76">
        <f>Calculations!U38</f>
        <v/>
      </c>
      <c r="R9" s="76">
        <f>Calculations!V38</f>
        <v/>
      </c>
      <c r="S9" s="76">
        <f>Calculations!W38</f>
        <v/>
      </c>
      <c r="T9" s="76">
        <f>Calculations!X38</f>
        <v/>
      </c>
      <c r="U9" s="76">
        <f>Calculations!Y38</f>
        <v/>
      </c>
      <c r="V9" s="76">
        <f>Calculations!Z38</f>
        <v/>
      </c>
      <c r="W9" s="76">
        <f>Calculations!AA38</f>
        <v/>
      </c>
      <c r="X9" s="76">
        <f>Calculations!AB38</f>
        <v/>
      </c>
      <c r="Y9" s="76">
        <f>Calculations!AC38</f>
        <v/>
      </c>
      <c r="Z9" s="76">
        <f>Calculations!AD38</f>
        <v/>
      </c>
      <c r="AA9" s="76">
        <f>Calculations!AE38</f>
        <v/>
      </c>
      <c r="AB9" s="76">
        <f>Calculations!AF38</f>
        <v/>
      </c>
    </row>
    <row r="10">
      <c r="A10" s="1" t="inlineStr">
        <is>
          <t>LPG propane or butane (BTU)</t>
        </is>
      </c>
      <c r="B10" s="76">
        <f>Calculations!F39</f>
        <v/>
      </c>
      <c r="C10" s="76">
        <f>Calculations!G39</f>
        <v/>
      </c>
      <c r="D10" s="76">
        <f>Calculations!H39</f>
        <v/>
      </c>
      <c r="E10" s="76">
        <f>Calculations!I39</f>
        <v/>
      </c>
      <c r="F10" s="76">
        <f>Calculations!J39</f>
        <v/>
      </c>
      <c r="G10" s="76">
        <f>Calculations!K39</f>
        <v/>
      </c>
      <c r="H10" s="76">
        <f>Calculations!L39</f>
        <v/>
      </c>
      <c r="I10" s="76">
        <f>Calculations!M39</f>
        <v/>
      </c>
      <c r="J10" s="76">
        <f>Calculations!N39</f>
        <v/>
      </c>
      <c r="K10" s="76">
        <f>Calculations!O39</f>
        <v/>
      </c>
      <c r="L10" s="76">
        <f>Calculations!P39</f>
        <v/>
      </c>
      <c r="M10" s="76">
        <f>Calculations!Q39</f>
        <v/>
      </c>
      <c r="N10" s="76">
        <f>Calculations!R39</f>
        <v/>
      </c>
      <c r="O10" s="76">
        <f>Calculations!S39</f>
        <v/>
      </c>
      <c r="P10" s="76">
        <f>Calculations!T39</f>
        <v/>
      </c>
      <c r="Q10" s="76">
        <f>Calculations!U39</f>
        <v/>
      </c>
      <c r="R10" s="76">
        <f>Calculations!V39</f>
        <v/>
      </c>
      <c r="S10" s="76">
        <f>Calculations!W39</f>
        <v/>
      </c>
      <c r="T10" s="76">
        <f>Calculations!X39</f>
        <v/>
      </c>
      <c r="U10" s="76">
        <f>Calculations!Y39</f>
        <v/>
      </c>
      <c r="V10" s="76">
        <f>Calculations!Z39</f>
        <v/>
      </c>
      <c r="W10" s="76">
        <f>Calculations!AA39</f>
        <v/>
      </c>
      <c r="X10" s="76">
        <f>Calculations!AB39</f>
        <v/>
      </c>
      <c r="Y10" s="76">
        <f>Calculations!AC39</f>
        <v/>
      </c>
      <c r="Z10" s="76">
        <f>Calculations!AD39</f>
        <v/>
      </c>
      <c r="AA10" s="76">
        <f>Calculations!AE39</f>
        <v/>
      </c>
      <c r="AB10" s="76">
        <f>Calculations!AF39</f>
        <v/>
      </c>
    </row>
    <row r="11">
      <c r="A11" s="1" t="inlineStr">
        <is>
          <t>hydrogen (BTU)</t>
        </is>
      </c>
      <c r="B11" s="76">
        <f>Calculations!F40</f>
        <v/>
      </c>
      <c r="C11" s="76">
        <f>Calculations!G40</f>
        <v/>
      </c>
      <c r="D11" s="76">
        <f>Calculations!H40</f>
        <v/>
      </c>
      <c r="E11" s="76">
        <f>Calculations!I40</f>
        <v/>
      </c>
      <c r="F11" s="76">
        <f>Calculations!J40</f>
        <v/>
      </c>
      <c r="G11" s="76">
        <f>Calculations!K40</f>
        <v/>
      </c>
      <c r="H11" s="76">
        <f>Calculations!L40</f>
        <v/>
      </c>
      <c r="I11" s="76">
        <f>Calculations!M40</f>
        <v/>
      </c>
      <c r="J11" s="76">
        <f>Calculations!N40</f>
        <v/>
      </c>
      <c r="K11" s="76">
        <f>Calculations!O40</f>
        <v/>
      </c>
      <c r="L11" s="76">
        <f>Calculations!P40</f>
        <v/>
      </c>
      <c r="M11" s="76">
        <f>Calculations!Q40</f>
        <v/>
      </c>
      <c r="N11" s="76">
        <f>Calculations!R40</f>
        <v/>
      </c>
      <c r="O11" s="76">
        <f>Calculations!S40</f>
        <v/>
      </c>
      <c r="P11" s="76">
        <f>Calculations!T40</f>
        <v/>
      </c>
      <c r="Q11" s="76">
        <f>Calculations!U40</f>
        <v/>
      </c>
      <c r="R11" s="76">
        <f>Calculations!V40</f>
        <v/>
      </c>
      <c r="S11" s="76">
        <f>Calculations!W40</f>
        <v/>
      </c>
      <c r="T11" s="76">
        <f>Calculations!X40</f>
        <v/>
      </c>
      <c r="U11" s="76">
        <f>Calculations!Y40</f>
        <v/>
      </c>
      <c r="V11" s="76">
        <f>Calculations!Z40</f>
        <v/>
      </c>
      <c r="W11" s="76">
        <f>Calculations!AA40</f>
        <v/>
      </c>
      <c r="X11" s="76">
        <f>Calculations!AB40</f>
        <v/>
      </c>
      <c r="Y11" s="76">
        <f>Calculations!AC40</f>
        <v/>
      </c>
      <c r="Z11" s="76">
        <f>Calculations!AD40</f>
        <v/>
      </c>
      <c r="AA11" s="76">
        <f>Calculations!AE40</f>
        <v/>
      </c>
      <c r="AB11" s="76">
        <f>Calculations!AF40</f>
        <v/>
      </c>
    </row>
  </sheetData>
  <pageMargins left="0.7" right="0.7" top="0.75" bottom="0.75" header="0.3" footer="0.3"/>
  <pageSetup orientation="portrait" horizontalDpi="1200" verticalDpi="1200"/>
</worksheet>
</file>

<file path=xl/worksheets/sheet16.xml><?xml version="1.0" encoding="utf-8"?>
<worksheet xmlns="http://schemas.openxmlformats.org/spreadsheetml/2006/main">
  <sheetPr>
    <tabColor theme="3"/>
    <outlinePr summaryBelow="1" summaryRight="1"/>
    <pageSetUpPr/>
  </sheetPr>
  <dimension ref="A1:AD11"/>
  <sheetViews>
    <sheetView workbookViewId="0">
      <selection activeCell="A1" sqref="A1"/>
    </sheetView>
  </sheetViews>
  <sheetFormatPr baseColWidth="8" defaultRowHeight="14.25"/>
  <cols>
    <col width="29.796875" customWidth="1" min="1" max="1"/>
    <col width="13.53125" customWidth="1" min="2" max="28"/>
  </cols>
  <sheetData>
    <row r="1">
      <c r="A1" s="1" t="inlineStr">
        <is>
          <t>Year</t>
        </is>
      </c>
      <c r="B1" s="1" t="n">
        <v>2024</v>
      </c>
      <c r="C1" s="1" t="n">
        <v>2025</v>
      </c>
      <c r="D1" s="1" t="n">
        <v>2026</v>
      </c>
      <c r="E1" s="1" t="n">
        <v>2027</v>
      </c>
      <c r="F1" s="1" t="n">
        <v>2028</v>
      </c>
      <c r="G1" s="1" t="n">
        <v>2029</v>
      </c>
      <c r="H1" s="1" t="n">
        <v>2030</v>
      </c>
      <c r="I1" s="1" t="n">
        <v>2031</v>
      </c>
      <c r="J1" s="1" t="n">
        <v>2032</v>
      </c>
      <c r="K1" s="1" t="n">
        <v>2033</v>
      </c>
      <c r="L1" s="1" t="n">
        <v>2034</v>
      </c>
      <c r="M1" s="1" t="n">
        <v>2035</v>
      </c>
      <c r="N1" s="1" t="n">
        <v>2036</v>
      </c>
      <c r="O1" s="1" t="n">
        <v>2037</v>
      </c>
      <c r="P1" s="1" t="n">
        <v>2038</v>
      </c>
      <c r="Q1" s="1" t="n">
        <v>2039</v>
      </c>
      <c r="R1" s="1" t="n">
        <v>2040</v>
      </c>
      <c r="S1" s="1" t="n">
        <v>2041</v>
      </c>
      <c r="T1" s="1" t="n">
        <v>2042</v>
      </c>
      <c r="U1" s="1" t="n">
        <v>2043</v>
      </c>
      <c r="V1" s="1" t="n">
        <v>2044</v>
      </c>
      <c r="W1" s="1" t="n">
        <v>2045</v>
      </c>
      <c r="X1" s="1" t="n">
        <v>2046</v>
      </c>
      <c r="Y1" s="1" t="n">
        <v>2047</v>
      </c>
      <c r="Z1" s="1" t="n">
        <v>2048</v>
      </c>
      <c r="AA1" s="1" t="n">
        <v>2049</v>
      </c>
      <c r="AB1" s="1" t="n">
        <v>2050</v>
      </c>
      <c r="AC1" s="1" t="n"/>
      <c r="AD1" s="1" t="n"/>
    </row>
    <row r="2">
      <c r="A2" s="1" t="inlineStr">
        <is>
          <t>electricity (BTU)</t>
        </is>
      </c>
      <c r="B2" s="76">
        <f>Calculations!F44</f>
        <v/>
      </c>
      <c r="C2" s="76">
        <f>Calculations!G44</f>
        <v/>
      </c>
      <c r="D2" s="76">
        <f>Calculations!H44</f>
        <v/>
      </c>
      <c r="E2" s="76">
        <f>Calculations!I44</f>
        <v/>
      </c>
      <c r="F2" s="76">
        <f>Calculations!J44</f>
        <v/>
      </c>
      <c r="G2" s="76">
        <f>Calculations!K44</f>
        <v/>
      </c>
      <c r="H2" s="76">
        <f>Calculations!L44</f>
        <v/>
      </c>
      <c r="I2" s="76">
        <f>Calculations!M44</f>
        <v/>
      </c>
      <c r="J2" s="76">
        <f>Calculations!N44</f>
        <v/>
      </c>
      <c r="K2" s="76">
        <f>Calculations!O44</f>
        <v/>
      </c>
      <c r="L2" s="76">
        <f>Calculations!P44</f>
        <v/>
      </c>
      <c r="M2" s="76">
        <f>Calculations!Q44</f>
        <v/>
      </c>
      <c r="N2" s="76">
        <f>Calculations!R44</f>
        <v/>
      </c>
      <c r="O2" s="76">
        <f>Calculations!S44</f>
        <v/>
      </c>
      <c r="P2" s="76">
        <f>Calculations!T44</f>
        <v/>
      </c>
      <c r="Q2" s="76">
        <f>Calculations!U44</f>
        <v/>
      </c>
      <c r="R2" s="76">
        <f>Calculations!V44</f>
        <v/>
      </c>
      <c r="S2" s="76">
        <f>Calculations!W44</f>
        <v/>
      </c>
      <c r="T2" s="76">
        <f>Calculations!X44</f>
        <v/>
      </c>
      <c r="U2" s="76">
        <f>Calculations!Y44</f>
        <v/>
      </c>
      <c r="V2" s="76">
        <f>Calculations!Z44</f>
        <v/>
      </c>
      <c r="W2" s="76">
        <f>Calculations!AA44</f>
        <v/>
      </c>
      <c r="X2" s="76">
        <f>Calculations!AB44</f>
        <v/>
      </c>
      <c r="Y2" s="76">
        <f>Calculations!AC44</f>
        <v/>
      </c>
      <c r="Z2" s="76">
        <f>Calculations!AD44</f>
        <v/>
      </c>
      <c r="AA2" s="76">
        <f>Calculations!AE44</f>
        <v/>
      </c>
      <c r="AB2" s="76">
        <f>Calculations!AF44</f>
        <v/>
      </c>
    </row>
    <row r="3">
      <c r="A3" s="1" t="inlineStr">
        <is>
          <t>coal (BTU)</t>
        </is>
      </c>
      <c r="B3" s="76">
        <f>Calculations!F45</f>
        <v/>
      </c>
      <c r="C3" s="76">
        <f>Calculations!G45</f>
        <v/>
      </c>
      <c r="D3" s="76">
        <f>Calculations!H45</f>
        <v/>
      </c>
      <c r="E3" s="76">
        <f>Calculations!I45</f>
        <v/>
      </c>
      <c r="F3" s="76">
        <f>Calculations!J45</f>
        <v/>
      </c>
      <c r="G3" s="76">
        <f>Calculations!K45</f>
        <v/>
      </c>
      <c r="H3" s="76">
        <f>Calculations!L45</f>
        <v/>
      </c>
      <c r="I3" s="76">
        <f>Calculations!M45</f>
        <v/>
      </c>
      <c r="J3" s="76">
        <f>Calculations!N45</f>
        <v/>
      </c>
      <c r="K3" s="76">
        <f>Calculations!O45</f>
        <v/>
      </c>
      <c r="L3" s="76">
        <f>Calculations!P45</f>
        <v/>
      </c>
      <c r="M3" s="76">
        <f>Calculations!Q45</f>
        <v/>
      </c>
      <c r="N3" s="76">
        <f>Calculations!R45</f>
        <v/>
      </c>
      <c r="O3" s="76">
        <f>Calculations!S45</f>
        <v/>
      </c>
      <c r="P3" s="76">
        <f>Calculations!T45</f>
        <v/>
      </c>
      <c r="Q3" s="76">
        <f>Calculations!U45</f>
        <v/>
      </c>
      <c r="R3" s="76">
        <f>Calculations!V45</f>
        <v/>
      </c>
      <c r="S3" s="76">
        <f>Calculations!W45</f>
        <v/>
      </c>
      <c r="T3" s="76">
        <f>Calculations!X45</f>
        <v/>
      </c>
      <c r="U3" s="76">
        <f>Calculations!Y45</f>
        <v/>
      </c>
      <c r="V3" s="76">
        <f>Calculations!Z45</f>
        <v/>
      </c>
      <c r="W3" s="76">
        <f>Calculations!AA45</f>
        <v/>
      </c>
      <c r="X3" s="76">
        <f>Calculations!AB45</f>
        <v/>
      </c>
      <c r="Y3" s="76">
        <f>Calculations!AC45</f>
        <v/>
      </c>
      <c r="Z3" s="76">
        <f>Calculations!AD45</f>
        <v/>
      </c>
      <c r="AA3" s="76">
        <f>Calculations!AE45</f>
        <v/>
      </c>
      <c r="AB3" s="76">
        <f>Calculations!AF45</f>
        <v/>
      </c>
    </row>
    <row r="4">
      <c r="A4" s="1" t="inlineStr">
        <is>
          <t>natural gas (BTU)</t>
        </is>
      </c>
      <c r="B4" s="76">
        <f>Calculations!F46</f>
        <v/>
      </c>
      <c r="C4" s="76">
        <f>Calculations!G46</f>
        <v/>
      </c>
      <c r="D4" s="76">
        <f>Calculations!H46</f>
        <v/>
      </c>
      <c r="E4" s="76">
        <f>Calculations!I46</f>
        <v/>
      </c>
      <c r="F4" s="76">
        <f>Calculations!J46</f>
        <v/>
      </c>
      <c r="G4" s="76">
        <f>Calculations!K46</f>
        <v/>
      </c>
      <c r="H4" s="76">
        <f>Calculations!L46</f>
        <v/>
      </c>
      <c r="I4" s="76">
        <f>Calculations!M46</f>
        <v/>
      </c>
      <c r="J4" s="76">
        <f>Calculations!N46</f>
        <v/>
      </c>
      <c r="K4" s="76">
        <f>Calculations!O46</f>
        <v/>
      </c>
      <c r="L4" s="76">
        <f>Calculations!P46</f>
        <v/>
      </c>
      <c r="M4" s="76">
        <f>Calculations!Q46</f>
        <v/>
      </c>
      <c r="N4" s="76">
        <f>Calculations!R46</f>
        <v/>
      </c>
      <c r="O4" s="76">
        <f>Calculations!S46</f>
        <v/>
      </c>
      <c r="P4" s="76">
        <f>Calculations!T46</f>
        <v/>
      </c>
      <c r="Q4" s="76">
        <f>Calculations!U46</f>
        <v/>
      </c>
      <c r="R4" s="76">
        <f>Calculations!V46</f>
        <v/>
      </c>
      <c r="S4" s="76">
        <f>Calculations!W46</f>
        <v/>
      </c>
      <c r="T4" s="76">
        <f>Calculations!X46</f>
        <v/>
      </c>
      <c r="U4" s="76">
        <f>Calculations!Y46</f>
        <v/>
      </c>
      <c r="V4" s="76">
        <f>Calculations!Z46</f>
        <v/>
      </c>
      <c r="W4" s="76">
        <f>Calculations!AA46</f>
        <v/>
      </c>
      <c r="X4" s="76">
        <f>Calculations!AB46</f>
        <v/>
      </c>
      <c r="Y4" s="76">
        <f>Calculations!AC46</f>
        <v/>
      </c>
      <c r="Z4" s="76">
        <f>Calculations!AD46</f>
        <v/>
      </c>
      <c r="AA4" s="76">
        <f>Calculations!AE46</f>
        <v/>
      </c>
      <c r="AB4" s="76">
        <f>Calculations!AF46</f>
        <v/>
      </c>
    </row>
    <row r="5">
      <c r="A5" s="1" t="inlineStr">
        <is>
          <t>petroleum diesel (BTU)</t>
        </is>
      </c>
      <c r="B5" s="76">
        <f>Calculations!F47</f>
        <v/>
      </c>
      <c r="C5" s="76">
        <f>Calculations!G47</f>
        <v/>
      </c>
      <c r="D5" s="76">
        <f>Calculations!H47</f>
        <v/>
      </c>
      <c r="E5" s="76">
        <f>Calculations!I47</f>
        <v/>
      </c>
      <c r="F5" s="76">
        <f>Calculations!J47</f>
        <v/>
      </c>
      <c r="G5" s="76">
        <f>Calculations!K47</f>
        <v/>
      </c>
      <c r="H5" s="76">
        <f>Calculations!L47</f>
        <v/>
      </c>
      <c r="I5" s="76">
        <f>Calculations!M47</f>
        <v/>
      </c>
      <c r="J5" s="76">
        <f>Calculations!N47</f>
        <v/>
      </c>
      <c r="K5" s="76">
        <f>Calculations!O47</f>
        <v/>
      </c>
      <c r="L5" s="76">
        <f>Calculations!P47</f>
        <v/>
      </c>
      <c r="M5" s="76">
        <f>Calculations!Q47</f>
        <v/>
      </c>
      <c r="N5" s="76">
        <f>Calculations!R47</f>
        <v/>
      </c>
      <c r="O5" s="76">
        <f>Calculations!S47</f>
        <v/>
      </c>
      <c r="P5" s="76">
        <f>Calculations!T47</f>
        <v/>
      </c>
      <c r="Q5" s="76">
        <f>Calculations!U47</f>
        <v/>
      </c>
      <c r="R5" s="76">
        <f>Calculations!V47</f>
        <v/>
      </c>
      <c r="S5" s="76">
        <f>Calculations!W47</f>
        <v/>
      </c>
      <c r="T5" s="76">
        <f>Calculations!X47</f>
        <v/>
      </c>
      <c r="U5" s="76">
        <f>Calculations!Y47</f>
        <v/>
      </c>
      <c r="V5" s="76">
        <f>Calculations!Z47</f>
        <v/>
      </c>
      <c r="W5" s="76">
        <f>Calculations!AA47</f>
        <v/>
      </c>
      <c r="X5" s="76">
        <f>Calculations!AB47</f>
        <v/>
      </c>
      <c r="Y5" s="76">
        <f>Calculations!AC47</f>
        <v/>
      </c>
      <c r="Z5" s="76">
        <f>Calculations!AD47</f>
        <v/>
      </c>
      <c r="AA5" s="76">
        <f>Calculations!AE47</f>
        <v/>
      </c>
      <c r="AB5" s="76">
        <f>Calculations!AF47</f>
        <v/>
      </c>
    </row>
    <row r="6">
      <c r="A6" s="1" t="inlineStr">
        <is>
          <t>heat (BTU)</t>
        </is>
      </c>
      <c r="B6" s="76">
        <f>Calculations!F48</f>
        <v/>
      </c>
      <c r="C6" s="76">
        <f>Calculations!G48</f>
        <v/>
      </c>
      <c r="D6" s="76">
        <f>Calculations!H48</f>
        <v/>
      </c>
      <c r="E6" s="76">
        <f>Calculations!I48</f>
        <v/>
      </c>
      <c r="F6" s="76">
        <f>Calculations!J48</f>
        <v/>
      </c>
      <c r="G6" s="76">
        <f>Calculations!K48</f>
        <v/>
      </c>
      <c r="H6" s="76">
        <f>Calculations!L48</f>
        <v/>
      </c>
      <c r="I6" s="76">
        <f>Calculations!M48</f>
        <v/>
      </c>
      <c r="J6" s="76">
        <f>Calculations!N48</f>
        <v/>
      </c>
      <c r="K6" s="76">
        <f>Calculations!O48</f>
        <v/>
      </c>
      <c r="L6" s="76">
        <f>Calculations!P48</f>
        <v/>
      </c>
      <c r="M6" s="76">
        <f>Calculations!Q48</f>
        <v/>
      </c>
      <c r="N6" s="76">
        <f>Calculations!R48</f>
        <v/>
      </c>
      <c r="O6" s="76">
        <f>Calculations!S48</f>
        <v/>
      </c>
      <c r="P6" s="76">
        <f>Calculations!T48</f>
        <v/>
      </c>
      <c r="Q6" s="76">
        <f>Calculations!U48</f>
        <v/>
      </c>
      <c r="R6" s="76">
        <f>Calculations!V48</f>
        <v/>
      </c>
      <c r="S6" s="76">
        <f>Calculations!W48</f>
        <v/>
      </c>
      <c r="T6" s="76">
        <f>Calculations!X48</f>
        <v/>
      </c>
      <c r="U6" s="76">
        <f>Calculations!Y48</f>
        <v/>
      </c>
      <c r="V6" s="76">
        <f>Calculations!Z48</f>
        <v/>
      </c>
      <c r="W6" s="76">
        <f>Calculations!AA48</f>
        <v/>
      </c>
      <c r="X6" s="76">
        <f>Calculations!AB48</f>
        <v/>
      </c>
      <c r="Y6" s="76">
        <f>Calculations!AC48</f>
        <v/>
      </c>
      <c r="Z6" s="76">
        <f>Calculations!AD48</f>
        <v/>
      </c>
      <c r="AA6" s="76">
        <f>Calculations!AE48</f>
        <v/>
      </c>
      <c r="AB6" s="76">
        <f>Calculations!AF48</f>
        <v/>
      </c>
    </row>
    <row r="7">
      <c r="A7" s="1" t="inlineStr">
        <is>
          <t>biomass (BTU)</t>
        </is>
      </c>
      <c r="B7" s="76">
        <f>Calculations!F49</f>
        <v/>
      </c>
      <c r="C7" s="76">
        <f>Calculations!G49</f>
        <v/>
      </c>
      <c r="D7" s="76">
        <f>Calculations!H49</f>
        <v/>
      </c>
      <c r="E7" s="76">
        <f>Calculations!I49</f>
        <v/>
      </c>
      <c r="F7" s="76">
        <f>Calculations!J49</f>
        <v/>
      </c>
      <c r="G7" s="76">
        <f>Calculations!K49</f>
        <v/>
      </c>
      <c r="H7" s="76">
        <f>Calculations!L49</f>
        <v/>
      </c>
      <c r="I7" s="76">
        <f>Calculations!M49</f>
        <v/>
      </c>
      <c r="J7" s="76">
        <f>Calculations!N49</f>
        <v/>
      </c>
      <c r="K7" s="76">
        <f>Calculations!O49</f>
        <v/>
      </c>
      <c r="L7" s="76">
        <f>Calculations!P49</f>
        <v/>
      </c>
      <c r="M7" s="76">
        <f>Calculations!Q49</f>
        <v/>
      </c>
      <c r="N7" s="76">
        <f>Calculations!R49</f>
        <v/>
      </c>
      <c r="O7" s="76">
        <f>Calculations!S49</f>
        <v/>
      </c>
      <c r="P7" s="76">
        <f>Calculations!T49</f>
        <v/>
      </c>
      <c r="Q7" s="76">
        <f>Calculations!U49</f>
        <v/>
      </c>
      <c r="R7" s="76">
        <f>Calculations!V49</f>
        <v/>
      </c>
      <c r="S7" s="76">
        <f>Calculations!W49</f>
        <v/>
      </c>
      <c r="T7" s="76">
        <f>Calculations!X49</f>
        <v/>
      </c>
      <c r="U7" s="76">
        <f>Calculations!Y49</f>
        <v/>
      </c>
      <c r="V7" s="76">
        <f>Calculations!Z49</f>
        <v/>
      </c>
      <c r="W7" s="76">
        <f>Calculations!AA49</f>
        <v/>
      </c>
      <c r="X7" s="76">
        <f>Calculations!AB49</f>
        <v/>
      </c>
      <c r="Y7" s="76">
        <f>Calculations!AC49</f>
        <v/>
      </c>
      <c r="Z7" s="76">
        <f>Calculations!AD49</f>
        <v/>
      </c>
      <c r="AA7" s="76">
        <f>Calculations!AE49</f>
        <v/>
      </c>
      <c r="AB7" s="76">
        <f>Calculations!AF49</f>
        <v/>
      </c>
    </row>
    <row r="8">
      <c r="A8" s="1" t="inlineStr">
        <is>
          <t>kerosene (BTU)</t>
        </is>
      </c>
      <c r="B8" s="76">
        <f>Calculations!F50</f>
        <v/>
      </c>
      <c r="C8" s="76">
        <f>Calculations!G50</f>
        <v/>
      </c>
      <c r="D8" s="76">
        <f>Calculations!H50</f>
        <v/>
      </c>
      <c r="E8" s="76">
        <f>Calculations!I50</f>
        <v/>
      </c>
      <c r="F8" s="76">
        <f>Calculations!J50</f>
        <v/>
      </c>
      <c r="G8" s="76">
        <f>Calculations!K50</f>
        <v/>
      </c>
      <c r="H8" s="76">
        <f>Calculations!L50</f>
        <v/>
      </c>
      <c r="I8" s="76">
        <f>Calculations!M50</f>
        <v/>
      </c>
      <c r="J8" s="76">
        <f>Calculations!N50</f>
        <v/>
      </c>
      <c r="K8" s="76">
        <f>Calculations!O50</f>
        <v/>
      </c>
      <c r="L8" s="76">
        <f>Calculations!P50</f>
        <v/>
      </c>
      <c r="M8" s="76">
        <f>Calculations!Q50</f>
        <v/>
      </c>
      <c r="N8" s="76">
        <f>Calculations!R50</f>
        <v/>
      </c>
      <c r="O8" s="76">
        <f>Calculations!S50</f>
        <v/>
      </c>
      <c r="P8" s="76">
        <f>Calculations!T50</f>
        <v/>
      </c>
      <c r="Q8" s="76">
        <f>Calculations!U50</f>
        <v/>
      </c>
      <c r="R8" s="76">
        <f>Calculations!V50</f>
        <v/>
      </c>
      <c r="S8" s="76">
        <f>Calculations!W50</f>
        <v/>
      </c>
      <c r="T8" s="76">
        <f>Calculations!X50</f>
        <v/>
      </c>
      <c r="U8" s="76">
        <f>Calculations!Y50</f>
        <v/>
      </c>
      <c r="V8" s="76">
        <f>Calculations!Z50</f>
        <v/>
      </c>
      <c r="W8" s="76">
        <f>Calculations!AA50</f>
        <v/>
      </c>
      <c r="X8" s="76">
        <f>Calculations!AB50</f>
        <v/>
      </c>
      <c r="Y8" s="76">
        <f>Calculations!AC50</f>
        <v/>
      </c>
      <c r="Z8" s="76">
        <f>Calculations!AD50</f>
        <v/>
      </c>
      <c r="AA8" s="76">
        <f>Calculations!AE50</f>
        <v/>
      </c>
      <c r="AB8" s="76">
        <f>Calculations!AF50</f>
        <v/>
      </c>
    </row>
    <row r="9">
      <c r="A9" s="1" t="inlineStr">
        <is>
          <t>heavy or residual fuel oil (BTU)</t>
        </is>
      </c>
      <c r="B9" s="76">
        <f>Calculations!F51</f>
        <v/>
      </c>
      <c r="C9" s="76">
        <f>Calculations!G51</f>
        <v/>
      </c>
      <c r="D9" s="76">
        <f>Calculations!H51</f>
        <v/>
      </c>
      <c r="E9" s="76">
        <f>Calculations!I51</f>
        <v/>
      </c>
      <c r="F9" s="76">
        <f>Calculations!J51</f>
        <v/>
      </c>
      <c r="G9" s="76">
        <f>Calculations!K51</f>
        <v/>
      </c>
      <c r="H9" s="76">
        <f>Calculations!L51</f>
        <v/>
      </c>
      <c r="I9" s="76">
        <f>Calculations!M51</f>
        <v/>
      </c>
      <c r="J9" s="76">
        <f>Calculations!N51</f>
        <v/>
      </c>
      <c r="K9" s="76">
        <f>Calculations!O51</f>
        <v/>
      </c>
      <c r="L9" s="76">
        <f>Calculations!P51</f>
        <v/>
      </c>
      <c r="M9" s="76">
        <f>Calculations!Q51</f>
        <v/>
      </c>
      <c r="N9" s="76">
        <f>Calculations!R51</f>
        <v/>
      </c>
      <c r="O9" s="76">
        <f>Calculations!S51</f>
        <v/>
      </c>
      <c r="P9" s="76">
        <f>Calculations!T51</f>
        <v/>
      </c>
      <c r="Q9" s="76">
        <f>Calculations!U51</f>
        <v/>
      </c>
      <c r="R9" s="76">
        <f>Calculations!V51</f>
        <v/>
      </c>
      <c r="S9" s="76">
        <f>Calculations!W51</f>
        <v/>
      </c>
      <c r="T9" s="76">
        <f>Calculations!X51</f>
        <v/>
      </c>
      <c r="U9" s="76">
        <f>Calculations!Y51</f>
        <v/>
      </c>
      <c r="V9" s="76">
        <f>Calculations!Z51</f>
        <v/>
      </c>
      <c r="W9" s="76">
        <f>Calculations!AA51</f>
        <v/>
      </c>
      <c r="X9" s="76">
        <f>Calculations!AB51</f>
        <v/>
      </c>
      <c r="Y9" s="76">
        <f>Calculations!AC51</f>
        <v/>
      </c>
      <c r="Z9" s="76">
        <f>Calculations!AD51</f>
        <v/>
      </c>
      <c r="AA9" s="76">
        <f>Calculations!AE51</f>
        <v/>
      </c>
      <c r="AB9" s="76">
        <f>Calculations!AF51</f>
        <v/>
      </c>
    </row>
    <row r="10">
      <c r="A10" s="1" t="inlineStr">
        <is>
          <t>LPG propane or butane (BTU)</t>
        </is>
      </c>
      <c r="B10" s="76">
        <f>Calculations!F52</f>
        <v/>
      </c>
      <c r="C10" s="76">
        <f>Calculations!G52</f>
        <v/>
      </c>
      <c r="D10" s="76">
        <f>Calculations!H52</f>
        <v/>
      </c>
      <c r="E10" s="76">
        <f>Calculations!I52</f>
        <v/>
      </c>
      <c r="F10" s="76">
        <f>Calculations!J52</f>
        <v/>
      </c>
      <c r="G10" s="76">
        <f>Calculations!K52</f>
        <v/>
      </c>
      <c r="H10" s="76">
        <f>Calculations!L52</f>
        <v/>
      </c>
      <c r="I10" s="76">
        <f>Calculations!M52</f>
        <v/>
      </c>
      <c r="J10" s="76">
        <f>Calculations!N52</f>
        <v/>
      </c>
      <c r="K10" s="76">
        <f>Calculations!O52</f>
        <v/>
      </c>
      <c r="L10" s="76">
        <f>Calculations!P52</f>
        <v/>
      </c>
      <c r="M10" s="76">
        <f>Calculations!Q52</f>
        <v/>
      </c>
      <c r="N10" s="76">
        <f>Calculations!R52</f>
        <v/>
      </c>
      <c r="O10" s="76">
        <f>Calculations!S52</f>
        <v/>
      </c>
      <c r="P10" s="76">
        <f>Calculations!T52</f>
        <v/>
      </c>
      <c r="Q10" s="76">
        <f>Calculations!U52</f>
        <v/>
      </c>
      <c r="R10" s="76">
        <f>Calculations!V52</f>
        <v/>
      </c>
      <c r="S10" s="76">
        <f>Calculations!W52</f>
        <v/>
      </c>
      <c r="T10" s="76">
        <f>Calculations!X52</f>
        <v/>
      </c>
      <c r="U10" s="76">
        <f>Calculations!Y52</f>
        <v/>
      </c>
      <c r="V10" s="76">
        <f>Calculations!Z52</f>
        <v/>
      </c>
      <c r="W10" s="76">
        <f>Calculations!AA52</f>
        <v/>
      </c>
      <c r="X10" s="76">
        <f>Calculations!AB52</f>
        <v/>
      </c>
      <c r="Y10" s="76">
        <f>Calculations!AC52</f>
        <v/>
      </c>
      <c r="Z10" s="76">
        <f>Calculations!AD52</f>
        <v/>
      </c>
      <c r="AA10" s="76">
        <f>Calculations!AE52</f>
        <v/>
      </c>
      <c r="AB10" s="76">
        <f>Calculations!AF52</f>
        <v/>
      </c>
    </row>
    <row r="11">
      <c r="A11" s="1" t="inlineStr">
        <is>
          <t>hydrogen (BTU)</t>
        </is>
      </c>
      <c r="B11" s="76">
        <f>Calculations!F53</f>
        <v/>
      </c>
      <c r="C11" s="76">
        <f>Calculations!G53</f>
        <v/>
      </c>
      <c r="D11" s="76">
        <f>Calculations!H53</f>
        <v/>
      </c>
      <c r="E11" s="76">
        <f>Calculations!I53</f>
        <v/>
      </c>
      <c r="F11" s="76">
        <f>Calculations!J53</f>
        <v/>
      </c>
      <c r="G11" s="76">
        <f>Calculations!K53</f>
        <v/>
      </c>
      <c r="H11" s="76">
        <f>Calculations!L53</f>
        <v/>
      </c>
      <c r="I11" s="76">
        <f>Calculations!M53</f>
        <v/>
      </c>
      <c r="J11" s="76">
        <f>Calculations!N53</f>
        <v/>
      </c>
      <c r="K11" s="76">
        <f>Calculations!O53</f>
        <v/>
      </c>
      <c r="L11" s="76">
        <f>Calculations!P53</f>
        <v/>
      </c>
      <c r="M11" s="76">
        <f>Calculations!Q53</f>
        <v/>
      </c>
      <c r="N11" s="76">
        <f>Calculations!R53</f>
        <v/>
      </c>
      <c r="O11" s="76">
        <f>Calculations!S53</f>
        <v/>
      </c>
      <c r="P11" s="76">
        <f>Calculations!T53</f>
        <v/>
      </c>
      <c r="Q11" s="76">
        <f>Calculations!U53</f>
        <v/>
      </c>
      <c r="R11" s="76">
        <f>Calculations!V53</f>
        <v/>
      </c>
      <c r="S11" s="76">
        <f>Calculations!W53</f>
        <v/>
      </c>
      <c r="T11" s="76">
        <f>Calculations!X53</f>
        <v/>
      </c>
      <c r="U11" s="76">
        <f>Calculations!Y53</f>
        <v/>
      </c>
      <c r="V11" s="76">
        <f>Calculations!Z53</f>
        <v/>
      </c>
      <c r="W11" s="76">
        <f>Calculations!AA53</f>
        <v/>
      </c>
      <c r="X11" s="76">
        <f>Calculations!AB53</f>
        <v/>
      </c>
      <c r="Y11" s="76">
        <f>Calculations!AC53</f>
        <v/>
      </c>
      <c r="Z11" s="76">
        <f>Calculations!AD53</f>
        <v/>
      </c>
      <c r="AA11" s="76">
        <f>Calculations!AE53</f>
        <v/>
      </c>
      <c r="AB11" s="76">
        <f>Calculations!AF53</f>
        <v/>
      </c>
    </row>
  </sheetData>
  <pageMargins left="0.7" right="0.7" top="0.75" bottom="0.75" header="0.3" footer="0.3"/>
  <pageSetup orientation="portrait" horizontalDpi="1200" verticalDpi="1200"/>
</worksheet>
</file>

<file path=xl/worksheets/sheet17.xml><?xml version="1.0" encoding="utf-8"?>
<worksheet xmlns="http://schemas.openxmlformats.org/spreadsheetml/2006/main">
  <sheetPr>
    <tabColor theme="3"/>
    <outlinePr summaryBelow="1" summaryRight="1"/>
    <pageSetUpPr/>
  </sheetPr>
  <dimension ref="A1:AD11"/>
  <sheetViews>
    <sheetView workbookViewId="0">
      <selection activeCell="A1" sqref="A1"/>
    </sheetView>
  </sheetViews>
  <sheetFormatPr baseColWidth="8" defaultRowHeight="14.25"/>
  <cols>
    <col width="29.796875" customWidth="1" min="1" max="1"/>
    <col width="13.19921875" customWidth="1" min="2" max="28"/>
  </cols>
  <sheetData>
    <row r="1">
      <c r="A1" s="1" t="inlineStr">
        <is>
          <t>Year</t>
        </is>
      </c>
      <c r="B1" s="1" t="n">
        <v>2024</v>
      </c>
      <c r="C1" s="1" t="n">
        <v>2025</v>
      </c>
      <c r="D1" s="1" t="n">
        <v>2026</v>
      </c>
      <c r="E1" s="1" t="n">
        <v>2027</v>
      </c>
      <c r="F1" s="1" t="n">
        <v>2028</v>
      </c>
      <c r="G1" s="1" t="n">
        <v>2029</v>
      </c>
      <c r="H1" s="1" t="n">
        <v>2030</v>
      </c>
      <c r="I1" s="1" t="n">
        <v>2031</v>
      </c>
      <c r="J1" s="1" t="n">
        <v>2032</v>
      </c>
      <c r="K1" s="1" t="n">
        <v>2033</v>
      </c>
      <c r="L1" s="1" t="n">
        <v>2034</v>
      </c>
      <c r="M1" s="1" t="n">
        <v>2035</v>
      </c>
      <c r="N1" s="1" t="n">
        <v>2036</v>
      </c>
      <c r="O1" s="1" t="n">
        <v>2037</v>
      </c>
      <c r="P1" s="1" t="n">
        <v>2038</v>
      </c>
      <c r="Q1" s="1" t="n">
        <v>2039</v>
      </c>
      <c r="R1" s="1" t="n">
        <v>2040</v>
      </c>
      <c r="S1" s="1" t="n">
        <v>2041</v>
      </c>
      <c r="T1" s="1" t="n">
        <v>2042</v>
      </c>
      <c r="U1" s="1" t="n">
        <v>2043</v>
      </c>
      <c r="V1" s="1" t="n">
        <v>2044</v>
      </c>
      <c r="W1" s="1" t="n">
        <v>2045</v>
      </c>
      <c r="X1" s="1" t="n">
        <v>2046</v>
      </c>
      <c r="Y1" s="1" t="n">
        <v>2047</v>
      </c>
      <c r="Z1" s="1" t="n">
        <v>2048</v>
      </c>
      <c r="AA1" s="1" t="n">
        <v>2049</v>
      </c>
      <c r="AB1" s="1" t="n">
        <v>2050</v>
      </c>
      <c r="AC1" s="1" t="n"/>
      <c r="AD1" s="1" t="n"/>
    </row>
    <row r="2">
      <c r="A2" s="1" t="inlineStr">
        <is>
          <t>electricity (BTU)</t>
        </is>
      </c>
      <c r="B2" s="76">
        <f>Calculations!F57</f>
        <v/>
      </c>
      <c r="C2" s="76">
        <f>Calculations!G57</f>
        <v/>
      </c>
      <c r="D2" s="76">
        <f>Calculations!H57</f>
        <v/>
      </c>
      <c r="E2" s="76">
        <f>Calculations!I57</f>
        <v/>
      </c>
      <c r="F2" s="76">
        <f>Calculations!J57</f>
        <v/>
      </c>
      <c r="G2" s="76">
        <f>Calculations!K57</f>
        <v/>
      </c>
      <c r="H2" s="76">
        <f>Calculations!L57</f>
        <v/>
      </c>
      <c r="I2" s="76">
        <f>Calculations!M57</f>
        <v/>
      </c>
      <c r="J2" s="76">
        <f>Calculations!N57</f>
        <v/>
      </c>
      <c r="K2" s="76">
        <f>Calculations!O57</f>
        <v/>
      </c>
      <c r="L2" s="76">
        <f>Calculations!P57</f>
        <v/>
      </c>
      <c r="M2" s="76">
        <f>Calculations!Q57</f>
        <v/>
      </c>
      <c r="N2" s="76">
        <f>Calculations!R57</f>
        <v/>
      </c>
      <c r="O2" s="76">
        <f>Calculations!S57</f>
        <v/>
      </c>
      <c r="P2" s="76">
        <f>Calculations!T57</f>
        <v/>
      </c>
      <c r="Q2" s="76">
        <f>Calculations!U57</f>
        <v/>
      </c>
      <c r="R2" s="76">
        <f>Calculations!V57</f>
        <v/>
      </c>
      <c r="S2" s="76">
        <f>Calculations!W57</f>
        <v/>
      </c>
      <c r="T2" s="76">
        <f>Calculations!X57</f>
        <v/>
      </c>
      <c r="U2" s="76">
        <f>Calculations!Y57</f>
        <v/>
      </c>
      <c r="V2" s="76">
        <f>Calculations!Z57</f>
        <v/>
      </c>
      <c r="W2" s="76">
        <f>Calculations!AA57</f>
        <v/>
      </c>
      <c r="X2" s="76">
        <f>Calculations!AB57</f>
        <v/>
      </c>
      <c r="Y2" s="76">
        <f>Calculations!AC57</f>
        <v/>
      </c>
      <c r="Z2" s="76">
        <f>Calculations!AD57</f>
        <v/>
      </c>
      <c r="AA2" s="76">
        <f>Calculations!AE57</f>
        <v/>
      </c>
      <c r="AB2" s="76">
        <f>Calculations!AF57</f>
        <v/>
      </c>
    </row>
    <row r="3">
      <c r="A3" s="1" t="inlineStr">
        <is>
          <t>coal (BTU)</t>
        </is>
      </c>
      <c r="B3" s="76">
        <f>Calculations!F58</f>
        <v/>
      </c>
      <c r="C3" s="76">
        <f>Calculations!G58</f>
        <v/>
      </c>
      <c r="D3" s="76">
        <f>Calculations!H58</f>
        <v/>
      </c>
      <c r="E3" s="76">
        <f>Calculations!I58</f>
        <v/>
      </c>
      <c r="F3" s="76">
        <f>Calculations!J58</f>
        <v/>
      </c>
      <c r="G3" s="76">
        <f>Calculations!K58</f>
        <v/>
      </c>
      <c r="H3" s="76">
        <f>Calculations!L58</f>
        <v/>
      </c>
      <c r="I3" s="76">
        <f>Calculations!M58</f>
        <v/>
      </c>
      <c r="J3" s="76">
        <f>Calculations!N58</f>
        <v/>
      </c>
      <c r="K3" s="76">
        <f>Calculations!O58</f>
        <v/>
      </c>
      <c r="L3" s="76">
        <f>Calculations!P58</f>
        <v/>
      </c>
      <c r="M3" s="76">
        <f>Calculations!Q58</f>
        <v/>
      </c>
      <c r="N3" s="76">
        <f>Calculations!R58</f>
        <v/>
      </c>
      <c r="O3" s="76">
        <f>Calculations!S58</f>
        <v/>
      </c>
      <c r="P3" s="76">
        <f>Calculations!T58</f>
        <v/>
      </c>
      <c r="Q3" s="76">
        <f>Calculations!U58</f>
        <v/>
      </c>
      <c r="R3" s="76">
        <f>Calculations!V58</f>
        <v/>
      </c>
      <c r="S3" s="76">
        <f>Calculations!W58</f>
        <v/>
      </c>
      <c r="T3" s="76">
        <f>Calculations!X58</f>
        <v/>
      </c>
      <c r="U3" s="76">
        <f>Calculations!Y58</f>
        <v/>
      </c>
      <c r="V3" s="76">
        <f>Calculations!Z58</f>
        <v/>
      </c>
      <c r="W3" s="76">
        <f>Calculations!AA58</f>
        <v/>
      </c>
      <c r="X3" s="76">
        <f>Calculations!AB58</f>
        <v/>
      </c>
      <c r="Y3" s="76">
        <f>Calculations!AC58</f>
        <v/>
      </c>
      <c r="Z3" s="76">
        <f>Calculations!AD58</f>
        <v/>
      </c>
      <c r="AA3" s="76">
        <f>Calculations!AE58</f>
        <v/>
      </c>
      <c r="AB3" s="76">
        <f>Calculations!AF58</f>
        <v/>
      </c>
    </row>
    <row r="4">
      <c r="A4" s="1" t="inlineStr">
        <is>
          <t>natural gas (BTU)</t>
        </is>
      </c>
      <c r="B4" s="76">
        <f>Calculations!F59</f>
        <v/>
      </c>
      <c r="C4" s="76">
        <f>Calculations!G59</f>
        <v/>
      </c>
      <c r="D4" s="76">
        <f>Calculations!H59</f>
        <v/>
      </c>
      <c r="E4" s="76">
        <f>Calculations!I59</f>
        <v/>
      </c>
      <c r="F4" s="76">
        <f>Calculations!J59</f>
        <v/>
      </c>
      <c r="G4" s="76">
        <f>Calculations!K59</f>
        <v/>
      </c>
      <c r="H4" s="76">
        <f>Calculations!L59</f>
        <v/>
      </c>
      <c r="I4" s="76">
        <f>Calculations!M59</f>
        <v/>
      </c>
      <c r="J4" s="76">
        <f>Calculations!N59</f>
        <v/>
      </c>
      <c r="K4" s="76">
        <f>Calculations!O59</f>
        <v/>
      </c>
      <c r="L4" s="76">
        <f>Calculations!P59</f>
        <v/>
      </c>
      <c r="M4" s="76">
        <f>Calculations!Q59</f>
        <v/>
      </c>
      <c r="N4" s="76">
        <f>Calculations!R59</f>
        <v/>
      </c>
      <c r="O4" s="76">
        <f>Calculations!S59</f>
        <v/>
      </c>
      <c r="P4" s="76">
        <f>Calculations!T59</f>
        <v/>
      </c>
      <c r="Q4" s="76">
        <f>Calculations!U59</f>
        <v/>
      </c>
      <c r="R4" s="76">
        <f>Calculations!V59</f>
        <v/>
      </c>
      <c r="S4" s="76">
        <f>Calculations!W59</f>
        <v/>
      </c>
      <c r="T4" s="76">
        <f>Calculations!X59</f>
        <v/>
      </c>
      <c r="U4" s="76">
        <f>Calculations!Y59</f>
        <v/>
      </c>
      <c r="V4" s="76">
        <f>Calculations!Z59</f>
        <v/>
      </c>
      <c r="W4" s="76">
        <f>Calculations!AA59</f>
        <v/>
      </c>
      <c r="X4" s="76">
        <f>Calculations!AB59</f>
        <v/>
      </c>
      <c r="Y4" s="76">
        <f>Calculations!AC59</f>
        <v/>
      </c>
      <c r="Z4" s="76">
        <f>Calculations!AD59</f>
        <v/>
      </c>
      <c r="AA4" s="76">
        <f>Calculations!AE59</f>
        <v/>
      </c>
      <c r="AB4" s="76">
        <f>Calculations!AF59</f>
        <v/>
      </c>
    </row>
    <row r="5">
      <c r="A5" s="1" t="inlineStr">
        <is>
          <t>petroleum diesel (BTU)</t>
        </is>
      </c>
      <c r="B5" s="76">
        <f>Calculations!F60</f>
        <v/>
      </c>
      <c r="C5" s="76">
        <f>Calculations!G60</f>
        <v/>
      </c>
      <c r="D5" s="76">
        <f>Calculations!H60</f>
        <v/>
      </c>
      <c r="E5" s="76">
        <f>Calculations!I60</f>
        <v/>
      </c>
      <c r="F5" s="76">
        <f>Calculations!J60</f>
        <v/>
      </c>
      <c r="G5" s="76">
        <f>Calculations!K60</f>
        <v/>
      </c>
      <c r="H5" s="76">
        <f>Calculations!L60</f>
        <v/>
      </c>
      <c r="I5" s="76">
        <f>Calculations!M60</f>
        <v/>
      </c>
      <c r="J5" s="76">
        <f>Calculations!N60</f>
        <v/>
      </c>
      <c r="K5" s="76">
        <f>Calculations!O60</f>
        <v/>
      </c>
      <c r="L5" s="76">
        <f>Calculations!P60</f>
        <v/>
      </c>
      <c r="M5" s="76">
        <f>Calculations!Q60</f>
        <v/>
      </c>
      <c r="N5" s="76">
        <f>Calculations!R60</f>
        <v/>
      </c>
      <c r="O5" s="76">
        <f>Calculations!S60</f>
        <v/>
      </c>
      <c r="P5" s="76">
        <f>Calculations!T60</f>
        <v/>
      </c>
      <c r="Q5" s="76">
        <f>Calculations!U60</f>
        <v/>
      </c>
      <c r="R5" s="76">
        <f>Calculations!V60</f>
        <v/>
      </c>
      <c r="S5" s="76">
        <f>Calculations!W60</f>
        <v/>
      </c>
      <c r="T5" s="76">
        <f>Calculations!X60</f>
        <v/>
      </c>
      <c r="U5" s="76">
        <f>Calculations!Y60</f>
        <v/>
      </c>
      <c r="V5" s="76">
        <f>Calculations!Z60</f>
        <v/>
      </c>
      <c r="W5" s="76">
        <f>Calculations!AA60</f>
        <v/>
      </c>
      <c r="X5" s="76">
        <f>Calculations!AB60</f>
        <v/>
      </c>
      <c r="Y5" s="76">
        <f>Calculations!AC60</f>
        <v/>
      </c>
      <c r="Z5" s="76">
        <f>Calculations!AD60</f>
        <v/>
      </c>
      <c r="AA5" s="76">
        <f>Calculations!AE60</f>
        <v/>
      </c>
      <c r="AB5" s="76">
        <f>Calculations!AF60</f>
        <v/>
      </c>
    </row>
    <row r="6">
      <c r="A6" s="1" t="inlineStr">
        <is>
          <t>heat (BTU)</t>
        </is>
      </c>
      <c r="B6" s="76">
        <f>Calculations!F61</f>
        <v/>
      </c>
      <c r="C6" s="76">
        <f>Calculations!G61</f>
        <v/>
      </c>
      <c r="D6" s="76">
        <f>Calculations!H61</f>
        <v/>
      </c>
      <c r="E6" s="76">
        <f>Calculations!I61</f>
        <v/>
      </c>
      <c r="F6" s="76">
        <f>Calculations!J61</f>
        <v/>
      </c>
      <c r="G6" s="76">
        <f>Calculations!K61</f>
        <v/>
      </c>
      <c r="H6" s="76">
        <f>Calculations!L61</f>
        <v/>
      </c>
      <c r="I6" s="76">
        <f>Calculations!M61</f>
        <v/>
      </c>
      <c r="J6" s="76">
        <f>Calculations!N61</f>
        <v/>
      </c>
      <c r="K6" s="76">
        <f>Calculations!O61</f>
        <v/>
      </c>
      <c r="L6" s="76">
        <f>Calculations!P61</f>
        <v/>
      </c>
      <c r="M6" s="76">
        <f>Calculations!Q61</f>
        <v/>
      </c>
      <c r="N6" s="76">
        <f>Calculations!R61</f>
        <v/>
      </c>
      <c r="O6" s="76">
        <f>Calculations!S61</f>
        <v/>
      </c>
      <c r="P6" s="76">
        <f>Calculations!T61</f>
        <v/>
      </c>
      <c r="Q6" s="76">
        <f>Calculations!U61</f>
        <v/>
      </c>
      <c r="R6" s="76">
        <f>Calculations!V61</f>
        <v/>
      </c>
      <c r="S6" s="76">
        <f>Calculations!W61</f>
        <v/>
      </c>
      <c r="T6" s="76">
        <f>Calculations!X61</f>
        <v/>
      </c>
      <c r="U6" s="76">
        <f>Calculations!Y61</f>
        <v/>
      </c>
      <c r="V6" s="76">
        <f>Calculations!Z61</f>
        <v/>
      </c>
      <c r="W6" s="76">
        <f>Calculations!AA61</f>
        <v/>
      </c>
      <c r="X6" s="76">
        <f>Calculations!AB61</f>
        <v/>
      </c>
      <c r="Y6" s="76">
        <f>Calculations!AC61</f>
        <v/>
      </c>
      <c r="Z6" s="76">
        <f>Calculations!AD61</f>
        <v/>
      </c>
      <c r="AA6" s="76">
        <f>Calculations!AE61</f>
        <v/>
      </c>
      <c r="AB6" s="76">
        <f>Calculations!AF61</f>
        <v/>
      </c>
    </row>
    <row r="7">
      <c r="A7" s="1" t="inlineStr">
        <is>
          <t>biomass (BTU)</t>
        </is>
      </c>
      <c r="B7" s="76">
        <f>Calculations!F62</f>
        <v/>
      </c>
      <c r="C7" s="76">
        <f>Calculations!G62</f>
        <v/>
      </c>
      <c r="D7" s="76">
        <f>Calculations!H62</f>
        <v/>
      </c>
      <c r="E7" s="76">
        <f>Calculations!I62</f>
        <v/>
      </c>
      <c r="F7" s="76">
        <f>Calculations!J62</f>
        <v/>
      </c>
      <c r="G7" s="76">
        <f>Calculations!K62</f>
        <v/>
      </c>
      <c r="H7" s="76">
        <f>Calculations!L62</f>
        <v/>
      </c>
      <c r="I7" s="76">
        <f>Calculations!M62</f>
        <v/>
      </c>
      <c r="J7" s="76">
        <f>Calculations!N62</f>
        <v/>
      </c>
      <c r="K7" s="76">
        <f>Calculations!O62</f>
        <v/>
      </c>
      <c r="L7" s="76">
        <f>Calculations!P62</f>
        <v/>
      </c>
      <c r="M7" s="76">
        <f>Calculations!Q62</f>
        <v/>
      </c>
      <c r="N7" s="76">
        <f>Calculations!R62</f>
        <v/>
      </c>
      <c r="O7" s="76">
        <f>Calculations!S62</f>
        <v/>
      </c>
      <c r="P7" s="76">
        <f>Calculations!T62</f>
        <v/>
      </c>
      <c r="Q7" s="76">
        <f>Calculations!U62</f>
        <v/>
      </c>
      <c r="R7" s="76">
        <f>Calculations!V62</f>
        <v/>
      </c>
      <c r="S7" s="76">
        <f>Calculations!W62</f>
        <v/>
      </c>
      <c r="T7" s="76">
        <f>Calculations!X62</f>
        <v/>
      </c>
      <c r="U7" s="76">
        <f>Calculations!Y62</f>
        <v/>
      </c>
      <c r="V7" s="76">
        <f>Calculations!Z62</f>
        <v/>
      </c>
      <c r="W7" s="76">
        <f>Calculations!AA62</f>
        <v/>
      </c>
      <c r="X7" s="76">
        <f>Calculations!AB62</f>
        <v/>
      </c>
      <c r="Y7" s="76">
        <f>Calculations!AC62</f>
        <v/>
      </c>
      <c r="Z7" s="76">
        <f>Calculations!AD62</f>
        <v/>
      </c>
      <c r="AA7" s="76">
        <f>Calculations!AE62</f>
        <v/>
      </c>
      <c r="AB7" s="76">
        <f>Calculations!AF62</f>
        <v/>
      </c>
    </row>
    <row r="8">
      <c r="A8" s="1" t="inlineStr">
        <is>
          <t>kerosene (BTU)</t>
        </is>
      </c>
      <c r="B8" s="76">
        <f>Calculations!F63</f>
        <v/>
      </c>
      <c r="C8" s="76">
        <f>Calculations!G63</f>
        <v/>
      </c>
      <c r="D8" s="76">
        <f>Calculations!H63</f>
        <v/>
      </c>
      <c r="E8" s="76">
        <f>Calculations!I63</f>
        <v/>
      </c>
      <c r="F8" s="76">
        <f>Calculations!J63</f>
        <v/>
      </c>
      <c r="G8" s="76">
        <f>Calculations!K63</f>
        <v/>
      </c>
      <c r="H8" s="76">
        <f>Calculations!L63</f>
        <v/>
      </c>
      <c r="I8" s="76">
        <f>Calculations!M63</f>
        <v/>
      </c>
      <c r="J8" s="76">
        <f>Calculations!N63</f>
        <v/>
      </c>
      <c r="K8" s="76">
        <f>Calculations!O63</f>
        <v/>
      </c>
      <c r="L8" s="76">
        <f>Calculations!P63</f>
        <v/>
      </c>
      <c r="M8" s="76">
        <f>Calculations!Q63</f>
        <v/>
      </c>
      <c r="N8" s="76">
        <f>Calculations!R63</f>
        <v/>
      </c>
      <c r="O8" s="76">
        <f>Calculations!S63</f>
        <v/>
      </c>
      <c r="P8" s="76">
        <f>Calculations!T63</f>
        <v/>
      </c>
      <c r="Q8" s="76">
        <f>Calculations!U63</f>
        <v/>
      </c>
      <c r="R8" s="76">
        <f>Calculations!V63</f>
        <v/>
      </c>
      <c r="S8" s="76">
        <f>Calculations!W63</f>
        <v/>
      </c>
      <c r="T8" s="76">
        <f>Calculations!X63</f>
        <v/>
      </c>
      <c r="U8" s="76">
        <f>Calculations!Y63</f>
        <v/>
      </c>
      <c r="V8" s="76">
        <f>Calculations!Z63</f>
        <v/>
      </c>
      <c r="W8" s="76">
        <f>Calculations!AA63</f>
        <v/>
      </c>
      <c r="X8" s="76">
        <f>Calculations!AB63</f>
        <v/>
      </c>
      <c r="Y8" s="76">
        <f>Calculations!AC63</f>
        <v/>
      </c>
      <c r="Z8" s="76">
        <f>Calculations!AD63</f>
        <v/>
      </c>
      <c r="AA8" s="76">
        <f>Calculations!AE63</f>
        <v/>
      </c>
      <c r="AB8" s="76">
        <f>Calculations!AF63</f>
        <v/>
      </c>
    </row>
    <row r="9">
      <c r="A9" s="1" t="inlineStr">
        <is>
          <t>heavy or residual fuel oil (BTU)</t>
        </is>
      </c>
      <c r="B9" s="76">
        <f>Calculations!F64</f>
        <v/>
      </c>
      <c r="C9" s="76">
        <f>Calculations!G64</f>
        <v/>
      </c>
      <c r="D9" s="76">
        <f>Calculations!H64</f>
        <v/>
      </c>
      <c r="E9" s="76">
        <f>Calculations!I64</f>
        <v/>
      </c>
      <c r="F9" s="76">
        <f>Calculations!J64</f>
        <v/>
      </c>
      <c r="G9" s="76">
        <f>Calculations!K64</f>
        <v/>
      </c>
      <c r="H9" s="76">
        <f>Calculations!L64</f>
        <v/>
      </c>
      <c r="I9" s="76">
        <f>Calculations!M64</f>
        <v/>
      </c>
      <c r="J9" s="76">
        <f>Calculations!N64</f>
        <v/>
      </c>
      <c r="K9" s="76">
        <f>Calculations!O64</f>
        <v/>
      </c>
      <c r="L9" s="76">
        <f>Calculations!P64</f>
        <v/>
      </c>
      <c r="M9" s="76">
        <f>Calculations!Q64</f>
        <v/>
      </c>
      <c r="N9" s="76">
        <f>Calculations!R64</f>
        <v/>
      </c>
      <c r="O9" s="76">
        <f>Calculations!S64</f>
        <v/>
      </c>
      <c r="P9" s="76">
        <f>Calculations!T64</f>
        <v/>
      </c>
      <c r="Q9" s="76">
        <f>Calculations!U64</f>
        <v/>
      </c>
      <c r="R9" s="76">
        <f>Calculations!V64</f>
        <v/>
      </c>
      <c r="S9" s="76">
        <f>Calculations!W64</f>
        <v/>
      </c>
      <c r="T9" s="76">
        <f>Calculations!X64</f>
        <v/>
      </c>
      <c r="U9" s="76">
        <f>Calculations!Y64</f>
        <v/>
      </c>
      <c r="V9" s="76">
        <f>Calculations!Z64</f>
        <v/>
      </c>
      <c r="W9" s="76">
        <f>Calculations!AA64</f>
        <v/>
      </c>
      <c r="X9" s="76">
        <f>Calculations!AB64</f>
        <v/>
      </c>
      <c r="Y9" s="76">
        <f>Calculations!AC64</f>
        <v/>
      </c>
      <c r="Z9" s="76">
        <f>Calculations!AD64</f>
        <v/>
      </c>
      <c r="AA9" s="76">
        <f>Calculations!AE64</f>
        <v/>
      </c>
      <c r="AB9" s="76">
        <f>Calculations!AF64</f>
        <v/>
      </c>
    </row>
    <row r="10">
      <c r="A10" s="1" t="inlineStr">
        <is>
          <t>LPG propane or butane (BTU)</t>
        </is>
      </c>
      <c r="B10" s="76">
        <f>Calculations!F65</f>
        <v/>
      </c>
      <c r="C10" s="76">
        <f>Calculations!G65</f>
        <v/>
      </c>
      <c r="D10" s="76">
        <f>Calculations!H65</f>
        <v/>
      </c>
      <c r="E10" s="76">
        <f>Calculations!I65</f>
        <v/>
      </c>
      <c r="F10" s="76">
        <f>Calculations!J65</f>
        <v/>
      </c>
      <c r="G10" s="76">
        <f>Calculations!K65</f>
        <v/>
      </c>
      <c r="H10" s="76">
        <f>Calculations!L65</f>
        <v/>
      </c>
      <c r="I10" s="76">
        <f>Calculations!M65</f>
        <v/>
      </c>
      <c r="J10" s="76">
        <f>Calculations!N65</f>
        <v/>
      </c>
      <c r="K10" s="76">
        <f>Calculations!O65</f>
        <v/>
      </c>
      <c r="L10" s="76">
        <f>Calculations!P65</f>
        <v/>
      </c>
      <c r="M10" s="76">
        <f>Calculations!Q65</f>
        <v/>
      </c>
      <c r="N10" s="76">
        <f>Calculations!R65</f>
        <v/>
      </c>
      <c r="O10" s="76">
        <f>Calculations!S65</f>
        <v/>
      </c>
      <c r="P10" s="76">
        <f>Calculations!T65</f>
        <v/>
      </c>
      <c r="Q10" s="76">
        <f>Calculations!U65</f>
        <v/>
      </c>
      <c r="R10" s="76">
        <f>Calculations!V65</f>
        <v/>
      </c>
      <c r="S10" s="76">
        <f>Calculations!W65</f>
        <v/>
      </c>
      <c r="T10" s="76">
        <f>Calculations!X65</f>
        <v/>
      </c>
      <c r="U10" s="76">
        <f>Calculations!Y65</f>
        <v/>
      </c>
      <c r="V10" s="76">
        <f>Calculations!Z65</f>
        <v/>
      </c>
      <c r="W10" s="76">
        <f>Calculations!AA65</f>
        <v/>
      </c>
      <c r="X10" s="76">
        <f>Calculations!AB65</f>
        <v/>
      </c>
      <c r="Y10" s="76">
        <f>Calculations!AC65</f>
        <v/>
      </c>
      <c r="Z10" s="76">
        <f>Calculations!AD65</f>
        <v/>
      </c>
      <c r="AA10" s="76">
        <f>Calculations!AE65</f>
        <v/>
      </c>
      <c r="AB10" s="76">
        <f>Calculations!AF65</f>
        <v/>
      </c>
    </row>
    <row r="11">
      <c r="A11" s="1" t="inlineStr">
        <is>
          <t>hydrogen (BTU)</t>
        </is>
      </c>
      <c r="B11" s="76">
        <f>Calculations!F66</f>
        <v/>
      </c>
      <c r="C11" s="76">
        <f>Calculations!G66</f>
        <v/>
      </c>
      <c r="D11" s="76">
        <f>Calculations!H66</f>
        <v/>
      </c>
      <c r="E11" s="76">
        <f>Calculations!I66</f>
        <v/>
      </c>
      <c r="F11" s="76">
        <f>Calculations!J66</f>
        <v/>
      </c>
      <c r="G11" s="76">
        <f>Calculations!K66</f>
        <v/>
      </c>
      <c r="H11" s="76">
        <f>Calculations!L66</f>
        <v/>
      </c>
      <c r="I11" s="76">
        <f>Calculations!M66</f>
        <v/>
      </c>
      <c r="J11" s="76">
        <f>Calculations!N66</f>
        <v/>
      </c>
      <c r="K11" s="76">
        <f>Calculations!O66</f>
        <v/>
      </c>
      <c r="L11" s="76">
        <f>Calculations!P66</f>
        <v/>
      </c>
      <c r="M11" s="76">
        <f>Calculations!Q66</f>
        <v/>
      </c>
      <c r="N11" s="76">
        <f>Calculations!R66</f>
        <v/>
      </c>
      <c r="O11" s="76">
        <f>Calculations!S66</f>
        <v/>
      </c>
      <c r="P11" s="76">
        <f>Calculations!T66</f>
        <v/>
      </c>
      <c r="Q11" s="76">
        <f>Calculations!U66</f>
        <v/>
      </c>
      <c r="R11" s="76">
        <f>Calculations!V66</f>
        <v/>
      </c>
      <c r="S11" s="76">
        <f>Calculations!W66</f>
        <v/>
      </c>
      <c r="T11" s="76">
        <f>Calculations!X66</f>
        <v/>
      </c>
      <c r="U11" s="76">
        <f>Calculations!Y66</f>
        <v/>
      </c>
      <c r="V11" s="76">
        <f>Calculations!Z66</f>
        <v/>
      </c>
      <c r="W11" s="76">
        <f>Calculations!AA66</f>
        <v/>
      </c>
      <c r="X11" s="76">
        <f>Calculations!AB66</f>
        <v/>
      </c>
      <c r="Y11" s="76">
        <f>Calculations!AC66</f>
        <v/>
      </c>
      <c r="Z11" s="76">
        <f>Calculations!AD66</f>
        <v/>
      </c>
      <c r="AA11" s="76">
        <f>Calculations!AE66</f>
        <v/>
      </c>
      <c r="AB11" s="76">
        <f>Calculations!AF66</f>
        <v/>
      </c>
    </row>
  </sheetData>
  <pageMargins left="0.7" right="0.7" top="0.75" bottom="0.75" header="0.3" footer="0.3"/>
  <pageSetup orientation="portrait" horizontalDpi="1200" verticalDpi="1200"/>
</worksheet>
</file>

<file path=xl/worksheets/sheet18.xml><?xml version="1.0" encoding="utf-8"?>
<worksheet xmlns="http://schemas.openxmlformats.org/spreadsheetml/2006/main">
  <sheetPr>
    <tabColor theme="3"/>
    <outlinePr summaryBelow="1" summaryRight="1"/>
    <pageSetUpPr/>
  </sheetPr>
  <dimension ref="A1:AD11"/>
  <sheetViews>
    <sheetView workbookViewId="0">
      <selection activeCell="A1" sqref="A1"/>
    </sheetView>
  </sheetViews>
  <sheetFormatPr baseColWidth="8" defaultRowHeight="14.25"/>
  <cols>
    <col width="29.796875" customWidth="1" min="1" max="1"/>
    <col width="10.265625" customWidth="1" min="2" max="28"/>
  </cols>
  <sheetData>
    <row r="1">
      <c r="A1" s="1" t="inlineStr">
        <is>
          <t>Year</t>
        </is>
      </c>
      <c r="B1" s="1" t="n">
        <v>2024</v>
      </c>
      <c r="C1" s="1" t="n">
        <v>2025</v>
      </c>
      <c r="D1" s="1" t="n">
        <v>2026</v>
      </c>
      <c r="E1" s="1" t="n">
        <v>2027</v>
      </c>
      <c r="F1" s="1" t="n">
        <v>2028</v>
      </c>
      <c r="G1" s="1" t="n">
        <v>2029</v>
      </c>
      <c r="H1" s="1" t="n">
        <v>2030</v>
      </c>
      <c r="I1" s="1" t="n">
        <v>2031</v>
      </c>
      <c r="J1" s="1" t="n">
        <v>2032</v>
      </c>
      <c r="K1" s="1" t="n">
        <v>2033</v>
      </c>
      <c r="L1" s="1" t="n">
        <v>2034</v>
      </c>
      <c r="M1" s="1" t="n">
        <v>2035</v>
      </c>
      <c r="N1" s="1" t="n">
        <v>2036</v>
      </c>
      <c r="O1" s="1" t="n">
        <v>2037</v>
      </c>
      <c r="P1" s="1" t="n">
        <v>2038</v>
      </c>
      <c r="Q1" s="1" t="n">
        <v>2039</v>
      </c>
      <c r="R1" s="1" t="n">
        <v>2040</v>
      </c>
      <c r="S1" s="1" t="n">
        <v>2041</v>
      </c>
      <c r="T1" s="1" t="n">
        <v>2042</v>
      </c>
      <c r="U1" s="1" t="n">
        <v>2043</v>
      </c>
      <c r="V1" s="1" t="n">
        <v>2044</v>
      </c>
      <c r="W1" s="1" t="n">
        <v>2045</v>
      </c>
      <c r="X1" s="1" t="n">
        <v>2046</v>
      </c>
      <c r="Y1" s="1" t="n">
        <v>2047</v>
      </c>
      <c r="Z1" s="1" t="n">
        <v>2048</v>
      </c>
      <c r="AA1" s="1" t="n">
        <v>2049</v>
      </c>
      <c r="AB1" s="1" t="n">
        <v>2050</v>
      </c>
      <c r="AC1" s="1" t="n"/>
      <c r="AD1" s="1" t="n"/>
    </row>
    <row r="2">
      <c r="A2" s="1" t="inlineStr">
        <is>
          <t>electricity (BTU)</t>
        </is>
      </c>
      <c r="B2" s="76">
        <f>Calculations!F70</f>
        <v/>
      </c>
      <c r="C2" s="76">
        <f>Calculations!G70</f>
        <v/>
      </c>
      <c r="D2" s="76">
        <f>Calculations!H70</f>
        <v/>
      </c>
      <c r="E2" s="76">
        <f>Calculations!I70</f>
        <v/>
      </c>
      <c r="F2" s="76">
        <f>Calculations!J70</f>
        <v/>
      </c>
      <c r="G2" s="76">
        <f>Calculations!K70</f>
        <v/>
      </c>
      <c r="H2" s="76">
        <f>Calculations!L70</f>
        <v/>
      </c>
      <c r="I2" s="76">
        <f>Calculations!M70</f>
        <v/>
      </c>
      <c r="J2" s="76">
        <f>Calculations!N70</f>
        <v/>
      </c>
      <c r="K2" s="76">
        <f>Calculations!O70</f>
        <v/>
      </c>
      <c r="L2" s="76">
        <f>Calculations!P70</f>
        <v/>
      </c>
      <c r="M2" s="76">
        <f>Calculations!Q70</f>
        <v/>
      </c>
      <c r="N2" s="76">
        <f>Calculations!R70</f>
        <v/>
      </c>
      <c r="O2" s="76">
        <f>Calculations!S70</f>
        <v/>
      </c>
      <c r="P2" s="76">
        <f>Calculations!T70</f>
        <v/>
      </c>
      <c r="Q2" s="76">
        <f>Calculations!U70</f>
        <v/>
      </c>
      <c r="R2" s="76">
        <f>Calculations!V70</f>
        <v/>
      </c>
      <c r="S2" s="76">
        <f>Calculations!W70</f>
        <v/>
      </c>
      <c r="T2" s="76">
        <f>Calculations!X70</f>
        <v/>
      </c>
      <c r="U2" s="76">
        <f>Calculations!Y70</f>
        <v/>
      </c>
      <c r="V2" s="76">
        <f>Calculations!Z70</f>
        <v/>
      </c>
      <c r="W2" s="76">
        <f>Calculations!AA70</f>
        <v/>
      </c>
      <c r="X2" s="76">
        <f>Calculations!AB70</f>
        <v/>
      </c>
      <c r="Y2" s="76">
        <f>Calculations!AC70</f>
        <v/>
      </c>
      <c r="Z2" s="76">
        <f>Calculations!AD70</f>
        <v/>
      </c>
      <c r="AA2" s="76">
        <f>Calculations!AE70</f>
        <v/>
      </c>
      <c r="AB2" s="76">
        <f>Calculations!AF70</f>
        <v/>
      </c>
    </row>
    <row r="3">
      <c r="A3" s="1" t="inlineStr">
        <is>
          <t>coal (BTU)</t>
        </is>
      </c>
      <c r="B3" s="76">
        <f>Calculations!F71</f>
        <v/>
      </c>
      <c r="C3" s="76">
        <f>Calculations!G71</f>
        <v/>
      </c>
      <c r="D3" s="76">
        <f>Calculations!H71</f>
        <v/>
      </c>
      <c r="E3" s="76">
        <f>Calculations!I71</f>
        <v/>
      </c>
      <c r="F3" s="76">
        <f>Calculations!J71</f>
        <v/>
      </c>
      <c r="G3" s="76">
        <f>Calculations!K71</f>
        <v/>
      </c>
      <c r="H3" s="76">
        <f>Calculations!L71</f>
        <v/>
      </c>
      <c r="I3" s="76">
        <f>Calculations!M71</f>
        <v/>
      </c>
      <c r="J3" s="76">
        <f>Calculations!N71</f>
        <v/>
      </c>
      <c r="K3" s="76">
        <f>Calculations!O71</f>
        <v/>
      </c>
      <c r="L3" s="76">
        <f>Calculations!P71</f>
        <v/>
      </c>
      <c r="M3" s="76">
        <f>Calculations!Q71</f>
        <v/>
      </c>
      <c r="N3" s="76">
        <f>Calculations!R71</f>
        <v/>
      </c>
      <c r="O3" s="76">
        <f>Calculations!S71</f>
        <v/>
      </c>
      <c r="P3" s="76">
        <f>Calculations!T71</f>
        <v/>
      </c>
      <c r="Q3" s="76">
        <f>Calculations!U71</f>
        <v/>
      </c>
      <c r="R3" s="76">
        <f>Calculations!V71</f>
        <v/>
      </c>
      <c r="S3" s="76">
        <f>Calculations!W71</f>
        <v/>
      </c>
      <c r="T3" s="76">
        <f>Calculations!X71</f>
        <v/>
      </c>
      <c r="U3" s="76">
        <f>Calculations!Y71</f>
        <v/>
      </c>
      <c r="V3" s="76">
        <f>Calculations!Z71</f>
        <v/>
      </c>
      <c r="W3" s="76">
        <f>Calculations!AA71</f>
        <v/>
      </c>
      <c r="X3" s="76">
        <f>Calculations!AB71</f>
        <v/>
      </c>
      <c r="Y3" s="76">
        <f>Calculations!AC71</f>
        <v/>
      </c>
      <c r="Z3" s="76">
        <f>Calculations!AD71</f>
        <v/>
      </c>
      <c r="AA3" s="76">
        <f>Calculations!AE71</f>
        <v/>
      </c>
      <c r="AB3" s="76">
        <f>Calculations!AF71</f>
        <v/>
      </c>
    </row>
    <row r="4">
      <c r="A4" s="1" t="inlineStr">
        <is>
          <t>natural gas (BTU)</t>
        </is>
      </c>
      <c r="B4" s="76">
        <f>Calculations!F72</f>
        <v/>
      </c>
      <c r="C4" s="76">
        <f>Calculations!G72</f>
        <v/>
      </c>
      <c r="D4" s="76">
        <f>Calculations!H72</f>
        <v/>
      </c>
      <c r="E4" s="76">
        <f>Calculations!I72</f>
        <v/>
      </c>
      <c r="F4" s="76">
        <f>Calculations!J72</f>
        <v/>
      </c>
      <c r="G4" s="76">
        <f>Calculations!K72</f>
        <v/>
      </c>
      <c r="H4" s="76">
        <f>Calculations!L72</f>
        <v/>
      </c>
      <c r="I4" s="76">
        <f>Calculations!M72</f>
        <v/>
      </c>
      <c r="J4" s="76">
        <f>Calculations!N72</f>
        <v/>
      </c>
      <c r="K4" s="76">
        <f>Calculations!O72</f>
        <v/>
      </c>
      <c r="L4" s="76">
        <f>Calculations!P72</f>
        <v/>
      </c>
      <c r="M4" s="76">
        <f>Calculations!Q72</f>
        <v/>
      </c>
      <c r="N4" s="76">
        <f>Calculations!R72</f>
        <v/>
      </c>
      <c r="O4" s="76">
        <f>Calculations!S72</f>
        <v/>
      </c>
      <c r="P4" s="76">
        <f>Calculations!T72</f>
        <v/>
      </c>
      <c r="Q4" s="76">
        <f>Calculations!U72</f>
        <v/>
      </c>
      <c r="R4" s="76">
        <f>Calculations!V72</f>
        <v/>
      </c>
      <c r="S4" s="76">
        <f>Calculations!W72</f>
        <v/>
      </c>
      <c r="T4" s="76">
        <f>Calculations!X72</f>
        <v/>
      </c>
      <c r="U4" s="76">
        <f>Calculations!Y72</f>
        <v/>
      </c>
      <c r="V4" s="76">
        <f>Calculations!Z72</f>
        <v/>
      </c>
      <c r="W4" s="76">
        <f>Calculations!AA72</f>
        <v/>
      </c>
      <c r="X4" s="76">
        <f>Calculations!AB72</f>
        <v/>
      </c>
      <c r="Y4" s="76">
        <f>Calculations!AC72</f>
        <v/>
      </c>
      <c r="Z4" s="76">
        <f>Calculations!AD72</f>
        <v/>
      </c>
      <c r="AA4" s="76">
        <f>Calculations!AE72</f>
        <v/>
      </c>
      <c r="AB4" s="76">
        <f>Calculations!AF72</f>
        <v/>
      </c>
    </row>
    <row r="5">
      <c r="A5" s="1" t="inlineStr">
        <is>
          <t>petroleum diesel (BTU)</t>
        </is>
      </c>
      <c r="B5" s="76">
        <f>Calculations!F73</f>
        <v/>
      </c>
      <c r="C5" s="76">
        <f>Calculations!G73</f>
        <v/>
      </c>
      <c r="D5" s="76">
        <f>Calculations!H73</f>
        <v/>
      </c>
      <c r="E5" s="76">
        <f>Calculations!I73</f>
        <v/>
      </c>
      <c r="F5" s="76">
        <f>Calculations!J73</f>
        <v/>
      </c>
      <c r="G5" s="76">
        <f>Calculations!K73</f>
        <v/>
      </c>
      <c r="H5" s="76">
        <f>Calculations!L73</f>
        <v/>
      </c>
      <c r="I5" s="76">
        <f>Calculations!M73</f>
        <v/>
      </c>
      <c r="J5" s="76">
        <f>Calculations!N73</f>
        <v/>
      </c>
      <c r="K5" s="76">
        <f>Calculations!O73</f>
        <v/>
      </c>
      <c r="L5" s="76">
        <f>Calculations!P73</f>
        <v/>
      </c>
      <c r="M5" s="76">
        <f>Calculations!Q73</f>
        <v/>
      </c>
      <c r="N5" s="76">
        <f>Calculations!R73</f>
        <v/>
      </c>
      <c r="O5" s="76">
        <f>Calculations!S73</f>
        <v/>
      </c>
      <c r="P5" s="76">
        <f>Calculations!T73</f>
        <v/>
      </c>
      <c r="Q5" s="76">
        <f>Calculations!U73</f>
        <v/>
      </c>
      <c r="R5" s="76">
        <f>Calculations!V73</f>
        <v/>
      </c>
      <c r="S5" s="76">
        <f>Calculations!W73</f>
        <v/>
      </c>
      <c r="T5" s="76">
        <f>Calculations!X73</f>
        <v/>
      </c>
      <c r="U5" s="76">
        <f>Calculations!Y73</f>
        <v/>
      </c>
      <c r="V5" s="76">
        <f>Calculations!Z73</f>
        <v/>
      </c>
      <c r="W5" s="76">
        <f>Calculations!AA73</f>
        <v/>
      </c>
      <c r="X5" s="76">
        <f>Calculations!AB73</f>
        <v/>
      </c>
      <c r="Y5" s="76">
        <f>Calculations!AC73</f>
        <v/>
      </c>
      <c r="Z5" s="76">
        <f>Calculations!AD73</f>
        <v/>
      </c>
      <c r="AA5" s="76">
        <f>Calculations!AE73</f>
        <v/>
      </c>
      <c r="AB5" s="76">
        <f>Calculations!AF73</f>
        <v/>
      </c>
    </row>
    <row r="6">
      <c r="A6" s="1" t="inlineStr">
        <is>
          <t>heat (BTU)</t>
        </is>
      </c>
      <c r="B6" s="76">
        <f>Calculations!F74</f>
        <v/>
      </c>
      <c r="C6" s="76">
        <f>Calculations!G74</f>
        <v/>
      </c>
      <c r="D6" s="76">
        <f>Calculations!H74</f>
        <v/>
      </c>
      <c r="E6" s="76">
        <f>Calculations!I74</f>
        <v/>
      </c>
      <c r="F6" s="76">
        <f>Calculations!J74</f>
        <v/>
      </c>
      <c r="G6" s="76">
        <f>Calculations!K74</f>
        <v/>
      </c>
      <c r="H6" s="76">
        <f>Calculations!L74</f>
        <v/>
      </c>
      <c r="I6" s="76">
        <f>Calculations!M74</f>
        <v/>
      </c>
      <c r="J6" s="76">
        <f>Calculations!N74</f>
        <v/>
      </c>
      <c r="K6" s="76">
        <f>Calculations!O74</f>
        <v/>
      </c>
      <c r="L6" s="76">
        <f>Calculations!P74</f>
        <v/>
      </c>
      <c r="M6" s="76">
        <f>Calculations!Q74</f>
        <v/>
      </c>
      <c r="N6" s="76">
        <f>Calculations!R74</f>
        <v/>
      </c>
      <c r="O6" s="76">
        <f>Calculations!S74</f>
        <v/>
      </c>
      <c r="P6" s="76">
        <f>Calculations!T74</f>
        <v/>
      </c>
      <c r="Q6" s="76">
        <f>Calculations!U74</f>
        <v/>
      </c>
      <c r="R6" s="76">
        <f>Calculations!V74</f>
        <v/>
      </c>
      <c r="S6" s="76">
        <f>Calculations!W74</f>
        <v/>
      </c>
      <c r="T6" s="76">
        <f>Calculations!X74</f>
        <v/>
      </c>
      <c r="U6" s="76">
        <f>Calculations!Y74</f>
        <v/>
      </c>
      <c r="V6" s="76">
        <f>Calculations!Z74</f>
        <v/>
      </c>
      <c r="W6" s="76">
        <f>Calculations!AA74</f>
        <v/>
      </c>
      <c r="X6" s="76">
        <f>Calculations!AB74</f>
        <v/>
      </c>
      <c r="Y6" s="76">
        <f>Calculations!AC74</f>
        <v/>
      </c>
      <c r="Z6" s="76">
        <f>Calculations!AD74</f>
        <v/>
      </c>
      <c r="AA6" s="76">
        <f>Calculations!AE74</f>
        <v/>
      </c>
      <c r="AB6" s="76">
        <f>Calculations!AF74</f>
        <v/>
      </c>
    </row>
    <row r="7">
      <c r="A7" s="1" t="inlineStr">
        <is>
          <t>biomass (BTU)</t>
        </is>
      </c>
      <c r="B7" s="76">
        <f>Calculations!F75</f>
        <v/>
      </c>
      <c r="C7" s="76">
        <f>Calculations!G75</f>
        <v/>
      </c>
      <c r="D7" s="76">
        <f>Calculations!H75</f>
        <v/>
      </c>
      <c r="E7" s="76">
        <f>Calculations!I75</f>
        <v/>
      </c>
      <c r="F7" s="76">
        <f>Calculations!J75</f>
        <v/>
      </c>
      <c r="G7" s="76">
        <f>Calculations!K75</f>
        <v/>
      </c>
      <c r="H7" s="76">
        <f>Calculations!L75</f>
        <v/>
      </c>
      <c r="I7" s="76">
        <f>Calculations!M75</f>
        <v/>
      </c>
      <c r="J7" s="76">
        <f>Calculations!N75</f>
        <v/>
      </c>
      <c r="K7" s="76">
        <f>Calculations!O75</f>
        <v/>
      </c>
      <c r="L7" s="76">
        <f>Calculations!P75</f>
        <v/>
      </c>
      <c r="M7" s="76">
        <f>Calculations!Q75</f>
        <v/>
      </c>
      <c r="N7" s="76">
        <f>Calculations!R75</f>
        <v/>
      </c>
      <c r="O7" s="76">
        <f>Calculations!S75</f>
        <v/>
      </c>
      <c r="P7" s="76">
        <f>Calculations!T75</f>
        <v/>
      </c>
      <c r="Q7" s="76">
        <f>Calculations!U75</f>
        <v/>
      </c>
      <c r="R7" s="76">
        <f>Calculations!V75</f>
        <v/>
      </c>
      <c r="S7" s="76">
        <f>Calculations!W75</f>
        <v/>
      </c>
      <c r="T7" s="76">
        <f>Calculations!X75</f>
        <v/>
      </c>
      <c r="U7" s="76">
        <f>Calculations!Y75</f>
        <v/>
      </c>
      <c r="V7" s="76">
        <f>Calculations!Z75</f>
        <v/>
      </c>
      <c r="W7" s="76">
        <f>Calculations!AA75</f>
        <v/>
      </c>
      <c r="X7" s="76">
        <f>Calculations!AB75</f>
        <v/>
      </c>
      <c r="Y7" s="76">
        <f>Calculations!AC75</f>
        <v/>
      </c>
      <c r="Z7" s="76">
        <f>Calculations!AD75</f>
        <v/>
      </c>
      <c r="AA7" s="76">
        <f>Calculations!AE75</f>
        <v/>
      </c>
      <c r="AB7" s="76">
        <f>Calculations!AF75</f>
        <v/>
      </c>
    </row>
    <row r="8">
      <c r="A8" s="1" t="inlineStr">
        <is>
          <t>kerosene (BTU)</t>
        </is>
      </c>
      <c r="B8" s="76">
        <f>Calculations!F76</f>
        <v/>
      </c>
      <c r="C8" s="76">
        <f>Calculations!G76</f>
        <v/>
      </c>
      <c r="D8" s="76">
        <f>Calculations!H76</f>
        <v/>
      </c>
      <c r="E8" s="76">
        <f>Calculations!I76</f>
        <v/>
      </c>
      <c r="F8" s="76">
        <f>Calculations!J76</f>
        <v/>
      </c>
      <c r="G8" s="76">
        <f>Calculations!K76</f>
        <v/>
      </c>
      <c r="H8" s="76">
        <f>Calculations!L76</f>
        <v/>
      </c>
      <c r="I8" s="76">
        <f>Calculations!M76</f>
        <v/>
      </c>
      <c r="J8" s="76">
        <f>Calculations!N76</f>
        <v/>
      </c>
      <c r="K8" s="76">
        <f>Calculations!O76</f>
        <v/>
      </c>
      <c r="L8" s="76">
        <f>Calculations!P76</f>
        <v/>
      </c>
      <c r="M8" s="76">
        <f>Calculations!Q76</f>
        <v/>
      </c>
      <c r="N8" s="76">
        <f>Calculations!R76</f>
        <v/>
      </c>
      <c r="O8" s="76">
        <f>Calculations!S76</f>
        <v/>
      </c>
      <c r="P8" s="76">
        <f>Calculations!T76</f>
        <v/>
      </c>
      <c r="Q8" s="76">
        <f>Calculations!U76</f>
        <v/>
      </c>
      <c r="R8" s="76">
        <f>Calculations!V76</f>
        <v/>
      </c>
      <c r="S8" s="76">
        <f>Calculations!W76</f>
        <v/>
      </c>
      <c r="T8" s="76">
        <f>Calculations!X76</f>
        <v/>
      </c>
      <c r="U8" s="76">
        <f>Calculations!Y76</f>
        <v/>
      </c>
      <c r="V8" s="76">
        <f>Calculations!Z76</f>
        <v/>
      </c>
      <c r="W8" s="76">
        <f>Calculations!AA76</f>
        <v/>
      </c>
      <c r="X8" s="76">
        <f>Calculations!AB76</f>
        <v/>
      </c>
      <c r="Y8" s="76">
        <f>Calculations!AC76</f>
        <v/>
      </c>
      <c r="Z8" s="76">
        <f>Calculations!AD76</f>
        <v/>
      </c>
      <c r="AA8" s="76">
        <f>Calculations!AE76</f>
        <v/>
      </c>
      <c r="AB8" s="76">
        <f>Calculations!AF76</f>
        <v/>
      </c>
    </row>
    <row r="9">
      <c r="A9" s="1" t="inlineStr">
        <is>
          <t>heavy or residual fuel oil (BTU)</t>
        </is>
      </c>
      <c r="B9" s="76">
        <f>Calculations!F77</f>
        <v/>
      </c>
      <c r="C9" s="76">
        <f>Calculations!G77</f>
        <v/>
      </c>
      <c r="D9" s="76">
        <f>Calculations!H77</f>
        <v/>
      </c>
      <c r="E9" s="76">
        <f>Calculations!I77</f>
        <v/>
      </c>
      <c r="F9" s="76">
        <f>Calculations!J77</f>
        <v/>
      </c>
      <c r="G9" s="76">
        <f>Calculations!K77</f>
        <v/>
      </c>
      <c r="H9" s="76">
        <f>Calculations!L77</f>
        <v/>
      </c>
      <c r="I9" s="76">
        <f>Calculations!M77</f>
        <v/>
      </c>
      <c r="J9" s="76">
        <f>Calculations!N77</f>
        <v/>
      </c>
      <c r="K9" s="76">
        <f>Calculations!O77</f>
        <v/>
      </c>
      <c r="L9" s="76">
        <f>Calculations!P77</f>
        <v/>
      </c>
      <c r="M9" s="76">
        <f>Calculations!Q77</f>
        <v/>
      </c>
      <c r="N9" s="76">
        <f>Calculations!R77</f>
        <v/>
      </c>
      <c r="O9" s="76">
        <f>Calculations!S77</f>
        <v/>
      </c>
      <c r="P9" s="76">
        <f>Calculations!T77</f>
        <v/>
      </c>
      <c r="Q9" s="76">
        <f>Calculations!U77</f>
        <v/>
      </c>
      <c r="R9" s="76">
        <f>Calculations!V77</f>
        <v/>
      </c>
      <c r="S9" s="76">
        <f>Calculations!W77</f>
        <v/>
      </c>
      <c r="T9" s="76">
        <f>Calculations!X77</f>
        <v/>
      </c>
      <c r="U9" s="76">
        <f>Calculations!Y77</f>
        <v/>
      </c>
      <c r="V9" s="76">
        <f>Calculations!Z77</f>
        <v/>
      </c>
      <c r="W9" s="76">
        <f>Calculations!AA77</f>
        <v/>
      </c>
      <c r="X9" s="76">
        <f>Calculations!AB77</f>
        <v/>
      </c>
      <c r="Y9" s="76">
        <f>Calculations!AC77</f>
        <v/>
      </c>
      <c r="Z9" s="76">
        <f>Calculations!AD77</f>
        <v/>
      </c>
      <c r="AA9" s="76">
        <f>Calculations!AE77</f>
        <v/>
      </c>
      <c r="AB9" s="76">
        <f>Calculations!AF77</f>
        <v/>
      </c>
    </row>
    <row r="10">
      <c r="A10" s="1" t="inlineStr">
        <is>
          <t>LPG propane or butane (BTU)</t>
        </is>
      </c>
      <c r="B10" s="76">
        <f>Calculations!F78</f>
        <v/>
      </c>
      <c r="C10" s="76">
        <f>Calculations!G78</f>
        <v/>
      </c>
      <c r="D10" s="76">
        <f>Calculations!H78</f>
        <v/>
      </c>
      <c r="E10" s="76">
        <f>Calculations!I78</f>
        <v/>
      </c>
      <c r="F10" s="76">
        <f>Calculations!J78</f>
        <v/>
      </c>
      <c r="G10" s="76">
        <f>Calculations!K78</f>
        <v/>
      </c>
      <c r="H10" s="76">
        <f>Calculations!L78</f>
        <v/>
      </c>
      <c r="I10" s="76">
        <f>Calculations!M78</f>
        <v/>
      </c>
      <c r="J10" s="76">
        <f>Calculations!N78</f>
        <v/>
      </c>
      <c r="K10" s="76">
        <f>Calculations!O78</f>
        <v/>
      </c>
      <c r="L10" s="76">
        <f>Calculations!P78</f>
        <v/>
      </c>
      <c r="M10" s="76">
        <f>Calculations!Q78</f>
        <v/>
      </c>
      <c r="N10" s="76">
        <f>Calculations!R78</f>
        <v/>
      </c>
      <c r="O10" s="76">
        <f>Calculations!S78</f>
        <v/>
      </c>
      <c r="P10" s="76">
        <f>Calculations!T78</f>
        <v/>
      </c>
      <c r="Q10" s="76">
        <f>Calculations!U78</f>
        <v/>
      </c>
      <c r="R10" s="76">
        <f>Calculations!V78</f>
        <v/>
      </c>
      <c r="S10" s="76">
        <f>Calculations!W78</f>
        <v/>
      </c>
      <c r="T10" s="76">
        <f>Calculations!X78</f>
        <v/>
      </c>
      <c r="U10" s="76">
        <f>Calculations!Y78</f>
        <v/>
      </c>
      <c r="V10" s="76">
        <f>Calculations!Z78</f>
        <v/>
      </c>
      <c r="W10" s="76">
        <f>Calculations!AA78</f>
        <v/>
      </c>
      <c r="X10" s="76">
        <f>Calculations!AB78</f>
        <v/>
      </c>
      <c r="Y10" s="76">
        <f>Calculations!AC78</f>
        <v/>
      </c>
      <c r="Z10" s="76">
        <f>Calculations!AD78</f>
        <v/>
      </c>
      <c r="AA10" s="76">
        <f>Calculations!AE78</f>
        <v/>
      </c>
      <c r="AB10" s="76">
        <f>Calculations!AF78</f>
        <v/>
      </c>
    </row>
    <row r="11">
      <c r="A11" s="1" t="inlineStr">
        <is>
          <t>hydrogen (BTU)</t>
        </is>
      </c>
      <c r="B11" s="76">
        <f>Calculations!F79</f>
        <v/>
      </c>
      <c r="C11" s="76">
        <f>Calculations!G79</f>
        <v/>
      </c>
      <c r="D11" s="76">
        <f>Calculations!H79</f>
        <v/>
      </c>
      <c r="E11" s="76">
        <f>Calculations!I79</f>
        <v/>
      </c>
      <c r="F11" s="76">
        <f>Calculations!J79</f>
        <v/>
      </c>
      <c r="G11" s="76">
        <f>Calculations!K79</f>
        <v/>
      </c>
      <c r="H11" s="76">
        <f>Calculations!L79</f>
        <v/>
      </c>
      <c r="I11" s="76">
        <f>Calculations!M79</f>
        <v/>
      </c>
      <c r="J11" s="76">
        <f>Calculations!N79</f>
        <v/>
      </c>
      <c r="K11" s="76">
        <f>Calculations!O79</f>
        <v/>
      </c>
      <c r="L11" s="76">
        <f>Calculations!P79</f>
        <v/>
      </c>
      <c r="M11" s="76">
        <f>Calculations!Q79</f>
        <v/>
      </c>
      <c r="N11" s="76">
        <f>Calculations!R79</f>
        <v/>
      </c>
      <c r="O11" s="76">
        <f>Calculations!S79</f>
        <v/>
      </c>
      <c r="P11" s="76">
        <f>Calculations!T79</f>
        <v/>
      </c>
      <c r="Q11" s="76">
        <f>Calculations!U79</f>
        <v/>
      </c>
      <c r="R11" s="76">
        <f>Calculations!V79</f>
        <v/>
      </c>
      <c r="S11" s="76">
        <f>Calculations!W79</f>
        <v/>
      </c>
      <c r="T11" s="76">
        <f>Calculations!X79</f>
        <v/>
      </c>
      <c r="U11" s="76">
        <f>Calculations!Y79</f>
        <v/>
      </c>
      <c r="V11" s="76">
        <f>Calculations!Z79</f>
        <v/>
      </c>
      <c r="W11" s="76">
        <f>Calculations!AA79</f>
        <v/>
      </c>
      <c r="X11" s="76">
        <f>Calculations!AB79</f>
        <v/>
      </c>
      <c r="Y11" s="76">
        <f>Calculations!AC79</f>
        <v/>
      </c>
      <c r="Z11" s="76">
        <f>Calculations!AD79</f>
        <v/>
      </c>
      <c r="AA11" s="76">
        <f>Calculations!AE79</f>
        <v/>
      </c>
      <c r="AB11" s="76">
        <f>Calculations!AF79</f>
        <v/>
      </c>
    </row>
  </sheetData>
  <pageMargins left="0.7" right="0.7" top="0.75" bottom="0.75" header="0.3" footer="0.3"/>
  <pageSetup orientation="portrait" horizontalDpi="1200" verticalDpi="1200"/>
</worksheet>
</file>

<file path=xl/worksheets/sheet19.xml><?xml version="1.0" encoding="utf-8"?>
<worksheet xmlns="http://schemas.openxmlformats.org/spreadsheetml/2006/main">
  <sheetPr>
    <tabColor theme="3"/>
    <outlinePr summaryBelow="1" summaryRight="1"/>
    <pageSetUpPr/>
  </sheetPr>
  <dimension ref="A1:AD11"/>
  <sheetViews>
    <sheetView workbookViewId="0">
      <selection activeCell="A1" sqref="A1"/>
    </sheetView>
  </sheetViews>
  <sheetFormatPr baseColWidth="8" defaultRowHeight="14.25"/>
  <cols>
    <col width="29.796875" customWidth="1" min="1" max="1"/>
    <col width="12.265625" customWidth="1" min="2" max="28"/>
  </cols>
  <sheetData>
    <row r="1">
      <c r="A1" s="1" t="inlineStr">
        <is>
          <t>Year</t>
        </is>
      </c>
      <c r="B1" s="1" t="n">
        <v>2024</v>
      </c>
      <c r="C1" s="1" t="n">
        <v>2025</v>
      </c>
      <c r="D1" s="1" t="n">
        <v>2026</v>
      </c>
      <c r="E1" s="1" t="n">
        <v>2027</v>
      </c>
      <c r="F1" s="1" t="n">
        <v>2028</v>
      </c>
      <c r="G1" s="1" t="n">
        <v>2029</v>
      </c>
      <c r="H1" s="1" t="n">
        <v>2030</v>
      </c>
      <c r="I1" s="1" t="n">
        <v>2031</v>
      </c>
      <c r="J1" s="1" t="n">
        <v>2032</v>
      </c>
      <c r="K1" s="1" t="n">
        <v>2033</v>
      </c>
      <c r="L1" s="1" t="n">
        <v>2034</v>
      </c>
      <c r="M1" s="1" t="n">
        <v>2035</v>
      </c>
      <c r="N1" s="1" t="n">
        <v>2036</v>
      </c>
      <c r="O1" s="1" t="n">
        <v>2037</v>
      </c>
      <c r="P1" s="1" t="n">
        <v>2038</v>
      </c>
      <c r="Q1" s="1" t="n">
        <v>2039</v>
      </c>
      <c r="R1" s="1" t="n">
        <v>2040</v>
      </c>
      <c r="S1" s="1" t="n">
        <v>2041</v>
      </c>
      <c r="T1" s="1" t="n">
        <v>2042</v>
      </c>
      <c r="U1" s="1" t="n">
        <v>2043</v>
      </c>
      <c r="V1" s="1" t="n">
        <v>2044</v>
      </c>
      <c r="W1" s="1" t="n">
        <v>2045</v>
      </c>
      <c r="X1" s="1" t="n">
        <v>2046</v>
      </c>
      <c r="Y1" s="1" t="n">
        <v>2047</v>
      </c>
      <c r="Z1" s="1" t="n">
        <v>2048</v>
      </c>
      <c r="AA1" s="1" t="n">
        <v>2049</v>
      </c>
      <c r="AB1" s="1" t="n">
        <v>2050</v>
      </c>
      <c r="AC1" s="1" t="n"/>
      <c r="AD1" s="1" t="n"/>
    </row>
    <row r="2">
      <c r="A2" s="1" t="inlineStr">
        <is>
          <t>electricity (BTU)</t>
        </is>
      </c>
      <c r="B2" s="76">
        <f>Calculations!F83</f>
        <v/>
      </c>
      <c r="C2" s="76">
        <f>Calculations!G83</f>
        <v/>
      </c>
      <c r="D2" s="76">
        <f>Calculations!H83</f>
        <v/>
      </c>
      <c r="E2" s="76">
        <f>Calculations!I83</f>
        <v/>
      </c>
      <c r="F2" s="76">
        <f>Calculations!J83</f>
        <v/>
      </c>
      <c r="G2" s="76">
        <f>Calculations!K83</f>
        <v/>
      </c>
      <c r="H2" s="76">
        <f>Calculations!L83</f>
        <v/>
      </c>
      <c r="I2" s="76">
        <f>Calculations!M83</f>
        <v/>
      </c>
      <c r="J2" s="76">
        <f>Calculations!N83</f>
        <v/>
      </c>
      <c r="K2" s="76">
        <f>Calculations!O83</f>
        <v/>
      </c>
      <c r="L2" s="76">
        <f>Calculations!P83</f>
        <v/>
      </c>
      <c r="M2" s="76">
        <f>Calculations!Q83</f>
        <v/>
      </c>
      <c r="N2" s="76">
        <f>Calculations!R83</f>
        <v/>
      </c>
      <c r="O2" s="76">
        <f>Calculations!S83</f>
        <v/>
      </c>
      <c r="P2" s="76">
        <f>Calculations!T83</f>
        <v/>
      </c>
      <c r="Q2" s="76">
        <f>Calculations!U83</f>
        <v/>
      </c>
      <c r="R2" s="76">
        <f>Calculations!V83</f>
        <v/>
      </c>
      <c r="S2" s="76">
        <f>Calculations!W83</f>
        <v/>
      </c>
      <c r="T2" s="76">
        <f>Calculations!X83</f>
        <v/>
      </c>
      <c r="U2" s="76">
        <f>Calculations!Y83</f>
        <v/>
      </c>
      <c r="V2" s="76">
        <f>Calculations!Z83</f>
        <v/>
      </c>
      <c r="W2" s="76">
        <f>Calculations!AA83</f>
        <v/>
      </c>
      <c r="X2" s="76">
        <f>Calculations!AB83</f>
        <v/>
      </c>
      <c r="Y2" s="76">
        <f>Calculations!AC83</f>
        <v/>
      </c>
      <c r="Z2" s="76">
        <f>Calculations!AD83</f>
        <v/>
      </c>
      <c r="AA2" s="76">
        <f>Calculations!AE83</f>
        <v/>
      </c>
      <c r="AB2" s="76">
        <f>Calculations!AF83</f>
        <v/>
      </c>
    </row>
    <row r="3">
      <c r="A3" s="1" t="inlineStr">
        <is>
          <t>coal (BTU)</t>
        </is>
      </c>
      <c r="B3" s="76">
        <f>Calculations!F84</f>
        <v/>
      </c>
      <c r="C3" s="76">
        <f>Calculations!G84</f>
        <v/>
      </c>
      <c r="D3" s="76">
        <f>Calculations!H84</f>
        <v/>
      </c>
      <c r="E3" s="76">
        <f>Calculations!I84</f>
        <v/>
      </c>
      <c r="F3" s="76">
        <f>Calculations!J84</f>
        <v/>
      </c>
      <c r="G3" s="76">
        <f>Calculations!K84</f>
        <v/>
      </c>
      <c r="H3" s="76">
        <f>Calculations!L84</f>
        <v/>
      </c>
      <c r="I3" s="76">
        <f>Calculations!M84</f>
        <v/>
      </c>
      <c r="J3" s="76">
        <f>Calculations!N84</f>
        <v/>
      </c>
      <c r="K3" s="76">
        <f>Calculations!O84</f>
        <v/>
      </c>
      <c r="L3" s="76">
        <f>Calculations!P84</f>
        <v/>
      </c>
      <c r="M3" s="76">
        <f>Calculations!Q84</f>
        <v/>
      </c>
      <c r="N3" s="76">
        <f>Calculations!R84</f>
        <v/>
      </c>
      <c r="O3" s="76">
        <f>Calculations!S84</f>
        <v/>
      </c>
      <c r="P3" s="76">
        <f>Calculations!T84</f>
        <v/>
      </c>
      <c r="Q3" s="76">
        <f>Calculations!U84</f>
        <v/>
      </c>
      <c r="R3" s="76">
        <f>Calculations!V84</f>
        <v/>
      </c>
      <c r="S3" s="76">
        <f>Calculations!W84</f>
        <v/>
      </c>
      <c r="T3" s="76">
        <f>Calculations!X84</f>
        <v/>
      </c>
      <c r="U3" s="76">
        <f>Calculations!Y84</f>
        <v/>
      </c>
      <c r="V3" s="76">
        <f>Calculations!Z84</f>
        <v/>
      </c>
      <c r="W3" s="76">
        <f>Calculations!AA84</f>
        <v/>
      </c>
      <c r="X3" s="76">
        <f>Calculations!AB84</f>
        <v/>
      </c>
      <c r="Y3" s="76">
        <f>Calculations!AC84</f>
        <v/>
      </c>
      <c r="Z3" s="76">
        <f>Calculations!AD84</f>
        <v/>
      </c>
      <c r="AA3" s="76">
        <f>Calculations!AE84</f>
        <v/>
      </c>
      <c r="AB3" s="76">
        <f>Calculations!AF84</f>
        <v/>
      </c>
    </row>
    <row r="4">
      <c r="A4" s="1" t="inlineStr">
        <is>
          <t>natural gas (BTU)</t>
        </is>
      </c>
      <c r="B4" s="76">
        <f>Calculations!F85</f>
        <v/>
      </c>
      <c r="C4" s="76">
        <f>Calculations!G85</f>
        <v/>
      </c>
      <c r="D4" s="76">
        <f>Calculations!H85</f>
        <v/>
      </c>
      <c r="E4" s="76">
        <f>Calculations!I85</f>
        <v/>
      </c>
      <c r="F4" s="76">
        <f>Calculations!J85</f>
        <v/>
      </c>
      <c r="G4" s="76">
        <f>Calculations!K85</f>
        <v/>
      </c>
      <c r="H4" s="76">
        <f>Calculations!L85</f>
        <v/>
      </c>
      <c r="I4" s="76">
        <f>Calculations!M85</f>
        <v/>
      </c>
      <c r="J4" s="76">
        <f>Calculations!N85</f>
        <v/>
      </c>
      <c r="K4" s="76">
        <f>Calculations!O85</f>
        <v/>
      </c>
      <c r="L4" s="76">
        <f>Calculations!P85</f>
        <v/>
      </c>
      <c r="M4" s="76">
        <f>Calculations!Q85</f>
        <v/>
      </c>
      <c r="N4" s="76">
        <f>Calculations!R85</f>
        <v/>
      </c>
      <c r="O4" s="76">
        <f>Calculations!S85</f>
        <v/>
      </c>
      <c r="P4" s="76">
        <f>Calculations!T85</f>
        <v/>
      </c>
      <c r="Q4" s="76">
        <f>Calculations!U85</f>
        <v/>
      </c>
      <c r="R4" s="76">
        <f>Calculations!V85</f>
        <v/>
      </c>
      <c r="S4" s="76">
        <f>Calculations!W85</f>
        <v/>
      </c>
      <c r="T4" s="76">
        <f>Calculations!X85</f>
        <v/>
      </c>
      <c r="U4" s="76">
        <f>Calculations!Y85</f>
        <v/>
      </c>
      <c r="V4" s="76">
        <f>Calculations!Z85</f>
        <v/>
      </c>
      <c r="W4" s="76">
        <f>Calculations!AA85</f>
        <v/>
      </c>
      <c r="X4" s="76">
        <f>Calculations!AB85</f>
        <v/>
      </c>
      <c r="Y4" s="76">
        <f>Calculations!AC85</f>
        <v/>
      </c>
      <c r="Z4" s="76">
        <f>Calculations!AD85</f>
        <v/>
      </c>
      <c r="AA4" s="76">
        <f>Calculations!AE85</f>
        <v/>
      </c>
      <c r="AB4" s="76">
        <f>Calculations!AF85</f>
        <v/>
      </c>
    </row>
    <row r="5">
      <c r="A5" s="1" t="inlineStr">
        <is>
          <t>petroleum diesel (BTU)</t>
        </is>
      </c>
      <c r="B5" s="76">
        <f>Calculations!F86</f>
        <v/>
      </c>
      <c r="C5" s="76">
        <f>Calculations!G86</f>
        <v/>
      </c>
      <c r="D5" s="76">
        <f>Calculations!H86</f>
        <v/>
      </c>
      <c r="E5" s="76">
        <f>Calculations!I86</f>
        <v/>
      </c>
      <c r="F5" s="76">
        <f>Calculations!J86</f>
        <v/>
      </c>
      <c r="G5" s="76">
        <f>Calculations!K86</f>
        <v/>
      </c>
      <c r="H5" s="76">
        <f>Calculations!L86</f>
        <v/>
      </c>
      <c r="I5" s="76">
        <f>Calculations!M86</f>
        <v/>
      </c>
      <c r="J5" s="76">
        <f>Calculations!N86</f>
        <v/>
      </c>
      <c r="K5" s="76">
        <f>Calculations!O86</f>
        <v/>
      </c>
      <c r="L5" s="76">
        <f>Calculations!P86</f>
        <v/>
      </c>
      <c r="M5" s="76">
        <f>Calculations!Q86</f>
        <v/>
      </c>
      <c r="N5" s="76">
        <f>Calculations!R86</f>
        <v/>
      </c>
      <c r="O5" s="76">
        <f>Calculations!S86</f>
        <v/>
      </c>
      <c r="P5" s="76">
        <f>Calculations!T86</f>
        <v/>
      </c>
      <c r="Q5" s="76">
        <f>Calculations!U86</f>
        <v/>
      </c>
      <c r="R5" s="76">
        <f>Calculations!V86</f>
        <v/>
      </c>
      <c r="S5" s="76">
        <f>Calculations!W86</f>
        <v/>
      </c>
      <c r="T5" s="76">
        <f>Calculations!X86</f>
        <v/>
      </c>
      <c r="U5" s="76">
        <f>Calculations!Y86</f>
        <v/>
      </c>
      <c r="V5" s="76">
        <f>Calculations!Z86</f>
        <v/>
      </c>
      <c r="W5" s="76">
        <f>Calculations!AA86</f>
        <v/>
      </c>
      <c r="X5" s="76">
        <f>Calculations!AB86</f>
        <v/>
      </c>
      <c r="Y5" s="76">
        <f>Calculations!AC86</f>
        <v/>
      </c>
      <c r="Z5" s="76">
        <f>Calculations!AD86</f>
        <v/>
      </c>
      <c r="AA5" s="76">
        <f>Calculations!AE86</f>
        <v/>
      </c>
      <c r="AB5" s="76">
        <f>Calculations!AF86</f>
        <v/>
      </c>
    </row>
    <row r="6">
      <c r="A6" s="1" t="inlineStr">
        <is>
          <t>heat (BTU)</t>
        </is>
      </c>
      <c r="B6" s="76">
        <f>Calculations!F87</f>
        <v/>
      </c>
      <c r="C6" s="76">
        <f>Calculations!G87</f>
        <v/>
      </c>
      <c r="D6" s="76">
        <f>Calculations!H87</f>
        <v/>
      </c>
      <c r="E6" s="76">
        <f>Calculations!I87</f>
        <v/>
      </c>
      <c r="F6" s="76">
        <f>Calculations!J87</f>
        <v/>
      </c>
      <c r="G6" s="76">
        <f>Calculations!K87</f>
        <v/>
      </c>
      <c r="H6" s="76">
        <f>Calculations!L87</f>
        <v/>
      </c>
      <c r="I6" s="76">
        <f>Calculations!M87</f>
        <v/>
      </c>
      <c r="J6" s="76">
        <f>Calculations!N87</f>
        <v/>
      </c>
      <c r="K6" s="76">
        <f>Calculations!O87</f>
        <v/>
      </c>
      <c r="L6" s="76">
        <f>Calculations!P87</f>
        <v/>
      </c>
      <c r="M6" s="76">
        <f>Calculations!Q87</f>
        <v/>
      </c>
      <c r="N6" s="76">
        <f>Calculations!R87</f>
        <v/>
      </c>
      <c r="O6" s="76">
        <f>Calculations!S87</f>
        <v/>
      </c>
      <c r="P6" s="76">
        <f>Calculations!T87</f>
        <v/>
      </c>
      <c r="Q6" s="76">
        <f>Calculations!U87</f>
        <v/>
      </c>
      <c r="R6" s="76">
        <f>Calculations!V87</f>
        <v/>
      </c>
      <c r="S6" s="76">
        <f>Calculations!W87</f>
        <v/>
      </c>
      <c r="T6" s="76">
        <f>Calculations!X87</f>
        <v/>
      </c>
      <c r="U6" s="76">
        <f>Calculations!Y87</f>
        <v/>
      </c>
      <c r="V6" s="76">
        <f>Calculations!Z87</f>
        <v/>
      </c>
      <c r="W6" s="76">
        <f>Calculations!AA87</f>
        <v/>
      </c>
      <c r="X6" s="76">
        <f>Calculations!AB87</f>
        <v/>
      </c>
      <c r="Y6" s="76">
        <f>Calculations!AC87</f>
        <v/>
      </c>
      <c r="Z6" s="76">
        <f>Calculations!AD87</f>
        <v/>
      </c>
      <c r="AA6" s="76">
        <f>Calculations!AE87</f>
        <v/>
      </c>
      <c r="AB6" s="76">
        <f>Calculations!AF87</f>
        <v/>
      </c>
    </row>
    <row r="7">
      <c r="A7" s="1" t="inlineStr">
        <is>
          <t>biomass (BTU)</t>
        </is>
      </c>
      <c r="B7" s="76">
        <f>Calculations!F88</f>
        <v/>
      </c>
      <c r="C7" s="76">
        <f>Calculations!G88</f>
        <v/>
      </c>
      <c r="D7" s="76">
        <f>Calculations!H88</f>
        <v/>
      </c>
      <c r="E7" s="76">
        <f>Calculations!I88</f>
        <v/>
      </c>
      <c r="F7" s="76">
        <f>Calculations!J88</f>
        <v/>
      </c>
      <c r="G7" s="76">
        <f>Calculations!K88</f>
        <v/>
      </c>
      <c r="H7" s="76">
        <f>Calculations!L88</f>
        <v/>
      </c>
      <c r="I7" s="76">
        <f>Calculations!M88</f>
        <v/>
      </c>
      <c r="J7" s="76">
        <f>Calculations!N88</f>
        <v/>
      </c>
      <c r="K7" s="76">
        <f>Calculations!O88</f>
        <v/>
      </c>
      <c r="L7" s="76">
        <f>Calculations!P88</f>
        <v/>
      </c>
      <c r="M7" s="76">
        <f>Calculations!Q88</f>
        <v/>
      </c>
      <c r="N7" s="76">
        <f>Calculations!R88</f>
        <v/>
      </c>
      <c r="O7" s="76">
        <f>Calculations!S88</f>
        <v/>
      </c>
      <c r="P7" s="76">
        <f>Calculations!T88</f>
        <v/>
      </c>
      <c r="Q7" s="76">
        <f>Calculations!U88</f>
        <v/>
      </c>
      <c r="R7" s="76">
        <f>Calculations!V88</f>
        <v/>
      </c>
      <c r="S7" s="76">
        <f>Calculations!W88</f>
        <v/>
      </c>
      <c r="T7" s="76">
        <f>Calculations!X88</f>
        <v/>
      </c>
      <c r="U7" s="76">
        <f>Calculations!Y88</f>
        <v/>
      </c>
      <c r="V7" s="76">
        <f>Calculations!Z88</f>
        <v/>
      </c>
      <c r="W7" s="76">
        <f>Calculations!AA88</f>
        <v/>
      </c>
      <c r="X7" s="76">
        <f>Calculations!AB88</f>
        <v/>
      </c>
      <c r="Y7" s="76">
        <f>Calculations!AC88</f>
        <v/>
      </c>
      <c r="Z7" s="76">
        <f>Calculations!AD88</f>
        <v/>
      </c>
      <c r="AA7" s="76">
        <f>Calculations!AE88</f>
        <v/>
      </c>
      <c r="AB7" s="76">
        <f>Calculations!AF88</f>
        <v/>
      </c>
    </row>
    <row r="8">
      <c r="A8" s="1" t="inlineStr">
        <is>
          <t>kerosene (BTU)</t>
        </is>
      </c>
      <c r="B8" s="76">
        <f>Calculations!F89</f>
        <v/>
      </c>
      <c r="C8" s="76">
        <f>Calculations!G89</f>
        <v/>
      </c>
      <c r="D8" s="76">
        <f>Calculations!H89</f>
        <v/>
      </c>
      <c r="E8" s="76">
        <f>Calculations!I89</f>
        <v/>
      </c>
      <c r="F8" s="76">
        <f>Calculations!J89</f>
        <v/>
      </c>
      <c r="G8" s="76">
        <f>Calculations!K89</f>
        <v/>
      </c>
      <c r="H8" s="76">
        <f>Calculations!L89</f>
        <v/>
      </c>
      <c r="I8" s="76">
        <f>Calculations!M89</f>
        <v/>
      </c>
      <c r="J8" s="76">
        <f>Calculations!N89</f>
        <v/>
      </c>
      <c r="K8" s="76">
        <f>Calculations!O89</f>
        <v/>
      </c>
      <c r="L8" s="76">
        <f>Calculations!P89</f>
        <v/>
      </c>
      <c r="M8" s="76">
        <f>Calculations!Q89</f>
        <v/>
      </c>
      <c r="N8" s="76">
        <f>Calculations!R89</f>
        <v/>
      </c>
      <c r="O8" s="76">
        <f>Calculations!S89</f>
        <v/>
      </c>
      <c r="P8" s="76">
        <f>Calculations!T89</f>
        <v/>
      </c>
      <c r="Q8" s="76">
        <f>Calculations!U89</f>
        <v/>
      </c>
      <c r="R8" s="76">
        <f>Calculations!V89</f>
        <v/>
      </c>
      <c r="S8" s="76">
        <f>Calculations!W89</f>
        <v/>
      </c>
      <c r="T8" s="76">
        <f>Calculations!X89</f>
        <v/>
      </c>
      <c r="U8" s="76">
        <f>Calculations!Y89</f>
        <v/>
      </c>
      <c r="V8" s="76">
        <f>Calculations!Z89</f>
        <v/>
      </c>
      <c r="W8" s="76">
        <f>Calculations!AA89</f>
        <v/>
      </c>
      <c r="X8" s="76">
        <f>Calculations!AB89</f>
        <v/>
      </c>
      <c r="Y8" s="76">
        <f>Calculations!AC89</f>
        <v/>
      </c>
      <c r="Z8" s="76">
        <f>Calculations!AD89</f>
        <v/>
      </c>
      <c r="AA8" s="76">
        <f>Calculations!AE89</f>
        <v/>
      </c>
      <c r="AB8" s="76">
        <f>Calculations!AF89</f>
        <v/>
      </c>
    </row>
    <row r="9">
      <c r="A9" s="1" t="inlineStr">
        <is>
          <t>heavy or residual fuel oil (BTU)</t>
        </is>
      </c>
      <c r="B9" s="76">
        <f>Calculations!F90</f>
        <v/>
      </c>
      <c r="C9" s="76">
        <f>Calculations!G90</f>
        <v/>
      </c>
      <c r="D9" s="76">
        <f>Calculations!H90</f>
        <v/>
      </c>
      <c r="E9" s="76">
        <f>Calculations!I90</f>
        <v/>
      </c>
      <c r="F9" s="76">
        <f>Calculations!J90</f>
        <v/>
      </c>
      <c r="G9" s="76">
        <f>Calculations!K90</f>
        <v/>
      </c>
      <c r="H9" s="76">
        <f>Calculations!L90</f>
        <v/>
      </c>
      <c r="I9" s="76">
        <f>Calculations!M90</f>
        <v/>
      </c>
      <c r="J9" s="76">
        <f>Calculations!N90</f>
        <v/>
      </c>
      <c r="K9" s="76">
        <f>Calculations!O90</f>
        <v/>
      </c>
      <c r="L9" s="76">
        <f>Calculations!P90</f>
        <v/>
      </c>
      <c r="M9" s="76">
        <f>Calculations!Q90</f>
        <v/>
      </c>
      <c r="N9" s="76">
        <f>Calculations!R90</f>
        <v/>
      </c>
      <c r="O9" s="76">
        <f>Calculations!S90</f>
        <v/>
      </c>
      <c r="P9" s="76">
        <f>Calculations!T90</f>
        <v/>
      </c>
      <c r="Q9" s="76">
        <f>Calculations!U90</f>
        <v/>
      </c>
      <c r="R9" s="76">
        <f>Calculations!V90</f>
        <v/>
      </c>
      <c r="S9" s="76">
        <f>Calculations!W90</f>
        <v/>
      </c>
      <c r="T9" s="76">
        <f>Calculations!X90</f>
        <v/>
      </c>
      <c r="U9" s="76">
        <f>Calculations!Y90</f>
        <v/>
      </c>
      <c r="V9" s="76">
        <f>Calculations!Z90</f>
        <v/>
      </c>
      <c r="W9" s="76">
        <f>Calculations!AA90</f>
        <v/>
      </c>
      <c r="X9" s="76">
        <f>Calculations!AB90</f>
        <v/>
      </c>
      <c r="Y9" s="76">
        <f>Calculations!AC90</f>
        <v/>
      </c>
      <c r="Z9" s="76">
        <f>Calculations!AD90</f>
        <v/>
      </c>
      <c r="AA9" s="76">
        <f>Calculations!AE90</f>
        <v/>
      </c>
      <c r="AB9" s="76">
        <f>Calculations!AF90</f>
        <v/>
      </c>
    </row>
    <row r="10">
      <c r="A10" s="1" t="inlineStr">
        <is>
          <t>LPG propane or butane (BTU)</t>
        </is>
      </c>
      <c r="B10" s="76">
        <f>Calculations!F91</f>
        <v/>
      </c>
      <c r="C10" s="76">
        <f>Calculations!G91</f>
        <v/>
      </c>
      <c r="D10" s="76">
        <f>Calculations!H91</f>
        <v/>
      </c>
      <c r="E10" s="76">
        <f>Calculations!I91</f>
        <v/>
      </c>
      <c r="F10" s="76">
        <f>Calculations!J91</f>
        <v/>
      </c>
      <c r="G10" s="76">
        <f>Calculations!K91</f>
        <v/>
      </c>
      <c r="H10" s="76">
        <f>Calculations!L91</f>
        <v/>
      </c>
      <c r="I10" s="76">
        <f>Calculations!M91</f>
        <v/>
      </c>
      <c r="J10" s="76">
        <f>Calculations!N91</f>
        <v/>
      </c>
      <c r="K10" s="76">
        <f>Calculations!O91</f>
        <v/>
      </c>
      <c r="L10" s="76">
        <f>Calculations!P91</f>
        <v/>
      </c>
      <c r="M10" s="76">
        <f>Calculations!Q91</f>
        <v/>
      </c>
      <c r="N10" s="76">
        <f>Calculations!R91</f>
        <v/>
      </c>
      <c r="O10" s="76">
        <f>Calculations!S91</f>
        <v/>
      </c>
      <c r="P10" s="76">
        <f>Calculations!T91</f>
        <v/>
      </c>
      <c r="Q10" s="76">
        <f>Calculations!U91</f>
        <v/>
      </c>
      <c r="R10" s="76">
        <f>Calculations!V91</f>
        <v/>
      </c>
      <c r="S10" s="76">
        <f>Calculations!W91</f>
        <v/>
      </c>
      <c r="T10" s="76">
        <f>Calculations!X91</f>
        <v/>
      </c>
      <c r="U10" s="76">
        <f>Calculations!Y91</f>
        <v/>
      </c>
      <c r="V10" s="76">
        <f>Calculations!Z91</f>
        <v/>
      </c>
      <c r="W10" s="76">
        <f>Calculations!AA91</f>
        <v/>
      </c>
      <c r="X10" s="76">
        <f>Calculations!AB91</f>
        <v/>
      </c>
      <c r="Y10" s="76">
        <f>Calculations!AC91</f>
        <v/>
      </c>
      <c r="Z10" s="76">
        <f>Calculations!AD91</f>
        <v/>
      </c>
      <c r="AA10" s="76">
        <f>Calculations!AE91</f>
        <v/>
      </c>
      <c r="AB10" s="76">
        <f>Calculations!AF91</f>
        <v/>
      </c>
    </row>
    <row r="11">
      <c r="A11" s="1" t="inlineStr">
        <is>
          <t>hydrogen (BTU)</t>
        </is>
      </c>
      <c r="B11" s="76">
        <f>Calculations!F92</f>
        <v/>
      </c>
      <c r="C11" s="76">
        <f>Calculations!G92</f>
        <v/>
      </c>
      <c r="D11" s="76">
        <f>Calculations!H92</f>
        <v/>
      </c>
      <c r="E11" s="76">
        <f>Calculations!I92</f>
        <v/>
      </c>
      <c r="F11" s="76">
        <f>Calculations!J92</f>
        <v/>
      </c>
      <c r="G11" s="76">
        <f>Calculations!K92</f>
        <v/>
      </c>
      <c r="H11" s="76">
        <f>Calculations!L92</f>
        <v/>
      </c>
      <c r="I11" s="76">
        <f>Calculations!M92</f>
        <v/>
      </c>
      <c r="J11" s="76">
        <f>Calculations!N92</f>
        <v/>
      </c>
      <c r="K11" s="76">
        <f>Calculations!O92</f>
        <v/>
      </c>
      <c r="L11" s="76">
        <f>Calculations!P92</f>
        <v/>
      </c>
      <c r="M11" s="76">
        <f>Calculations!Q92</f>
        <v/>
      </c>
      <c r="N11" s="76">
        <f>Calculations!R92</f>
        <v/>
      </c>
      <c r="O11" s="76">
        <f>Calculations!S92</f>
        <v/>
      </c>
      <c r="P11" s="76">
        <f>Calculations!T92</f>
        <v/>
      </c>
      <c r="Q11" s="76">
        <f>Calculations!U92</f>
        <v/>
      </c>
      <c r="R11" s="76">
        <f>Calculations!V92</f>
        <v/>
      </c>
      <c r="S11" s="76">
        <f>Calculations!W92</f>
        <v/>
      </c>
      <c r="T11" s="76">
        <f>Calculations!X92</f>
        <v/>
      </c>
      <c r="U11" s="76">
        <f>Calculations!Y92</f>
        <v/>
      </c>
      <c r="V11" s="76">
        <f>Calculations!Z92</f>
        <v/>
      </c>
      <c r="W11" s="76">
        <f>Calculations!AA92</f>
        <v/>
      </c>
      <c r="X11" s="76">
        <f>Calculations!AB92</f>
        <v/>
      </c>
      <c r="Y11" s="76">
        <f>Calculations!AC92</f>
        <v/>
      </c>
      <c r="Z11" s="76">
        <f>Calculations!AD92</f>
        <v/>
      </c>
      <c r="AA11" s="76">
        <f>Calculations!AE92</f>
        <v/>
      </c>
      <c r="AB11" s="76">
        <f>Calculations!AF92</f>
        <v/>
      </c>
    </row>
  </sheetData>
  <pageMargins left="0.7" right="0.7" top="0.75" bottom="0.75" header="0.3" footer="0.3"/>
  <pageSetup orientation="portrait" horizontalDpi="1200" verticalDpi="1200"/>
</worksheet>
</file>

<file path=xl/worksheets/sheet20.xml><?xml version="1.0" encoding="utf-8"?>
<worksheet xmlns="http://schemas.openxmlformats.org/spreadsheetml/2006/main">
  <sheetPr>
    <tabColor theme="3"/>
    <outlinePr summaryBelow="1" summaryRight="1"/>
    <pageSetUpPr/>
  </sheetPr>
  <dimension ref="A1:AD11"/>
  <sheetViews>
    <sheetView workbookViewId="0">
      <selection activeCell="A1" sqref="A1"/>
    </sheetView>
  </sheetViews>
  <sheetFormatPr baseColWidth="8" defaultRowHeight="14.25"/>
  <cols>
    <col width="29.796875" customWidth="1" min="1" max="1"/>
    <col width="9.53125" bestFit="1" customWidth="1" min="2" max="28"/>
  </cols>
  <sheetData>
    <row r="1">
      <c r="A1" s="1" t="inlineStr">
        <is>
          <t>Year</t>
        </is>
      </c>
      <c r="B1" s="1" t="n">
        <v>2024</v>
      </c>
      <c r="C1" s="1" t="n">
        <v>2025</v>
      </c>
      <c r="D1" s="1" t="n">
        <v>2026</v>
      </c>
      <c r="E1" s="1" t="n">
        <v>2027</v>
      </c>
      <c r="F1" s="1" t="n">
        <v>2028</v>
      </c>
      <c r="G1" s="1" t="n">
        <v>2029</v>
      </c>
      <c r="H1" s="1" t="n">
        <v>2030</v>
      </c>
      <c r="I1" s="1" t="n">
        <v>2031</v>
      </c>
      <c r="J1" s="1" t="n">
        <v>2032</v>
      </c>
      <c r="K1" s="1" t="n">
        <v>2033</v>
      </c>
      <c r="L1" s="1" t="n">
        <v>2034</v>
      </c>
      <c r="M1" s="1" t="n">
        <v>2035</v>
      </c>
      <c r="N1" s="1" t="n">
        <v>2036</v>
      </c>
      <c r="O1" s="1" t="n">
        <v>2037</v>
      </c>
      <c r="P1" s="1" t="n">
        <v>2038</v>
      </c>
      <c r="Q1" s="1" t="n">
        <v>2039</v>
      </c>
      <c r="R1" s="1" t="n">
        <v>2040</v>
      </c>
      <c r="S1" s="1" t="n">
        <v>2041</v>
      </c>
      <c r="T1" s="1" t="n">
        <v>2042</v>
      </c>
      <c r="U1" s="1" t="n">
        <v>2043</v>
      </c>
      <c r="V1" s="1" t="n">
        <v>2044</v>
      </c>
      <c r="W1" s="1" t="n">
        <v>2045</v>
      </c>
      <c r="X1" s="1" t="n">
        <v>2046</v>
      </c>
      <c r="Y1" s="1" t="n">
        <v>2047</v>
      </c>
      <c r="Z1" s="1" t="n">
        <v>2048</v>
      </c>
      <c r="AA1" s="1" t="n">
        <v>2049</v>
      </c>
      <c r="AB1" s="1" t="n">
        <v>2050</v>
      </c>
      <c r="AC1" s="1" t="n"/>
      <c r="AD1" s="1" t="n"/>
    </row>
    <row r="2">
      <c r="A2" s="1" t="inlineStr">
        <is>
          <t>electricity (BTU)</t>
        </is>
      </c>
      <c r="B2" s="76">
        <f>Calculations!F96</f>
        <v/>
      </c>
      <c r="C2" s="76">
        <f>Calculations!G96</f>
        <v/>
      </c>
      <c r="D2" s="76">
        <f>Calculations!H96</f>
        <v/>
      </c>
      <c r="E2" s="76">
        <f>Calculations!I96</f>
        <v/>
      </c>
      <c r="F2" s="76">
        <f>Calculations!J96</f>
        <v/>
      </c>
      <c r="G2" s="76">
        <f>Calculations!K96</f>
        <v/>
      </c>
      <c r="H2" s="76">
        <f>Calculations!L96</f>
        <v/>
      </c>
      <c r="I2" s="76">
        <f>Calculations!M96</f>
        <v/>
      </c>
      <c r="J2" s="76">
        <f>Calculations!N96</f>
        <v/>
      </c>
      <c r="K2" s="76">
        <f>Calculations!O96</f>
        <v/>
      </c>
      <c r="L2" s="76">
        <f>Calculations!P96</f>
        <v/>
      </c>
      <c r="M2" s="76">
        <f>Calculations!Q96</f>
        <v/>
      </c>
      <c r="N2" s="76">
        <f>Calculations!R96</f>
        <v/>
      </c>
      <c r="O2" s="76">
        <f>Calculations!S96</f>
        <v/>
      </c>
      <c r="P2" s="76">
        <f>Calculations!T96</f>
        <v/>
      </c>
      <c r="Q2" s="76">
        <f>Calculations!U96</f>
        <v/>
      </c>
      <c r="R2" s="76">
        <f>Calculations!V96</f>
        <v/>
      </c>
      <c r="S2" s="76">
        <f>Calculations!W96</f>
        <v/>
      </c>
      <c r="T2" s="76">
        <f>Calculations!X96</f>
        <v/>
      </c>
      <c r="U2" s="76">
        <f>Calculations!Y96</f>
        <v/>
      </c>
      <c r="V2" s="76">
        <f>Calculations!Z96</f>
        <v/>
      </c>
      <c r="W2" s="76">
        <f>Calculations!AA96</f>
        <v/>
      </c>
      <c r="X2" s="76">
        <f>Calculations!AB96</f>
        <v/>
      </c>
      <c r="Y2" s="76">
        <f>Calculations!AC96</f>
        <v/>
      </c>
      <c r="Z2" s="76">
        <f>Calculations!AD96</f>
        <v/>
      </c>
      <c r="AA2" s="76">
        <f>Calculations!AE96</f>
        <v/>
      </c>
      <c r="AB2" s="76">
        <f>Calculations!AF96</f>
        <v/>
      </c>
    </row>
    <row r="3">
      <c r="A3" s="1" t="inlineStr">
        <is>
          <t>coal (BTU)</t>
        </is>
      </c>
      <c r="B3" s="76">
        <f>Calculations!F97</f>
        <v/>
      </c>
      <c r="C3" s="76">
        <f>Calculations!G97</f>
        <v/>
      </c>
      <c r="D3" s="76">
        <f>Calculations!H97</f>
        <v/>
      </c>
      <c r="E3" s="76">
        <f>Calculations!I97</f>
        <v/>
      </c>
      <c r="F3" s="76">
        <f>Calculations!J97</f>
        <v/>
      </c>
      <c r="G3" s="76">
        <f>Calculations!K97</f>
        <v/>
      </c>
      <c r="H3" s="76">
        <f>Calculations!L97</f>
        <v/>
      </c>
      <c r="I3" s="76">
        <f>Calculations!M97</f>
        <v/>
      </c>
      <c r="J3" s="76">
        <f>Calculations!N97</f>
        <v/>
      </c>
      <c r="K3" s="76">
        <f>Calculations!O97</f>
        <v/>
      </c>
      <c r="L3" s="76">
        <f>Calculations!P97</f>
        <v/>
      </c>
      <c r="M3" s="76">
        <f>Calculations!Q97</f>
        <v/>
      </c>
      <c r="N3" s="76">
        <f>Calculations!R97</f>
        <v/>
      </c>
      <c r="O3" s="76">
        <f>Calculations!S97</f>
        <v/>
      </c>
      <c r="P3" s="76">
        <f>Calculations!T97</f>
        <v/>
      </c>
      <c r="Q3" s="76">
        <f>Calculations!U97</f>
        <v/>
      </c>
      <c r="R3" s="76">
        <f>Calculations!V97</f>
        <v/>
      </c>
      <c r="S3" s="76">
        <f>Calculations!W97</f>
        <v/>
      </c>
      <c r="T3" s="76">
        <f>Calculations!X97</f>
        <v/>
      </c>
      <c r="U3" s="76">
        <f>Calculations!Y97</f>
        <v/>
      </c>
      <c r="V3" s="76">
        <f>Calculations!Z97</f>
        <v/>
      </c>
      <c r="W3" s="76">
        <f>Calculations!AA97</f>
        <v/>
      </c>
      <c r="X3" s="76">
        <f>Calculations!AB97</f>
        <v/>
      </c>
      <c r="Y3" s="76">
        <f>Calculations!AC97</f>
        <v/>
      </c>
      <c r="Z3" s="76">
        <f>Calculations!AD97</f>
        <v/>
      </c>
      <c r="AA3" s="76">
        <f>Calculations!AE97</f>
        <v/>
      </c>
      <c r="AB3" s="76">
        <f>Calculations!AF97</f>
        <v/>
      </c>
    </row>
    <row r="4">
      <c r="A4" s="1" t="inlineStr">
        <is>
          <t>natural gas (BTU)</t>
        </is>
      </c>
      <c r="B4" s="76">
        <f>Calculations!F98</f>
        <v/>
      </c>
      <c r="C4" s="76">
        <f>Calculations!G98</f>
        <v/>
      </c>
      <c r="D4" s="76">
        <f>Calculations!H98</f>
        <v/>
      </c>
      <c r="E4" s="76">
        <f>Calculations!I98</f>
        <v/>
      </c>
      <c r="F4" s="76">
        <f>Calculations!J98</f>
        <v/>
      </c>
      <c r="G4" s="76">
        <f>Calculations!K98</f>
        <v/>
      </c>
      <c r="H4" s="76">
        <f>Calculations!L98</f>
        <v/>
      </c>
      <c r="I4" s="76">
        <f>Calculations!M98</f>
        <v/>
      </c>
      <c r="J4" s="76">
        <f>Calculations!N98</f>
        <v/>
      </c>
      <c r="K4" s="76">
        <f>Calculations!O98</f>
        <v/>
      </c>
      <c r="L4" s="76">
        <f>Calculations!P98</f>
        <v/>
      </c>
      <c r="M4" s="76">
        <f>Calculations!Q98</f>
        <v/>
      </c>
      <c r="N4" s="76">
        <f>Calculations!R98</f>
        <v/>
      </c>
      <c r="O4" s="76">
        <f>Calculations!S98</f>
        <v/>
      </c>
      <c r="P4" s="76">
        <f>Calculations!T98</f>
        <v/>
      </c>
      <c r="Q4" s="76">
        <f>Calculations!U98</f>
        <v/>
      </c>
      <c r="R4" s="76">
        <f>Calculations!V98</f>
        <v/>
      </c>
      <c r="S4" s="76">
        <f>Calculations!W98</f>
        <v/>
      </c>
      <c r="T4" s="76">
        <f>Calculations!X98</f>
        <v/>
      </c>
      <c r="U4" s="76">
        <f>Calculations!Y98</f>
        <v/>
      </c>
      <c r="V4" s="76">
        <f>Calculations!Z98</f>
        <v/>
      </c>
      <c r="W4" s="76">
        <f>Calculations!AA98</f>
        <v/>
      </c>
      <c r="X4" s="76">
        <f>Calculations!AB98</f>
        <v/>
      </c>
      <c r="Y4" s="76">
        <f>Calculations!AC98</f>
        <v/>
      </c>
      <c r="Z4" s="76">
        <f>Calculations!AD98</f>
        <v/>
      </c>
      <c r="AA4" s="76">
        <f>Calculations!AE98</f>
        <v/>
      </c>
      <c r="AB4" s="76">
        <f>Calculations!AF98</f>
        <v/>
      </c>
    </row>
    <row r="5">
      <c r="A5" s="1" t="inlineStr">
        <is>
          <t>petroleum diesel (BTU)</t>
        </is>
      </c>
      <c r="B5" s="76">
        <f>Calculations!F99</f>
        <v/>
      </c>
      <c r="C5" s="76">
        <f>Calculations!G99</f>
        <v/>
      </c>
      <c r="D5" s="76">
        <f>Calculations!H99</f>
        <v/>
      </c>
      <c r="E5" s="76">
        <f>Calculations!I99</f>
        <v/>
      </c>
      <c r="F5" s="76">
        <f>Calculations!J99</f>
        <v/>
      </c>
      <c r="G5" s="76">
        <f>Calculations!K99</f>
        <v/>
      </c>
      <c r="H5" s="76">
        <f>Calculations!L99</f>
        <v/>
      </c>
      <c r="I5" s="76">
        <f>Calculations!M99</f>
        <v/>
      </c>
      <c r="J5" s="76">
        <f>Calculations!N99</f>
        <v/>
      </c>
      <c r="K5" s="76">
        <f>Calculations!O99</f>
        <v/>
      </c>
      <c r="L5" s="76">
        <f>Calculations!P99</f>
        <v/>
      </c>
      <c r="M5" s="76">
        <f>Calculations!Q99</f>
        <v/>
      </c>
      <c r="N5" s="76">
        <f>Calculations!R99</f>
        <v/>
      </c>
      <c r="O5" s="76">
        <f>Calculations!S99</f>
        <v/>
      </c>
      <c r="P5" s="76">
        <f>Calculations!T99</f>
        <v/>
      </c>
      <c r="Q5" s="76">
        <f>Calculations!U99</f>
        <v/>
      </c>
      <c r="R5" s="76">
        <f>Calculations!V99</f>
        <v/>
      </c>
      <c r="S5" s="76">
        <f>Calculations!W99</f>
        <v/>
      </c>
      <c r="T5" s="76">
        <f>Calculations!X99</f>
        <v/>
      </c>
      <c r="U5" s="76">
        <f>Calculations!Y99</f>
        <v/>
      </c>
      <c r="V5" s="76">
        <f>Calculations!Z99</f>
        <v/>
      </c>
      <c r="W5" s="76">
        <f>Calculations!AA99</f>
        <v/>
      </c>
      <c r="X5" s="76">
        <f>Calculations!AB99</f>
        <v/>
      </c>
      <c r="Y5" s="76">
        <f>Calculations!AC99</f>
        <v/>
      </c>
      <c r="Z5" s="76">
        <f>Calculations!AD99</f>
        <v/>
      </c>
      <c r="AA5" s="76">
        <f>Calculations!AE99</f>
        <v/>
      </c>
      <c r="AB5" s="76">
        <f>Calculations!AF99</f>
        <v/>
      </c>
    </row>
    <row r="6">
      <c r="A6" s="1" t="inlineStr">
        <is>
          <t>heat (BTU)</t>
        </is>
      </c>
      <c r="B6" s="76">
        <f>Calculations!F100</f>
        <v/>
      </c>
      <c r="C6" s="76">
        <f>Calculations!G100</f>
        <v/>
      </c>
      <c r="D6" s="76">
        <f>Calculations!H100</f>
        <v/>
      </c>
      <c r="E6" s="76">
        <f>Calculations!I100</f>
        <v/>
      </c>
      <c r="F6" s="76">
        <f>Calculations!J100</f>
        <v/>
      </c>
      <c r="G6" s="76">
        <f>Calculations!K100</f>
        <v/>
      </c>
      <c r="H6" s="76">
        <f>Calculations!L100</f>
        <v/>
      </c>
      <c r="I6" s="76">
        <f>Calculations!M100</f>
        <v/>
      </c>
      <c r="J6" s="76">
        <f>Calculations!N100</f>
        <v/>
      </c>
      <c r="K6" s="76">
        <f>Calculations!O100</f>
        <v/>
      </c>
      <c r="L6" s="76">
        <f>Calculations!P100</f>
        <v/>
      </c>
      <c r="M6" s="76">
        <f>Calculations!Q100</f>
        <v/>
      </c>
      <c r="N6" s="76">
        <f>Calculations!R100</f>
        <v/>
      </c>
      <c r="O6" s="76">
        <f>Calculations!S100</f>
        <v/>
      </c>
      <c r="P6" s="76">
        <f>Calculations!T100</f>
        <v/>
      </c>
      <c r="Q6" s="76">
        <f>Calculations!U100</f>
        <v/>
      </c>
      <c r="R6" s="76">
        <f>Calculations!V100</f>
        <v/>
      </c>
      <c r="S6" s="76">
        <f>Calculations!W100</f>
        <v/>
      </c>
      <c r="T6" s="76">
        <f>Calculations!X100</f>
        <v/>
      </c>
      <c r="U6" s="76">
        <f>Calculations!Y100</f>
        <v/>
      </c>
      <c r="V6" s="76">
        <f>Calculations!Z100</f>
        <v/>
      </c>
      <c r="W6" s="76">
        <f>Calculations!AA100</f>
        <v/>
      </c>
      <c r="X6" s="76">
        <f>Calculations!AB100</f>
        <v/>
      </c>
      <c r="Y6" s="76">
        <f>Calculations!AC100</f>
        <v/>
      </c>
      <c r="Z6" s="76">
        <f>Calculations!AD100</f>
        <v/>
      </c>
      <c r="AA6" s="76">
        <f>Calculations!AE100</f>
        <v/>
      </c>
      <c r="AB6" s="76">
        <f>Calculations!AF100</f>
        <v/>
      </c>
    </row>
    <row r="7">
      <c r="A7" s="1" t="inlineStr">
        <is>
          <t>biomass (BTU)</t>
        </is>
      </c>
      <c r="B7" s="76">
        <f>Calculations!F101</f>
        <v/>
      </c>
      <c r="C7" s="76">
        <f>Calculations!G101</f>
        <v/>
      </c>
      <c r="D7" s="76">
        <f>Calculations!H101</f>
        <v/>
      </c>
      <c r="E7" s="76">
        <f>Calculations!I101</f>
        <v/>
      </c>
      <c r="F7" s="76">
        <f>Calculations!J101</f>
        <v/>
      </c>
      <c r="G7" s="76">
        <f>Calculations!K101</f>
        <v/>
      </c>
      <c r="H7" s="76">
        <f>Calculations!L101</f>
        <v/>
      </c>
      <c r="I7" s="76">
        <f>Calculations!M101</f>
        <v/>
      </c>
      <c r="J7" s="76">
        <f>Calculations!N101</f>
        <v/>
      </c>
      <c r="K7" s="76">
        <f>Calculations!O101</f>
        <v/>
      </c>
      <c r="L7" s="76">
        <f>Calculations!P101</f>
        <v/>
      </c>
      <c r="M7" s="76">
        <f>Calculations!Q101</f>
        <v/>
      </c>
      <c r="N7" s="76">
        <f>Calculations!R101</f>
        <v/>
      </c>
      <c r="O7" s="76">
        <f>Calculations!S101</f>
        <v/>
      </c>
      <c r="P7" s="76">
        <f>Calculations!T101</f>
        <v/>
      </c>
      <c r="Q7" s="76">
        <f>Calculations!U101</f>
        <v/>
      </c>
      <c r="R7" s="76">
        <f>Calculations!V101</f>
        <v/>
      </c>
      <c r="S7" s="76">
        <f>Calculations!W101</f>
        <v/>
      </c>
      <c r="T7" s="76">
        <f>Calculations!X101</f>
        <v/>
      </c>
      <c r="U7" s="76">
        <f>Calculations!Y101</f>
        <v/>
      </c>
      <c r="V7" s="76">
        <f>Calculations!Z101</f>
        <v/>
      </c>
      <c r="W7" s="76">
        <f>Calculations!AA101</f>
        <v/>
      </c>
      <c r="X7" s="76">
        <f>Calculations!AB101</f>
        <v/>
      </c>
      <c r="Y7" s="76">
        <f>Calculations!AC101</f>
        <v/>
      </c>
      <c r="Z7" s="76">
        <f>Calculations!AD101</f>
        <v/>
      </c>
      <c r="AA7" s="76">
        <f>Calculations!AE101</f>
        <v/>
      </c>
      <c r="AB7" s="76">
        <f>Calculations!AF101</f>
        <v/>
      </c>
    </row>
    <row r="8">
      <c r="A8" s="1" t="inlineStr">
        <is>
          <t>kerosene (BTU)</t>
        </is>
      </c>
      <c r="B8" s="76">
        <f>Calculations!F102</f>
        <v/>
      </c>
      <c r="C8" s="76">
        <f>Calculations!G102</f>
        <v/>
      </c>
      <c r="D8" s="76">
        <f>Calculations!H102</f>
        <v/>
      </c>
      <c r="E8" s="76">
        <f>Calculations!I102</f>
        <v/>
      </c>
      <c r="F8" s="76">
        <f>Calculations!J102</f>
        <v/>
      </c>
      <c r="G8" s="76">
        <f>Calculations!K102</f>
        <v/>
      </c>
      <c r="H8" s="76">
        <f>Calculations!L102</f>
        <v/>
      </c>
      <c r="I8" s="76">
        <f>Calculations!M102</f>
        <v/>
      </c>
      <c r="J8" s="76">
        <f>Calculations!N102</f>
        <v/>
      </c>
      <c r="K8" s="76">
        <f>Calculations!O102</f>
        <v/>
      </c>
      <c r="L8" s="76">
        <f>Calculations!P102</f>
        <v/>
      </c>
      <c r="M8" s="76">
        <f>Calculations!Q102</f>
        <v/>
      </c>
      <c r="N8" s="76">
        <f>Calculations!R102</f>
        <v/>
      </c>
      <c r="O8" s="76">
        <f>Calculations!S102</f>
        <v/>
      </c>
      <c r="P8" s="76">
        <f>Calculations!T102</f>
        <v/>
      </c>
      <c r="Q8" s="76">
        <f>Calculations!U102</f>
        <v/>
      </c>
      <c r="R8" s="76">
        <f>Calculations!V102</f>
        <v/>
      </c>
      <c r="S8" s="76">
        <f>Calculations!W102</f>
        <v/>
      </c>
      <c r="T8" s="76">
        <f>Calculations!X102</f>
        <v/>
      </c>
      <c r="U8" s="76">
        <f>Calculations!Y102</f>
        <v/>
      </c>
      <c r="V8" s="76">
        <f>Calculations!Z102</f>
        <v/>
      </c>
      <c r="W8" s="76">
        <f>Calculations!AA102</f>
        <v/>
      </c>
      <c r="X8" s="76">
        <f>Calculations!AB102</f>
        <v/>
      </c>
      <c r="Y8" s="76">
        <f>Calculations!AC102</f>
        <v/>
      </c>
      <c r="Z8" s="76">
        <f>Calculations!AD102</f>
        <v/>
      </c>
      <c r="AA8" s="76">
        <f>Calculations!AE102</f>
        <v/>
      </c>
      <c r="AB8" s="76">
        <f>Calculations!AF102</f>
        <v/>
      </c>
    </row>
    <row r="9">
      <c r="A9" s="1" t="inlineStr">
        <is>
          <t>heavy or residual fuel oil (BTU)</t>
        </is>
      </c>
      <c r="B9" s="76">
        <f>Calculations!F103</f>
        <v/>
      </c>
      <c r="C9" s="76">
        <f>Calculations!G103</f>
        <v/>
      </c>
      <c r="D9" s="76">
        <f>Calculations!H103</f>
        <v/>
      </c>
      <c r="E9" s="76">
        <f>Calculations!I103</f>
        <v/>
      </c>
      <c r="F9" s="76">
        <f>Calculations!J103</f>
        <v/>
      </c>
      <c r="G9" s="76">
        <f>Calculations!K103</f>
        <v/>
      </c>
      <c r="H9" s="76">
        <f>Calculations!L103</f>
        <v/>
      </c>
      <c r="I9" s="76">
        <f>Calculations!M103</f>
        <v/>
      </c>
      <c r="J9" s="76">
        <f>Calculations!N103</f>
        <v/>
      </c>
      <c r="K9" s="76">
        <f>Calculations!O103</f>
        <v/>
      </c>
      <c r="L9" s="76">
        <f>Calculations!P103</f>
        <v/>
      </c>
      <c r="M9" s="76">
        <f>Calculations!Q103</f>
        <v/>
      </c>
      <c r="N9" s="76">
        <f>Calculations!R103</f>
        <v/>
      </c>
      <c r="O9" s="76">
        <f>Calculations!S103</f>
        <v/>
      </c>
      <c r="P9" s="76">
        <f>Calculations!T103</f>
        <v/>
      </c>
      <c r="Q9" s="76">
        <f>Calculations!U103</f>
        <v/>
      </c>
      <c r="R9" s="76">
        <f>Calculations!V103</f>
        <v/>
      </c>
      <c r="S9" s="76">
        <f>Calculations!W103</f>
        <v/>
      </c>
      <c r="T9" s="76">
        <f>Calculations!X103</f>
        <v/>
      </c>
      <c r="U9" s="76">
        <f>Calculations!Y103</f>
        <v/>
      </c>
      <c r="V9" s="76">
        <f>Calculations!Z103</f>
        <v/>
      </c>
      <c r="W9" s="76">
        <f>Calculations!AA103</f>
        <v/>
      </c>
      <c r="X9" s="76">
        <f>Calculations!AB103</f>
        <v/>
      </c>
      <c r="Y9" s="76">
        <f>Calculations!AC103</f>
        <v/>
      </c>
      <c r="Z9" s="76">
        <f>Calculations!AD103</f>
        <v/>
      </c>
      <c r="AA9" s="76">
        <f>Calculations!AE103</f>
        <v/>
      </c>
      <c r="AB9" s="76">
        <f>Calculations!AF103</f>
        <v/>
      </c>
    </row>
    <row r="10">
      <c r="A10" s="1" t="inlineStr">
        <is>
          <t>LPG propane or butane (BTU)</t>
        </is>
      </c>
      <c r="B10" s="76">
        <f>Calculations!F104</f>
        <v/>
      </c>
      <c r="C10" s="76">
        <f>Calculations!G104</f>
        <v/>
      </c>
      <c r="D10" s="76">
        <f>Calculations!H104</f>
        <v/>
      </c>
      <c r="E10" s="76">
        <f>Calculations!I104</f>
        <v/>
      </c>
      <c r="F10" s="76">
        <f>Calculations!J104</f>
        <v/>
      </c>
      <c r="G10" s="76">
        <f>Calculations!K104</f>
        <v/>
      </c>
      <c r="H10" s="76">
        <f>Calculations!L104</f>
        <v/>
      </c>
      <c r="I10" s="76">
        <f>Calculations!M104</f>
        <v/>
      </c>
      <c r="J10" s="76">
        <f>Calculations!N104</f>
        <v/>
      </c>
      <c r="K10" s="76">
        <f>Calculations!O104</f>
        <v/>
      </c>
      <c r="L10" s="76">
        <f>Calculations!P104</f>
        <v/>
      </c>
      <c r="M10" s="76">
        <f>Calculations!Q104</f>
        <v/>
      </c>
      <c r="N10" s="76">
        <f>Calculations!R104</f>
        <v/>
      </c>
      <c r="O10" s="76">
        <f>Calculations!S104</f>
        <v/>
      </c>
      <c r="P10" s="76">
        <f>Calculations!T104</f>
        <v/>
      </c>
      <c r="Q10" s="76">
        <f>Calculations!U104</f>
        <v/>
      </c>
      <c r="R10" s="76">
        <f>Calculations!V104</f>
        <v/>
      </c>
      <c r="S10" s="76">
        <f>Calculations!W104</f>
        <v/>
      </c>
      <c r="T10" s="76">
        <f>Calculations!X104</f>
        <v/>
      </c>
      <c r="U10" s="76">
        <f>Calculations!Y104</f>
        <v/>
      </c>
      <c r="V10" s="76">
        <f>Calculations!Z104</f>
        <v/>
      </c>
      <c r="W10" s="76">
        <f>Calculations!AA104</f>
        <v/>
      </c>
      <c r="X10" s="76">
        <f>Calculations!AB104</f>
        <v/>
      </c>
      <c r="Y10" s="76">
        <f>Calculations!AC104</f>
        <v/>
      </c>
      <c r="Z10" s="76">
        <f>Calculations!AD104</f>
        <v/>
      </c>
      <c r="AA10" s="76">
        <f>Calculations!AE104</f>
        <v/>
      </c>
      <c r="AB10" s="76">
        <f>Calculations!AF104</f>
        <v/>
      </c>
    </row>
    <row r="11">
      <c r="A11" s="1" t="inlineStr">
        <is>
          <t>hydrogen (BTU)</t>
        </is>
      </c>
      <c r="B11" s="76">
        <f>Calculations!F105</f>
        <v/>
      </c>
      <c r="C11" s="76">
        <f>Calculations!G105</f>
        <v/>
      </c>
      <c r="D11" s="76">
        <f>Calculations!H105</f>
        <v/>
      </c>
      <c r="E11" s="76">
        <f>Calculations!I105</f>
        <v/>
      </c>
      <c r="F11" s="76">
        <f>Calculations!J105</f>
        <v/>
      </c>
      <c r="G11" s="76">
        <f>Calculations!K105</f>
        <v/>
      </c>
      <c r="H11" s="76">
        <f>Calculations!L105</f>
        <v/>
      </c>
      <c r="I11" s="76">
        <f>Calculations!M105</f>
        <v/>
      </c>
      <c r="J11" s="76">
        <f>Calculations!N105</f>
        <v/>
      </c>
      <c r="K11" s="76">
        <f>Calculations!O105</f>
        <v/>
      </c>
      <c r="L11" s="76">
        <f>Calculations!P105</f>
        <v/>
      </c>
      <c r="M11" s="76">
        <f>Calculations!Q105</f>
        <v/>
      </c>
      <c r="N11" s="76">
        <f>Calculations!R105</f>
        <v/>
      </c>
      <c r="O11" s="76">
        <f>Calculations!S105</f>
        <v/>
      </c>
      <c r="P11" s="76">
        <f>Calculations!T105</f>
        <v/>
      </c>
      <c r="Q11" s="76">
        <f>Calculations!U105</f>
        <v/>
      </c>
      <c r="R11" s="76">
        <f>Calculations!V105</f>
        <v/>
      </c>
      <c r="S11" s="76">
        <f>Calculations!W105</f>
        <v/>
      </c>
      <c r="T11" s="76">
        <f>Calculations!X105</f>
        <v/>
      </c>
      <c r="U11" s="76">
        <f>Calculations!Y105</f>
        <v/>
      </c>
      <c r="V11" s="76">
        <f>Calculations!Z105</f>
        <v/>
      </c>
      <c r="W11" s="76">
        <f>Calculations!AA105</f>
        <v/>
      </c>
      <c r="X11" s="76">
        <f>Calculations!AB105</f>
        <v/>
      </c>
      <c r="Y11" s="76">
        <f>Calculations!AC105</f>
        <v/>
      </c>
      <c r="Z11" s="76">
        <f>Calculations!AD105</f>
        <v/>
      </c>
      <c r="AA11" s="76">
        <f>Calculations!AE105</f>
        <v/>
      </c>
      <c r="AB11" s="76">
        <f>Calculations!AF105</f>
        <v/>
      </c>
    </row>
  </sheetData>
  <pageMargins left="0.7" right="0.7" top="0.75" bottom="0.75" header="0.3" footer="0.3"/>
  <pageSetup orientation="portrait" horizontalDpi="1200" verticalDpi="1200"/>
</worksheet>
</file>

<file path=xl/worksheets/sheet21.xml><?xml version="1.0" encoding="utf-8"?>
<worksheet xmlns="http://schemas.openxmlformats.org/spreadsheetml/2006/main">
  <sheetPr>
    <tabColor theme="3"/>
    <outlinePr summaryBelow="1" summaryRight="1"/>
    <pageSetUpPr/>
  </sheetPr>
  <dimension ref="A1:AD11"/>
  <sheetViews>
    <sheetView workbookViewId="0">
      <selection activeCell="A1" sqref="A1"/>
    </sheetView>
  </sheetViews>
  <sheetFormatPr baseColWidth="8" defaultRowHeight="14.25"/>
  <cols>
    <col width="29.796875" customWidth="1" min="1" max="1"/>
    <col width="9.53125" bestFit="1" customWidth="1" min="2" max="26"/>
    <col width="10.265625" bestFit="1" customWidth="1" min="27" max="27"/>
    <col width="9.53125" bestFit="1" customWidth="1" min="28" max="28"/>
  </cols>
  <sheetData>
    <row r="1">
      <c r="A1" s="1" t="inlineStr">
        <is>
          <t>Year</t>
        </is>
      </c>
      <c r="B1" s="1" t="n">
        <v>2024</v>
      </c>
      <c r="C1" s="1" t="n">
        <v>2025</v>
      </c>
      <c r="D1" s="1" t="n">
        <v>2026</v>
      </c>
      <c r="E1" s="1" t="n">
        <v>2027</v>
      </c>
      <c r="F1" s="1" t="n">
        <v>2028</v>
      </c>
      <c r="G1" s="1" t="n">
        <v>2029</v>
      </c>
      <c r="H1" s="1" t="n">
        <v>2030</v>
      </c>
      <c r="I1" s="1" t="n">
        <v>2031</v>
      </c>
      <c r="J1" s="1" t="n">
        <v>2032</v>
      </c>
      <c r="K1" s="1" t="n">
        <v>2033</v>
      </c>
      <c r="L1" s="1" t="n">
        <v>2034</v>
      </c>
      <c r="M1" s="1" t="n">
        <v>2035</v>
      </c>
      <c r="N1" s="1" t="n">
        <v>2036</v>
      </c>
      <c r="O1" s="1" t="n">
        <v>2037</v>
      </c>
      <c r="P1" s="1" t="n">
        <v>2038</v>
      </c>
      <c r="Q1" s="1" t="n">
        <v>2039</v>
      </c>
      <c r="R1" s="1" t="n">
        <v>2040</v>
      </c>
      <c r="S1" s="1" t="n">
        <v>2041</v>
      </c>
      <c r="T1" s="1" t="n">
        <v>2042</v>
      </c>
      <c r="U1" s="1" t="n">
        <v>2043</v>
      </c>
      <c r="V1" s="1" t="n">
        <v>2044</v>
      </c>
      <c r="W1" s="1" t="n">
        <v>2045</v>
      </c>
      <c r="X1" s="1" t="n">
        <v>2046</v>
      </c>
      <c r="Y1" s="1" t="n">
        <v>2047</v>
      </c>
      <c r="Z1" s="1" t="n">
        <v>2048</v>
      </c>
      <c r="AA1" s="1" t="n">
        <v>2049</v>
      </c>
      <c r="AB1" s="1" t="n">
        <v>2050</v>
      </c>
      <c r="AC1" s="1" t="n"/>
      <c r="AD1" s="1" t="n"/>
    </row>
    <row r="2">
      <c r="A2" s="1" t="inlineStr">
        <is>
          <t>electricity (BTU)</t>
        </is>
      </c>
      <c r="B2" s="76">
        <f>Calculations!F109</f>
        <v/>
      </c>
      <c r="C2" s="76">
        <f>Calculations!G109</f>
        <v/>
      </c>
      <c r="D2" s="76">
        <f>Calculations!H109</f>
        <v/>
      </c>
      <c r="E2" s="76">
        <f>Calculations!I109</f>
        <v/>
      </c>
      <c r="F2" s="76">
        <f>Calculations!J109</f>
        <v/>
      </c>
      <c r="G2" s="76">
        <f>Calculations!K109</f>
        <v/>
      </c>
      <c r="H2" s="76">
        <f>Calculations!L109</f>
        <v/>
      </c>
      <c r="I2" s="76">
        <f>Calculations!M109</f>
        <v/>
      </c>
      <c r="J2" s="76">
        <f>Calculations!N109</f>
        <v/>
      </c>
      <c r="K2" s="76">
        <f>Calculations!O109</f>
        <v/>
      </c>
      <c r="L2" s="76">
        <f>Calculations!P109</f>
        <v/>
      </c>
      <c r="M2" s="76">
        <f>Calculations!Q109</f>
        <v/>
      </c>
      <c r="N2" s="76">
        <f>Calculations!R109</f>
        <v/>
      </c>
      <c r="O2" s="76">
        <f>Calculations!S109</f>
        <v/>
      </c>
      <c r="P2" s="76">
        <f>Calculations!T109</f>
        <v/>
      </c>
      <c r="Q2" s="76">
        <f>Calculations!U109</f>
        <v/>
      </c>
      <c r="R2" s="76">
        <f>Calculations!V109</f>
        <v/>
      </c>
      <c r="S2" s="76">
        <f>Calculations!W109</f>
        <v/>
      </c>
      <c r="T2" s="76">
        <f>Calculations!X109</f>
        <v/>
      </c>
      <c r="U2" s="76">
        <f>Calculations!Y109</f>
        <v/>
      </c>
      <c r="V2" s="76">
        <f>Calculations!Z109</f>
        <v/>
      </c>
      <c r="W2" s="76">
        <f>Calculations!AA109</f>
        <v/>
      </c>
      <c r="X2" s="76">
        <f>Calculations!AB109</f>
        <v/>
      </c>
      <c r="Y2" s="76">
        <f>Calculations!AC109</f>
        <v/>
      </c>
      <c r="Z2" s="76">
        <f>Calculations!AD109</f>
        <v/>
      </c>
      <c r="AA2" s="76">
        <f>Calculations!AE109</f>
        <v/>
      </c>
      <c r="AB2" s="76">
        <f>Calculations!AF109</f>
        <v/>
      </c>
    </row>
    <row r="3">
      <c r="A3" s="1" t="inlineStr">
        <is>
          <t>coal (BTU)</t>
        </is>
      </c>
      <c r="B3" s="76">
        <f>Calculations!F110</f>
        <v/>
      </c>
      <c r="C3" s="76">
        <f>Calculations!G110</f>
        <v/>
      </c>
      <c r="D3" s="76">
        <f>Calculations!H110</f>
        <v/>
      </c>
      <c r="E3" s="76">
        <f>Calculations!I110</f>
        <v/>
      </c>
      <c r="F3" s="76">
        <f>Calculations!J110</f>
        <v/>
      </c>
      <c r="G3" s="76">
        <f>Calculations!K110</f>
        <v/>
      </c>
      <c r="H3" s="76">
        <f>Calculations!L110</f>
        <v/>
      </c>
      <c r="I3" s="76">
        <f>Calculations!M110</f>
        <v/>
      </c>
      <c r="J3" s="76">
        <f>Calculations!N110</f>
        <v/>
      </c>
      <c r="K3" s="76">
        <f>Calculations!O110</f>
        <v/>
      </c>
      <c r="L3" s="76">
        <f>Calculations!P110</f>
        <v/>
      </c>
      <c r="M3" s="76">
        <f>Calculations!Q110</f>
        <v/>
      </c>
      <c r="N3" s="76">
        <f>Calculations!R110</f>
        <v/>
      </c>
      <c r="O3" s="76">
        <f>Calculations!S110</f>
        <v/>
      </c>
      <c r="P3" s="76">
        <f>Calculations!T110</f>
        <v/>
      </c>
      <c r="Q3" s="76">
        <f>Calculations!U110</f>
        <v/>
      </c>
      <c r="R3" s="76">
        <f>Calculations!V110</f>
        <v/>
      </c>
      <c r="S3" s="76">
        <f>Calculations!W110</f>
        <v/>
      </c>
      <c r="T3" s="76">
        <f>Calculations!X110</f>
        <v/>
      </c>
      <c r="U3" s="76">
        <f>Calculations!Y110</f>
        <v/>
      </c>
      <c r="V3" s="76">
        <f>Calculations!Z110</f>
        <v/>
      </c>
      <c r="W3" s="76">
        <f>Calculations!AA110</f>
        <v/>
      </c>
      <c r="X3" s="76">
        <f>Calculations!AB110</f>
        <v/>
      </c>
      <c r="Y3" s="76">
        <f>Calculations!AC110</f>
        <v/>
      </c>
      <c r="Z3" s="76">
        <f>Calculations!AD110</f>
        <v/>
      </c>
      <c r="AA3" s="76">
        <f>Calculations!AE110</f>
        <v/>
      </c>
      <c r="AB3" s="76">
        <f>Calculations!AF110</f>
        <v/>
      </c>
    </row>
    <row r="4">
      <c r="A4" s="1" t="inlineStr">
        <is>
          <t>natural gas (BTU)</t>
        </is>
      </c>
      <c r="B4" s="76">
        <f>Calculations!F111</f>
        <v/>
      </c>
      <c r="C4" s="76">
        <f>Calculations!G111</f>
        <v/>
      </c>
      <c r="D4" s="76">
        <f>Calculations!H111</f>
        <v/>
      </c>
      <c r="E4" s="76">
        <f>Calculations!I111</f>
        <v/>
      </c>
      <c r="F4" s="76">
        <f>Calculations!J111</f>
        <v/>
      </c>
      <c r="G4" s="76">
        <f>Calculations!K111</f>
        <v/>
      </c>
      <c r="H4" s="76">
        <f>Calculations!L111</f>
        <v/>
      </c>
      <c r="I4" s="76">
        <f>Calculations!M111</f>
        <v/>
      </c>
      <c r="J4" s="76">
        <f>Calculations!N111</f>
        <v/>
      </c>
      <c r="K4" s="76">
        <f>Calculations!O111</f>
        <v/>
      </c>
      <c r="L4" s="76">
        <f>Calculations!P111</f>
        <v/>
      </c>
      <c r="M4" s="76">
        <f>Calculations!Q111</f>
        <v/>
      </c>
      <c r="N4" s="76">
        <f>Calculations!R111</f>
        <v/>
      </c>
      <c r="O4" s="76">
        <f>Calculations!S111</f>
        <v/>
      </c>
      <c r="P4" s="76">
        <f>Calculations!T111</f>
        <v/>
      </c>
      <c r="Q4" s="76">
        <f>Calculations!U111</f>
        <v/>
      </c>
      <c r="R4" s="76">
        <f>Calculations!V111</f>
        <v/>
      </c>
      <c r="S4" s="76">
        <f>Calculations!W111</f>
        <v/>
      </c>
      <c r="T4" s="76">
        <f>Calculations!X111</f>
        <v/>
      </c>
      <c r="U4" s="76">
        <f>Calculations!Y111</f>
        <v/>
      </c>
      <c r="V4" s="76">
        <f>Calculations!Z111</f>
        <v/>
      </c>
      <c r="W4" s="76">
        <f>Calculations!AA111</f>
        <v/>
      </c>
      <c r="X4" s="76">
        <f>Calculations!AB111</f>
        <v/>
      </c>
      <c r="Y4" s="76">
        <f>Calculations!AC111</f>
        <v/>
      </c>
      <c r="Z4" s="76">
        <f>Calculations!AD111</f>
        <v/>
      </c>
      <c r="AA4" s="76">
        <f>Calculations!AE111</f>
        <v/>
      </c>
      <c r="AB4" s="76">
        <f>Calculations!AF111</f>
        <v/>
      </c>
    </row>
    <row r="5">
      <c r="A5" s="1" t="inlineStr">
        <is>
          <t>petroleum diesel (BTU)</t>
        </is>
      </c>
      <c r="B5" s="76">
        <f>Calculations!F112</f>
        <v/>
      </c>
      <c r="C5" s="76">
        <f>Calculations!G112</f>
        <v/>
      </c>
      <c r="D5" s="76">
        <f>Calculations!H112</f>
        <v/>
      </c>
      <c r="E5" s="76">
        <f>Calculations!I112</f>
        <v/>
      </c>
      <c r="F5" s="76">
        <f>Calculations!J112</f>
        <v/>
      </c>
      <c r="G5" s="76">
        <f>Calculations!K112</f>
        <v/>
      </c>
      <c r="H5" s="76">
        <f>Calculations!L112</f>
        <v/>
      </c>
      <c r="I5" s="76">
        <f>Calculations!M112</f>
        <v/>
      </c>
      <c r="J5" s="76">
        <f>Calculations!N112</f>
        <v/>
      </c>
      <c r="K5" s="76">
        <f>Calculations!O112</f>
        <v/>
      </c>
      <c r="L5" s="76">
        <f>Calculations!P112</f>
        <v/>
      </c>
      <c r="M5" s="76">
        <f>Calculations!Q112</f>
        <v/>
      </c>
      <c r="N5" s="76">
        <f>Calculations!R112</f>
        <v/>
      </c>
      <c r="O5" s="76">
        <f>Calculations!S112</f>
        <v/>
      </c>
      <c r="P5" s="76">
        <f>Calculations!T112</f>
        <v/>
      </c>
      <c r="Q5" s="76">
        <f>Calculations!U112</f>
        <v/>
      </c>
      <c r="R5" s="76">
        <f>Calculations!V112</f>
        <v/>
      </c>
      <c r="S5" s="76">
        <f>Calculations!W112</f>
        <v/>
      </c>
      <c r="T5" s="76">
        <f>Calculations!X112</f>
        <v/>
      </c>
      <c r="U5" s="76">
        <f>Calculations!Y112</f>
        <v/>
      </c>
      <c r="V5" s="76">
        <f>Calculations!Z112</f>
        <v/>
      </c>
      <c r="W5" s="76">
        <f>Calculations!AA112</f>
        <v/>
      </c>
      <c r="X5" s="76">
        <f>Calculations!AB112</f>
        <v/>
      </c>
      <c r="Y5" s="76">
        <f>Calculations!AC112</f>
        <v/>
      </c>
      <c r="Z5" s="76">
        <f>Calculations!AD112</f>
        <v/>
      </c>
      <c r="AA5" s="76">
        <f>Calculations!AE112</f>
        <v/>
      </c>
      <c r="AB5" s="76">
        <f>Calculations!AF112</f>
        <v/>
      </c>
    </row>
    <row r="6">
      <c r="A6" s="1" t="inlineStr">
        <is>
          <t>heat (BTU)</t>
        </is>
      </c>
      <c r="B6" s="76">
        <f>Calculations!F113</f>
        <v/>
      </c>
      <c r="C6" s="76">
        <f>Calculations!G113</f>
        <v/>
      </c>
      <c r="D6" s="76">
        <f>Calculations!H113</f>
        <v/>
      </c>
      <c r="E6" s="76">
        <f>Calculations!I113</f>
        <v/>
      </c>
      <c r="F6" s="76">
        <f>Calculations!J113</f>
        <v/>
      </c>
      <c r="G6" s="76">
        <f>Calculations!K113</f>
        <v/>
      </c>
      <c r="H6" s="76">
        <f>Calculations!L113</f>
        <v/>
      </c>
      <c r="I6" s="76">
        <f>Calculations!M113</f>
        <v/>
      </c>
      <c r="J6" s="76">
        <f>Calculations!N113</f>
        <v/>
      </c>
      <c r="K6" s="76">
        <f>Calculations!O113</f>
        <v/>
      </c>
      <c r="L6" s="76">
        <f>Calculations!P113</f>
        <v/>
      </c>
      <c r="M6" s="76">
        <f>Calculations!Q113</f>
        <v/>
      </c>
      <c r="N6" s="76">
        <f>Calculations!R113</f>
        <v/>
      </c>
      <c r="O6" s="76">
        <f>Calculations!S113</f>
        <v/>
      </c>
      <c r="P6" s="76">
        <f>Calculations!T113</f>
        <v/>
      </c>
      <c r="Q6" s="76">
        <f>Calculations!U113</f>
        <v/>
      </c>
      <c r="R6" s="76">
        <f>Calculations!V113</f>
        <v/>
      </c>
      <c r="S6" s="76">
        <f>Calculations!W113</f>
        <v/>
      </c>
      <c r="T6" s="76">
        <f>Calculations!X113</f>
        <v/>
      </c>
      <c r="U6" s="76">
        <f>Calculations!Y113</f>
        <v/>
      </c>
      <c r="V6" s="76">
        <f>Calculations!Z113</f>
        <v/>
      </c>
      <c r="W6" s="76">
        <f>Calculations!AA113</f>
        <v/>
      </c>
      <c r="X6" s="76">
        <f>Calculations!AB113</f>
        <v/>
      </c>
      <c r="Y6" s="76">
        <f>Calculations!AC113</f>
        <v/>
      </c>
      <c r="Z6" s="76">
        <f>Calculations!AD113</f>
        <v/>
      </c>
      <c r="AA6" s="76">
        <f>Calculations!AE113</f>
        <v/>
      </c>
      <c r="AB6" s="76">
        <f>Calculations!AF113</f>
        <v/>
      </c>
    </row>
    <row r="7">
      <c r="A7" s="1" t="inlineStr">
        <is>
          <t>biomass (BTU)</t>
        </is>
      </c>
      <c r="B7" s="76">
        <f>Calculations!F114</f>
        <v/>
      </c>
      <c r="C7" s="76">
        <f>Calculations!G114</f>
        <v/>
      </c>
      <c r="D7" s="76">
        <f>Calculations!H114</f>
        <v/>
      </c>
      <c r="E7" s="76">
        <f>Calculations!I114</f>
        <v/>
      </c>
      <c r="F7" s="76">
        <f>Calculations!J114</f>
        <v/>
      </c>
      <c r="G7" s="76">
        <f>Calculations!K114</f>
        <v/>
      </c>
      <c r="H7" s="76">
        <f>Calculations!L114</f>
        <v/>
      </c>
      <c r="I7" s="76">
        <f>Calculations!M114</f>
        <v/>
      </c>
      <c r="J7" s="76">
        <f>Calculations!N114</f>
        <v/>
      </c>
      <c r="K7" s="76">
        <f>Calculations!O114</f>
        <v/>
      </c>
      <c r="L7" s="76">
        <f>Calculations!P114</f>
        <v/>
      </c>
      <c r="M7" s="76">
        <f>Calculations!Q114</f>
        <v/>
      </c>
      <c r="N7" s="76">
        <f>Calculations!R114</f>
        <v/>
      </c>
      <c r="O7" s="76">
        <f>Calculations!S114</f>
        <v/>
      </c>
      <c r="P7" s="76">
        <f>Calculations!T114</f>
        <v/>
      </c>
      <c r="Q7" s="76">
        <f>Calculations!U114</f>
        <v/>
      </c>
      <c r="R7" s="76">
        <f>Calculations!V114</f>
        <v/>
      </c>
      <c r="S7" s="76">
        <f>Calculations!W114</f>
        <v/>
      </c>
      <c r="T7" s="76">
        <f>Calculations!X114</f>
        <v/>
      </c>
      <c r="U7" s="76">
        <f>Calculations!Y114</f>
        <v/>
      </c>
      <c r="V7" s="76">
        <f>Calculations!Z114</f>
        <v/>
      </c>
      <c r="W7" s="76">
        <f>Calculations!AA114</f>
        <v/>
      </c>
      <c r="X7" s="76">
        <f>Calculations!AB114</f>
        <v/>
      </c>
      <c r="Y7" s="76">
        <f>Calculations!AC114</f>
        <v/>
      </c>
      <c r="Z7" s="76">
        <f>Calculations!AD114</f>
        <v/>
      </c>
      <c r="AA7" s="76">
        <f>Calculations!AE114</f>
        <v/>
      </c>
      <c r="AB7" s="76">
        <f>Calculations!AF114</f>
        <v/>
      </c>
    </row>
    <row r="8">
      <c r="A8" s="1" t="inlineStr">
        <is>
          <t>kerosene (BTU)</t>
        </is>
      </c>
      <c r="B8" s="76">
        <f>Calculations!F115</f>
        <v/>
      </c>
      <c r="C8" s="76">
        <f>Calculations!G115</f>
        <v/>
      </c>
      <c r="D8" s="76">
        <f>Calculations!H115</f>
        <v/>
      </c>
      <c r="E8" s="76">
        <f>Calculations!I115</f>
        <v/>
      </c>
      <c r="F8" s="76">
        <f>Calculations!J115</f>
        <v/>
      </c>
      <c r="G8" s="76">
        <f>Calculations!K115</f>
        <v/>
      </c>
      <c r="H8" s="76">
        <f>Calculations!L115</f>
        <v/>
      </c>
      <c r="I8" s="76">
        <f>Calculations!M115</f>
        <v/>
      </c>
      <c r="J8" s="76">
        <f>Calculations!N115</f>
        <v/>
      </c>
      <c r="K8" s="76">
        <f>Calculations!O115</f>
        <v/>
      </c>
      <c r="L8" s="76">
        <f>Calculations!P115</f>
        <v/>
      </c>
      <c r="M8" s="76">
        <f>Calculations!Q115</f>
        <v/>
      </c>
      <c r="N8" s="76">
        <f>Calculations!R115</f>
        <v/>
      </c>
      <c r="O8" s="76">
        <f>Calculations!S115</f>
        <v/>
      </c>
      <c r="P8" s="76">
        <f>Calculations!T115</f>
        <v/>
      </c>
      <c r="Q8" s="76">
        <f>Calculations!U115</f>
        <v/>
      </c>
      <c r="R8" s="76">
        <f>Calculations!V115</f>
        <v/>
      </c>
      <c r="S8" s="76">
        <f>Calculations!W115</f>
        <v/>
      </c>
      <c r="T8" s="76">
        <f>Calculations!X115</f>
        <v/>
      </c>
      <c r="U8" s="76">
        <f>Calculations!Y115</f>
        <v/>
      </c>
      <c r="V8" s="76">
        <f>Calculations!Z115</f>
        <v/>
      </c>
      <c r="W8" s="76">
        <f>Calculations!AA115</f>
        <v/>
      </c>
      <c r="X8" s="76">
        <f>Calculations!AB115</f>
        <v/>
      </c>
      <c r="Y8" s="76">
        <f>Calculations!AC115</f>
        <v/>
      </c>
      <c r="Z8" s="76">
        <f>Calculations!AD115</f>
        <v/>
      </c>
      <c r="AA8" s="76">
        <f>Calculations!AE115</f>
        <v/>
      </c>
      <c r="AB8" s="76">
        <f>Calculations!AF115</f>
        <v/>
      </c>
    </row>
    <row r="9">
      <c r="A9" s="1" t="inlineStr">
        <is>
          <t>heavy or residual fuel oil (BTU)</t>
        </is>
      </c>
      <c r="B9" s="76">
        <f>Calculations!F116</f>
        <v/>
      </c>
      <c r="C9" s="76">
        <f>Calculations!G116</f>
        <v/>
      </c>
      <c r="D9" s="76">
        <f>Calculations!H116</f>
        <v/>
      </c>
      <c r="E9" s="76">
        <f>Calculations!I116</f>
        <v/>
      </c>
      <c r="F9" s="76">
        <f>Calculations!J116</f>
        <v/>
      </c>
      <c r="G9" s="76">
        <f>Calculations!K116</f>
        <v/>
      </c>
      <c r="H9" s="76">
        <f>Calculations!L116</f>
        <v/>
      </c>
      <c r="I9" s="76">
        <f>Calculations!M116</f>
        <v/>
      </c>
      <c r="J9" s="76">
        <f>Calculations!N116</f>
        <v/>
      </c>
      <c r="K9" s="76">
        <f>Calculations!O116</f>
        <v/>
      </c>
      <c r="L9" s="76">
        <f>Calculations!P116</f>
        <v/>
      </c>
      <c r="M9" s="76">
        <f>Calculations!Q116</f>
        <v/>
      </c>
      <c r="N9" s="76">
        <f>Calculations!R116</f>
        <v/>
      </c>
      <c r="O9" s="76">
        <f>Calculations!S116</f>
        <v/>
      </c>
      <c r="P9" s="76">
        <f>Calculations!T116</f>
        <v/>
      </c>
      <c r="Q9" s="76">
        <f>Calculations!U116</f>
        <v/>
      </c>
      <c r="R9" s="76">
        <f>Calculations!V116</f>
        <v/>
      </c>
      <c r="S9" s="76">
        <f>Calculations!W116</f>
        <v/>
      </c>
      <c r="T9" s="76">
        <f>Calculations!X116</f>
        <v/>
      </c>
      <c r="U9" s="76">
        <f>Calculations!Y116</f>
        <v/>
      </c>
      <c r="V9" s="76">
        <f>Calculations!Z116</f>
        <v/>
      </c>
      <c r="W9" s="76">
        <f>Calculations!AA116</f>
        <v/>
      </c>
      <c r="X9" s="76">
        <f>Calculations!AB116</f>
        <v/>
      </c>
      <c r="Y9" s="76">
        <f>Calculations!AC116</f>
        <v/>
      </c>
      <c r="Z9" s="76">
        <f>Calculations!AD116</f>
        <v/>
      </c>
      <c r="AA9" s="76">
        <f>Calculations!AE116</f>
        <v/>
      </c>
      <c r="AB9" s="76">
        <f>Calculations!AF116</f>
        <v/>
      </c>
    </row>
    <row r="10">
      <c r="A10" s="1" t="inlineStr">
        <is>
          <t>LPG propane or butane (BTU)</t>
        </is>
      </c>
      <c r="B10" s="76">
        <f>Calculations!F117</f>
        <v/>
      </c>
      <c r="C10" s="76">
        <f>Calculations!G117</f>
        <v/>
      </c>
      <c r="D10" s="76">
        <f>Calculations!H117</f>
        <v/>
      </c>
      <c r="E10" s="76">
        <f>Calculations!I117</f>
        <v/>
      </c>
      <c r="F10" s="76">
        <f>Calculations!J117</f>
        <v/>
      </c>
      <c r="G10" s="76">
        <f>Calculations!K117</f>
        <v/>
      </c>
      <c r="H10" s="76">
        <f>Calculations!L117</f>
        <v/>
      </c>
      <c r="I10" s="76">
        <f>Calculations!M117</f>
        <v/>
      </c>
      <c r="J10" s="76">
        <f>Calculations!N117</f>
        <v/>
      </c>
      <c r="K10" s="76">
        <f>Calculations!O117</f>
        <v/>
      </c>
      <c r="L10" s="76">
        <f>Calculations!P117</f>
        <v/>
      </c>
      <c r="M10" s="76">
        <f>Calculations!Q117</f>
        <v/>
      </c>
      <c r="N10" s="76">
        <f>Calculations!R117</f>
        <v/>
      </c>
      <c r="O10" s="76">
        <f>Calculations!S117</f>
        <v/>
      </c>
      <c r="P10" s="76">
        <f>Calculations!T117</f>
        <v/>
      </c>
      <c r="Q10" s="76">
        <f>Calculations!U117</f>
        <v/>
      </c>
      <c r="R10" s="76">
        <f>Calculations!V117</f>
        <v/>
      </c>
      <c r="S10" s="76">
        <f>Calculations!W117</f>
        <v/>
      </c>
      <c r="T10" s="76">
        <f>Calculations!X117</f>
        <v/>
      </c>
      <c r="U10" s="76">
        <f>Calculations!Y117</f>
        <v/>
      </c>
      <c r="V10" s="76">
        <f>Calculations!Z117</f>
        <v/>
      </c>
      <c r="W10" s="76">
        <f>Calculations!AA117</f>
        <v/>
      </c>
      <c r="X10" s="76">
        <f>Calculations!AB117</f>
        <v/>
      </c>
      <c r="Y10" s="76">
        <f>Calculations!AC117</f>
        <v/>
      </c>
      <c r="Z10" s="76">
        <f>Calculations!AD117</f>
        <v/>
      </c>
      <c r="AA10" s="76">
        <f>Calculations!AE117</f>
        <v/>
      </c>
      <c r="AB10" s="76">
        <f>Calculations!AF117</f>
        <v/>
      </c>
    </row>
    <row r="11">
      <c r="A11" s="1" t="inlineStr">
        <is>
          <t>hydrogen (BTU)</t>
        </is>
      </c>
      <c r="B11" s="76">
        <f>Calculations!F118</f>
        <v/>
      </c>
      <c r="C11" s="76">
        <f>Calculations!G118</f>
        <v/>
      </c>
      <c r="D11" s="76">
        <f>Calculations!H118</f>
        <v/>
      </c>
      <c r="E11" s="76">
        <f>Calculations!I118</f>
        <v/>
      </c>
      <c r="F11" s="76">
        <f>Calculations!J118</f>
        <v/>
      </c>
      <c r="G11" s="76">
        <f>Calculations!K118</f>
        <v/>
      </c>
      <c r="H11" s="76">
        <f>Calculations!L118</f>
        <v/>
      </c>
      <c r="I11" s="76">
        <f>Calculations!M118</f>
        <v/>
      </c>
      <c r="J11" s="76">
        <f>Calculations!N118</f>
        <v/>
      </c>
      <c r="K11" s="76">
        <f>Calculations!O118</f>
        <v/>
      </c>
      <c r="L11" s="76">
        <f>Calculations!P118</f>
        <v/>
      </c>
      <c r="M11" s="76">
        <f>Calculations!Q118</f>
        <v/>
      </c>
      <c r="N11" s="76">
        <f>Calculations!R118</f>
        <v/>
      </c>
      <c r="O11" s="76">
        <f>Calculations!S118</f>
        <v/>
      </c>
      <c r="P11" s="76">
        <f>Calculations!T118</f>
        <v/>
      </c>
      <c r="Q11" s="76">
        <f>Calculations!U118</f>
        <v/>
      </c>
      <c r="R11" s="76">
        <f>Calculations!V118</f>
        <v/>
      </c>
      <c r="S11" s="76">
        <f>Calculations!W118</f>
        <v/>
      </c>
      <c r="T11" s="76">
        <f>Calculations!X118</f>
        <v/>
      </c>
      <c r="U11" s="76">
        <f>Calculations!Y118</f>
        <v/>
      </c>
      <c r="V11" s="76">
        <f>Calculations!Z118</f>
        <v/>
      </c>
      <c r="W11" s="76">
        <f>Calculations!AA118</f>
        <v/>
      </c>
      <c r="X11" s="76">
        <f>Calculations!AB118</f>
        <v/>
      </c>
      <c r="Y11" s="76">
        <f>Calculations!AC118</f>
        <v/>
      </c>
      <c r="Z11" s="76">
        <f>Calculations!AD118</f>
        <v/>
      </c>
      <c r="AA11" s="76">
        <f>Calculations!AE118</f>
        <v/>
      </c>
      <c r="AB11" s="76">
        <f>Calculations!AF118</f>
        <v/>
      </c>
    </row>
  </sheetData>
  <pageMargins left="0.7" right="0.7" top="0.75" bottom="0.75" header="0.3" footer="0.3"/>
  <pageSetup orientation="portrait" horizontalDpi="1200" verticalDpi="1200"/>
</worksheet>
</file>

<file path=xl/worksheets/sheet22.xml><?xml version="1.0" encoding="utf-8"?>
<worksheet xmlns="http://schemas.openxmlformats.org/spreadsheetml/2006/main">
  <sheetPr>
    <tabColor theme="3"/>
    <outlinePr summaryBelow="1" summaryRight="1"/>
    <pageSetUpPr/>
  </sheetPr>
  <dimension ref="A1:AD11"/>
  <sheetViews>
    <sheetView workbookViewId="0">
      <selection activeCell="A1" sqref="A1"/>
    </sheetView>
  </sheetViews>
  <sheetFormatPr baseColWidth="8" defaultRowHeight="14.25"/>
  <cols>
    <col width="29.796875" customWidth="1" min="1" max="1"/>
    <col width="9.53125" bestFit="1" customWidth="1" min="2" max="28"/>
  </cols>
  <sheetData>
    <row r="1">
      <c r="A1" s="1" t="inlineStr">
        <is>
          <t>Year</t>
        </is>
      </c>
      <c r="B1" s="1" t="n">
        <v>2024</v>
      </c>
      <c r="C1" s="1" t="n">
        <v>2025</v>
      </c>
      <c r="D1" s="1" t="n">
        <v>2026</v>
      </c>
      <c r="E1" s="1" t="n">
        <v>2027</v>
      </c>
      <c r="F1" s="1" t="n">
        <v>2028</v>
      </c>
      <c r="G1" s="1" t="n">
        <v>2029</v>
      </c>
      <c r="H1" s="1" t="n">
        <v>2030</v>
      </c>
      <c r="I1" s="1" t="n">
        <v>2031</v>
      </c>
      <c r="J1" s="1" t="n">
        <v>2032</v>
      </c>
      <c r="K1" s="1" t="n">
        <v>2033</v>
      </c>
      <c r="L1" s="1" t="n">
        <v>2034</v>
      </c>
      <c r="M1" s="1" t="n">
        <v>2035</v>
      </c>
      <c r="N1" s="1" t="n">
        <v>2036</v>
      </c>
      <c r="O1" s="1" t="n">
        <v>2037</v>
      </c>
      <c r="P1" s="1" t="n">
        <v>2038</v>
      </c>
      <c r="Q1" s="1" t="n">
        <v>2039</v>
      </c>
      <c r="R1" s="1" t="n">
        <v>2040</v>
      </c>
      <c r="S1" s="1" t="n">
        <v>2041</v>
      </c>
      <c r="T1" s="1" t="n">
        <v>2042</v>
      </c>
      <c r="U1" s="1" t="n">
        <v>2043</v>
      </c>
      <c r="V1" s="1" t="n">
        <v>2044</v>
      </c>
      <c r="W1" s="1" t="n">
        <v>2045</v>
      </c>
      <c r="X1" s="1" t="n">
        <v>2046</v>
      </c>
      <c r="Y1" s="1" t="n">
        <v>2047</v>
      </c>
      <c r="Z1" s="1" t="n">
        <v>2048</v>
      </c>
      <c r="AA1" s="1" t="n">
        <v>2049</v>
      </c>
      <c r="AB1" s="1" t="n">
        <v>2050</v>
      </c>
      <c r="AC1" s="1" t="n"/>
      <c r="AD1" s="1" t="n"/>
    </row>
    <row r="2">
      <c r="A2" s="1" t="inlineStr">
        <is>
          <t>electricity (BTU)</t>
        </is>
      </c>
      <c r="B2" s="76">
        <f>Calculations!F122</f>
        <v/>
      </c>
      <c r="C2" s="76">
        <f>Calculations!G122</f>
        <v/>
      </c>
      <c r="D2" s="76">
        <f>Calculations!H122</f>
        <v/>
      </c>
      <c r="E2" s="76">
        <f>Calculations!I122</f>
        <v/>
      </c>
      <c r="F2" s="76">
        <f>Calculations!J122</f>
        <v/>
      </c>
      <c r="G2" s="76">
        <f>Calculations!K122</f>
        <v/>
      </c>
      <c r="H2" s="76">
        <f>Calculations!L122</f>
        <v/>
      </c>
      <c r="I2" s="76">
        <f>Calculations!M122</f>
        <v/>
      </c>
      <c r="J2" s="76">
        <f>Calculations!N122</f>
        <v/>
      </c>
      <c r="K2" s="76">
        <f>Calculations!O122</f>
        <v/>
      </c>
      <c r="L2" s="76">
        <f>Calculations!P122</f>
        <v/>
      </c>
      <c r="M2" s="76">
        <f>Calculations!Q122</f>
        <v/>
      </c>
      <c r="N2" s="76">
        <f>Calculations!R122</f>
        <v/>
      </c>
      <c r="O2" s="76">
        <f>Calculations!S122</f>
        <v/>
      </c>
      <c r="P2" s="76">
        <f>Calculations!T122</f>
        <v/>
      </c>
      <c r="Q2" s="76">
        <f>Calculations!U122</f>
        <v/>
      </c>
      <c r="R2" s="76">
        <f>Calculations!V122</f>
        <v/>
      </c>
      <c r="S2" s="76">
        <f>Calculations!W122</f>
        <v/>
      </c>
      <c r="T2" s="76">
        <f>Calculations!X122</f>
        <v/>
      </c>
      <c r="U2" s="76">
        <f>Calculations!Y122</f>
        <v/>
      </c>
      <c r="V2" s="76">
        <f>Calculations!Z122</f>
        <v/>
      </c>
      <c r="W2" s="76">
        <f>Calculations!AA122</f>
        <v/>
      </c>
      <c r="X2" s="76">
        <f>Calculations!AB122</f>
        <v/>
      </c>
      <c r="Y2" s="76">
        <f>Calculations!AC122</f>
        <v/>
      </c>
      <c r="Z2" s="76">
        <f>Calculations!AD122</f>
        <v/>
      </c>
      <c r="AA2" s="76">
        <f>Calculations!AE122</f>
        <v/>
      </c>
      <c r="AB2" s="76">
        <f>Calculations!AF122</f>
        <v/>
      </c>
    </row>
    <row r="3">
      <c r="A3" s="1" t="inlineStr">
        <is>
          <t>coal (BTU)</t>
        </is>
      </c>
      <c r="B3" s="76">
        <f>Calculations!F123</f>
        <v/>
      </c>
      <c r="C3" s="76">
        <f>Calculations!G123</f>
        <v/>
      </c>
      <c r="D3" s="76">
        <f>Calculations!H123</f>
        <v/>
      </c>
      <c r="E3" s="76">
        <f>Calculations!I123</f>
        <v/>
      </c>
      <c r="F3" s="76">
        <f>Calculations!J123</f>
        <v/>
      </c>
      <c r="G3" s="76">
        <f>Calculations!K123</f>
        <v/>
      </c>
      <c r="H3" s="76">
        <f>Calculations!L123</f>
        <v/>
      </c>
      <c r="I3" s="76">
        <f>Calculations!M123</f>
        <v/>
      </c>
      <c r="J3" s="76">
        <f>Calculations!N123</f>
        <v/>
      </c>
      <c r="K3" s="76">
        <f>Calculations!O123</f>
        <v/>
      </c>
      <c r="L3" s="76">
        <f>Calculations!P123</f>
        <v/>
      </c>
      <c r="M3" s="76">
        <f>Calculations!Q123</f>
        <v/>
      </c>
      <c r="N3" s="76">
        <f>Calculations!R123</f>
        <v/>
      </c>
      <c r="O3" s="76">
        <f>Calculations!S123</f>
        <v/>
      </c>
      <c r="P3" s="76">
        <f>Calculations!T123</f>
        <v/>
      </c>
      <c r="Q3" s="76">
        <f>Calculations!U123</f>
        <v/>
      </c>
      <c r="R3" s="76">
        <f>Calculations!V123</f>
        <v/>
      </c>
      <c r="S3" s="76">
        <f>Calculations!W123</f>
        <v/>
      </c>
      <c r="T3" s="76">
        <f>Calculations!X123</f>
        <v/>
      </c>
      <c r="U3" s="76">
        <f>Calculations!Y123</f>
        <v/>
      </c>
      <c r="V3" s="76">
        <f>Calculations!Z123</f>
        <v/>
      </c>
      <c r="W3" s="76">
        <f>Calculations!AA123</f>
        <v/>
      </c>
      <c r="X3" s="76">
        <f>Calculations!AB123</f>
        <v/>
      </c>
      <c r="Y3" s="76">
        <f>Calculations!AC123</f>
        <v/>
      </c>
      <c r="Z3" s="76">
        <f>Calculations!AD123</f>
        <v/>
      </c>
      <c r="AA3" s="76">
        <f>Calculations!AE123</f>
        <v/>
      </c>
      <c r="AB3" s="76">
        <f>Calculations!AF123</f>
        <v/>
      </c>
    </row>
    <row r="4">
      <c r="A4" s="1" t="inlineStr">
        <is>
          <t>natural gas (BTU)</t>
        </is>
      </c>
      <c r="B4" s="76">
        <f>Calculations!F124</f>
        <v/>
      </c>
      <c r="C4" s="76">
        <f>Calculations!G124</f>
        <v/>
      </c>
      <c r="D4" s="76">
        <f>Calculations!H124</f>
        <v/>
      </c>
      <c r="E4" s="76">
        <f>Calculations!I124</f>
        <v/>
      </c>
      <c r="F4" s="76">
        <f>Calculations!J124</f>
        <v/>
      </c>
      <c r="G4" s="76">
        <f>Calculations!K124</f>
        <v/>
      </c>
      <c r="H4" s="76">
        <f>Calculations!L124</f>
        <v/>
      </c>
      <c r="I4" s="76">
        <f>Calculations!M124</f>
        <v/>
      </c>
      <c r="J4" s="76">
        <f>Calculations!N124</f>
        <v/>
      </c>
      <c r="K4" s="76">
        <f>Calculations!O124</f>
        <v/>
      </c>
      <c r="L4" s="76">
        <f>Calculations!P124</f>
        <v/>
      </c>
      <c r="M4" s="76">
        <f>Calculations!Q124</f>
        <v/>
      </c>
      <c r="N4" s="76">
        <f>Calculations!R124</f>
        <v/>
      </c>
      <c r="O4" s="76">
        <f>Calculations!S124</f>
        <v/>
      </c>
      <c r="P4" s="76">
        <f>Calculations!T124</f>
        <v/>
      </c>
      <c r="Q4" s="76">
        <f>Calculations!U124</f>
        <v/>
      </c>
      <c r="R4" s="76">
        <f>Calculations!V124</f>
        <v/>
      </c>
      <c r="S4" s="76">
        <f>Calculations!W124</f>
        <v/>
      </c>
      <c r="T4" s="76">
        <f>Calculations!X124</f>
        <v/>
      </c>
      <c r="U4" s="76">
        <f>Calculations!Y124</f>
        <v/>
      </c>
      <c r="V4" s="76">
        <f>Calculations!Z124</f>
        <v/>
      </c>
      <c r="W4" s="76">
        <f>Calculations!AA124</f>
        <v/>
      </c>
      <c r="X4" s="76">
        <f>Calculations!AB124</f>
        <v/>
      </c>
      <c r="Y4" s="76">
        <f>Calculations!AC124</f>
        <v/>
      </c>
      <c r="Z4" s="76">
        <f>Calculations!AD124</f>
        <v/>
      </c>
      <c r="AA4" s="76">
        <f>Calculations!AE124</f>
        <v/>
      </c>
      <c r="AB4" s="76">
        <f>Calculations!AF124</f>
        <v/>
      </c>
    </row>
    <row r="5">
      <c r="A5" s="1" t="inlineStr">
        <is>
          <t>petroleum diesel (BTU)</t>
        </is>
      </c>
      <c r="B5" s="76">
        <f>Calculations!F125</f>
        <v/>
      </c>
      <c r="C5" s="76">
        <f>Calculations!G125</f>
        <v/>
      </c>
      <c r="D5" s="76">
        <f>Calculations!H125</f>
        <v/>
      </c>
      <c r="E5" s="76">
        <f>Calculations!I125</f>
        <v/>
      </c>
      <c r="F5" s="76">
        <f>Calculations!J125</f>
        <v/>
      </c>
      <c r="G5" s="76">
        <f>Calculations!K125</f>
        <v/>
      </c>
      <c r="H5" s="76">
        <f>Calculations!L125</f>
        <v/>
      </c>
      <c r="I5" s="76">
        <f>Calculations!M125</f>
        <v/>
      </c>
      <c r="J5" s="76">
        <f>Calculations!N125</f>
        <v/>
      </c>
      <c r="K5" s="76">
        <f>Calculations!O125</f>
        <v/>
      </c>
      <c r="L5" s="76">
        <f>Calculations!P125</f>
        <v/>
      </c>
      <c r="M5" s="76">
        <f>Calculations!Q125</f>
        <v/>
      </c>
      <c r="N5" s="76">
        <f>Calculations!R125</f>
        <v/>
      </c>
      <c r="O5" s="76">
        <f>Calculations!S125</f>
        <v/>
      </c>
      <c r="P5" s="76">
        <f>Calculations!T125</f>
        <v/>
      </c>
      <c r="Q5" s="76">
        <f>Calculations!U125</f>
        <v/>
      </c>
      <c r="R5" s="76">
        <f>Calculations!V125</f>
        <v/>
      </c>
      <c r="S5" s="76">
        <f>Calculations!W125</f>
        <v/>
      </c>
      <c r="T5" s="76">
        <f>Calculations!X125</f>
        <v/>
      </c>
      <c r="U5" s="76">
        <f>Calculations!Y125</f>
        <v/>
      </c>
      <c r="V5" s="76">
        <f>Calculations!Z125</f>
        <v/>
      </c>
      <c r="W5" s="76">
        <f>Calculations!AA125</f>
        <v/>
      </c>
      <c r="X5" s="76">
        <f>Calculations!AB125</f>
        <v/>
      </c>
      <c r="Y5" s="76">
        <f>Calculations!AC125</f>
        <v/>
      </c>
      <c r="Z5" s="76">
        <f>Calculations!AD125</f>
        <v/>
      </c>
      <c r="AA5" s="76">
        <f>Calculations!AE125</f>
        <v/>
      </c>
      <c r="AB5" s="76">
        <f>Calculations!AF125</f>
        <v/>
      </c>
    </row>
    <row r="6">
      <c r="A6" s="1" t="inlineStr">
        <is>
          <t>heat (BTU)</t>
        </is>
      </c>
      <c r="B6" s="76">
        <f>Calculations!F126</f>
        <v/>
      </c>
      <c r="C6" s="76">
        <f>Calculations!G126</f>
        <v/>
      </c>
      <c r="D6" s="76">
        <f>Calculations!H126</f>
        <v/>
      </c>
      <c r="E6" s="76">
        <f>Calculations!I126</f>
        <v/>
      </c>
      <c r="F6" s="76">
        <f>Calculations!J126</f>
        <v/>
      </c>
      <c r="G6" s="76">
        <f>Calculations!K126</f>
        <v/>
      </c>
      <c r="H6" s="76">
        <f>Calculations!L126</f>
        <v/>
      </c>
      <c r="I6" s="76">
        <f>Calculations!M126</f>
        <v/>
      </c>
      <c r="J6" s="76">
        <f>Calculations!N126</f>
        <v/>
      </c>
      <c r="K6" s="76">
        <f>Calculations!O126</f>
        <v/>
      </c>
      <c r="L6" s="76">
        <f>Calculations!P126</f>
        <v/>
      </c>
      <c r="M6" s="76">
        <f>Calculations!Q126</f>
        <v/>
      </c>
      <c r="N6" s="76">
        <f>Calculations!R126</f>
        <v/>
      </c>
      <c r="O6" s="76">
        <f>Calculations!S126</f>
        <v/>
      </c>
      <c r="P6" s="76">
        <f>Calculations!T126</f>
        <v/>
      </c>
      <c r="Q6" s="76">
        <f>Calculations!U126</f>
        <v/>
      </c>
      <c r="R6" s="76">
        <f>Calculations!V126</f>
        <v/>
      </c>
      <c r="S6" s="76">
        <f>Calculations!W126</f>
        <v/>
      </c>
      <c r="T6" s="76">
        <f>Calculations!X126</f>
        <v/>
      </c>
      <c r="U6" s="76">
        <f>Calculations!Y126</f>
        <v/>
      </c>
      <c r="V6" s="76">
        <f>Calculations!Z126</f>
        <v/>
      </c>
      <c r="W6" s="76">
        <f>Calculations!AA126</f>
        <v/>
      </c>
      <c r="X6" s="76">
        <f>Calculations!AB126</f>
        <v/>
      </c>
      <c r="Y6" s="76">
        <f>Calculations!AC126</f>
        <v/>
      </c>
      <c r="Z6" s="76">
        <f>Calculations!AD126</f>
        <v/>
      </c>
      <c r="AA6" s="76">
        <f>Calculations!AE126</f>
        <v/>
      </c>
      <c r="AB6" s="76">
        <f>Calculations!AF126</f>
        <v/>
      </c>
    </row>
    <row r="7">
      <c r="A7" s="1" t="inlineStr">
        <is>
          <t>biomass (BTU)</t>
        </is>
      </c>
      <c r="B7" s="76">
        <f>Calculations!F127</f>
        <v/>
      </c>
      <c r="C7" s="76">
        <f>Calculations!G127</f>
        <v/>
      </c>
      <c r="D7" s="76">
        <f>Calculations!H127</f>
        <v/>
      </c>
      <c r="E7" s="76">
        <f>Calculations!I127</f>
        <v/>
      </c>
      <c r="F7" s="76">
        <f>Calculations!J127</f>
        <v/>
      </c>
      <c r="G7" s="76">
        <f>Calculations!K127</f>
        <v/>
      </c>
      <c r="H7" s="76">
        <f>Calculations!L127</f>
        <v/>
      </c>
      <c r="I7" s="76">
        <f>Calculations!M127</f>
        <v/>
      </c>
      <c r="J7" s="76">
        <f>Calculations!N127</f>
        <v/>
      </c>
      <c r="K7" s="76">
        <f>Calculations!O127</f>
        <v/>
      </c>
      <c r="L7" s="76">
        <f>Calculations!P127</f>
        <v/>
      </c>
      <c r="M7" s="76">
        <f>Calculations!Q127</f>
        <v/>
      </c>
      <c r="N7" s="76">
        <f>Calculations!R127</f>
        <v/>
      </c>
      <c r="O7" s="76">
        <f>Calculations!S127</f>
        <v/>
      </c>
      <c r="P7" s="76">
        <f>Calculations!T127</f>
        <v/>
      </c>
      <c r="Q7" s="76">
        <f>Calculations!U127</f>
        <v/>
      </c>
      <c r="R7" s="76">
        <f>Calculations!V127</f>
        <v/>
      </c>
      <c r="S7" s="76">
        <f>Calculations!W127</f>
        <v/>
      </c>
      <c r="T7" s="76">
        <f>Calculations!X127</f>
        <v/>
      </c>
      <c r="U7" s="76">
        <f>Calculations!Y127</f>
        <v/>
      </c>
      <c r="V7" s="76">
        <f>Calculations!Z127</f>
        <v/>
      </c>
      <c r="W7" s="76">
        <f>Calculations!AA127</f>
        <v/>
      </c>
      <c r="X7" s="76">
        <f>Calculations!AB127</f>
        <v/>
      </c>
      <c r="Y7" s="76">
        <f>Calculations!AC127</f>
        <v/>
      </c>
      <c r="Z7" s="76">
        <f>Calculations!AD127</f>
        <v/>
      </c>
      <c r="AA7" s="76">
        <f>Calculations!AE127</f>
        <v/>
      </c>
      <c r="AB7" s="76">
        <f>Calculations!AF127</f>
        <v/>
      </c>
    </row>
    <row r="8">
      <c r="A8" s="1" t="inlineStr">
        <is>
          <t>kerosene (BTU)</t>
        </is>
      </c>
      <c r="B8" s="76">
        <f>Calculations!F128</f>
        <v/>
      </c>
      <c r="C8" s="76">
        <f>Calculations!G128</f>
        <v/>
      </c>
      <c r="D8" s="76">
        <f>Calculations!H128</f>
        <v/>
      </c>
      <c r="E8" s="76">
        <f>Calculations!I128</f>
        <v/>
      </c>
      <c r="F8" s="76">
        <f>Calculations!J128</f>
        <v/>
      </c>
      <c r="G8" s="76">
        <f>Calculations!K128</f>
        <v/>
      </c>
      <c r="H8" s="76">
        <f>Calculations!L128</f>
        <v/>
      </c>
      <c r="I8" s="76">
        <f>Calculations!M128</f>
        <v/>
      </c>
      <c r="J8" s="76">
        <f>Calculations!N128</f>
        <v/>
      </c>
      <c r="K8" s="76">
        <f>Calculations!O128</f>
        <v/>
      </c>
      <c r="L8" s="76">
        <f>Calculations!P128</f>
        <v/>
      </c>
      <c r="M8" s="76">
        <f>Calculations!Q128</f>
        <v/>
      </c>
      <c r="N8" s="76">
        <f>Calculations!R128</f>
        <v/>
      </c>
      <c r="O8" s="76">
        <f>Calculations!S128</f>
        <v/>
      </c>
      <c r="P8" s="76">
        <f>Calculations!T128</f>
        <v/>
      </c>
      <c r="Q8" s="76">
        <f>Calculations!U128</f>
        <v/>
      </c>
      <c r="R8" s="76">
        <f>Calculations!V128</f>
        <v/>
      </c>
      <c r="S8" s="76">
        <f>Calculations!W128</f>
        <v/>
      </c>
      <c r="T8" s="76">
        <f>Calculations!X128</f>
        <v/>
      </c>
      <c r="U8" s="76">
        <f>Calculations!Y128</f>
        <v/>
      </c>
      <c r="V8" s="76">
        <f>Calculations!Z128</f>
        <v/>
      </c>
      <c r="W8" s="76">
        <f>Calculations!AA128</f>
        <v/>
      </c>
      <c r="X8" s="76">
        <f>Calculations!AB128</f>
        <v/>
      </c>
      <c r="Y8" s="76">
        <f>Calculations!AC128</f>
        <v/>
      </c>
      <c r="Z8" s="76">
        <f>Calculations!AD128</f>
        <v/>
      </c>
      <c r="AA8" s="76">
        <f>Calculations!AE128</f>
        <v/>
      </c>
      <c r="AB8" s="76">
        <f>Calculations!AF128</f>
        <v/>
      </c>
    </row>
    <row r="9">
      <c r="A9" s="1" t="inlineStr">
        <is>
          <t>heavy or residual fuel oil (BTU)</t>
        </is>
      </c>
      <c r="B9" s="76">
        <f>Calculations!F129</f>
        <v/>
      </c>
      <c r="C9" s="76">
        <f>Calculations!G129</f>
        <v/>
      </c>
      <c r="D9" s="76">
        <f>Calculations!H129</f>
        <v/>
      </c>
      <c r="E9" s="76">
        <f>Calculations!I129</f>
        <v/>
      </c>
      <c r="F9" s="76">
        <f>Calculations!J129</f>
        <v/>
      </c>
      <c r="G9" s="76">
        <f>Calculations!K129</f>
        <v/>
      </c>
      <c r="H9" s="76">
        <f>Calculations!L129</f>
        <v/>
      </c>
      <c r="I9" s="76">
        <f>Calculations!M129</f>
        <v/>
      </c>
      <c r="J9" s="76">
        <f>Calculations!N129</f>
        <v/>
      </c>
      <c r="K9" s="76">
        <f>Calculations!O129</f>
        <v/>
      </c>
      <c r="L9" s="76">
        <f>Calculations!P129</f>
        <v/>
      </c>
      <c r="M9" s="76">
        <f>Calculations!Q129</f>
        <v/>
      </c>
      <c r="N9" s="76">
        <f>Calculations!R129</f>
        <v/>
      </c>
      <c r="O9" s="76">
        <f>Calculations!S129</f>
        <v/>
      </c>
      <c r="P9" s="76">
        <f>Calculations!T129</f>
        <v/>
      </c>
      <c r="Q9" s="76">
        <f>Calculations!U129</f>
        <v/>
      </c>
      <c r="R9" s="76">
        <f>Calculations!V129</f>
        <v/>
      </c>
      <c r="S9" s="76">
        <f>Calculations!W129</f>
        <v/>
      </c>
      <c r="T9" s="76">
        <f>Calculations!X129</f>
        <v/>
      </c>
      <c r="U9" s="76">
        <f>Calculations!Y129</f>
        <v/>
      </c>
      <c r="V9" s="76">
        <f>Calculations!Z129</f>
        <v/>
      </c>
      <c r="W9" s="76">
        <f>Calculations!AA129</f>
        <v/>
      </c>
      <c r="X9" s="76">
        <f>Calculations!AB129</f>
        <v/>
      </c>
      <c r="Y9" s="76">
        <f>Calculations!AC129</f>
        <v/>
      </c>
      <c r="Z9" s="76">
        <f>Calculations!AD129</f>
        <v/>
      </c>
      <c r="AA9" s="76">
        <f>Calculations!AE129</f>
        <v/>
      </c>
      <c r="AB9" s="76">
        <f>Calculations!AF129</f>
        <v/>
      </c>
    </row>
    <row r="10">
      <c r="A10" s="1" t="inlineStr">
        <is>
          <t>LPG propane or butane (BTU)</t>
        </is>
      </c>
      <c r="B10" s="76">
        <f>Calculations!F130</f>
        <v/>
      </c>
      <c r="C10" s="76">
        <f>Calculations!G130</f>
        <v/>
      </c>
      <c r="D10" s="76">
        <f>Calculations!H130</f>
        <v/>
      </c>
      <c r="E10" s="76">
        <f>Calculations!I130</f>
        <v/>
      </c>
      <c r="F10" s="76">
        <f>Calculations!J130</f>
        <v/>
      </c>
      <c r="G10" s="76">
        <f>Calculations!K130</f>
        <v/>
      </c>
      <c r="H10" s="76">
        <f>Calculations!L130</f>
        <v/>
      </c>
      <c r="I10" s="76">
        <f>Calculations!M130</f>
        <v/>
      </c>
      <c r="J10" s="76">
        <f>Calculations!N130</f>
        <v/>
      </c>
      <c r="K10" s="76">
        <f>Calculations!O130</f>
        <v/>
      </c>
      <c r="L10" s="76">
        <f>Calculations!P130</f>
        <v/>
      </c>
      <c r="M10" s="76">
        <f>Calculations!Q130</f>
        <v/>
      </c>
      <c r="N10" s="76">
        <f>Calculations!R130</f>
        <v/>
      </c>
      <c r="O10" s="76">
        <f>Calculations!S130</f>
        <v/>
      </c>
      <c r="P10" s="76">
        <f>Calculations!T130</f>
        <v/>
      </c>
      <c r="Q10" s="76">
        <f>Calculations!U130</f>
        <v/>
      </c>
      <c r="R10" s="76">
        <f>Calculations!V130</f>
        <v/>
      </c>
      <c r="S10" s="76">
        <f>Calculations!W130</f>
        <v/>
      </c>
      <c r="T10" s="76">
        <f>Calculations!X130</f>
        <v/>
      </c>
      <c r="U10" s="76">
        <f>Calculations!Y130</f>
        <v/>
      </c>
      <c r="V10" s="76">
        <f>Calculations!Z130</f>
        <v/>
      </c>
      <c r="W10" s="76">
        <f>Calculations!AA130</f>
        <v/>
      </c>
      <c r="X10" s="76">
        <f>Calculations!AB130</f>
        <v/>
      </c>
      <c r="Y10" s="76">
        <f>Calculations!AC130</f>
        <v/>
      </c>
      <c r="Z10" s="76">
        <f>Calculations!AD130</f>
        <v/>
      </c>
      <c r="AA10" s="76">
        <f>Calculations!AE130</f>
        <v/>
      </c>
      <c r="AB10" s="76">
        <f>Calculations!AF130</f>
        <v/>
      </c>
    </row>
    <row r="11">
      <c r="A11" s="1" t="inlineStr">
        <is>
          <t>hydrogen (BTU)</t>
        </is>
      </c>
      <c r="B11" s="76">
        <f>Calculations!F131</f>
        <v/>
      </c>
      <c r="C11" s="76">
        <f>Calculations!G131</f>
        <v/>
      </c>
      <c r="D11" s="76">
        <f>Calculations!H131</f>
        <v/>
      </c>
      <c r="E11" s="76">
        <f>Calculations!I131</f>
        <v/>
      </c>
      <c r="F11" s="76">
        <f>Calculations!J131</f>
        <v/>
      </c>
      <c r="G11" s="76">
        <f>Calculations!K131</f>
        <v/>
      </c>
      <c r="H11" s="76">
        <f>Calculations!L131</f>
        <v/>
      </c>
      <c r="I11" s="76">
        <f>Calculations!M131</f>
        <v/>
      </c>
      <c r="J11" s="76">
        <f>Calculations!N131</f>
        <v/>
      </c>
      <c r="K11" s="76">
        <f>Calculations!O131</f>
        <v/>
      </c>
      <c r="L11" s="76">
        <f>Calculations!P131</f>
        <v/>
      </c>
      <c r="M11" s="76">
        <f>Calculations!Q131</f>
        <v/>
      </c>
      <c r="N11" s="76">
        <f>Calculations!R131</f>
        <v/>
      </c>
      <c r="O11" s="76">
        <f>Calculations!S131</f>
        <v/>
      </c>
      <c r="P11" s="76">
        <f>Calculations!T131</f>
        <v/>
      </c>
      <c r="Q11" s="76">
        <f>Calculations!U131</f>
        <v/>
      </c>
      <c r="R11" s="76">
        <f>Calculations!V131</f>
        <v/>
      </c>
      <c r="S11" s="76">
        <f>Calculations!W131</f>
        <v/>
      </c>
      <c r="T11" s="76">
        <f>Calculations!X131</f>
        <v/>
      </c>
      <c r="U11" s="76">
        <f>Calculations!Y131</f>
        <v/>
      </c>
      <c r="V11" s="76">
        <f>Calculations!Z131</f>
        <v/>
      </c>
      <c r="W11" s="76">
        <f>Calculations!AA131</f>
        <v/>
      </c>
      <c r="X11" s="76">
        <f>Calculations!AB131</f>
        <v/>
      </c>
      <c r="Y11" s="76">
        <f>Calculations!AC131</f>
        <v/>
      </c>
      <c r="Z11" s="76">
        <f>Calculations!AD131</f>
        <v/>
      </c>
      <c r="AA11" s="76">
        <f>Calculations!AE131</f>
        <v/>
      </c>
      <c r="AB11" s="76">
        <f>Calculations!AF131</f>
        <v/>
      </c>
    </row>
  </sheetData>
  <pageMargins left="0.7" right="0.7" top="0.75" bottom="0.75" header="0.3" footer="0.3"/>
  <pageSetup orientation="portrait" horizontalDpi="1200" verticalDpi="1200"/>
</worksheet>
</file>

<file path=xl/worksheets/sheet23.xml><?xml version="1.0" encoding="utf-8"?>
<worksheet xmlns="http://schemas.openxmlformats.org/spreadsheetml/2006/main">
  <sheetPr>
    <tabColor theme="3"/>
    <outlinePr summaryBelow="1" summaryRight="1"/>
    <pageSetUpPr/>
  </sheetPr>
  <dimension ref="A1:AD11"/>
  <sheetViews>
    <sheetView workbookViewId="0">
      <selection activeCell="A1" sqref="A1"/>
    </sheetView>
  </sheetViews>
  <sheetFormatPr baseColWidth="8" defaultRowHeight="14.25"/>
  <cols>
    <col width="29.796875" customWidth="1" min="1" max="1"/>
    <col width="9.53125" bestFit="1" customWidth="1" min="2" max="27"/>
    <col width="11.796875" customWidth="1" min="28" max="28"/>
  </cols>
  <sheetData>
    <row r="1">
      <c r="A1" s="1" t="inlineStr">
        <is>
          <t>Year</t>
        </is>
      </c>
      <c r="B1" s="1" t="n">
        <v>2024</v>
      </c>
      <c r="C1" s="1" t="n">
        <v>2025</v>
      </c>
      <c r="D1" s="1" t="n">
        <v>2026</v>
      </c>
      <c r="E1" s="1" t="n">
        <v>2027</v>
      </c>
      <c r="F1" s="1" t="n">
        <v>2028</v>
      </c>
      <c r="G1" s="1" t="n">
        <v>2029</v>
      </c>
      <c r="H1" s="1" t="n">
        <v>2030</v>
      </c>
      <c r="I1" s="1" t="n">
        <v>2031</v>
      </c>
      <c r="J1" s="1" t="n">
        <v>2032</v>
      </c>
      <c r="K1" s="1" t="n">
        <v>2033</v>
      </c>
      <c r="L1" s="1" t="n">
        <v>2034</v>
      </c>
      <c r="M1" s="1" t="n">
        <v>2035</v>
      </c>
      <c r="N1" s="1" t="n">
        <v>2036</v>
      </c>
      <c r="O1" s="1" t="n">
        <v>2037</v>
      </c>
      <c r="P1" s="1" t="n">
        <v>2038</v>
      </c>
      <c r="Q1" s="1" t="n">
        <v>2039</v>
      </c>
      <c r="R1" s="1" t="n">
        <v>2040</v>
      </c>
      <c r="S1" s="1" t="n">
        <v>2041</v>
      </c>
      <c r="T1" s="1" t="n">
        <v>2042</v>
      </c>
      <c r="U1" s="1" t="n">
        <v>2043</v>
      </c>
      <c r="V1" s="1" t="n">
        <v>2044</v>
      </c>
      <c r="W1" s="1" t="n">
        <v>2045</v>
      </c>
      <c r="X1" s="1" t="n">
        <v>2046</v>
      </c>
      <c r="Y1" s="1" t="n">
        <v>2047</v>
      </c>
      <c r="Z1" s="1" t="n">
        <v>2048</v>
      </c>
      <c r="AA1" s="1" t="n">
        <v>2049</v>
      </c>
      <c r="AB1" s="1" t="n">
        <v>2050</v>
      </c>
      <c r="AC1" s="1" t="n"/>
      <c r="AD1" s="1" t="n"/>
    </row>
    <row r="2">
      <c r="A2" s="1" t="inlineStr">
        <is>
          <t>electricity (BTU)</t>
        </is>
      </c>
      <c r="B2" s="76">
        <f>Calculations!F135</f>
        <v/>
      </c>
      <c r="C2" s="76">
        <f>Calculations!G135</f>
        <v/>
      </c>
      <c r="D2" s="76">
        <f>Calculations!H135</f>
        <v/>
      </c>
      <c r="E2" s="76">
        <f>Calculations!I135</f>
        <v/>
      </c>
      <c r="F2" s="76">
        <f>Calculations!J135</f>
        <v/>
      </c>
      <c r="G2" s="76">
        <f>Calculations!K135</f>
        <v/>
      </c>
      <c r="H2" s="76">
        <f>Calculations!L135</f>
        <v/>
      </c>
      <c r="I2" s="76">
        <f>Calculations!M135</f>
        <v/>
      </c>
      <c r="J2" s="76">
        <f>Calculations!N135</f>
        <v/>
      </c>
      <c r="K2" s="76">
        <f>Calculations!O135</f>
        <v/>
      </c>
      <c r="L2" s="76">
        <f>Calculations!P135</f>
        <v/>
      </c>
      <c r="M2" s="76">
        <f>Calculations!Q135</f>
        <v/>
      </c>
      <c r="N2" s="76">
        <f>Calculations!R135</f>
        <v/>
      </c>
      <c r="O2" s="76">
        <f>Calculations!S135</f>
        <v/>
      </c>
      <c r="P2" s="76">
        <f>Calculations!T135</f>
        <v/>
      </c>
      <c r="Q2" s="76">
        <f>Calculations!U135</f>
        <v/>
      </c>
      <c r="R2" s="76">
        <f>Calculations!V135</f>
        <v/>
      </c>
      <c r="S2" s="76">
        <f>Calculations!W135</f>
        <v/>
      </c>
      <c r="T2" s="76">
        <f>Calculations!X135</f>
        <v/>
      </c>
      <c r="U2" s="76">
        <f>Calculations!Y135</f>
        <v/>
      </c>
      <c r="V2" s="76">
        <f>Calculations!Z135</f>
        <v/>
      </c>
      <c r="W2" s="76">
        <f>Calculations!AA135</f>
        <v/>
      </c>
      <c r="X2" s="76">
        <f>Calculations!AB135</f>
        <v/>
      </c>
      <c r="Y2" s="76">
        <f>Calculations!AC135</f>
        <v/>
      </c>
      <c r="Z2" s="76">
        <f>Calculations!AD135</f>
        <v/>
      </c>
      <c r="AA2" s="76">
        <f>Calculations!AE135</f>
        <v/>
      </c>
      <c r="AB2" s="76">
        <f>Calculations!AF135</f>
        <v/>
      </c>
    </row>
    <row r="3">
      <c r="A3" s="1" t="inlineStr">
        <is>
          <t>coal (BTU)</t>
        </is>
      </c>
      <c r="B3" s="76">
        <f>Calculations!F136</f>
        <v/>
      </c>
      <c r="C3" s="76">
        <f>Calculations!G136</f>
        <v/>
      </c>
      <c r="D3" s="76">
        <f>Calculations!H136</f>
        <v/>
      </c>
      <c r="E3" s="76">
        <f>Calculations!I136</f>
        <v/>
      </c>
      <c r="F3" s="76">
        <f>Calculations!J136</f>
        <v/>
      </c>
      <c r="G3" s="76">
        <f>Calculations!K136</f>
        <v/>
      </c>
      <c r="H3" s="76">
        <f>Calculations!L136</f>
        <v/>
      </c>
      <c r="I3" s="76">
        <f>Calculations!M136</f>
        <v/>
      </c>
      <c r="J3" s="76">
        <f>Calculations!N136</f>
        <v/>
      </c>
      <c r="K3" s="76">
        <f>Calculations!O136</f>
        <v/>
      </c>
      <c r="L3" s="76">
        <f>Calculations!P136</f>
        <v/>
      </c>
      <c r="M3" s="76">
        <f>Calculations!Q136</f>
        <v/>
      </c>
      <c r="N3" s="76">
        <f>Calculations!R136</f>
        <v/>
      </c>
      <c r="O3" s="76">
        <f>Calculations!S136</f>
        <v/>
      </c>
      <c r="P3" s="76">
        <f>Calculations!T136</f>
        <v/>
      </c>
      <c r="Q3" s="76">
        <f>Calculations!U136</f>
        <v/>
      </c>
      <c r="R3" s="76">
        <f>Calculations!V136</f>
        <v/>
      </c>
      <c r="S3" s="76">
        <f>Calculations!W136</f>
        <v/>
      </c>
      <c r="T3" s="76">
        <f>Calculations!X136</f>
        <v/>
      </c>
      <c r="U3" s="76">
        <f>Calculations!Y136</f>
        <v/>
      </c>
      <c r="V3" s="76">
        <f>Calculations!Z136</f>
        <v/>
      </c>
      <c r="W3" s="76">
        <f>Calculations!AA136</f>
        <v/>
      </c>
      <c r="X3" s="76">
        <f>Calculations!AB136</f>
        <v/>
      </c>
      <c r="Y3" s="76">
        <f>Calculations!AC136</f>
        <v/>
      </c>
      <c r="Z3" s="76">
        <f>Calculations!AD136</f>
        <v/>
      </c>
      <c r="AA3" s="76">
        <f>Calculations!AE136</f>
        <v/>
      </c>
      <c r="AB3" s="76">
        <f>Calculations!AF136</f>
        <v/>
      </c>
    </row>
    <row r="4">
      <c r="A4" s="1" t="inlineStr">
        <is>
          <t>natural gas (BTU)</t>
        </is>
      </c>
      <c r="B4" s="76">
        <f>Calculations!F137</f>
        <v/>
      </c>
      <c r="C4" s="76">
        <f>Calculations!G137</f>
        <v/>
      </c>
      <c r="D4" s="76">
        <f>Calculations!H137</f>
        <v/>
      </c>
      <c r="E4" s="76">
        <f>Calculations!I137</f>
        <v/>
      </c>
      <c r="F4" s="76">
        <f>Calculations!J137</f>
        <v/>
      </c>
      <c r="G4" s="76">
        <f>Calculations!K137</f>
        <v/>
      </c>
      <c r="H4" s="76">
        <f>Calculations!L137</f>
        <v/>
      </c>
      <c r="I4" s="76">
        <f>Calculations!M137</f>
        <v/>
      </c>
      <c r="J4" s="76">
        <f>Calculations!N137</f>
        <v/>
      </c>
      <c r="K4" s="76">
        <f>Calculations!O137</f>
        <v/>
      </c>
      <c r="L4" s="76">
        <f>Calculations!P137</f>
        <v/>
      </c>
      <c r="M4" s="76">
        <f>Calculations!Q137</f>
        <v/>
      </c>
      <c r="N4" s="76">
        <f>Calculations!R137</f>
        <v/>
      </c>
      <c r="O4" s="76">
        <f>Calculations!S137</f>
        <v/>
      </c>
      <c r="P4" s="76">
        <f>Calculations!T137</f>
        <v/>
      </c>
      <c r="Q4" s="76">
        <f>Calculations!U137</f>
        <v/>
      </c>
      <c r="R4" s="76">
        <f>Calculations!V137</f>
        <v/>
      </c>
      <c r="S4" s="76">
        <f>Calculations!W137</f>
        <v/>
      </c>
      <c r="T4" s="76">
        <f>Calculations!X137</f>
        <v/>
      </c>
      <c r="U4" s="76">
        <f>Calculations!Y137</f>
        <v/>
      </c>
      <c r="V4" s="76">
        <f>Calculations!Z137</f>
        <v/>
      </c>
      <c r="W4" s="76">
        <f>Calculations!AA137</f>
        <v/>
      </c>
      <c r="X4" s="76">
        <f>Calculations!AB137</f>
        <v/>
      </c>
      <c r="Y4" s="76">
        <f>Calculations!AC137</f>
        <v/>
      </c>
      <c r="Z4" s="76">
        <f>Calculations!AD137</f>
        <v/>
      </c>
      <c r="AA4" s="76">
        <f>Calculations!AE137</f>
        <v/>
      </c>
      <c r="AB4" s="76">
        <f>Calculations!AF137</f>
        <v/>
      </c>
    </row>
    <row r="5">
      <c r="A5" s="1" t="inlineStr">
        <is>
          <t>petroleum diesel (BTU)</t>
        </is>
      </c>
      <c r="B5" s="76">
        <f>Calculations!F138</f>
        <v/>
      </c>
      <c r="C5" s="76">
        <f>Calculations!G138</f>
        <v/>
      </c>
      <c r="D5" s="76">
        <f>Calculations!H138</f>
        <v/>
      </c>
      <c r="E5" s="76">
        <f>Calculations!I138</f>
        <v/>
      </c>
      <c r="F5" s="76">
        <f>Calculations!J138</f>
        <v/>
      </c>
      <c r="G5" s="76">
        <f>Calculations!K138</f>
        <v/>
      </c>
      <c r="H5" s="76">
        <f>Calculations!L138</f>
        <v/>
      </c>
      <c r="I5" s="76">
        <f>Calculations!M138</f>
        <v/>
      </c>
      <c r="J5" s="76">
        <f>Calculations!N138</f>
        <v/>
      </c>
      <c r="K5" s="76">
        <f>Calculations!O138</f>
        <v/>
      </c>
      <c r="L5" s="76">
        <f>Calculations!P138</f>
        <v/>
      </c>
      <c r="M5" s="76">
        <f>Calculations!Q138</f>
        <v/>
      </c>
      <c r="N5" s="76">
        <f>Calculations!R138</f>
        <v/>
      </c>
      <c r="O5" s="76">
        <f>Calculations!S138</f>
        <v/>
      </c>
      <c r="P5" s="76">
        <f>Calculations!T138</f>
        <v/>
      </c>
      <c r="Q5" s="76">
        <f>Calculations!U138</f>
        <v/>
      </c>
      <c r="R5" s="76">
        <f>Calculations!V138</f>
        <v/>
      </c>
      <c r="S5" s="76">
        <f>Calculations!W138</f>
        <v/>
      </c>
      <c r="T5" s="76">
        <f>Calculations!X138</f>
        <v/>
      </c>
      <c r="U5" s="76">
        <f>Calculations!Y138</f>
        <v/>
      </c>
      <c r="V5" s="76">
        <f>Calculations!Z138</f>
        <v/>
      </c>
      <c r="W5" s="76">
        <f>Calculations!AA138</f>
        <v/>
      </c>
      <c r="X5" s="76">
        <f>Calculations!AB138</f>
        <v/>
      </c>
      <c r="Y5" s="76">
        <f>Calculations!AC138</f>
        <v/>
      </c>
      <c r="Z5" s="76">
        <f>Calculations!AD138</f>
        <v/>
      </c>
      <c r="AA5" s="76">
        <f>Calculations!AE138</f>
        <v/>
      </c>
      <c r="AB5" s="76">
        <f>Calculations!AF138</f>
        <v/>
      </c>
    </row>
    <row r="6">
      <c r="A6" s="1" t="inlineStr">
        <is>
          <t>heat (BTU)</t>
        </is>
      </c>
      <c r="B6" s="76">
        <f>Calculations!F139</f>
        <v/>
      </c>
      <c r="C6" s="76">
        <f>Calculations!G139</f>
        <v/>
      </c>
      <c r="D6" s="76">
        <f>Calculations!H139</f>
        <v/>
      </c>
      <c r="E6" s="76">
        <f>Calculations!I139</f>
        <v/>
      </c>
      <c r="F6" s="76">
        <f>Calculations!J139</f>
        <v/>
      </c>
      <c r="G6" s="76">
        <f>Calculations!K139</f>
        <v/>
      </c>
      <c r="H6" s="76">
        <f>Calculations!L139</f>
        <v/>
      </c>
      <c r="I6" s="76">
        <f>Calculations!M139</f>
        <v/>
      </c>
      <c r="J6" s="76">
        <f>Calculations!N139</f>
        <v/>
      </c>
      <c r="K6" s="76">
        <f>Calculations!O139</f>
        <v/>
      </c>
      <c r="L6" s="76">
        <f>Calculations!P139</f>
        <v/>
      </c>
      <c r="M6" s="76">
        <f>Calculations!Q139</f>
        <v/>
      </c>
      <c r="N6" s="76">
        <f>Calculations!R139</f>
        <v/>
      </c>
      <c r="O6" s="76">
        <f>Calculations!S139</f>
        <v/>
      </c>
      <c r="P6" s="76">
        <f>Calculations!T139</f>
        <v/>
      </c>
      <c r="Q6" s="76">
        <f>Calculations!U139</f>
        <v/>
      </c>
      <c r="R6" s="76">
        <f>Calculations!V139</f>
        <v/>
      </c>
      <c r="S6" s="76">
        <f>Calculations!W139</f>
        <v/>
      </c>
      <c r="T6" s="76">
        <f>Calculations!X139</f>
        <v/>
      </c>
      <c r="U6" s="76">
        <f>Calculations!Y139</f>
        <v/>
      </c>
      <c r="V6" s="76">
        <f>Calculations!Z139</f>
        <v/>
      </c>
      <c r="W6" s="76">
        <f>Calculations!AA139</f>
        <v/>
      </c>
      <c r="X6" s="76">
        <f>Calculations!AB139</f>
        <v/>
      </c>
      <c r="Y6" s="76">
        <f>Calculations!AC139</f>
        <v/>
      </c>
      <c r="Z6" s="76">
        <f>Calculations!AD139</f>
        <v/>
      </c>
      <c r="AA6" s="76">
        <f>Calculations!AE139</f>
        <v/>
      </c>
      <c r="AB6" s="76">
        <f>Calculations!AF139</f>
        <v/>
      </c>
    </row>
    <row r="7">
      <c r="A7" s="1" t="inlineStr">
        <is>
          <t>biomass (BTU)</t>
        </is>
      </c>
      <c r="B7" s="76">
        <f>Calculations!F140</f>
        <v/>
      </c>
      <c r="C7" s="76">
        <f>Calculations!G140</f>
        <v/>
      </c>
      <c r="D7" s="76">
        <f>Calculations!H140</f>
        <v/>
      </c>
      <c r="E7" s="76">
        <f>Calculations!I140</f>
        <v/>
      </c>
      <c r="F7" s="76">
        <f>Calculations!J140</f>
        <v/>
      </c>
      <c r="G7" s="76">
        <f>Calculations!K140</f>
        <v/>
      </c>
      <c r="H7" s="76">
        <f>Calculations!L140</f>
        <v/>
      </c>
      <c r="I7" s="76">
        <f>Calculations!M140</f>
        <v/>
      </c>
      <c r="J7" s="76">
        <f>Calculations!N140</f>
        <v/>
      </c>
      <c r="K7" s="76">
        <f>Calculations!O140</f>
        <v/>
      </c>
      <c r="L7" s="76">
        <f>Calculations!P140</f>
        <v/>
      </c>
      <c r="M7" s="76">
        <f>Calculations!Q140</f>
        <v/>
      </c>
      <c r="N7" s="76">
        <f>Calculations!R140</f>
        <v/>
      </c>
      <c r="O7" s="76">
        <f>Calculations!S140</f>
        <v/>
      </c>
      <c r="P7" s="76">
        <f>Calculations!T140</f>
        <v/>
      </c>
      <c r="Q7" s="76">
        <f>Calculations!U140</f>
        <v/>
      </c>
      <c r="R7" s="76">
        <f>Calculations!V140</f>
        <v/>
      </c>
      <c r="S7" s="76">
        <f>Calculations!W140</f>
        <v/>
      </c>
      <c r="T7" s="76">
        <f>Calculations!X140</f>
        <v/>
      </c>
      <c r="U7" s="76">
        <f>Calculations!Y140</f>
        <v/>
      </c>
      <c r="V7" s="76">
        <f>Calculations!Z140</f>
        <v/>
      </c>
      <c r="W7" s="76">
        <f>Calculations!AA140</f>
        <v/>
      </c>
      <c r="X7" s="76">
        <f>Calculations!AB140</f>
        <v/>
      </c>
      <c r="Y7" s="76">
        <f>Calculations!AC140</f>
        <v/>
      </c>
      <c r="Z7" s="76">
        <f>Calculations!AD140</f>
        <v/>
      </c>
      <c r="AA7" s="76">
        <f>Calculations!AE140</f>
        <v/>
      </c>
      <c r="AB7" s="76">
        <f>Calculations!AF140</f>
        <v/>
      </c>
    </row>
    <row r="8">
      <c r="A8" s="1" t="inlineStr">
        <is>
          <t>kerosene (BTU)</t>
        </is>
      </c>
      <c r="B8" s="76">
        <f>Calculations!F141</f>
        <v/>
      </c>
      <c r="C8" s="76">
        <f>Calculations!G141</f>
        <v/>
      </c>
      <c r="D8" s="76">
        <f>Calculations!H141</f>
        <v/>
      </c>
      <c r="E8" s="76">
        <f>Calculations!I141</f>
        <v/>
      </c>
      <c r="F8" s="76">
        <f>Calculations!J141</f>
        <v/>
      </c>
      <c r="G8" s="76">
        <f>Calculations!K141</f>
        <v/>
      </c>
      <c r="H8" s="76">
        <f>Calculations!L141</f>
        <v/>
      </c>
      <c r="I8" s="76">
        <f>Calculations!M141</f>
        <v/>
      </c>
      <c r="J8" s="76">
        <f>Calculations!N141</f>
        <v/>
      </c>
      <c r="K8" s="76">
        <f>Calculations!O141</f>
        <v/>
      </c>
      <c r="L8" s="76">
        <f>Calculations!P141</f>
        <v/>
      </c>
      <c r="M8" s="76">
        <f>Calculations!Q141</f>
        <v/>
      </c>
      <c r="N8" s="76">
        <f>Calculations!R141</f>
        <v/>
      </c>
      <c r="O8" s="76">
        <f>Calculations!S141</f>
        <v/>
      </c>
      <c r="P8" s="76">
        <f>Calculations!T141</f>
        <v/>
      </c>
      <c r="Q8" s="76">
        <f>Calculations!U141</f>
        <v/>
      </c>
      <c r="R8" s="76">
        <f>Calculations!V141</f>
        <v/>
      </c>
      <c r="S8" s="76">
        <f>Calculations!W141</f>
        <v/>
      </c>
      <c r="T8" s="76">
        <f>Calculations!X141</f>
        <v/>
      </c>
      <c r="U8" s="76">
        <f>Calculations!Y141</f>
        <v/>
      </c>
      <c r="V8" s="76">
        <f>Calculations!Z141</f>
        <v/>
      </c>
      <c r="W8" s="76">
        <f>Calculations!AA141</f>
        <v/>
      </c>
      <c r="X8" s="76">
        <f>Calculations!AB141</f>
        <v/>
      </c>
      <c r="Y8" s="76">
        <f>Calculations!AC141</f>
        <v/>
      </c>
      <c r="Z8" s="76">
        <f>Calculations!AD141</f>
        <v/>
      </c>
      <c r="AA8" s="76">
        <f>Calculations!AE141</f>
        <v/>
      </c>
      <c r="AB8" s="76">
        <f>Calculations!AF141</f>
        <v/>
      </c>
    </row>
    <row r="9">
      <c r="A9" s="1" t="inlineStr">
        <is>
          <t>heavy or residual fuel oil (BTU)</t>
        </is>
      </c>
      <c r="B9" s="76">
        <f>Calculations!F142</f>
        <v/>
      </c>
      <c r="C9" s="76">
        <f>Calculations!G142</f>
        <v/>
      </c>
      <c r="D9" s="76">
        <f>Calculations!H142</f>
        <v/>
      </c>
      <c r="E9" s="76">
        <f>Calculations!I142</f>
        <v/>
      </c>
      <c r="F9" s="76">
        <f>Calculations!J142</f>
        <v/>
      </c>
      <c r="G9" s="76">
        <f>Calculations!K142</f>
        <v/>
      </c>
      <c r="H9" s="76">
        <f>Calculations!L142</f>
        <v/>
      </c>
      <c r="I9" s="76">
        <f>Calculations!M142</f>
        <v/>
      </c>
      <c r="J9" s="76">
        <f>Calculations!N142</f>
        <v/>
      </c>
      <c r="K9" s="76">
        <f>Calculations!O142</f>
        <v/>
      </c>
      <c r="L9" s="76">
        <f>Calculations!P142</f>
        <v/>
      </c>
      <c r="M9" s="76">
        <f>Calculations!Q142</f>
        <v/>
      </c>
      <c r="N9" s="76">
        <f>Calculations!R142</f>
        <v/>
      </c>
      <c r="O9" s="76">
        <f>Calculations!S142</f>
        <v/>
      </c>
      <c r="P9" s="76">
        <f>Calculations!T142</f>
        <v/>
      </c>
      <c r="Q9" s="76">
        <f>Calculations!U142</f>
        <v/>
      </c>
      <c r="R9" s="76">
        <f>Calculations!V142</f>
        <v/>
      </c>
      <c r="S9" s="76">
        <f>Calculations!W142</f>
        <v/>
      </c>
      <c r="T9" s="76">
        <f>Calculations!X142</f>
        <v/>
      </c>
      <c r="U9" s="76">
        <f>Calculations!Y142</f>
        <v/>
      </c>
      <c r="V9" s="76">
        <f>Calculations!Z142</f>
        <v/>
      </c>
      <c r="W9" s="76">
        <f>Calculations!AA142</f>
        <v/>
      </c>
      <c r="X9" s="76">
        <f>Calculations!AB142</f>
        <v/>
      </c>
      <c r="Y9" s="76">
        <f>Calculations!AC142</f>
        <v/>
      </c>
      <c r="Z9" s="76">
        <f>Calculations!AD142</f>
        <v/>
      </c>
      <c r="AA9" s="76">
        <f>Calculations!AE142</f>
        <v/>
      </c>
      <c r="AB9" s="76">
        <f>Calculations!AF142</f>
        <v/>
      </c>
    </row>
    <row r="10">
      <c r="A10" s="1" t="inlineStr">
        <is>
          <t>LPG propane or butane (BTU)</t>
        </is>
      </c>
      <c r="B10" s="76">
        <f>Calculations!F143</f>
        <v/>
      </c>
      <c r="C10" s="76">
        <f>Calculations!G143</f>
        <v/>
      </c>
      <c r="D10" s="76">
        <f>Calculations!H143</f>
        <v/>
      </c>
      <c r="E10" s="76">
        <f>Calculations!I143</f>
        <v/>
      </c>
      <c r="F10" s="76">
        <f>Calculations!J143</f>
        <v/>
      </c>
      <c r="G10" s="76">
        <f>Calculations!K143</f>
        <v/>
      </c>
      <c r="H10" s="76">
        <f>Calculations!L143</f>
        <v/>
      </c>
      <c r="I10" s="76">
        <f>Calculations!M143</f>
        <v/>
      </c>
      <c r="J10" s="76">
        <f>Calculations!N143</f>
        <v/>
      </c>
      <c r="K10" s="76">
        <f>Calculations!O143</f>
        <v/>
      </c>
      <c r="L10" s="76">
        <f>Calculations!P143</f>
        <v/>
      </c>
      <c r="M10" s="76">
        <f>Calculations!Q143</f>
        <v/>
      </c>
      <c r="N10" s="76">
        <f>Calculations!R143</f>
        <v/>
      </c>
      <c r="O10" s="76">
        <f>Calculations!S143</f>
        <v/>
      </c>
      <c r="P10" s="76">
        <f>Calculations!T143</f>
        <v/>
      </c>
      <c r="Q10" s="76">
        <f>Calculations!U143</f>
        <v/>
      </c>
      <c r="R10" s="76">
        <f>Calculations!V143</f>
        <v/>
      </c>
      <c r="S10" s="76">
        <f>Calculations!W143</f>
        <v/>
      </c>
      <c r="T10" s="76">
        <f>Calculations!X143</f>
        <v/>
      </c>
      <c r="U10" s="76">
        <f>Calculations!Y143</f>
        <v/>
      </c>
      <c r="V10" s="76">
        <f>Calculations!Z143</f>
        <v/>
      </c>
      <c r="W10" s="76">
        <f>Calculations!AA143</f>
        <v/>
      </c>
      <c r="X10" s="76">
        <f>Calculations!AB143</f>
        <v/>
      </c>
      <c r="Y10" s="76">
        <f>Calculations!AC143</f>
        <v/>
      </c>
      <c r="Z10" s="76">
        <f>Calculations!AD143</f>
        <v/>
      </c>
      <c r="AA10" s="76">
        <f>Calculations!AE143</f>
        <v/>
      </c>
      <c r="AB10" s="76">
        <f>Calculations!AF143</f>
        <v/>
      </c>
    </row>
    <row r="11">
      <c r="A11" s="1" t="inlineStr">
        <is>
          <t>hydrogen (BTU)</t>
        </is>
      </c>
      <c r="B11" s="76">
        <f>Calculations!F144</f>
        <v/>
      </c>
      <c r="C11" s="76">
        <f>Calculations!G144</f>
        <v/>
      </c>
      <c r="D11" s="76">
        <f>Calculations!H144</f>
        <v/>
      </c>
      <c r="E11" s="76">
        <f>Calculations!I144</f>
        <v/>
      </c>
      <c r="F11" s="76">
        <f>Calculations!J144</f>
        <v/>
      </c>
      <c r="G11" s="76">
        <f>Calculations!K144</f>
        <v/>
      </c>
      <c r="H11" s="76">
        <f>Calculations!L144</f>
        <v/>
      </c>
      <c r="I11" s="76">
        <f>Calculations!M144</f>
        <v/>
      </c>
      <c r="J11" s="76">
        <f>Calculations!N144</f>
        <v/>
      </c>
      <c r="K11" s="76">
        <f>Calculations!O144</f>
        <v/>
      </c>
      <c r="L11" s="76">
        <f>Calculations!P144</f>
        <v/>
      </c>
      <c r="M11" s="76">
        <f>Calculations!Q144</f>
        <v/>
      </c>
      <c r="N11" s="76">
        <f>Calculations!R144</f>
        <v/>
      </c>
      <c r="O11" s="76">
        <f>Calculations!S144</f>
        <v/>
      </c>
      <c r="P11" s="76">
        <f>Calculations!T144</f>
        <v/>
      </c>
      <c r="Q11" s="76">
        <f>Calculations!U144</f>
        <v/>
      </c>
      <c r="R11" s="76">
        <f>Calculations!V144</f>
        <v/>
      </c>
      <c r="S11" s="76">
        <f>Calculations!W144</f>
        <v/>
      </c>
      <c r="T11" s="76">
        <f>Calculations!X144</f>
        <v/>
      </c>
      <c r="U11" s="76">
        <f>Calculations!Y144</f>
        <v/>
      </c>
      <c r="V11" s="76">
        <f>Calculations!Z144</f>
        <v/>
      </c>
      <c r="W11" s="76">
        <f>Calculations!AA144</f>
        <v/>
      </c>
      <c r="X11" s="76">
        <f>Calculations!AB144</f>
        <v/>
      </c>
      <c r="Y11" s="76">
        <f>Calculations!AC144</f>
        <v/>
      </c>
      <c r="Z11" s="76">
        <f>Calculations!AD144</f>
        <v/>
      </c>
      <c r="AA11" s="76">
        <f>Calculations!AE144</f>
        <v/>
      </c>
      <c r="AB11" s="76">
        <f>Calculations!AF144</f>
        <v/>
      </c>
    </row>
  </sheetData>
  <pageMargins left="0.7" right="0.7" top="0.75" bottom="0.75" header="0.3" footer="0.3"/>
  <pageSetup orientation="portrait" horizontalDpi="1200" verticalDpi="1200"/>
</worksheet>
</file>

<file path=xl/worksheets/sheet24.xml><?xml version="1.0" encoding="utf-8"?>
<worksheet xmlns="http://schemas.openxmlformats.org/spreadsheetml/2006/main">
  <sheetPr>
    <tabColor theme="3"/>
    <outlinePr summaryBelow="1" summaryRight="1"/>
    <pageSetUpPr/>
  </sheetPr>
  <dimension ref="A1:AD11"/>
  <sheetViews>
    <sheetView workbookViewId="0">
      <selection activeCell="B14" sqref="B14"/>
    </sheetView>
  </sheetViews>
  <sheetFormatPr baseColWidth="8" defaultRowHeight="14.25"/>
  <cols>
    <col width="29.796875" customWidth="1" min="1" max="1"/>
    <col width="9.53125" bestFit="1" customWidth="1" min="2" max="28"/>
  </cols>
  <sheetData>
    <row r="1">
      <c r="A1" s="1" t="inlineStr">
        <is>
          <t>Year</t>
        </is>
      </c>
      <c r="B1" s="1" t="n">
        <v>2024</v>
      </c>
      <c r="C1" s="1" t="n">
        <v>2025</v>
      </c>
      <c r="D1" s="1" t="n">
        <v>2026</v>
      </c>
      <c r="E1" s="1" t="n">
        <v>2027</v>
      </c>
      <c r="F1" s="1" t="n">
        <v>2028</v>
      </c>
      <c r="G1" s="1" t="n">
        <v>2029</v>
      </c>
      <c r="H1" s="1" t="n">
        <v>2030</v>
      </c>
      <c r="I1" s="1" t="n">
        <v>2031</v>
      </c>
      <c r="J1" s="1" t="n">
        <v>2032</v>
      </c>
      <c r="K1" s="1" t="n">
        <v>2033</v>
      </c>
      <c r="L1" s="1" t="n">
        <v>2034</v>
      </c>
      <c r="M1" s="1" t="n">
        <v>2035</v>
      </c>
      <c r="N1" s="1" t="n">
        <v>2036</v>
      </c>
      <c r="O1" s="1" t="n">
        <v>2037</v>
      </c>
      <c r="P1" s="1" t="n">
        <v>2038</v>
      </c>
      <c r="Q1" s="1" t="n">
        <v>2039</v>
      </c>
      <c r="R1" s="1" t="n">
        <v>2040</v>
      </c>
      <c r="S1" s="1" t="n">
        <v>2041</v>
      </c>
      <c r="T1" s="1" t="n">
        <v>2042</v>
      </c>
      <c r="U1" s="1" t="n">
        <v>2043</v>
      </c>
      <c r="V1" s="1" t="n">
        <v>2044</v>
      </c>
      <c r="W1" s="1" t="n">
        <v>2045</v>
      </c>
      <c r="X1" s="1" t="n">
        <v>2046</v>
      </c>
      <c r="Y1" s="1" t="n">
        <v>2047</v>
      </c>
      <c r="Z1" s="1" t="n">
        <v>2048</v>
      </c>
      <c r="AA1" s="1" t="n">
        <v>2049</v>
      </c>
      <c r="AB1" s="1" t="n">
        <v>2050</v>
      </c>
      <c r="AC1" s="1" t="n"/>
      <c r="AD1" s="1" t="n"/>
    </row>
    <row r="2">
      <c r="A2" s="1" t="inlineStr">
        <is>
          <t>electricity (BTU)</t>
        </is>
      </c>
      <c r="B2" s="76">
        <f>Calculations!F148</f>
        <v/>
      </c>
      <c r="C2" s="76">
        <f>Calculations!G148</f>
        <v/>
      </c>
      <c r="D2" s="76">
        <f>Calculations!H148</f>
        <v/>
      </c>
      <c r="E2" s="76">
        <f>Calculations!I148</f>
        <v/>
      </c>
      <c r="F2" s="76">
        <f>Calculations!J148</f>
        <v/>
      </c>
      <c r="G2" s="76">
        <f>Calculations!K148</f>
        <v/>
      </c>
      <c r="H2" s="76">
        <f>Calculations!L148</f>
        <v/>
      </c>
      <c r="I2" s="76">
        <f>Calculations!M148</f>
        <v/>
      </c>
      <c r="J2" s="76">
        <f>Calculations!N148</f>
        <v/>
      </c>
      <c r="K2" s="76">
        <f>Calculations!O148</f>
        <v/>
      </c>
      <c r="L2" s="76">
        <f>Calculations!P148</f>
        <v/>
      </c>
      <c r="M2" s="76">
        <f>Calculations!Q148</f>
        <v/>
      </c>
      <c r="N2" s="76">
        <f>Calculations!R148</f>
        <v/>
      </c>
      <c r="O2" s="76">
        <f>Calculations!S148</f>
        <v/>
      </c>
      <c r="P2" s="76">
        <f>Calculations!T148</f>
        <v/>
      </c>
      <c r="Q2" s="76">
        <f>Calculations!U148</f>
        <v/>
      </c>
      <c r="R2" s="76">
        <f>Calculations!V148</f>
        <v/>
      </c>
      <c r="S2" s="76">
        <f>Calculations!W148</f>
        <v/>
      </c>
      <c r="T2" s="76">
        <f>Calculations!X148</f>
        <v/>
      </c>
      <c r="U2" s="76">
        <f>Calculations!Y148</f>
        <v/>
      </c>
      <c r="V2" s="76">
        <f>Calculations!Z148</f>
        <v/>
      </c>
      <c r="W2" s="76">
        <f>Calculations!AA148</f>
        <v/>
      </c>
      <c r="X2" s="76">
        <f>Calculations!AB148</f>
        <v/>
      </c>
      <c r="Y2" s="76">
        <f>Calculations!AC148</f>
        <v/>
      </c>
      <c r="Z2" s="76">
        <f>Calculations!AD148</f>
        <v/>
      </c>
      <c r="AA2" s="76">
        <f>Calculations!AE148</f>
        <v/>
      </c>
      <c r="AB2" s="76">
        <f>Calculations!AF148</f>
        <v/>
      </c>
    </row>
    <row r="3">
      <c r="A3" s="1" t="inlineStr">
        <is>
          <t>coal (BTU)</t>
        </is>
      </c>
      <c r="B3" s="76">
        <f>Calculations!F149</f>
        <v/>
      </c>
      <c r="C3" s="76">
        <f>Calculations!G149</f>
        <v/>
      </c>
      <c r="D3" s="76">
        <f>Calculations!H149</f>
        <v/>
      </c>
      <c r="E3" s="76">
        <f>Calculations!I149</f>
        <v/>
      </c>
      <c r="F3" s="76">
        <f>Calculations!J149</f>
        <v/>
      </c>
      <c r="G3" s="76">
        <f>Calculations!K149</f>
        <v/>
      </c>
      <c r="H3" s="76">
        <f>Calculations!L149</f>
        <v/>
      </c>
      <c r="I3" s="76">
        <f>Calculations!M149</f>
        <v/>
      </c>
      <c r="J3" s="76">
        <f>Calculations!N149</f>
        <v/>
      </c>
      <c r="K3" s="76">
        <f>Calculations!O149</f>
        <v/>
      </c>
      <c r="L3" s="76">
        <f>Calculations!P149</f>
        <v/>
      </c>
      <c r="M3" s="76">
        <f>Calculations!Q149</f>
        <v/>
      </c>
      <c r="N3" s="76">
        <f>Calculations!R149</f>
        <v/>
      </c>
      <c r="O3" s="76">
        <f>Calculations!S149</f>
        <v/>
      </c>
      <c r="P3" s="76">
        <f>Calculations!T149</f>
        <v/>
      </c>
      <c r="Q3" s="76">
        <f>Calculations!U149</f>
        <v/>
      </c>
      <c r="R3" s="76">
        <f>Calculations!V149</f>
        <v/>
      </c>
      <c r="S3" s="76">
        <f>Calculations!W149</f>
        <v/>
      </c>
      <c r="T3" s="76">
        <f>Calculations!X149</f>
        <v/>
      </c>
      <c r="U3" s="76">
        <f>Calculations!Y149</f>
        <v/>
      </c>
      <c r="V3" s="76">
        <f>Calculations!Z149</f>
        <v/>
      </c>
      <c r="W3" s="76">
        <f>Calculations!AA149</f>
        <v/>
      </c>
      <c r="X3" s="76">
        <f>Calculations!AB149</f>
        <v/>
      </c>
      <c r="Y3" s="76">
        <f>Calculations!AC149</f>
        <v/>
      </c>
      <c r="Z3" s="76">
        <f>Calculations!AD149</f>
        <v/>
      </c>
      <c r="AA3" s="76">
        <f>Calculations!AE149</f>
        <v/>
      </c>
      <c r="AB3" s="76">
        <f>Calculations!AF149</f>
        <v/>
      </c>
    </row>
    <row r="4">
      <c r="A4" s="1" t="inlineStr">
        <is>
          <t>natural gas (BTU)</t>
        </is>
      </c>
      <c r="B4" s="76">
        <f>Calculations!F150</f>
        <v/>
      </c>
      <c r="C4" s="76">
        <f>Calculations!G150</f>
        <v/>
      </c>
      <c r="D4" s="76">
        <f>Calculations!H150</f>
        <v/>
      </c>
      <c r="E4" s="76">
        <f>Calculations!I150</f>
        <v/>
      </c>
      <c r="F4" s="76">
        <f>Calculations!J150</f>
        <v/>
      </c>
      <c r="G4" s="76">
        <f>Calculations!K150</f>
        <v/>
      </c>
      <c r="H4" s="76">
        <f>Calculations!L150</f>
        <v/>
      </c>
      <c r="I4" s="76">
        <f>Calculations!M150</f>
        <v/>
      </c>
      <c r="J4" s="76">
        <f>Calculations!N150</f>
        <v/>
      </c>
      <c r="K4" s="76">
        <f>Calculations!O150</f>
        <v/>
      </c>
      <c r="L4" s="76">
        <f>Calculations!P150</f>
        <v/>
      </c>
      <c r="M4" s="76">
        <f>Calculations!Q150</f>
        <v/>
      </c>
      <c r="N4" s="76">
        <f>Calculations!R150</f>
        <v/>
      </c>
      <c r="O4" s="76">
        <f>Calculations!S150</f>
        <v/>
      </c>
      <c r="P4" s="76">
        <f>Calculations!T150</f>
        <v/>
      </c>
      <c r="Q4" s="76">
        <f>Calculations!U150</f>
        <v/>
      </c>
      <c r="R4" s="76">
        <f>Calculations!V150</f>
        <v/>
      </c>
      <c r="S4" s="76">
        <f>Calculations!W150</f>
        <v/>
      </c>
      <c r="T4" s="76">
        <f>Calculations!X150</f>
        <v/>
      </c>
      <c r="U4" s="76">
        <f>Calculations!Y150</f>
        <v/>
      </c>
      <c r="V4" s="76">
        <f>Calculations!Z150</f>
        <v/>
      </c>
      <c r="W4" s="76">
        <f>Calculations!AA150</f>
        <v/>
      </c>
      <c r="X4" s="76">
        <f>Calculations!AB150</f>
        <v/>
      </c>
      <c r="Y4" s="76">
        <f>Calculations!AC150</f>
        <v/>
      </c>
      <c r="Z4" s="76">
        <f>Calculations!AD150</f>
        <v/>
      </c>
      <c r="AA4" s="76">
        <f>Calculations!AE150</f>
        <v/>
      </c>
      <c r="AB4" s="76">
        <f>Calculations!AF150</f>
        <v/>
      </c>
    </row>
    <row r="5">
      <c r="A5" s="1" t="inlineStr">
        <is>
          <t>petroleum diesel (BTU)</t>
        </is>
      </c>
      <c r="B5" s="76">
        <f>Calculations!F151</f>
        <v/>
      </c>
      <c r="C5" s="76">
        <f>Calculations!G151</f>
        <v/>
      </c>
      <c r="D5" s="76">
        <f>Calculations!H151</f>
        <v/>
      </c>
      <c r="E5" s="76">
        <f>Calculations!I151</f>
        <v/>
      </c>
      <c r="F5" s="76">
        <f>Calculations!J151</f>
        <v/>
      </c>
      <c r="G5" s="76">
        <f>Calculations!K151</f>
        <v/>
      </c>
      <c r="H5" s="76">
        <f>Calculations!L151</f>
        <v/>
      </c>
      <c r="I5" s="76">
        <f>Calculations!M151</f>
        <v/>
      </c>
      <c r="J5" s="76">
        <f>Calculations!N151</f>
        <v/>
      </c>
      <c r="K5" s="76">
        <f>Calculations!O151</f>
        <v/>
      </c>
      <c r="L5" s="76">
        <f>Calculations!P151</f>
        <v/>
      </c>
      <c r="M5" s="76">
        <f>Calculations!Q151</f>
        <v/>
      </c>
      <c r="N5" s="76">
        <f>Calculations!R151</f>
        <v/>
      </c>
      <c r="O5" s="76">
        <f>Calculations!S151</f>
        <v/>
      </c>
      <c r="P5" s="76">
        <f>Calculations!T151</f>
        <v/>
      </c>
      <c r="Q5" s="76">
        <f>Calculations!U151</f>
        <v/>
      </c>
      <c r="R5" s="76">
        <f>Calculations!V151</f>
        <v/>
      </c>
      <c r="S5" s="76">
        <f>Calculations!W151</f>
        <v/>
      </c>
      <c r="T5" s="76">
        <f>Calculations!X151</f>
        <v/>
      </c>
      <c r="U5" s="76">
        <f>Calculations!Y151</f>
        <v/>
      </c>
      <c r="V5" s="76">
        <f>Calculations!Z151</f>
        <v/>
      </c>
      <c r="W5" s="76">
        <f>Calculations!AA151</f>
        <v/>
      </c>
      <c r="X5" s="76">
        <f>Calculations!AB151</f>
        <v/>
      </c>
      <c r="Y5" s="76">
        <f>Calculations!AC151</f>
        <v/>
      </c>
      <c r="Z5" s="76">
        <f>Calculations!AD151</f>
        <v/>
      </c>
      <c r="AA5" s="76">
        <f>Calculations!AE151</f>
        <v/>
      </c>
      <c r="AB5" s="76">
        <f>Calculations!AF151</f>
        <v/>
      </c>
    </row>
    <row r="6">
      <c r="A6" s="1" t="inlineStr">
        <is>
          <t>heat (BTU)</t>
        </is>
      </c>
      <c r="B6" s="76">
        <f>Calculations!F152</f>
        <v/>
      </c>
      <c r="C6" s="76">
        <f>Calculations!G152</f>
        <v/>
      </c>
      <c r="D6" s="76">
        <f>Calculations!H152</f>
        <v/>
      </c>
      <c r="E6" s="76">
        <f>Calculations!I152</f>
        <v/>
      </c>
      <c r="F6" s="76">
        <f>Calculations!J152</f>
        <v/>
      </c>
      <c r="G6" s="76">
        <f>Calculations!K152</f>
        <v/>
      </c>
      <c r="H6" s="76">
        <f>Calculations!L152</f>
        <v/>
      </c>
      <c r="I6" s="76">
        <f>Calculations!M152</f>
        <v/>
      </c>
      <c r="J6" s="76">
        <f>Calculations!N152</f>
        <v/>
      </c>
      <c r="K6" s="76">
        <f>Calculations!O152</f>
        <v/>
      </c>
      <c r="L6" s="76">
        <f>Calculations!P152</f>
        <v/>
      </c>
      <c r="M6" s="76">
        <f>Calculations!Q152</f>
        <v/>
      </c>
      <c r="N6" s="76">
        <f>Calculations!R152</f>
        <v/>
      </c>
      <c r="O6" s="76">
        <f>Calculations!S152</f>
        <v/>
      </c>
      <c r="P6" s="76">
        <f>Calculations!T152</f>
        <v/>
      </c>
      <c r="Q6" s="76">
        <f>Calculations!U152</f>
        <v/>
      </c>
      <c r="R6" s="76">
        <f>Calculations!V152</f>
        <v/>
      </c>
      <c r="S6" s="76">
        <f>Calculations!W152</f>
        <v/>
      </c>
      <c r="T6" s="76">
        <f>Calculations!X152</f>
        <v/>
      </c>
      <c r="U6" s="76">
        <f>Calculations!Y152</f>
        <v/>
      </c>
      <c r="V6" s="76">
        <f>Calculations!Z152</f>
        <v/>
      </c>
      <c r="W6" s="76">
        <f>Calculations!AA152</f>
        <v/>
      </c>
      <c r="X6" s="76">
        <f>Calculations!AB152</f>
        <v/>
      </c>
      <c r="Y6" s="76">
        <f>Calculations!AC152</f>
        <v/>
      </c>
      <c r="Z6" s="76">
        <f>Calculations!AD152</f>
        <v/>
      </c>
      <c r="AA6" s="76">
        <f>Calculations!AE152</f>
        <v/>
      </c>
      <c r="AB6" s="76">
        <f>Calculations!AF152</f>
        <v/>
      </c>
    </row>
    <row r="7">
      <c r="A7" s="1" t="inlineStr">
        <is>
          <t>biomass (BTU)</t>
        </is>
      </c>
      <c r="B7" s="76">
        <f>Calculations!F153</f>
        <v/>
      </c>
      <c r="C7" s="76">
        <f>Calculations!G153</f>
        <v/>
      </c>
      <c r="D7" s="76">
        <f>Calculations!H153</f>
        <v/>
      </c>
      <c r="E7" s="76">
        <f>Calculations!I153</f>
        <v/>
      </c>
      <c r="F7" s="76">
        <f>Calculations!J153</f>
        <v/>
      </c>
      <c r="G7" s="76">
        <f>Calculations!K153</f>
        <v/>
      </c>
      <c r="H7" s="76">
        <f>Calculations!L153</f>
        <v/>
      </c>
      <c r="I7" s="76">
        <f>Calculations!M153</f>
        <v/>
      </c>
      <c r="J7" s="76">
        <f>Calculations!N153</f>
        <v/>
      </c>
      <c r="K7" s="76">
        <f>Calculations!O153</f>
        <v/>
      </c>
      <c r="L7" s="76">
        <f>Calculations!P153</f>
        <v/>
      </c>
      <c r="M7" s="76">
        <f>Calculations!Q153</f>
        <v/>
      </c>
      <c r="N7" s="76">
        <f>Calculations!R153</f>
        <v/>
      </c>
      <c r="O7" s="76">
        <f>Calculations!S153</f>
        <v/>
      </c>
      <c r="P7" s="76">
        <f>Calculations!T153</f>
        <v/>
      </c>
      <c r="Q7" s="76">
        <f>Calculations!U153</f>
        <v/>
      </c>
      <c r="R7" s="76">
        <f>Calculations!V153</f>
        <v/>
      </c>
      <c r="S7" s="76">
        <f>Calculations!W153</f>
        <v/>
      </c>
      <c r="T7" s="76">
        <f>Calculations!X153</f>
        <v/>
      </c>
      <c r="U7" s="76">
        <f>Calculations!Y153</f>
        <v/>
      </c>
      <c r="V7" s="76">
        <f>Calculations!Z153</f>
        <v/>
      </c>
      <c r="W7" s="76">
        <f>Calculations!AA153</f>
        <v/>
      </c>
      <c r="X7" s="76">
        <f>Calculations!AB153</f>
        <v/>
      </c>
      <c r="Y7" s="76">
        <f>Calculations!AC153</f>
        <v/>
      </c>
      <c r="Z7" s="76">
        <f>Calculations!AD153</f>
        <v/>
      </c>
      <c r="AA7" s="76">
        <f>Calculations!AE153</f>
        <v/>
      </c>
      <c r="AB7" s="76">
        <f>Calculations!AF153</f>
        <v/>
      </c>
    </row>
    <row r="8">
      <c r="A8" s="1" t="inlineStr">
        <is>
          <t>kerosene (BTU)</t>
        </is>
      </c>
      <c r="B8" s="76">
        <f>Calculations!F154</f>
        <v/>
      </c>
      <c r="C8" s="76">
        <f>Calculations!G154</f>
        <v/>
      </c>
      <c r="D8" s="76">
        <f>Calculations!H154</f>
        <v/>
      </c>
      <c r="E8" s="76">
        <f>Calculations!I154</f>
        <v/>
      </c>
      <c r="F8" s="76">
        <f>Calculations!J154</f>
        <v/>
      </c>
      <c r="G8" s="76">
        <f>Calculations!K154</f>
        <v/>
      </c>
      <c r="H8" s="76">
        <f>Calculations!L154</f>
        <v/>
      </c>
      <c r="I8" s="76">
        <f>Calculations!M154</f>
        <v/>
      </c>
      <c r="J8" s="76">
        <f>Calculations!N154</f>
        <v/>
      </c>
      <c r="K8" s="76">
        <f>Calculations!O154</f>
        <v/>
      </c>
      <c r="L8" s="76">
        <f>Calculations!P154</f>
        <v/>
      </c>
      <c r="M8" s="76">
        <f>Calculations!Q154</f>
        <v/>
      </c>
      <c r="N8" s="76">
        <f>Calculations!R154</f>
        <v/>
      </c>
      <c r="O8" s="76">
        <f>Calculations!S154</f>
        <v/>
      </c>
      <c r="P8" s="76">
        <f>Calculations!T154</f>
        <v/>
      </c>
      <c r="Q8" s="76">
        <f>Calculations!U154</f>
        <v/>
      </c>
      <c r="R8" s="76">
        <f>Calculations!V154</f>
        <v/>
      </c>
      <c r="S8" s="76">
        <f>Calculations!W154</f>
        <v/>
      </c>
      <c r="T8" s="76">
        <f>Calculations!X154</f>
        <v/>
      </c>
      <c r="U8" s="76">
        <f>Calculations!Y154</f>
        <v/>
      </c>
      <c r="V8" s="76">
        <f>Calculations!Z154</f>
        <v/>
      </c>
      <c r="W8" s="76">
        <f>Calculations!AA154</f>
        <v/>
      </c>
      <c r="X8" s="76">
        <f>Calculations!AB154</f>
        <v/>
      </c>
      <c r="Y8" s="76">
        <f>Calculations!AC154</f>
        <v/>
      </c>
      <c r="Z8" s="76">
        <f>Calculations!AD154</f>
        <v/>
      </c>
      <c r="AA8" s="76">
        <f>Calculations!AE154</f>
        <v/>
      </c>
      <c r="AB8" s="76">
        <f>Calculations!AF154</f>
        <v/>
      </c>
    </row>
    <row r="9">
      <c r="A9" s="1" t="inlineStr">
        <is>
          <t>heavy or residual fuel oil (BTU)</t>
        </is>
      </c>
      <c r="B9" s="76">
        <f>Calculations!F155</f>
        <v/>
      </c>
      <c r="C9" s="76">
        <f>Calculations!G155</f>
        <v/>
      </c>
      <c r="D9" s="76">
        <f>Calculations!H155</f>
        <v/>
      </c>
      <c r="E9" s="76">
        <f>Calculations!I155</f>
        <v/>
      </c>
      <c r="F9" s="76">
        <f>Calculations!J155</f>
        <v/>
      </c>
      <c r="G9" s="76">
        <f>Calculations!K155</f>
        <v/>
      </c>
      <c r="H9" s="76">
        <f>Calculations!L155</f>
        <v/>
      </c>
      <c r="I9" s="76">
        <f>Calculations!M155</f>
        <v/>
      </c>
      <c r="J9" s="76">
        <f>Calculations!N155</f>
        <v/>
      </c>
      <c r="K9" s="76">
        <f>Calculations!O155</f>
        <v/>
      </c>
      <c r="L9" s="76">
        <f>Calculations!P155</f>
        <v/>
      </c>
      <c r="M9" s="76">
        <f>Calculations!Q155</f>
        <v/>
      </c>
      <c r="N9" s="76">
        <f>Calculations!R155</f>
        <v/>
      </c>
      <c r="O9" s="76">
        <f>Calculations!S155</f>
        <v/>
      </c>
      <c r="P9" s="76">
        <f>Calculations!T155</f>
        <v/>
      </c>
      <c r="Q9" s="76">
        <f>Calculations!U155</f>
        <v/>
      </c>
      <c r="R9" s="76">
        <f>Calculations!V155</f>
        <v/>
      </c>
      <c r="S9" s="76">
        <f>Calculations!W155</f>
        <v/>
      </c>
      <c r="T9" s="76">
        <f>Calculations!X155</f>
        <v/>
      </c>
      <c r="U9" s="76">
        <f>Calculations!Y155</f>
        <v/>
      </c>
      <c r="V9" s="76">
        <f>Calculations!Z155</f>
        <v/>
      </c>
      <c r="W9" s="76">
        <f>Calculations!AA155</f>
        <v/>
      </c>
      <c r="X9" s="76">
        <f>Calculations!AB155</f>
        <v/>
      </c>
      <c r="Y9" s="76">
        <f>Calculations!AC155</f>
        <v/>
      </c>
      <c r="Z9" s="76">
        <f>Calculations!AD155</f>
        <v/>
      </c>
      <c r="AA9" s="76">
        <f>Calculations!AE155</f>
        <v/>
      </c>
      <c r="AB9" s="76">
        <f>Calculations!AF155</f>
        <v/>
      </c>
    </row>
    <row r="10">
      <c r="A10" s="1" t="inlineStr">
        <is>
          <t>LPG propane or butane (BTU)</t>
        </is>
      </c>
      <c r="B10" s="76">
        <f>Calculations!F156</f>
        <v/>
      </c>
      <c r="C10" s="76">
        <f>Calculations!G156</f>
        <v/>
      </c>
      <c r="D10" s="76">
        <f>Calculations!H156</f>
        <v/>
      </c>
      <c r="E10" s="76">
        <f>Calculations!I156</f>
        <v/>
      </c>
      <c r="F10" s="76">
        <f>Calculations!J156</f>
        <v/>
      </c>
      <c r="G10" s="76">
        <f>Calculations!K156</f>
        <v/>
      </c>
      <c r="H10" s="76">
        <f>Calculations!L156</f>
        <v/>
      </c>
      <c r="I10" s="76">
        <f>Calculations!M156</f>
        <v/>
      </c>
      <c r="J10" s="76">
        <f>Calculations!N156</f>
        <v/>
      </c>
      <c r="K10" s="76">
        <f>Calculations!O156</f>
        <v/>
      </c>
      <c r="L10" s="76">
        <f>Calculations!P156</f>
        <v/>
      </c>
      <c r="M10" s="76">
        <f>Calculations!Q156</f>
        <v/>
      </c>
      <c r="N10" s="76">
        <f>Calculations!R156</f>
        <v/>
      </c>
      <c r="O10" s="76">
        <f>Calculations!S156</f>
        <v/>
      </c>
      <c r="P10" s="76">
        <f>Calculations!T156</f>
        <v/>
      </c>
      <c r="Q10" s="76">
        <f>Calculations!U156</f>
        <v/>
      </c>
      <c r="R10" s="76">
        <f>Calculations!V156</f>
        <v/>
      </c>
      <c r="S10" s="76">
        <f>Calculations!W156</f>
        <v/>
      </c>
      <c r="T10" s="76">
        <f>Calculations!X156</f>
        <v/>
      </c>
      <c r="U10" s="76">
        <f>Calculations!Y156</f>
        <v/>
      </c>
      <c r="V10" s="76">
        <f>Calculations!Z156</f>
        <v/>
      </c>
      <c r="W10" s="76">
        <f>Calculations!AA156</f>
        <v/>
      </c>
      <c r="X10" s="76">
        <f>Calculations!AB156</f>
        <v/>
      </c>
      <c r="Y10" s="76">
        <f>Calculations!AC156</f>
        <v/>
      </c>
      <c r="Z10" s="76">
        <f>Calculations!AD156</f>
        <v/>
      </c>
      <c r="AA10" s="76">
        <f>Calculations!AE156</f>
        <v/>
      </c>
      <c r="AB10" s="76">
        <f>Calculations!AF156</f>
        <v/>
      </c>
    </row>
    <row r="11">
      <c r="A11" s="1" t="inlineStr">
        <is>
          <t>hydrogen (BTU)</t>
        </is>
      </c>
      <c r="B11" s="76">
        <f>Calculations!F157</f>
        <v/>
      </c>
      <c r="C11" s="76">
        <f>Calculations!G157</f>
        <v/>
      </c>
      <c r="D11" s="76">
        <f>Calculations!H157</f>
        <v/>
      </c>
      <c r="E11" s="76">
        <f>Calculations!I157</f>
        <v/>
      </c>
      <c r="F11" s="76">
        <f>Calculations!J157</f>
        <v/>
      </c>
      <c r="G11" s="76">
        <f>Calculations!K157</f>
        <v/>
      </c>
      <c r="H11" s="76">
        <f>Calculations!L157</f>
        <v/>
      </c>
      <c r="I11" s="76">
        <f>Calculations!M157</f>
        <v/>
      </c>
      <c r="J11" s="76">
        <f>Calculations!N157</f>
        <v/>
      </c>
      <c r="K11" s="76">
        <f>Calculations!O157</f>
        <v/>
      </c>
      <c r="L11" s="76">
        <f>Calculations!P157</f>
        <v/>
      </c>
      <c r="M11" s="76">
        <f>Calculations!Q157</f>
        <v/>
      </c>
      <c r="N11" s="76">
        <f>Calculations!R157</f>
        <v/>
      </c>
      <c r="O11" s="76">
        <f>Calculations!S157</f>
        <v/>
      </c>
      <c r="P11" s="76">
        <f>Calculations!T157</f>
        <v/>
      </c>
      <c r="Q11" s="76">
        <f>Calculations!U157</f>
        <v/>
      </c>
      <c r="R11" s="76">
        <f>Calculations!V157</f>
        <v/>
      </c>
      <c r="S11" s="76">
        <f>Calculations!W157</f>
        <v/>
      </c>
      <c r="T11" s="76">
        <f>Calculations!X157</f>
        <v/>
      </c>
      <c r="U11" s="76">
        <f>Calculations!Y157</f>
        <v/>
      </c>
      <c r="V11" s="76">
        <f>Calculations!Z157</f>
        <v/>
      </c>
      <c r="W11" s="76">
        <f>Calculations!AA157</f>
        <v/>
      </c>
      <c r="X11" s="76">
        <f>Calculations!AB157</f>
        <v/>
      </c>
      <c r="Y11" s="76">
        <f>Calculations!AC157</f>
        <v/>
      </c>
      <c r="Z11" s="76">
        <f>Calculations!AD157</f>
        <v/>
      </c>
      <c r="AA11" s="76">
        <f>Calculations!AE157</f>
        <v/>
      </c>
      <c r="AB11" s="76">
        <f>Calculations!AF157</f>
        <v/>
      </c>
    </row>
  </sheetData>
  <pageMargins left="0.7" right="0.7" top="0.75" bottom="0.75" header="0.3" footer="0.3"/>
  <pageSetup orientation="portrait" horizontalDpi="1200" verticalDpi="1200"/>
</worksheet>
</file>

<file path=xl/worksheets/sheet25.xml><?xml version="1.0" encoding="utf-8"?>
<worksheet xmlns="http://schemas.openxmlformats.org/spreadsheetml/2006/main">
  <sheetPr>
    <tabColor theme="3"/>
    <outlinePr summaryBelow="1" summaryRight="1"/>
    <pageSetUpPr/>
  </sheetPr>
  <dimension ref="A1:AD11"/>
  <sheetViews>
    <sheetView workbookViewId="0">
      <selection activeCell="A1" sqref="A1"/>
    </sheetView>
  </sheetViews>
  <sheetFormatPr baseColWidth="8" defaultRowHeight="14.25"/>
  <cols>
    <col width="29.796875" customWidth="1" min="1" max="1"/>
    <col width="9.53125" bestFit="1" customWidth="1" min="2" max="28"/>
  </cols>
  <sheetData>
    <row r="1">
      <c r="A1" s="1" t="inlineStr">
        <is>
          <t>Year</t>
        </is>
      </c>
      <c r="B1" s="1" t="n">
        <v>2024</v>
      </c>
      <c r="C1" s="1" t="n">
        <v>2025</v>
      </c>
      <c r="D1" s="1" t="n">
        <v>2026</v>
      </c>
      <c r="E1" s="1" t="n">
        <v>2027</v>
      </c>
      <c r="F1" s="1" t="n">
        <v>2028</v>
      </c>
      <c r="G1" s="1" t="n">
        <v>2029</v>
      </c>
      <c r="H1" s="1" t="n">
        <v>2030</v>
      </c>
      <c r="I1" s="1" t="n">
        <v>2031</v>
      </c>
      <c r="J1" s="1" t="n">
        <v>2032</v>
      </c>
      <c r="K1" s="1" t="n">
        <v>2033</v>
      </c>
      <c r="L1" s="1" t="n">
        <v>2034</v>
      </c>
      <c r="M1" s="1" t="n">
        <v>2035</v>
      </c>
      <c r="N1" s="1" t="n">
        <v>2036</v>
      </c>
      <c r="O1" s="1" t="n">
        <v>2037</v>
      </c>
      <c r="P1" s="1" t="n">
        <v>2038</v>
      </c>
      <c r="Q1" s="1" t="n">
        <v>2039</v>
      </c>
      <c r="R1" s="1" t="n">
        <v>2040</v>
      </c>
      <c r="S1" s="1" t="n">
        <v>2041</v>
      </c>
      <c r="T1" s="1" t="n">
        <v>2042</v>
      </c>
      <c r="U1" s="1" t="n">
        <v>2043</v>
      </c>
      <c r="V1" s="1" t="n">
        <v>2044</v>
      </c>
      <c r="W1" s="1" t="n">
        <v>2045</v>
      </c>
      <c r="X1" s="1" t="n">
        <v>2046</v>
      </c>
      <c r="Y1" s="1" t="n">
        <v>2047</v>
      </c>
      <c r="Z1" s="1" t="n">
        <v>2048</v>
      </c>
      <c r="AA1" s="1" t="n">
        <v>2049</v>
      </c>
      <c r="AB1" s="1" t="n">
        <v>2050</v>
      </c>
      <c r="AC1" s="1" t="n"/>
      <c r="AD1" s="1" t="n"/>
    </row>
    <row r="2">
      <c r="A2" s="1" t="inlineStr">
        <is>
          <t>electricity (BTU)</t>
        </is>
      </c>
      <c r="B2" s="76">
        <f>Calculations!F161</f>
        <v/>
      </c>
      <c r="C2" s="76">
        <f>Calculations!G161</f>
        <v/>
      </c>
      <c r="D2" s="76">
        <f>Calculations!H161</f>
        <v/>
      </c>
      <c r="E2" s="76">
        <f>Calculations!I161</f>
        <v/>
      </c>
      <c r="F2" s="76">
        <f>Calculations!J161</f>
        <v/>
      </c>
      <c r="G2" s="76">
        <f>Calculations!K161</f>
        <v/>
      </c>
      <c r="H2" s="76">
        <f>Calculations!L161</f>
        <v/>
      </c>
      <c r="I2" s="76">
        <f>Calculations!M161</f>
        <v/>
      </c>
      <c r="J2" s="76">
        <f>Calculations!N161</f>
        <v/>
      </c>
      <c r="K2" s="76">
        <f>Calculations!O161</f>
        <v/>
      </c>
      <c r="L2" s="76">
        <f>Calculations!P161</f>
        <v/>
      </c>
      <c r="M2" s="76">
        <f>Calculations!Q161</f>
        <v/>
      </c>
      <c r="N2" s="76">
        <f>Calculations!R161</f>
        <v/>
      </c>
      <c r="O2" s="76">
        <f>Calculations!S161</f>
        <v/>
      </c>
      <c r="P2" s="76">
        <f>Calculations!T161</f>
        <v/>
      </c>
      <c r="Q2" s="76">
        <f>Calculations!U161</f>
        <v/>
      </c>
      <c r="R2" s="76">
        <f>Calculations!V161</f>
        <v/>
      </c>
      <c r="S2" s="76">
        <f>Calculations!W161</f>
        <v/>
      </c>
      <c r="T2" s="76">
        <f>Calculations!X161</f>
        <v/>
      </c>
      <c r="U2" s="76">
        <f>Calculations!Y161</f>
        <v/>
      </c>
      <c r="V2" s="76">
        <f>Calculations!Z161</f>
        <v/>
      </c>
      <c r="W2" s="76">
        <f>Calculations!AA161</f>
        <v/>
      </c>
      <c r="X2" s="76">
        <f>Calculations!AB161</f>
        <v/>
      </c>
      <c r="Y2" s="76">
        <f>Calculations!AC161</f>
        <v/>
      </c>
      <c r="Z2" s="76">
        <f>Calculations!AD161</f>
        <v/>
      </c>
      <c r="AA2" s="76">
        <f>Calculations!AE161</f>
        <v/>
      </c>
      <c r="AB2" s="76">
        <f>Calculations!AF161</f>
        <v/>
      </c>
    </row>
    <row r="3">
      <c r="A3" s="1" t="inlineStr">
        <is>
          <t>coal (BTU)</t>
        </is>
      </c>
      <c r="B3" s="76">
        <f>Calculations!F162</f>
        <v/>
      </c>
      <c r="C3" s="76">
        <f>Calculations!G162</f>
        <v/>
      </c>
      <c r="D3" s="76">
        <f>Calculations!H162</f>
        <v/>
      </c>
      <c r="E3" s="76">
        <f>Calculations!I162</f>
        <v/>
      </c>
      <c r="F3" s="76">
        <f>Calculations!J162</f>
        <v/>
      </c>
      <c r="G3" s="76">
        <f>Calculations!K162</f>
        <v/>
      </c>
      <c r="H3" s="76">
        <f>Calculations!L162</f>
        <v/>
      </c>
      <c r="I3" s="76">
        <f>Calculations!M162</f>
        <v/>
      </c>
      <c r="J3" s="76">
        <f>Calculations!N162</f>
        <v/>
      </c>
      <c r="K3" s="76">
        <f>Calculations!O162</f>
        <v/>
      </c>
      <c r="L3" s="76">
        <f>Calculations!P162</f>
        <v/>
      </c>
      <c r="M3" s="76">
        <f>Calculations!Q162</f>
        <v/>
      </c>
      <c r="N3" s="76">
        <f>Calculations!R162</f>
        <v/>
      </c>
      <c r="O3" s="76">
        <f>Calculations!S162</f>
        <v/>
      </c>
      <c r="P3" s="76">
        <f>Calculations!T162</f>
        <v/>
      </c>
      <c r="Q3" s="76">
        <f>Calculations!U162</f>
        <v/>
      </c>
      <c r="R3" s="76">
        <f>Calculations!V162</f>
        <v/>
      </c>
      <c r="S3" s="76">
        <f>Calculations!W162</f>
        <v/>
      </c>
      <c r="T3" s="76">
        <f>Calculations!X162</f>
        <v/>
      </c>
      <c r="U3" s="76">
        <f>Calculations!Y162</f>
        <v/>
      </c>
      <c r="V3" s="76">
        <f>Calculations!Z162</f>
        <v/>
      </c>
      <c r="W3" s="76">
        <f>Calculations!AA162</f>
        <v/>
      </c>
      <c r="X3" s="76">
        <f>Calculations!AB162</f>
        <v/>
      </c>
      <c r="Y3" s="76">
        <f>Calculations!AC162</f>
        <v/>
      </c>
      <c r="Z3" s="76">
        <f>Calculations!AD162</f>
        <v/>
      </c>
      <c r="AA3" s="76">
        <f>Calculations!AE162</f>
        <v/>
      </c>
      <c r="AB3" s="76">
        <f>Calculations!AF162</f>
        <v/>
      </c>
    </row>
    <row r="4">
      <c r="A4" s="1" t="inlineStr">
        <is>
          <t>natural gas (BTU)</t>
        </is>
      </c>
      <c r="B4" s="76">
        <f>Calculations!F163</f>
        <v/>
      </c>
      <c r="C4" s="76">
        <f>Calculations!G163</f>
        <v/>
      </c>
      <c r="D4" s="76">
        <f>Calculations!H163</f>
        <v/>
      </c>
      <c r="E4" s="76">
        <f>Calculations!I163</f>
        <v/>
      </c>
      <c r="F4" s="76">
        <f>Calculations!J163</f>
        <v/>
      </c>
      <c r="G4" s="76">
        <f>Calculations!K163</f>
        <v/>
      </c>
      <c r="H4" s="76">
        <f>Calculations!L163</f>
        <v/>
      </c>
      <c r="I4" s="76">
        <f>Calculations!M163</f>
        <v/>
      </c>
      <c r="J4" s="76">
        <f>Calculations!N163</f>
        <v/>
      </c>
      <c r="K4" s="76">
        <f>Calculations!O163</f>
        <v/>
      </c>
      <c r="L4" s="76">
        <f>Calculations!P163</f>
        <v/>
      </c>
      <c r="M4" s="76">
        <f>Calculations!Q163</f>
        <v/>
      </c>
      <c r="N4" s="76">
        <f>Calculations!R163</f>
        <v/>
      </c>
      <c r="O4" s="76">
        <f>Calculations!S163</f>
        <v/>
      </c>
      <c r="P4" s="76">
        <f>Calculations!T163</f>
        <v/>
      </c>
      <c r="Q4" s="76">
        <f>Calculations!U163</f>
        <v/>
      </c>
      <c r="R4" s="76">
        <f>Calculations!V163</f>
        <v/>
      </c>
      <c r="S4" s="76">
        <f>Calculations!W163</f>
        <v/>
      </c>
      <c r="T4" s="76">
        <f>Calculations!X163</f>
        <v/>
      </c>
      <c r="U4" s="76">
        <f>Calculations!Y163</f>
        <v/>
      </c>
      <c r="V4" s="76">
        <f>Calculations!Z163</f>
        <v/>
      </c>
      <c r="W4" s="76">
        <f>Calculations!AA163</f>
        <v/>
      </c>
      <c r="X4" s="76">
        <f>Calculations!AB163</f>
        <v/>
      </c>
      <c r="Y4" s="76">
        <f>Calculations!AC163</f>
        <v/>
      </c>
      <c r="Z4" s="76">
        <f>Calculations!AD163</f>
        <v/>
      </c>
      <c r="AA4" s="76">
        <f>Calculations!AE163</f>
        <v/>
      </c>
      <c r="AB4" s="76">
        <f>Calculations!AF163</f>
        <v/>
      </c>
    </row>
    <row r="5">
      <c r="A5" s="1" t="inlineStr">
        <is>
          <t>petroleum diesel (BTU)</t>
        </is>
      </c>
      <c r="B5" s="76">
        <f>Calculations!F164</f>
        <v/>
      </c>
      <c r="C5" s="76">
        <f>Calculations!G164</f>
        <v/>
      </c>
      <c r="D5" s="76">
        <f>Calculations!H164</f>
        <v/>
      </c>
      <c r="E5" s="76">
        <f>Calculations!I164</f>
        <v/>
      </c>
      <c r="F5" s="76">
        <f>Calculations!J164</f>
        <v/>
      </c>
      <c r="G5" s="76">
        <f>Calculations!K164</f>
        <v/>
      </c>
      <c r="H5" s="76">
        <f>Calculations!L164</f>
        <v/>
      </c>
      <c r="I5" s="76">
        <f>Calculations!M164</f>
        <v/>
      </c>
      <c r="J5" s="76">
        <f>Calculations!N164</f>
        <v/>
      </c>
      <c r="K5" s="76">
        <f>Calculations!O164</f>
        <v/>
      </c>
      <c r="L5" s="76">
        <f>Calculations!P164</f>
        <v/>
      </c>
      <c r="M5" s="76">
        <f>Calculations!Q164</f>
        <v/>
      </c>
      <c r="N5" s="76">
        <f>Calculations!R164</f>
        <v/>
      </c>
      <c r="O5" s="76">
        <f>Calculations!S164</f>
        <v/>
      </c>
      <c r="P5" s="76">
        <f>Calculations!T164</f>
        <v/>
      </c>
      <c r="Q5" s="76">
        <f>Calculations!U164</f>
        <v/>
      </c>
      <c r="R5" s="76">
        <f>Calculations!V164</f>
        <v/>
      </c>
      <c r="S5" s="76">
        <f>Calculations!W164</f>
        <v/>
      </c>
      <c r="T5" s="76">
        <f>Calculations!X164</f>
        <v/>
      </c>
      <c r="U5" s="76">
        <f>Calculations!Y164</f>
        <v/>
      </c>
      <c r="V5" s="76">
        <f>Calculations!Z164</f>
        <v/>
      </c>
      <c r="W5" s="76">
        <f>Calculations!AA164</f>
        <v/>
      </c>
      <c r="X5" s="76">
        <f>Calculations!AB164</f>
        <v/>
      </c>
      <c r="Y5" s="76">
        <f>Calculations!AC164</f>
        <v/>
      </c>
      <c r="Z5" s="76">
        <f>Calculations!AD164</f>
        <v/>
      </c>
      <c r="AA5" s="76">
        <f>Calculations!AE164</f>
        <v/>
      </c>
      <c r="AB5" s="76">
        <f>Calculations!AF164</f>
        <v/>
      </c>
    </row>
    <row r="6">
      <c r="A6" s="1" t="inlineStr">
        <is>
          <t>heat (BTU)</t>
        </is>
      </c>
      <c r="B6" s="76">
        <f>Calculations!F165</f>
        <v/>
      </c>
      <c r="C6" s="76">
        <f>Calculations!G165</f>
        <v/>
      </c>
      <c r="D6" s="76">
        <f>Calculations!H165</f>
        <v/>
      </c>
      <c r="E6" s="76">
        <f>Calculations!I165</f>
        <v/>
      </c>
      <c r="F6" s="76">
        <f>Calculations!J165</f>
        <v/>
      </c>
      <c r="G6" s="76">
        <f>Calculations!K165</f>
        <v/>
      </c>
      <c r="H6" s="76">
        <f>Calculations!L165</f>
        <v/>
      </c>
      <c r="I6" s="76">
        <f>Calculations!M165</f>
        <v/>
      </c>
      <c r="J6" s="76">
        <f>Calculations!N165</f>
        <v/>
      </c>
      <c r="K6" s="76">
        <f>Calculations!O165</f>
        <v/>
      </c>
      <c r="L6" s="76">
        <f>Calculations!P165</f>
        <v/>
      </c>
      <c r="M6" s="76">
        <f>Calculations!Q165</f>
        <v/>
      </c>
      <c r="N6" s="76">
        <f>Calculations!R165</f>
        <v/>
      </c>
      <c r="O6" s="76">
        <f>Calculations!S165</f>
        <v/>
      </c>
      <c r="P6" s="76">
        <f>Calculations!T165</f>
        <v/>
      </c>
      <c r="Q6" s="76">
        <f>Calculations!U165</f>
        <v/>
      </c>
      <c r="R6" s="76">
        <f>Calculations!V165</f>
        <v/>
      </c>
      <c r="S6" s="76">
        <f>Calculations!W165</f>
        <v/>
      </c>
      <c r="T6" s="76">
        <f>Calculations!X165</f>
        <v/>
      </c>
      <c r="U6" s="76">
        <f>Calculations!Y165</f>
        <v/>
      </c>
      <c r="V6" s="76">
        <f>Calculations!Z165</f>
        <v/>
      </c>
      <c r="W6" s="76">
        <f>Calculations!AA165</f>
        <v/>
      </c>
      <c r="X6" s="76">
        <f>Calculations!AB165</f>
        <v/>
      </c>
      <c r="Y6" s="76">
        <f>Calculations!AC165</f>
        <v/>
      </c>
      <c r="Z6" s="76">
        <f>Calculations!AD165</f>
        <v/>
      </c>
      <c r="AA6" s="76">
        <f>Calculations!AE165</f>
        <v/>
      </c>
      <c r="AB6" s="76">
        <f>Calculations!AF165</f>
        <v/>
      </c>
    </row>
    <row r="7">
      <c r="A7" s="1" t="inlineStr">
        <is>
          <t>biomass (BTU)</t>
        </is>
      </c>
      <c r="B7" s="76">
        <f>Calculations!F166</f>
        <v/>
      </c>
      <c r="C7" s="76">
        <f>Calculations!G166</f>
        <v/>
      </c>
      <c r="D7" s="76">
        <f>Calculations!H166</f>
        <v/>
      </c>
      <c r="E7" s="76">
        <f>Calculations!I166</f>
        <v/>
      </c>
      <c r="F7" s="76">
        <f>Calculations!J166</f>
        <v/>
      </c>
      <c r="G7" s="76">
        <f>Calculations!K166</f>
        <v/>
      </c>
      <c r="H7" s="76">
        <f>Calculations!L166</f>
        <v/>
      </c>
      <c r="I7" s="76">
        <f>Calculations!M166</f>
        <v/>
      </c>
      <c r="J7" s="76">
        <f>Calculations!N166</f>
        <v/>
      </c>
      <c r="K7" s="76">
        <f>Calculations!O166</f>
        <v/>
      </c>
      <c r="L7" s="76">
        <f>Calculations!P166</f>
        <v/>
      </c>
      <c r="M7" s="76">
        <f>Calculations!Q166</f>
        <v/>
      </c>
      <c r="N7" s="76">
        <f>Calculations!R166</f>
        <v/>
      </c>
      <c r="O7" s="76">
        <f>Calculations!S166</f>
        <v/>
      </c>
      <c r="P7" s="76">
        <f>Calculations!T166</f>
        <v/>
      </c>
      <c r="Q7" s="76">
        <f>Calculations!U166</f>
        <v/>
      </c>
      <c r="R7" s="76">
        <f>Calculations!V166</f>
        <v/>
      </c>
      <c r="S7" s="76">
        <f>Calculations!W166</f>
        <v/>
      </c>
      <c r="T7" s="76">
        <f>Calculations!X166</f>
        <v/>
      </c>
      <c r="U7" s="76">
        <f>Calculations!Y166</f>
        <v/>
      </c>
      <c r="V7" s="76">
        <f>Calculations!Z166</f>
        <v/>
      </c>
      <c r="W7" s="76">
        <f>Calculations!AA166</f>
        <v/>
      </c>
      <c r="X7" s="76">
        <f>Calculations!AB166</f>
        <v/>
      </c>
      <c r="Y7" s="76">
        <f>Calculations!AC166</f>
        <v/>
      </c>
      <c r="Z7" s="76">
        <f>Calculations!AD166</f>
        <v/>
      </c>
      <c r="AA7" s="76">
        <f>Calculations!AE166</f>
        <v/>
      </c>
      <c r="AB7" s="76">
        <f>Calculations!AF166</f>
        <v/>
      </c>
    </row>
    <row r="8">
      <c r="A8" s="1" t="inlineStr">
        <is>
          <t>kerosene (BTU)</t>
        </is>
      </c>
      <c r="B8" s="76">
        <f>Calculations!F167</f>
        <v/>
      </c>
      <c r="C8" s="76">
        <f>Calculations!G167</f>
        <v/>
      </c>
      <c r="D8" s="76">
        <f>Calculations!H167</f>
        <v/>
      </c>
      <c r="E8" s="76">
        <f>Calculations!I167</f>
        <v/>
      </c>
      <c r="F8" s="76">
        <f>Calculations!J167</f>
        <v/>
      </c>
      <c r="G8" s="76">
        <f>Calculations!K167</f>
        <v/>
      </c>
      <c r="H8" s="76">
        <f>Calculations!L167</f>
        <v/>
      </c>
      <c r="I8" s="76">
        <f>Calculations!M167</f>
        <v/>
      </c>
      <c r="J8" s="76">
        <f>Calculations!N167</f>
        <v/>
      </c>
      <c r="K8" s="76">
        <f>Calculations!O167</f>
        <v/>
      </c>
      <c r="L8" s="76">
        <f>Calculations!P167</f>
        <v/>
      </c>
      <c r="M8" s="76">
        <f>Calculations!Q167</f>
        <v/>
      </c>
      <c r="N8" s="76">
        <f>Calculations!R167</f>
        <v/>
      </c>
      <c r="O8" s="76">
        <f>Calculations!S167</f>
        <v/>
      </c>
      <c r="P8" s="76">
        <f>Calculations!T167</f>
        <v/>
      </c>
      <c r="Q8" s="76">
        <f>Calculations!U167</f>
        <v/>
      </c>
      <c r="R8" s="76">
        <f>Calculations!V167</f>
        <v/>
      </c>
      <c r="S8" s="76">
        <f>Calculations!W167</f>
        <v/>
      </c>
      <c r="T8" s="76">
        <f>Calculations!X167</f>
        <v/>
      </c>
      <c r="U8" s="76">
        <f>Calculations!Y167</f>
        <v/>
      </c>
      <c r="V8" s="76">
        <f>Calculations!Z167</f>
        <v/>
      </c>
      <c r="W8" s="76">
        <f>Calculations!AA167</f>
        <v/>
      </c>
      <c r="X8" s="76">
        <f>Calculations!AB167</f>
        <v/>
      </c>
      <c r="Y8" s="76">
        <f>Calculations!AC167</f>
        <v/>
      </c>
      <c r="Z8" s="76">
        <f>Calculations!AD167</f>
        <v/>
      </c>
      <c r="AA8" s="76">
        <f>Calculations!AE167</f>
        <v/>
      </c>
      <c r="AB8" s="76">
        <f>Calculations!AF167</f>
        <v/>
      </c>
    </row>
    <row r="9">
      <c r="A9" s="1" t="inlineStr">
        <is>
          <t>heavy or residual fuel oil (BTU)</t>
        </is>
      </c>
      <c r="B9" s="76">
        <f>Calculations!F168</f>
        <v/>
      </c>
      <c r="C9" s="76">
        <f>Calculations!G168</f>
        <v/>
      </c>
      <c r="D9" s="76">
        <f>Calculations!H168</f>
        <v/>
      </c>
      <c r="E9" s="76">
        <f>Calculations!I168</f>
        <v/>
      </c>
      <c r="F9" s="76">
        <f>Calculations!J168</f>
        <v/>
      </c>
      <c r="G9" s="76">
        <f>Calculations!K168</f>
        <v/>
      </c>
      <c r="H9" s="76">
        <f>Calculations!L168</f>
        <v/>
      </c>
      <c r="I9" s="76">
        <f>Calculations!M168</f>
        <v/>
      </c>
      <c r="J9" s="76">
        <f>Calculations!N168</f>
        <v/>
      </c>
      <c r="K9" s="76">
        <f>Calculations!O168</f>
        <v/>
      </c>
      <c r="L9" s="76">
        <f>Calculations!P168</f>
        <v/>
      </c>
      <c r="M9" s="76">
        <f>Calculations!Q168</f>
        <v/>
      </c>
      <c r="N9" s="76">
        <f>Calculations!R168</f>
        <v/>
      </c>
      <c r="O9" s="76">
        <f>Calculations!S168</f>
        <v/>
      </c>
      <c r="P9" s="76">
        <f>Calculations!T168</f>
        <v/>
      </c>
      <c r="Q9" s="76">
        <f>Calculations!U168</f>
        <v/>
      </c>
      <c r="R9" s="76">
        <f>Calculations!V168</f>
        <v/>
      </c>
      <c r="S9" s="76">
        <f>Calculations!W168</f>
        <v/>
      </c>
      <c r="T9" s="76">
        <f>Calculations!X168</f>
        <v/>
      </c>
      <c r="U9" s="76">
        <f>Calculations!Y168</f>
        <v/>
      </c>
      <c r="V9" s="76">
        <f>Calculations!Z168</f>
        <v/>
      </c>
      <c r="W9" s="76">
        <f>Calculations!AA168</f>
        <v/>
      </c>
      <c r="X9" s="76">
        <f>Calculations!AB168</f>
        <v/>
      </c>
      <c r="Y9" s="76">
        <f>Calculations!AC168</f>
        <v/>
      </c>
      <c r="Z9" s="76">
        <f>Calculations!AD168</f>
        <v/>
      </c>
      <c r="AA9" s="76">
        <f>Calculations!AE168</f>
        <v/>
      </c>
      <c r="AB9" s="76">
        <f>Calculations!AF168</f>
        <v/>
      </c>
    </row>
    <row r="10">
      <c r="A10" s="1" t="inlineStr">
        <is>
          <t>LPG propane or butane (BTU)</t>
        </is>
      </c>
      <c r="B10" s="76">
        <f>Calculations!F169</f>
        <v/>
      </c>
      <c r="C10" s="76">
        <f>Calculations!G169</f>
        <v/>
      </c>
      <c r="D10" s="76">
        <f>Calculations!H169</f>
        <v/>
      </c>
      <c r="E10" s="76">
        <f>Calculations!I169</f>
        <v/>
      </c>
      <c r="F10" s="76">
        <f>Calculations!J169</f>
        <v/>
      </c>
      <c r="G10" s="76">
        <f>Calculations!K169</f>
        <v/>
      </c>
      <c r="H10" s="76">
        <f>Calculations!L169</f>
        <v/>
      </c>
      <c r="I10" s="76">
        <f>Calculations!M169</f>
        <v/>
      </c>
      <c r="J10" s="76">
        <f>Calculations!N169</f>
        <v/>
      </c>
      <c r="K10" s="76">
        <f>Calculations!O169</f>
        <v/>
      </c>
      <c r="L10" s="76">
        <f>Calculations!P169</f>
        <v/>
      </c>
      <c r="M10" s="76">
        <f>Calculations!Q169</f>
        <v/>
      </c>
      <c r="N10" s="76">
        <f>Calculations!R169</f>
        <v/>
      </c>
      <c r="O10" s="76">
        <f>Calculations!S169</f>
        <v/>
      </c>
      <c r="P10" s="76">
        <f>Calculations!T169</f>
        <v/>
      </c>
      <c r="Q10" s="76">
        <f>Calculations!U169</f>
        <v/>
      </c>
      <c r="R10" s="76">
        <f>Calculations!V169</f>
        <v/>
      </c>
      <c r="S10" s="76">
        <f>Calculations!W169</f>
        <v/>
      </c>
      <c r="T10" s="76">
        <f>Calculations!X169</f>
        <v/>
      </c>
      <c r="U10" s="76">
        <f>Calculations!Y169</f>
        <v/>
      </c>
      <c r="V10" s="76">
        <f>Calculations!Z169</f>
        <v/>
      </c>
      <c r="W10" s="76">
        <f>Calculations!AA169</f>
        <v/>
      </c>
      <c r="X10" s="76">
        <f>Calculations!AB169</f>
        <v/>
      </c>
      <c r="Y10" s="76">
        <f>Calculations!AC169</f>
        <v/>
      </c>
      <c r="Z10" s="76">
        <f>Calculations!AD169</f>
        <v/>
      </c>
      <c r="AA10" s="76">
        <f>Calculations!AE169</f>
        <v/>
      </c>
      <c r="AB10" s="76">
        <f>Calculations!AF169</f>
        <v/>
      </c>
    </row>
    <row r="11">
      <c r="A11" s="1" t="inlineStr">
        <is>
          <t>hydrogen (BTU)</t>
        </is>
      </c>
      <c r="B11" s="76">
        <f>Calculations!F170</f>
        <v/>
      </c>
      <c r="C11" s="76">
        <f>Calculations!G170</f>
        <v/>
      </c>
      <c r="D11" s="76">
        <f>Calculations!H170</f>
        <v/>
      </c>
      <c r="E11" s="76">
        <f>Calculations!I170</f>
        <v/>
      </c>
      <c r="F11" s="76">
        <f>Calculations!J170</f>
        <v/>
      </c>
      <c r="G11" s="76">
        <f>Calculations!K170</f>
        <v/>
      </c>
      <c r="H11" s="76">
        <f>Calculations!L170</f>
        <v/>
      </c>
      <c r="I11" s="76">
        <f>Calculations!M170</f>
        <v/>
      </c>
      <c r="J11" s="76">
        <f>Calculations!N170</f>
        <v/>
      </c>
      <c r="K11" s="76">
        <f>Calculations!O170</f>
        <v/>
      </c>
      <c r="L11" s="76">
        <f>Calculations!P170</f>
        <v/>
      </c>
      <c r="M11" s="76">
        <f>Calculations!Q170</f>
        <v/>
      </c>
      <c r="N11" s="76">
        <f>Calculations!R170</f>
        <v/>
      </c>
      <c r="O11" s="76">
        <f>Calculations!S170</f>
        <v/>
      </c>
      <c r="P11" s="76">
        <f>Calculations!T170</f>
        <v/>
      </c>
      <c r="Q11" s="76">
        <f>Calculations!U170</f>
        <v/>
      </c>
      <c r="R11" s="76">
        <f>Calculations!V170</f>
        <v/>
      </c>
      <c r="S11" s="76">
        <f>Calculations!W170</f>
        <v/>
      </c>
      <c r="T11" s="76">
        <f>Calculations!X170</f>
        <v/>
      </c>
      <c r="U11" s="76">
        <f>Calculations!Y170</f>
        <v/>
      </c>
      <c r="V11" s="76">
        <f>Calculations!Z170</f>
        <v/>
      </c>
      <c r="W11" s="76">
        <f>Calculations!AA170</f>
        <v/>
      </c>
      <c r="X11" s="76">
        <f>Calculations!AB170</f>
        <v/>
      </c>
      <c r="Y11" s="76">
        <f>Calculations!AC170</f>
        <v/>
      </c>
      <c r="Z11" s="76">
        <f>Calculations!AD170</f>
        <v/>
      </c>
      <c r="AA11" s="76">
        <f>Calculations!AE170</f>
        <v/>
      </c>
      <c r="AB11" s="76">
        <f>Calculations!AF170</f>
        <v/>
      </c>
    </row>
  </sheetData>
  <pageMargins left="0.7" right="0.7" top="0.75" bottom="0.75" header="0.3" footer="0.3"/>
  <pageSetup orientation="portrait" horizontalDpi="1200" verticalDpi="1200"/>
</worksheet>
</file>

<file path=xl/worksheets/sheet26.xml><?xml version="1.0" encoding="utf-8"?>
<worksheet xmlns="http://schemas.openxmlformats.org/spreadsheetml/2006/main">
  <sheetPr>
    <tabColor theme="3"/>
    <outlinePr summaryBelow="1" summaryRight="1"/>
    <pageSetUpPr/>
  </sheetPr>
  <dimension ref="A1:AD11"/>
  <sheetViews>
    <sheetView workbookViewId="0">
      <selection activeCell="A1" sqref="A1"/>
    </sheetView>
  </sheetViews>
  <sheetFormatPr baseColWidth="8" defaultRowHeight="14.25"/>
  <cols>
    <col width="29.796875" customWidth="1" min="1" max="1"/>
    <col width="10.19921875" customWidth="1" min="2" max="28"/>
  </cols>
  <sheetData>
    <row r="1">
      <c r="A1" s="1" t="inlineStr">
        <is>
          <t>Year</t>
        </is>
      </c>
      <c r="B1" s="1" t="n">
        <v>2024</v>
      </c>
      <c r="C1" s="1" t="n">
        <v>2025</v>
      </c>
      <c r="D1" s="1" t="n">
        <v>2026</v>
      </c>
      <c r="E1" s="1" t="n">
        <v>2027</v>
      </c>
      <c r="F1" s="1" t="n">
        <v>2028</v>
      </c>
      <c r="G1" s="1" t="n">
        <v>2029</v>
      </c>
      <c r="H1" s="1" t="n">
        <v>2030</v>
      </c>
      <c r="I1" s="1" t="n">
        <v>2031</v>
      </c>
      <c r="J1" s="1" t="n">
        <v>2032</v>
      </c>
      <c r="K1" s="1" t="n">
        <v>2033</v>
      </c>
      <c r="L1" s="1" t="n">
        <v>2034</v>
      </c>
      <c r="M1" s="1" t="n">
        <v>2035</v>
      </c>
      <c r="N1" s="1" t="n">
        <v>2036</v>
      </c>
      <c r="O1" s="1" t="n">
        <v>2037</v>
      </c>
      <c r="P1" s="1" t="n">
        <v>2038</v>
      </c>
      <c r="Q1" s="1" t="n">
        <v>2039</v>
      </c>
      <c r="R1" s="1" t="n">
        <v>2040</v>
      </c>
      <c r="S1" s="1" t="n">
        <v>2041</v>
      </c>
      <c r="T1" s="1" t="n">
        <v>2042</v>
      </c>
      <c r="U1" s="1" t="n">
        <v>2043</v>
      </c>
      <c r="V1" s="1" t="n">
        <v>2044</v>
      </c>
      <c r="W1" s="1" t="n">
        <v>2045</v>
      </c>
      <c r="X1" s="1" t="n">
        <v>2046</v>
      </c>
      <c r="Y1" s="1" t="n">
        <v>2047</v>
      </c>
      <c r="Z1" s="1" t="n">
        <v>2048</v>
      </c>
      <c r="AA1" s="1" t="n">
        <v>2049</v>
      </c>
      <c r="AB1" s="1" t="n">
        <v>2050</v>
      </c>
      <c r="AC1" s="1" t="n"/>
      <c r="AD1" s="1" t="n"/>
    </row>
    <row r="2">
      <c r="A2" s="1" t="inlineStr">
        <is>
          <t>electricity (BTU)</t>
        </is>
      </c>
      <c r="B2" s="76">
        <f>Calculations!F174</f>
        <v/>
      </c>
      <c r="C2" s="76">
        <f>Calculations!G174</f>
        <v/>
      </c>
      <c r="D2" s="76">
        <f>Calculations!H174</f>
        <v/>
      </c>
      <c r="E2" s="76">
        <f>Calculations!I174</f>
        <v/>
      </c>
      <c r="F2" s="76">
        <f>Calculations!J174</f>
        <v/>
      </c>
      <c r="G2" s="76">
        <f>Calculations!K174</f>
        <v/>
      </c>
      <c r="H2" s="76">
        <f>Calculations!L174</f>
        <v/>
      </c>
      <c r="I2" s="76">
        <f>Calculations!M174</f>
        <v/>
      </c>
      <c r="J2" s="76">
        <f>Calculations!N174</f>
        <v/>
      </c>
      <c r="K2" s="76">
        <f>Calculations!O174</f>
        <v/>
      </c>
      <c r="L2" s="76">
        <f>Calculations!P174</f>
        <v/>
      </c>
      <c r="M2" s="76">
        <f>Calculations!Q174</f>
        <v/>
      </c>
      <c r="N2" s="76">
        <f>Calculations!R174</f>
        <v/>
      </c>
      <c r="O2" s="76">
        <f>Calculations!S174</f>
        <v/>
      </c>
      <c r="P2" s="76">
        <f>Calculations!T174</f>
        <v/>
      </c>
      <c r="Q2" s="76">
        <f>Calculations!U174</f>
        <v/>
      </c>
      <c r="R2" s="76">
        <f>Calculations!V174</f>
        <v/>
      </c>
      <c r="S2" s="76">
        <f>Calculations!W174</f>
        <v/>
      </c>
      <c r="T2" s="76">
        <f>Calculations!X174</f>
        <v/>
      </c>
      <c r="U2" s="76">
        <f>Calculations!Y174</f>
        <v/>
      </c>
      <c r="V2" s="76">
        <f>Calculations!Z174</f>
        <v/>
      </c>
      <c r="W2" s="76">
        <f>Calculations!AA174</f>
        <v/>
      </c>
      <c r="X2" s="76">
        <f>Calculations!AB174</f>
        <v/>
      </c>
      <c r="Y2" s="76">
        <f>Calculations!AC174</f>
        <v/>
      </c>
      <c r="Z2" s="76">
        <f>Calculations!AD174</f>
        <v/>
      </c>
      <c r="AA2" s="76">
        <f>Calculations!AE174</f>
        <v/>
      </c>
      <c r="AB2" s="76">
        <f>Calculations!AF174</f>
        <v/>
      </c>
    </row>
    <row r="3">
      <c r="A3" s="1" t="inlineStr">
        <is>
          <t>coal (BTU)</t>
        </is>
      </c>
      <c r="B3" s="76">
        <f>Calculations!F175</f>
        <v/>
      </c>
      <c r="C3" s="76">
        <f>Calculations!G175</f>
        <v/>
      </c>
      <c r="D3" s="76">
        <f>Calculations!H175</f>
        <v/>
      </c>
      <c r="E3" s="76">
        <f>Calculations!I175</f>
        <v/>
      </c>
      <c r="F3" s="76">
        <f>Calculations!J175</f>
        <v/>
      </c>
      <c r="G3" s="76">
        <f>Calculations!K175</f>
        <v/>
      </c>
      <c r="H3" s="76">
        <f>Calculations!L175</f>
        <v/>
      </c>
      <c r="I3" s="76">
        <f>Calculations!M175</f>
        <v/>
      </c>
      <c r="J3" s="76">
        <f>Calculations!N175</f>
        <v/>
      </c>
      <c r="K3" s="76">
        <f>Calculations!O175</f>
        <v/>
      </c>
      <c r="L3" s="76">
        <f>Calculations!P175</f>
        <v/>
      </c>
      <c r="M3" s="76">
        <f>Calculations!Q175</f>
        <v/>
      </c>
      <c r="N3" s="76">
        <f>Calculations!R175</f>
        <v/>
      </c>
      <c r="O3" s="76">
        <f>Calculations!S175</f>
        <v/>
      </c>
      <c r="P3" s="76">
        <f>Calculations!T175</f>
        <v/>
      </c>
      <c r="Q3" s="76">
        <f>Calculations!U175</f>
        <v/>
      </c>
      <c r="R3" s="76">
        <f>Calculations!V175</f>
        <v/>
      </c>
      <c r="S3" s="76">
        <f>Calculations!W175</f>
        <v/>
      </c>
      <c r="T3" s="76">
        <f>Calculations!X175</f>
        <v/>
      </c>
      <c r="U3" s="76">
        <f>Calculations!Y175</f>
        <v/>
      </c>
      <c r="V3" s="76">
        <f>Calculations!Z175</f>
        <v/>
      </c>
      <c r="W3" s="76">
        <f>Calculations!AA175</f>
        <v/>
      </c>
      <c r="X3" s="76">
        <f>Calculations!AB175</f>
        <v/>
      </c>
      <c r="Y3" s="76">
        <f>Calculations!AC175</f>
        <v/>
      </c>
      <c r="Z3" s="76">
        <f>Calculations!AD175</f>
        <v/>
      </c>
      <c r="AA3" s="76">
        <f>Calculations!AE175</f>
        <v/>
      </c>
      <c r="AB3" s="76">
        <f>Calculations!AF175</f>
        <v/>
      </c>
    </row>
    <row r="4">
      <c r="A4" s="1" t="inlineStr">
        <is>
          <t>natural gas (BTU)</t>
        </is>
      </c>
      <c r="B4" s="76">
        <f>Calculations!F176</f>
        <v/>
      </c>
      <c r="C4" s="76">
        <f>Calculations!G176</f>
        <v/>
      </c>
      <c r="D4" s="76">
        <f>Calculations!H176</f>
        <v/>
      </c>
      <c r="E4" s="76">
        <f>Calculations!I176</f>
        <v/>
      </c>
      <c r="F4" s="76">
        <f>Calculations!J176</f>
        <v/>
      </c>
      <c r="G4" s="76">
        <f>Calculations!K176</f>
        <v/>
      </c>
      <c r="H4" s="76">
        <f>Calculations!L176</f>
        <v/>
      </c>
      <c r="I4" s="76">
        <f>Calculations!M176</f>
        <v/>
      </c>
      <c r="J4" s="76">
        <f>Calculations!N176</f>
        <v/>
      </c>
      <c r="K4" s="76">
        <f>Calculations!O176</f>
        <v/>
      </c>
      <c r="L4" s="76">
        <f>Calculations!P176</f>
        <v/>
      </c>
      <c r="M4" s="76">
        <f>Calculations!Q176</f>
        <v/>
      </c>
      <c r="N4" s="76">
        <f>Calculations!R176</f>
        <v/>
      </c>
      <c r="O4" s="76">
        <f>Calculations!S176</f>
        <v/>
      </c>
      <c r="P4" s="76">
        <f>Calculations!T176</f>
        <v/>
      </c>
      <c r="Q4" s="76">
        <f>Calculations!U176</f>
        <v/>
      </c>
      <c r="R4" s="76">
        <f>Calculations!V176</f>
        <v/>
      </c>
      <c r="S4" s="76">
        <f>Calculations!W176</f>
        <v/>
      </c>
      <c r="T4" s="76">
        <f>Calculations!X176</f>
        <v/>
      </c>
      <c r="U4" s="76">
        <f>Calculations!Y176</f>
        <v/>
      </c>
      <c r="V4" s="76">
        <f>Calculations!Z176</f>
        <v/>
      </c>
      <c r="W4" s="76">
        <f>Calculations!AA176</f>
        <v/>
      </c>
      <c r="X4" s="76">
        <f>Calculations!AB176</f>
        <v/>
      </c>
      <c r="Y4" s="76">
        <f>Calculations!AC176</f>
        <v/>
      </c>
      <c r="Z4" s="76">
        <f>Calculations!AD176</f>
        <v/>
      </c>
      <c r="AA4" s="76">
        <f>Calculations!AE176</f>
        <v/>
      </c>
      <c r="AB4" s="76">
        <f>Calculations!AF176</f>
        <v/>
      </c>
    </row>
    <row r="5">
      <c r="A5" s="1" t="inlineStr">
        <is>
          <t>petroleum diesel (BTU)</t>
        </is>
      </c>
      <c r="B5" s="76">
        <f>Calculations!F177</f>
        <v/>
      </c>
      <c r="C5" s="76">
        <f>Calculations!G177</f>
        <v/>
      </c>
      <c r="D5" s="76">
        <f>Calculations!H177</f>
        <v/>
      </c>
      <c r="E5" s="76">
        <f>Calculations!I177</f>
        <v/>
      </c>
      <c r="F5" s="76">
        <f>Calculations!J177</f>
        <v/>
      </c>
      <c r="G5" s="76">
        <f>Calculations!K177</f>
        <v/>
      </c>
      <c r="H5" s="76">
        <f>Calculations!L177</f>
        <v/>
      </c>
      <c r="I5" s="76">
        <f>Calculations!M177</f>
        <v/>
      </c>
      <c r="J5" s="76">
        <f>Calculations!N177</f>
        <v/>
      </c>
      <c r="K5" s="76">
        <f>Calculations!O177</f>
        <v/>
      </c>
      <c r="L5" s="76">
        <f>Calculations!P177</f>
        <v/>
      </c>
      <c r="M5" s="76">
        <f>Calculations!Q177</f>
        <v/>
      </c>
      <c r="N5" s="76">
        <f>Calculations!R177</f>
        <v/>
      </c>
      <c r="O5" s="76">
        <f>Calculations!S177</f>
        <v/>
      </c>
      <c r="P5" s="76">
        <f>Calculations!T177</f>
        <v/>
      </c>
      <c r="Q5" s="76">
        <f>Calculations!U177</f>
        <v/>
      </c>
      <c r="R5" s="76">
        <f>Calculations!V177</f>
        <v/>
      </c>
      <c r="S5" s="76">
        <f>Calculations!W177</f>
        <v/>
      </c>
      <c r="T5" s="76">
        <f>Calculations!X177</f>
        <v/>
      </c>
      <c r="U5" s="76">
        <f>Calculations!Y177</f>
        <v/>
      </c>
      <c r="V5" s="76">
        <f>Calculations!Z177</f>
        <v/>
      </c>
      <c r="W5" s="76">
        <f>Calculations!AA177</f>
        <v/>
      </c>
      <c r="X5" s="76">
        <f>Calculations!AB177</f>
        <v/>
      </c>
      <c r="Y5" s="76">
        <f>Calculations!AC177</f>
        <v/>
      </c>
      <c r="Z5" s="76">
        <f>Calculations!AD177</f>
        <v/>
      </c>
      <c r="AA5" s="76">
        <f>Calculations!AE177</f>
        <v/>
      </c>
      <c r="AB5" s="76">
        <f>Calculations!AF177</f>
        <v/>
      </c>
    </row>
    <row r="6">
      <c r="A6" s="1" t="inlineStr">
        <is>
          <t>heat (BTU)</t>
        </is>
      </c>
      <c r="B6" s="76">
        <f>Calculations!F178</f>
        <v/>
      </c>
      <c r="C6" s="76">
        <f>Calculations!G178</f>
        <v/>
      </c>
      <c r="D6" s="76">
        <f>Calculations!H178</f>
        <v/>
      </c>
      <c r="E6" s="76">
        <f>Calculations!I178</f>
        <v/>
      </c>
      <c r="F6" s="76">
        <f>Calculations!J178</f>
        <v/>
      </c>
      <c r="G6" s="76">
        <f>Calculations!K178</f>
        <v/>
      </c>
      <c r="H6" s="76">
        <f>Calculations!L178</f>
        <v/>
      </c>
      <c r="I6" s="76">
        <f>Calculations!M178</f>
        <v/>
      </c>
      <c r="J6" s="76">
        <f>Calculations!N178</f>
        <v/>
      </c>
      <c r="K6" s="76">
        <f>Calculations!O178</f>
        <v/>
      </c>
      <c r="L6" s="76">
        <f>Calculations!P178</f>
        <v/>
      </c>
      <c r="M6" s="76">
        <f>Calculations!Q178</f>
        <v/>
      </c>
      <c r="N6" s="76">
        <f>Calculations!R178</f>
        <v/>
      </c>
      <c r="O6" s="76">
        <f>Calculations!S178</f>
        <v/>
      </c>
      <c r="P6" s="76">
        <f>Calculations!T178</f>
        <v/>
      </c>
      <c r="Q6" s="76">
        <f>Calculations!U178</f>
        <v/>
      </c>
      <c r="R6" s="76">
        <f>Calculations!V178</f>
        <v/>
      </c>
      <c r="S6" s="76">
        <f>Calculations!W178</f>
        <v/>
      </c>
      <c r="T6" s="76">
        <f>Calculations!X178</f>
        <v/>
      </c>
      <c r="U6" s="76">
        <f>Calculations!Y178</f>
        <v/>
      </c>
      <c r="V6" s="76">
        <f>Calculations!Z178</f>
        <v/>
      </c>
      <c r="W6" s="76">
        <f>Calculations!AA178</f>
        <v/>
      </c>
      <c r="X6" s="76">
        <f>Calculations!AB178</f>
        <v/>
      </c>
      <c r="Y6" s="76">
        <f>Calculations!AC178</f>
        <v/>
      </c>
      <c r="Z6" s="76">
        <f>Calculations!AD178</f>
        <v/>
      </c>
      <c r="AA6" s="76">
        <f>Calculations!AE178</f>
        <v/>
      </c>
      <c r="AB6" s="76">
        <f>Calculations!AF178</f>
        <v/>
      </c>
    </row>
    <row r="7">
      <c r="A7" s="1" t="inlineStr">
        <is>
          <t>biomass (BTU)</t>
        </is>
      </c>
      <c r="B7" s="76">
        <f>Calculations!F179</f>
        <v/>
      </c>
      <c r="C7" s="76">
        <f>Calculations!G179</f>
        <v/>
      </c>
      <c r="D7" s="76">
        <f>Calculations!H179</f>
        <v/>
      </c>
      <c r="E7" s="76">
        <f>Calculations!I179</f>
        <v/>
      </c>
      <c r="F7" s="76">
        <f>Calculations!J179</f>
        <v/>
      </c>
      <c r="G7" s="76">
        <f>Calculations!K179</f>
        <v/>
      </c>
      <c r="H7" s="76">
        <f>Calculations!L179</f>
        <v/>
      </c>
      <c r="I7" s="76">
        <f>Calculations!M179</f>
        <v/>
      </c>
      <c r="J7" s="76">
        <f>Calculations!N179</f>
        <v/>
      </c>
      <c r="K7" s="76">
        <f>Calculations!O179</f>
        <v/>
      </c>
      <c r="L7" s="76">
        <f>Calculations!P179</f>
        <v/>
      </c>
      <c r="M7" s="76">
        <f>Calculations!Q179</f>
        <v/>
      </c>
      <c r="N7" s="76">
        <f>Calculations!R179</f>
        <v/>
      </c>
      <c r="O7" s="76">
        <f>Calculations!S179</f>
        <v/>
      </c>
      <c r="P7" s="76">
        <f>Calculations!T179</f>
        <v/>
      </c>
      <c r="Q7" s="76">
        <f>Calculations!U179</f>
        <v/>
      </c>
      <c r="R7" s="76">
        <f>Calculations!V179</f>
        <v/>
      </c>
      <c r="S7" s="76">
        <f>Calculations!W179</f>
        <v/>
      </c>
      <c r="T7" s="76">
        <f>Calculations!X179</f>
        <v/>
      </c>
      <c r="U7" s="76">
        <f>Calculations!Y179</f>
        <v/>
      </c>
      <c r="V7" s="76">
        <f>Calculations!Z179</f>
        <v/>
      </c>
      <c r="W7" s="76">
        <f>Calculations!AA179</f>
        <v/>
      </c>
      <c r="X7" s="76">
        <f>Calculations!AB179</f>
        <v/>
      </c>
      <c r="Y7" s="76">
        <f>Calculations!AC179</f>
        <v/>
      </c>
      <c r="Z7" s="76">
        <f>Calculations!AD179</f>
        <v/>
      </c>
      <c r="AA7" s="76">
        <f>Calculations!AE179</f>
        <v/>
      </c>
      <c r="AB7" s="76">
        <f>Calculations!AF179</f>
        <v/>
      </c>
    </row>
    <row r="8">
      <c r="A8" s="1" t="inlineStr">
        <is>
          <t>kerosene (BTU)</t>
        </is>
      </c>
      <c r="B8" s="76">
        <f>Calculations!F180</f>
        <v/>
      </c>
      <c r="C8" s="76">
        <f>Calculations!G180</f>
        <v/>
      </c>
      <c r="D8" s="76">
        <f>Calculations!H180</f>
        <v/>
      </c>
      <c r="E8" s="76">
        <f>Calculations!I180</f>
        <v/>
      </c>
      <c r="F8" s="76">
        <f>Calculations!J180</f>
        <v/>
      </c>
      <c r="G8" s="76">
        <f>Calculations!K180</f>
        <v/>
      </c>
      <c r="H8" s="76">
        <f>Calculations!L180</f>
        <v/>
      </c>
      <c r="I8" s="76">
        <f>Calculations!M180</f>
        <v/>
      </c>
      <c r="J8" s="76">
        <f>Calculations!N180</f>
        <v/>
      </c>
      <c r="K8" s="76">
        <f>Calculations!O180</f>
        <v/>
      </c>
      <c r="L8" s="76">
        <f>Calculations!P180</f>
        <v/>
      </c>
      <c r="M8" s="76">
        <f>Calculations!Q180</f>
        <v/>
      </c>
      <c r="N8" s="76">
        <f>Calculations!R180</f>
        <v/>
      </c>
      <c r="O8" s="76">
        <f>Calculations!S180</f>
        <v/>
      </c>
      <c r="P8" s="76">
        <f>Calculations!T180</f>
        <v/>
      </c>
      <c r="Q8" s="76">
        <f>Calculations!U180</f>
        <v/>
      </c>
      <c r="R8" s="76">
        <f>Calculations!V180</f>
        <v/>
      </c>
      <c r="S8" s="76">
        <f>Calculations!W180</f>
        <v/>
      </c>
      <c r="T8" s="76">
        <f>Calculations!X180</f>
        <v/>
      </c>
      <c r="U8" s="76">
        <f>Calculations!Y180</f>
        <v/>
      </c>
      <c r="V8" s="76">
        <f>Calculations!Z180</f>
        <v/>
      </c>
      <c r="W8" s="76">
        <f>Calculations!AA180</f>
        <v/>
      </c>
      <c r="X8" s="76">
        <f>Calculations!AB180</f>
        <v/>
      </c>
      <c r="Y8" s="76">
        <f>Calculations!AC180</f>
        <v/>
      </c>
      <c r="Z8" s="76">
        <f>Calculations!AD180</f>
        <v/>
      </c>
      <c r="AA8" s="76">
        <f>Calculations!AE180</f>
        <v/>
      </c>
      <c r="AB8" s="76">
        <f>Calculations!AF180</f>
        <v/>
      </c>
    </row>
    <row r="9">
      <c r="A9" s="1" t="inlineStr">
        <is>
          <t>heavy or residual fuel oil (BTU)</t>
        </is>
      </c>
      <c r="B9" s="76">
        <f>Calculations!F181</f>
        <v/>
      </c>
      <c r="C9" s="76">
        <f>Calculations!G181</f>
        <v/>
      </c>
      <c r="D9" s="76">
        <f>Calculations!H181</f>
        <v/>
      </c>
      <c r="E9" s="76">
        <f>Calculations!I181</f>
        <v/>
      </c>
      <c r="F9" s="76">
        <f>Calculations!J181</f>
        <v/>
      </c>
      <c r="G9" s="76">
        <f>Calculations!K181</f>
        <v/>
      </c>
      <c r="H9" s="76">
        <f>Calculations!L181</f>
        <v/>
      </c>
      <c r="I9" s="76">
        <f>Calculations!M181</f>
        <v/>
      </c>
      <c r="J9" s="76">
        <f>Calculations!N181</f>
        <v/>
      </c>
      <c r="K9" s="76">
        <f>Calculations!O181</f>
        <v/>
      </c>
      <c r="L9" s="76">
        <f>Calculations!P181</f>
        <v/>
      </c>
      <c r="M9" s="76">
        <f>Calculations!Q181</f>
        <v/>
      </c>
      <c r="N9" s="76">
        <f>Calculations!R181</f>
        <v/>
      </c>
      <c r="O9" s="76">
        <f>Calculations!S181</f>
        <v/>
      </c>
      <c r="P9" s="76">
        <f>Calculations!T181</f>
        <v/>
      </c>
      <c r="Q9" s="76">
        <f>Calculations!U181</f>
        <v/>
      </c>
      <c r="R9" s="76">
        <f>Calculations!V181</f>
        <v/>
      </c>
      <c r="S9" s="76">
        <f>Calculations!W181</f>
        <v/>
      </c>
      <c r="T9" s="76">
        <f>Calculations!X181</f>
        <v/>
      </c>
      <c r="U9" s="76">
        <f>Calculations!Y181</f>
        <v/>
      </c>
      <c r="V9" s="76">
        <f>Calculations!Z181</f>
        <v/>
      </c>
      <c r="W9" s="76">
        <f>Calculations!AA181</f>
        <v/>
      </c>
      <c r="X9" s="76">
        <f>Calculations!AB181</f>
        <v/>
      </c>
      <c r="Y9" s="76">
        <f>Calculations!AC181</f>
        <v/>
      </c>
      <c r="Z9" s="76">
        <f>Calculations!AD181</f>
        <v/>
      </c>
      <c r="AA9" s="76">
        <f>Calculations!AE181</f>
        <v/>
      </c>
      <c r="AB9" s="76">
        <f>Calculations!AF181</f>
        <v/>
      </c>
    </row>
    <row r="10">
      <c r="A10" s="1" t="inlineStr">
        <is>
          <t>LPG propane or butane (BTU)</t>
        </is>
      </c>
      <c r="B10" s="76">
        <f>Calculations!F182</f>
        <v/>
      </c>
      <c r="C10" s="76">
        <f>Calculations!G182</f>
        <v/>
      </c>
      <c r="D10" s="76">
        <f>Calculations!H182</f>
        <v/>
      </c>
      <c r="E10" s="76">
        <f>Calculations!I182</f>
        <v/>
      </c>
      <c r="F10" s="76">
        <f>Calculations!J182</f>
        <v/>
      </c>
      <c r="G10" s="76">
        <f>Calculations!K182</f>
        <v/>
      </c>
      <c r="H10" s="76">
        <f>Calculations!L182</f>
        <v/>
      </c>
      <c r="I10" s="76">
        <f>Calculations!M182</f>
        <v/>
      </c>
      <c r="J10" s="76">
        <f>Calculations!N182</f>
        <v/>
      </c>
      <c r="K10" s="76">
        <f>Calculations!O182</f>
        <v/>
      </c>
      <c r="L10" s="76">
        <f>Calculations!P182</f>
        <v/>
      </c>
      <c r="M10" s="76">
        <f>Calculations!Q182</f>
        <v/>
      </c>
      <c r="N10" s="76">
        <f>Calculations!R182</f>
        <v/>
      </c>
      <c r="O10" s="76">
        <f>Calculations!S182</f>
        <v/>
      </c>
      <c r="P10" s="76">
        <f>Calculations!T182</f>
        <v/>
      </c>
      <c r="Q10" s="76">
        <f>Calculations!U182</f>
        <v/>
      </c>
      <c r="R10" s="76">
        <f>Calculations!V182</f>
        <v/>
      </c>
      <c r="S10" s="76">
        <f>Calculations!W182</f>
        <v/>
      </c>
      <c r="T10" s="76">
        <f>Calculations!X182</f>
        <v/>
      </c>
      <c r="U10" s="76">
        <f>Calculations!Y182</f>
        <v/>
      </c>
      <c r="V10" s="76">
        <f>Calculations!Z182</f>
        <v/>
      </c>
      <c r="W10" s="76">
        <f>Calculations!AA182</f>
        <v/>
      </c>
      <c r="X10" s="76">
        <f>Calculations!AB182</f>
        <v/>
      </c>
      <c r="Y10" s="76">
        <f>Calculations!AC182</f>
        <v/>
      </c>
      <c r="Z10" s="76">
        <f>Calculations!AD182</f>
        <v/>
      </c>
      <c r="AA10" s="76">
        <f>Calculations!AE182</f>
        <v/>
      </c>
      <c r="AB10" s="76">
        <f>Calculations!AF182</f>
        <v/>
      </c>
    </row>
    <row r="11">
      <c r="A11" s="1" t="inlineStr">
        <is>
          <t>hydrogen (BTU)</t>
        </is>
      </c>
      <c r="B11" s="76">
        <f>Calculations!F183</f>
        <v/>
      </c>
      <c r="C11" s="76">
        <f>Calculations!G183</f>
        <v/>
      </c>
      <c r="D11" s="76">
        <f>Calculations!H183</f>
        <v/>
      </c>
      <c r="E11" s="76">
        <f>Calculations!I183</f>
        <v/>
      </c>
      <c r="F11" s="76">
        <f>Calculations!J183</f>
        <v/>
      </c>
      <c r="G11" s="76">
        <f>Calculations!K183</f>
        <v/>
      </c>
      <c r="H11" s="76">
        <f>Calculations!L183</f>
        <v/>
      </c>
      <c r="I11" s="76">
        <f>Calculations!M183</f>
        <v/>
      </c>
      <c r="J11" s="76">
        <f>Calculations!N183</f>
        <v/>
      </c>
      <c r="K11" s="76">
        <f>Calculations!O183</f>
        <v/>
      </c>
      <c r="L11" s="76">
        <f>Calculations!P183</f>
        <v/>
      </c>
      <c r="M11" s="76">
        <f>Calculations!Q183</f>
        <v/>
      </c>
      <c r="N11" s="76">
        <f>Calculations!R183</f>
        <v/>
      </c>
      <c r="O11" s="76">
        <f>Calculations!S183</f>
        <v/>
      </c>
      <c r="P11" s="76">
        <f>Calculations!T183</f>
        <v/>
      </c>
      <c r="Q11" s="76">
        <f>Calculations!U183</f>
        <v/>
      </c>
      <c r="R11" s="76">
        <f>Calculations!V183</f>
        <v/>
      </c>
      <c r="S11" s="76">
        <f>Calculations!W183</f>
        <v/>
      </c>
      <c r="T11" s="76">
        <f>Calculations!X183</f>
        <v/>
      </c>
      <c r="U11" s="76">
        <f>Calculations!Y183</f>
        <v/>
      </c>
      <c r="V11" s="76">
        <f>Calculations!Z183</f>
        <v/>
      </c>
      <c r="W11" s="76">
        <f>Calculations!AA183</f>
        <v/>
      </c>
      <c r="X11" s="76">
        <f>Calculations!AB183</f>
        <v/>
      </c>
      <c r="Y11" s="76">
        <f>Calculations!AC183</f>
        <v/>
      </c>
      <c r="Z11" s="76">
        <f>Calculations!AD183</f>
        <v/>
      </c>
      <c r="AA11" s="76">
        <f>Calculations!AE183</f>
        <v/>
      </c>
      <c r="AB11" s="76">
        <f>Calculations!AF183</f>
        <v/>
      </c>
    </row>
  </sheetData>
  <pageMargins left="0.7" right="0.7" top="0.75" bottom="0.75" header="0.3" footer="0.3"/>
  <pageSetup orientation="portrait" horizontalDpi="1200" verticalDpi="1200"/>
</worksheet>
</file>

<file path=xl/worksheets/sheet27.xml><?xml version="1.0" encoding="utf-8"?>
<worksheet xmlns="http://schemas.openxmlformats.org/spreadsheetml/2006/main">
  <sheetPr>
    <tabColor theme="3"/>
    <outlinePr summaryBelow="1" summaryRight="1"/>
    <pageSetUpPr/>
  </sheetPr>
  <dimension ref="A1:AD11"/>
  <sheetViews>
    <sheetView workbookViewId="0">
      <selection activeCell="D30" sqref="D30"/>
    </sheetView>
  </sheetViews>
  <sheetFormatPr baseColWidth="8" defaultRowHeight="14.25"/>
  <cols>
    <col width="29.796875" customWidth="1" min="1" max="1"/>
    <col width="9.796875" customWidth="1" min="2" max="28"/>
  </cols>
  <sheetData>
    <row r="1">
      <c r="A1" s="1" t="inlineStr">
        <is>
          <t>Year</t>
        </is>
      </c>
      <c r="B1" s="1" t="n">
        <v>2024</v>
      </c>
      <c r="C1" s="1" t="n">
        <v>2025</v>
      </c>
      <c r="D1" s="1" t="n">
        <v>2026</v>
      </c>
      <c r="E1" s="1" t="n">
        <v>2027</v>
      </c>
      <c r="F1" s="1" t="n">
        <v>2028</v>
      </c>
      <c r="G1" s="1" t="n">
        <v>2029</v>
      </c>
      <c r="H1" s="1" t="n">
        <v>2030</v>
      </c>
      <c r="I1" s="1" t="n">
        <v>2031</v>
      </c>
      <c r="J1" s="1" t="n">
        <v>2032</v>
      </c>
      <c r="K1" s="1" t="n">
        <v>2033</v>
      </c>
      <c r="L1" s="1" t="n">
        <v>2034</v>
      </c>
      <c r="M1" s="1" t="n">
        <v>2035</v>
      </c>
      <c r="N1" s="1" t="n">
        <v>2036</v>
      </c>
      <c r="O1" s="1" t="n">
        <v>2037</v>
      </c>
      <c r="P1" s="1" t="n">
        <v>2038</v>
      </c>
      <c r="Q1" s="1" t="n">
        <v>2039</v>
      </c>
      <c r="R1" s="1" t="n">
        <v>2040</v>
      </c>
      <c r="S1" s="1" t="n">
        <v>2041</v>
      </c>
      <c r="T1" s="1" t="n">
        <v>2042</v>
      </c>
      <c r="U1" s="1" t="n">
        <v>2043</v>
      </c>
      <c r="V1" s="1" t="n">
        <v>2044</v>
      </c>
      <c r="W1" s="1" t="n">
        <v>2045</v>
      </c>
      <c r="X1" s="1" t="n">
        <v>2046</v>
      </c>
      <c r="Y1" s="1" t="n">
        <v>2047</v>
      </c>
      <c r="Z1" s="1" t="n">
        <v>2048</v>
      </c>
      <c r="AA1" s="1" t="n">
        <v>2049</v>
      </c>
      <c r="AB1" s="1" t="n">
        <v>2050</v>
      </c>
      <c r="AC1" s="1" t="n"/>
      <c r="AD1" s="1" t="n"/>
    </row>
    <row r="2">
      <c r="A2" s="1" t="inlineStr">
        <is>
          <t>electricity (BTU)</t>
        </is>
      </c>
      <c r="B2" s="77">
        <f>Calculations!F187-'Water and Waste'!J9</f>
        <v/>
      </c>
      <c r="C2" s="77">
        <f>Calculations!G187-'Water and Waste'!K9</f>
        <v/>
      </c>
      <c r="D2" s="77">
        <f>Calculations!H187-'Water and Waste'!L9</f>
        <v/>
      </c>
      <c r="E2" s="77">
        <f>Calculations!I187-'Water and Waste'!M9</f>
        <v/>
      </c>
      <c r="F2" s="77">
        <f>Calculations!J187-'Water and Waste'!N9</f>
        <v/>
      </c>
      <c r="G2" s="77">
        <f>Calculations!K187-'Water and Waste'!O9</f>
        <v/>
      </c>
      <c r="H2" s="77">
        <f>Calculations!L187-'Water and Waste'!P9</f>
        <v/>
      </c>
      <c r="I2" s="77">
        <f>Calculations!M187-'Water and Waste'!Q9</f>
        <v/>
      </c>
      <c r="J2" s="77">
        <f>Calculations!N187-'Water and Waste'!R9</f>
        <v/>
      </c>
      <c r="K2" s="77">
        <f>Calculations!O187-'Water and Waste'!S9</f>
        <v/>
      </c>
      <c r="L2" s="77">
        <f>Calculations!P187-'Water and Waste'!T9</f>
        <v/>
      </c>
      <c r="M2" s="77">
        <f>Calculations!Q187-'Water and Waste'!U9</f>
        <v/>
      </c>
      <c r="N2" s="77">
        <f>Calculations!R187-'Water and Waste'!V9</f>
        <v/>
      </c>
      <c r="O2" s="77">
        <f>Calculations!S187-'Water and Waste'!W9</f>
        <v/>
      </c>
      <c r="P2" s="77">
        <f>Calculations!T187-'Water and Waste'!X9</f>
        <v/>
      </c>
      <c r="Q2" s="77">
        <f>Calculations!U187-'Water and Waste'!Y9</f>
        <v/>
      </c>
      <c r="R2" s="77">
        <f>Calculations!V187-'Water and Waste'!Z9</f>
        <v/>
      </c>
      <c r="S2" s="77">
        <f>Calculations!W187-'Water and Waste'!AA9</f>
        <v/>
      </c>
      <c r="T2" s="77">
        <f>Calculations!X187-'Water and Waste'!AB9</f>
        <v/>
      </c>
      <c r="U2" s="77">
        <f>Calculations!Y187-'Water and Waste'!AC9</f>
        <v/>
      </c>
      <c r="V2" s="77">
        <f>Calculations!Z187-'Water and Waste'!AD9</f>
        <v/>
      </c>
      <c r="W2" s="77">
        <f>Calculations!AA187-'Water and Waste'!AE9</f>
        <v/>
      </c>
      <c r="X2" s="77">
        <f>Calculations!AB187-'Water and Waste'!AF9</f>
        <v/>
      </c>
      <c r="Y2" s="77">
        <f>Calculations!AC187-'Water and Waste'!AG9</f>
        <v/>
      </c>
      <c r="Z2" s="77">
        <f>Calculations!AD187-'Water and Waste'!AH9</f>
        <v/>
      </c>
      <c r="AA2" s="77">
        <f>Calculations!AE187-'Water and Waste'!AI9</f>
        <v/>
      </c>
      <c r="AB2" s="77">
        <f>Calculations!AF187-'Water and Waste'!AJ9</f>
        <v/>
      </c>
    </row>
    <row r="3">
      <c r="A3" s="1" t="inlineStr">
        <is>
          <t>coal (BTU)</t>
        </is>
      </c>
      <c r="B3" s="76">
        <f>Calculations!F188</f>
        <v/>
      </c>
      <c r="C3" s="76">
        <f>Calculations!G188</f>
        <v/>
      </c>
      <c r="D3" s="76">
        <f>Calculations!H188</f>
        <v/>
      </c>
      <c r="E3" s="76">
        <f>Calculations!I188</f>
        <v/>
      </c>
      <c r="F3" s="76">
        <f>Calculations!J188</f>
        <v/>
      </c>
      <c r="G3" s="76">
        <f>Calculations!K188</f>
        <v/>
      </c>
      <c r="H3" s="76">
        <f>Calculations!L188</f>
        <v/>
      </c>
      <c r="I3" s="76">
        <f>Calculations!M188</f>
        <v/>
      </c>
      <c r="J3" s="76">
        <f>Calculations!N188</f>
        <v/>
      </c>
      <c r="K3" s="76">
        <f>Calculations!O188</f>
        <v/>
      </c>
      <c r="L3" s="76">
        <f>Calculations!P188</f>
        <v/>
      </c>
      <c r="M3" s="76">
        <f>Calculations!Q188</f>
        <v/>
      </c>
      <c r="N3" s="76">
        <f>Calculations!R188</f>
        <v/>
      </c>
      <c r="O3" s="76">
        <f>Calculations!S188</f>
        <v/>
      </c>
      <c r="P3" s="76">
        <f>Calculations!T188</f>
        <v/>
      </c>
      <c r="Q3" s="76">
        <f>Calculations!U188</f>
        <v/>
      </c>
      <c r="R3" s="76">
        <f>Calculations!V188</f>
        <v/>
      </c>
      <c r="S3" s="76">
        <f>Calculations!W188</f>
        <v/>
      </c>
      <c r="T3" s="76">
        <f>Calculations!X188</f>
        <v/>
      </c>
      <c r="U3" s="76">
        <f>Calculations!Y188</f>
        <v/>
      </c>
      <c r="V3" s="76">
        <f>Calculations!Z188</f>
        <v/>
      </c>
      <c r="W3" s="76">
        <f>Calculations!AA188</f>
        <v/>
      </c>
      <c r="X3" s="76">
        <f>Calculations!AB188</f>
        <v/>
      </c>
      <c r="Y3" s="76">
        <f>Calculations!AC188</f>
        <v/>
      </c>
      <c r="Z3" s="76">
        <f>Calculations!AD188</f>
        <v/>
      </c>
      <c r="AA3" s="76">
        <f>Calculations!AE188</f>
        <v/>
      </c>
      <c r="AB3" s="76">
        <f>Calculations!AF188</f>
        <v/>
      </c>
    </row>
    <row r="4">
      <c r="A4" s="1" t="inlineStr">
        <is>
          <t>natural gas (BTU)</t>
        </is>
      </c>
      <c r="B4" s="76">
        <f>Calculations!F189</f>
        <v/>
      </c>
      <c r="C4" s="76">
        <f>Calculations!G189</f>
        <v/>
      </c>
      <c r="D4" s="76">
        <f>Calculations!H189</f>
        <v/>
      </c>
      <c r="E4" s="76">
        <f>Calculations!I189</f>
        <v/>
      </c>
      <c r="F4" s="76">
        <f>Calculations!J189</f>
        <v/>
      </c>
      <c r="G4" s="76">
        <f>Calculations!K189</f>
        <v/>
      </c>
      <c r="H4" s="76">
        <f>Calculations!L189</f>
        <v/>
      </c>
      <c r="I4" s="76">
        <f>Calculations!M189</f>
        <v/>
      </c>
      <c r="J4" s="76">
        <f>Calculations!N189</f>
        <v/>
      </c>
      <c r="K4" s="76">
        <f>Calculations!O189</f>
        <v/>
      </c>
      <c r="L4" s="76">
        <f>Calculations!P189</f>
        <v/>
      </c>
      <c r="M4" s="76">
        <f>Calculations!Q189</f>
        <v/>
      </c>
      <c r="N4" s="76">
        <f>Calculations!R189</f>
        <v/>
      </c>
      <c r="O4" s="76">
        <f>Calculations!S189</f>
        <v/>
      </c>
      <c r="P4" s="76">
        <f>Calculations!T189</f>
        <v/>
      </c>
      <c r="Q4" s="76">
        <f>Calculations!U189</f>
        <v/>
      </c>
      <c r="R4" s="76">
        <f>Calculations!V189</f>
        <v/>
      </c>
      <c r="S4" s="76">
        <f>Calculations!W189</f>
        <v/>
      </c>
      <c r="T4" s="76">
        <f>Calculations!X189</f>
        <v/>
      </c>
      <c r="U4" s="76">
        <f>Calculations!Y189</f>
        <v/>
      </c>
      <c r="V4" s="76">
        <f>Calculations!Z189</f>
        <v/>
      </c>
      <c r="W4" s="76">
        <f>Calculations!AA189</f>
        <v/>
      </c>
      <c r="X4" s="76">
        <f>Calculations!AB189</f>
        <v/>
      </c>
      <c r="Y4" s="76">
        <f>Calculations!AC189</f>
        <v/>
      </c>
      <c r="Z4" s="76">
        <f>Calculations!AD189</f>
        <v/>
      </c>
      <c r="AA4" s="76">
        <f>Calculations!AE189</f>
        <v/>
      </c>
      <c r="AB4" s="76">
        <f>Calculations!AF189</f>
        <v/>
      </c>
    </row>
    <row r="5">
      <c r="A5" s="1" t="inlineStr">
        <is>
          <t>petroleum diesel (BTU)</t>
        </is>
      </c>
      <c r="B5" s="76">
        <f>Calculations!F190</f>
        <v/>
      </c>
      <c r="C5" s="76">
        <f>Calculations!G190</f>
        <v/>
      </c>
      <c r="D5" s="76">
        <f>Calculations!H190</f>
        <v/>
      </c>
      <c r="E5" s="76">
        <f>Calculations!I190</f>
        <v/>
      </c>
      <c r="F5" s="76">
        <f>Calculations!J190</f>
        <v/>
      </c>
      <c r="G5" s="76">
        <f>Calculations!K190</f>
        <v/>
      </c>
      <c r="H5" s="76">
        <f>Calculations!L190</f>
        <v/>
      </c>
      <c r="I5" s="76">
        <f>Calculations!M190</f>
        <v/>
      </c>
      <c r="J5" s="76">
        <f>Calculations!N190</f>
        <v/>
      </c>
      <c r="K5" s="76">
        <f>Calculations!O190</f>
        <v/>
      </c>
      <c r="L5" s="76">
        <f>Calculations!P190</f>
        <v/>
      </c>
      <c r="M5" s="76">
        <f>Calculations!Q190</f>
        <v/>
      </c>
      <c r="N5" s="76">
        <f>Calculations!R190</f>
        <v/>
      </c>
      <c r="O5" s="76">
        <f>Calculations!S190</f>
        <v/>
      </c>
      <c r="P5" s="76">
        <f>Calculations!T190</f>
        <v/>
      </c>
      <c r="Q5" s="76">
        <f>Calculations!U190</f>
        <v/>
      </c>
      <c r="R5" s="76">
        <f>Calculations!V190</f>
        <v/>
      </c>
      <c r="S5" s="76">
        <f>Calculations!W190</f>
        <v/>
      </c>
      <c r="T5" s="76">
        <f>Calculations!X190</f>
        <v/>
      </c>
      <c r="U5" s="76">
        <f>Calculations!Y190</f>
        <v/>
      </c>
      <c r="V5" s="76">
        <f>Calculations!Z190</f>
        <v/>
      </c>
      <c r="W5" s="76">
        <f>Calculations!AA190</f>
        <v/>
      </c>
      <c r="X5" s="76">
        <f>Calculations!AB190</f>
        <v/>
      </c>
      <c r="Y5" s="76">
        <f>Calculations!AC190</f>
        <v/>
      </c>
      <c r="Z5" s="76">
        <f>Calculations!AD190</f>
        <v/>
      </c>
      <c r="AA5" s="76">
        <f>Calculations!AE190</f>
        <v/>
      </c>
      <c r="AB5" s="76">
        <f>Calculations!AF190</f>
        <v/>
      </c>
    </row>
    <row r="6">
      <c r="A6" s="1" t="inlineStr">
        <is>
          <t>heat (BTU)</t>
        </is>
      </c>
      <c r="B6" s="76">
        <f>Calculations!F191</f>
        <v/>
      </c>
      <c r="C6" s="76">
        <f>Calculations!G191</f>
        <v/>
      </c>
      <c r="D6" s="76">
        <f>Calculations!H191</f>
        <v/>
      </c>
      <c r="E6" s="76">
        <f>Calculations!I191</f>
        <v/>
      </c>
      <c r="F6" s="76">
        <f>Calculations!J191</f>
        <v/>
      </c>
      <c r="G6" s="76">
        <f>Calculations!K191</f>
        <v/>
      </c>
      <c r="H6" s="76">
        <f>Calculations!L191</f>
        <v/>
      </c>
      <c r="I6" s="76">
        <f>Calculations!M191</f>
        <v/>
      </c>
      <c r="J6" s="76">
        <f>Calculations!N191</f>
        <v/>
      </c>
      <c r="K6" s="76">
        <f>Calculations!O191</f>
        <v/>
      </c>
      <c r="L6" s="76">
        <f>Calculations!P191</f>
        <v/>
      </c>
      <c r="M6" s="76">
        <f>Calculations!Q191</f>
        <v/>
      </c>
      <c r="N6" s="76">
        <f>Calculations!R191</f>
        <v/>
      </c>
      <c r="O6" s="76">
        <f>Calculations!S191</f>
        <v/>
      </c>
      <c r="P6" s="76">
        <f>Calculations!T191</f>
        <v/>
      </c>
      <c r="Q6" s="76">
        <f>Calculations!U191</f>
        <v/>
      </c>
      <c r="R6" s="76">
        <f>Calculations!V191</f>
        <v/>
      </c>
      <c r="S6" s="76">
        <f>Calculations!W191</f>
        <v/>
      </c>
      <c r="T6" s="76">
        <f>Calculations!X191</f>
        <v/>
      </c>
      <c r="U6" s="76">
        <f>Calculations!Y191</f>
        <v/>
      </c>
      <c r="V6" s="76">
        <f>Calculations!Z191</f>
        <v/>
      </c>
      <c r="W6" s="76">
        <f>Calculations!AA191</f>
        <v/>
      </c>
      <c r="X6" s="76">
        <f>Calculations!AB191</f>
        <v/>
      </c>
      <c r="Y6" s="76">
        <f>Calculations!AC191</f>
        <v/>
      </c>
      <c r="Z6" s="76">
        <f>Calculations!AD191</f>
        <v/>
      </c>
      <c r="AA6" s="76">
        <f>Calculations!AE191</f>
        <v/>
      </c>
      <c r="AB6" s="76">
        <f>Calculations!AF191</f>
        <v/>
      </c>
    </row>
    <row r="7">
      <c r="A7" s="1" t="inlineStr">
        <is>
          <t>biomass (BTU)</t>
        </is>
      </c>
      <c r="B7" s="76">
        <f>Calculations!F192</f>
        <v/>
      </c>
      <c r="C7" s="76">
        <f>Calculations!G192</f>
        <v/>
      </c>
      <c r="D7" s="76">
        <f>Calculations!H192</f>
        <v/>
      </c>
      <c r="E7" s="76">
        <f>Calculations!I192</f>
        <v/>
      </c>
      <c r="F7" s="76">
        <f>Calculations!J192</f>
        <v/>
      </c>
      <c r="G7" s="76">
        <f>Calculations!K192</f>
        <v/>
      </c>
      <c r="H7" s="76">
        <f>Calculations!L192</f>
        <v/>
      </c>
      <c r="I7" s="76">
        <f>Calculations!M192</f>
        <v/>
      </c>
      <c r="J7" s="76">
        <f>Calculations!N192</f>
        <v/>
      </c>
      <c r="K7" s="76">
        <f>Calculations!O192</f>
        <v/>
      </c>
      <c r="L7" s="76">
        <f>Calculations!P192</f>
        <v/>
      </c>
      <c r="M7" s="76">
        <f>Calculations!Q192</f>
        <v/>
      </c>
      <c r="N7" s="76">
        <f>Calculations!R192</f>
        <v/>
      </c>
      <c r="O7" s="76">
        <f>Calculations!S192</f>
        <v/>
      </c>
      <c r="P7" s="76">
        <f>Calculations!T192</f>
        <v/>
      </c>
      <c r="Q7" s="76">
        <f>Calculations!U192</f>
        <v/>
      </c>
      <c r="R7" s="76">
        <f>Calculations!V192</f>
        <v/>
      </c>
      <c r="S7" s="76">
        <f>Calculations!W192</f>
        <v/>
      </c>
      <c r="T7" s="76">
        <f>Calculations!X192</f>
        <v/>
      </c>
      <c r="U7" s="76">
        <f>Calculations!Y192</f>
        <v/>
      </c>
      <c r="V7" s="76">
        <f>Calculations!Z192</f>
        <v/>
      </c>
      <c r="W7" s="76">
        <f>Calculations!AA192</f>
        <v/>
      </c>
      <c r="X7" s="76">
        <f>Calculations!AB192</f>
        <v/>
      </c>
      <c r="Y7" s="76">
        <f>Calculations!AC192</f>
        <v/>
      </c>
      <c r="Z7" s="76">
        <f>Calculations!AD192</f>
        <v/>
      </c>
      <c r="AA7" s="76">
        <f>Calculations!AE192</f>
        <v/>
      </c>
      <c r="AB7" s="76">
        <f>Calculations!AF192</f>
        <v/>
      </c>
    </row>
    <row r="8">
      <c r="A8" s="1" t="inlineStr">
        <is>
          <t>kerosene (BTU)</t>
        </is>
      </c>
      <c r="B8" s="76">
        <f>Calculations!F193</f>
        <v/>
      </c>
      <c r="C8" s="76">
        <f>Calculations!G193</f>
        <v/>
      </c>
      <c r="D8" s="76">
        <f>Calculations!H193</f>
        <v/>
      </c>
      <c r="E8" s="76">
        <f>Calculations!I193</f>
        <v/>
      </c>
      <c r="F8" s="76">
        <f>Calculations!J193</f>
        <v/>
      </c>
      <c r="G8" s="76">
        <f>Calculations!K193</f>
        <v/>
      </c>
      <c r="H8" s="76">
        <f>Calculations!L193</f>
        <v/>
      </c>
      <c r="I8" s="76">
        <f>Calculations!M193</f>
        <v/>
      </c>
      <c r="J8" s="76">
        <f>Calculations!N193</f>
        <v/>
      </c>
      <c r="K8" s="76">
        <f>Calculations!O193</f>
        <v/>
      </c>
      <c r="L8" s="76">
        <f>Calculations!P193</f>
        <v/>
      </c>
      <c r="M8" s="76">
        <f>Calculations!Q193</f>
        <v/>
      </c>
      <c r="N8" s="76">
        <f>Calculations!R193</f>
        <v/>
      </c>
      <c r="O8" s="76">
        <f>Calculations!S193</f>
        <v/>
      </c>
      <c r="P8" s="76">
        <f>Calculations!T193</f>
        <v/>
      </c>
      <c r="Q8" s="76">
        <f>Calculations!U193</f>
        <v/>
      </c>
      <c r="R8" s="76">
        <f>Calculations!V193</f>
        <v/>
      </c>
      <c r="S8" s="76">
        <f>Calculations!W193</f>
        <v/>
      </c>
      <c r="T8" s="76">
        <f>Calculations!X193</f>
        <v/>
      </c>
      <c r="U8" s="76">
        <f>Calculations!Y193</f>
        <v/>
      </c>
      <c r="V8" s="76">
        <f>Calculations!Z193</f>
        <v/>
      </c>
      <c r="W8" s="76">
        <f>Calculations!AA193</f>
        <v/>
      </c>
      <c r="X8" s="76">
        <f>Calculations!AB193</f>
        <v/>
      </c>
      <c r="Y8" s="76">
        <f>Calculations!AC193</f>
        <v/>
      </c>
      <c r="Z8" s="76">
        <f>Calculations!AD193</f>
        <v/>
      </c>
      <c r="AA8" s="76">
        <f>Calculations!AE193</f>
        <v/>
      </c>
      <c r="AB8" s="76">
        <f>Calculations!AF193</f>
        <v/>
      </c>
    </row>
    <row r="9">
      <c r="A9" s="1" t="inlineStr">
        <is>
          <t>heavy or residual fuel oil (BTU)</t>
        </is>
      </c>
      <c r="B9" s="76">
        <f>Calculations!F194</f>
        <v/>
      </c>
      <c r="C9" s="76">
        <f>Calculations!G194</f>
        <v/>
      </c>
      <c r="D9" s="76">
        <f>Calculations!H194</f>
        <v/>
      </c>
      <c r="E9" s="76">
        <f>Calculations!I194</f>
        <v/>
      </c>
      <c r="F9" s="76">
        <f>Calculations!J194</f>
        <v/>
      </c>
      <c r="G9" s="76">
        <f>Calculations!K194</f>
        <v/>
      </c>
      <c r="H9" s="76">
        <f>Calculations!L194</f>
        <v/>
      </c>
      <c r="I9" s="76">
        <f>Calculations!M194</f>
        <v/>
      </c>
      <c r="J9" s="76">
        <f>Calculations!N194</f>
        <v/>
      </c>
      <c r="K9" s="76">
        <f>Calculations!O194</f>
        <v/>
      </c>
      <c r="L9" s="76">
        <f>Calculations!P194</f>
        <v/>
      </c>
      <c r="M9" s="76">
        <f>Calculations!Q194</f>
        <v/>
      </c>
      <c r="N9" s="76">
        <f>Calculations!R194</f>
        <v/>
      </c>
      <c r="O9" s="76">
        <f>Calculations!S194</f>
        <v/>
      </c>
      <c r="P9" s="76">
        <f>Calculations!T194</f>
        <v/>
      </c>
      <c r="Q9" s="76">
        <f>Calculations!U194</f>
        <v/>
      </c>
      <c r="R9" s="76">
        <f>Calculations!V194</f>
        <v/>
      </c>
      <c r="S9" s="76">
        <f>Calculations!W194</f>
        <v/>
      </c>
      <c r="T9" s="76">
        <f>Calculations!X194</f>
        <v/>
      </c>
      <c r="U9" s="76">
        <f>Calculations!Y194</f>
        <v/>
      </c>
      <c r="V9" s="76">
        <f>Calculations!Z194</f>
        <v/>
      </c>
      <c r="W9" s="76">
        <f>Calculations!AA194</f>
        <v/>
      </c>
      <c r="X9" s="76">
        <f>Calculations!AB194</f>
        <v/>
      </c>
      <c r="Y9" s="76">
        <f>Calculations!AC194</f>
        <v/>
      </c>
      <c r="Z9" s="76">
        <f>Calculations!AD194</f>
        <v/>
      </c>
      <c r="AA9" s="76">
        <f>Calculations!AE194</f>
        <v/>
      </c>
      <c r="AB9" s="76">
        <f>Calculations!AF194</f>
        <v/>
      </c>
    </row>
    <row r="10">
      <c r="A10" s="1" t="inlineStr">
        <is>
          <t>LPG propane or butane (BTU)</t>
        </is>
      </c>
      <c r="B10" s="76">
        <f>Calculations!F195</f>
        <v/>
      </c>
      <c r="C10" s="76">
        <f>Calculations!G195</f>
        <v/>
      </c>
      <c r="D10" s="76">
        <f>Calculations!H195</f>
        <v/>
      </c>
      <c r="E10" s="76">
        <f>Calculations!I195</f>
        <v/>
      </c>
      <c r="F10" s="76">
        <f>Calculations!J195</f>
        <v/>
      </c>
      <c r="G10" s="76">
        <f>Calculations!K195</f>
        <v/>
      </c>
      <c r="H10" s="76">
        <f>Calculations!L195</f>
        <v/>
      </c>
      <c r="I10" s="76">
        <f>Calculations!M195</f>
        <v/>
      </c>
      <c r="J10" s="76">
        <f>Calculations!N195</f>
        <v/>
      </c>
      <c r="K10" s="76">
        <f>Calculations!O195</f>
        <v/>
      </c>
      <c r="L10" s="76">
        <f>Calculations!P195</f>
        <v/>
      </c>
      <c r="M10" s="76">
        <f>Calculations!Q195</f>
        <v/>
      </c>
      <c r="N10" s="76">
        <f>Calculations!R195</f>
        <v/>
      </c>
      <c r="O10" s="76">
        <f>Calculations!S195</f>
        <v/>
      </c>
      <c r="P10" s="76">
        <f>Calculations!T195</f>
        <v/>
      </c>
      <c r="Q10" s="76">
        <f>Calculations!U195</f>
        <v/>
      </c>
      <c r="R10" s="76">
        <f>Calculations!V195</f>
        <v/>
      </c>
      <c r="S10" s="76">
        <f>Calculations!W195</f>
        <v/>
      </c>
      <c r="T10" s="76">
        <f>Calculations!X195</f>
        <v/>
      </c>
      <c r="U10" s="76">
        <f>Calculations!Y195</f>
        <v/>
      </c>
      <c r="V10" s="76">
        <f>Calculations!Z195</f>
        <v/>
      </c>
      <c r="W10" s="76">
        <f>Calculations!AA195</f>
        <v/>
      </c>
      <c r="X10" s="76">
        <f>Calculations!AB195</f>
        <v/>
      </c>
      <c r="Y10" s="76">
        <f>Calculations!AC195</f>
        <v/>
      </c>
      <c r="Z10" s="76">
        <f>Calculations!AD195</f>
        <v/>
      </c>
      <c r="AA10" s="76">
        <f>Calculations!AE195</f>
        <v/>
      </c>
      <c r="AB10" s="76">
        <f>Calculations!AF195</f>
        <v/>
      </c>
    </row>
    <row r="11">
      <c r="A11" s="1" t="inlineStr">
        <is>
          <t>hydrogen (BTU)</t>
        </is>
      </c>
      <c r="B11" s="76">
        <f>Calculations!F196</f>
        <v/>
      </c>
      <c r="C11" s="76">
        <f>Calculations!G196</f>
        <v/>
      </c>
      <c r="D11" s="76">
        <f>Calculations!H196</f>
        <v/>
      </c>
      <c r="E11" s="76">
        <f>Calculations!I196</f>
        <v/>
      </c>
      <c r="F11" s="76">
        <f>Calculations!J196</f>
        <v/>
      </c>
      <c r="G11" s="76">
        <f>Calculations!K196</f>
        <v/>
      </c>
      <c r="H11" s="76">
        <f>Calculations!L196</f>
        <v/>
      </c>
      <c r="I11" s="76">
        <f>Calculations!M196</f>
        <v/>
      </c>
      <c r="J11" s="76">
        <f>Calculations!N196</f>
        <v/>
      </c>
      <c r="K11" s="76">
        <f>Calculations!O196</f>
        <v/>
      </c>
      <c r="L11" s="76">
        <f>Calculations!P196</f>
        <v/>
      </c>
      <c r="M11" s="76">
        <f>Calculations!Q196</f>
        <v/>
      </c>
      <c r="N11" s="76">
        <f>Calculations!R196</f>
        <v/>
      </c>
      <c r="O11" s="76">
        <f>Calculations!S196</f>
        <v/>
      </c>
      <c r="P11" s="76">
        <f>Calculations!T196</f>
        <v/>
      </c>
      <c r="Q11" s="76">
        <f>Calculations!U196</f>
        <v/>
      </c>
      <c r="R11" s="76">
        <f>Calculations!V196</f>
        <v/>
      </c>
      <c r="S11" s="76">
        <f>Calculations!W196</f>
        <v/>
      </c>
      <c r="T11" s="76">
        <f>Calculations!X196</f>
        <v/>
      </c>
      <c r="U11" s="76">
        <f>Calculations!Y196</f>
        <v/>
      </c>
      <c r="V11" s="76">
        <f>Calculations!Z196</f>
        <v/>
      </c>
      <c r="W11" s="76">
        <f>Calculations!AA196</f>
        <v/>
      </c>
      <c r="X11" s="76">
        <f>Calculations!AB196</f>
        <v/>
      </c>
      <c r="Y11" s="76">
        <f>Calculations!AC196</f>
        <v/>
      </c>
      <c r="Z11" s="76">
        <f>Calculations!AD196</f>
        <v/>
      </c>
      <c r="AA11" s="76">
        <f>Calculations!AE196</f>
        <v/>
      </c>
      <c r="AB11" s="76">
        <f>Calculations!AF196</f>
        <v/>
      </c>
    </row>
  </sheetData>
  <pageMargins left="0.7" right="0.7" top="0.75" bottom="0.75" header="0.3" footer="0.3"/>
  <pageSetup orientation="portrait" horizontalDpi="1200" verticalDpi="1200"/>
</worksheet>
</file>

<file path=xl/worksheets/sheet28.xml><?xml version="1.0" encoding="utf-8"?>
<worksheet xmlns="http://schemas.openxmlformats.org/spreadsheetml/2006/main">
  <sheetPr>
    <tabColor theme="3"/>
    <outlinePr summaryBelow="1" summaryRight="1"/>
    <pageSetUpPr/>
  </sheetPr>
  <dimension ref="A1:AD11"/>
  <sheetViews>
    <sheetView workbookViewId="0">
      <selection activeCell="A1" sqref="A1"/>
    </sheetView>
  </sheetViews>
  <sheetFormatPr baseColWidth="8" defaultRowHeight="14.25"/>
  <cols>
    <col width="29.796875" customWidth="1" min="1" max="1"/>
    <col width="9.796875" customWidth="1" min="2" max="28"/>
  </cols>
  <sheetData>
    <row r="1">
      <c r="A1" s="1" t="inlineStr">
        <is>
          <t>Year</t>
        </is>
      </c>
      <c r="B1" s="1" t="n">
        <v>2024</v>
      </c>
      <c r="C1" s="1" t="n">
        <v>2025</v>
      </c>
      <c r="D1" s="1" t="n">
        <v>2026</v>
      </c>
      <c r="E1" s="1" t="n">
        <v>2027</v>
      </c>
      <c r="F1" s="1" t="n">
        <v>2028</v>
      </c>
      <c r="G1" s="1" t="n">
        <v>2029</v>
      </c>
      <c r="H1" s="1" t="n">
        <v>2030</v>
      </c>
      <c r="I1" s="1" t="n">
        <v>2031</v>
      </c>
      <c r="J1" s="1" t="n">
        <v>2032</v>
      </c>
      <c r="K1" s="1" t="n">
        <v>2033</v>
      </c>
      <c r="L1" s="1" t="n">
        <v>2034</v>
      </c>
      <c r="M1" s="1" t="n">
        <v>2035</v>
      </c>
      <c r="N1" s="1" t="n">
        <v>2036</v>
      </c>
      <c r="O1" s="1" t="n">
        <v>2037</v>
      </c>
      <c r="P1" s="1" t="n">
        <v>2038</v>
      </c>
      <c r="Q1" s="1" t="n">
        <v>2039</v>
      </c>
      <c r="R1" s="1" t="n">
        <v>2040</v>
      </c>
      <c r="S1" s="1" t="n">
        <v>2041</v>
      </c>
      <c r="T1" s="1" t="n">
        <v>2042</v>
      </c>
      <c r="U1" s="1" t="n">
        <v>2043</v>
      </c>
      <c r="V1" s="1" t="n">
        <v>2044</v>
      </c>
      <c r="W1" s="1" t="n">
        <v>2045</v>
      </c>
      <c r="X1" s="1" t="n">
        <v>2046</v>
      </c>
      <c r="Y1" s="1" t="n">
        <v>2047</v>
      </c>
      <c r="Z1" s="1" t="n">
        <v>2048</v>
      </c>
      <c r="AA1" s="1" t="n">
        <v>2049</v>
      </c>
      <c r="AB1" s="1" t="n">
        <v>2050</v>
      </c>
      <c r="AC1" s="1" t="n"/>
      <c r="AD1" s="1" t="n"/>
    </row>
    <row r="2">
      <c r="A2" s="1" t="inlineStr">
        <is>
          <t>electricity (BTU)</t>
        </is>
      </c>
      <c r="B2" t="n">
        <v>0</v>
      </c>
      <c r="C2" t="n">
        <v>0</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c r="Z2" t="n">
        <v>0</v>
      </c>
      <c r="AA2" t="n">
        <v>0</v>
      </c>
      <c r="AB2" t="n">
        <v>0</v>
      </c>
    </row>
    <row r="3">
      <c r="A3" s="1" t="inlineStr">
        <is>
          <t>coal (BTU)</t>
        </is>
      </c>
      <c r="B3" t="n">
        <v>0</v>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row>
    <row r="4">
      <c r="A4" s="1" t="inlineStr">
        <is>
          <t>natural gas (BTU)</t>
        </is>
      </c>
      <c r="B4" t="n">
        <v>0</v>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row>
    <row r="5">
      <c r="A5" s="1" t="inlineStr">
        <is>
          <t>petroleum diesel (BTU)</t>
        </is>
      </c>
      <c r="B5" t="n">
        <v>0</v>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c r="Z5" t="n">
        <v>0</v>
      </c>
      <c r="AA5" t="n">
        <v>0</v>
      </c>
      <c r="AB5" t="n">
        <v>0</v>
      </c>
    </row>
    <row r="6">
      <c r="A6" s="1" t="inlineStr">
        <is>
          <t>heat (BTU)</t>
        </is>
      </c>
      <c r="B6" t="n">
        <v>0</v>
      </c>
      <c r="C6" t="n">
        <v>0</v>
      </c>
      <c r="D6" t="n">
        <v>0</v>
      </c>
      <c r="E6" t="n">
        <v>0</v>
      </c>
      <c r="F6" t="n">
        <v>0</v>
      </c>
      <c r="G6" t="n">
        <v>0</v>
      </c>
      <c r="H6" t="n">
        <v>0</v>
      </c>
      <c r="I6" t="n">
        <v>0</v>
      </c>
      <c r="J6" t="n">
        <v>0</v>
      </c>
      <c r="K6" t="n">
        <v>0</v>
      </c>
      <c r="L6" t="n">
        <v>0</v>
      </c>
      <c r="M6" t="n">
        <v>0</v>
      </c>
      <c r="N6" t="n">
        <v>0</v>
      </c>
      <c r="O6" t="n">
        <v>0</v>
      </c>
      <c r="P6" t="n">
        <v>0</v>
      </c>
      <c r="Q6" t="n">
        <v>0</v>
      </c>
      <c r="R6" t="n">
        <v>0</v>
      </c>
      <c r="S6" t="n">
        <v>0</v>
      </c>
      <c r="T6" t="n">
        <v>0</v>
      </c>
      <c r="U6" t="n">
        <v>0</v>
      </c>
      <c r="V6" t="n">
        <v>0</v>
      </c>
      <c r="W6" t="n">
        <v>0</v>
      </c>
      <c r="X6" t="n">
        <v>0</v>
      </c>
      <c r="Y6" t="n">
        <v>0</v>
      </c>
      <c r="Z6" t="n">
        <v>0</v>
      </c>
      <c r="AA6" t="n">
        <v>0</v>
      </c>
      <c r="AB6" t="n">
        <v>0</v>
      </c>
    </row>
    <row r="7">
      <c r="A7" s="1" t="inlineStr">
        <is>
          <t>biomass (BTU)</t>
        </is>
      </c>
      <c r="B7" t="n">
        <v>0</v>
      </c>
      <c r="C7" t="n">
        <v>0</v>
      </c>
      <c r="D7" t="n">
        <v>0</v>
      </c>
      <c r="E7" t="n">
        <v>0</v>
      </c>
      <c r="F7" t="n">
        <v>0</v>
      </c>
      <c r="G7" t="n">
        <v>0</v>
      </c>
      <c r="H7" t="n">
        <v>0</v>
      </c>
      <c r="I7" t="n">
        <v>0</v>
      </c>
      <c r="J7" t="n">
        <v>0</v>
      </c>
      <c r="K7" t="n">
        <v>0</v>
      </c>
      <c r="L7" t="n">
        <v>0</v>
      </c>
      <c r="M7" t="n">
        <v>0</v>
      </c>
      <c r="N7" t="n">
        <v>0</v>
      </c>
      <c r="O7" t="n">
        <v>0</v>
      </c>
      <c r="P7" t="n">
        <v>0</v>
      </c>
      <c r="Q7" t="n">
        <v>0</v>
      </c>
      <c r="R7" t="n">
        <v>0</v>
      </c>
      <c r="S7" t="n">
        <v>0</v>
      </c>
      <c r="T7" t="n">
        <v>0</v>
      </c>
      <c r="U7" t="n">
        <v>0</v>
      </c>
      <c r="V7" t="n">
        <v>0</v>
      </c>
      <c r="W7" t="n">
        <v>0</v>
      </c>
      <c r="X7" t="n">
        <v>0</v>
      </c>
      <c r="Y7" t="n">
        <v>0</v>
      </c>
      <c r="Z7" t="n">
        <v>0</v>
      </c>
      <c r="AA7" t="n">
        <v>0</v>
      </c>
      <c r="AB7" t="n">
        <v>0</v>
      </c>
    </row>
    <row r="8">
      <c r="A8" s="1" t="inlineStr">
        <is>
          <t>kerosene (BTU)</t>
        </is>
      </c>
      <c r="B8" t="n">
        <v>0</v>
      </c>
      <c r="C8" t="n">
        <v>0</v>
      </c>
      <c r="D8" t="n">
        <v>0</v>
      </c>
      <c r="E8" t="n">
        <v>0</v>
      </c>
      <c r="F8" t="n">
        <v>0</v>
      </c>
      <c r="G8" t="n">
        <v>0</v>
      </c>
      <c r="H8" t="n">
        <v>0</v>
      </c>
      <c r="I8" t="n">
        <v>0</v>
      </c>
      <c r="J8" t="n">
        <v>0</v>
      </c>
      <c r="K8" t="n">
        <v>0</v>
      </c>
      <c r="L8" t="n">
        <v>0</v>
      </c>
      <c r="M8" t="n">
        <v>0</v>
      </c>
      <c r="N8" t="n">
        <v>0</v>
      </c>
      <c r="O8" t="n">
        <v>0</v>
      </c>
      <c r="P8" t="n">
        <v>0</v>
      </c>
      <c r="Q8" t="n">
        <v>0</v>
      </c>
      <c r="R8" t="n">
        <v>0</v>
      </c>
      <c r="S8" t="n">
        <v>0</v>
      </c>
      <c r="T8" t="n">
        <v>0</v>
      </c>
      <c r="U8" t="n">
        <v>0</v>
      </c>
      <c r="V8" t="n">
        <v>0</v>
      </c>
      <c r="W8" t="n">
        <v>0</v>
      </c>
      <c r="X8" t="n">
        <v>0</v>
      </c>
      <c r="Y8" t="n">
        <v>0</v>
      </c>
      <c r="Z8" t="n">
        <v>0</v>
      </c>
      <c r="AA8" t="n">
        <v>0</v>
      </c>
      <c r="AB8" t="n">
        <v>0</v>
      </c>
    </row>
    <row r="9">
      <c r="A9" s="1" t="inlineStr">
        <is>
          <t>heavy or residual fuel oil (BTU)</t>
        </is>
      </c>
      <c r="B9" t="n">
        <v>0</v>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row>
    <row r="10">
      <c r="A10" s="1" t="inlineStr">
        <is>
          <t>LPG propane or butane (BTU)</t>
        </is>
      </c>
      <c r="B10" t="n">
        <v>0</v>
      </c>
      <c r="C10" t="n">
        <v>0</v>
      </c>
      <c r="D10" t="n">
        <v>0</v>
      </c>
      <c r="E10" t="n">
        <v>0</v>
      </c>
      <c r="F10" t="n">
        <v>0</v>
      </c>
      <c r="G10" t="n">
        <v>0</v>
      </c>
      <c r="H10" t="n">
        <v>0</v>
      </c>
      <c r="I10" t="n">
        <v>0</v>
      </c>
      <c r="J10" t="n">
        <v>0</v>
      </c>
      <c r="K10" t="n">
        <v>0</v>
      </c>
      <c r="L10" t="n">
        <v>0</v>
      </c>
      <c r="M10" t="n">
        <v>0</v>
      </c>
      <c r="N10" t="n">
        <v>0</v>
      </c>
      <c r="O10" t="n">
        <v>0</v>
      </c>
      <c r="P10" t="n">
        <v>0</v>
      </c>
      <c r="Q10" t="n">
        <v>0</v>
      </c>
      <c r="R10" t="n">
        <v>0</v>
      </c>
      <c r="S10" t="n">
        <v>0</v>
      </c>
      <c r="T10" t="n">
        <v>0</v>
      </c>
      <c r="U10" t="n">
        <v>0</v>
      </c>
      <c r="V10" t="n">
        <v>0</v>
      </c>
      <c r="W10" t="n">
        <v>0</v>
      </c>
      <c r="X10" t="n">
        <v>0</v>
      </c>
      <c r="Y10" t="n">
        <v>0</v>
      </c>
      <c r="Z10" t="n">
        <v>0</v>
      </c>
      <c r="AA10" t="n">
        <v>0</v>
      </c>
      <c r="AB10" t="n">
        <v>0</v>
      </c>
    </row>
    <row r="11">
      <c r="A11" s="1" t="inlineStr">
        <is>
          <t>hydrogen (BTU)</t>
        </is>
      </c>
      <c r="B11" t="n">
        <v>0</v>
      </c>
      <c r="C11" t="n">
        <v>0</v>
      </c>
      <c r="D11" t="n">
        <v>0</v>
      </c>
      <c r="E11" t="n">
        <v>0</v>
      </c>
      <c r="F11" t="n">
        <v>0</v>
      </c>
      <c r="G11" t="n">
        <v>0</v>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t="n">
        <v>0</v>
      </c>
      <c r="AB11" t="n">
        <v>0</v>
      </c>
    </row>
  </sheetData>
  <pageMargins left="0.7" right="0.7" top="0.75" bottom="0.75" header="0.3" footer="0.3"/>
  <pageSetup orientation="portrait" horizontalDpi="1200" verticalDpi="1200"/>
</worksheet>
</file>

<file path=xl/worksheets/sheet29.xml><?xml version="1.0" encoding="utf-8"?>
<worksheet xmlns="http://schemas.openxmlformats.org/spreadsheetml/2006/main">
  <sheetPr>
    <outlinePr summaryBelow="1" summaryRight="1"/>
    <pageSetUpPr/>
  </sheetPr>
  <dimension ref="A1:AE125"/>
  <sheetViews>
    <sheetView workbookViewId="0">
      <selection activeCell="A1" sqref="A1"/>
    </sheetView>
  </sheetViews>
  <sheetFormatPr baseColWidth="8" defaultRowHeight="15"/>
  <sheetData>
    <row r="1">
      <c r="A1" t="inlineStr">
        <is>
          <t>Table 4.  Residential Sector Key Indicators and Consumption</t>
        </is>
      </c>
    </row>
    <row r="2">
      <c r="A2" t="inlineStr">
        <is>
          <t>https://www.eia.gov/outlooks/aeo/data/browser/#/?id=4-AEO2026&amp;cases=electrnp&amp;sourcekey=0</t>
        </is>
      </c>
    </row>
    <row r="3">
      <c r="A3" t="inlineStr">
        <is>
          <t>Thu Apr 23 2026 14:30:24 GMT-0700 (Pacific Daylight Time)</t>
        </is>
      </c>
    </row>
    <row r="4">
      <c r="A4" t="inlineStr">
        <is>
          <t>Source: U.S. Energy Information Administration</t>
        </is>
      </c>
    </row>
    <row r="5">
      <c r="B5" t="inlineStr">
        <is>
          <t>full name</t>
        </is>
      </c>
      <c r="C5" t="inlineStr">
        <is>
          <t>api key</t>
        </is>
      </c>
      <c r="D5" t="inlineStr">
        <is>
          <t>units</t>
        </is>
      </c>
      <c r="E5" t="n">
        <v>2025</v>
      </c>
      <c r="F5" t="n">
        <v>2026</v>
      </c>
      <c r="G5" t="n">
        <v>2027</v>
      </c>
      <c r="H5" t="n">
        <v>2028</v>
      </c>
      <c r="I5" t="n">
        <v>2029</v>
      </c>
      <c r="J5" t="n">
        <v>2030</v>
      </c>
      <c r="K5" t="n">
        <v>2031</v>
      </c>
      <c r="L5" t="n">
        <v>2032</v>
      </c>
      <c r="M5" t="n">
        <v>2033</v>
      </c>
      <c r="N5" t="n">
        <v>2034</v>
      </c>
      <c r="O5" t="n">
        <v>2035</v>
      </c>
      <c r="P5" t="n">
        <v>2036</v>
      </c>
      <c r="Q5" t="n">
        <v>2037</v>
      </c>
      <c r="R5" t="n">
        <v>2038</v>
      </c>
      <c r="S5" t="n">
        <v>2039</v>
      </c>
      <c r="T5" t="n">
        <v>2040</v>
      </c>
      <c r="U5" t="n">
        <v>2041</v>
      </c>
      <c r="V5" t="n">
        <v>2042</v>
      </c>
      <c r="W5" t="n">
        <v>2043</v>
      </c>
      <c r="X5" t="n">
        <v>2044</v>
      </c>
      <c r="Y5" t="n">
        <v>2045</v>
      </c>
      <c r="Z5" t="n">
        <v>2046</v>
      </c>
      <c r="AA5" t="n">
        <v>2047</v>
      </c>
      <c r="AB5" t="n">
        <v>2048</v>
      </c>
      <c r="AC5" t="n">
        <v>2049</v>
      </c>
      <c r="AD5" t="n">
        <v>2050</v>
      </c>
      <c r="AE5" t="inlineStr">
        <is>
          <t>Growth (2025-2050)</t>
        </is>
      </c>
    </row>
    <row r="6">
      <c r="A6" t="inlineStr">
        <is>
          <t>Key Indicators</t>
        </is>
      </c>
    </row>
    <row r="7">
      <c r="A7" t="inlineStr">
        <is>
          <t>Households (millions)</t>
        </is>
      </c>
    </row>
    <row r="8">
      <c r="A8" t="inlineStr">
        <is>
          <t>Single-Family</t>
        </is>
      </c>
      <c r="B8" t="inlineStr">
        <is>
          <t>Residential: Key Indicators: Households: Single-Family: Alternative Electricity and Transportation</t>
        </is>
      </c>
      <c r="C8" t="inlineStr">
        <is>
          <t>AEO.2026.ELECTRNP.KEI_HHD_RESD_SFR_NA_NA_USA_MILL.A</t>
        </is>
      </c>
      <c r="D8" t="inlineStr">
        <is>
          <t>millions</t>
        </is>
      </c>
      <c r="E8" t="n">
        <v>89.55180799999999</v>
      </c>
      <c r="F8" t="n">
        <v>90.49932</v>
      </c>
      <c r="G8" t="n">
        <v>91.44595200000001</v>
      </c>
      <c r="H8" t="n">
        <v>92.375528</v>
      </c>
      <c r="I8" t="n">
        <v>93.308328</v>
      </c>
      <c r="J8" t="n">
        <v>94.24312</v>
      </c>
      <c r="K8" t="n">
        <v>95.158208</v>
      </c>
      <c r="L8" t="n">
        <v>96.07157599999999</v>
      </c>
      <c r="M8" t="n">
        <v>96.973696</v>
      </c>
      <c r="N8" t="n">
        <v>97.85328</v>
      </c>
      <c r="O8" t="n">
        <v>98.71644000000001</v>
      </c>
      <c r="P8" t="n">
        <v>99.55566399999999</v>
      </c>
      <c r="Q8" t="n">
        <v>100.3796</v>
      </c>
      <c r="R8" t="n">
        <v>101.179768</v>
      </c>
      <c r="S8" t="n">
        <v>101.948536</v>
      </c>
      <c r="T8" t="n">
        <v>102.689704</v>
      </c>
      <c r="U8" t="n">
        <v>103.400256</v>
      </c>
      <c r="V8" t="n">
        <v>104.093904</v>
      </c>
      <c r="W8" t="n">
        <v>104.761024</v>
      </c>
      <c r="X8" t="n">
        <v>105.404848</v>
      </c>
      <c r="Y8" t="n">
        <v>106.049456</v>
      </c>
      <c r="Z8" t="n">
        <v>106.698416</v>
      </c>
      <c r="AA8" t="n">
        <v>107.34532</v>
      </c>
      <c r="AB8" t="n">
        <v>107.99104</v>
      </c>
      <c r="AC8" t="n">
        <v>108.635976</v>
      </c>
      <c r="AD8" t="n">
        <v>109.283816</v>
      </c>
      <c r="AE8" t="inlineStr">
        <is>
          <t>0.8%</t>
        </is>
      </c>
    </row>
    <row r="9">
      <c r="A9" t="inlineStr">
        <is>
          <t>Multifamily</t>
        </is>
      </c>
      <c r="B9" t="inlineStr">
        <is>
          <t>Residential: Key Indicators: Households: Multifamily: Alternative Electricity and Transportation</t>
        </is>
      </c>
      <c r="C9" t="inlineStr">
        <is>
          <t>AEO.2026.ELECTRNP.KEI_HHD_RESD_MFR_NA_NA_USA_MILL.A</t>
        </is>
      </c>
      <c r="D9" t="inlineStr">
        <is>
          <t>millions</t>
        </is>
      </c>
      <c r="E9" t="n">
        <v>34.432312</v>
      </c>
      <c r="F9" t="n">
        <v>34.836668</v>
      </c>
      <c r="G9" t="n">
        <v>35.242792</v>
      </c>
      <c r="H9" t="n">
        <v>35.639104</v>
      </c>
      <c r="I9" t="n">
        <v>36.037196</v>
      </c>
      <c r="J9" t="n">
        <v>36.453672</v>
      </c>
      <c r="K9" t="n">
        <v>36.90364</v>
      </c>
      <c r="L9" t="n">
        <v>37.355532</v>
      </c>
      <c r="M9" t="n">
        <v>37.797056</v>
      </c>
      <c r="N9" t="n">
        <v>38.222764</v>
      </c>
      <c r="O9" t="n">
        <v>38.636756</v>
      </c>
      <c r="P9" t="n">
        <v>39.039476</v>
      </c>
      <c r="Q9" t="n">
        <v>39.397844</v>
      </c>
      <c r="R9" t="n">
        <v>39.73052</v>
      </c>
      <c r="S9" t="n">
        <v>40.040472</v>
      </c>
      <c r="T9" t="n">
        <v>40.33182</v>
      </c>
      <c r="U9" t="n">
        <v>40.601424</v>
      </c>
      <c r="V9" t="n">
        <v>40.85396</v>
      </c>
      <c r="W9" t="n">
        <v>41.099856</v>
      </c>
      <c r="X9" t="n">
        <v>41.347656</v>
      </c>
      <c r="Y9" t="n">
        <v>41.597008</v>
      </c>
      <c r="Z9" t="n">
        <v>41.846876</v>
      </c>
      <c r="AA9" t="n">
        <v>42.095096</v>
      </c>
      <c r="AB9" t="n">
        <v>42.342736</v>
      </c>
      <c r="AC9" t="n">
        <v>42.590232</v>
      </c>
      <c r="AD9" t="n">
        <v>42.838628</v>
      </c>
      <c r="AE9" t="inlineStr">
        <is>
          <t>0.9%</t>
        </is>
      </c>
    </row>
    <row r="10">
      <c r="A10" t="inlineStr">
        <is>
          <t>Mobile Homes</t>
        </is>
      </c>
      <c r="B10" t="inlineStr">
        <is>
          <t>Residential: Key Indicators: Households: Mobile Homes: Alternative Electricity and Transportation</t>
        </is>
      </c>
      <c r="C10" t="inlineStr">
        <is>
          <t>AEO.2026.ELECTRNP.KEI_HHD_RESD_MBH_NA_NA_USA_MILL.A</t>
        </is>
      </c>
      <c r="D10" t="inlineStr">
        <is>
          <t>millions</t>
        </is>
      </c>
      <c r="E10" t="n">
        <v>6.745095</v>
      </c>
      <c r="F10" t="n">
        <v>6.759423</v>
      </c>
      <c r="G10" t="n">
        <v>6.806991</v>
      </c>
      <c r="H10" t="n">
        <v>6.858165</v>
      </c>
      <c r="I10" t="n">
        <v>6.903711</v>
      </c>
      <c r="J10" t="n">
        <v>6.913014</v>
      </c>
      <c r="K10" t="n">
        <v>6.915089</v>
      </c>
      <c r="L10" t="n">
        <v>6.918252</v>
      </c>
      <c r="M10" t="n">
        <v>6.921087</v>
      </c>
      <c r="N10" t="n">
        <v>6.923413</v>
      </c>
      <c r="O10" t="n">
        <v>6.926996</v>
      </c>
      <c r="P10" t="n">
        <v>6.931356</v>
      </c>
      <c r="Q10" t="n">
        <v>6.932999</v>
      </c>
      <c r="R10" t="n">
        <v>6.932745</v>
      </c>
      <c r="S10" t="n">
        <v>6.927611</v>
      </c>
      <c r="T10" t="n">
        <v>6.924169</v>
      </c>
      <c r="U10" t="n">
        <v>6.922683</v>
      </c>
      <c r="V10" t="n">
        <v>6.921756</v>
      </c>
      <c r="W10" t="n">
        <v>6.922089</v>
      </c>
      <c r="X10" t="n">
        <v>6.924877</v>
      </c>
      <c r="Y10" t="n">
        <v>6.929586</v>
      </c>
      <c r="Z10" t="n">
        <v>6.934404</v>
      </c>
      <c r="AA10" t="n">
        <v>6.93933</v>
      </c>
      <c r="AB10" t="n">
        <v>6.943018</v>
      </c>
      <c r="AC10" t="n">
        <v>6.946523</v>
      </c>
      <c r="AD10" t="n">
        <v>6.950291</v>
      </c>
      <c r="AE10" t="inlineStr">
        <is>
          <t>0.1%</t>
        </is>
      </c>
    </row>
    <row r="11">
      <c r="A11" t="inlineStr">
        <is>
          <t>Total</t>
        </is>
      </c>
      <c r="B11" t="inlineStr">
        <is>
          <t>Residential: Key Indicators: Households: Total: Alternative Electricity and Transportation</t>
        </is>
      </c>
      <c r="C11" t="inlineStr">
        <is>
          <t>AEO.2026.ELECTRNP.KEI_HHD_RESD_TEN_NA_NA_USA_MILL.A</t>
        </is>
      </c>
      <c r="D11" t="inlineStr">
        <is>
          <t>millions</t>
        </is>
      </c>
      <c r="E11" t="n">
        <v>130.729215</v>
      </c>
      <c r="F11" t="n">
        <v>132.095411</v>
      </c>
      <c r="G11" t="n">
        <v>133.495735</v>
      </c>
      <c r="H11" t="n">
        <v>134.872797</v>
      </c>
      <c r="I11" t="n">
        <v>136.249235</v>
      </c>
      <c r="J11" t="n">
        <v>137.609806</v>
      </c>
      <c r="K11" t="n">
        <v>138.976937</v>
      </c>
      <c r="L11" t="n">
        <v>140.34536</v>
      </c>
      <c r="M11" t="n">
        <v>141.691839</v>
      </c>
      <c r="N11" t="n">
        <v>142.999458</v>
      </c>
      <c r="O11" t="n">
        <v>144.280192</v>
      </c>
      <c r="P11" t="n">
        <v>145.526496</v>
      </c>
      <c r="Q11" t="n">
        <v>146.710443</v>
      </c>
      <c r="R11" t="n">
        <v>147.843033</v>
      </c>
      <c r="S11" t="n">
        <v>148.916619</v>
      </c>
      <c r="T11" t="n">
        <v>149.945693</v>
      </c>
      <c r="U11" t="n">
        <v>150.924363</v>
      </c>
      <c r="V11" t="n">
        <v>151.86962</v>
      </c>
      <c r="W11" t="n">
        <v>152.782969</v>
      </c>
      <c r="X11" t="n">
        <v>153.677381</v>
      </c>
      <c r="Y11" t="n">
        <v>154.57605</v>
      </c>
      <c r="Z11" t="n">
        <v>155.479696</v>
      </c>
      <c r="AA11" t="n">
        <v>156.379746</v>
      </c>
      <c r="AB11" t="n">
        <v>157.276794</v>
      </c>
      <c r="AC11" t="n">
        <v>158.172731</v>
      </c>
      <c r="AD11" t="n">
        <v>159.072735</v>
      </c>
      <c r="AE11" t="inlineStr">
        <is>
          <t>0.8%</t>
        </is>
      </c>
    </row>
    <row r="12">
      <c r="A12" t="inlineStr">
        <is>
          <t>Average House Square Footage</t>
        </is>
      </c>
      <c r="B12" t="inlineStr">
        <is>
          <t>Residential: Key Indicators: Average House Square Footage: Alternative Electricity and Transportation</t>
        </is>
      </c>
      <c r="C12" t="inlineStr">
        <is>
          <t>AEO.2026.ELECTRNP.KEI_HHD_RESD_NA_NA_NA_USA_SQFT.A</t>
        </is>
      </c>
      <c r="D12" t="inlineStr">
        <is>
          <t>sq ft</t>
        </is>
      </c>
      <c r="E12" t="n">
        <v>1648.580933</v>
      </c>
      <c r="F12" t="n">
        <v>1653.800903</v>
      </c>
      <c r="G12" t="n">
        <v>1658.753418</v>
      </c>
      <c r="H12" t="n">
        <v>1663.619629</v>
      </c>
      <c r="I12" t="n">
        <v>1668.383911</v>
      </c>
      <c r="J12" t="n">
        <v>1673.056885</v>
      </c>
      <c r="K12" t="n">
        <v>1677.39856</v>
      </c>
      <c r="L12" t="n">
        <v>1681.615356</v>
      </c>
      <c r="M12" t="n">
        <v>1685.79187</v>
      </c>
      <c r="N12" t="n">
        <v>1689.955688</v>
      </c>
      <c r="O12" t="n">
        <v>1694.082886</v>
      </c>
      <c r="P12" t="n">
        <v>1698.172852</v>
      </c>
      <c r="Q12" t="n">
        <v>1702.468628</v>
      </c>
      <c r="R12" t="n">
        <v>1706.839844</v>
      </c>
      <c r="S12" t="n">
        <v>1711.274048</v>
      </c>
      <c r="T12" t="n">
        <v>1715.727783</v>
      </c>
      <c r="U12" t="n">
        <v>1720.223877</v>
      </c>
      <c r="V12" t="n">
        <v>1724.752197</v>
      </c>
      <c r="W12" t="n">
        <v>1729.234131</v>
      </c>
      <c r="X12" t="n">
        <v>1733.615601</v>
      </c>
      <c r="Y12" t="n">
        <v>1737.918823</v>
      </c>
      <c r="Z12" t="n">
        <v>1742.162354</v>
      </c>
      <c r="AA12" t="n">
        <v>1746.357178</v>
      </c>
      <c r="AB12" t="n">
        <v>1750.502319</v>
      </c>
      <c r="AC12" t="n">
        <v>1754.593018</v>
      </c>
      <c r="AD12" t="n">
        <v>1758.624023</v>
      </c>
      <c r="AE12" t="inlineStr">
        <is>
          <t>0.3%</t>
        </is>
      </c>
    </row>
    <row r="13">
      <c r="A13" t="inlineStr">
        <is>
          <t>Energy Intensity</t>
        </is>
      </c>
    </row>
    <row r="14">
      <c r="A14" t="inlineStr">
        <is>
          <t>(MMBtu per household)</t>
        </is>
      </c>
    </row>
    <row r="15">
      <c r="A15" t="inlineStr">
        <is>
          <t>Gross End-use Consumption</t>
        </is>
      </c>
      <c r="B15" t="inlineStr">
        <is>
          <t>Residential: Household Energy Intensity: Gross End-use Consumption: Alternative Electricity and Transportation</t>
        </is>
      </c>
      <c r="C15" t="inlineStr">
        <is>
          <t>AEO.2026.ELECTRNP.INY_HHD_RESD_DELE_NA_NA_USA_MILLBTUPHOSD.A</t>
        </is>
      </c>
      <c r="D15" t="inlineStr">
        <is>
          <t>MMBtu/household</t>
        </is>
      </c>
      <c r="E15" t="n">
        <v>89.060958</v>
      </c>
      <c r="F15" t="n">
        <v>86.654179</v>
      </c>
      <c r="G15" t="n">
        <v>85.80357600000001</v>
      </c>
      <c r="H15" t="n">
        <v>85.12992800000001</v>
      </c>
      <c r="I15" t="n">
        <v>84.070611</v>
      </c>
      <c r="J15" t="n">
        <v>82.77262500000001</v>
      </c>
      <c r="K15" t="n">
        <v>81.43822</v>
      </c>
      <c r="L15" t="n">
        <v>80.199732</v>
      </c>
      <c r="M15" t="n">
        <v>79.037515</v>
      </c>
      <c r="N15" t="n">
        <v>78.012084</v>
      </c>
      <c r="O15" t="n">
        <v>77.08694800000001</v>
      </c>
      <c r="P15" t="n">
        <v>76.247253</v>
      </c>
      <c r="Q15" t="n">
        <v>75.47180400000001</v>
      </c>
      <c r="R15" t="n">
        <v>74.77941199999999</v>
      </c>
      <c r="S15" t="n">
        <v>74.14729699999999</v>
      </c>
      <c r="T15" t="n">
        <v>73.52951299999999</v>
      </c>
      <c r="U15" t="n">
        <v>72.98766000000001</v>
      </c>
      <c r="V15" t="n">
        <v>72.550301</v>
      </c>
      <c r="W15" t="n">
        <v>72.19137000000001</v>
      </c>
      <c r="X15" t="n">
        <v>71.87331399999999</v>
      </c>
      <c r="Y15" t="n">
        <v>71.554366</v>
      </c>
      <c r="Z15" t="n">
        <v>71.242594</v>
      </c>
      <c r="AA15" t="n">
        <v>70.912942</v>
      </c>
      <c r="AB15" t="n">
        <v>70.590441</v>
      </c>
      <c r="AC15" t="n">
        <v>70.29845899999999</v>
      </c>
      <c r="AD15" t="n">
        <v>70.02575299999999</v>
      </c>
      <c r="AE15" t="inlineStr">
        <is>
          <t>-1.0%</t>
        </is>
      </c>
    </row>
    <row r="16">
      <c r="A16" t="inlineStr">
        <is>
          <t>Delivered Energy Consumption</t>
        </is>
      </c>
      <c r="B16" t="inlineStr">
        <is>
          <t>Residential: Household Energy Intensity: Delivered Energy Consumption: Alternative Electricity and Transportation</t>
        </is>
      </c>
      <c r="C16" t="inlineStr">
        <is>
          <t>AEO.2026.ELECTRNP.INY_HHD_RESD_TEN_NA_NA_USA_MILLBTUPHOSD.A</t>
        </is>
      </c>
      <c r="D16" t="inlineStr">
        <is>
          <t>MMBtu/household</t>
        </is>
      </c>
      <c r="E16" t="n">
        <v>87.644801</v>
      </c>
      <c r="F16" t="n">
        <v>85.169031</v>
      </c>
      <c r="G16" t="n">
        <v>84.24495</v>
      </c>
      <c r="H16" t="n">
        <v>83.496612</v>
      </c>
      <c r="I16" t="n">
        <v>82.368483</v>
      </c>
      <c r="J16" t="n">
        <v>80.999154</v>
      </c>
      <c r="K16" t="n">
        <v>79.58908599999999</v>
      </c>
      <c r="L16" t="n">
        <v>78.275952</v>
      </c>
      <c r="M16" t="n">
        <v>77.036292</v>
      </c>
      <c r="N16" t="n">
        <v>75.92876800000001</v>
      </c>
      <c r="O16" t="n">
        <v>74.91651299999999</v>
      </c>
      <c r="P16" t="n">
        <v>73.985585</v>
      </c>
      <c r="Q16" t="n">
        <v>73.112308</v>
      </c>
      <c r="R16" t="n">
        <v>72.31741</v>
      </c>
      <c r="S16" t="n">
        <v>71.577848</v>
      </c>
      <c r="T16" t="n">
        <v>70.84910000000001</v>
      </c>
      <c r="U16" t="n">
        <v>70.192104</v>
      </c>
      <c r="V16" t="n">
        <v>69.636396</v>
      </c>
      <c r="W16" t="n">
        <v>69.156582</v>
      </c>
      <c r="X16" t="n">
        <v>68.713555</v>
      </c>
      <c r="Y16" t="n">
        <v>68.267577</v>
      </c>
      <c r="Z16" t="n">
        <v>67.82555499999999</v>
      </c>
      <c r="AA16" t="n">
        <v>67.362432</v>
      </c>
      <c r="AB16" t="n">
        <v>66.902169</v>
      </c>
      <c r="AC16" t="n">
        <v>66.47093099999999</v>
      </c>
      <c r="AD16" t="n">
        <v>66.055663</v>
      </c>
      <c r="AE16" t="inlineStr">
        <is>
          <t>-1.1%</t>
        </is>
      </c>
    </row>
    <row r="17">
      <c r="A17" t="inlineStr">
        <is>
          <t>(thousand Btu per square foot)</t>
        </is>
      </c>
    </row>
    <row r="18">
      <c r="A18" t="inlineStr">
        <is>
          <t>Gross End-use Consumption</t>
        </is>
      </c>
      <c r="B18" t="inlineStr">
        <is>
          <t>Residential: Energy Intensity per Square Foot: Gross End-use Consumption: Alternative Electricity and Transportation</t>
        </is>
      </c>
      <c r="C18" t="inlineStr">
        <is>
          <t>AEO.2026.ELECTRNP.INY_HHD_RESD_DELE_NA_NA_USA_THBTUPSQFT.A</t>
        </is>
      </c>
      <c r="D18" t="inlineStr">
        <is>
          <t>thousand Btu/sq ft</t>
        </is>
      </c>
      <c r="E18" t="n">
        <v>54.0228</v>
      </c>
      <c r="F18" t="n">
        <v>52.396983</v>
      </c>
      <c r="G18" t="n">
        <v>51.727746</v>
      </c>
      <c r="H18" t="n">
        <v>51.17151</v>
      </c>
      <c r="I18" t="n">
        <v>50.390447</v>
      </c>
      <c r="J18" t="n">
        <v>49.473886</v>
      </c>
      <c r="K18" t="n">
        <v>48.55031</v>
      </c>
      <c r="L18" t="n">
        <v>47.692079</v>
      </c>
      <c r="M18" t="n">
        <v>46.884504</v>
      </c>
      <c r="N18" t="n">
        <v>46.162207</v>
      </c>
      <c r="O18" t="n">
        <v>45.503646</v>
      </c>
      <c r="P18" t="n">
        <v>44.899583</v>
      </c>
      <c r="Q18" t="n">
        <v>44.330805</v>
      </c>
      <c r="R18" t="n">
        <v>43.811616</v>
      </c>
      <c r="S18" t="n">
        <v>43.32871</v>
      </c>
      <c r="T18" t="n">
        <v>42.856165</v>
      </c>
      <c r="U18" t="n">
        <v>42.429164</v>
      </c>
      <c r="V18" t="n">
        <v>42.064188</v>
      </c>
      <c r="W18" t="n">
        <v>41.747597</v>
      </c>
      <c r="X18" t="n">
        <v>41.458622</v>
      </c>
      <c r="Y18" t="n">
        <v>41.172444</v>
      </c>
      <c r="Z18" t="n">
        <v>40.8932</v>
      </c>
      <c r="AA18" t="n">
        <v>40.606208</v>
      </c>
      <c r="AB18" t="n">
        <v>40.32582</v>
      </c>
      <c r="AC18" t="n">
        <v>40.065393</v>
      </c>
      <c r="AD18" t="n">
        <v>39.81849</v>
      </c>
      <c r="AE18" t="inlineStr">
        <is>
          <t>-1.2%</t>
        </is>
      </c>
    </row>
    <row r="19">
      <c r="A19" t="inlineStr">
        <is>
          <t>Delivered Energy Consumption</t>
        </is>
      </c>
      <c r="B19" t="inlineStr">
        <is>
          <t>Residential: Energy Intensity per Square Foot: Delivered Energy Consumption: Alternative Electricity and Transportation</t>
        </is>
      </c>
      <c r="C19" t="inlineStr">
        <is>
          <t>AEO.2026.ELECTRNP.INY_HHD_RESD_TEN_NA_NA_USA_THBTUPSQFT.A</t>
        </is>
      </c>
      <c r="D19" t="inlineStr">
        <is>
          <t>thousand Btu/sq ft</t>
        </is>
      </c>
      <c r="E19" t="n">
        <v>53.163785</v>
      </c>
      <c r="F19" t="n">
        <v>51.498963</v>
      </c>
      <c r="G19" t="n">
        <v>50.788109</v>
      </c>
      <c r="H19" t="n">
        <v>50.189725</v>
      </c>
      <c r="I19" t="n">
        <v>49.370221</v>
      </c>
      <c r="J19" t="n">
        <v>48.413867</v>
      </c>
      <c r="K19" t="n">
        <v>47.447928</v>
      </c>
      <c r="L19" t="n">
        <v>46.548072</v>
      </c>
      <c r="M19" t="n">
        <v>45.697392</v>
      </c>
      <c r="N19" t="n">
        <v>44.929443</v>
      </c>
      <c r="O19" t="n">
        <v>44.22246</v>
      </c>
      <c r="P19" t="n">
        <v>43.567759</v>
      </c>
      <c r="Q19" t="n">
        <v>42.944878</v>
      </c>
      <c r="R19" t="n">
        <v>42.369183</v>
      </c>
      <c r="S19" t="n">
        <v>41.827227</v>
      </c>
      <c r="T19" t="n">
        <v>41.293905</v>
      </c>
      <c r="U19" t="n">
        <v>40.804052</v>
      </c>
      <c r="V19" t="n">
        <v>40.374725</v>
      </c>
      <c r="W19" t="n">
        <v>39.992608</v>
      </c>
      <c r="X19" t="n">
        <v>39.635981</v>
      </c>
      <c r="Y19" t="n">
        <v>39.281223</v>
      </c>
      <c r="Z19" t="n">
        <v>38.931822</v>
      </c>
      <c r="AA19" t="n">
        <v>38.573113</v>
      </c>
      <c r="AB19" t="n">
        <v>38.21884</v>
      </c>
      <c r="AC19" t="n">
        <v>37.88396</v>
      </c>
      <c r="AD19" t="n">
        <v>37.560992</v>
      </c>
      <c r="AE19" t="inlineStr">
        <is>
          <t>-1.4%</t>
        </is>
      </c>
    </row>
    <row r="20">
      <c r="A20" t="inlineStr">
        <is>
          <t>Energy Consumption by Fuel</t>
        </is>
      </c>
    </row>
    <row r="21">
      <c r="A21" t="inlineStr">
        <is>
          <t>Electricity</t>
        </is>
      </c>
    </row>
    <row r="22">
      <c r="A22" t="inlineStr">
        <is>
          <t>Space Heating</t>
        </is>
      </c>
      <c r="B22" t="inlineStr">
        <is>
          <t>Residential: Electricity: Space Heating: Alternative Electricity and Transportation</t>
        </is>
      </c>
      <c r="C22" t="inlineStr">
        <is>
          <t>AEO.2026.ELECTRNP.CNSM_HHD_RESD_SPH_ELC_NA_USA_QBTU.A</t>
        </is>
      </c>
      <c r="D22" t="inlineStr">
        <is>
          <t>quads</t>
        </is>
      </c>
      <c r="E22" t="n">
        <v>0.594987</v>
      </c>
      <c r="F22" t="n">
        <v>0.565591</v>
      </c>
      <c r="G22" t="n">
        <v>0.56617</v>
      </c>
      <c r="H22" t="n">
        <v>0.56695</v>
      </c>
      <c r="I22" t="n">
        <v>0.565817</v>
      </c>
      <c r="J22" t="n">
        <v>0.562275</v>
      </c>
      <c r="K22" t="n">
        <v>0.5576410000000001</v>
      </c>
      <c r="L22" t="n">
        <v>0.553019</v>
      </c>
      <c r="M22" t="n">
        <v>0.548665</v>
      </c>
      <c r="N22" t="n">
        <v>0.5441009999999999</v>
      </c>
      <c r="O22" t="n">
        <v>0.539627</v>
      </c>
      <c r="P22" t="n">
        <v>0.5353830000000001</v>
      </c>
      <c r="Q22" t="n">
        <v>0.530849</v>
      </c>
      <c r="R22" t="n">
        <v>0.526527</v>
      </c>
      <c r="S22" t="n">
        <v>0.522045</v>
      </c>
      <c r="T22" t="n">
        <v>0.517517</v>
      </c>
      <c r="U22" t="n">
        <v>0.512782</v>
      </c>
      <c r="V22" t="n">
        <v>0.508507</v>
      </c>
      <c r="W22" t="n">
        <v>0.5043879999999999</v>
      </c>
      <c r="X22" t="n">
        <v>0.500026</v>
      </c>
      <c r="Y22" t="n">
        <v>0.495959</v>
      </c>
      <c r="Z22" t="n">
        <v>0.491539</v>
      </c>
      <c r="AA22" t="n">
        <v>0.48666</v>
      </c>
      <c r="AB22" t="n">
        <v>0.481831</v>
      </c>
      <c r="AC22" t="n">
        <v>0.477193</v>
      </c>
      <c r="AD22" t="n">
        <v>0.472459</v>
      </c>
      <c r="AE22" t="inlineStr">
        <is>
          <t>-0.9%</t>
        </is>
      </c>
    </row>
    <row r="23">
      <c r="A23" t="inlineStr">
        <is>
          <t>Space Cooling</t>
        </is>
      </c>
      <c r="B23" t="inlineStr">
        <is>
          <t>Residential: Electricity: Space Cooling: Alternative Electricity and Transportation</t>
        </is>
      </c>
      <c r="C23" t="inlineStr">
        <is>
          <t>AEO.2026.ELECTRNP.CNSM_NA_RESD_SPC_ELC_NA_USA_QBTU.A</t>
        </is>
      </c>
      <c r="D23" t="inlineStr">
        <is>
          <t>quads</t>
        </is>
      </c>
      <c r="E23" t="n">
        <v>0.924574</v>
      </c>
      <c r="F23" t="n">
        <v>0.983886</v>
      </c>
      <c r="G23" t="n">
        <v>0.9977819999999999</v>
      </c>
      <c r="H23" t="n">
        <v>1.011565</v>
      </c>
      <c r="I23" t="n">
        <v>1.022745</v>
      </c>
      <c r="J23" t="n">
        <v>1.029994</v>
      </c>
      <c r="K23" t="n">
        <v>1.036595</v>
      </c>
      <c r="L23" t="n">
        <v>1.044131</v>
      </c>
      <c r="M23" t="n">
        <v>1.052389</v>
      </c>
      <c r="N23" t="n">
        <v>1.061989</v>
      </c>
      <c r="O23" t="n">
        <v>1.072572</v>
      </c>
      <c r="P23" t="n">
        <v>1.084402</v>
      </c>
      <c r="Q23" t="n">
        <v>1.097</v>
      </c>
      <c r="R23" t="n">
        <v>1.11012</v>
      </c>
      <c r="S23" t="n">
        <v>1.123595</v>
      </c>
      <c r="T23" t="n">
        <v>1.137956</v>
      </c>
      <c r="U23" t="n">
        <v>1.153139</v>
      </c>
      <c r="V23" t="n">
        <v>1.170164</v>
      </c>
      <c r="W23" t="n">
        <v>1.188274</v>
      </c>
      <c r="X23" t="n">
        <v>1.206452</v>
      </c>
      <c r="Y23" t="n">
        <v>1.225277</v>
      </c>
      <c r="Z23" t="n">
        <v>1.243111</v>
      </c>
      <c r="AA23" t="n">
        <v>1.260267</v>
      </c>
      <c r="AB23" t="n">
        <v>1.276902</v>
      </c>
      <c r="AC23" t="n">
        <v>1.294258</v>
      </c>
      <c r="AD23" t="n">
        <v>1.31138</v>
      </c>
      <c r="AE23" t="inlineStr">
        <is>
          <t>1.4%</t>
        </is>
      </c>
    </row>
    <row r="24">
      <c r="A24" t="inlineStr">
        <is>
          <t>Water Heating</t>
        </is>
      </c>
      <c r="B24" t="inlineStr">
        <is>
          <t>Residential: Electricity: Water Heating: Alternative Electricity and Transportation</t>
        </is>
      </c>
      <c r="C24" t="inlineStr">
        <is>
          <t>AEO.2026.ELECTRNP.CNSM_NA_RESD_WTHT_ELC_NA_USA_QBTU.A</t>
        </is>
      </c>
      <c r="D24" t="inlineStr">
        <is>
          <t>quads</t>
        </is>
      </c>
      <c r="E24" t="n">
        <v>0.452529</v>
      </c>
      <c r="F24" t="n">
        <v>0.444829</v>
      </c>
      <c r="G24" t="n">
        <v>0.439241</v>
      </c>
      <c r="H24" t="n">
        <v>0.434669</v>
      </c>
      <c r="I24" t="n">
        <v>0.417931</v>
      </c>
      <c r="J24" t="n">
        <v>0.396813</v>
      </c>
      <c r="K24" t="n">
        <v>0.37455</v>
      </c>
      <c r="L24" t="n">
        <v>0.353889</v>
      </c>
      <c r="M24" t="n">
        <v>0.334859</v>
      </c>
      <c r="N24" t="n">
        <v>0.31755</v>
      </c>
      <c r="O24" t="n">
        <v>0.301886</v>
      </c>
      <c r="P24" t="n">
        <v>0.288067</v>
      </c>
      <c r="Q24" t="n">
        <v>0.276008</v>
      </c>
      <c r="R24" t="n">
        <v>0.265726</v>
      </c>
      <c r="S24" t="n">
        <v>0.257168</v>
      </c>
      <c r="T24" t="n">
        <v>0.250335</v>
      </c>
      <c r="U24" t="n">
        <v>0.24518</v>
      </c>
      <c r="V24" t="n">
        <v>0.24183</v>
      </c>
      <c r="W24" t="n">
        <v>0.240263</v>
      </c>
      <c r="X24" t="n">
        <v>0.238624</v>
      </c>
      <c r="Y24" t="n">
        <v>0.236984</v>
      </c>
      <c r="Z24" t="n">
        <v>0.235242</v>
      </c>
      <c r="AA24" t="n">
        <v>0.233407</v>
      </c>
      <c r="AB24" t="n">
        <v>0.23158</v>
      </c>
      <c r="AC24" t="n">
        <v>0.229981</v>
      </c>
      <c r="AD24" t="n">
        <v>0.228558</v>
      </c>
      <c r="AE24" t="inlineStr">
        <is>
          <t>-2.7%</t>
        </is>
      </c>
    </row>
    <row r="25">
      <c r="A25" t="inlineStr">
        <is>
          <t>Refrigeration</t>
        </is>
      </c>
      <c r="B25" t="inlineStr">
        <is>
          <t>Residential: Electricity: Refrigeration: Alternative Electricity and Transportation</t>
        </is>
      </c>
      <c r="C25" t="inlineStr">
        <is>
          <t>AEO.2026.ELECTRNP.CNSM_NA_RESD_REFR_ELC_NA_USA_QBTU.A</t>
        </is>
      </c>
      <c r="D25" t="inlineStr">
        <is>
          <t>quads</t>
        </is>
      </c>
      <c r="E25" t="n">
        <v>0.349563</v>
      </c>
      <c r="F25" t="n">
        <v>0.348527</v>
      </c>
      <c r="G25" t="n">
        <v>0.347433</v>
      </c>
      <c r="H25" t="n">
        <v>0.346209</v>
      </c>
      <c r="I25" t="n">
        <v>0.345259</v>
      </c>
      <c r="J25" t="n">
        <v>0.342024</v>
      </c>
      <c r="K25" t="n">
        <v>0.33903</v>
      </c>
      <c r="L25" t="n">
        <v>0.336304</v>
      </c>
      <c r="M25" t="n">
        <v>0.333799</v>
      </c>
      <c r="N25" t="n">
        <v>0.331468</v>
      </c>
      <c r="O25" t="n">
        <v>0.329366</v>
      </c>
      <c r="P25" t="n">
        <v>0.327653</v>
      </c>
      <c r="Q25" t="n">
        <v>0.326343</v>
      </c>
      <c r="R25" t="n">
        <v>0.325461</v>
      </c>
      <c r="S25" t="n">
        <v>0.32499</v>
      </c>
      <c r="T25" t="n">
        <v>0.324938</v>
      </c>
      <c r="U25" t="n">
        <v>0.325294</v>
      </c>
      <c r="V25" t="n">
        <v>0.326072</v>
      </c>
      <c r="W25" t="n">
        <v>0.327281</v>
      </c>
      <c r="X25" t="n">
        <v>0.328913</v>
      </c>
      <c r="Y25" t="n">
        <v>0.33105</v>
      </c>
      <c r="Z25" t="n">
        <v>0.333714</v>
      </c>
      <c r="AA25" t="n">
        <v>0.336865</v>
      </c>
      <c r="AB25" t="n">
        <v>0.340006</v>
      </c>
      <c r="AC25" t="n">
        <v>0.343129</v>
      </c>
      <c r="AD25" t="n">
        <v>0.346229</v>
      </c>
      <c r="AE25" t="inlineStr">
        <is>
          <t>-0.0%</t>
        </is>
      </c>
    </row>
    <row r="26">
      <c r="A26" t="inlineStr">
        <is>
          <t>Cooking</t>
        </is>
      </c>
      <c r="B26" t="inlineStr">
        <is>
          <t>Residential: Electricity: Cooking: Alternative Electricity and Transportation</t>
        </is>
      </c>
      <c r="C26" t="inlineStr">
        <is>
          <t>AEO.2026.ELECTRNP.CNSM_NA_RESD_CGR_ELC_NA_USA_QBTU.A</t>
        </is>
      </c>
      <c r="D26" t="inlineStr">
        <is>
          <t>quads</t>
        </is>
      </c>
      <c r="E26" t="n">
        <v>0.06836200000000001</v>
      </c>
      <c r="F26" t="n">
        <v>0.069242</v>
      </c>
      <c r="G26" t="n">
        <v>0.07015</v>
      </c>
      <c r="H26" t="n">
        <v>0.07105300000000001</v>
      </c>
      <c r="I26" t="n">
        <v>0.07196</v>
      </c>
      <c r="J26" t="n">
        <v>0.07285999999999999</v>
      </c>
      <c r="K26" t="n">
        <v>0.07377</v>
      </c>
      <c r="L26" t="n">
        <v>0.074686</v>
      </c>
      <c r="M26" t="n">
        <v>0.075595</v>
      </c>
      <c r="N26" t="n">
        <v>0.076502</v>
      </c>
      <c r="O26" t="n">
        <v>0.077415</v>
      </c>
      <c r="P26" t="n">
        <v>0.078332</v>
      </c>
      <c r="Q26" t="n">
        <v>0.079236</v>
      </c>
      <c r="R26" t="n">
        <v>0.08007400000000001</v>
      </c>
      <c r="S26" t="n">
        <v>0.08082300000000001</v>
      </c>
      <c r="T26" t="n">
        <v>0.081486</v>
      </c>
      <c r="U26" t="n">
        <v>0.082052</v>
      </c>
      <c r="V26" t="n">
        <v>0.082525</v>
      </c>
      <c r="W26" t="n">
        <v>0.082965</v>
      </c>
      <c r="X26" t="n">
        <v>0.083381</v>
      </c>
      <c r="Y26" t="n">
        <v>0.083789</v>
      </c>
      <c r="Z26" t="n">
        <v>0.084191</v>
      </c>
      <c r="AA26" t="n">
        <v>0.08458400000000001</v>
      </c>
      <c r="AB26" t="n">
        <v>0.084967</v>
      </c>
      <c r="AC26" t="n">
        <v>0.085342</v>
      </c>
      <c r="AD26" t="n">
        <v>0.08570899999999999</v>
      </c>
      <c r="AE26" t="inlineStr">
        <is>
          <t>0.9%</t>
        </is>
      </c>
    </row>
    <row r="27">
      <c r="A27" t="inlineStr">
        <is>
          <t>Clothes Dryers</t>
        </is>
      </c>
      <c r="B27" t="inlineStr">
        <is>
          <t>Residential: Electricity: Clothes Dryers: Alternative Electricity and Transportation</t>
        </is>
      </c>
      <c r="C27" t="inlineStr">
        <is>
          <t>AEO.2026.ELECTRNP.CNSM_NA_RESD_CDR_ELC_NA_USA_QBTU.A</t>
        </is>
      </c>
      <c r="D27" t="inlineStr">
        <is>
          <t>quads</t>
        </is>
      </c>
      <c r="E27" t="n">
        <v>0.190333</v>
      </c>
      <c r="F27" t="n">
        <v>0.190841</v>
      </c>
      <c r="G27" t="n">
        <v>0.191803</v>
      </c>
      <c r="H27" t="n">
        <v>0.193076</v>
      </c>
      <c r="I27" t="n">
        <v>0.193741</v>
      </c>
      <c r="J27" t="n">
        <v>0.193361</v>
      </c>
      <c r="K27" t="n">
        <v>0.192361</v>
      </c>
      <c r="L27" t="n">
        <v>0.191029</v>
      </c>
      <c r="M27" t="n">
        <v>0.19012</v>
      </c>
      <c r="N27" t="n">
        <v>0.1896</v>
      </c>
      <c r="O27" t="n">
        <v>0.189483</v>
      </c>
      <c r="P27" t="n">
        <v>0.189817</v>
      </c>
      <c r="Q27" t="n">
        <v>0.190518</v>
      </c>
      <c r="R27" t="n">
        <v>0.191708</v>
      </c>
      <c r="S27" t="n">
        <v>0.19336</v>
      </c>
      <c r="T27" t="n">
        <v>0.195529</v>
      </c>
      <c r="U27" t="n">
        <v>0.198302</v>
      </c>
      <c r="V27" t="n">
        <v>0.20107</v>
      </c>
      <c r="W27" t="n">
        <v>0.20391</v>
      </c>
      <c r="X27" t="n">
        <v>0.206758</v>
      </c>
      <c r="Y27" t="n">
        <v>0.209611</v>
      </c>
      <c r="Z27" t="n">
        <v>0.212328</v>
      </c>
      <c r="AA27" t="n">
        <v>0.214859</v>
      </c>
      <c r="AB27" t="n">
        <v>0.217261</v>
      </c>
      <c r="AC27" t="n">
        <v>0.21971</v>
      </c>
      <c r="AD27" t="n">
        <v>0.222073</v>
      </c>
      <c r="AE27" t="inlineStr">
        <is>
          <t>0.6%</t>
        </is>
      </c>
    </row>
    <row r="28">
      <c r="A28" t="inlineStr">
        <is>
          <t>Freezers</t>
        </is>
      </c>
      <c r="B28" t="inlineStr">
        <is>
          <t>Residential: Electricity: Freezers: Alternative Electricity and Transportation</t>
        </is>
      </c>
      <c r="C28" t="inlineStr">
        <is>
          <t>AEO.2026.ELECTRNP.CNSM_NA_RESD_FRZ_ELC_NA_USA_QBTU.A</t>
        </is>
      </c>
      <c r="D28" t="inlineStr">
        <is>
          <t>quads</t>
        </is>
      </c>
      <c r="E28" t="n">
        <v>0.079278</v>
      </c>
      <c r="F28" t="n">
        <v>0.07924100000000001</v>
      </c>
      <c r="G28" t="n">
        <v>0.079217</v>
      </c>
      <c r="H28" t="n">
        <v>0.07915999999999999</v>
      </c>
      <c r="I28" t="n">
        <v>0.079073</v>
      </c>
      <c r="J28" t="n">
        <v>0.07857</v>
      </c>
      <c r="K28" t="n">
        <v>0.07800700000000001</v>
      </c>
      <c r="L28" t="n">
        <v>0.077404</v>
      </c>
      <c r="M28" t="n">
        <v>0.076823</v>
      </c>
      <c r="N28" t="n">
        <v>0.07625700000000001</v>
      </c>
      <c r="O28" t="n">
        <v>0.07571600000000001</v>
      </c>
      <c r="P28" t="n">
        <v>0.075195</v>
      </c>
      <c r="Q28" t="n">
        <v>0.074693</v>
      </c>
      <c r="R28" t="n">
        <v>0.074214</v>
      </c>
      <c r="S28" t="n">
        <v>0.073757</v>
      </c>
      <c r="T28" t="n">
        <v>0.073328</v>
      </c>
      <c r="U28" t="n">
        <v>0.072937</v>
      </c>
      <c r="V28" t="n">
        <v>0.072586</v>
      </c>
      <c r="W28" t="n">
        <v>0.072278</v>
      </c>
      <c r="X28" t="n">
        <v>0.07201200000000001</v>
      </c>
      <c r="Y28" t="n">
        <v>0.071802</v>
      </c>
      <c r="Z28" t="n">
        <v>0.07166</v>
      </c>
      <c r="AA28" t="n">
        <v>0.071579</v>
      </c>
      <c r="AB28" t="n">
        <v>0.071571</v>
      </c>
      <c r="AC28" t="n">
        <v>0.071643</v>
      </c>
      <c r="AD28" t="n">
        <v>0.0718</v>
      </c>
      <c r="AE28" t="inlineStr">
        <is>
          <t>-0.4%</t>
        </is>
      </c>
    </row>
    <row r="29">
      <c r="A29" t="inlineStr">
        <is>
          <t>Lighting</t>
        </is>
      </c>
      <c r="B29" t="inlineStr">
        <is>
          <t>Residential: Electricity: Lighting: Alternative Electricity and Transportation</t>
        </is>
      </c>
      <c r="C29" t="inlineStr">
        <is>
          <t>AEO.2026.ELECTRNP.CNSM_NA_RESD_LGHTNG_ELC_NA_USA_QBTU.A</t>
        </is>
      </c>
      <c r="D29" t="inlineStr">
        <is>
          <t>quads</t>
        </is>
      </c>
      <c r="E29" t="n">
        <v>0.182847</v>
      </c>
      <c r="F29" t="n">
        <v>0.182216</v>
      </c>
      <c r="G29" t="n">
        <v>0.183569</v>
      </c>
      <c r="H29" t="n">
        <v>0.18564</v>
      </c>
      <c r="I29" t="n">
        <v>0.187439</v>
      </c>
      <c r="J29" t="n">
        <v>0.186994</v>
      </c>
      <c r="K29" t="n">
        <v>0.186424</v>
      </c>
      <c r="L29" t="n">
        <v>0.186261</v>
      </c>
      <c r="M29" t="n">
        <v>0.186404</v>
      </c>
      <c r="N29" t="n">
        <v>0.186742</v>
      </c>
      <c r="O29" t="n">
        <v>0.187215</v>
      </c>
      <c r="P29" t="n">
        <v>0.187754</v>
      </c>
      <c r="Q29" t="n">
        <v>0.188226</v>
      </c>
      <c r="R29" t="n">
        <v>0.188723</v>
      </c>
      <c r="S29" t="n">
        <v>0.1894</v>
      </c>
      <c r="T29" t="n">
        <v>0.187035</v>
      </c>
      <c r="U29" t="n">
        <v>0.185089</v>
      </c>
      <c r="V29" t="n">
        <v>0.183691</v>
      </c>
      <c r="W29" t="n">
        <v>0.182846</v>
      </c>
      <c r="X29" t="n">
        <v>0.182477</v>
      </c>
      <c r="Y29" t="n">
        <v>0.182384</v>
      </c>
      <c r="Z29" t="n">
        <v>0.18231</v>
      </c>
      <c r="AA29" t="n">
        <v>0.182202</v>
      </c>
      <c r="AB29" t="n">
        <v>0.182192</v>
      </c>
      <c r="AC29" t="n">
        <v>0.182375</v>
      </c>
      <c r="AD29" t="n">
        <v>0.182588</v>
      </c>
      <c r="AE29" t="inlineStr">
        <is>
          <t>-0.0%</t>
        </is>
      </c>
    </row>
    <row r="30">
      <c r="A30" t="inlineStr">
        <is>
          <t>Clothes Washers</t>
        </is>
      </c>
      <c r="B30" t="inlineStr">
        <is>
          <t>Residential: Electricity: Clothes Washers: Alternative Electricity and Transportation</t>
        </is>
      </c>
      <c r="C30" t="inlineStr">
        <is>
          <t>AEO.2026.ELECTRNP.CNSM_NA_RESD_CLW_ELC_NA_USA_QBTU.A</t>
        </is>
      </c>
      <c r="D30" t="inlineStr">
        <is>
          <t>quads</t>
        </is>
      </c>
      <c r="E30" t="n">
        <v>0.040723</v>
      </c>
      <c r="F30" t="n">
        <v>0.039741</v>
      </c>
      <c r="G30" t="n">
        <v>0.03875</v>
      </c>
      <c r="H30" t="n">
        <v>0.037583</v>
      </c>
      <c r="I30" t="n">
        <v>0.036385</v>
      </c>
      <c r="J30" t="n">
        <v>0.034992</v>
      </c>
      <c r="K30" t="n">
        <v>0.03354</v>
      </c>
      <c r="L30" t="n">
        <v>0.032</v>
      </c>
      <c r="M30" t="n">
        <v>0.030665</v>
      </c>
      <c r="N30" t="n">
        <v>0.029534</v>
      </c>
      <c r="O30" t="n">
        <v>0.028609</v>
      </c>
      <c r="P30" t="n">
        <v>0.027904</v>
      </c>
      <c r="Q30" t="n">
        <v>0.027429</v>
      </c>
      <c r="R30" t="n">
        <v>0.02721</v>
      </c>
      <c r="S30" t="n">
        <v>0.027261</v>
      </c>
      <c r="T30" t="n">
        <v>0.027311</v>
      </c>
      <c r="U30" t="n">
        <v>0.027362</v>
      </c>
      <c r="V30" t="n">
        <v>0.02742</v>
      </c>
      <c r="W30" t="n">
        <v>0.027486</v>
      </c>
      <c r="X30" t="n">
        <v>0.027564</v>
      </c>
      <c r="Y30" t="n">
        <v>0.027658</v>
      </c>
      <c r="Z30" t="n">
        <v>0.027768</v>
      </c>
      <c r="AA30" t="n">
        <v>0.02789</v>
      </c>
      <c r="AB30" t="n">
        <v>0.028024</v>
      </c>
      <c r="AC30" t="n">
        <v>0.028167</v>
      </c>
      <c r="AD30" t="n">
        <v>0.028319</v>
      </c>
      <c r="AE30" t="inlineStr">
        <is>
          <t>-1.4%</t>
        </is>
      </c>
    </row>
    <row r="31">
      <c r="A31" t="inlineStr">
        <is>
          <t>Dishwashers</t>
        </is>
      </c>
      <c r="B31" t="inlineStr">
        <is>
          <t>Residential: Electricity: Dishwashers: Alternative Electricity and Transportation</t>
        </is>
      </c>
      <c r="C31" t="inlineStr">
        <is>
          <t>AEO.2026.ELECTRNP.CNSM_NA_RESD_DSW_ELC_NA_USA_QBTU.A</t>
        </is>
      </c>
      <c r="D31" t="inlineStr">
        <is>
          <t>quads</t>
        </is>
      </c>
      <c r="E31" t="n">
        <v>0.037162</v>
      </c>
      <c r="F31" t="n">
        <v>0.038076</v>
      </c>
      <c r="G31" t="n">
        <v>0.03836</v>
      </c>
      <c r="H31" t="n">
        <v>0.038523</v>
      </c>
      <c r="I31" t="n">
        <v>0.038637</v>
      </c>
      <c r="J31" t="n">
        <v>0.038703</v>
      </c>
      <c r="K31" t="n">
        <v>0.03872</v>
      </c>
      <c r="L31" t="n">
        <v>0.038689</v>
      </c>
      <c r="M31" t="n">
        <v>0.038734</v>
      </c>
      <c r="N31" t="n">
        <v>0.038861</v>
      </c>
      <c r="O31" t="n">
        <v>0.039071</v>
      </c>
      <c r="P31" t="n">
        <v>0.039371</v>
      </c>
      <c r="Q31" t="n">
        <v>0.039764</v>
      </c>
      <c r="R31" t="n">
        <v>0.040262</v>
      </c>
      <c r="S31" t="n">
        <v>0.040872</v>
      </c>
      <c r="T31" t="n">
        <v>0.041477</v>
      </c>
      <c r="U31" t="n">
        <v>0.042076</v>
      </c>
      <c r="V31" t="n">
        <v>0.042674</v>
      </c>
      <c r="W31" t="n">
        <v>0.043273</v>
      </c>
      <c r="X31" t="n">
        <v>0.043876</v>
      </c>
      <c r="Y31" t="n">
        <v>0.044488</v>
      </c>
      <c r="Z31" t="n">
        <v>0.045111</v>
      </c>
      <c r="AA31" t="n">
        <v>0.045741</v>
      </c>
      <c r="AB31" t="n">
        <v>0.046379</v>
      </c>
      <c r="AC31" t="n">
        <v>0.047023</v>
      </c>
      <c r="AD31" t="n">
        <v>0.047676</v>
      </c>
      <c r="AE31" t="inlineStr">
        <is>
          <t>1.0%</t>
        </is>
      </c>
    </row>
    <row r="32">
      <c r="A32" t="inlineStr">
        <is>
          <t>Televisions and Related Equipment</t>
        </is>
      </c>
      <c r="B32" t="inlineStr">
        <is>
          <t>Residential: Electricity: Televisions: Alternative Electricity and Transportation</t>
        </is>
      </c>
      <c r="C32" t="inlineStr">
        <is>
          <t>AEO.2026.ELECTRNP.CNSM_NA_RESD_TVR_ELC_NA_USA_QBTU.A</t>
        </is>
      </c>
      <c r="D32" t="inlineStr">
        <is>
          <t>quads</t>
        </is>
      </c>
      <c r="E32" t="n">
        <v>0.124839</v>
      </c>
      <c r="F32" t="n">
        <v>0.122177</v>
      </c>
      <c r="G32" t="n">
        <v>0.119963</v>
      </c>
      <c r="H32" t="n">
        <v>0.118088</v>
      </c>
      <c r="I32" t="n">
        <v>0.116097</v>
      </c>
      <c r="J32" t="n">
        <v>0.113806</v>
      </c>
      <c r="K32" t="n">
        <v>0.111516</v>
      </c>
      <c r="L32" t="n">
        <v>0.109399</v>
      </c>
      <c r="M32" t="n">
        <v>0.107489</v>
      </c>
      <c r="N32" t="n">
        <v>0.105735</v>
      </c>
      <c r="O32" t="n">
        <v>0.104144</v>
      </c>
      <c r="P32" t="n">
        <v>0.102719</v>
      </c>
      <c r="Q32" t="n">
        <v>0.101411</v>
      </c>
      <c r="R32" t="n">
        <v>0.100273</v>
      </c>
      <c r="S32" t="n">
        <v>0.09926699999999999</v>
      </c>
      <c r="T32" t="n">
        <v>0.098398</v>
      </c>
      <c r="U32" t="n">
        <v>0.097694</v>
      </c>
      <c r="V32" t="n">
        <v>0.097154</v>
      </c>
      <c r="W32" t="n">
        <v>0.096815</v>
      </c>
      <c r="X32" t="n">
        <v>0.09664300000000001</v>
      </c>
      <c r="Y32" t="n">
        <v>0.096638</v>
      </c>
      <c r="Z32" t="n">
        <v>0.096759</v>
      </c>
      <c r="AA32" t="n">
        <v>0.096903</v>
      </c>
      <c r="AB32" t="n">
        <v>0.097108</v>
      </c>
      <c r="AC32" t="n">
        <v>0.097404</v>
      </c>
      <c r="AD32" t="n">
        <v>0.097758</v>
      </c>
      <c r="AE32" t="inlineStr">
        <is>
          <t>-1.0%</t>
        </is>
      </c>
    </row>
    <row r="33">
      <c r="A33" t="inlineStr">
        <is>
          <t>Computers and Related Equipment</t>
        </is>
      </c>
      <c r="B33" t="inlineStr">
        <is>
          <t>Residential: Electricity: Computers: Alternative Electricity and Transportation</t>
        </is>
      </c>
      <c r="C33" t="inlineStr">
        <is>
          <t>AEO.2026.ELECTRNP.CNSM_NA_RESD_CMPR_ELC_NA_USA_QBTU.A</t>
        </is>
      </c>
      <c r="D33" t="inlineStr">
        <is>
          <t>quads</t>
        </is>
      </c>
      <c r="E33" t="n">
        <v>0.097012</v>
      </c>
      <c r="F33" t="n">
        <v>0.09532400000000001</v>
      </c>
      <c r="G33" t="n">
        <v>0.093865</v>
      </c>
      <c r="H33" t="n">
        <v>0.092524</v>
      </c>
      <c r="I33" t="n">
        <v>0.090934</v>
      </c>
      <c r="J33" t="n">
        <v>0.08898200000000001</v>
      </c>
      <c r="K33" t="n">
        <v>0.086906</v>
      </c>
      <c r="L33" t="n">
        <v>0.084865</v>
      </c>
      <c r="M33" t="n">
        <v>0.082885</v>
      </c>
      <c r="N33" t="n">
        <v>0.080946</v>
      </c>
      <c r="O33" t="n">
        <v>0.07906199999999999</v>
      </c>
      <c r="P33" t="n">
        <v>0.07725</v>
      </c>
      <c r="Q33" t="n">
        <v>0.075484</v>
      </c>
      <c r="R33" t="n">
        <v>0.073799</v>
      </c>
      <c r="S33" t="n">
        <v>0.072189</v>
      </c>
      <c r="T33" t="n">
        <v>0.07066699999999999</v>
      </c>
      <c r="U33" t="n">
        <v>0.069258</v>
      </c>
      <c r="V33" t="n">
        <v>0.06798999999999999</v>
      </c>
      <c r="W33" t="n">
        <v>0.06687899999999999</v>
      </c>
      <c r="X33" t="n">
        <v>0.06591900000000001</v>
      </c>
      <c r="Y33" t="n">
        <v>0.06511400000000001</v>
      </c>
      <c r="Z33" t="n">
        <v>0.064456</v>
      </c>
      <c r="AA33" t="n">
        <v>0.06389300000000001</v>
      </c>
      <c r="AB33" t="n">
        <v>0.063459</v>
      </c>
      <c r="AC33" t="n">
        <v>0.063206</v>
      </c>
      <c r="AD33" t="n">
        <v>0.063082</v>
      </c>
      <c r="AE33" t="inlineStr">
        <is>
          <t>-1.7%</t>
        </is>
      </c>
    </row>
    <row r="34">
      <c r="A34" t="inlineStr">
        <is>
          <t>Furnace Fans and Boiler Circulation Pumps</t>
        </is>
      </c>
      <c r="B34" t="inlineStr">
        <is>
          <t>Residential: Electricity: Fans and Pumps: Alternative Electricity and Transportation</t>
        </is>
      </c>
      <c r="C34" t="inlineStr">
        <is>
          <t>AEO.2026.ELECTRNP.CNSM_NA_RESD_FPR_ELC_NA_USA_QBTU.A</t>
        </is>
      </c>
      <c r="D34" t="inlineStr">
        <is>
          <t>quads</t>
        </is>
      </c>
      <c r="E34" t="n">
        <v>0.157436</v>
      </c>
      <c r="F34" t="n">
        <v>0.152897</v>
      </c>
      <c r="G34" t="n">
        <v>0.153778</v>
      </c>
      <c r="H34" t="n">
        <v>0.154119</v>
      </c>
      <c r="I34" t="n">
        <v>0.154014</v>
      </c>
      <c r="J34" t="n">
        <v>0.153651</v>
      </c>
      <c r="K34" t="n">
        <v>0.15307</v>
      </c>
      <c r="L34" t="n">
        <v>0.152658</v>
      </c>
      <c r="M34" t="n">
        <v>0.152172</v>
      </c>
      <c r="N34" t="n">
        <v>0.151658</v>
      </c>
      <c r="O34" t="n">
        <v>0.151023</v>
      </c>
      <c r="P34" t="n">
        <v>0.15023</v>
      </c>
      <c r="Q34" t="n">
        <v>0.149108</v>
      </c>
      <c r="R34" t="n">
        <v>0.147686</v>
      </c>
      <c r="S34" t="n">
        <v>0.145907</v>
      </c>
      <c r="T34" t="n">
        <v>0.143828</v>
      </c>
      <c r="U34" t="n">
        <v>0.141444</v>
      </c>
      <c r="V34" t="n">
        <v>0.139018</v>
      </c>
      <c r="W34" t="n">
        <v>0.136444</v>
      </c>
      <c r="X34" t="n">
        <v>0.133819</v>
      </c>
      <c r="Y34" t="n">
        <v>0.131257</v>
      </c>
      <c r="Z34" t="n">
        <v>0.128709</v>
      </c>
      <c r="AA34" t="n">
        <v>0.126132</v>
      </c>
      <c r="AB34" t="n">
        <v>0.123731</v>
      </c>
      <c r="AC34" t="n">
        <v>0.121516</v>
      </c>
      <c r="AD34" t="n">
        <v>0.11952</v>
      </c>
      <c r="AE34" t="inlineStr">
        <is>
          <t>-1.1%</t>
        </is>
      </c>
    </row>
    <row r="35">
      <c r="A35" t="inlineStr">
        <is>
          <t>Other Uses</t>
        </is>
      </c>
      <c r="B35" t="inlineStr">
        <is>
          <t>Residential: Electricity: Other Uses: Alternative Electricity and Transportation</t>
        </is>
      </c>
      <c r="C35" t="inlineStr">
        <is>
          <t>AEO.2026.ELECTRNP.CNSM_NA_RESD_OTHU_ELC_NA_USA_QBTU.A</t>
        </is>
      </c>
      <c r="D35" t="inlineStr">
        <is>
          <t>quads</t>
        </is>
      </c>
      <c r="E35" t="n">
        <v>2.031976</v>
      </c>
      <c r="F35" t="n">
        <v>2.04978</v>
      </c>
      <c r="G35" t="n">
        <v>1.951656</v>
      </c>
      <c r="H35" t="n">
        <v>1.988581</v>
      </c>
      <c r="I35" t="n">
        <v>2.022693</v>
      </c>
      <c r="J35" t="n">
        <v>2.052124</v>
      </c>
      <c r="K35" t="n">
        <v>2.079438</v>
      </c>
      <c r="L35" t="n">
        <v>2.107502</v>
      </c>
      <c r="M35" t="n">
        <v>2.136621</v>
      </c>
      <c r="N35" t="n">
        <v>2.169004</v>
      </c>
      <c r="O35" t="n">
        <v>2.202814</v>
      </c>
      <c r="P35" t="n">
        <v>2.236977</v>
      </c>
      <c r="Q35" t="n">
        <v>2.272159</v>
      </c>
      <c r="R35" t="n">
        <v>2.308141</v>
      </c>
      <c r="S35" t="n">
        <v>2.343804</v>
      </c>
      <c r="T35" t="n">
        <v>2.375345</v>
      </c>
      <c r="U35" t="n">
        <v>2.409292</v>
      </c>
      <c r="V35" t="n">
        <v>2.444862</v>
      </c>
      <c r="W35" t="n">
        <v>2.482457</v>
      </c>
      <c r="X35" t="n">
        <v>2.52102</v>
      </c>
      <c r="Y35" t="n">
        <v>2.555663</v>
      </c>
      <c r="Z35" t="n">
        <v>2.594046</v>
      </c>
      <c r="AA35" t="n">
        <v>2.631852</v>
      </c>
      <c r="AB35" t="n">
        <v>2.669811</v>
      </c>
      <c r="AC35" t="n">
        <v>2.708942</v>
      </c>
      <c r="AD35" t="n">
        <v>2.748828</v>
      </c>
      <c r="AE35" t="inlineStr">
        <is>
          <t>1.2%</t>
        </is>
      </c>
    </row>
    <row r="36">
      <c r="A36" t="inlineStr">
        <is>
          <t>Gross End-use Electricity Consumption</t>
        </is>
      </c>
      <c r="B36" t="inlineStr">
        <is>
          <t>Residential: Electricity: Gross End-use Electricity Consumption: Alternative Electricity and Transportation</t>
        </is>
      </c>
      <c r="C36" t="inlineStr">
        <is>
          <t>AEO.2026.ELECTRNP.CNSM_NA_RESD_DELE_ELC_NA_USA_QBTU.A</t>
        </is>
      </c>
      <c r="D36" t="inlineStr">
        <is>
          <t>quads</t>
        </is>
      </c>
      <c r="E36" t="n">
        <v>5.331621</v>
      </c>
      <c r="F36" t="n">
        <v>5.362367</v>
      </c>
      <c r="G36" t="n">
        <v>5.271737</v>
      </c>
      <c r="H36" t="n">
        <v>5.317738</v>
      </c>
      <c r="I36" t="n">
        <v>5.342727</v>
      </c>
      <c r="J36" t="n">
        <v>5.345149</v>
      </c>
      <c r="K36" t="n">
        <v>5.341567</v>
      </c>
      <c r="L36" t="n">
        <v>5.341836</v>
      </c>
      <c r="M36" t="n">
        <v>5.347222</v>
      </c>
      <c r="N36" t="n">
        <v>5.359948</v>
      </c>
      <c r="O36" t="n">
        <v>5.378004</v>
      </c>
      <c r="P36" t="n">
        <v>5.401054</v>
      </c>
      <c r="Q36" t="n">
        <v>5.428228</v>
      </c>
      <c r="R36" t="n">
        <v>5.459923</v>
      </c>
      <c r="S36" t="n">
        <v>5.494439</v>
      </c>
      <c r="T36" t="n">
        <v>5.525149</v>
      </c>
      <c r="U36" t="n">
        <v>5.561899</v>
      </c>
      <c r="V36" t="n">
        <v>5.605565</v>
      </c>
      <c r="W36" t="n">
        <v>5.655558</v>
      </c>
      <c r="X36" t="n">
        <v>5.707485</v>
      </c>
      <c r="Y36" t="n">
        <v>5.757674</v>
      </c>
      <c r="Z36" t="n">
        <v>5.810945</v>
      </c>
      <c r="AA36" t="n">
        <v>5.862835</v>
      </c>
      <c r="AB36" t="n">
        <v>5.914823</v>
      </c>
      <c r="AC36" t="n">
        <v>5.96989</v>
      </c>
      <c r="AD36" t="n">
        <v>6.025979</v>
      </c>
      <c r="AE36" t="inlineStr">
        <is>
          <t>0.5%</t>
        </is>
      </c>
    </row>
    <row r="37">
      <c r="A37" t="inlineStr">
        <is>
          <t>Purchased Electricity for Electric Vehicle Charging</t>
        </is>
      </c>
      <c r="B37" t="inlineStr">
        <is>
          <t>Residential: Electricity: Purchased Electricity for EV Charging: Alternative Electricity and Transportation</t>
        </is>
      </c>
      <c r="C37" t="inlineStr">
        <is>
          <t>AEO.2026.ELECTRNP.CNSM_NA_RESD_EVCHRING_ELC_NA_USA_QBTU.A</t>
        </is>
      </c>
      <c r="D37" t="inlineStr">
        <is>
          <t>quads</t>
        </is>
      </c>
      <c r="E37" t="n">
        <v>0.070135</v>
      </c>
      <c r="F37" t="n">
        <v>0.091487</v>
      </c>
      <c r="G37" t="n">
        <v>0.119301</v>
      </c>
      <c r="H37" t="n">
        <v>0.150191</v>
      </c>
      <c r="I37" t="n">
        <v>0.180501</v>
      </c>
      <c r="J37" t="n">
        <v>0.20873</v>
      </c>
      <c r="K37" t="n">
        <v>0.23312</v>
      </c>
      <c r="L37" t="n">
        <v>0.255188</v>
      </c>
      <c r="M37" t="n">
        <v>0.276995</v>
      </c>
      <c r="N37" t="n">
        <v>0.299237</v>
      </c>
      <c r="O37" t="n">
        <v>0.321766</v>
      </c>
      <c r="P37" t="n">
        <v>0.344322</v>
      </c>
      <c r="Q37" t="n">
        <v>0.366901</v>
      </c>
      <c r="R37" t="n">
        <v>0.389322</v>
      </c>
      <c r="S37" t="n">
        <v>0.411141</v>
      </c>
      <c r="T37" t="n">
        <v>0.432469</v>
      </c>
      <c r="U37" t="n">
        <v>0.452774</v>
      </c>
      <c r="V37" t="n">
        <v>0.472388</v>
      </c>
      <c r="W37" t="n">
        <v>0.491304</v>
      </c>
      <c r="X37" t="n">
        <v>0.509669</v>
      </c>
      <c r="Y37" t="n">
        <v>0.527513</v>
      </c>
      <c r="Z37" t="n">
        <v>0.544645</v>
      </c>
      <c r="AA37" t="n">
        <v>0.560954</v>
      </c>
      <c r="AB37" t="n">
        <v>0.576893</v>
      </c>
      <c r="AC37" t="n">
        <v>0.592211</v>
      </c>
      <c r="AD37" t="n">
        <v>0.607194</v>
      </c>
      <c r="AE37" t="inlineStr">
        <is>
          <t>9.0%</t>
        </is>
      </c>
    </row>
    <row r="38">
      <c r="A38" t="inlineStr">
        <is>
          <t>On-site Generation for Own Use</t>
        </is>
      </c>
      <c r="B38" t="inlineStr">
        <is>
          <t>Residential: Electricity: Generation for Own Use: Alternative Electricity and Transportation</t>
        </is>
      </c>
      <c r="C38" t="inlineStr">
        <is>
          <t>AEO.2026.ELECTRNP.GEN_NA_RESD_GFO_ELC_NA_USA_QBTU.A</t>
        </is>
      </c>
      <c r="D38" t="inlineStr">
        <is>
          <t>quads</t>
        </is>
      </c>
      <c r="E38" t="n">
        <v>0.185133</v>
      </c>
      <c r="F38" t="n">
        <v>0.196181</v>
      </c>
      <c r="G38" t="n">
        <v>0.20807</v>
      </c>
      <c r="H38" t="n">
        <v>0.22029</v>
      </c>
      <c r="I38" t="n">
        <v>0.231914</v>
      </c>
      <c r="J38" t="n">
        <v>0.244047</v>
      </c>
      <c r="K38" t="n">
        <v>0.256987</v>
      </c>
      <c r="L38" t="n">
        <v>0.269994</v>
      </c>
      <c r="M38" t="n">
        <v>0.283557</v>
      </c>
      <c r="N38" t="n">
        <v>0.297913</v>
      </c>
      <c r="O38" t="n">
        <v>0.313151</v>
      </c>
      <c r="P38" t="n">
        <v>0.329133</v>
      </c>
      <c r="Q38" t="n">
        <v>0.346163</v>
      </c>
      <c r="R38" t="n">
        <v>0.36399</v>
      </c>
      <c r="S38" t="n">
        <v>0.382634</v>
      </c>
      <c r="T38" t="n">
        <v>0.401916</v>
      </c>
      <c r="U38" t="n">
        <v>0.421918</v>
      </c>
      <c r="V38" t="n">
        <v>0.442534</v>
      </c>
      <c r="W38" t="n">
        <v>0.463664</v>
      </c>
      <c r="X38" t="n">
        <v>0.485583</v>
      </c>
      <c r="Y38" t="n">
        <v>0.508059</v>
      </c>
      <c r="Z38" t="n">
        <v>0.53128</v>
      </c>
      <c r="AA38" t="n">
        <v>0.5552280000000001</v>
      </c>
      <c r="AB38" t="n">
        <v>0.58008</v>
      </c>
      <c r="AC38" t="n">
        <v>0.605411</v>
      </c>
      <c r="AD38" t="n">
        <v>0.631533</v>
      </c>
      <c r="AE38" t="inlineStr">
        <is>
          <t>5.0%</t>
        </is>
      </c>
    </row>
    <row r="39">
      <c r="A39" t="inlineStr">
        <is>
          <t>Purchased Electricity at Residential Location</t>
        </is>
      </c>
      <c r="B39" t="inlineStr">
        <is>
          <t>Residential: Electricity: Purchased Electricity at Residential Location: Alternative Electricity and Transportation</t>
        </is>
      </c>
      <c r="C39" t="inlineStr">
        <is>
          <t>AEO.2026.ELECTRNP.CNSM_NA_RESD_PURCHELEC_ELC_NA_USA_QBTU.A</t>
        </is>
      </c>
      <c r="D39" t="inlineStr">
        <is>
          <t>quads</t>
        </is>
      </c>
      <c r="E39" t="n">
        <v>5.216623</v>
      </c>
      <c r="F39" t="n">
        <v>5.257673</v>
      </c>
      <c r="G39" t="n">
        <v>5.182968</v>
      </c>
      <c r="H39" t="n">
        <v>5.247639</v>
      </c>
      <c r="I39" t="n">
        <v>5.291314</v>
      </c>
      <c r="J39" t="n">
        <v>5.309832</v>
      </c>
      <c r="K39" t="n">
        <v>5.3177</v>
      </c>
      <c r="L39" t="n">
        <v>5.32703</v>
      </c>
      <c r="M39" t="n">
        <v>5.34066</v>
      </c>
      <c r="N39" t="n">
        <v>5.361271</v>
      </c>
      <c r="O39" t="n">
        <v>5.386619</v>
      </c>
      <c r="P39" t="n">
        <v>5.416244</v>
      </c>
      <c r="Q39" t="n">
        <v>5.448967</v>
      </c>
      <c r="R39" t="n">
        <v>5.485255</v>
      </c>
      <c r="S39" t="n">
        <v>5.522946</v>
      </c>
      <c r="T39" t="n">
        <v>5.555702</v>
      </c>
      <c r="U39" t="n">
        <v>5.592755</v>
      </c>
      <c r="V39" t="n">
        <v>5.63542</v>
      </c>
      <c r="W39" t="n">
        <v>5.683198</v>
      </c>
      <c r="X39" t="n">
        <v>5.73157</v>
      </c>
      <c r="Y39" t="n">
        <v>5.777129</v>
      </c>
      <c r="Z39" t="n">
        <v>5.824309</v>
      </c>
      <c r="AA39" t="n">
        <v>5.868561</v>
      </c>
      <c r="AB39" t="n">
        <v>5.911637</v>
      </c>
      <c r="AC39" t="n">
        <v>5.95669</v>
      </c>
      <c r="AD39" t="n">
        <v>6.00164</v>
      </c>
      <c r="AE39" t="inlineStr">
        <is>
          <t>0.6%</t>
        </is>
      </c>
    </row>
    <row r="40">
      <c r="A40" t="inlineStr">
        <is>
          <t>Natural Gas</t>
        </is>
      </c>
    </row>
    <row r="41">
      <c r="A41" t="inlineStr">
        <is>
          <t>Space Heating</t>
        </is>
      </c>
      <c r="B41" t="inlineStr">
        <is>
          <t>Residential: Natural Gas: Space Heating: Alternative Electricity and Transportation</t>
        </is>
      </c>
      <c r="C41" t="inlineStr">
        <is>
          <t>AEO.2026.ELECTRNP.CNSM_NA_RESD_SPH_NG_NA_USA_QBTU.A</t>
        </is>
      </c>
      <c r="D41" t="inlineStr">
        <is>
          <t>quads</t>
        </is>
      </c>
      <c r="E41" t="n">
        <v>3.118029</v>
      </c>
      <c r="F41" t="n">
        <v>2.929732</v>
      </c>
      <c r="G41" t="n">
        <v>3.047068</v>
      </c>
      <c r="H41" t="n">
        <v>3.028339</v>
      </c>
      <c r="I41" t="n">
        <v>2.991961</v>
      </c>
      <c r="J41" t="n">
        <v>2.947513</v>
      </c>
      <c r="K41" t="n">
        <v>2.90039</v>
      </c>
      <c r="L41" t="n">
        <v>2.856502</v>
      </c>
      <c r="M41" t="n">
        <v>2.813128</v>
      </c>
      <c r="N41" t="n">
        <v>2.772394</v>
      </c>
      <c r="O41" t="n">
        <v>2.732819</v>
      </c>
      <c r="P41" t="n">
        <v>2.695713</v>
      </c>
      <c r="Q41" t="n">
        <v>2.658051</v>
      </c>
      <c r="R41" t="n">
        <v>2.62224</v>
      </c>
      <c r="S41" t="n">
        <v>2.587139</v>
      </c>
      <c r="T41" t="n">
        <v>2.553313</v>
      </c>
      <c r="U41" t="n">
        <v>2.519939</v>
      </c>
      <c r="V41" t="n">
        <v>2.490338</v>
      </c>
      <c r="W41" t="n">
        <v>2.462606</v>
      </c>
      <c r="X41" t="n">
        <v>2.436644</v>
      </c>
      <c r="Y41" t="n">
        <v>2.412093</v>
      </c>
      <c r="Z41" t="n">
        <v>2.386654</v>
      </c>
      <c r="AA41" t="n">
        <v>2.359964</v>
      </c>
      <c r="AB41" t="n">
        <v>2.333602</v>
      </c>
      <c r="AC41" t="n">
        <v>2.307677</v>
      </c>
      <c r="AD41" t="n">
        <v>2.28263</v>
      </c>
      <c r="AE41" t="inlineStr">
        <is>
          <t>-1.2%</t>
        </is>
      </c>
    </row>
    <row r="42">
      <c r="A42" t="inlineStr">
        <is>
          <t>Space Cooling</t>
        </is>
      </c>
      <c r="B42" t="inlineStr">
        <is>
          <t>Residential: Natural Gas: Space Cooling: Alternative Electricity and Transportation</t>
        </is>
      </c>
      <c r="C42" t="inlineStr">
        <is>
          <t>AEO.2026.ELECTRNP.CNSM_NA_RESD_SPC_NG_NA_USA_QBTU.A</t>
        </is>
      </c>
      <c r="D42" t="inlineStr">
        <is>
          <t>quads</t>
        </is>
      </c>
      <c r="E42" t="n">
        <v>0.058598</v>
      </c>
      <c r="F42" t="n">
        <v>0.062155</v>
      </c>
      <c r="G42" t="n">
        <v>0.06259000000000001</v>
      </c>
      <c r="H42" t="n">
        <v>0.062752</v>
      </c>
      <c r="I42" t="n">
        <v>0.062711</v>
      </c>
      <c r="J42" t="n">
        <v>0.06257600000000001</v>
      </c>
      <c r="K42" t="n">
        <v>0.062453</v>
      </c>
      <c r="L42" t="n">
        <v>0.06243</v>
      </c>
      <c r="M42" t="n">
        <v>0.062446</v>
      </c>
      <c r="N42" t="n">
        <v>0.062545</v>
      </c>
      <c r="O42" t="n">
        <v>0.062667</v>
      </c>
      <c r="P42" t="n">
        <v>0.06285300000000001</v>
      </c>
      <c r="Q42" t="n">
        <v>0.06307</v>
      </c>
      <c r="R42" t="n">
        <v>0.063308</v>
      </c>
      <c r="S42" t="n">
        <v>0.063572</v>
      </c>
      <c r="T42" t="n">
        <v>0.06389400000000001</v>
      </c>
      <c r="U42" t="n">
        <v>0.064259</v>
      </c>
      <c r="V42" t="n">
        <v>0.064725</v>
      </c>
      <c r="W42" t="n">
        <v>0.06521100000000001</v>
      </c>
      <c r="X42" t="n">
        <v>0.065681</v>
      </c>
      <c r="Y42" t="n">
        <v>0.066162</v>
      </c>
      <c r="Z42" t="n">
        <v>0.06658699999999999</v>
      </c>
      <c r="AA42" t="n">
        <v>0.066993</v>
      </c>
      <c r="AB42" t="n">
        <v>0.06736499999999999</v>
      </c>
      <c r="AC42" t="n">
        <v>0.067759</v>
      </c>
      <c r="AD42" t="n">
        <v>0.068145</v>
      </c>
      <c r="AE42" t="inlineStr">
        <is>
          <t>0.6%</t>
        </is>
      </c>
    </row>
    <row r="43">
      <c r="A43" t="inlineStr">
        <is>
          <t>Water Heating</t>
        </is>
      </c>
      <c r="B43" t="inlineStr">
        <is>
          <t>Residential: Natural Gas: Water Heating: Alternative Electricity and Transportation</t>
        </is>
      </c>
      <c r="C43" t="inlineStr">
        <is>
          <t>AEO.2026.ELECTRNP.CNSM_NA_RESD_WTHT_NG_NA_USA_QBTU.A</t>
        </is>
      </c>
      <c r="D43" t="inlineStr">
        <is>
          <t>quads</t>
        </is>
      </c>
      <c r="E43" t="n">
        <v>1.024266</v>
      </c>
      <c r="F43" t="n">
        <v>1.035179</v>
      </c>
      <c r="G43" t="n">
        <v>1.045421</v>
      </c>
      <c r="H43" t="n">
        <v>1.055186</v>
      </c>
      <c r="I43" t="n">
        <v>1.053344</v>
      </c>
      <c r="J43" t="n">
        <v>1.049761</v>
      </c>
      <c r="K43" t="n">
        <v>1.0469</v>
      </c>
      <c r="L43" t="n">
        <v>1.0452</v>
      </c>
      <c r="M43" t="n">
        <v>1.042567</v>
      </c>
      <c r="N43" t="n">
        <v>1.041999</v>
      </c>
      <c r="O43" t="n">
        <v>1.043007</v>
      </c>
      <c r="P43" t="n">
        <v>1.043505</v>
      </c>
      <c r="Q43" t="n">
        <v>1.043021</v>
      </c>
      <c r="R43" t="n">
        <v>1.042215</v>
      </c>
      <c r="S43" t="n">
        <v>1.04091</v>
      </c>
      <c r="T43" t="n">
        <v>1.039289</v>
      </c>
      <c r="U43" t="n">
        <v>1.037016</v>
      </c>
      <c r="V43" t="n">
        <v>1.034723</v>
      </c>
      <c r="W43" t="n">
        <v>1.032111</v>
      </c>
      <c r="X43" t="n">
        <v>1.029129</v>
      </c>
      <c r="Y43" t="n">
        <v>1.025429</v>
      </c>
      <c r="Z43" t="n">
        <v>1.020672</v>
      </c>
      <c r="AA43" t="n">
        <v>1.015129</v>
      </c>
      <c r="AB43" t="n">
        <v>1.009384</v>
      </c>
      <c r="AC43" t="n">
        <v>1.003914</v>
      </c>
      <c r="AD43" t="n">
        <v>0.99913</v>
      </c>
      <c r="AE43" t="inlineStr">
        <is>
          <t>-0.1%</t>
        </is>
      </c>
    </row>
    <row r="44">
      <c r="A44" t="inlineStr">
        <is>
          <t>Cooking</t>
        </is>
      </c>
      <c r="B44" t="inlineStr">
        <is>
          <t>Residential: Natural Gas: Cooking: Alternative Electricity and Transportation</t>
        </is>
      </c>
      <c r="C44" t="inlineStr">
        <is>
          <t>AEO.2026.ELECTRNP.CNSM_NA_RESD_CGR_NG_NA_USA_QBTU.A</t>
        </is>
      </c>
      <c r="D44" t="inlineStr">
        <is>
          <t>quads</t>
        </is>
      </c>
      <c r="E44" t="n">
        <v>0.077268</v>
      </c>
      <c r="F44" t="n">
        <v>0.07725600000000001</v>
      </c>
      <c r="G44" t="n">
        <v>0.077247</v>
      </c>
      <c r="H44" t="n">
        <v>0.077222</v>
      </c>
      <c r="I44" t="n">
        <v>0.077195</v>
      </c>
      <c r="J44" t="n">
        <v>0.077167</v>
      </c>
      <c r="K44" t="n">
        <v>0.077124</v>
      </c>
      <c r="L44" t="n">
        <v>0.07706499999999999</v>
      </c>
      <c r="M44" t="n">
        <v>0.07700600000000001</v>
      </c>
      <c r="N44" t="n">
        <v>0.07697</v>
      </c>
      <c r="O44" t="n">
        <v>0.076962</v>
      </c>
      <c r="P44" t="n">
        <v>0.076991</v>
      </c>
      <c r="Q44" t="n">
        <v>0.07706</v>
      </c>
      <c r="R44" t="n">
        <v>0.07721699999999999</v>
      </c>
      <c r="S44" t="n">
        <v>0.077432</v>
      </c>
      <c r="T44" t="n">
        <v>0.077712</v>
      </c>
      <c r="U44" t="n">
        <v>0.078045</v>
      </c>
      <c r="V44" t="n">
        <v>0.07843</v>
      </c>
      <c r="W44" t="n">
        <v>0.078816</v>
      </c>
      <c r="X44" t="n">
        <v>0.079203</v>
      </c>
      <c r="Y44" t="n">
        <v>0.079599</v>
      </c>
      <c r="Z44" t="n">
        <v>0.08000599999999999</v>
      </c>
      <c r="AA44" t="n">
        <v>0.080424</v>
      </c>
      <c r="AB44" t="n">
        <v>0.080855</v>
      </c>
      <c r="AC44" t="n">
        <v>0.081299</v>
      </c>
      <c r="AD44" t="n">
        <v>0.081761</v>
      </c>
      <c r="AE44" t="inlineStr">
        <is>
          <t>0.2%</t>
        </is>
      </c>
    </row>
    <row r="45">
      <c r="A45" t="inlineStr">
        <is>
          <t>Clothes Dryers</t>
        </is>
      </c>
      <c r="B45" t="inlineStr">
        <is>
          <t>Residential: Natural Gas: Clothes Dryers: Alternative Electricity and Transportation</t>
        </is>
      </c>
      <c r="C45" t="inlineStr">
        <is>
          <t>AEO.2026.ELECTRNP.CNSM_NA_RESD_CDR_NG_NA_USA_QBTU.A</t>
        </is>
      </c>
      <c r="D45" t="inlineStr">
        <is>
          <t>quads</t>
        </is>
      </c>
      <c r="E45" t="n">
        <v>0.039574</v>
      </c>
      <c r="F45" t="n">
        <v>0.040284</v>
      </c>
      <c r="G45" t="n">
        <v>0.04092</v>
      </c>
      <c r="H45" t="n">
        <v>0.041544</v>
      </c>
      <c r="I45" t="n">
        <v>0.042109</v>
      </c>
      <c r="J45" t="n">
        <v>0.042643</v>
      </c>
      <c r="K45" t="n">
        <v>0.043187</v>
      </c>
      <c r="L45" t="n">
        <v>0.043759</v>
      </c>
      <c r="M45" t="n">
        <v>0.044208</v>
      </c>
      <c r="N45" t="n">
        <v>0.044701</v>
      </c>
      <c r="O45" t="n">
        <v>0.045238</v>
      </c>
      <c r="P45" t="n">
        <v>0.045826</v>
      </c>
      <c r="Q45" t="n">
        <v>0.046396</v>
      </c>
      <c r="R45" t="n">
        <v>0.046978</v>
      </c>
      <c r="S45" t="n">
        <v>0.047561</v>
      </c>
      <c r="T45" t="n">
        <v>0.048146</v>
      </c>
      <c r="U45" t="n">
        <v>0.048724</v>
      </c>
      <c r="V45" t="n">
        <v>0.049352</v>
      </c>
      <c r="W45" t="n">
        <v>0.050015</v>
      </c>
      <c r="X45" t="n">
        <v>0.050707</v>
      </c>
      <c r="Y45" t="n">
        <v>0.051406</v>
      </c>
      <c r="Z45" t="n">
        <v>0.052088</v>
      </c>
      <c r="AA45" t="n">
        <v>0.052756</v>
      </c>
      <c r="AB45" t="n">
        <v>0.053424</v>
      </c>
      <c r="AC45" t="n">
        <v>0.0541</v>
      </c>
      <c r="AD45" t="n">
        <v>0.054789</v>
      </c>
      <c r="AE45" t="inlineStr">
        <is>
          <t>1.3%</t>
        </is>
      </c>
    </row>
    <row r="46">
      <c r="A46" t="inlineStr">
        <is>
          <t>Other Uses</t>
        </is>
      </c>
      <c r="B46" t="inlineStr">
        <is>
          <t>Residential: Natural Gas: Other Uses: Alternative Electricity and Transportation</t>
        </is>
      </c>
      <c r="C46" t="inlineStr">
        <is>
          <t>AEO.2026.ELECTRNP.CNSM_NA_RESD_OTHU_NG_NA_USA_QBTU.A</t>
        </is>
      </c>
      <c r="D46" t="inlineStr">
        <is>
          <t>quads</t>
        </is>
      </c>
      <c r="E46" t="n">
        <v>0.6083460000000001</v>
      </c>
      <c r="F46" t="n">
        <v>0.611666</v>
      </c>
      <c r="G46" t="n">
        <v>0.613946</v>
      </c>
      <c r="H46" t="n">
        <v>0.6150139999999999</v>
      </c>
      <c r="I46" t="n">
        <v>0.6146200000000001</v>
      </c>
      <c r="J46" t="n">
        <v>0.613215</v>
      </c>
      <c r="K46" t="n">
        <v>0.611575</v>
      </c>
      <c r="L46" t="n">
        <v>0.61025</v>
      </c>
      <c r="M46" t="n">
        <v>0.608433</v>
      </c>
      <c r="N46" t="n">
        <v>0.607088</v>
      </c>
      <c r="O46" t="n">
        <v>0.6059</v>
      </c>
      <c r="P46" t="n">
        <v>0.605091</v>
      </c>
      <c r="Q46" t="n">
        <v>0.6041339999999999</v>
      </c>
      <c r="R46" t="n">
        <v>0.603321</v>
      </c>
      <c r="S46" t="n">
        <v>0.602556</v>
      </c>
      <c r="T46" t="n">
        <v>0.601908</v>
      </c>
      <c r="U46" t="n">
        <v>0.601365</v>
      </c>
      <c r="V46" t="n">
        <v>0.601209</v>
      </c>
      <c r="W46" t="n">
        <v>0.6012960000000001</v>
      </c>
      <c r="X46" t="n">
        <v>0.601583</v>
      </c>
      <c r="Y46" t="n">
        <v>0.601791</v>
      </c>
      <c r="Z46" t="n">
        <v>0.6016590000000001</v>
      </c>
      <c r="AA46" t="n">
        <v>0.60125</v>
      </c>
      <c r="AB46" t="n">
        <v>0.600759</v>
      </c>
      <c r="AC46" t="n">
        <v>0.600295</v>
      </c>
      <c r="AD46" t="n">
        <v>0.599917</v>
      </c>
      <c r="AE46" t="inlineStr">
        <is>
          <t>-0.1%</t>
        </is>
      </c>
    </row>
    <row r="47">
      <c r="A47" t="inlineStr">
        <is>
          <t>Delivered Energy</t>
        </is>
      </c>
      <c r="B47" t="inlineStr">
        <is>
          <t>Residential: Natural Gas: Delivered Energy: Alternative Electricity and Transportation</t>
        </is>
      </c>
      <c r="C47" t="inlineStr">
        <is>
          <t>AEO.2026.ELECTRNP.CNSM_NA_RESD_DELE_NG_NA_USA_QBTU.A</t>
        </is>
      </c>
      <c r="D47" t="inlineStr">
        <is>
          <t>quads</t>
        </is>
      </c>
      <c r="E47" t="n">
        <v>4.92608</v>
      </c>
      <c r="F47" t="n">
        <v>4.756272</v>
      </c>
      <c r="G47" t="n">
        <v>4.887193</v>
      </c>
      <c r="H47" t="n">
        <v>4.880057</v>
      </c>
      <c r="I47" t="n">
        <v>4.841941</v>
      </c>
      <c r="J47" t="n">
        <v>4.792875</v>
      </c>
      <c r="K47" t="n">
        <v>4.741629</v>
      </c>
      <c r="L47" t="n">
        <v>4.695206</v>
      </c>
      <c r="M47" t="n">
        <v>4.647789</v>
      </c>
      <c r="N47" t="n">
        <v>4.605699</v>
      </c>
      <c r="O47" t="n">
        <v>4.566593</v>
      </c>
      <c r="P47" t="n">
        <v>4.529979</v>
      </c>
      <c r="Q47" t="n">
        <v>4.491732</v>
      </c>
      <c r="R47" t="n">
        <v>4.45528</v>
      </c>
      <c r="S47" t="n">
        <v>4.419171</v>
      </c>
      <c r="T47" t="n">
        <v>4.384261</v>
      </c>
      <c r="U47" t="n">
        <v>4.349348</v>
      </c>
      <c r="V47" t="n">
        <v>4.318778</v>
      </c>
      <c r="W47" t="n">
        <v>4.290055</v>
      </c>
      <c r="X47" t="n">
        <v>4.262946</v>
      </c>
      <c r="Y47" t="n">
        <v>4.23648</v>
      </c>
      <c r="Z47" t="n">
        <v>4.207667</v>
      </c>
      <c r="AA47" t="n">
        <v>4.176517</v>
      </c>
      <c r="AB47" t="n">
        <v>4.145389</v>
      </c>
      <c r="AC47" t="n">
        <v>4.115045</v>
      </c>
      <c r="AD47" t="n">
        <v>4.086372</v>
      </c>
      <c r="AE47" t="inlineStr">
        <is>
          <t>-0.7%</t>
        </is>
      </c>
    </row>
    <row r="48">
      <c r="A48" t="inlineStr">
        <is>
          <t>Distillate Fuel Oil</t>
        </is>
      </c>
    </row>
    <row r="49">
      <c r="A49" t="inlineStr">
        <is>
          <t>Space Heating</t>
        </is>
      </c>
      <c r="B49" t="inlineStr">
        <is>
          <t>Residential: Distillate Fuel Oil: Space Heating: Alternative Electricity and Transportation</t>
        </is>
      </c>
      <c r="C49" t="inlineStr">
        <is>
          <t>AEO.2026.ELECTRNP.CNSM_NA_RESD_SPH_DFO_NA_USA_QBTU.A</t>
        </is>
      </c>
      <c r="D49" t="inlineStr">
        <is>
          <t>quads</t>
        </is>
      </c>
      <c r="E49" t="n">
        <v>0.425368</v>
      </c>
      <c r="F49" t="n">
        <v>0.409161</v>
      </c>
      <c r="G49" t="n">
        <v>0.404818</v>
      </c>
      <c r="H49" t="n">
        <v>0.398429</v>
      </c>
      <c r="I49" t="n">
        <v>0.391596</v>
      </c>
      <c r="J49" t="n">
        <v>0.385418</v>
      </c>
      <c r="K49" t="n">
        <v>0.37914</v>
      </c>
      <c r="L49" t="n">
        <v>0.373178</v>
      </c>
      <c r="M49" t="n">
        <v>0.36729</v>
      </c>
      <c r="N49" t="n">
        <v>0.361877</v>
      </c>
      <c r="O49" t="n">
        <v>0.356548</v>
      </c>
      <c r="P49" t="n">
        <v>0.351436</v>
      </c>
      <c r="Q49" t="n">
        <v>0.346478</v>
      </c>
      <c r="R49" t="n">
        <v>0.341706</v>
      </c>
      <c r="S49" t="n">
        <v>0.337111</v>
      </c>
      <c r="T49" t="n">
        <v>0.332576</v>
      </c>
      <c r="U49" t="n">
        <v>0.328081</v>
      </c>
      <c r="V49" t="n">
        <v>0.323778</v>
      </c>
      <c r="W49" t="n">
        <v>0.319534</v>
      </c>
      <c r="X49" t="n">
        <v>0.315427</v>
      </c>
      <c r="Y49" t="n">
        <v>0.311371</v>
      </c>
      <c r="Z49" t="n">
        <v>0.307402</v>
      </c>
      <c r="AA49" t="n">
        <v>0.303418</v>
      </c>
      <c r="AB49" t="n">
        <v>0.299459</v>
      </c>
      <c r="AC49" t="n">
        <v>0.295523</v>
      </c>
      <c r="AD49" t="n">
        <v>0.291729</v>
      </c>
      <c r="AE49" t="inlineStr">
        <is>
          <t>-1.5%</t>
        </is>
      </c>
    </row>
    <row r="50">
      <c r="A50" t="inlineStr">
        <is>
          <t>Water Heating</t>
        </is>
      </c>
      <c r="B50" t="inlineStr">
        <is>
          <t>Residential: Distillate Fuel Oil: Water Heating: Alternative Electricity and Transportation</t>
        </is>
      </c>
      <c r="C50" t="inlineStr">
        <is>
          <t>AEO.2026.ELECTRNP.CNSM_NA_RESD_WTHT_DFO_NA_USA_QBTU.A</t>
        </is>
      </c>
      <c r="D50" t="inlineStr">
        <is>
          <t>quads</t>
        </is>
      </c>
      <c r="E50" t="n">
        <v>0.037857</v>
      </c>
      <c r="F50" t="n">
        <v>0.035875</v>
      </c>
      <c r="G50" t="n">
        <v>0.033765</v>
      </c>
      <c r="H50" t="n">
        <v>0.03176</v>
      </c>
      <c r="I50" t="n">
        <v>0.029822</v>
      </c>
      <c r="J50" t="n">
        <v>0.028183</v>
      </c>
      <c r="K50" t="n">
        <v>0.026771</v>
      </c>
      <c r="L50" t="n">
        <v>0.025623</v>
      </c>
      <c r="M50" t="n">
        <v>0.024712</v>
      </c>
      <c r="N50" t="n">
        <v>0.024075</v>
      </c>
      <c r="O50" t="n">
        <v>0.023676</v>
      </c>
      <c r="P50" t="n">
        <v>0.023234</v>
      </c>
      <c r="Q50" t="n">
        <v>0.022778</v>
      </c>
      <c r="R50" t="n">
        <v>0.022309</v>
      </c>
      <c r="S50" t="n">
        <v>0.021834</v>
      </c>
      <c r="T50" t="n">
        <v>0.021354</v>
      </c>
      <c r="U50" t="n">
        <v>0.020862</v>
      </c>
      <c r="V50" t="n">
        <v>0.020367</v>
      </c>
      <c r="W50" t="n">
        <v>0.01987</v>
      </c>
      <c r="X50" t="n">
        <v>0.019372</v>
      </c>
      <c r="Y50" t="n">
        <v>0.01887</v>
      </c>
      <c r="Z50" t="n">
        <v>0.018372</v>
      </c>
      <c r="AA50" t="n">
        <v>0.017881</v>
      </c>
      <c r="AB50" t="n">
        <v>0.017401</v>
      </c>
      <c r="AC50" t="n">
        <v>0.01694</v>
      </c>
      <c r="AD50" t="n">
        <v>0.016509</v>
      </c>
      <c r="AE50" t="inlineStr">
        <is>
          <t>-3.3%</t>
        </is>
      </c>
    </row>
    <row r="51">
      <c r="A51" t="inlineStr">
        <is>
          <t>Other Uses</t>
        </is>
      </c>
      <c r="B51" t="inlineStr">
        <is>
          <t>Residential: Distillate Fuel Oil: Other Uses: Alternative Electricity and Transportation</t>
        </is>
      </c>
      <c r="C51" t="inlineStr">
        <is>
          <t>AEO.2026.ELECTRNP.CNSM_NA_RESD_OTHU_DFO_NA_USA_QBTU.A</t>
        </is>
      </c>
      <c r="D51" t="inlineStr">
        <is>
          <t>quads</t>
        </is>
      </c>
      <c r="E51" t="n">
        <v>0.026055</v>
      </c>
      <c r="F51" t="n">
        <v>0.026324</v>
      </c>
      <c r="G51" t="n">
        <v>0.026369</v>
      </c>
      <c r="H51" t="n">
        <v>0.02631</v>
      </c>
      <c r="I51" t="n">
        <v>0.026206</v>
      </c>
      <c r="J51" t="n">
        <v>0.026145</v>
      </c>
      <c r="K51" t="n">
        <v>0.026071</v>
      </c>
      <c r="L51" t="n">
        <v>0.02601</v>
      </c>
      <c r="M51" t="n">
        <v>0.025943</v>
      </c>
      <c r="N51" t="n">
        <v>0.025899</v>
      </c>
      <c r="O51" t="n">
        <v>0.025849</v>
      </c>
      <c r="P51" t="n">
        <v>0.025803</v>
      </c>
      <c r="Q51" t="n">
        <v>0.025762</v>
      </c>
      <c r="R51" t="n">
        <v>0.025724</v>
      </c>
      <c r="S51" t="n">
        <v>0.02569</v>
      </c>
      <c r="T51" t="n">
        <v>0.025657</v>
      </c>
      <c r="U51" t="n">
        <v>0.025618</v>
      </c>
      <c r="V51" t="n">
        <v>0.025583</v>
      </c>
      <c r="W51" t="n">
        <v>0.025549</v>
      </c>
      <c r="X51" t="n">
        <v>0.025516</v>
      </c>
      <c r="Y51" t="n">
        <v>0.025477</v>
      </c>
      <c r="Z51" t="n">
        <v>0.025438</v>
      </c>
      <c r="AA51" t="n">
        <v>0.025396</v>
      </c>
      <c r="AB51" t="n">
        <v>0.025351</v>
      </c>
      <c r="AC51" t="n">
        <v>0.025306</v>
      </c>
      <c r="AD51" t="n">
        <v>0.025271</v>
      </c>
      <c r="AE51" t="inlineStr">
        <is>
          <t>-0.1%</t>
        </is>
      </c>
    </row>
    <row r="52">
      <c r="A52" t="inlineStr">
        <is>
          <t>Delivered Energy</t>
        </is>
      </c>
      <c r="B52" t="inlineStr">
        <is>
          <t>Residential: Distillate Fuel Oil: Delivered Energy: Alternative Electricity and Transportation</t>
        </is>
      </c>
      <c r="C52" t="inlineStr">
        <is>
          <t>AEO.2026.ELECTRNP.CNSM_NA_RESD_NA_DFO_NA_USA_QBTU.A</t>
        </is>
      </c>
      <c r="D52" t="inlineStr">
        <is>
          <t>quads</t>
        </is>
      </c>
      <c r="E52" t="n">
        <v>0.48928</v>
      </c>
      <c r="F52" t="n">
        <v>0.47136</v>
      </c>
      <c r="G52" t="n">
        <v>0.464952</v>
      </c>
      <c r="H52" t="n">
        <v>0.4565</v>
      </c>
      <c r="I52" t="n">
        <v>0.447624</v>
      </c>
      <c r="J52" t="n">
        <v>0.439746</v>
      </c>
      <c r="K52" t="n">
        <v>0.431983</v>
      </c>
      <c r="L52" t="n">
        <v>0.424812</v>
      </c>
      <c r="M52" t="n">
        <v>0.417945</v>
      </c>
      <c r="N52" t="n">
        <v>0.411851</v>
      </c>
      <c r="O52" t="n">
        <v>0.406073</v>
      </c>
      <c r="P52" t="n">
        <v>0.400473</v>
      </c>
      <c r="Q52" t="n">
        <v>0.395019</v>
      </c>
      <c r="R52" t="n">
        <v>0.389742</v>
      </c>
      <c r="S52" t="n">
        <v>0.38464</v>
      </c>
      <c r="T52" t="n">
        <v>0.379595</v>
      </c>
      <c r="U52" t="n">
        <v>0.374572</v>
      </c>
      <c r="V52" t="n">
        <v>0.369741</v>
      </c>
      <c r="W52" t="n">
        <v>0.364969</v>
      </c>
      <c r="X52" t="n">
        <v>0.360335</v>
      </c>
      <c r="Y52" t="n">
        <v>0.35574</v>
      </c>
      <c r="Z52" t="n">
        <v>0.351238</v>
      </c>
      <c r="AA52" t="n">
        <v>0.346724</v>
      </c>
      <c r="AB52" t="n">
        <v>0.342244</v>
      </c>
      <c r="AC52" t="n">
        <v>0.337805</v>
      </c>
      <c r="AD52" t="n">
        <v>0.333547</v>
      </c>
      <c r="AE52" t="inlineStr">
        <is>
          <t>-1.5%</t>
        </is>
      </c>
    </row>
    <row r="53">
      <c r="A53" t="inlineStr">
        <is>
          <t>Propane</t>
        </is>
      </c>
    </row>
    <row r="54">
      <c r="A54" t="inlineStr">
        <is>
          <t>Space Heating</t>
        </is>
      </c>
      <c r="B54" t="inlineStr">
        <is>
          <t>Residential: Propane: Space Heating: Alternative Electricity and Transportation</t>
        </is>
      </c>
      <c r="C54" t="inlineStr">
        <is>
          <t>AEO.2026.ELECTRNP.CNSM_NA_RESD_SPH_PROP_NA_USA_QBTU.A</t>
        </is>
      </c>
      <c r="D54" t="inlineStr">
        <is>
          <t>quads</t>
        </is>
      </c>
      <c r="E54" t="n">
        <v>0.377521</v>
      </c>
      <c r="F54" t="n">
        <v>0.363123</v>
      </c>
      <c r="G54" t="n">
        <v>0.341202</v>
      </c>
      <c r="H54" t="n">
        <v>0.338581</v>
      </c>
      <c r="I54" t="n">
        <v>0.334098</v>
      </c>
      <c r="J54" t="n">
        <v>0.32857</v>
      </c>
      <c r="K54" t="n">
        <v>0.322221</v>
      </c>
      <c r="L54" t="n">
        <v>0.315948</v>
      </c>
      <c r="M54" t="n">
        <v>0.309981</v>
      </c>
      <c r="N54" t="n">
        <v>0.304522</v>
      </c>
      <c r="O54" t="n">
        <v>0.299477</v>
      </c>
      <c r="P54" t="n">
        <v>0.294769</v>
      </c>
      <c r="Q54" t="n">
        <v>0.290234</v>
      </c>
      <c r="R54" t="n">
        <v>0.285864</v>
      </c>
      <c r="S54" t="n">
        <v>0.281613</v>
      </c>
      <c r="T54" t="n">
        <v>0.277603</v>
      </c>
      <c r="U54" t="n">
        <v>0.273848</v>
      </c>
      <c r="V54" t="n">
        <v>0.27052</v>
      </c>
      <c r="W54" t="n">
        <v>0.267547</v>
      </c>
      <c r="X54" t="n">
        <v>0.264858</v>
      </c>
      <c r="Y54" t="n">
        <v>0.262357</v>
      </c>
      <c r="Z54" t="n">
        <v>0.25988</v>
      </c>
      <c r="AA54" t="n">
        <v>0.25727</v>
      </c>
      <c r="AB54" t="n">
        <v>0.25462</v>
      </c>
      <c r="AC54" t="n">
        <v>0.251971</v>
      </c>
      <c r="AD54" t="n">
        <v>0.249379</v>
      </c>
      <c r="AE54" t="inlineStr">
        <is>
          <t>-1.6%</t>
        </is>
      </c>
    </row>
    <row r="55">
      <c r="A55" t="inlineStr">
        <is>
          <t>Water Heating</t>
        </is>
      </c>
      <c r="B55" t="inlineStr">
        <is>
          <t>Residential: Propane: Water Heating: Alternative Electricity and Transportation</t>
        </is>
      </c>
      <c r="C55" t="inlineStr">
        <is>
          <t>AEO.2026.ELECTRNP.CNSM_NA_RESD_WTHT_PROP_NA_USA_QBTU.A</t>
        </is>
      </c>
      <c r="D55" t="inlineStr">
        <is>
          <t>quads</t>
        </is>
      </c>
      <c r="E55" t="n">
        <v>0.058525</v>
      </c>
      <c r="F55" t="n">
        <v>0.059045</v>
      </c>
      <c r="G55" t="n">
        <v>0.059788</v>
      </c>
      <c r="H55" t="n">
        <v>0.06039</v>
      </c>
      <c r="I55" t="n">
        <v>0.059603</v>
      </c>
      <c r="J55" t="n">
        <v>0.058604</v>
      </c>
      <c r="K55" t="n">
        <v>0.057557</v>
      </c>
      <c r="L55" t="n">
        <v>0.056584</v>
      </c>
      <c r="M55" t="n">
        <v>0.055702</v>
      </c>
      <c r="N55" t="n">
        <v>0.055021</v>
      </c>
      <c r="O55" t="n">
        <v>0.054534</v>
      </c>
      <c r="P55" t="n">
        <v>0.053959</v>
      </c>
      <c r="Q55" t="n">
        <v>0.053307</v>
      </c>
      <c r="R55" t="n">
        <v>0.052582</v>
      </c>
      <c r="S55" t="n">
        <v>0.051789</v>
      </c>
      <c r="T55" t="n">
        <v>0.050962</v>
      </c>
      <c r="U55" t="n">
        <v>0.050118</v>
      </c>
      <c r="V55" t="n">
        <v>0.049286</v>
      </c>
      <c r="W55" t="n">
        <v>0.048476</v>
      </c>
      <c r="X55" t="n">
        <v>0.047684</v>
      </c>
      <c r="Y55" t="n">
        <v>0.046888</v>
      </c>
      <c r="Z55" t="n">
        <v>0.04607</v>
      </c>
      <c r="AA55" t="n">
        <v>0.045236</v>
      </c>
      <c r="AB55" t="n">
        <v>0.044409</v>
      </c>
      <c r="AC55" t="n">
        <v>0.043616</v>
      </c>
      <c r="AD55" t="n">
        <v>0.042878</v>
      </c>
      <c r="AE55" t="inlineStr">
        <is>
          <t>-1.2%</t>
        </is>
      </c>
    </row>
    <row r="56">
      <c r="A56" t="inlineStr">
        <is>
          <t>Cooking</t>
        </is>
      </c>
      <c r="B56" t="inlineStr">
        <is>
          <t>Residential: Propane: Cooking: Alternative Electricity and Transportation</t>
        </is>
      </c>
      <c r="C56" t="inlineStr">
        <is>
          <t>AEO.2026.ELECTRNP.CNSM_NA_RESD_CGR_PROP_NA_USA_QBTU.A</t>
        </is>
      </c>
      <c r="D56" t="inlineStr">
        <is>
          <t>quads</t>
        </is>
      </c>
      <c r="E56" t="n">
        <v>0.010417</v>
      </c>
      <c r="F56" t="n">
        <v>0.010383</v>
      </c>
      <c r="G56" t="n">
        <v>0.010353</v>
      </c>
      <c r="H56" t="n">
        <v>0.010321</v>
      </c>
      <c r="I56" t="n">
        <v>0.010288</v>
      </c>
      <c r="J56" t="n">
        <v>0.010251</v>
      </c>
      <c r="K56" t="n">
        <v>0.010209</v>
      </c>
      <c r="L56" t="n">
        <v>0.010161</v>
      </c>
      <c r="M56" t="n">
        <v>0.01011</v>
      </c>
      <c r="N56" t="n">
        <v>0.010055</v>
      </c>
      <c r="O56" t="n">
        <v>0.009996</v>
      </c>
      <c r="P56" t="n">
        <v>0.009933000000000001</v>
      </c>
      <c r="Q56" t="n">
        <v>0.009865000000000001</v>
      </c>
      <c r="R56" t="n">
        <v>0.009813000000000001</v>
      </c>
      <c r="S56" t="n">
        <v>0.009776999999999999</v>
      </c>
      <c r="T56" t="n">
        <v>0.009759</v>
      </c>
      <c r="U56" t="n">
        <v>0.009759</v>
      </c>
      <c r="V56" t="n">
        <v>0.00978</v>
      </c>
      <c r="W56" t="n">
        <v>0.009799</v>
      </c>
      <c r="X56" t="n">
        <v>0.009815000000000001</v>
      </c>
      <c r="Y56" t="n">
        <v>0.00983</v>
      </c>
      <c r="Z56" t="n">
        <v>0.009844</v>
      </c>
      <c r="AA56" t="n">
        <v>0.009856999999999999</v>
      </c>
      <c r="AB56" t="n">
        <v>0.009868</v>
      </c>
      <c r="AC56" t="n">
        <v>0.009877</v>
      </c>
      <c r="AD56" t="n">
        <v>0.009886000000000001</v>
      </c>
      <c r="AE56" t="inlineStr">
        <is>
          <t>-0.2%</t>
        </is>
      </c>
    </row>
    <row r="57">
      <c r="A57" t="inlineStr">
        <is>
          <t>Other Uses</t>
        </is>
      </c>
      <c r="B57" t="inlineStr">
        <is>
          <t>Residential: Propane: Other Uses: Alternative Electricity and Transportation</t>
        </is>
      </c>
      <c r="C57" t="inlineStr">
        <is>
          <t>AEO.2026.ELECTRNP.CNSM_NA_RESD_OTHU_PROP_NA_USA_QBTU.A</t>
        </is>
      </c>
      <c r="D57" t="inlineStr">
        <is>
          <t>quads</t>
        </is>
      </c>
      <c r="E57" t="n">
        <v>0.078037</v>
      </c>
      <c r="F57" t="n">
        <v>0.08116900000000001</v>
      </c>
      <c r="G57" t="n">
        <v>0.08419699999999999</v>
      </c>
      <c r="H57" t="n">
        <v>0.086919</v>
      </c>
      <c r="I57" t="n">
        <v>0.089322</v>
      </c>
      <c r="J57" t="n">
        <v>0.091503</v>
      </c>
      <c r="K57" t="n">
        <v>0.0935</v>
      </c>
      <c r="L57" t="n">
        <v>0.095471</v>
      </c>
      <c r="M57" t="n">
        <v>0.09741</v>
      </c>
      <c r="N57" t="n">
        <v>0.099465</v>
      </c>
      <c r="O57" t="n">
        <v>0.101614</v>
      </c>
      <c r="P57" t="n">
        <v>0.103822</v>
      </c>
      <c r="Q57" t="n">
        <v>0.106024</v>
      </c>
      <c r="R57" t="n">
        <v>0.108216</v>
      </c>
      <c r="S57" t="n">
        <v>0.110387</v>
      </c>
      <c r="T57" t="n">
        <v>0.112575</v>
      </c>
      <c r="U57" t="n">
        <v>0.114814</v>
      </c>
      <c r="V57" t="n">
        <v>0.117152</v>
      </c>
      <c r="W57" t="n">
        <v>0.119594</v>
      </c>
      <c r="X57" t="n">
        <v>0.122121</v>
      </c>
      <c r="Y57" t="n">
        <v>0.12467</v>
      </c>
      <c r="Z57" t="n">
        <v>0.127182</v>
      </c>
      <c r="AA57" t="n">
        <v>0.129648</v>
      </c>
      <c r="AB57" t="n">
        <v>0.132094</v>
      </c>
      <c r="AC57" t="n">
        <v>0.134555</v>
      </c>
      <c r="AD57" t="n">
        <v>0.137049</v>
      </c>
      <c r="AE57" t="inlineStr">
        <is>
          <t>2.3%</t>
        </is>
      </c>
    </row>
    <row r="58">
      <c r="A58" t="inlineStr">
        <is>
          <t>Delivered Energy</t>
        </is>
      </c>
      <c r="B58" t="inlineStr">
        <is>
          <t>Residential: Propane: Delivered Energy: Alternative Electricity and Transportation</t>
        </is>
      </c>
      <c r="C58" t="inlineStr">
        <is>
          <t>AEO.2026.ELECTRNP.CNSM_NA_RESD_DELE_PROP_NA_USA_QBTU.A</t>
        </is>
      </c>
      <c r="D58" t="inlineStr">
        <is>
          <t>quads</t>
        </is>
      </c>
      <c r="E58" t="n">
        <v>0.5245</v>
      </c>
      <c r="F58" t="n">
        <v>0.51372</v>
      </c>
      <c r="G58" t="n">
        <v>0.495541</v>
      </c>
      <c r="H58" t="n">
        <v>0.496211</v>
      </c>
      <c r="I58" t="n">
        <v>0.493311</v>
      </c>
      <c r="J58" t="n">
        <v>0.488928</v>
      </c>
      <c r="K58" t="n">
        <v>0.483486</v>
      </c>
      <c r="L58" t="n">
        <v>0.478163</v>
      </c>
      <c r="M58" t="n">
        <v>0.473203</v>
      </c>
      <c r="N58" t="n">
        <v>0.469062</v>
      </c>
      <c r="O58" t="n">
        <v>0.465621</v>
      </c>
      <c r="P58" t="n">
        <v>0.462483</v>
      </c>
      <c r="Q58" t="n">
        <v>0.459429</v>
      </c>
      <c r="R58" t="n">
        <v>0.456475</v>
      </c>
      <c r="S58" t="n">
        <v>0.453566</v>
      </c>
      <c r="T58" t="n">
        <v>0.450898</v>
      </c>
      <c r="U58" t="n">
        <v>0.448539</v>
      </c>
      <c r="V58" t="n">
        <v>0.446738</v>
      </c>
      <c r="W58" t="n">
        <v>0.445416</v>
      </c>
      <c r="X58" t="n">
        <v>0.444479</v>
      </c>
      <c r="Y58" t="n">
        <v>0.443746</v>
      </c>
      <c r="Z58" t="n">
        <v>0.442976</v>
      </c>
      <c r="AA58" t="n">
        <v>0.442012</v>
      </c>
      <c r="AB58" t="n">
        <v>0.440991</v>
      </c>
      <c r="AC58" t="n">
        <v>0.44002</v>
      </c>
      <c r="AD58" t="n">
        <v>0.439191</v>
      </c>
      <c r="AE58" t="inlineStr">
        <is>
          <t>-0.7%</t>
        </is>
      </c>
    </row>
    <row r="59">
      <c r="A59" t="inlineStr">
        <is>
          <t>Marketed Renewables (wood)</t>
        </is>
      </c>
      <c r="B59" t="inlineStr">
        <is>
          <t>Residential: Marketed Renewables (wood): Alternative Electricity and Transportation</t>
        </is>
      </c>
      <c r="C59" t="inlineStr">
        <is>
          <t>AEO.2026.ELECTRNP.CNSM_NA_RESD_NA_MRW_NA_USA_QBTU.A</t>
        </is>
      </c>
      <c r="D59" t="inlineStr">
        <is>
          <t>quads</t>
        </is>
      </c>
      <c r="E59" t="n">
        <v>0.371387</v>
      </c>
      <c r="F59" t="n">
        <v>0.342901</v>
      </c>
      <c r="G59" t="n">
        <v>0.33499</v>
      </c>
      <c r="H59" t="n">
        <v>0.331205</v>
      </c>
      <c r="I59" t="n">
        <v>0.328954</v>
      </c>
      <c r="J59" t="n">
        <v>0.323627</v>
      </c>
      <c r="K59" t="n">
        <v>0.319369</v>
      </c>
      <c r="L59" t="n">
        <v>0.315643</v>
      </c>
      <c r="M59" t="n">
        <v>0.312812</v>
      </c>
      <c r="N59" t="n">
        <v>0.309126</v>
      </c>
      <c r="O59" t="n">
        <v>0.305829</v>
      </c>
      <c r="P59" t="n">
        <v>0.302008</v>
      </c>
      <c r="Q59" t="n">
        <v>0.298094</v>
      </c>
      <c r="R59" t="n">
        <v>0.294199</v>
      </c>
      <c r="S59" t="n">
        <v>0.289954</v>
      </c>
      <c r="T59" t="n">
        <v>0.285538</v>
      </c>
      <c r="U59" t="n">
        <v>0.28127</v>
      </c>
      <c r="V59" t="n">
        <v>0.277378</v>
      </c>
      <c r="W59" t="n">
        <v>0.273631</v>
      </c>
      <c r="X59" t="n">
        <v>0.270078</v>
      </c>
      <c r="Y59" t="n">
        <v>0.266974</v>
      </c>
      <c r="Z59" t="n">
        <v>0.263978</v>
      </c>
      <c r="AA59" t="n">
        <v>0.26129</v>
      </c>
      <c r="AB59" t="n">
        <v>0.258824</v>
      </c>
      <c r="AC59" t="n">
        <v>0.256576</v>
      </c>
      <c r="AD59" t="n">
        <v>0.254137</v>
      </c>
      <c r="AE59" t="inlineStr">
        <is>
          <t>-1.5%</t>
        </is>
      </c>
    </row>
    <row r="60">
      <c r="A60" t="inlineStr">
        <is>
          <t>Energy Consumption by End Use</t>
        </is>
      </c>
    </row>
    <row r="61">
      <c r="A61" t="inlineStr">
        <is>
          <t>Space Heating</t>
        </is>
      </c>
      <c r="B61" t="inlineStr">
        <is>
          <t>Residential: Delivered Energy Use by End Use: Space Heating: Alternative Electricity and Transportation</t>
        </is>
      </c>
      <c r="C61" t="inlineStr">
        <is>
          <t>AEO.2026.ELECTRNP.CNSM_NA_RESD_SPH_DEE_NA_USA_QBTU.A</t>
        </is>
      </c>
      <c r="D61" t="inlineStr">
        <is>
          <t>quads</t>
        </is>
      </c>
      <c r="E61" t="n">
        <v>4.887292</v>
      </c>
      <c r="F61" t="n">
        <v>4.610508</v>
      </c>
      <c r="G61" t="n">
        <v>4.694248</v>
      </c>
      <c r="H61" t="n">
        <v>4.663504</v>
      </c>
      <c r="I61" t="n">
        <v>4.612425</v>
      </c>
      <c r="J61" t="n">
        <v>4.547403</v>
      </c>
      <c r="K61" t="n">
        <v>4.478761</v>
      </c>
      <c r="L61" t="n">
        <v>4.41429</v>
      </c>
      <c r="M61" t="n">
        <v>4.351876</v>
      </c>
      <c r="N61" t="n">
        <v>4.29202</v>
      </c>
      <c r="O61" t="n">
        <v>4.234299</v>
      </c>
      <c r="P61" t="n">
        <v>4.179309</v>
      </c>
      <c r="Q61" t="n">
        <v>4.123706</v>
      </c>
      <c r="R61" t="n">
        <v>4.070536</v>
      </c>
      <c r="S61" t="n">
        <v>4.017863</v>
      </c>
      <c r="T61" t="n">
        <v>3.966546</v>
      </c>
      <c r="U61" t="n">
        <v>3.91592</v>
      </c>
      <c r="V61" t="n">
        <v>3.870521</v>
      </c>
      <c r="W61" t="n">
        <v>3.827706</v>
      </c>
      <c r="X61" t="n">
        <v>3.787034</v>
      </c>
      <c r="Y61" t="n">
        <v>3.748754</v>
      </c>
      <c r="Z61" t="n">
        <v>3.709452</v>
      </c>
      <c r="AA61" t="n">
        <v>3.668602</v>
      </c>
      <c r="AB61" t="n">
        <v>3.628336</v>
      </c>
      <c r="AC61" t="n">
        <v>3.588941</v>
      </c>
      <c r="AD61" t="n">
        <v>3.550334</v>
      </c>
      <c r="AE61" t="inlineStr">
        <is>
          <t>-1.3%</t>
        </is>
      </c>
    </row>
    <row r="62">
      <c r="A62" t="inlineStr">
        <is>
          <t>Space Cooling</t>
        </is>
      </c>
      <c r="B62" t="inlineStr">
        <is>
          <t>Residential: Delivered Energy Use by End Use: Space Cooling: Alternative Electricity and Transportation</t>
        </is>
      </c>
      <c r="C62" t="inlineStr">
        <is>
          <t>AEO.2026.ELECTRNP.CNSM_NA_RESD_SPC_DEE_NA_USA_QBTU.A</t>
        </is>
      </c>
      <c r="D62" t="inlineStr">
        <is>
          <t>quads</t>
        </is>
      </c>
      <c r="E62" t="n">
        <v>0.983173</v>
      </c>
      <c r="F62" t="n">
        <v>1.046041</v>
      </c>
      <c r="G62" t="n">
        <v>1.060372</v>
      </c>
      <c r="H62" t="n">
        <v>1.074317</v>
      </c>
      <c r="I62" t="n">
        <v>1.085457</v>
      </c>
      <c r="J62" t="n">
        <v>1.09257</v>
      </c>
      <c r="K62" t="n">
        <v>1.099049</v>
      </c>
      <c r="L62" t="n">
        <v>1.106561</v>
      </c>
      <c r="M62" t="n">
        <v>1.114836</v>
      </c>
      <c r="N62" t="n">
        <v>1.124534</v>
      </c>
      <c r="O62" t="n">
        <v>1.135239</v>
      </c>
      <c r="P62" t="n">
        <v>1.147255</v>
      </c>
      <c r="Q62" t="n">
        <v>1.16007</v>
      </c>
      <c r="R62" t="n">
        <v>1.173428</v>
      </c>
      <c r="S62" t="n">
        <v>1.187167</v>
      </c>
      <c r="T62" t="n">
        <v>1.20185</v>
      </c>
      <c r="U62" t="n">
        <v>1.217398</v>
      </c>
      <c r="V62" t="n">
        <v>1.23489</v>
      </c>
      <c r="W62" t="n">
        <v>1.253486</v>
      </c>
      <c r="X62" t="n">
        <v>1.272133</v>
      </c>
      <c r="Y62" t="n">
        <v>1.291439</v>
      </c>
      <c r="Z62" t="n">
        <v>1.309698</v>
      </c>
      <c r="AA62" t="n">
        <v>1.327261</v>
      </c>
      <c r="AB62" t="n">
        <v>1.344268</v>
      </c>
      <c r="AC62" t="n">
        <v>1.362016</v>
      </c>
      <c r="AD62" t="n">
        <v>1.379525</v>
      </c>
      <c r="AE62" t="inlineStr">
        <is>
          <t>1.4%</t>
        </is>
      </c>
    </row>
    <row r="63">
      <c r="A63" t="inlineStr">
        <is>
          <t>Water Heating</t>
        </is>
      </c>
      <c r="B63" t="inlineStr">
        <is>
          <t>Residential: Delivered Energy Use by End Use: Water Heating: Alternative Electricity and Transportation</t>
        </is>
      </c>
      <c r="C63" t="inlineStr">
        <is>
          <t>AEO.2026.ELECTRNP.CNSM_NA_RESD_WTHT_DEE_NA_USA_QBTU.A</t>
        </is>
      </c>
      <c r="D63" t="inlineStr">
        <is>
          <t>quads</t>
        </is>
      </c>
      <c r="E63" t="n">
        <v>1.573177</v>
      </c>
      <c r="F63" t="n">
        <v>1.574928</v>
      </c>
      <c r="G63" t="n">
        <v>1.578215</v>
      </c>
      <c r="H63" t="n">
        <v>1.582005</v>
      </c>
      <c r="I63" t="n">
        <v>1.5607</v>
      </c>
      <c r="J63" t="n">
        <v>1.533361</v>
      </c>
      <c r="K63" t="n">
        <v>1.505778</v>
      </c>
      <c r="L63" t="n">
        <v>1.481296</v>
      </c>
      <c r="M63" t="n">
        <v>1.457842</v>
      </c>
      <c r="N63" t="n">
        <v>1.438645</v>
      </c>
      <c r="O63" t="n">
        <v>1.423103</v>
      </c>
      <c r="P63" t="n">
        <v>1.408764</v>
      </c>
      <c r="Q63" t="n">
        <v>1.395114</v>
      </c>
      <c r="R63" t="n">
        <v>1.382833</v>
      </c>
      <c r="S63" t="n">
        <v>1.371701</v>
      </c>
      <c r="T63" t="n">
        <v>1.36194</v>
      </c>
      <c r="U63" t="n">
        <v>1.353176</v>
      </c>
      <c r="V63" t="n">
        <v>1.346207</v>
      </c>
      <c r="W63" t="n">
        <v>1.340719</v>
      </c>
      <c r="X63" t="n">
        <v>1.334809</v>
      </c>
      <c r="Y63" t="n">
        <v>1.328171</v>
      </c>
      <c r="Z63" t="n">
        <v>1.320356</v>
      </c>
      <c r="AA63" t="n">
        <v>1.311653</v>
      </c>
      <c r="AB63" t="n">
        <v>1.302775</v>
      </c>
      <c r="AC63" t="n">
        <v>1.294452</v>
      </c>
      <c r="AD63" t="n">
        <v>1.287076</v>
      </c>
      <c r="AE63" t="inlineStr">
        <is>
          <t>-0.8%</t>
        </is>
      </c>
    </row>
    <row r="64">
      <c r="A64" t="inlineStr">
        <is>
          <t>Refrigeration</t>
        </is>
      </c>
      <c r="B64" t="inlineStr">
        <is>
          <t>Residential: Delivered Energy Use by End Use: Refrigeration: Alternative Electricity and Transportation</t>
        </is>
      </c>
      <c r="C64" t="inlineStr">
        <is>
          <t>AEO.2026.ELECTRNP.CNSM_NA_RESD_REFR_DEE_NA_USA_QBTU.A</t>
        </is>
      </c>
      <c r="D64" t="inlineStr">
        <is>
          <t>quads</t>
        </is>
      </c>
      <c r="E64" t="n">
        <v>0.349563</v>
      </c>
      <c r="F64" t="n">
        <v>0.348527</v>
      </c>
      <c r="G64" t="n">
        <v>0.347433</v>
      </c>
      <c r="H64" t="n">
        <v>0.346209</v>
      </c>
      <c r="I64" t="n">
        <v>0.345259</v>
      </c>
      <c r="J64" t="n">
        <v>0.342024</v>
      </c>
      <c r="K64" t="n">
        <v>0.33903</v>
      </c>
      <c r="L64" t="n">
        <v>0.336304</v>
      </c>
      <c r="M64" t="n">
        <v>0.333799</v>
      </c>
      <c r="N64" t="n">
        <v>0.331468</v>
      </c>
      <c r="O64" t="n">
        <v>0.329366</v>
      </c>
      <c r="P64" t="n">
        <v>0.327653</v>
      </c>
      <c r="Q64" t="n">
        <v>0.326343</v>
      </c>
      <c r="R64" t="n">
        <v>0.325461</v>
      </c>
      <c r="S64" t="n">
        <v>0.32499</v>
      </c>
      <c r="T64" t="n">
        <v>0.324938</v>
      </c>
      <c r="U64" t="n">
        <v>0.325294</v>
      </c>
      <c r="V64" t="n">
        <v>0.326072</v>
      </c>
      <c r="W64" t="n">
        <v>0.327281</v>
      </c>
      <c r="X64" t="n">
        <v>0.328913</v>
      </c>
      <c r="Y64" t="n">
        <v>0.33105</v>
      </c>
      <c r="Z64" t="n">
        <v>0.333714</v>
      </c>
      <c r="AA64" t="n">
        <v>0.336865</v>
      </c>
      <c r="AB64" t="n">
        <v>0.340006</v>
      </c>
      <c r="AC64" t="n">
        <v>0.343129</v>
      </c>
      <c r="AD64" t="n">
        <v>0.346229</v>
      </c>
      <c r="AE64" t="inlineStr">
        <is>
          <t>-0.0%</t>
        </is>
      </c>
    </row>
    <row r="65">
      <c r="A65" t="inlineStr">
        <is>
          <t>Cooking</t>
        </is>
      </c>
      <c r="B65" t="inlineStr">
        <is>
          <t>Residential: Delivered Energy Use by End Use: Cooking: Alternative Electricity and Transportation</t>
        </is>
      </c>
      <c r="C65" t="inlineStr">
        <is>
          <t>AEO.2026.ELECTRNP.CNSM_NA_RESD_CGR_DEE_NA_USA_QBTU.A</t>
        </is>
      </c>
      <c r="D65" t="inlineStr">
        <is>
          <t>quads</t>
        </is>
      </c>
      <c r="E65" t="n">
        <v>0.156047</v>
      </c>
      <c r="F65" t="n">
        <v>0.15688</v>
      </c>
      <c r="G65" t="n">
        <v>0.157749</v>
      </c>
      <c r="H65" t="n">
        <v>0.158596</v>
      </c>
      <c r="I65" t="n">
        <v>0.159444</v>
      </c>
      <c r="J65" t="n">
        <v>0.160278</v>
      </c>
      <c r="K65" t="n">
        <v>0.161103</v>
      </c>
      <c r="L65" t="n">
        <v>0.161912</v>
      </c>
      <c r="M65" t="n">
        <v>0.162711</v>
      </c>
      <c r="N65" t="n">
        <v>0.163527</v>
      </c>
      <c r="O65" t="n">
        <v>0.164373</v>
      </c>
      <c r="P65" t="n">
        <v>0.165256</v>
      </c>
      <c r="Q65" t="n">
        <v>0.166161</v>
      </c>
      <c r="R65" t="n">
        <v>0.167104</v>
      </c>
      <c r="S65" t="n">
        <v>0.168032</v>
      </c>
      <c r="T65" t="n">
        <v>0.168956</v>
      </c>
      <c r="U65" t="n">
        <v>0.169856</v>
      </c>
      <c r="V65" t="n">
        <v>0.170735</v>
      </c>
      <c r="W65" t="n">
        <v>0.171579</v>
      </c>
      <c r="X65" t="n">
        <v>0.172399</v>
      </c>
      <c r="Y65" t="n">
        <v>0.173218</v>
      </c>
      <c r="Z65" t="n">
        <v>0.174042</v>
      </c>
      <c r="AA65" t="n">
        <v>0.174865</v>
      </c>
      <c r="AB65" t="n">
        <v>0.17569</v>
      </c>
      <c r="AC65" t="n">
        <v>0.176518</v>
      </c>
      <c r="AD65" t="n">
        <v>0.177355</v>
      </c>
      <c r="AE65" t="inlineStr">
        <is>
          <t>0.5%</t>
        </is>
      </c>
    </row>
    <row r="66">
      <c r="A66" t="inlineStr">
        <is>
          <t>Clothes Dryers</t>
        </is>
      </c>
      <c r="B66" t="inlineStr">
        <is>
          <t>Residential: Delivered Energy Use by End Use: Clothes Dryers: Alternative Electricity and Transportation</t>
        </is>
      </c>
      <c r="C66" t="inlineStr">
        <is>
          <t>AEO.2026.ELECTRNP.CNSM_NA_RESD_CDR_DEE_NA_USA_QBTU.A</t>
        </is>
      </c>
      <c r="D66" t="inlineStr">
        <is>
          <t>quads</t>
        </is>
      </c>
      <c r="E66" t="n">
        <v>0.229907</v>
      </c>
      <c r="F66" t="n">
        <v>0.231125</v>
      </c>
      <c r="G66" t="n">
        <v>0.232723</v>
      </c>
      <c r="H66" t="n">
        <v>0.23462</v>
      </c>
      <c r="I66" t="n">
        <v>0.235849</v>
      </c>
      <c r="J66" t="n">
        <v>0.236004</v>
      </c>
      <c r="K66" t="n">
        <v>0.235548</v>
      </c>
      <c r="L66" t="n">
        <v>0.234788</v>
      </c>
      <c r="M66" t="n">
        <v>0.234328</v>
      </c>
      <c r="N66" t="n">
        <v>0.234302</v>
      </c>
      <c r="O66" t="n">
        <v>0.234721</v>
      </c>
      <c r="P66" t="n">
        <v>0.235643</v>
      </c>
      <c r="Q66" t="n">
        <v>0.236914</v>
      </c>
      <c r="R66" t="n">
        <v>0.238686</v>
      </c>
      <c r="S66" t="n">
        <v>0.240921</v>
      </c>
      <c r="T66" t="n">
        <v>0.243675</v>
      </c>
      <c r="U66" t="n">
        <v>0.247026</v>
      </c>
      <c r="V66" t="n">
        <v>0.250422</v>
      </c>
      <c r="W66" t="n">
        <v>0.253925</v>
      </c>
      <c r="X66" t="n">
        <v>0.257464</v>
      </c>
      <c r="Y66" t="n">
        <v>0.261017</v>
      </c>
      <c r="Z66" t="n">
        <v>0.264416</v>
      </c>
      <c r="AA66" t="n">
        <v>0.267615</v>
      </c>
      <c r="AB66" t="n">
        <v>0.270685</v>
      </c>
      <c r="AC66" t="n">
        <v>0.27381</v>
      </c>
      <c r="AD66" t="n">
        <v>0.276862</v>
      </c>
      <c r="AE66" t="inlineStr">
        <is>
          <t>0.7%</t>
        </is>
      </c>
    </row>
    <row r="67">
      <c r="A67" t="inlineStr">
        <is>
          <t>Freezers</t>
        </is>
      </c>
      <c r="B67" t="inlineStr">
        <is>
          <t>Residential: Delivered Energy Use by End Use: Freezers: Alternative Electricity and Transportation</t>
        </is>
      </c>
      <c r="C67" t="inlineStr">
        <is>
          <t>AEO.2026.ELECTRNP.CNSM_NA_RESD_FRZ_DEE_NA_USA_QBTU.A</t>
        </is>
      </c>
      <c r="D67" t="inlineStr">
        <is>
          <t>quads</t>
        </is>
      </c>
      <c r="E67" t="n">
        <v>0.079278</v>
      </c>
      <c r="F67" t="n">
        <v>0.07924100000000001</v>
      </c>
      <c r="G67" t="n">
        <v>0.079217</v>
      </c>
      <c r="H67" t="n">
        <v>0.07915999999999999</v>
      </c>
      <c r="I67" t="n">
        <v>0.079073</v>
      </c>
      <c r="J67" t="n">
        <v>0.07857</v>
      </c>
      <c r="K67" t="n">
        <v>0.07800700000000001</v>
      </c>
      <c r="L67" t="n">
        <v>0.077404</v>
      </c>
      <c r="M67" t="n">
        <v>0.076823</v>
      </c>
      <c r="N67" t="n">
        <v>0.07625700000000001</v>
      </c>
      <c r="O67" t="n">
        <v>0.07571600000000001</v>
      </c>
      <c r="P67" t="n">
        <v>0.075195</v>
      </c>
      <c r="Q67" t="n">
        <v>0.074693</v>
      </c>
      <c r="R67" t="n">
        <v>0.074214</v>
      </c>
      <c r="S67" t="n">
        <v>0.073757</v>
      </c>
      <c r="T67" t="n">
        <v>0.073328</v>
      </c>
      <c r="U67" t="n">
        <v>0.072937</v>
      </c>
      <c r="V67" t="n">
        <v>0.072586</v>
      </c>
      <c r="W67" t="n">
        <v>0.072278</v>
      </c>
      <c r="X67" t="n">
        <v>0.07201200000000001</v>
      </c>
      <c r="Y67" t="n">
        <v>0.071802</v>
      </c>
      <c r="Z67" t="n">
        <v>0.07166</v>
      </c>
      <c r="AA67" t="n">
        <v>0.071579</v>
      </c>
      <c r="AB67" t="n">
        <v>0.071571</v>
      </c>
      <c r="AC67" t="n">
        <v>0.071643</v>
      </c>
      <c r="AD67" t="n">
        <v>0.0718</v>
      </c>
      <c r="AE67" t="inlineStr">
        <is>
          <t>-0.4%</t>
        </is>
      </c>
    </row>
    <row r="68">
      <c r="A68" t="inlineStr">
        <is>
          <t>Lighting</t>
        </is>
      </c>
      <c r="B68" t="inlineStr">
        <is>
          <t>Residential: Delivered Energy Use by End Use: Lighting: Alternative Electricity and Transportation</t>
        </is>
      </c>
      <c r="C68" t="inlineStr">
        <is>
          <t>AEO.2026.ELECTRNP.CNSM_NA_RESD_LGHTNG_DEE_NA_USA_QBTU.A</t>
        </is>
      </c>
      <c r="D68" t="inlineStr">
        <is>
          <t>quads</t>
        </is>
      </c>
      <c r="E68" t="n">
        <v>0.182847</v>
      </c>
      <c r="F68" t="n">
        <v>0.182216</v>
      </c>
      <c r="G68" t="n">
        <v>0.183569</v>
      </c>
      <c r="H68" t="n">
        <v>0.18564</v>
      </c>
      <c r="I68" t="n">
        <v>0.187439</v>
      </c>
      <c r="J68" t="n">
        <v>0.186994</v>
      </c>
      <c r="K68" t="n">
        <v>0.186424</v>
      </c>
      <c r="L68" t="n">
        <v>0.186261</v>
      </c>
      <c r="M68" t="n">
        <v>0.186404</v>
      </c>
      <c r="N68" t="n">
        <v>0.186742</v>
      </c>
      <c r="O68" t="n">
        <v>0.187215</v>
      </c>
      <c r="P68" t="n">
        <v>0.187754</v>
      </c>
      <c r="Q68" t="n">
        <v>0.188226</v>
      </c>
      <c r="R68" t="n">
        <v>0.188723</v>
      </c>
      <c r="S68" t="n">
        <v>0.1894</v>
      </c>
      <c r="T68" t="n">
        <v>0.187035</v>
      </c>
      <c r="U68" t="n">
        <v>0.185089</v>
      </c>
      <c r="V68" t="n">
        <v>0.183691</v>
      </c>
      <c r="W68" t="n">
        <v>0.182846</v>
      </c>
      <c r="X68" t="n">
        <v>0.182477</v>
      </c>
      <c r="Y68" t="n">
        <v>0.182384</v>
      </c>
      <c r="Z68" t="n">
        <v>0.18231</v>
      </c>
      <c r="AA68" t="n">
        <v>0.182202</v>
      </c>
      <c r="AB68" t="n">
        <v>0.182192</v>
      </c>
      <c r="AC68" t="n">
        <v>0.182375</v>
      </c>
      <c r="AD68" t="n">
        <v>0.182588</v>
      </c>
      <c r="AE68" t="inlineStr">
        <is>
          <t>-0.0%</t>
        </is>
      </c>
    </row>
    <row r="69">
      <c r="A69" t="inlineStr">
        <is>
          <t>Clothes Washers</t>
        </is>
      </c>
      <c r="B69" t="inlineStr">
        <is>
          <t>Residential: Delivered Energy Use by End Use: Clothes Washers: Alternative Electricity and Transportation</t>
        </is>
      </c>
      <c r="C69" t="inlineStr">
        <is>
          <t>AEO.2026.ELECTRNP.CNSM_NA_RESD_CLW_DEE_NA_USA_QBTU.A</t>
        </is>
      </c>
      <c r="D69" t="inlineStr">
        <is>
          <t>quads</t>
        </is>
      </c>
      <c r="E69" t="n">
        <v>0.040723</v>
      </c>
      <c r="F69" t="n">
        <v>0.039741</v>
      </c>
      <c r="G69" t="n">
        <v>0.03875</v>
      </c>
      <c r="H69" t="n">
        <v>0.037583</v>
      </c>
      <c r="I69" t="n">
        <v>0.036385</v>
      </c>
      <c r="J69" t="n">
        <v>0.034992</v>
      </c>
      <c r="K69" t="n">
        <v>0.03354</v>
      </c>
      <c r="L69" t="n">
        <v>0.032</v>
      </c>
      <c r="M69" t="n">
        <v>0.030665</v>
      </c>
      <c r="N69" t="n">
        <v>0.029534</v>
      </c>
      <c r="O69" t="n">
        <v>0.028609</v>
      </c>
      <c r="P69" t="n">
        <v>0.027904</v>
      </c>
      <c r="Q69" t="n">
        <v>0.027429</v>
      </c>
      <c r="R69" t="n">
        <v>0.02721</v>
      </c>
      <c r="S69" t="n">
        <v>0.027261</v>
      </c>
      <c r="T69" t="n">
        <v>0.027311</v>
      </c>
      <c r="U69" t="n">
        <v>0.027362</v>
      </c>
      <c r="V69" t="n">
        <v>0.02742</v>
      </c>
      <c r="W69" t="n">
        <v>0.027486</v>
      </c>
      <c r="X69" t="n">
        <v>0.027564</v>
      </c>
      <c r="Y69" t="n">
        <v>0.027658</v>
      </c>
      <c r="Z69" t="n">
        <v>0.027768</v>
      </c>
      <c r="AA69" t="n">
        <v>0.02789</v>
      </c>
      <c r="AB69" t="n">
        <v>0.028024</v>
      </c>
      <c r="AC69" t="n">
        <v>0.028167</v>
      </c>
      <c r="AD69" t="n">
        <v>0.028319</v>
      </c>
      <c r="AE69" t="inlineStr">
        <is>
          <t>-1.4%</t>
        </is>
      </c>
    </row>
    <row r="70">
      <c r="A70" t="inlineStr">
        <is>
          <t>Dishwashers</t>
        </is>
      </c>
      <c r="B70" t="inlineStr">
        <is>
          <t>Residential: Delivered Energy Use by End Use: Dishwashers: Alternative Electricity and Transportation</t>
        </is>
      </c>
      <c r="C70" t="inlineStr">
        <is>
          <t>AEO.2026.ELECTRNP.CNSM_NA_RESD_DSW_DEE_NA_USA_QBTU.A</t>
        </is>
      </c>
      <c r="D70" t="inlineStr">
        <is>
          <t>quads</t>
        </is>
      </c>
      <c r="E70" t="n">
        <v>0.037162</v>
      </c>
      <c r="F70" t="n">
        <v>0.038076</v>
      </c>
      <c r="G70" t="n">
        <v>0.03836</v>
      </c>
      <c r="H70" t="n">
        <v>0.038523</v>
      </c>
      <c r="I70" t="n">
        <v>0.038637</v>
      </c>
      <c r="J70" t="n">
        <v>0.038703</v>
      </c>
      <c r="K70" t="n">
        <v>0.03872</v>
      </c>
      <c r="L70" t="n">
        <v>0.038689</v>
      </c>
      <c r="M70" t="n">
        <v>0.038734</v>
      </c>
      <c r="N70" t="n">
        <v>0.038861</v>
      </c>
      <c r="O70" t="n">
        <v>0.039071</v>
      </c>
      <c r="P70" t="n">
        <v>0.039371</v>
      </c>
      <c r="Q70" t="n">
        <v>0.039764</v>
      </c>
      <c r="R70" t="n">
        <v>0.040262</v>
      </c>
      <c r="S70" t="n">
        <v>0.040872</v>
      </c>
      <c r="T70" t="n">
        <v>0.041477</v>
      </c>
      <c r="U70" t="n">
        <v>0.042076</v>
      </c>
      <c r="V70" t="n">
        <v>0.042674</v>
      </c>
      <c r="W70" t="n">
        <v>0.043273</v>
      </c>
      <c r="X70" t="n">
        <v>0.043876</v>
      </c>
      <c r="Y70" t="n">
        <v>0.044488</v>
      </c>
      <c r="Z70" t="n">
        <v>0.045111</v>
      </c>
      <c r="AA70" t="n">
        <v>0.045741</v>
      </c>
      <c r="AB70" t="n">
        <v>0.046379</v>
      </c>
      <c r="AC70" t="n">
        <v>0.047023</v>
      </c>
      <c r="AD70" t="n">
        <v>0.047676</v>
      </c>
      <c r="AE70" t="inlineStr">
        <is>
          <t>1.0%</t>
        </is>
      </c>
    </row>
    <row r="71">
      <c r="A71" t="inlineStr">
        <is>
          <t>Televisions and Related Equipment</t>
        </is>
      </c>
      <c r="B71" t="inlineStr">
        <is>
          <t>Residential: Delivered Energy Use by End Use: Televisions: Alternative Electricity and Transportation</t>
        </is>
      </c>
      <c r="C71" t="inlineStr">
        <is>
          <t>AEO.2026.ELECTRNP.CNSM_NA_RESD_TVR_DEE_NA_USA_QBTU.A</t>
        </is>
      </c>
      <c r="D71" t="inlineStr">
        <is>
          <t>quads</t>
        </is>
      </c>
      <c r="E71" t="n">
        <v>0.124839</v>
      </c>
      <c r="F71" t="n">
        <v>0.122177</v>
      </c>
      <c r="G71" t="n">
        <v>0.119963</v>
      </c>
      <c r="H71" t="n">
        <v>0.118088</v>
      </c>
      <c r="I71" t="n">
        <v>0.116097</v>
      </c>
      <c r="J71" t="n">
        <v>0.113806</v>
      </c>
      <c r="K71" t="n">
        <v>0.111516</v>
      </c>
      <c r="L71" t="n">
        <v>0.109399</v>
      </c>
      <c r="M71" t="n">
        <v>0.107489</v>
      </c>
      <c r="N71" t="n">
        <v>0.105735</v>
      </c>
      <c r="O71" t="n">
        <v>0.104144</v>
      </c>
      <c r="P71" t="n">
        <v>0.102719</v>
      </c>
      <c r="Q71" t="n">
        <v>0.101411</v>
      </c>
      <c r="R71" t="n">
        <v>0.100273</v>
      </c>
      <c r="S71" t="n">
        <v>0.09926699999999999</v>
      </c>
      <c r="T71" t="n">
        <v>0.098398</v>
      </c>
      <c r="U71" t="n">
        <v>0.097694</v>
      </c>
      <c r="V71" t="n">
        <v>0.097154</v>
      </c>
      <c r="W71" t="n">
        <v>0.096815</v>
      </c>
      <c r="X71" t="n">
        <v>0.09664300000000001</v>
      </c>
      <c r="Y71" t="n">
        <v>0.096638</v>
      </c>
      <c r="Z71" t="n">
        <v>0.096759</v>
      </c>
      <c r="AA71" t="n">
        <v>0.096903</v>
      </c>
      <c r="AB71" t="n">
        <v>0.097108</v>
      </c>
      <c r="AC71" t="n">
        <v>0.097404</v>
      </c>
      <c r="AD71" t="n">
        <v>0.097758</v>
      </c>
      <c r="AE71" t="inlineStr">
        <is>
          <t>-1.0%</t>
        </is>
      </c>
    </row>
    <row r="72">
      <c r="A72" t="inlineStr">
        <is>
          <t>Computers and Related Equipment</t>
        </is>
      </c>
      <c r="B72" t="inlineStr">
        <is>
          <t>Residential: Delivered Energy Use by End Use: Computers: Alternative Electricity and Transportation</t>
        </is>
      </c>
      <c r="C72" t="inlineStr">
        <is>
          <t>AEO.2026.ELECTRNP.CNSM_NA_RESD_CMPR_DEE_NA_USA_QBTU.A</t>
        </is>
      </c>
      <c r="D72" t="inlineStr">
        <is>
          <t>quads</t>
        </is>
      </c>
      <c r="E72" t="n">
        <v>0.097012</v>
      </c>
      <c r="F72" t="n">
        <v>0.09532400000000001</v>
      </c>
      <c r="G72" t="n">
        <v>0.093865</v>
      </c>
      <c r="H72" t="n">
        <v>0.092524</v>
      </c>
      <c r="I72" t="n">
        <v>0.090934</v>
      </c>
      <c r="J72" t="n">
        <v>0.08898200000000001</v>
      </c>
      <c r="K72" t="n">
        <v>0.086906</v>
      </c>
      <c r="L72" t="n">
        <v>0.084865</v>
      </c>
      <c r="M72" t="n">
        <v>0.082885</v>
      </c>
      <c r="N72" t="n">
        <v>0.080946</v>
      </c>
      <c r="O72" t="n">
        <v>0.07906199999999999</v>
      </c>
      <c r="P72" t="n">
        <v>0.07725</v>
      </c>
      <c r="Q72" t="n">
        <v>0.075484</v>
      </c>
      <c r="R72" t="n">
        <v>0.073799</v>
      </c>
      <c r="S72" t="n">
        <v>0.072189</v>
      </c>
      <c r="T72" t="n">
        <v>0.07066699999999999</v>
      </c>
      <c r="U72" t="n">
        <v>0.069258</v>
      </c>
      <c r="V72" t="n">
        <v>0.06798999999999999</v>
      </c>
      <c r="W72" t="n">
        <v>0.06687899999999999</v>
      </c>
      <c r="X72" t="n">
        <v>0.06591900000000001</v>
      </c>
      <c r="Y72" t="n">
        <v>0.06511400000000001</v>
      </c>
      <c r="Z72" t="n">
        <v>0.064456</v>
      </c>
      <c r="AA72" t="n">
        <v>0.06389300000000001</v>
      </c>
      <c r="AB72" t="n">
        <v>0.063459</v>
      </c>
      <c r="AC72" t="n">
        <v>0.063206</v>
      </c>
      <c r="AD72" t="n">
        <v>0.063082</v>
      </c>
      <c r="AE72" t="inlineStr">
        <is>
          <t>-1.7%</t>
        </is>
      </c>
    </row>
    <row r="73">
      <c r="A73" t="inlineStr">
        <is>
          <t>Furnace Fans and Boiler Circulation Pumps</t>
        </is>
      </c>
      <c r="B73" t="inlineStr">
        <is>
          <t>Residential: Delivered Energy Use by End Use: Fans and Pumps: Alternative Electricity and Transportation</t>
        </is>
      </c>
      <c r="C73" t="inlineStr">
        <is>
          <t>AEO.2026.ELECTRNP.CNSM_NA_RESD_FPR_DEE_NA_USA_QBTU.A</t>
        </is>
      </c>
      <c r="D73" t="inlineStr">
        <is>
          <t>quads</t>
        </is>
      </c>
      <c r="E73" t="n">
        <v>0.157436</v>
      </c>
      <c r="F73" t="n">
        <v>0.152897</v>
      </c>
      <c r="G73" t="n">
        <v>0.153778</v>
      </c>
      <c r="H73" t="n">
        <v>0.154119</v>
      </c>
      <c r="I73" t="n">
        <v>0.154014</v>
      </c>
      <c r="J73" t="n">
        <v>0.153651</v>
      </c>
      <c r="K73" t="n">
        <v>0.15307</v>
      </c>
      <c r="L73" t="n">
        <v>0.152658</v>
      </c>
      <c r="M73" t="n">
        <v>0.152172</v>
      </c>
      <c r="N73" t="n">
        <v>0.151658</v>
      </c>
      <c r="O73" t="n">
        <v>0.151023</v>
      </c>
      <c r="P73" t="n">
        <v>0.15023</v>
      </c>
      <c r="Q73" t="n">
        <v>0.149108</v>
      </c>
      <c r="R73" t="n">
        <v>0.147686</v>
      </c>
      <c r="S73" t="n">
        <v>0.145907</v>
      </c>
      <c r="T73" t="n">
        <v>0.143828</v>
      </c>
      <c r="U73" t="n">
        <v>0.141444</v>
      </c>
      <c r="V73" t="n">
        <v>0.139018</v>
      </c>
      <c r="W73" t="n">
        <v>0.136444</v>
      </c>
      <c r="X73" t="n">
        <v>0.133819</v>
      </c>
      <c r="Y73" t="n">
        <v>0.131257</v>
      </c>
      <c r="Z73" t="n">
        <v>0.128709</v>
      </c>
      <c r="AA73" t="n">
        <v>0.126132</v>
      </c>
      <c r="AB73" t="n">
        <v>0.123731</v>
      </c>
      <c r="AC73" t="n">
        <v>0.121516</v>
      </c>
      <c r="AD73" t="n">
        <v>0.11952</v>
      </c>
      <c r="AE73" t="inlineStr">
        <is>
          <t>-1.1%</t>
        </is>
      </c>
    </row>
    <row r="74">
      <c r="A74" t="inlineStr">
        <is>
          <t>Other Uses</t>
        </is>
      </c>
      <c r="B74" t="inlineStr">
        <is>
          <t>Residential: Delivered Energy Use by End Use: Other Uses: Alternative Electricity and Transportation</t>
        </is>
      </c>
      <c r="C74" t="inlineStr">
        <is>
          <t>AEO.2026.ELECTRNP.CNSM_NA_RESD_OTHU_DEE_NA_USA_QBTU.A</t>
        </is>
      </c>
      <c r="D74" t="inlineStr">
        <is>
          <t>quads</t>
        </is>
      </c>
      <c r="E74" t="n">
        <v>2.744414</v>
      </c>
      <c r="F74" t="n">
        <v>2.768938</v>
      </c>
      <c r="G74" t="n">
        <v>2.676169</v>
      </c>
      <c r="H74" t="n">
        <v>2.716824</v>
      </c>
      <c r="I74" t="n">
        <v>2.752841</v>
      </c>
      <c r="J74" t="n">
        <v>2.782987</v>
      </c>
      <c r="K74" t="n">
        <v>2.810584</v>
      </c>
      <c r="L74" t="n">
        <v>2.839233</v>
      </c>
      <c r="M74" t="n">
        <v>2.868407</v>
      </c>
      <c r="N74" t="n">
        <v>2.901457</v>
      </c>
      <c r="O74" t="n">
        <v>2.936177</v>
      </c>
      <c r="P74" t="n">
        <v>2.971693</v>
      </c>
      <c r="Q74" t="n">
        <v>3.00808</v>
      </c>
      <c r="R74" t="n">
        <v>3.045402</v>
      </c>
      <c r="S74" t="n">
        <v>3.082437</v>
      </c>
      <c r="T74" t="n">
        <v>3.115485</v>
      </c>
      <c r="U74" t="n">
        <v>3.151088</v>
      </c>
      <c r="V74" t="n">
        <v>3.188805</v>
      </c>
      <c r="W74" t="n">
        <v>3.228895</v>
      </c>
      <c r="X74" t="n">
        <v>3.27024</v>
      </c>
      <c r="Y74" t="n">
        <v>3.307601</v>
      </c>
      <c r="Z74" t="n">
        <v>3.348325</v>
      </c>
      <c r="AA74" t="n">
        <v>3.388146</v>
      </c>
      <c r="AB74" t="n">
        <v>3.428015</v>
      </c>
      <c r="AC74" t="n">
        <v>3.469098</v>
      </c>
      <c r="AD74" t="n">
        <v>3.511064</v>
      </c>
      <c r="AE74" t="inlineStr">
        <is>
          <t>1.0%</t>
        </is>
      </c>
    </row>
    <row r="75">
      <c r="A75" t="inlineStr">
        <is>
          <t>Gross End-use Electricity Consumption</t>
        </is>
      </c>
      <c r="B75" t="inlineStr">
        <is>
          <t>Residential: Energy Consumption by End Use: Gross End-use Consumption: Alternative Electricity and Transportation</t>
        </is>
      </c>
      <c r="C75" t="inlineStr">
        <is>
          <t>AEO.2026.ELECTRNP.CNSM_NA_RESD_TUS_DEE_NA_USA_QBTU.A</t>
        </is>
      </c>
      <c r="D75" t="inlineStr">
        <is>
          <t>quads</t>
        </is>
      </c>
      <c r="E75" t="n">
        <v>11.642869</v>
      </c>
      <c r="F75" t="n">
        <v>11.446619</v>
      </c>
      <c r="G75" t="n">
        <v>11.454411</v>
      </c>
      <c r="H75" t="n">
        <v>11.481712</v>
      </c>
      <c r="I75" t="n">
        <v>11.454556</v>
      </c>
      <c r="J75" t="n">
        <v>11.390325</v>
      </c>
      <c r="K75" t="n">
        <v>11.318034</v>
      </c>
      <c r="L75" t="n">
        <v>11.25566</v>
      </c>
      <c r="M75" t="n">
        <v>11.198971</v>
      </c>
      <c r="N75" t="n">
        <v>11.155686</v>
      </c>
      <c r="O75" t="n">
        <v>11.12212</v>
      </c>
      <c r="P75" t="n">
        <v>11.095996</v>
      </c>
      <c r="Q75" t="n">
        <v>11.072502</v>
      </c>
      <c r="R75" t="n">
        <v>11.055615</v>
      </c>
      <c r="S75" t="n">
        <v>11.041765</v>
      </c>
      <c r="T75" t="n">
        <v>11.025434</v>
      </c>
      <c r="U75" t="n">
        <v>11.015616</v>
      </c>
      <c r="V75" t="n">
        <v>11.018187</v>
      </c>
      <c r="W75" t="n">
        <v>11.029612</v>
      </c>
      <c r="X75" t="n">
        <v>11.045303</v>
      </c>
      <c r="Y75" t="n">
        <v>11.060591</v>
      </c>
      <c r="Z75" t="n">
        <v>11.076777</v>
      </c>
      <c r="AA75" t="n">
        <v>11.089348</v>
      </c>
      <c r="AB75" t="n">
        <v>11.102238</v>
      </c>
      <c r="AC75" t="n">
        <v>11.119299</v>
      </c>
      <c r="AD75" t="n">
        <v>11.139188</v>
      </c>
      <c r="AE75" t="inlineStr">
        <is>
          <t>-0.2%</t>
        </is>
      </c>
    </row>
    <row r="76">
      <c r="A76" t="inlineStr">
        <is>
          <t>Purchased Electricity for Electric Vehicle Charging</t>
        </is>
      </c>
      <c r="B76" t="inlineStr">
        <is>
          <t>Residential: Energy Consumption by End Use: Purchased Electricity for EV Charging: Alternative Electricity and Transportation</t>
        </is>
      </c>
      <c r="C76" t="inlineStr">
        <is>
          <t>AEO.2026.ELECTRNP.CNSM_NA_RESD_PUELEVCHRG_DEE_NA_USA_QBTU.A</t>
        </is>
      </c>
      <c r="D76" t="inlineStr">
        <is>
          <t>quads</t>
        </is>
      </c>
      <c r="E76" t="n">
        <v>0.070135</v>
      </c>
      <c r="F76" t="n">
        <v>0.091487</v>
      </c>
      <c r="G76" t="n">
        <v>0.119301</v>
      </c>
      <c r="H76" t="n">
        <v>0.150191</v>
      </c>
      <c r="I76" t="n">
        <v>0.180501</v>
      </c>
      <c r="J76" t="n">
        <v>0.20873</v>
      </c>
      <c r="K76" t="n">
        <v>0.23312</v>
      </c>
      <c r="L76" t="n">
        <v>0.255188</v>
      </c>
      <c r="M76" t="n">
        <v>0.276995</v>
      </c>
      <c r="N76" t="n">
        <v>0.299237</v>
      </c>
      <c r="O76" t="n">
        <v>0.321766</v>
      </c>
      <c r="P76" t="n">
        <v>0.344322</v>
      </c>
      <c r="Q76" t="n">
        <v>0.366901</v>
      </c>
      <c r="R76" t="n">
        <v>0.389322</v>
      </c>
      <c r="S76" t="n">
        <v>0.411141</v>
      </c>
      <c r="T76" t="n">
        <v>0.432469</v>
      </c>
      <c r="U76" t="n">
        <v>0.452774</v>
      </c>
      <c r="V76" t="n">
        <v>0.472388</v>
      </c>
      <c r="W76" t="n">
        <v>0.491304</v>
      </c>
      <c r="X76" t="n">
        <v>0.509669</v>
      </c>
      <c r="Y76" t="n">
        <v>0.527513</v>
      </c>
      <c r="Z76" t="n">
        <v>0.544645</v>
      </c>
      <c r="AA76" t="n">
        <v>0.560954</v>
      </c>
      <c r="AB76" t="n">
        <v>0.576893</v>
      </c>
      <c r="AC76" t="n">
        <v>0.592211</v>
      </c>
      <c r="AD76" t="n">
        <v>0.607194</v>
      </c>
      <c r="AE76" t="inlineStr">
        <is>
          <t>9.0%</t>
        </is>
      </c>
    </row>
    <row r="77">
      <c r="A77" t="inlineStr">
        <is>
          <t>On-site Generation for Own Use</t>
        </is>
      </c>
      <c r="B77" t="inlineStr">
        <is>
          <t>Residential: Energy Consumption by End Use: Generation for Own Use: Alternative Electricity and Transportation</t>
        </is>
      </c>
      <c r="C77" t="inlineStr">
        <is>
          <t>AEO.2026.ELECTRNP.GEN_NA_RESD_GFO_DEE_NA_USA_QBTU.A</t>
        </is>
      </c>
      <c r="D77" t="inlineStr">
        <is>
          <t>quads</t>
        </is>
      </c>
      <c r="E77" t="n">
        <v>0.185133</v>
      </c>
      <c r="F77" t="n">
        <v>0.196181</v>
      </c>
      <c r="G77" t="n">
        <v>0.20807</v>
      </c>
      <c r="H77" t="n">
        <v>0.22029</v>
      </c>
      <c r="I77" t="n">
        <v>0.231914</v>
      </c>
      <c r="J77" t="n">
        <v>0.244047</v>
      </c>
      <c r="K77" t="n">
        <v>0.256987</v>
      </c>
      <c r="L77" t="n">
        <v>0.269994</v>
      </c>
      <c r="M77" t="n">
        <v>0.283557</v>
      </c>
      <c r="N77" t="n">
        <v>0.297913</v>
      </c>
      <c r="O77" t="n">
        <v>0.313151</v>
      </c>
      <c r="P77" t="n">
        <v>0.329133</v>
      </c>
      <c r="Q77" t="n">
        <v>0.346163</v>
      </c>
      <c r="R77" t="n">
        <v>0.36399</v>
      </c>
      <c r="S77" t="n">
        <v>0.382634</v>
      </c>
      <c r="T77" t="n">
        <v>0.401916</v>
      </c>
      <c r="U77" t="n">
        <v>0.421918</v>
      </c>
      <c r="V77" t="n">
        <v>0.442534</v>
      </c>
      <c r="W77" t="n">
        <v>0.463664</v>
      </c>
      <c r="X77" t="n">
        <v>0.485583</v>
      </c>
      <c r="Y77" t="n">
        <v>0.508059</v>
      </c>
      <c r="Z77" t="n">
        <v>0.53128</v>
      </c>
      <c r="AA77" t="n">
        <v>0.5552280000000001</v>
      </c>
      <c r="AB77" t="n">
        <v>0.58008</v>
      </c>
      <c r="AC77" t="n">
        <v>0.605411</v>
      </c>
      <c r="AD77" t="n">
        <v>0.631533</v>
      </c>
      <c r="AE77" t="inlineStr">
        <is>
          <t>5.0%</t>
        </is>
      </c>
    </row>
    <row r="78">
      <c r="A78" t="inlineStr">
        <is>
          <t>Delivered Energy</t>
        </is>
      </c>
      <c r="B78" t="inlineStr">
        <is>
          <t>Residential: Energy Consumption by End Use: Delivered Energy: Alternative Electricity and Transportation</t>
        </is>
      </c>
      <c r="C78" t="inlineStr">
        <is>
          <t>AEO.2026.ELECTRNP.CNSM_NA_RESD_DELE_DEE_NA_USA_QBTU.A</t>
        </is>
      </c>
      <c r="D78" t="inlineStr">
        <is>
          <t>quads</t>
        </is>
      </c>
      <c r="E78" t="n">
        <v>11.527871</v>
      </c>
      <c r="F78" t="n">
        <v>11.341925</v>
      </c>
      <c r="G78" t="n">
        <v>11.365642</v>
      </c>
      <c r="H78" t="n">
        <v>11.411612</v>
      </c>
      <c r="I78" t="n">
        <v>11.403143</v>
      </c>
      <c r="J78" t="n">
        <v>11.355008</v>
      </c>
      <c r="K78" t="n">
        <v>11.294167</v>
      </c>
      <c r="L78" t="n">
        <v>11.240855</v>
      </c>
      <c r="M78" t="n">
        <v>11.192409</v>
      </c>
      <c r="N78" t="n">
        <v>11.157009</v>
      </c>
      <c r="O78" t="n">
        <v>11.130734</v>
      </c>
      <c r="P78" t="n">
        <v>11.111185</v>
      </c>
      <c r="Q78" t="n">
        <v>11.09324</v>
      </c>
      <c r="R78" t="n">
        <v>11.080947</v>
      </c>
      <c r="S78" t="n">
        <v>11.070272</v>
      </c>
      <c r="T78" t="n">
        <v>11.055986</v>
      </c>
      <c r="U78" t="n">
        <v>11.046472</v>
      </c>
      <c r="V78" t="n">
        <v>11.048041</v>
      </c>
      <c r="W78" t="n">
        <v>11.057252</v>
      </c>
      <c r="X78" t="n">
        <v>11.069388</v>
      </c>
      <c r="Y78" t="n">
        <v>11.080046</v>
      </c>
      <c r="Z78" t="n">
        <v>11.090141</v>
      </c>
      <c r="AA78" t="n">
        <v>11.095074</v>
      </c>
      <c r="AB78" t="n">
        <v>11.099052</v>
      </c>
      <c r="AC78" t="n">
        <v>11.1061</v>
      </c>
      <c r="AD78" t="n">
        <v>11.114849</v>
      </c>
      <c r="AE78" t="inlineStr">
        <is>
          <t>-0.1%</t>
        </is>
      </c>
    </row>
    <row r="79">
      <c r="A79" t="inlineStr">
        <is>
          <t>Electricity Related Losses</t>
        </is>
      </c>
      <c r="B79" t="inlineStr">
        <is>
          <t>Residential: Electricity Related Losses: Alternative Electricity and Transportation</t>
        </is>
      </c>
      <c r="C79" t="inlineStr">
        <is>
          <t>AEO.2026.ELECTRNP.CNSM_LOSSES_RESD_NA_ENRL_NA_USA_QBTU.A</t>
        </is>
      </c>
      <c r="D79" t="inlineStr">
        <is>
          <t>quads</t>
        </is>
      </c>
      <c r="E79" t="n">
        <v>7.167652</v>
      </c>
      <c r="F79" t="n">
        <v>7.154598</v>
      </c>
      <c r="G79" t="n">
        <v>6.514531</v>
      </c>
      <c r="H79" t="n">
        <v>6.312526</v>
      </c>
      <c r="I79" t="n">
        <v>6.221182</v>
      </c>
      <c r="J79" t="n">
        <v>6.131667</v>
      </c>
      <c r="K79" t="n">
        <v>5.945178</v>
      </c>
      <c r="L79" t="n">
        <v>5.839331</v>
      </c>
      <c r="M79" t="n">
        <v>5.783456</v>
      </c>
      <c r="N79" t="n">
        <v>5.692315</v>
      </c>
      <c r="O79" t="n">
        <v>5.633997</v>
      </c>
      <c r="P79" t="n">
        <v>5.578078</v>
      </c>
      <c r="Q79" t="n">
        <v>5.556406</v>
      </c>
      <c r="R79" t="n">
        <v>5.551892</v>
      </c>
      <c r="S79" t="n">
        <v>5.537122</v>
      </c>
      <c r="T79" t="n">
        <v>5.503886</v>
      </c>
      <c r="U79" t="n">
        <v>5.475434</v>
      </c>
      <c r="V79" t="n">
        <v>5.478948</v>
      </c>
      <c r="W79" t="n">
        <v>5.494038</v>
      </c>
      <c r="X79" t="n">
        <v>5.511872</v>
      </c>
      <c r="Y79" t="n">
        <v>5.527482</v>
      </c>
      <c r="Z79" t="n">
        <v>5.546856</v>
      </c>
      <c r="AA79" t="n">
        <v>5.568882</v>
      </c>
      <c r="AB79" t="n">
        <v>5.588573</v>
      </c>
      <c r="AC79" t="n">
        <v>5.589644</v>
      </c>
      <c r="AD79" t="n">
        <v>5.607822</v>
      </c>
      <c r="AE79" t="inlineStr">
        <is>
          <t>-1.0%</t>
        </is>
      </c>
    </row>
    <row r="80">
      <c r="A80" t="inlineStr">
        <is>
          <t>Total Energy Consumption by End Use</t>
        </is>
      </c>
    </row>
    <row r="81">
      <c r="A81" t="inlineStr">
        <is>
          <t>Space Heating</t>
        </is>
      </c>
      <c r="B81" t="inlineStr">
        <is>
          <t>Residential: Total Energy Use by End Use: Space Heating: Alternative Electricity and Transportation</t>
        </is>
      </c>
      <c r="C81" t="inlineStr">
        <is>
          <t>AEO.2026.ELECTRNP.CNSM_NA_RESD_SPH_TEE_NA_USA_QBTU.A</t>
        </is>
      </c>
      <c r="D81" t="inlineStr">
        <is>
          <t>quads</t>
        </is>
      </c>
      <c r="E81" t="n">
        <v>5.676419</v>
      </c>
      <c r="F81" t="n">
        <v>5.352002</v>
      </c>
      <c r="G81" t="n">
        <v>5.377786</v>
      </c>
      <c r="H81" t="n">
        <v>5.317251</v>
      </c>
      <c r="I81" t="n">
        <v>5.248799</v>
      </c>
      <c r="J81" t="n">
        <v>5.167059</v>
      </c>
      <c r="K81" t="n">
        <v>5.072208</v>
      </c>
      <c r="L81" t="n">
        <v>4.989853</v>
      </c>
      <c r="M81" t="n">
        <v>4.914524</v>
      </c>
      <c r="N81" t="n">
        <v>4.837609</v>
      </c>
      <c r="O81" t="n">
        <v>4.765844</v>
      </c>
      <c r="P81" t="n">
        <v>4.697088</v>
      </c>
      <c r="Q81" t="n">
        <v>4.630502</v>
      </c>
      <c r="R81" t="n">
        <v>4.567931</v>
      </c>
      <c r="S81" t="n">
        <v>4.504799</v>
      </c>
      <c r="T81" t="n">
        <v>4.441942</v>
      </c>
      <c r="U81" t="n">
        <v>4.379862</v>
      </c>
      <c r="V81" t="n">
        <v>4.32588</v>
      </c>
      <c r="W81" t="n">
        <v>4.275331</v>
      </c>
      <c r="X81" t="n">
        <v>4.226983</v>
      </c>
      <c r="Y81" t="n">
        <v>4.181409</v>
      </c>
      <c r="Z81" t="n">
        <v>4.134776</v>
      </c>
      <c r="AA81" t="n">
        <v>4.086676</v>
      </c>
      <c r="AB81" t="n">
        <v>4.039164</v>
      </c>
      <c r="AC81" t="n">
        <v>3.991319</v>
      </c>
      <c r="AD81" t="n">
        <v>3.945525</v>
      </c>
      <c r="AE81" t="inlineStr">
        <is>
          <t>-1.4%</t>
        </is>
      </c>
    </row>
    <row r="82">
      <c r="A82" t="inlineStr">
        <is>
          <t>Space Cooling</t>
        </is>
      </c>
      <c r="B82" t="inlineStr">
        <is>
          <t>Residential: Total Energy Use by End Use: Space Cooling: Alternative Electricity and Transportation</t>
        </is>
      </c>
      <c r="C82" t="inlineStr">
        <is>
          <t>AEO.2026.ELECTRNP.CNSM_NA_RESD_SPC_TEE_NA_USA_QBTU.A</t>
        </is>
      </c>
      <c r="D82" t="inlineStr">
        <is>
          <t>quads</t>
        </is>
      </c>
      <c r="E82" t="n">
        <v>2.209428</v>
      </c>
      <c r="F82" t="n">
        <v>2.335922</v>
      </c>
      <c r="G82" t="n">
        <v>2.264997</v>
      </c>
      <c r="H82" t="n">
        <v>2.240748</v>
      </c>
      <c r="I82" t="n">
        <v>2.235738</v>
      </c>
      <c r="J82" t="n">
        <v>2.227676</v>
      </c>
      <c r="K82" t="n">
        <v>2.202204</v>
      </c>
      <c r="L82" t="n">
        <v>2.193258</v>
      </c>
      <c r="M82" t="n">
        <v>2.194045</v>
      </c>
      <c r="N82" t="n">
        <v>2.189426</v>
      </c>
      <c r="O82" t="n">
        <v>2.191747</v>
      </c>
      <c r="P82" t="n">
        <v>2.196002</v>
      </c>
      <c r="Q82" t="n">
        <v>2.207364</v>
      </c>
      <c r="R82" t="n">
        <v>2.222128</v>
      </c>
      <c r="S82" t="n">
        <v>2.235198</v>
      </c>
      <c r="T82" t="n">
        <v>2.247186</v>
      </c>
      <c r="U82" t="n">
        <v>2.260706</v>
      </c>
      <c r="V82" t="n">
        <v>2.282749</v>
      </c>
      <c r="W82" t="n">
        <v>2.308033</v>
      </c>
      <c r="X82" t="n">
        <v>2.333632</v>
      </c>
      <c r="Y82" t="n">
        <v>2.360322</v>
      </c>
      <c r="Z82" t="n">
        <v>2.385351</v>
      </c>
      <c r="AA82" t="n">
        <v>2.409916</v>
      </c>
      <c r="AB82" t="n">
        <v>2.433004</v>
      </c>
      <c r="AC82" t="n">
        <v>2.453359</v>
      </c>
      <c r="AD82" t="n">
        <v>2.476438</v>
      </c>
      <c r="AE82" t="inlineStr">
        <is>
          <t>0.5%</t>
        </is>
      </c>
    </row>
    <row r="83">
      <c r="A83" t="inlineStr">
        <is>
          <t>Water Heating</t>
        </is>
      </c>
      <c r="B83" t="inlineStr">
        <is>
          <t>Residential: Total Energy Use by End Use: Water Heating: Alternative Electricity and Transportation</t>
        </is>
      </c>
      <c r="C83" t="inlineStr">
        <is>
          <t>AEO.2026.ELECTRNP.CNSM_NA_RESD_WTHT_TEE_NA_USA_QBTU.A</t>
        </is>
      </c>
      <c r="D83" t="inlineStr">
        <is>
          <t>quads</t>
        </is>
      </c>
      <c r="E83" t="n">
        <v>2.173363</v>
      </c>
      <c r="F83" t="n">
        <v>2.158102</v>
      </c>
      <c r="G83" t="n">
        <v>2.108511</v>
      </c>
      <c r="H83" t="n">
        <v>2.083219</v>
      </c>
      <c r="I83" t="n">
        <v>2.030746</v>
      </c>
      <c r="J83" t="n">
        <v>1.970669</v>
      </c>
      <c r="K83" t="n">
        <v>1.904377</v>
      </c>
      <c r="L83" t="n">
        <v>1.849611</v>
      </c>
      <c r="M83" t="n">
        <v>1.801235</v>
      </c>
      <c r="N83" t="n">
        <v>1.757064</v>
      </c>
      <c r="O83" t="n">
        <v>1.720468</v>
      </c>
      <c r="P83" t="n">
        <v>1.687359</v>
      </c>
      <c r="Q83" t="n">
        <v>1.658616</v>
      </c>
      <c r="R83" t="n">
        <v>1.633857</v>
      </c>
      <c r="S83" t="n">
        <v>1.611574</v>
      </c>
      <c r="T83" t="n">
        <v>1.5919</v>
      </c>
      <c r="U83" t="n">
        <v>1.575004</v>
      </c>
      <c r="V83" t="n">
        <v>1.562761</v>
      </c>
      <c r="W83" t="n">
        <v>1.553944</v>
      </c>
      <c r="X83" t="n">
        <v>1.544762</v>
      </c>
      <c r="Y83" t="n">
        <v>1.534907</v>
      </c>
      <c r="Z83" t="n">
        <v>1.523909</v>
      </c>
      <c r="AA83" t="n">
        <v>1.512165</v>
      </c>
      <c r="AB83" t="n">
        <v>1.50023</v>
      </c>
      <c r="AC83" t="n">
        <v>1.488377</v>
      </c>
      <c r="AD83" t="n">
        <v>1.478255</v>
      </c>
      <c r="AE83" t="inlineStr">
        <is>
          <t>-1.5%</t>
        </is>
      </c>
    </row>
    <row r="84">
      <c r="A84" t="inlineStr">
        <is>
          <t>Refrigeration</t>
        </is>
      </c>
      <c r="B84" t="inlineStr">
        <is>
          <t>Residential: Total Energy Use by End Use: Refrigeration: Alternative Electricity and Transportation</t>
        </is>
      </c>
      <c r="C84" t="inlineStr">
        <is>
          <t>AEO.2026.ELECTRNP.CNSM_NA_RESD_REFR_TEE_NA_USA_QBTU.A</t>
        </is>
      </c>
      <c r="D84" t="inlineStr">
        <is>
          <t>quads</t>
        </is>
      </c>
      <c r="E84" t="n">
        <v>0.813186</v>
      </c>
      <c r="F84" t="n">
        <v>0.805449</v>
      </c>
      <c r="G84" t="n">
        <v>0.766889</v>
      </c>
      <c r="H84" t="n">
        <v>0.74542</v>
      </c>
      <c r="I84" t="n">
        <v>0.733572</v>
      </c>
      <c r="J84" t="n">
        <v>0.718951</v>
      </c>
      <c r="K84" t="n">
        <v>0.699829</v>
      </c>
      <c r="L84" t="n">
        <v>0.686318</v>
      </c>
      <c r="M84" t="n">
        <v>0.676105</v>
      </c>
      <c r="N84" t="n">
        <v>0.663842</v>
      </c>
      <c r="O84" t="n">
        <v>0.653799</v>
      </c>
      <c r="P84" t="n">
        <v>0.644533</v>
      </c>
      <c r="Q84" t="n">
        <v>0.6379</v>
      </c>
      <c r="R84" t="n">
        <v>0.632915</v>
      </c>
      <c r="S84" t="n">
        <v>0.628124</v>
      </c>
      <c r="T84" t="n">
        <v>0.62343</v>
      </c>
      <c r="U84" t="n">
        <v>0.619606</v>
      </c>
      <c r="V84" t="n">
        <v>0.618063</v>
      </c>
      <c r="W84" t="n">
        <v>0.61773</v>
      </c>
      <c r="X84" t="n">
        <v>0.6183070000000001</v>
      </c>
      <c r="Y84" t="n">
        <v>0.619845</v>
      </c>
      <c r="Z84" t="n">
        <v>0.622474</v>
      </c>
      <c r="AA84" t="n">
        <v>0.626255</v>
      </c>
      <c r="AB84" t="n">
        <v>0.629908</v>
      </c>
      <c r="AC84" t="n">
        <v>0.632462</v>
      </c>
      <c r="AD84" t="n">
        <v>0.635834</v>
      </c>
      <c r="AE84" t="inlineStr">
        <is>
          <t>-1.0%</t>
        </is>
      </c>
    </row>
    <row r="85">
      <c r="A85" t="inlineStr">
        <is>
          <t>Cooking</t>
        </is>
      </c>
      <c r="B85" t="inlineStr">
        <is>
          <t>Residential: Total Energy Use by End Use: Cooking: Alternative Electricity and Transportation</t>
        </is>
      </c>
      <c r="C85" t="inlineStr">
        <is>
          <t>AEO.2026.ELECTRNP.CNSM_NA_RESD_CGR_TEE_NA_USA_QBTU.A</t>
        </is>
      </c>
      <c r="D85" t="inlineStr">
        <is>
          <t>quads</t>
        </is>
      </c>
      <c r="E85" t="n">
        <v>0.246715</v>
      </c>
      <c r="F85" t="n">
        <v>0.247656</v>
      </c>
      <c r="G85" t="n">
        <v>0.242441</v>
      </c>
      <c r="H85" t="n">
        <v>0.240527</v>
      </c>
      <c r="I85" t="n">
        <v>0.240378</v>
      </c>
      <c r="J85" t="n">
        <v>0.240574</v>
      </c>
      <c r="K85" t="n">
        <v>0.239609</v>
      </c>
      <c r="L85" t="n">
        <v>0.239643</v>
      </c>
      <c r="M85" t="n">
        <v>0.240232</v>
      </c>
      <c r="N85" t="n">
        <v>0.240239</v>
      </c>
      <c r="O85" t="n">
        <v>0.240629</v>
      </c>
      <c r="P85" t="n">
        <v>0.241012</v>
      </c>
      <c r="Q85" t="n">
        <v>0.241807</v>
      </c>
      <c r="R85" t="n">
        <v>0.242748</v>
      </c>
      <c r="S85" t="n">
        <v>0.243419</v>
      </c>
      <c r="T85" t="n">
        <v>0.24381</v>
      </c>
      <c r="U85" t="n">
        <v>0.244093</v>
      </c>
      <c r="V85" t="n">
        <v>0.244635</v>
      </c>
      <c r="W85" t="n">
        <v>0.245207</v>
      </c>
      <c r="X85" t="n">
        <v>0.245762</v>
      </c>
      <c r="Y85" t="n">
        <v>0.246312</v>
      </c>
      <c r="Z85" t="n">
        <v>0.246892</v>
      </c>
      <c r="AA85" t="n">
        <v>0.247529</v>
      </c>
      <c r="AB85" t="n">
        <v>0.248136</v>
      </c>
      <c r="AC85" t="n">
        <v>0.24848</v>
      </c>
      <c r="AD85" t="n">
        <v>0.249047</v>
      </c>
      <c r="AE85" t="inlineStr">
        <is>
          <t>0.0%</t>
        </is>
      </c>
    </row>
    <row r="86">
      <c r="A86" t="inlineStr">
        <is>
          <t>Clothes Dryers</t>
        </is>
      </c>
      <c r="B86" t="inlineStr">
        <is>
          <t>Residential: Total Energy Use by End Use: Clothes Dryers: Alternative Electricity and Transportation</t>
        </is>
      </c>
      <c r="C86" t="inlineStr">
        <is>
          <t>AEO.2026.ELECTRNP.CNSM_NA_RESD_CDR_TEE_NA_USA_QBTU.A</t>
        </is>
      </c>
      <c r="D86" t="inlineStr">
        <is>
          <t>quads</t>
        </is>
      </c>
      <c r="E86" t="n">
        <v>0.482345</v>
      </c>
      <c r="F86" t="n">
        <v>0.481318</v>
      </c>
      <c r="G86" t="n">
        <v>0.464287</v>
      </c>
      <c r="H86" t="n">
        <v>0.457255</v>
      </c>
      <c r="I86" t="n">
        <v>0.45375</v>
      </c>
      <c r="J86" t="n">
        <v>0.449098</v>
      </c>
      <c r="K86" t="n">
        <v>0.440261</v>
      </c>
      <c r="L86" t="n">
        <v>0.433604</v>
      </c>
      <c r="M86" t="n">
        <v>0.429294</v>
      </c>
      <c r="N86" t="n">
        <v>0.42442</v>
      </c>
      <c r="O86" t="n">
        <v>0.421366</v>
      </c>
      <c r="P86" t="n">
        <v>0.419219</v>
      </c>
      <c r="Q86" t="n">
        <v>0.4188</v>
      </c>
      <c r="R86" t="n">
        <v>0.419788</v>
      </c>
      <c r="S86" t="n">
        <v>0.421278</v>
      </c>
      <c r="T86" t="n">
        <v>0.42329</v>
      </c>
      <c r="U86" t="n">
        <v>0.42644</v>
      </c>
      <c r="V86" t="n">
        <v>0.430477</v>
      </c>
      <c r="W86" t="n">
        <v>0.434887</v>
      </c>
      <c r="X86" t="n">
        <v>0.43938</v>
      </c>
      <c r="Y86" t="n">
        <v>0.443873</v>
      </c>
      <c r="Z86" t="n">
        <v>0.448141</v>
      </c>
      <c r="AA86" t="n">
        <v>0.452194</v>
      </c>
      <c r="AB86" t="n">
        <v>0.45593</v>
      </c>
      <c r="AC86" t="n">
        <v>0.459074</v>
      </c>
      <c r="AD86" t="n">
        <v>0.462616</v>
      </c>
      <c r="AE86" t="inlineStr">
        <is>
          <t>-0.2%</t>
        </is>
      </c>
    </row>
    <row r="87">
      <c r="A87" t="inlineStr">
        <is>
          <t>Freezers</t>
        </is>
      </c>
      <c r="B87" t="inlineStr">
        <is>
          <t>Residential: Total Energy Use by End Use: Freezers: Alternative Electricity and Transportation</t>
        </is>
      </c>
      <c r="C87" t="inlineStr">
        <is>
          <t>AEO.2026.ELECTRNP.CNSM_NA_RESD_FRZ_TEE_NA_USA_QBTU.A</t>
        </is>
      </c>
      <c r="D87" t="inlineStr">
        <is>
          <t>quads</t>
        </is>
      </c>
      <c r="E87" t="n">
        <v>0.184423</v>
      </c>
      <c r="F87" t="n">
        <v>0.183127</v>
      </c>
      <c r="G87" t="n">
        <v>0.174856</v>
      </c>
      <c r="H87" t="n">
        <v>0.170439</v>
      </c>
      <c r="I87" t="n">
        <v>0.168006</v>
      </c>
      <c r="J87" t="n">
        <v>0.165158</v>
      </c>
      <c r="K87" t="n">
        <v>0.161022</v>
      </c>
      <c r="L87" t="n">
        <v>0.157963</v>
      </c>
      <c r="M87" t="n">
        <v>0.155603</v>
      </c>
      <c r="N87" t="n">
        <v>0.152722</v>
      </c>
      <c r="O87" t="n">
        <v>0.150298</v>
      </c>
      <c r="P87" t="n">
        <v>0.147918</v>
      </c>
      <c r="Q87" t="n">
        <v>0.146001</v>
      </c>
      <c r="R87" t="n">
        <v>0.144321</v>
      </c>
      <c r="S87" t="n">
        <v>0.142554</v>
      </c>
      <c r="T87" t="n">
        <v>0.140688</v>
      </c>
      <c r="U87" t="n">
        <v>0.138927</v>
      </c>
      <c r="V87" t="n">
        <v>0.137586</v>
      </c>
      <c r="W87" t="n">
        <v>0.136421</v>
      </c>
      <c r="X87" t="n">
        <v>0.135373</v>
      </c>
      <c r="Y87" t="n">
        <v>0.134438</v>
      </c>
      <c r="Z87" t="n">
        <v>0.133666</v>
      </c>
      <c r="AA87" t="n">
        <v>0.133071</v>
      </c>
      <c r="AB87" t="n">
        <v>0.132596</v>
      </c>
      <c r="AC87" t="n">
        <v>0.132054</v>
      </c>
      <c r="AD87" t="n">
        <v>0.131858</v>
      </c>
      <c r="AE87" t="inlineStr">
        <is>
          <t>-1.3%</t>
        </is>
      </c>
    </row>
    <row r="88">
      <c r="A88" t="inlineStr">
        <is>
          <t>Lighting</t>
        </is>
      </c>
      <c r="B88" t="inlineStr">
        <is>
          <t>Residential: Total Energy Use by End Use: Lighting: Alternative Electricity and Transportation</t>
        </is>
      </c>
      <c r="C88" t="inlineStr">
        <is>
          <t>AEO.2026.ELECTRNP.CNSM_NA_RESD_LGHTNG_TEE_NA_USA_QBTU.A</t>
        </is>
      </c>
      <c r="D88" t="inlineStr">
        <is>
          <t>quads</t>
        </is>
      </c>
      <c r="E88" t="n">
        <v>0.425356</v>
      </c>
      <c r="F88" t="n">
        <v>0.421101</v>
      </c>
      <c r="G88" t="n">
        <v>0.405193</v>
      </c>
      <c r="H88" t="n">
        <v>0.399701</v>
      </c>
      <c r="I88" t="n">
        <v>0.398252</v>
      </c>
      <c r="J88" t="n">
        <v>0.393072</v>
      </c>
      <c r="K88" t="n">
        <v>0.384818</v>
      </c>
      <c r="L88" t="n">
        <v>0.380116</v>
      </c>
      <c r="M88" t="n">
        <v>0.377559</v>
      </c>
      <c r="N88" t="n">
        <v>0.373995</v>
      </c>
      <c r="O88" t="n">
        <v>0.371627</v>
      </c>
      <c r="P88" t="n">
        <v>0.369335</v>
      </c>
      <c r="Q88" t="n">
        <v>0.367924</v>
      </c>
      <c r="R88" t="n">
        <v>0.367005</v>
      </c>
      <c r="S88" t="n">
        <v>0.366063</v>
      </c>
      <c r="T88" t="n">
        <v>0.358847</v>
      </c>
      <c r="U88" t="n">
        <v>0.35255</v>
      </c>
      <c r="V88" t="n">
        <v>0.348183</v>
      </c>
      <c r="W88" t="n">
        <v>0.345114</v>
      </c>
      <c r="X88" t="n">
        <v>0.34303</v>
      </c>
      <c r="Y88" t="n">
        <v>0.341488</v>
      </c>
      <c r="Z88" t="n">
        <v>0.340061</v>
      </c>
      <c r="AA88" t="n">
        <v>0.338726</v>
      </c>
      <c r="AB88" t="n">
        <v>0.337537</v>
      </c>
      <c r="AC88" t="n">
        <v>0.336157</v>
      </c>
      <c r="AD88" t="n">
        <v>0.335314</v>
      </c>
      <c r="AE88" t="inlineStr">
        <is>
          <t>-0.9%</t>
        </is>
      </c>
    </row>
    <row r="89">
      <c r="A89" t="inlineStr">
        <is>
          <t>Clothes Washers</t>
        </is>
      </c>
      <c r="B89" t="inlineStr">
        <is>
          <t>Residential: Total Energy Use by End Use: Clothes Washers: Alternative Electricity and Transportation</t>
        </is>
      </c>
      <c r="C89" t="inlineStr">
        <is>
          <t>AEO.2026.ELECTRNP.CNSM_NA_RESD_CLW_TEE_NA_USA_QBTU.A</t>
        </is>
      </c>
      <c r="D89" t="inlineStr">
        <is>
          <t>quads</t>
        </is>
      </c>
      <c r="E89" t="n">
        <v>0.094734</v>
      </c>
      <c r="F89" t="n">
        <v>0.09184199999999999</v>
      </c>
      <c r="G89" t="n">
        <v>0.085534</v>
      </c>
      <c r="H89" t="n">
        <v>0.080919</v>
      </c>
      <c r="I89" t="n">
        <v>0.077308</v>
      </c>
      <c r="J89" t="n">
        <v>0.073556</v>
      </c>
      <c r="K89" t="n">
        <v>0.069233</v>
      </c>
      <c r="L89" t="n">
        <v>0.065305</v>
      </c>
      <c r="M89" t="n">
        <v>0.062111</v>
      </c>
      <c r="N89" t="n">
        <v>0.059149</v>
      </c>
      <c r="O89" t="n">
        <v>0.05679</v>
      </c>
      <c r="P89" t="n">
        <v>0.05489</v>
      </c>
      <c r="Q89" t="n">
        <v>0.053614</v>
      </c>
      <c r="R89" t="n">
        <v>0.052914</v>
      </c>
      <c r="S89" t="n">
        <v>0.052689</v>
      </c>
      <c r="T89" t="n">
        <v>0.052399</v>
      </c>
      <c r="U89" t="n">
        <v>0.052117</v>
      </c>
      <c r="V89" t="n">
        <v>0.051974</v>
      </c>
      <c r="W89" t="n">
        <v>0.051879</v>
      </c>
      <c r="X89" t="n">
        <v>0.051816</v>
      </c>
      <c r="Y89" t="n">
        <v>0.051786</v>
      </c>
      <c r="Z89" t="n">
        <v>0.051795</v>
      </c>
      <c r="AA89" t="n">
        <v>0.05185</v>
      </c>
      <c r="AB89" t="n">
        <v>0.051918</v>
      </c>
      <c r="AC89" t="n">
        <v>0.051918</v>
      </c>
      <c r="AD89" t="n">
        <v>0.052006</v>
      </c>
      <c r="AE89" t="inlineStr">
        <is>
          <t>-2.4%</t>
        </is>
      </c>
    </row>
    <row r="90">
      <c r="A90" t="inlineStr">
        <is>
          <t>Dishwashers</t>
        </is>
      </c>
      <c r="B90" t="inlineStr">
        <is>
          <t>Residential: Total Energy Use by End Use: Dishwashers: Alternative Electricity and Transportation</t>
        </is>
      </c>
      <c r="C90" t="inlineStr">
        <is>
          <t>AEO.2026.ELECTRNP.CNSM_NA_RESD_DSW_TEE_NA_USA_QBTU.A</t>
        </is>
      </c>
      <c r="D90" t="inlineStr">
        <is>
          <t>quads</t>
        </is>
      </c>
      <c r="E90" t="n">
        <v>0.086449</v>
      </c>
      <c r="F90" t="n">
        <v>0.087993</v>
      </c>
      <c r="G90" t="n">
        <v>0.084672</v>
      </c>
      <c r="H90" t="n">
        <v>0.082943</v>
      </c>
      <c r="I90" t="n">
        <v>0.082093</v>
      </c>
      <c r="J90" t="n">
        <v>0.081355</v>
      </c>
      <c r="K90" t="n">
        <v>0.079926</v>
      </c>
      <c r="L90" t="n">
        <v>0.078954</v>
      </c>
      <c r="M90" t="n">
        <v>0.078456</v>
      </c>
      <c r="N90" t="n">
        <v>0.07782799999999999</v>
      </c>
      <c r="O90" t="n">
        <v>0.077556</v>
      </c>
      <c r="P90" t="n">
        <v>0.077447</v>
      </c>
      <c r="Q90" t="n">
        <v>0.077726</v>
      </c>
      <c r="R90" t="n">
        <v>0.07829700000000001</v>
      </c>
      <c r="S90" t="n">
        <v>0.078995</v>
      </c>
      <c r="T90" t="n">
        <v>0.07957699999999999</v>
      </c>
      <c r="U90" t="n">
        <v>0.08014400000000001</v>
      </c>
      <c r="V90" t="n">
        <v>0.080888</v>
      </c>
      <c r="W90" t="n">
        <v>0.081676</v>
      </c>
      <c r="X90" t="n">
        <v>0.08248</v>
      </c>
      <c r="Y90" t="n">
        <v>0.083298</v>
      </c>
      <c r="Z90" t="n">
        <v>0.084146</v>
      </c>
      <c r="AA90" t="n">
        <v>0.085037</v>
      </c>
      <c r="AB90" t="n">
        <v>0.085923</v>
      </c>
      <c r="AC90" t="n">
        <v>0.086674</v>
      </c>
      <c r="AD90" t="n">
        <v>0.08755499999999999</v>
      </c>
      <c r="AE90" t="inlineStr">
        <is>
          <t>0.1%</t>
        </is>
      </c>
    </row>
    <row r="91">
      <c r="A91" t="inlineStr">
        <is>
          <t>Televisions and Related Equipment</t>
        </is>
      </c>
      <c r="B91" t="inlineStr">
        <is>
          <t>Residential: Total Energy Use by End Use: Televisions: Alternative Electricity and Transportation</t>
        </is>
      </c>
      <c r="C91" t="inlineStr">
        <is>
          <t>AEO.2026.ELECTRNP.CNSM_NA_RESD_TVR_TEE_NA_USA_QBTU.A</t>
        </is>
      </c>
      <c r="D91" t="inlineStr">
        <is>
          <t>quads</t>
        </is>
      </c>
      <c r="E91" t="n">
        <v>0.290411</v>
      </c>
      <c r="F91" t="n">
        <v>0.282352</v>
      </c>
      <c r="G91" t="n">
        <v>0.264795</v>
      </c>
      <c r="H91" t="n">
        <v>0.254254</v>
      </c>
      <c r="I91" t="n">
        <v>0.246672</v>
      </c>
      <c r="J91" t="n">
        <v>0.239226</v>
      </c>
      <c r="K91" t="n">
        <v>0.230192</v>
      </c>
      <c r="L91" t="n">
        <v>0.223258</v>
      </c>
      <c r="M91" t="n">
        <v>0.217716</v>
      </c>
      <c r="N91" t="n">
        <v>0.211758</v>
      </c>
      <c r="O91" t="n">
        <v>0.206729</v>
      </c>
      <c r="P91" t="n">
        <v>0.202062</v>
      </c>
      <c r="Q91" t="n">
        <v>0.198226</v>
      </c>
      <c r="R91" t="n">
        <v>0.194997</v>
      </c>
      <c r="S91" t="n">
        <v>0.191859</v>
      </c>
      <c r="T91" t="n">
        <v>0.188787</v>
      </c>
      <c r="U91" t="n">
        <v>0.186082</v>
      </c>
      <c r="V91" t="n">
        <v>0.184154</v>
      </c>
      <c r="W91" t="n">
        <v>0.182735</v>
      </c>
      <c r="X91" t="n">
        <v>0.181675</v>
      </c>
      <c r="Y91" t="n">
        <v>0.180941</v>
      </c>
      <c r="Z91" t="n">
        <v>0.180484</v>
      </c>
      <c r="AA91" t="n">
        <v>0.180148</v>
      </c>
      <c r="AB91" t="n">
        <v>0.179906</v>
      </c>
      <c r="AC91" t="n">
        <v>0.179537</v>
      </c>
      <c r="AD91" t="n">
        <v>0.179528</v>
      </c>
      <c r="AE91" t="inlineStr">
        <is>
          <t>-1.9%</t>
        </is>
      </c>
    </row>
    <row r="92">
      <c r="A92" t="inlineStr">
        <is>
          <t>Computers and Related Equipment</t>
        </is>
      </c>
      <c r="B92" t="inlineStr">
        <is>
          <t>Residential: Total Energy Use by End Use: Computers: Alternative Electricity and Transportation</t>
        </is>
      </c>
      <c r="C92" t="inlineStr">
        <is>
          <t>AEO.2026.ELECTRNP.CNSM_NA_RESD_CMPR_TEE_NA_USA_QBTU.A</t>
        </is>
      </c>
      <c r="D92" t="inlineStr">
        <is>
          <t>quads</t>
        </is>
      </c>
      <c r="E92" t="n">
        <v>0.225678</v>
      </c>
      <c r="F92" t="n">
        <v>0.220294</v>
      </c>
      <c r="G92" t="n">
        <v>0.207188</v>
      </c>
      <c r="H92" t="n">
        <v>0.199212</v>
      </c>
      <c r="I92" t="n">
        <v>0.193208</v>
      </c>
      <c r="J92" t="n">
        <v>0.187046</v>
      </c>
      <c r="K92" t="n">
        <v>0.179393</v>
      </c>
      <c r="L92" t="n">
        <v>0.173189</v>
      </c>
      <c r="M92" t="n">
        <v>0.167883</v>
      </c>
      <c r="N92" t="n">
        <v>0.162114</v>
      </c>
      <c r="O92" t="n">
        <v>0.15694</v>
      </c>
      <c r="P92" t="n">
        <v>0.151961</v>
      </c>
      <c r="Q92" t="n">
        <v>0.147547</v>
      </c>
      <c r="R92" t="n">
        <v>0.143515</v>
      </c>
      <c r="S92" t="n">
        <v>0.139523</v>
      </c>
      <c r="T92" t="n">
        <v>0.135582</v>
      </c>
      <c r="U92" t="n">
        <v>0.131919</v>
      </c>
      <c r="V92" t="n">
        <v>0.128874</v>
      </c>
      <c r="W92" t="n">
        <v>0.126231</v>
      </c>
      <c r="X92" t="n">
        <v>0.123919</v>
      </c>
      <c r="Y92" t="n">
        <v>0.121916</v>
      </c>
      <c r="Z92" t="n">
        <v>0.12023</v>
      </c>
      <c r="AA92" t="n">
        <v>0.118781</v>
      </c>
      <c r="AB92" t="n">
        <v>0.117566</v>
      </c>
      <c r="AC92" t="n">
        <v>0.116503</v>
      </c>
      <c r="AD92" t="n">
        <v>0.115848</v>
      </c>
      <c r="AE92" t="inlineStr">
        <is>
          <t>-2.6%</t>
        </is>
      </c>
    </row>
    <row r="93">
      <c r="A93" t="inlineStr">
        <is>
          <t>Furnace Fans and Boiler Circulation Pumps</t>
        </is>
      </c>
      <c r="B93" t="inlineStr">
        <is>
          <t>Residential: Total Energy Use by End Use: Fans and Pumps: Alternative Electricity and Transportation</t>
        </is>
      </c>
      <c r="C93" t="inlineStr">
        <is>
          <t>AEO.2026.ELECTRNP.CNSM_NA_RESD_FPR_TEE_NA_USA_QBTU.A</t>
        </is>
      </c>
      <c r="D93" t="inlineStr">
        <is>
          <t>quads</t>
        </is>
      </c>
      <c r="E93" t="n">
        <v>0.366242</v>
      </c>
      <c r="F93" t="n">
        <v>0.353347</v>
      </c>
      <c r="G93" t="n">
        <v>0.339434</v>
      </c>
      <c r="H93" t="n">
        <v>0.331833</v>
      </c>
      <c r="I93" t="n">
        <v>0.327234</v>
      </c>
      <c r="J93" t="n">
        <v>0.322983</v>
      </c>
      <c r="K93" t="n">
        <v>0.315968</v>
      </c>
      <c r="L93" t="n">
        <v>0.311539</v>
      </c>
      <c r="M93" t="n">
        <v>0.308223</v>
      </c>
      <c r="N93" t="n">
        <v>0.303731</v>
      </c>
      <c r="O93" t="n">
        <v>0.299785</v>
      </c>
      <c r="P93" t="n">
        <v>0.29552</v>
      </c>
      <c r="Q93" t="n">
        <v>0.291459</v>
      </c>
      <c r="R93" t="n">
        <v>0.2872</v>
      </c>
      <c r="S93" t="n">
        <v>0.282002</v>
      </c>
      <c r="T93" t="n">
        <v>0.27595</v>
      </c>
      <c r="U93" t="n">
        <v>0.269416</v>
      </c>
      <c r="V93" t="n">
        <v>0.263507</v>
      </c>
      <c r="W93" t="n">
        <v>0.257532</v>
      </c>
      <c r="X93" t="n">
        <v>0.25156</v>
      </c>
      <c r="Y93" t="n">
        <v>0.245761</v>
      </c>
      <c r="Z93" t="n">
        <v>0.240079</v>
      </c>
      <c r="AA93" t="n">
        <v>0.234488</v>
      </c>
      <c r="AB93" t="n">
        <v>0.229229</v>
      </c>
      <c r="AC93" t="n">
        <v>0.22398</v>
      </c>
      <c r="AD93" t="n">
        <v>0.219493</v>
      </c>
      <c r="AE93" t="inlineStr">
        <is>
          <t>-2.0%</t>
        </is>
      </c>
    </row>
    <row r="94">
      <c r="A94" t="inlineStr">
        <is>
          <t>Other Uses</t>
        </is>
      </c>
      <c r="B94" t="inlineStr">
        <is>
          <t>Residential: Total Energy Use by End Use: Other Uses: Alternative Electricity and Transportation</t>
        </is>
      </c>
      <c r="C94" t="inlineStr">
        <is>
          <t>AEO.2026.ELECTRNP.CNSM_NA_RESD_OTHU_TEE_NA_USA_QBTU.A</t>
        </is>
      </c>
      <c r="D94" t="inlineStr">
        <is>
          <t>quads</t>
        </is>
      </c>
      <c r="E94" t="n">
        <v>5.439408</v>
      </c>
      <c r="F94" t="n">
        <v>5.456216</v>
      </c>
      <c r="G94" t="n">
        <v>5.032409</v>
      </c>
      <c r="H94" t="n">
        <v>5.009846</v>
      </c>
      <c r="I94" t="n">
        <v>5.027762</v>
      </c>
      <c r="J94" t="n">
        <v>5.044534</v>
      </c>
      <c r="K94" t="n">
        <v>5.023543</v>
      </c>
      <c r="L94" t="n">
        <v>5.032649</v>
      </c>
      <c r="M94" t="n">
        <v>5.05948</v>
      </c>
      <c r="N94" t="n">
        <v>5.07639</v>
      </c>
      <c r="O94" t="n">
        <v>5.105998</v>
      </c>
      <c r="P94" t="n">
        <v>5.135118</v>
      </c>
      <c r="Q94" t="n">
        <v>5.177285</v>
      </c>
      <c r="R94" t="n">
        <v>5.22584</v>
      </c>
      <c r="S94" t="n">
        <v>5.268616</v>
      </c>
      <c r="T94" t="n">
        <v>5.297497</v>
      </c>
      <c r="U94" t="n">
        <v>5.330908</v>
      </c>
      <c r="V94" t="n">
        <v>5.378132</v>
      </c>
      <c r="W94" t="n">
        <v>5.431978</v>
      </c>
      <c r="X94" t="n">
        <v>5.488364</v>
      </c>
      <c r="Y94" t="n">
        <v>5.537059</v>
      </c>
      <c r="Z94" t="n">
        <v>5.59293</v>
      </c>
      <c r="AA94" t="n">
        <v>5.649086</v>
      </c>
      <c r="AB94" t="n">
        <v>5.704399</v>
      </c>
      <c r="AC94" t="n">
        <v>5.75333</v>
      </c>
      <c r="AD94" t="n">
        <v>5.81034</v>
      </c>
      <c r="AE94" t="inlineStr">
        <is>
          <t>0.3%</t>
        </is>
      </c>
    </row>
    <row r="95">
      <c r="A95" t="inlineStr">
        <is>
          <t>Total Gross End-use Consumption</t>
        </is>
      </c>
      <c r="B95" t="inlineStr">
        <is>
          <t>Residential: Total Energy Use by End Use: Total Gross End-use Consumption: Alternative Electricity and Transportation</t>
        </is>
      </c>
      <c r="C95" t="inlineStr">
        <is>
          <t>AEO.2026.ELECTRNP.CNSM_NA_RESD_TOTENCONS_TEE_NA_USA_QBTU.A</t>
        </is>
      </c>
      <c r="D95" t="inlineStr">
        <is>
          <t>quads</t>
        </is>
      </c>
      <c r="E95" t="n">
        <v>18.714155</v>
      </c>
      <c r="F95" t="n">
        <v>18.476722</v>
      </c>
      <c r="G95" t="n">
        <v>17.818992</v>
      </c>
      <c r="H95" t="n">
        <v>17.613569</v>
      </c>
      <c r="I95" t="n">
        <v>17.463518</v>
      </c>
      <c r="J95" t="n">
        <v>17.280956</v>
      </c>
      <c r="K95" t="n">
        <v>17.002585</v>
      </c>
      <c r="L95" t="n">
        <v>16.815262</v>
      </c>
      <c r="M95" t="n">
        <v>16.682466</v>
      </c>
      <c r="N95" t="n">
        <v>16.530287</v>
      </c>
      <c r="O95" t="n">
        <v>16.419575</v>
      </c>
      <c r="P95" t="n">
        <v>16.319464</v>
      </c>
      <c r="Q95" t="n">
        <v>16.254772</v>
      </c>
      <c r="R95" t="n">
        <v>16.213456</v>
      </c>
      <c r="S95" t="n">
        <v>16.166691</v>
      </c>
      <c r="T95" t="n">
        <v>16.100884</v>
      </c>
      <c r="U95" t="n">
        <v>16.047775</v>
      </c>
      <c r="V95" t="n">
        <v>16.037863</v>
      </c>
      <c r="W95" t="n">
        <v>16.048698</v>
      </c>
      <c r="X95" t="n">
        <v>16.067042</v>
      </c>
      <c r="Y95" t="n">
        <v>16.083355</v>
      </c>
      <c r="Z95" t="n">
        <v>16.104934</v>
      </c>
      <c r="AA95" t="n">
        <v>16.125921</v>
      </c>
      <c r="AB95" t="n">
        <v>16.145445</v>
      </c>
      <c r="AC95" t="n">
        <v>16.153224</v>
      </c>
      <c r="AD95" t="n">
        <v>16.179659</v>
      </c>
      <c r="AE95" t="inlineStr">
        <is>
          <t>-0.6%</t>
        </is>
      </c>
    </row>
    <row r="96">
      <c r="A96" t="inlineStr">
        <is>
          <t>Purchased Electricity for Electric Vehicle Charging</t>
        </is>
      </c>
      <c r="B96" t="inlineStr">
        <is>
          <t>Residential: Generation for Own Use: Purchased Electricity for EV Charging: Alternative Electricity and Transportation</t>
        </is>
      </c>
      <c r="C96" t="inlineStr">
        <is>
          <t>AEO.2026.ELECTRNP.GEN_NA_RESD_PUELEVCHRG_TEE_NA_USA_QBTU.A</t>
        </is>
      </c>
      <c r="D96" t="inlineStr">
        <is>
          <t>quads</t>
        </is>
      </c>
      <c r="E96" t="n">
        <v>0.166504</v>
      </c>
      <c r="F96" t="n">
        <v>0.215987</v>
      </c>
      <c r="G96" t="n">
        <v>0.269254</v>
      </c>
      <c r="H96" t="n">
        <v>0.33086</v>
      </c>
      <c r="I96" t="n">
        <v>0.39272</v>
      </c>
      <c r="J96" t="n">
        <v>0.449766</v>
      </c>
      <c r="K96" t="n">
        <v>0.493742</v>
      </c>
      <c r="L96" t="n">
        <v>0.534919</v>
      </c>
      <c r="M96" t="n">
        <v>0.576977</v>
      </c>
      <c r="N96" t="n">
        <v>0.616972</v>
      </c>
      <c r="O96" t="n">
        <v>0.658331</v>
      </c>
      <c r="P96" t="n">
        <v>0.698956</v>
      </c>
      <c r="Q96" t="n">
        <v>0.741061</v>
      </c>
      <c r="R96" t="n">
        <v>0.783399</v>
      </c>
      <c r="S96" t="n">
        <v>0.823362</v>
      </c>
      <c r="T96" t="n">
        <v>0.860931</v>
      </c>
      <c r="U96" t="n">
        <v>0.896076</v>
      </c>
      <c r="V96" t="n">
        <v>0.931689</v>
      </c>
      <c r="W96" t="n">
        <v>0.966284</v>
      </c>
      <c r="X96" t="n">
        <v>0.99983</v>
      </c>
      <c r="Y96" t="n">
        <v>1.032259</v>
      </c>
      <c r="Z96" t="n">
        <v>1.063375</v>
      </c>
      <c r="AA96" t="n">
        <v>1.093295</v>
      </c>
      <c r="AB96" t="n">
        <v>1.122296</v>
      </c>
      <c r="AC96" t="n">
        <v>1.147967</v>
      </c>
      <c r="AD96" t="n">
        <v>1.174583</v>
      </c>
      <c r="AE96" t="inlineStr">
        <is>
          <t>8.1%</t>
        </is>
      </c>
    </row>
    <row r="97">
      <c r="A97" t="inlineStr">
        <is>
          <t>On-site Generation for Own Use</t>
        </is>
      </c>
      <c r="B97" t="inlineStr">
        <is>
          <t>Residential: Generation for Own Use: Total Gross End-use Consumption: Alternative Electricity and Transportation</t>
        </is>
      </c>
      <c r="C97" t="inlineStr">
        <is>
          <t>AEO.2026.ELECTRNP.GEN_NA_RESD_GFO_TEE_NA_USA_QBTU.A</t>
        </is>
      </c>
      <c r="D97" t="inlineStr">
        <is>
          <t>quads</t>
        </is>
      </c>
      <c r="E97" t="n">
        <v>0.185133</v>
      </c>
      <c r="F97" t="n">
        <v>0.196181</v>
      </c>
      <c r="G97" t="n">
        <v>0.20807</v>
      </c>
      <c r="H97" t="n">
        <v>0.22029</v>
      </c>
      <c r="I97" t="n">
        <v>0.231914</v>
      </c>
      <c r="J97" t="n">
        <v>0.244047</v>
      </c>
      <c r="K97" t="n">
        <v>0.256987</v>
      </c>
      <c r="L97" t="n">
        <v>0.269994</v>
      </c>
      <c r="M97" t="n">
        <v>0.283557</v>
      </c>
      <c r="N97" t="n">
        <v>0.297913</v>
      </c>
      <c r="O97" t="n">
        <v>0.313151</v>
      </c>
      <c r="P97" t="n">
        <v>0.329133</v>
      </c>
      <c r="Q97" t="n">
        <v>0.346163</v>
      </c>
      <c r="R97" t="n">
        <v>0.36399</v>
      </c>
      <c r="S97" t="n">
        <v>0.382634</v>
      </c>
      <c r="T97" t="n">
        <v>0.401916</v>
      </c>
      <c r="U97" t="n">
        <v>0.421918</v>
      </c>
      <c r="V97" t="n">
        <v>0.442534</v>
      </c>
      <c r="W97" t="n">
        <v>0.463664</v>
      </c>
      <c r="X97" t="n">
        <v>0.485583</v>
      </c>
      <c r="Y97" t="n">
        <v>0.508059</v>
      </c>
      <c r="Z97" t="n">
        <v>0.53128</v>
      </c>
      <c r="AA97" t="n">
        <v>0.5552280000000001</v>
      </c>
      <c r="AB97" t="n">
        <v>0.58008</v>
      </c>
      <c r="AC97" t="n">
        <v>0.605411</v>
      </c>
      <c r="AD97" t="n">
        <v>0.631533</v>
      </c>
      <c r="AE97" t="inlineStr">
        <is>
          <t>5.0%</t>
        </is>
      </c>
    </row>
    <row r="98">
      <c r="A98" t="inlineStr">
        <is>
          <t>Total Energy</t>
        </is>
      </c>
      <c r="B98" t="inlineStr">
        <is>
          <t>Residential: Total Net Own-use Generation: Total Gross End-use Consumption: Alternative Electricity and Transportation</t>
        </is>
      </c>
      <c r="C98" t="inlineStr">
        <is>
          <t>AEO.2026.ELECTRNP.GEN_NA_RESD_TTG_TEE_NA_USA_QBTU.A</t>
        </is>
      </c>
      <c r="D98" t="inlineStr">
        <is>
          <t>quads</t>
        </is>
      </c>
      <c r="E98" t="n">
        <v>18.695526</v>
      </c>
      <c r="F98" t="n">
        <v>18.496528</v>
      </c>
      <c r="G98" t="n">
        <v>17.880176</v>
      </c>
      <c r="H98" t="n">
        <v>17.724139</v>
      </c>
      <c r="I98" t="n">
        <v>17.624324</v>
      </c>
      <c r="J98" t="n">
        <v>17.486674</v>
      </c>
      <c r="K98" t="n">
        <v>17.23934</v>
      </c>
      <c r="L98" t="n">
        <v>17.080187</v>
      </c>
      <c r="M98" t="n">
        <v>16.975886</v>
      </c>
      <c r="N98" t="n">
        <v>16.849346</v>
      </c>
      <c r="O98" t="n">
        <v>16.764755</v>
      </c>
      <c r="P98" t="n">
        <v>16.689287</v>
      </c>
      <c r="Q98" t="n">
        <v>16.64967</v>
      </c>
      <c r="R98" t="n">
        <v>16.632865</v>
      </c>
      <c r="S98" t="n">
        <v>16.60742</v>
      </c>
      <c r="T98" t="n">
        <v>16.559899</v>
      </c>
      <c r="U98" t="n">
        <v>16.521933</v>
      </c>
      <c r="V98" t="n">
        <v>16.527018</v>
      </c>
      <c r="W98" t="n">
        <v>16.551318</v>
      </c>
      <c r="X98" t="n">
        <v>16.581289</v>
      </c>
      <c r="Y98" t="n">
        <v>16.607556</v>
      </c>
      <c r="Z98" t="n">
        <v>16.637029</v>
      </c>
      <c r="AA98" t="n">
        <v>16.663988</v>
      </c>
      <c r="AB98" t="n">
        <v>16.687661</v>
      </c>
      <c r="AC98" t="n">
        <v>16.69578</v>
      </c>
      <c r="AD98" t="n">
        <v>16.722709</v>
      </c>
      <c r="AE98" t="inlineStr">
        <is>
          <t>-0.4%</t>
        </is>
      </c>
    </row>
    <row r="99">
      <c r="A99" t="inlineStr">
        <is>
          <t>Nonmarketed Renewables</t>
        </is>
      </c>
    </row>
    <row r="100">
      <c r="A100" t="inlineStr">
        <is>
          <t>Solar Hot Water Heating</t>
        </is>
      </c>
      <c r="B100" t="inlineStr">
        <is>
          <t>Residential: Nonmarketed Renewables: Solar Hot Water Heating: Alternative Electricity and Transportation</t>
        </is>
      </c>
      <c r="C100" t="inlineStr">
        <is>
          <t>AEO.2026.ELECTRNP.CNSM_NA_RESD_SHW_NRW_NA_USA_QBTU.A</t>
        </is>
      </c>
      <c r="D100" t="inlineStr">
        <is>
          <t>quads</t>
        </is>
      </c>
      <c r="E100" t="n">
        <v>0.049686</v>
      </c>
      <c r="F100" t="n">
        <v>0.048802</v>
      </c>
      <c r="G100" t="n">
        <v>0.049417</v>
      </c>
      <c r="H100" t="n">
        <v>0.048901</v>
      </c>
      <c r="I100" t="n">
        <v>0.048595</v>
      </c>
      <c r="J100" t="n">
        <v>0.048426</v>
      </c>
      <c r="K100" t="n">
        <v>0.048259</v>
      </c>
      <c r="L100" t="n">
        <v>0.047826</v>
      </c>
      <c r="M100" t="n">
        <v>0.047667</v>
      </c>
      <c r="N100" t="n">
        <v>0.047592</v>
      </c>
      <c r="O100" t="n">
        <v>0.04739</v>
      </c>
      <c r="P100" t="n">
        <v>0.047233</v>
      </c>
      <c r="Q100" t="n">
        <v>0.047174</v>
      </c>
      <c r="R100" t="n">
        <v>0.04714</v>
      </c>
      <c r="S100" t="n">
        <v>0.047048</v>
      </c>
      <c r="T100" t="n">
        <v>0.047019</v>
      </c>
      <c r="U100" t="n">
        <v>0.046748</v>
      </c>
      <c r="V100" t="n">
        <v>0.046573</v>
      </c>
      <c r="W100" t="n">
        <v>0.046286</v>
      </c>
      <c r="X100" t="n">
        <v>0.04604</v>
      </c>
      <c r="Y100" t="n">
        <v>0.045849</v>
      </c>
      <c r="Z100" t="n">
        <v>0.045748</v>
      </c>
      <c r="AA100" t="n">
        <v>0.04554</v>
      </c>
      <c r="AB100" t="n">
        <v>0.045423</v>
      </c>
      <c r="AC100" t="n">
        <v>0.045241</v>
      </c>
      <c r="AD100" t="n">
        <v>0.044974</v>
      </c>
      <c r="AE100" t="inlineStr">
        <is>
          <t>-0.4%</t>
        </is>
      </c>
    </row>
    <row r="101">
      <c r="A101" t="inlineStr">
        <is>
          <t>Solar Photovoltaic</t>
        </is>
      </c>
      <c r="B101" t="inlineStr">
        <is>
          <t>Residential: Nonmarketed Renewables: Solar Photovoltaic: Alternative Electricity and Transportation</t>
        </is>
      </c>
      <c r="C101" t="inlineStr">
        <is>
          <t>AEO.2026.ELECTRNP.CNSM_NA_RESD_SOPH_NRW_NA_USA_QBTU.A</t>
        </is>
      </c>
      <c r="D101" t="inlineStr">
        <is>
          <t>quads</t>
        </is>
      </c>
      <c r="E101" t="n">
        <v>0.224384</v>
      </c>
      <c r="F101" t="n">
        <v>0.237185</v>
      </c>
      <c r="G101" t="n">
        <v>0.251634</v>
      </c>
      <c r="H101" t="n">
        <v>0.266537</v>
      </c>
      <c r="I101" t="n">
        <v>0.280427</v>
      </c>
      <c r="J101" t="n">
        <v>0.295017</v>
      </c>
      <c r="K101" t="n">
        <v>0.31081</v>
      </c>
      <c r="L101" t="n">
        <v>0.326533</v>
      </c>
      <c r="M101" t="n">
        <v>0.343009</v>
      </c>
      <c r="N101" t="n">
        <v>0.360468</v>
      </c>
      <c r="O101" t="n">
        <v>0.379082</v>
      </c>
      <c r="P101" t="n">
        <v>0.398583</v>
      </c>
      <c r="Q101" t="n">
        <v>0.419471</v>
      </c>
      <c r="R101" t="n">
        <v>0.441342</v>
      </c>
      <c r="S101" t="n">
        <v>0.464384</v>
      </c>
      <c r="T101" t="n">
        <v>0.488235</v>
      </c>
      <c r="U101" t="n">
        <v>0.513029</v>
      </c>
      <c r="V101" t="n">
        <v>0.538517</v>
      </c>
      <c r="W101" t="n">
        <v>0.564794</v>
      </c>
      <c r="X101" t="n">
        <v>0.592087</v>
      </c>
      <c r="Y101" t="n">
        <v>0.619996</v>
      </c>
      <c r="Z101" t="n">
        <v>0.648722</v>
      </c>
      <c r="AA101" t="n">
        <v>0.6782899999999999</v>
      </c>
      <c r="AB101" t="n">
        <v>0.709091</v>
      </c>
      <c r="AC101" t="n">
        <v>0.740381</v>
      </c>
      <c r="AD101" t="n">
        <v>0.772793</v>
      </c>
      <c r="AE101" t="inlineStr">
        <is>
          <t>5.1%</t>
        </is>
      </c>
    </row>
    <row r="102">
      <c r="A102" t="inlineStr">
        <is>
          <t>Wind</t>
        </is>
      </c>
      <c r="B102" t="inlineStr">
        <is>
          <t>Residential: Nonmarketed Renewables: Wind: Alternative Electricity and Transportation</t>
        </is>
      </c>
      <c r="C102" t="inlineStr">
        <is>
          <t>AEO.2026.ELECTRNP.CNSM_NA_RESD_WND_NRW_NA_USA_QBTU.A</t>
        </is>
      </c>
      <c r="D102" t="inlineStr">
        <is>
          <t>quads</t>
        </is>
      </c>
      <c r="E102" t="n">
        <v>0.000588</v>
      </c>
      <c r="F102" t="n">
        <v>0.000588</v>
      </c>
      <c r="G102" t="n">
        <v>0.000589</v>
      </c>
      <c r="H102" t="n">
        <v>0.00059</v>
      </c>
      <c r="I102" t="n">
        <v>0.0005910000000000001</v>
      </c>
      <c r="J102" t="n">
        <v>0.000592</v>
      </c>
      <c r="K102" t="n">
        <v>0.000596</v>
      </c>
      <c r="L102" t="n">
        <v>0.000601</v>
      </c>
      <c r="M102" t="n">
        <v>0.000608</v>
      </c>
      <c r="N102" t="n">
        <v>0.000619</v>
      </c>
      <c r="O102" t="n">
        <v>0.000632</v>
      </c>
      <c r="P102" t="n">
        <v>0.000646</v>
      </c>
      <c r="Q102" t="n">
        <v>0.000662</v>
      </c>
      <c r="R102" t="n">
        <v>0.000678</v>
      </c>
      <c r="S102" t="n">
        <v>0.000695</v>
      </c>
      <c r="T102" t="n">
        <v>0.000713</v>
      </c>
      <c r="U102" t="n">
        <v>0.000733</v>
      </c>
      <c r="V102" t="n">
        <v>0.000754</v>
      </c>
      <c r="W102" t="n">
        <v>0.000776</v>
      </c>
      <c r="X102" t="n">
        <v>0.000799</v>
      </c>
      <c r="Y102" t="n">
        <v>0.000822</v>
      </c>
      <c r="Z102" t="n">
        <v>0.000847</v>
      </c>
      <c r="AA102" t="n">
        <v>0.000873</v>
      </c>
      <c r="AB102" t="n">
        <v>0.000903</v>
      </c>
      <c r="AC102" t="n">
        <v>0.000933</v>
      </c>
      <c r="AD102" t="n">
        <v>0.000963</v>
      </c>
      <c r="AE102" t="inlineStr">
        <is>
          <t>2.0%</t>
        </is>
      </c>
    </row>
    <row r="103">
      <c r="A103" t="inlineStr">
        <is>
          <t>Total</t>
        </is>
      </c>
      <c r="B103" t="inlineStr">
        <is>
          <t>Residential: Nonmarketed Renewables: Total: Alternative Electricity and Transportation</t>
        </is>
      </c>
      <c r="C103" t="inlineStr">
        <is>
          <t>AEO.2026.ELECTRNP.CNSM_NA_RESD_NA_NRW_NA_USA_QBTU.A</t>
        </is>
      </c>
      <c r="D103" t="inlineStr">
        <is>
          <t>quads</t>
        </is>
      </c>
      <c r="E103" t="n">
        <v>0.274658</v>
      </c>
      <c r="F103" t="n">
        <v>0.286575</v>
      </c>
      <c r="G103" t="n">
        <v>0.30164</v>
      </c>
      <c r="H103" t="n">
        <v>0.316028</v>
      </c>
      <c r="I103" t="n">
        <v>0.329612</v>
      </c>
      <c r="J103" t="n">
        <v>0.344035</v>
      </c>
      <c r="K103" t="n">
        <v>0.359664</v>
      </c>
      <c r="L103" t="n">
        <v>0.37496</v>
      </c>
      <c r="M103" t="n">
        <v>0.391284</v>
      </c>
      <c r="N103" t="n">
        <v>0.408679</v>
      </c>
      <c r="O103" t="n">
        <v>0.427104</v>
      </c>
      <c r="P103" t="n">
        <v>0.446461</v>
      </c>
      <c r="Q103" t="n">
        <v>0.467306</v>
      </c>
      <c r="R103" t="n">
        <v>0.48916</v>
      </c>
      <c r="S103" t="n">
        <v>0.512127</v>
      </c>
      <c r="T103" t="n">
        <v>0.535967</v>
      </c>
      <c r="U103" t="n">
        <v>0.56051</v>
      </c>
      <c r="V103" t="n">
        <v>0.585844</v>
      </c>
      <c r="W103" t="n">
        <v>0.611856</v>
      </c>
      <c r="X103" t="n">
        <v>0.638926</v>
      </c>
      <c r="Y103" t="n">
        <v>0.666667</v>
      </c>
      <c r="Z103" t="n">
        <v>0.695318</v>
      </c>
      <c r="AA103" t="n">
        <v>0.724702</v>
      </c>
      <c r="AB103" t="n">
        <v>0.755417</v>
      </c>
      <c r="AC103" t="n">
        <v>0.786555</v>
      </c>
      <c r="AD103" t="n">
        <v>0.81873</v>
      </c>
      <c r="AE103" t="inlineStr">
        <is>
          <t>4.5%</t>
        </is>
      </c>
    </row>
    <row r="104">
      <c r="A104" t="inlineStr">
        <is>
          <t>Heating Degree Days</t>
        </is>
      </c>
    </row>
    <row r="105">
      <c r="A105" t="inlineStr">
        <is>
          <t>New England</t>
        </is>
      </c>
      <c r="B105" t="inlineStr">
        <is>
          <t>Residential: Heating Degree Days: New England: Alternative Electricity and Transportation</t>
        </is>
      </c>
      <c r="C105" t="inlineStr">
        <is>
          <t>AEO.2026.ELECTRNP.KEI_HDD_RESD_NA_NA_NA_NENGL_HDD.A</t>
        </is>
      </c>
      <c r="D105" t="inlineStr">
        <is>
          <t>HDD</t>
        </is>
      </c>
      <c r="E105" t="n">
        <v>6045</v>
      </c>
      <c r="F105" t="n">
        <v>5873</v>
      </c>
      <c r="G105" t="n">
        <v>5850</v>
      </c>
      <c r="H105" t="n">
        <v>5826</v>
      </c>
      <c r="I105" t="n">
        <v>5803</v>
      </c>
      <c r="J105" t="n">
        <v>5779</v>
      </c>
      <c r="K105" t="n">
        <v>5755</v>
      </c>
      <c r="L105" t="n">
        <v>5732</v>
      </c>
      <c r="M105" t="n">
        <v>5708</v>
      </c>
      <c r="N105" t="n">
        <v>5684</v>
      </c>
      <c r="O105" t="n">
        <v>5661</v>
      </c>
      <c r="P105" t="n">
        <v>5637</v>
      </c>
      <c r="Q105" t="n">
        <v>5613</v>
      </c>
      <c r="R105" t="n">
        <v>5589</v>
      </c>
      <c r="S105" t="n">
        <v>5566</v>
      </c>
      <c r="T105" t="n">
        <v>5542</v>
      </c>
      <c r="U105" t="n">
        <v>5518</v>
      </c>
      <c r="V105" t="n">
        <v>5495</v>
      </c>
      <c r="W105" t="n">
        <v>5471</v>
      </c>
      <c r="X105" t="n">
        <v>5447</v>
      </c>
      <c r="Y105" t="n">
        <v>5423</v>
      </c>
      <c r="Z105" t="n">
        <v>5400</v>
      </c>
      <c r="AA105" t="n">
        <v>5376</v>
      </c>
      <c r="AB105" t="n">
        <v>5352</v>
      </c>
      <c r="AC105" t="n">
        <v>5328</v>
      </c>
      <c r="AD105" t="n">
        <v>5305</v>
      </c>
      <c r="AE105" t="inlineStr">
        <is>
          <t>-0.5%</t>
        </is>
      </c>
    </row>
    <row r="106">
      <c r="A106" t="inlineStr">
        <is>
          <t>Middle Atlantic</t>
        </is>
      </c>
      <c r="B106" t="inlineStr">
        <is>
          <t>Residential: Heating Degree Days: Middle Atlantic: Alternative Electricity and Transportation</t>
        </is>
      </c>
      <c r="C106" t="inlineStr">
        <is>
          <t>AEO.2026.ELECTRNP.KEI_HDD_RESD_NA_NA_NA_MATL_HDD.A</t>
        </is>
      </c>
      <c r="D106" t="inlineStr">
        <is>
          <t>HDD</t>
        </is>
      </c>
      <c r="E106" t="n">
        <v>5404</v>
      </c>
      <c r="F106" t="n">
        <v>5271</v>
      </c>
      <c r="G106" t="n">
        <v>5249</v>
      </c>
      <c r="H106" t="n">
        <v>5228</v>
      </c>
      <c r="I106" t="n">
        <v>5207</v>
      </c>
      <c r="J106" t="n">
        <v>5185</v>
      </c>
      <c r="K106" t="n">
        <v>5164</v>
      </c>
      <c r="L106" t="n">
        <v>5142</v>
      </c>
      <c r="M106" t="n">
        <v>5121</v>
      </c>
      <c r="N106" t="n">
        <v>5100</v>
      </c>
      <c r="O106" t="n">
        <v>5078</v>
      </c>
      <c r="P106" t="n">
        <v>5057</v>
      </c>
      <c r="Q106" t="n">
        <v>5035</v>
      </c>
      <c r="R106" t="n">
        <v>5014</v>
      </c>
      <c r="S106" t="n">
        <v>4993</v>
      </c>
      <c r="T106" t="n">
        <v>4971</v>
      </c>
      <c r="U106" t="n">
        <v>4950</v>
      </c>
      <c r="V106" t="n">
        <v>4929</v>
      </c>
      <c r="W106" t="n">
        <v>4907</v>
      </c>
      <c r="X106" t="n">
        <v>4886</v>
      </c>
      <c r="Y106" t="n">
        <v>4865</v>
      </c>
      <c r="Z106" t="n">
        <v>4843</v>
      </c>
      <c r="AA106" t="n">
        <v>4822</v>
      </c>
      <c r="AB106" t="n">
        <v>4801</v>
      </c>
      <c r="AC106" t="n">
        <v>4780</v>
      </c>
      <c r="AD106" t="n">
        <v>4758</v>
      </c>
      <c r="AE106" t="inlineStr">
        <is>
          <t>-0.5%</t>
        </is>
      </c>
    </row>
    <row r="107">
      <c r="A107" t="inlineStr">
        <is>
          <t>East North Central</t>
        </is>
      </c>
      <c r="B107" t="inlineStr">
        <is>
          <t>Residential: Heating Degree Days: East North Central: Alternative Electricity and Transportation</t>
        </is>
      </c>
      <c r="C107" t="inlineStr">
        <is>
          <t>AEO.2026.ELECTRNP.KEI_HDD_RESD_NA_NA_NA_ENC_HDD.A</t>
        </is>
      </c>
      <c r="D107" t="inlineStr">
        <is>
          <t>HDD</t>
        </is>
      </c>
      <c r="E107" t="n">
        <v>5984</v>
      </c>
      <c r="F107" t="n">
        <v>5836</v>
      </c>
      <c r="G107" t="n">
        <v>5817</v>
      </c>
      <c r="H107" t="n">
        <v>5798</v>
      </c>
      <c r="I107" t="n">
        <v>5779</v>
      </c>
      <c r="J107" t="n">
        <v>5760</v>
      </c>
      <c r="K107" t="n">
        <v>5741</v>
      </c>
      <c r="L107" t="n">
        <v>5722</v>
      </c>
      <c r="M107" t="n">
        <v>5703</v>
      </c>
      <c r="N107" t="n">
        <v>5683</v>
      </c>
      <c r="O107" t="n">
        <v>5664</v>
      </c>
      <c r="P107" t="n">
        <v>5645</v>
      </c>
      <c r="Q107" t="n">
        <v>5626</v>
      </c>
      <c r="R107" t="n">
        <v>5607</v>
      </c>
      <c r="S107" t="n">
        <v>5588</v>
      </c>
      <c r="T107" t="n">
        <v>5569</v>
      </c>
      <c r="U107" t="n">
        <v>5549</v>
      </c>
      <c r="V107" t="n">
        <v>5530</v>
      </c>
      <c r="W107" t="n">
        <v>5511</v>
      </c>
      <c r="X107" t="n">
        <v>5492</v>
      </c>
      <c r="Y107" t="n">
        <v>5473</v>
      </c>
      <c r="Z107" t="n">
        <v>5453</v>
      </c>
      <c r="AA107" t="n">
        <v>5434</v>
      </c>
      <c r="AB107" t="n">
        <v>5415</v>
      </c>
      <c r="AC107" t="n">
        <v>5396</v>
      </c>
      <c r="AD107" t="n">
        <v>5377</v>
      </c>
      <c r="AE107" t="inlineStr">
        <is>
          <t>-0.4%</t>
        </is>
      </c>
    </row>
    <row r="108">
      <c r="A108" t="inlineStr">
        <is>
          <t>West North Central</t>
        </is>
      </c>
      <c r="B108" t="inlineStr">
        <is>
          <t>Residential: Heating Degree Days: West North Central: Alternative Electricity and Transportation</t>
        </is>
      </c>
      <c r="C108" t="inlineStr">
        <is>
          <t>AEO.2026.ELECTRNP.KEI_HDD_RESD_NA_NA_NA_WNC_HDD.A</t>
        </is>
      </c>
      <c r="D108" t="inlineStr">
        <is>
          <t>HDD</t>
        </is>
      </c>
      <c r="E108" t="n">
        <v>6267</v>
      </c>
      <c r="F108" t="n">
        <v>6263</v>
      </c>
      <c r="G108" t="n">
        <v>6251</v>
      </c>
      <c r="H108" t="n">
        <v>6239</v>
      </c>
      <c r="I108" t="n">
        <v>6227</v>
      </c>
      <c r="J108" t="n">
        <v>6215</v>
      </c>
      <c r="K108" t="n">
        <v>6203</v>
      </c>
      <c r="L108" t="n">
        <v>6191</v>
      </c>
      <c r="M108" t="n">
        <v>6178</v>
      </c>
      <c r="N108" t="n">
        <v>6166</v>
      </c>
      <c r="O108" t="n">
        <v>6153</v>
      </c>
      <c r="P108" t="n">
        <v>6141</v>
      </c>
      <c r="Q108" t="n">
        <v>6128</v>
      </c>
      <c r="R108" t="n">
        <v>6116</v>
      </c>
      <c r="S108" t="n">
        <v>6103</v>
      </c>
      <c r="T108" t="n">
        <v>6091</v>
      </c>
      <c r="U108" t="n">
        <v>6078</v>
      </c>
      <c r="V108" t="n">
        <v>6066</v>
      </c>
      <c r="W108" t="n">
        <v>6053</v>
      </c>
      <c r="X108" t="n">
        <v>6040</v>
      </c>
      <c r="Y108" t="n">
        <v>6028</v>
      </c>
      <c r="Z108" t="n">
        <v>6015</v>
      </c>
      <c r="AA108" t="n">
        <v>6002</v>
      </c>
      <c r="AB108" t="n">
        <v>5990</v>
      </c>
      <c r="AC108" t="n">
        <v>5977</v>
      </c>
      <c r="AD108" t="n">
        <v>5964</v>
      </c>
      <c r="AE108" t="inlineStr">
        <is>
          <t>-0.2%</t>
        </is>
      </c>
    </row>
    <row r="109">
      <c r="A109" t="inlineStr">
        <is>
          <t>South Atlantic</t>
        </is>
      </c>
      <c r="B109" t="inlineStr">
        <is>
          <t>Residential: Heating Degree Days: South Atlantic: Alternative Electricity and Transportation</t>
        </is>
      </c>
      <c r="C109" t="inlineStr">
        <is>
          <t>AEO.2026.ELECTRNP.KEI_HDD_RESD_NA_NA_NA_SATL_HDD.A</t>
        </is>
      </c>
      <c r="D109" t="inlineStr">
        <is>
          <t>HDD</t>
        </is>
      </c>
      <c r="E109" t="n">
        <v>2431</v>
      </c>
      <c r="F109" t="n">
        <v>2296</v>
      </c>
      <c r="G109" t="n">
        <v>2280</v>
      </c>
      <c r="H109" t="n">
        <v>2263</v>
      </c>
      <c r="I109" t="n">
        <v>2245</v>
      </c>
      <c r="J109" t="n">
        <v>2228</v>
      </c>
      <c r="K109" t="n">
        <v>2210</v>
      </c>
      <c r="L109" t="n">
        <v>2192</v>
      </c>
      <c r="M109" t="n">
        <v>2175</v>
      </c>
      <c r="N109" t="n">
        <v>2157</v>
      </c>
      <c r="O109" t="n">
        <v>2139</v>
      </c>
      <c r="P109" t="n">
        <v>2122</v>
      </c>
      <c r="Q109" t="n">
        <v>2104</v>
      </c>
      <c r="R109" t="n">
        <v>2087</v>
      </c>
      <c r="S109" t="n">
        <v>2069</v>
      </c>
      <c r="T109" t="n">
        <v>2052</v>
      </c>
      <c r="U109" t="n">
        <v>2034</v>
      </c>
      <c r="V109" t="n">
        <v>2017</v>
      </c>
      <c r="W109" t="n">
        <v>2000</v>
      </c>
      <c r="X109" t="n">
        <v>1982</v>
      </c>
      <c r="Y109" t="n">
        <v>1965</v>
      </c>
      <c r="Z109" t="n">
        <v>1948</v>
      </c>
      <c r="AA109" t="n">
        <v>1930</v>
      </c>
      <c r="AB109" t="n">
        <v>1913</v>
      </c>
      <c r="AC109" t="n">
        <v>1896</v>
      </c>
      <c r="AD109" t="n">
        <v>1879</v>
      </c>
      <c r="AE109" t="inlineStr">
        <is>
          <t>-1.0%</t>
        </is>
      </c>
    </row>
    <row r="110">
      <c r="A110" t="inlineStr">
        <is>
          <t>East South Central</t>
        </is>
      </c>
      <c r="B110" t="inlineStr">
        <is>
          <t>Residential: Heating Degree Days: East South Central: Alternative Electricity and Transportation</t>
        </is>
      </c>
      <c r="C110" t="inlineStr">
        <is>
          <t>AEO.2026.ELECTRNP.KEI_HDD_RESD_NA_NA_NA_ESC_HDD.A</t>
        </is>
      </c>
      <c r="D110" t="inlineStr">
        <is>
          <t>HDD</t>
        </is>
      </c>
      <c r="E110" t="n">
        <v>3231</v>
      </c>
      <c r="F110" t="n">
        <v>3099</v>
      </c>
      <c r="G110" t="n">
        <v>3084</v>
      </c>
      <c r="H110" t="n">
        <v>3069</v>
      </c>
      <c r="I110" t="n">
        <v>3053</v>
      </c>
      <c r="J110" t="n">
        <v>3038</v>
      </c>
      <c r="K110" t="n">
        <v>3023</v>
      </c>
      <c r="L110" t="n">
        <v>3008</v>
      </c>
      <c r="M110" t="n">
        <v>2992</v>
      </c>
      <c r="N110" t="n">
        <v>2977</v>
      </c>
      <c r="O110" t="n">
        <v>2961</v>
      </c>
      <c r="P110" t="n">
        <v>2946</v>
      </c>
      <c r="Q110" t="n">
        <v>2930</v>
      </c>
      <c r="R110" t="n">
        <v>2915</v>
      </c>
      <c r="S110" t="n">
        <v>2900</v>
      </c>
      <c r="T110" t="n">
        <v>2884</v>
      </c>
      <c r="U110" t="n">
        <v>2869</v>
      </c>
      <c r="V110" t="n">
        <v>2853</v>
      </c>
      <c r="W110" t="n">
        <v>2838</v>
      </c>
      <c r="X110" t="n">
        <v>2822</v>
      </c>
      <c r="Y110" t="n">
        <v>2807</v>
      </c>
      <c r="Z110" t="n">
        <v>2791</v>
      </c>
      <c r="AA110" t="n">
        <v>2776</v>
      </c>
      <c r="AB110" t="n">
        <v>2760</v>
      </c>
      <c r="AC110" t="n">
        <v>2745</v>
      </c>
      <c r="AD110" t="n">
        <v>2730</v>
      </c>
      <c r="AE110" t="inlineStr">
        <is>
          <t>-0.7%</t>
        </is>
      </c>
    </row>
    <row r="111">
      <c r="A111" t="inlineStr">
        <is>
          <t>West South Central</t>
        </is>
      </c>
      <c r="B111" t="inlineStr">
        <is>
          <t>Residential: Heating Degree Days: West South Central: Alternative Electricity and Transportation</t>
        </is>
      </c>
      <c r="C111" t="inlineStr">
        <is>
          <t>AEO.2026.ELECTRNP.KEI_HDD_RESD_NA_NA_NA_WSC_HDD.A</t>
        </is>
      </c>
      <c r="D111" t="inlineStr">
        <is>
          <t>HDD</t>
        </is>
      </c>
      <c r="E111" t="n">
        <v>1966</v>
      </c>
      <c r="F111" t="n">
        <v>1889</v>
      </c>
      <c r="G111" t="n">
        <v>1880</v>
      </c>
      <c r="H111" t="n">
        <v>1870</v>
      </c>
      <c r="I111" t="n">
        <v>1860</v>
      </c>
      <c r="J111" t="n">
        <v>1851</v>
      </c>
      <c r="K111" t="n">
        <v>1841</v>
      </c>
      <c r="L111" t="n">
        <v>1831</v>
      </c>
      <c r="M111" t="n">
        <v>1822</v>
      </c>
      <c r="N111" t="n">
        <v>1812</v>
      </c>
      <c r="O111" t="n">
        <v>1803</v>
      </c>
      <c r="P111" t="n">
        <v>1793</v>
      </c>
      <c r="Q111" t="n">
        <v>1784</v>
      </c>
      <c r="R111" t="n">
        <v>1774</v>
      </c>
      <c r="S111" t="n">
        <v>1765</v>
      </c>
      <c r="T111" t="n">
        <v>1756</v>
      </c>
      <c r="U111" t="n">
        <v>1746</v>
      </c>
      <c r="V111" t="n">
        <v>1737</v>
      </c>
      <c r="W111" t="n">
        <v>1728</v>
      </c>
      <c r="X111" t="n">
        <v>1718</v>
      </c>
      <c r="Y111" t="n">
        <v>1709</v>
      </c>
      <c r="Z111" t="n">
        <v>1700</v>
      </c>
      <c r="AA111" t="n">
        <v>1690</v>
      </c>
      <c r="AB111" t="n">
        <v>1681</v>
      </c>
      <c r="AC111" t="n">
        <v>1672</v>
      </c>
      <c r="AD111" t="n">
        <v>1663</v>
      </c>
      <c r="AE111" t="inlineStr">
        <is>
          <t>-0.7%</t>
        </is>
      </c>
    </row>
    <row r="112">
      <c r="A112" t="inlineStr">
        <is>
          <t>Mountain</t>
        </is>
      </c>
      <c r="B112" t="inlineStr">
        <is>
          <t>Residential: Heating Degree Days: Mountain: Alternative Electricity and Transportation</t>
        </is>
      </c>
      <c r="C112" t="inlineStr">
        <is>
          <t>AEO.2026.ELECTRNP.KEI_HDD_RESD_NA_NA_NA_MTN_HDD.A</t>
        </is>
      </c>
      <c r="D112" t="inlineStr">
        <is>
          <t>HDD</t>
        </is>
      </c>
      <c r="E112" t="n">
        <v>4734</v>
      </c>
      <c r="F112" t="n">
        <v>4833</v>
      </c>
      <c r="G112" t="n">
        <v>4825</v>
      </c>
      <c r="H112" t="n">
        <v>4816</v>
      </c>
      <c r="I112" t="n">
        <v>4807</v>
      </c>
      <c r="J112" t="n">
        <v>4799</v>
      </c>
      <c r="K112" t="n">
        <v>4790</v>
      </c>
      <c r="L112" t="n">
        <v>4782</v>
      </c>
      <c r="M112" t="n">
        <v>4774</v>
      </c>
      <c r="N112" t="n">
        <v>4766</v>
      </c>
      <c r="O112" t="n">
        <v>4758</v>
      </c>
      <c r="P112" t="n">
        <v>4750</v>
      </c>
      <c r="Q112" t="n">
        <v>4742</v>
      </c>
      <c r="R112" t="n">
        <v>4734</v>
      </c>
      <c r="S112" t="n">
        <v>4726</v>
      </c>
      <c r="T112" t="n">
        <v>4718</v>
      </c>
      <c r="U112" t="n">
        <v>4710</v>
      </c>
      <c r="V112" t="n">
        <v>4702</v>
      </c>
      <c r="W112" t="n">
        <v>4694</v>
      </c>
      <c r="X112" t="n">
        <v>4687</v>
      </c>
      <c r="Y112" t="n">
        <v>4679</v>
      </c>
      <c r="Z112" t="n">
        <v>4671</v>
      </c>
      <c r="AA112" t="n">
        <v>4664</v>
      </c>
      <c r="AB112" t="n">
        <v>4656</v>
      </c>
      <c r="AC112" t="n">
        <v>4648</v>
      </c>
      <c r="AD112" t="n">
        <v>4641</v>
      </c>
      <c r="AE112" t="inlineStr">
        <is>
          <t>-0.1%</t>
        </is>
      </c>
    </row>
    <row r="113">
      <c r="A113" t="inlineStr">
        <is>
          <t>Pacific</t>
        </is>
      </c>
      <c r="B113" t="inlineStr">
        <is>
          <t>Residential: Heating Degree Days: Pacific: Alternative Electricity and Transportation</t>
        </is>
      </c>
      <c r="C113" t="inlineStr">
        <is>
          <t>AEO.2026.ELECTRNP.KEI_HDD_RESD_NA_NA_NA_PCF_HDD.A</t>
        </is>
      </c>
      <c r="D113" t="inlineStr">
        <is>
          <t>HDD</t>
        </is>
      </c>
      <c r="E113" t="n">
        <v>3251</v>
      </c>
      <c r="F113" t="n">
        <v>3291</v>
      </c>
      <c r="G113" t="n">
        <v>3285</v>
      </c>
      <c r="H113" t="n">
        <v>3279</v>
      </c>
      <c r="I113" t="n">
        <v>3272</v>
      </c>
      <c r="J113" t="n">
        <v>3266</v>
      </c>
      <c r="K113" t="n">
        <v>3259</v>
      </c>
      <c r="L113" t="n">
        <v>3252</v>
      </c>
      <c r="M113" t="n">
        <v>3245</v>
      </c>
      <c r="N113" t="n">
        <v>3238</v>
      </c>
      <c r="O113" t="n">
        <v>3231</v>
      </c>
      <c r="P113" t="n">
        <v>3224</v>
      </c>
      <c r="Q113" t="n">
        <v>3216</v>
      </c>
      <c r="R113" t="n">
        <v>3209</v>
      </c>
      <c r="S113" t="n">
        <v>3202</v>
      </c>
      <c r="T113" t="n">
        <v>3195</v>
      </c>
      <c r="U113" t="n">
        <v>3187</v>
      </c>
      <c r="V113" t="n">
        <v>3180</v>
      </c>
      <c r="W113" t="n">
        <v>3173</v>
      </c>
      <c r="X113" t="n">
        <v>3165</v>
      </c>
      <c r="Y113" t="n">
        <v>3158</v>
      </c>
      <c r="Z113" t="n">
        <v>3151</v>
      </c>
      <c r="AA113" t="n">
        <v>3143</v>
      </c>
      <c r="AB113" t="n">
        <v>3136</v>
      </c>
      <c r="AC113" t="n">
        <v>3129</v>
      </c>
      <c r="AD113" t="n">
        <v>3122</v>
      </c>
      <c r="AE113" t="inlineStr">
        <is>
          <t>-0.2%</t>
        </is>
      </c>
    </row>
    <row r="114">
      <c r="A114" t="inlineStr">
        <is>
          <t>United States</t>
        </is>
      </c>
      <c r="B114" t="inlineStr">
        <is>
          <t>Residential: Heating Degree Days: United States: Alternative Electricity and Transportation</t>
        </is>
      </c>
      <c r="C114" t="inlineStr">
        <is>
          <t>AEO.2026.ELECTRNP.KEI_HDD_RESD_NA_NA_NA_USA_HDD.A</t>
        </is>
      </c>
      <c r="D114" t="inlineStr">
        <is>
          <t>HDD</t>
        </is>
      </c>
      <c r="E114" t="n">
        <v>3989.572266</v>
      </c>
      <c r="F114" t="n">
        <v>3910.105957</v>
      </c>
      <c r="G114" t="n">
        <v>3891.601562</v>
      </c>
      <c r="H114" t="n">
        <v>3872.825195</v>
      </c>
      <c r="I114" t="n">
        <v>3853.715576</v>
      </c>
      <c r="J114" t="n">
        <v>3835.12793</v>
      </c>
      <c r="K114" t="n">
        <v>3816.111328</v>
      </c>
      <c r="L114" t="n">
        <v>3797.137695</v>
      </c>
      <c r="M114" t="n">
        <v>3778.500977</v>
      </c>
      <c r="N114" t="n">
        <v>3759.552734</v>
      </c>
      <c r="O114" t="n">
        <v>3740.710938</v>
      </c>
      <c r="P114" t="n">
        <v>3722.160889</v>
      </c>
      <c r="Q114" t="n">
        <v>3703.157471</v>
      </c>
      <c r="R114" t="n">
        <v>3684.652344</v>
      </c>
      <c r="S114" t="n">
        <v>3666.064941</v>
      </c>
      <c r="T114" t="n">
        <v>3647.556152</v>
      </c>
      <c r="U114" t="n">
        <v>3628.524414</v>
      </c>
      <c r="V114" t="n">
        <v>3610.199219</v>
      </c>
      <c r="W114" t="n">
        <v>3591.732178</v>
      </c>
      <c r="X114" t="n">
        <v>3572.905273</v>
      </c>
      <c r="Y114" t="n">
        <v>3554.652588</v>
      </c>
      <c r="Z114" t="n">
        <v>3536.157715</v>
      </c>
      <c r="AA114" t="n">
        <v>3517.584961</v>
      </c>
      <c r="AB114" t="n">
        <v>3499.59668</v>
      </c>
      <c r="AC114" t="n">
        <v>3481.788574</v>
      </c>
      <c r="AD114" t="n">
        <v>3464.116211</v>
      </c>
      <c r="AE114" t="inlineStr">
        <is>
          <t>-0.6%</t>
        </is>
      </c>
    </row>
    <row r="115">
      <c r="A115" t="inlineStr">
        <is>
          <t>Cooling Degree Days</t>
        </is>
      </c>
    </row>
    <row r="116">
      <c r="A116" t="inlineStr">
        <is>
          <t>New England</t>
        </is>
      </c>
      <c r="B116" t="inlineStr">
        <is>
          <t>Residential: Cooling Degree Days: New England: Alternative Electricity and Transportation</t>
        </is>
      </c>
      <c r="C116" t="inlineStr">
        <is>
          <t>AEO.2026.ELECTRNP.KEI_CDD_RESD_NA_NA_NA_NENGL_CDD.A</t>
        </is>
      </c>
      <c r="D116" t="inlineStr">
        <is>
          <t>CDD</t>
        </is>
      </c>
      <c r="E116" t="n">
        <v>530</v>
      </c>
      <c r="F116" t="n">
        <v>626</v>
      </c>
      <c r="G116" t="n">
        <v>633</v>
      </c>
      <c r="H116" t="n">
        <v>640</v>
      </c>
      <c r="I116" t="n">
        <v>647</v>
      </c>
      <c r="J116" t="n">
        <v>654</v>
      </c>
      <c r="K116" t="n">
        <v>662</v>
      </c>
      <c r="L116" t="n">
        <v>669</v>
      </c>
      <c r="M116" t="n">
        <v>676</v>
      </c>
      <c r="N116" t="n">
        <v>683</v>
      </c>
      <c r="O116" t="n">
        <v>690</v>
      </c>
      <c r="P116" t="n">
        <v>697</v>
      </c>
      <c r="Q116" t="n">
        <v>704</v>
      </c>
      <c r="R116" t="n">
        <v>712</v>
      </c>
      <c r="S116" t="n">
        <v>719</v>
      </c>
      <c r="T116" t="n">
        <v>726</v>
      </c>
      <c r="U116" t="n">
        <v>733</v>
      </c>
      <c r="V116" t="n">
        <v>740</v>
      </c>
      <c r="W116" t="n">
        <v>747</v>
      </c>
      <c r="X116" t="n">
        <v>754</v>
      </c>
      <c r="Y116" t="n">
        <v>761</v>
      </c>
      <c r="Z116" t="n">
        <v>769</v>
      </c>
      <c r="AA116" t="n">
        <v>776</v>
      </c>
      <c r="AB116" t="n">
        <v>783</v>
      </c>
      <c r="AC116" t="n">
        <v>790</v>
      </c>
      <c r="AD116" t="n">
        <v>797</v>
      </c>
      <c r="AE116" t="inlineStr">
        <is>
          <t>1.6%</t>
        </is>
      </c>
    </row>
    <row r="117">
      <c r="A117" t="inlineStr">
        <is>
          <t>Middle Atlantic</t>
        </is>
      </c>
      <c r="B117" t="inlineStr">
        <is>
          <t>Residential: Cooling Degree Days: Middle Atlantic: Alternative Electricity and Transportation</t>
        </is>
      </c>
      <c r="C117" t="inlineStr">
        <is>
          <t>AEO.2026.ELECTRNP.KEI_CDD_RESD_NA_NA_NA_MATL_CDD.A</t>
        </is>
      </c>
      <c r="D117" t="inlineStr">
        <is>
          <t>CDD</t>
        </is>
      </c>
      <c r="E117" t="n">
        <v>766</v>
      </c>
      <c r="F117" t="n">
        <v>858</v>
      </c>
      <c r="G117" t="n">
        <v>866</v>
      </c>
      <c r="H117" t="n">
        <v>874</v>
      </c>
      <c r="I117" t="n">
        <v>883</v>
      </c>
      <c r="J117" t="n">
        <v>891</v>
      </c>
      <c r="K117" t="n">
        <v>899</v>
      </c>
      <c r="L117" t="n">
        <v>907</v>
      </c>
      <c r="M117" t="n">
        <v>915</v>
      </c>
      <c r="N117" t="n">
        <v>923</v>
      </c>
      <c r="O117" t="n">
        <v>932</v>
      </c>
      <c r="P117" t="n">
        <v>940</v>
      </c>
      <c r="Q117" t="n">
        <v>948</v>
      </c>
      <c r="R117" t="n">
        <v>956</v>
      </c>
      <c r="S117" t="n">
        <v>964</v>
      </c>
      <c r="T117" t="n">
        <v>973</v>
      </c>
      <c r="U117" t="n">
        <v>981</v>
      </c>
      <c r="V117" t="n">
        <v>989</v>
      </c>
      <c r="W117" t="n">
        <v>997</v>
      </c>
      <c r="X117" t="n">
        <v>1005</v>
      </c>
      <c r="Y117" t="n">
        <v>1014</v>
      </c>
      <c r="Z117" t="n">
        <v>1022</v>
      </c>
      <c r="AA117" t="n">
        <v>1030</v>
      </c>
      <c r="AB117" t="n">
        <v>1038</v>
      </c>
      <c r="AC117" t="n">
        <v>1046</v>
      </c>
      <c r="AD117" t="n">
        <v>1055</v>
      </c>
      <c r="AE117" t="inlineStr">
        <is>
          <t>1.3%</t>
        </is>
      </c>
    </row>
    <row r="118">
      <c r="A118" t="inlineStr">
        <is>
          <t>East North Central</t>
        </is>
      </c>
      <c r="B118" t="inlineStr">
        <is>
          <t>Residential: Cooling Degree Days: East North Central: Alternative Electricity and Transportation</t>
        </is>
      </c>
      <c r="C118" t="inlineStr">
        <is>
          <t>AEO.2026.ELECTRNP.KEI_CDD_RESD_NA_NA_NA_ENC_CDD.A</t>
        </is>
      </c>
      <c r="D118" t="inlineStr">
        <is>
          <t>CDD</t>
        </is>
      </c>
      <c r="E118" t="n">
        <v>873</v>
      </c>
      <c r="F118" t="n">
        <v>857</v>
      </c>
      <c r="G118" t="n">
        <v>862</v>
      </c>
      <c r="H118" t="n">
        <v>867</v>
      </c>
      <c r="I118" t="n">
        <v>871</v>
      </c>
      <c r="J118" t="n">
        <v>876</v>
      </c>
      <c r="K118" t="n">
        <v>881</v>
      </c>
      <c r="L118" t="n">
        <v>886</v>
      </c>
      <c r="M118" t="n">
        <v>890</v>
      </c>
      <c r="N118" t="n">
        <v>895</v>
      </c>
      <c r="O118" t="n">
        <v>900</v>
      </c>
      <c r="P118" t="n">
        <v>905</v>
      </c>
      <c r="Q118" t="n">
        <v>909</v>
      </c>
      <c r="R118" t="n">
        <v>914</v>
      </c>
      <c r="S118" t="n">
        <v>919</v>
      </c>
      <c r="T118" t="n">
        <v>924</v>
      </c>
      <c r="U118" t="n">
        <v>928</v>
      </c>
      <c r="V118" t="n">
        <v>933</v>
      </c>
      <c r="W118" t="n">
        <v>938</v>
      </c>
      <c r="X118" t="n">
        <v>943</v>
      </c>
      <c r="Y118" t="n">
        <v>948</v>
      </c>
      <c r="Z118" t="n">
        <v>952</v>
      </c>
      <c r="AA118" t="n">
        <v>957</v>
      </c>
      <c r="AB118" t="n">
        <v>962</v>
      </c>
      <c r="AC118" t="n">
        <v>967</v>
      </c>
      <c r="AD118" t="n">
        <v>972</v>
      </c>
      <c r="AE118" t="inlineStr">
        <is>
          <t>0.4%</t>
        </is>
      </c>
    </row>
    <row r="119">
      <c r="A119" t="inlineStr">
        <is>
          <t>West North Central</t>
        </is>
      </c>
      <c r="B119" t="inlineStr">
        <is>
          <t>Residential: Cooling Degree Days: West North Central: Alternative Electricity and Transportation</t>
        </is>
      </c>
      <c r="C119" t="inlineStr">
        <is>
          <t>AEO.2026.ELECTRNP.KEI_CDD_RESD_NA_NA_NA_WNC_CDD.A</t>
        </is>
      </c>
      <c r="D119" t="inlineStr">
        <is>
          <t>CDD</t>
        </is>
      </c>
      <c r="E119" t="n">
        <v>1052</v>
      </c>
      <c r="F119" t="n">
        <v>1048</v>
      </c>
      <c r="G119" t="n">
        <v>1053</v>
      </c>
      <c r="H119" t="n">
        <v>1057</v>
      </c>
      <c r="I119" t="n">
        <v>1062</v>
      </c>
      <c r="J119" t="n">
        <v>1067</v>
      </c>
      <c r="K119" t="n">
        <v>1071</v>
      </c>
      <c r="L119" t="n">
        <v>1076</v>
      </c>
      <c r="M119" t="n">
        <v>1081</v>
      </c>
      <c r="N119" t="n">
        <v>1086</v>
      </c>
      <c r="O119" t="n">
        <v>1090</v>
      </c>
      <c r="P119" t="n">
        <v>1095</v>
      </c>
      <c r="Q119" t="n">
        <v>1100</v>
      </c>
      <c r="R119" t="n">
        <v>1105</v>
      </c>
      <c r="S119" t="n">
        <v>1109</v>
      </c>
      <c r="T119" t="n">
        <v>1114</v>
      </c>
      <c r="U119" t="n">
        <v>1119</v>
      </c>
      <c r="V119" t="n">
        <v>1124</v>
      </c>
      <c r="W119" t="n">
        <v>1129</v>
      </c>
      <c r="X119" t="n">
        <v>1133</v>
      </c>
      <c r="Y119" t="n">
        <v>1138</v>
      </c>
      <c r="Z119" t="n">
        <v>1143</v>
      </c>
      <c r="AA119" t="n">
        <v>1148</v>
      </c>
      <c r="AB119" t="n">
        <v>1153</v>
      </c>
      <c r="AC119" t="n">
        <v>1158</v>
      </c>
      <c r="AD119" t="n">
        <v>1162</v>
      </c>
      <c r="AE119" t="inlineStr">
        <is>
          <t>0.4%</t>
        </is>
      </c>
    </row>
    <row r="120">
      <c r="A120" t="inlineStr">
        <is>
          <t>South Atlantic</t>
        </is>
      </c>
      <c r="B120" t="inlineStr">
        <is>
          <t>Residential: Cooling Degree Days: South Atlantic: Alternative Electricity and Transportation</t>
        </is>
      </c>
      <c r="C120" t="inlineStr">
        <is>
          <t>AEO.2026.ELECTRNP.KEI_CDD_RESD_NA_NA_NA_SATL_CDD.A</t>
        </is>
      </c>
      <c r="D120" t="inlineStr">
        <is>
          <t>CDD</t>
        </is>
      </c>
      <c r="E120" t="n">
        <v>2319</v>
      </c>
      <c r="F120" t="n">
        <v>2427</v>
      </c>
      <c r="G120" t="n">
        <v>2442</v>
      </c>
      <c r="H120" t="n">
        <v>2458</v>
      </c>
      <c r="I120" t="n">
        <v>2473</v>
      </c>
      <c r="J120" t="n">
        <v>2489</v>
      </c>
      <c r="K120" t="n">
        <v>2505</v>
      </c>
      <c r="L120" t="n">
        <v>2522</v>
      </c>
      <c r="M120" t="n">
        <v>2538</v>
      </c>
      <c r="N120" t="n">
        <v>2554</v>
      </c>
      <c r="O120" t="n">
        <v>2570</v>
      </c>
      <c r="P120" t="n">
        <v>2586</v>
      </c>
      <c r="Q120" t="n">
        <v>2603</v>
      </c>
      <c r="R120" t="n">
        <v>2619</v>
      </c>
      <c r="S120" t="n">
        <v>2635</v>
      </c>
      <c r="T120" t="n">
        <v>2652</v>
      </c>
      <c r="U120" t="n">
        <v>2668</v>
      </c>
      <c r="V120" t="n">
        <v>2684</v>
      </c>
      <c r="W120" t="n">
        <v>2701</v>
      </c>
      <c r="X120" t="n">
        <v>2717</v>
      </c>
      <c r="Y120" t="n">
        <v>2734</v>
      </c>
      <c r="Z120" t="n">
        <v>2750</v>
      </c>
      <c r="AA120" t="n">
        <v>2767</v>
      </c>
      <c r="AB120" t="n">
        <v>2783</v>
      </c>
      <c r="AC120" t="n">
        <v>2800</v>
      </c>
      <c r="AD120" t="n">
        <v>2816</v>
      </c>
      <c r="AE120" t="inlineStr">
        <is>
          <t>0.8%</t>
        </is>
      </c>
    </row>
    <row r="121">
      <c r="A121" t="inlineStr">
        <is>
          <t>East South Central</t>
        </is>
      </c>
      <c r="B121" t="inlineStr">
        <is>
          <t>Residential: Cooling Degree Days: East South Central: Alternative Electricity and Transportation</t>
        </is>
      </c>
      <c r="C121" t="inlineStr">
        <is>
          <t>AEO.2026.ELECTRNP.KEI_CDD_RESD_NA_NA_NA_ESC_CDD.A</t>
        </is>
      </c>
      <c r="D121" t="inlineStr">
        <is>
          <t>CDD</t>
        </is>
      </c>
      <c r="E121" t="n">
        <v>1790</v>
      </c>
      <c r="F121" t="n">
        <v>1783</v>
      </c>
      <c r="G121" t="n">
        <v>1790</v>
      </c>
      <c r="H121" t="n">
        <v>1797</v>
      </c>
      <c r="I121" t="n">
        <v>1804</v>
      </c>
      <c r="J121" t="n">
        <v>1811</v>
      </c>
      <c r="K121" t="n">
        <v>1819</v>
      </c>
      <c r="L121" t="n">
        <v>1826</v>
      </c>
      <c r="M121" t="n">
        <v>1833</v>
      </c>
      <c r="N121" t="n">
        <v>1840</v>
      </c>
      <c r="O121" t="n">
        <v>1847</v>
      </c>
      <c r="P121" t="n">
        <v>1854</v>
      </c>
      <c r="Q121" t="n">
        <v>1862</v>
      </c>
      <c r="R121" t="n">
        <v>1869</v>
      </c>
      <c r="S121" t="n">
        <v>1876</v>
      </c>
      <c r="T121" t="n">
        <v>1883</v>
      </c>
      <c r="U121" t="n">
        <v>1890</v>
      </c>
      <c r="V121" t="n">
        <v>1898</v>
      </c>
      <c r="W121" t="n">
        <v>1905</v>
      </c>
      <c r="X121" t="n">
        <v>1912</v>
      </c>
      <c r="Y121" t="n">
        <v>1919</v>
      </c>
      <c r="Z121" t="n">
        <v>1926</v>
      </c>
      <c r="AA121" t="n">
        <v>1934</v>
      </c>
      <c r="AB121" t="n">
        <v>1941</v>
      </c>
      <c r="AC121" t="n">
        <v>1948</v>
      </c>
      <c r="AD121" t="n">
        <v>1955</v>
      </c>
      <c r="AE121" t="inlineStr">
        <is>
          <t>0.4%</t>
        </is>
      </c>
    </row>
    <row r="122">
      <c r="A122" t="inlineStr">
        <is>
          <t>West South Central</t>
        </is>
      </c>
      <c r="B122" t="inlineStr">
        <is>
          <t>Residential: Cooling Degree Days: West South Central: Alternative Electricity and Transportation</t>
        </is>
      </c>
      <c r="C122" t="inlineStr">
        <is>
          <t>AEO.2026.ELECTRNP.KEI_CDD_RESD_NA_NA_NA_WSC_CDD.A</t>
        </is>
      </c>
      <c r="D122" t="inlineStr">
        <is>
          <t>CDD</t>
        </is>
      </c>
      <c r="E122" t="n">
        <v>2916</v>
      </c>
      <c r="F122" t="n">
        <v>2946</v>
      </c>
      <c r="G122" t="n">
        <v>2961</v>
      </c>
      <c r="H122" t="n">
        <v>2976</v>
      </c>
      <c r="I122" t="n">
        <v>2990</v>
      </c>
      <c r="J122" t="n">
        <v>3005</v>
      </c>
      <c r="K122" t="n">
        <v>3020</v>
      </c>
      <c r="L122" t="n">
        <v>3035</v>
      </c>
      <c r="M122" t="n">
        <v>3049</v>
      </c>
      <c r="N122" t="n">
        <v>3064</v>
      </c>
      <c r="O122" t="n">
        <v>3079</v>
      </c>
      <c r="P122" t="n">
        <v>3093</v>
      </c>
      <c r="Q122" t="n">
        <v>3108</v>
      </c>
      <c r="R122" t="n">
        <v>3123</v>
      </c>
      <c r="S122" t="n">
        <v>3138</v>
      </c>
      <c r="T122" t="n">
        <v>3152</v>
      </c>
      <c r="U122" t="n">
        <v>3167</v>
      </c>
      <c r="V122" t="n">
        <v>3182</v>
      </c>
      <c r="W122" t="n">
        <v>3197</v>
      </c>
      <c r="X122" t="n">
        <v>3211</v>
      </c>
      <c r="Y122" t="n">
        <v>3226</v>
      </c>
      <c r="Z122" t="n">
        <v>3241</v>
      </c>
      <c r="AA122" t="n">
        <v>3255</v>
      </c>
      <c r="AB122" t="n">
        <v>3270</v>
      </c>
      <c r="AC122" t="n">
        <v>3285</v>
      </c>
      <c r="AD122" t="n">
        <v>3299</v>
      </c>
      <c r="AE122" t="inlineStr">
        <is>
          <t>0.5%</t>
        </is>
      </c>
    </row>
    <row r="123">
      <c r="A123" t="inlineStr">
        <is>
          <t>Mountain</t>
        </is>
      </c>
      <c r="B123" t="inlineStr">
        <is>
          <t>Residential: Cooling Degree Days: Mountain: Alternative Electricity and Transportation</t>
        </is>
      </c>
      <c r="C123" t="inlineStr">
        <is>
          <t>AEO.2026.ELECTRNP.KEI_CDD_RESD_NA_NA_NA_MTN_CDD.A</t>
        </is>
      </c>
      <c r="D123" t="inlineStr">
        <is>
          <t>CDD</t>
        </is>
      </c>
      <c r="E123" t="n">
        <v>1515</v>
      </c>
      <c r="F123" t="n">
        <v>1608</v>
      </c>
      <c r="G123" t="n">
        <v>1617</v>
      </c>
      <c r="H123" t="n">
        <v>1627</v>
      </c>
      <c r="I123" t="n">
        <v>1636</v>
      </c>
      <c r="J123" t="n">
        <v>1645</v>
      </c>
      <c r="K123" t="n">
        <v>1655</v>
      </c>
      <c r="L123" t="n">
        <v>1664</v>
      </c>
      <c r="M123" t="n">
        <v>1673</v>
      </c>
      <c r="N123" t="n">
        <v>1682</v>
      </c>
      <c r="O123" t="n">
        <v>1691</v>
      </c>
      <c r="P123" t="n">
        <v>1701</v>
      </c>
      <c r="Q123" t="n">
        <v>1710</v>
      </c>
      <c r="R123" t="n">
        <v>1719</v>
      </c>
      <c r="S123" t="n">
        <v>1728</v>
      </c>
      <c r="T123" t="n">
        <v>1737</v>
      </c>
      <c r="U123" t="n">
        <v>1746</v>
      </c>
      <c r="V123" t="n">
        <v>1755</v>
      </c>
      <c r="W123" t="n">
        <v>1764</v>
      </c>
      <c r="X123" t="n">
        <v>1773</v>
      </c>
      <c r="Y123" t="n">
        <v>1782</v>
      </c>
      <c r="Z123" t="n">
        <v>1791</v>
      </c>
      <c r="AA123" t="n">
        <v>1800</v>
      </c>
      <c r="AB123" t="n">
        <v>1809</v>
      </c>
      <c r="AC123" t="n">
        <v>1818</v>
      </c>
      <c r="AD123" t="n">
        <v>1827</v>
      </c>
      <c r="AE123" t="inlineStr">
        <is>
          <t>0.8%</t>
        </is>
      </c>
    </row>
    <row r="124">
      <c r="A124" t="inlineStr">
        <is>
          <t>Pacific</t>
        </is>
      </c>
      <c r="B124" t="inlineStr">
        <is>
          <t>Residential: Cooling Degree Days: Pacific: Alternative Electricity and Transportation</t>
        </is>
      </c>
      <c r="C124" t="inlineStr">
        <is>
          <t>AEO.2026.ELECTRNP.KEI_CDD_RESD_NA_NA_NA_PCF_CDD.A</t>
        </is>
      </c>
      <c r="D124" t="inlineStr">
        <is>
          <t>CDD</t>
        </is>
      </c>
      <c r="E124" t="n">
        <v>887</v>
      </c>
      <c r="F124" t="n">
        <v>1040</v>
      </c>
      <c r="G124" t="n">
        <v>1049</v>
      </c>
      <c r="H124" t="n">
        <v>1058</v>
      </c>
      <c r="I124" t="n">
        <v>1067</v>
      </c>
      <c r="J124" t="n">
        <v>1076</v>
      </c>
      <c r="K124" t="n">
        <v>1085</v>
      </c>
      <c r="L124" t="n">
        <v>1094</v>
      </c>
      <c r="M124" t="n">
        <v>1103</v>
      </c>
      <c r="N124" t="n">
        <v>1112</v>
      </c>
      <c r="O124" t="n">
        <v>1121</v>
      </c>
      <c r="P124" t="n">
        <v>1131</v>
      </c>
      <c r="Q124" t="n">
        <v>1140</v>
      </c>
      <c r="R124" t="n">
        <v>1149</v>
      </c>
      <c r="S124" t="n">
        <v>1158</v>
      </c>
      <c r="T124" t="n">
        <v>1167</v>
      </c>
      <c r="U124" t="n">
        <v>1177</v>
      </c>
      <c r="V124" t="n">
        <v>1186</v>
      </c>
      <c r="W124" t="n">
        <v>1195</v>
      </c>
      <c r="X124" t="n">
        <v>1204</v>
      </c>
      <c r="Y124" t="n">
        <v>1213</v>
      </c>
      <c r="Z124" t="n">
        <v>1223</v>
      </c>
      <c r="AA124" t="n">
        <v>1232</v>
      </c>
      <c r="AB124" t="n">
        <v>1241</v>
      </c>
      <c r="AC124" t="n">
        <v>1250</v>
      </c>
      <c r="AD124" t="n">
        <v>1259</v>
      </c>
      <c r="AE124" t="inlineStr">
        <is>
          <t>1.4%</t>
        </is>
      </c>
    </row>
    <row r="125">
      <c r="A125" t="inlineStr">
        <is>
          <t>United States</t>
        </is>
      </c>
      <c r="B125" t="inlineStr">
        <is>
          <t>Residential: Cooling Degree Days: United States: Alternative Electricity and Transportation</t>
        </is>
      </c>
      <c r="C125" t="inlineStr">
        <is>
          <t>AEO.2026.ELECTRNP.KEI_CDD_RESD_NA_NA_NA_USA_CDD.A</t>
        </is>
      </c>
      <c r="D125" t="inlineStr">
        <is>
          <t>CDD</t>
        </is>
      </c>
      <c r="E125" t="n">
        <v>1516.423584</v>
      </c>
      <c r="F125" t="n">
        <v>1589.852905</v>
      </c>
      <c r="G125" t="n">
        <v>1602.154053</v>
      </c>
      <c r="H125" t="n">
        <v>1614.689941</v>
      </c>
      <c r="I125" t="n">
        <v>1626.874268</v>
      </c>
      <c r="J125" t="n">
        <v>1639.429199</v>
      </c>
      <c r="K125" t="n">
        <v>1652.126587</v>
      </c>
      <c r="L125" t="n">
        <v>1664.940918</v>
      </c>
      <c r="M125" t="n">
        <v>1677.306885</v>
      </c>
      <c r="N125" t="n">
        <v>1689.963013</v>
      </c>
      <c r="O125" t="n">
        <v>1702.697632</v>
      </c>
      <c r="P125" t="n">
        <v>1715.525879</v>
      </c>
      <c r="Q125" t="n">
        <v>1728.397705</v>
      </c>
      <c r="R125" t="n">
        <v>1741.199097</v>
      </c>
      <c r="S125" t="n">
        <v>1753.922607</v>
      </c>
      <c r="T125" t="n">
        <v>1766.921387</v>
      </c>
      <c r="U125" t="n">
        <v>1779.796143</v>
      </c>
      <c r="V125" t="n">
        <v>1792.71167</v>
      </c>
      <c r="W125" t="n">
        <v>1805.812012</v>
      </c>
      <c r="X125" t="n">
        <v>1818.522705</v>
      </c>
      <c r="Y125" t="n">
        <v>1831.77832</v>
      </c>
      <c r="Z125" t="n">
        <v>1844.803101</v>
      </c>
      <c r="AA125" t="n">
        <v>1857.874023</v>
      </c>
      <c r="AB125" t="n">
        <v>1870.785278</v>
      </c>
      <c r="AC125" t="n">
        <v>1883.820312</v>
      </c>
      <c r="AD125" t="n">
        <v>1896.469849</v>
      </c>
      <c r="AE125" t="inlineStr">
        <is>
          <t>0.9%</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AE102"/>
  <sheetViews>
    <sheetView workbookViewId="0">
      <selection activeCell="A1" sqref="A1"/>
    </sheetView>
  </sheetViews>
  <sheetFormatPr baseColWidth="8" defaultRowHeight="15"/>
  <sheetData>
    <row r="1">
      <c r="A1" t="inlineStr">
        <is>
          <t>Table 5.  Commercial Sector Key Indicators and Consumption</t>
        </is>
      </c>
    </row>
    <row r="2">
      <c r="A2" t="inlineStr">
        <is>
          <t>https://www.eia.gov/outlooks/aeo/data/browser/#/?id=5-AEO2026&amp;cases=electrnp&amp;sourcekey=0</t>
        </is>
      </c>
    </row>
    <row r="3">
      <c r="A3" t="inlineStr">
        <is>
          <t>Thu Apr 23 2026 14:57:48 GMT-0700 (Pacific Daylight Time)</t>
        </is>
      </c>
    </row>
    <row r="4">
      <c r="A4" t="inlineStr">
        <is>
          <t>Source: U.S. Energy Information Administration</t>
        </is>
      </c>
    </row>
    <row r="5">
      <c r="B5" t="inlineStr">
        <is>
          <t>full name</t>
        </is>
      </c>
      <c r="C5" t="inlineStr">
        <is>
          <t>api key</t>
        </is>
      </c>
      <c r="D5" t="inlineStr">
        <is>
          <t>units</t>
        </is>
      </c>
      <c r="E5" t="n">
        <v>2025</v>
      </c>
      <c r="F5" t="n">
        <v>2026</v>
      </c>
      <c r="G5" t="n">
        <v>2027</v>
      </c>
      <c r="H5" t="n">
        <v>2028</v>
      </c>
      <c r="I5" t="n">
        <v>2029</v>
      </c>
      <c r="J5" t="n">
        <v>2030</v>
      </c>
      <c r="K5" t="n">
        <v>2031</v>
      </c>
      <c r="L5" t="n">
        <v>2032</v>
      </c>
      <c r="M5" t="n">
        <v>2033</v>
      </c>
      <c r="N5" t="n">
        <v>2034</v>
      </c>
      <c r="O5" t="n">
        <v>2035</v>
      </c>
      <c r="P5" t="n">
        <v>2036</v>
      </c>
      <c r="Q5" t="n">
        <v>2037</v>
      </c>
      <c r="R5" t="n">
        <v>2038</v>
      </c>
      <c r="S5" t="n">
        <v>2039</v>
      </c>
      <c r="T5" t="n">
        <v>2040</v>
      </c>
      <c r="U5" t="n">
        <v>2041</v>
      </c>
      <c r="V5" t="n">
        <v>2042</v>
      </c>
      <c r="W5" t="n">
        <v>2043</v>
      </c>
      <c r="X5" t="n">
        <v>2044</v>
      </c>
      <c r="Y5" t="n">
        <v>2045</v>
      </c>
      <c r="Z5" t="n">
        <v>2046</v>
      </c>
      <c r="AA5" t="n">
        <v>2047</v>
      </c>
      <c r="AB5" t="n">
        <v>2048</v>
      </c>
      <c r="AC5" t="n">
        <v>2049</v>
      </c>
      <c r="AD5" t="n">
        <v>2050</v>
      </c>
      <c r="AE5" t="inlineStr">
        <is>
          <t>Growth (2025-2050)</t>
        </is>
      </c>
    </row>
    <row r="6">
      <c r="A6" t="inlineStr">
        <is>
          <t>Key Indicators</t>
        </is>
      </c>
    </row>
    <row r="7">
      <c r="A7" t="inlineStr">
        <is>
          <t>Total Floorspace (billion square feet)</t>
        </is>
      </c>
    </row>
    <row r="8">
      <c r="A8" t="inlineStr">
        <is>
          <t>Surviving</t>
        </is>
      </c>
      <c r="B8" t="inlineStr">
        <is>
          <t>Commercial: Total Floorspace: Surviving: Alternative Electricity and Transportation</t>
        </is>
      </c>
      <c r="C8" t="inlineStr">
        <is>
          <t>AEO.2026.ELECTRNP.KEI_NA_COMM_NA_TFP_SURV_USA_BLNSQFT.A</t>
        </is>
      </c>
      <c r="D8" t="inlineStr">
        <is>
          <t>billion sq ft</t>
        </is>
      </c>
      <c r="E8" t="n">
        <v>101.845505</v>
      </c>
      <c r="F8" t="n">
        <v>103.104424</v>
      </c>
      <c r="G8" t="n">
        <v>104.314247</v>
      </c>
      <c r="H8" t="n">
        <v>105.482323</v>
      </c>
      <c r="I8" t="n">
        <v>106.628433</v>
      </c>
      <c r="J8" t="n">
        <v>107.759842</v>
      </c>
      <c r="K8" t="n">
        <v>108.902313</v>
      </c>
      <c r="L8" t="n">
        <v>110.070587</v>
      </c>
      <c r="M8" t="n">
        <v>111.267746</v>
      </c>
      <c r="N8" t="n">
        <v>112.500008</v>
      </c>
      <c r="O8" t="n">
        <v>113.768677</v>
      </c>
      <c r="P8" t="n">
        <v>115.073914</v>
      </c>
      <c r="Q8" t="n">
        <v>116.41436</v>
      </c>
      <c r="R8" t="n">
        <v>117.78051</v>
      </c>
      <c r="S8" t="n">
        <v>119.114738</v>
      </c>
      <c r="T8" t="n">
        <v>120.415298</v>
      </c>
      <c r="U8" t="n">
        <v>121.684471</v>
      </c>
      <c r="V8" t="n">
        <v>122.897865</v>
      </c>
      <c r="W8" t="n">
        <v>124.064178</v>
      </c>
      <c r="X8" t="n">
        <v>125.198471</v>
      </c>
      <c r="Y8" t="n">
        <v>126.307709</v>
      </c>
      <c r="Z8" t="n">
        <v>127.400986</v>
      </c>
      <c r="AA8" t="n">
        <v>128.481964</v>
      </c>
      <c r="AB8" t="n">
        <v>129.552048</v>
      </c>
      <c r="AC8" t="n">
        <v>130.612976</v>
      </c>
      <c r="AD8" t="n">
        <v>131.665558</v>
      </c>
      <c r="AE8" t="inlineStr">
        <is>
          <t>1.0%</t>
        </is>
      </c>
    </row>
    <row r="9">
      <c r="A9" t="inlineStr">
        <is>
          <t>New Additions</t>
        </is>
      </c>
      <c r="B9" t="inlineStr">
        <is>
          <t>Commercial: Total Floorspace: New Additions: Alternative Electricity and Transportation</t>
        </is>
      </c>
      <c r="C9" t="inlineStr">
        <is>
          <t>AEO.2026.ELECTRNP.KEI_NA_COMM_NA_TFP_NADN_USA_BLNSQFT.A</t>
        </is>
      </c>
      <c r="D9" t="inlineStr">
        <is>
          <t>billion sq ft</t>
        </is>
      </c>
      <c r="E9" t="n">
        <v>2.798354</v>
      </c>
      <c r="F9" t="n">
        <v>2.763133</v>
      </c>
      <c r="G9" t="n">
        <v>2.73562</v>
      </c>
      <c r="H9" t="n">
        <v>2.728133</v>
      </c>
      <c r="I9" t="n">
        <v>2.728127</v>
      </c>
      <c r="J9" t="n">
        <v>2.754144</v>
      </c>
      <c r="K9" t="n">
        <v>2.795398</v>
      </c>
      <c r="L9" t="n">
        <v>2.840164</v>
      </c>
      <c r="M9" t="n">
        <v>2.891744</v>
      </c>
      <c r="N9" t="n">
        <v>2.945178</v>
      </c>
      <c r="O9" t="n">
        <v>2.999384</v>
      </c>
      <c r="P9" t="n">
        <v>3.052837</v>
      </c>
      <c r="Q9" t="n">
        <v>3.097313</v>
      </c>
      <c r="R9" t="n">
        <v>3.084287</v>
      </c>
      <c r="S9" t="n">
        <v>3.069424</v>
      </c>
      <c r="T9" t="n">
        <v>3.056657</v>
      </c>
      <c r="U9" t="n">
        <v>3.019132</v>
      </c>
      <c r="V9" t="n">
        <v>2.989726</v>
      </c>
      <c r="W9" t="n">
        <v>2.974996</v>
      </c>
      <c r="X9" t="n">
        <v>2.966822</v>
      </c>
      <c r="Y9" t="n">
        <v>2.967411</v>
      </c>
      <c r="Z9" t="n">
        <v>2.971346</v>
      </c>
      <c r="AA9" t="n">
        <v>2.976496</v>
      </c>
      <c r="AB9" t="n">
        <v>2.983037</v>
      </c>
      <c r="AC9" t="n">
        <v>2.990272</v>
      </c>
      <c r="AD9" t="n">
        <v>2.998542</v>
      </c>
      <c r="AE9" t="inlineStr">
        <is>
          <t>0.3%</t>
        </is>
      </c>
    </row>
    <row r="10">
      <c r="A10" t="inlineStr">
        <is>
          <t>Total</t>
        </is>
      </c>
      <c r="B10" t="inlineStr">
        <is>
          <t>Commercial: Total Floorspace: Total: Alternative Electricity and Transportation</t>
        </is>
      </c>
      <c r="C10" t="inlineStr">
        <is>
          <t>AEO.2026.ELECTRNP.KEI_NA_COMM_NA_TFP_TOT_USA_BLNSQFT.A</t>
        </is>
      </c>
      <c r="D10" t="inlineStr">
        <is>
          <t>billion sq ft</t>
        </is>
      </c>
      <c r="E10" t="n">
        <v>104.64386</v>
      </c>
      <c r="F10" t="n">
        <v>105.867554</v>
      </c>
      <c r="G10" t="n">
        <v>107.049866</v>
      </c>
      <c r="H10" t="n">
        <v>108.210457</v>
      </c>
      <c r="I10" t="n">
        <v>109.35656</v>
      </c>
      <c r="J10" t="n">
        <v>110.513985</v>
      </c>
      <c r="K10" t="n">
        <v>111.697708</v>
      </c>
      <c r="L10" t="n">
        <v>112.910751</v>
      </c>
      <c r="M10" t="n">
        <v>114.159492</v>
      </c>
      <c r="N10" t="n">
        <v>115.445183</v>
      </c>
      <c r="O10" t="n">
        <v>116.768059</v>
      </c>
      <c r="P10" t="n">
        <v>118.126747</v>
      </c>
      <c r="Q10" t="n">
        <v>119.511673</v>
      </c>
      <c r="R10" t="n">
        <v>120.864799</v>
      </c>
      <c r="S10" t="n">
        <v>122.184166</v>
      </c>
      <c r="T10" t="n">
        <v>123.471954</v>
      </c>
      <c r="U10" t="n">
        <v>124.703606</v>
      </c>
      <c r="V10" t="n">
        <v>125.887589</v>
      </c>
      <c r="W10" t="n">
        <v>127.039177</v>
      </c>
      <c r="X10" t="n">
        <v>128.165298</v>
      </c>
      <c r="Y10" t="n">
        <v>129.275116</v>
      </c>
      <c r="Z10" t="n">
        <v>130.37233</v>
      </c>
      <c r="AA10" t="n">
        <v>131.458466</v>
      </c>
      <c r="AB10" t="n">
        <v>132.53508</v>
      </c>
      <c r="AC10" t="n">
        <v>133.603241</v>
      </c>
      <c r="AD10" t="n">
        <v>134.664093</v>
      </c>
      <c r="AE10" t="inlineStr">
        <is>
          <t>1.0%</t>
        </is>
      </c>
    </row>
    <row r="11">
      <c r="A11" t="inlineStr">
        <is>
          <t>Energy Consumption Intensity</t>
        </is>
      </c>
    </row>
    <row r="12">
      <c r="A12" t="inlineStr">
        <is>
          <t>(thousand Btu per square foot)</t>
        </is>
      </c>
    </row>
    <row r="13">
      <c r="A13" t="inlineStr">
        <is>
          <t>Gross End-use Consumption</t>
        </is>
      </c>
      <c r="B13" t="inlineStr">
        <is>
          <t>Commercial: Energy Use Intensity: Gross End-use Consumption: Alternative Electricity and Transportation</t>
        </is>
      </c>
      <c r="C13" t="inlineStr">
        <is>
          <t>AEO.2026.ELECTRNP.INY_NA_COMM_NA_EUI_DLENCONS_USA_THBTUPSQFT.A</t>
        </is>
      </c>
      <c r="D13" t="inlineStr">
        <is>
          <t>thousand Btu/sq ft</t>
        </is>
      </c>
      <c r="E13" t="n">
        <v>94.60861199999999</v>
      </c>
      <c r="F13" t="n">
        <v>95.200951</v>
      </c>
      <c r="G13" t="n">
        <v>94.894547</v>
      </c>
      <c r="H13" t="n">
        <v>94.391609</v>
      </c>
      <c r="I13" t="n">
        <v>93.67815400000001</v>
      </c>
      <c r="J13" t="n">
        <v>92.73333</v>
      </c>
      <c r="K13" t="n">
        <v>91.840523</v>
      </c>
      <c r="L13" t="n">
        <v>91.140854</v>
      </c>
      <c r="M13" t="n">
        <v>90.533226</v>
      </c>
      <c r="N13" t="n">
        <v>90.025192</v>
      </c>
      <c r="O13" t="n">
        <v>89.527039</v>
      </c>
      <c r="P13" t="n">
        <v>89.10496500000001</v>
      </c>
      <c r="Q13" t="n">
        <v>88.683937</v>
      </c>
      <c r="R13" t="n">
        <v>88.304733</v>
      </c>
      <c r="S13" t="n">
        <v>87.95210299999999</v>
      </c>
      <c r="T13" t="n">
        <v>87.609711</v>
      </c>
      <c r="U13" t="n">
        <v>87.320465</v>
      </c>
      <c r="V13" t="n">
        <v>87.099518</v>
      </c>
      <c r="W13" t="n">
        <v>86.907028</v>
      </c>
      <c r="X13" t="n">
        <v>86.73526</v>
      </c>
      <c r="Y13" t="n">
        <v>86.553421</v>
      </c>
      <c r="Z13" t="n">
        <v>86.30392500000001</v>
      </c>
      <c r="AA13" t="n">
        <v>85.985275</v>
      </c>
      <c r="AB13" t="n">
        <v>85.63308000000001</v>
      </c>
      <c r="AC13" t="n">
        <v>85.264458</v>
      </c>
      <c r="AD13" t="n">
        <v>84.897255</v>
      </c>
      <c r="AE13" t="inlineStr">
        <is>
          <t>-0.4%</t>
        </is>
      </c>
    </row>
    <row r="14">
      <c r="A14" t="inlineStr">
        <is>
          <t>Delivered Energy Consumption</t>
        </is>
      </c>
      <c r="B14" t="inlineStr">
        <is>
          <t>Commercial: Energy Use Intensity: Delivered Energy Consumption: Alternative Electricity and Transportation</t>
        </is>
      </c>
      <c r="C14" t="inlineStr">
        <is>
          <t>AEO.2026.ELECTRNP.INY_NA_COMM_NA_EUI_ERL_USA_THBTUPSQFT.A</t>
        </is>
      </c>
      <c r="D14" t="inlineStr">
        <is>
          <t>thousand Btu/sq ft</t>
        </is>
      </c>
      <c r="E14" t="n">
        <v>93.084305</v>
      </c>
      <c r="F14" t="n">
        <v>93.513206</v>
      </c>
      <c r="G14" t="n">
        <v>93.074776</v>
      </c>
      <c r="H14" t="n">
        <v>92.51963000000001</v>
      </c>
      <c r="I14" t="n">
        <v>91.782715</v>
      </c>
      <c r="J14" t="n">
        <v>90.809181</v>
      </c>
      <c r="K14" t="n">
        <v>89.899635</v>
      </c>
      <c r="L14" t="n">
        <v>89.19177999999999</v>
      </c>
      <c r="M14" t="n">
        <v>88.573189</v>
      </c>
      <c r="N14" t="n">
        <v>88.03845200000001</v>
      </c>
      <c r="O14" t="n">
        <v>87.524017</v>
      </c>
      <c r="P14" t="n">
        <v>87.092613</v>
      </c>
      <c r="Q14" t="n">
        <v>86.638893</v>
      </c>
      <c r="R14" t="n">
        <v>86.228638</v>
      </c>
      <c r="S14" t="n">
        <v>85.83371699999999</v>
      </c>
      <c r="T14" t="n">
        <v>85.458237</v>
      </c>
      <c r="U14" t="n">
        <v>85.160706</v>
      </c>
      <c r="V14" t="n">
        <v>84.916267</v>
      </c>
      <c r="W14" t="n">
        <v>84.720146</v>
      </c>
      <c r="X14" t="n">
        <v>84.541443</v>
      </c>
      <c r="Y14" t="n">
        <v>84.357269</v>
      </c>
      <c r="Z14" t="n">
        <v>84.09365099999999</v>
      </c>
      <c r="AA14" t="n">
        <v>83.753242</v>
      </c>
      <c r="AB14" t="n">
        <v>83.378761</v>
      </c>
      <c r="AC14" t="n">
        <v>82.997833</v>
      </c>
      <c r="AD14" t="n">
        <v>82.60966500000001</v>
      </c>
      <c r="AE14" t="inlineStr">
        <is>
          <t>-0.5%</t>
        </is>
      </c>
    </row>
    <row r="15">
      <c r="A15" t="inlineStr">
        <is>
          <t>Energy Consumption by Fuel</t>
        </is>
      </c>
    </row>
    <row r="16">
      <c r="A16" t="inlineStr">
        <is>
          <t>Electricity</t>
        </is>
      </c>
    </row>
    <row r="17">
      <c r="A17" t="inlineStr">
        <is>
          <t>Space Heating</t>
        </is>
      </c>
      <c r="B17" t="inlineStr">
        <is>
          <t>Commercial: Purchased Electricity: Space Heating: Alternative Electricity and Transportation</t>
        </is>
      </c>
      <c r="C17" t="inlineStr">
        <is>
          <t>AEO.2026.ELECTRNP.CNSM_NA_COMM_NA_PRC_SPH_USA_QBTU.A</t>
        </is>
      </c>
      <c r="D17" t="inlineStr">
        <is>
          <t>quads</t>
        </is>
      </c>
      <c r="E17" t="n">
        <v>0.20086</v>
      </c>
      <c r="F17" t="n">
        <v>0.193991</v>
      </c>
      <c r="G17" t="n">
        <v>0.19233</v>
      </c>
      <c r="H17" t="n">
        <v>0.191237</v>
      </c>
      <c r="I17" t="n">
        <v>0.18969</v>
      </c>
      <c r="J17" t="n">
        <v>0.187902</v>
      </c>
      <c r="K17" t="n">
        <v>0.186031</v>
      </c>
      <c r="L17" t="n">
        <v>0.184106</v>
      </c>
      <c r="M17" t="n">
        <v>0.18223</v>
      </c>
      <c r="N17" t="n">
        <v>0.180242</v>
      </c>
      <c r="O17" t="n">
        <v>0.1782</v>
      </c>
      <c r="P17" t="n">
        <v>0.176227</v>
      </c>
      <c r="Q17" t="n">
        <v>0.174101</v>
      </c>
      <c r="R17" t="n">
        <v>0.171933</v>
      </c>
      <c r="S17" t="n">
        <v>0.169663</v>
      </c>
      <c r="T17" t="n">
        <v>0.167366</v>
      </c>
      <c r="U17" t="n">
        <v>0.165099</v>
      </c>
      <c r="V17" t="n">
        <v>0.162808</v>
      </c>
      <c r="W17" t="n">
        <v>0.160509</v>
      </c>
      <c r="X17" t="n">
        <v>0.158156</v>
      </c>
      <c r="Y17" t="n">
        <v>0.155824</v>
      </c>
      <c r="Z17" t="n">
        <v>0.153355</v>
      </c>
      <c r="AA17" t="n">
        <v>0.150715</v>
      </c>
      <c r="AB17" t="n">
        <v>0.148032</v>
      </c>
      <c r="AC17" t="n">
        <v>0.145385</v>
      </c>
      <c r="AD17" t="n">
        <v>0.142671</v>
      </c>
      <c r="AE17" t="inlineStr">
        <is>
          <t>-1.4%</t>
        </is>
      </c>
    </row>
    <row r="18">
      <c r="A18" t="inlineStr">
        <is>
          <t>Space Cooling</t>
        </is>
      </c>
      <c r="B18" t="inlineStr">
        <is>
          <t>Commercial: Purchased Electricity: Space Cooling: Alternative Electricity and Transportation</t>
        </is>
      </c>
      <c r="C18" t="inlineStr">
        <is>
          <t>AEO.2026.ELECTRNP.CNSM_NA_COMM_NA_PRC_SPC_USA_QBTU.A</t>
        </is>
      </c>
      <c r="D18" t="inlineStr">
        <is>
          <t>quads</t>
        </is>
      </c>
      <c r="E18" t="n">
        <v>0.566839</v>
      </c>
      <c r="F18" t="n">
        <v>0.594472</v>
      </c>
      <c r="G18" t="n">
        <v>0.600861</v>
      </c>
      <c r="H18" t="n">
        <v>0.609032</v>
      </c>
      <c r="I18" t="n">
        <v>0.61581</v>
      </c>
      <c r="J18" t="n">
        <v>0.620066</v>
      </c>
      <c r="K18" t="n">
        <v>0.624956</v>
      </c>
      <c r="L18" t="n">
        <v>0.630446</v>
      </c>
      <c r="M18" t="n">
        <v>0.636408</v>
      </c>
      <c r="N18" t="n">
        <v>0.642945</v>
      </c>
      <c r="O18" t="n">
        <v>0.649799</v>
      </c>
      <c r="P18" t="n">
        <v>0.657449</v>
      </c>
      <c r="Q18" t="n">
        <v>0.665266</v>
      </c>
      <c r="R18" t="n">
        <v>0.673226</v>
      </c>
      <c r="S18" t="n">
        <v>0.681101</v>
      </c>
      <c r="T18" t="n">
        <v>0.689312</v>
      </c>
      <c r="U18" t="n">
        <v>0.697981</v>
      </c>
      <c r="V18" t="n">
        <v>0.707102</v>
      </c>
      <c r="W18" t="n">
        <v>0.716932</v>
      </c>
      <c r="X18" t="n">
        <v>0.727006</v>
      </c>
      <c r="Y18" t="n">
        <v>0.737548</v>
      </c>
      <c r="Z18" t="n">
        <v>0.747668</v>
      </c>
      <c r="AA18" t="n">
        <v>0.757338</v>
      </c>
      <c r="AB18" t="n">
        <v>0.766944</v>
      </c>
      <c r="AC18" t="n">
        <v>0.777089</v>
      </c>
      <c r="AD18" t="n">
        <v>0.787237</v>
      </c>
      <c r="AE18" t="inlineStr">
        <is>
          <t>1.3%</t>
        </is>
      </c>
    </row>
    <row r="19">
      <c r="A19" t="inlineStr">
        <is>
          <t>Water Heating</t>
        </is>
      </c>
      <c r="B19" t="inlineStr">
        <is>
          <t>Commercial: Purchased Electricity: Water Heating: Alternative Electricity and Transportation</t>
        </is>
      </c>
      <c r="C19" t="inlineStr">
        <is>
          <t>AEO.2026.ELECTRNP.CNSM_NA_COMM_NA_PRC_WTHT_USA_QBTU.A</t>
        </is>
      </c>
      <c r="D19" t="inlineStr">
        <is>
          <t>quads</t>
        </is>
      </c>
      <c r="E19" t="n">
        <v>0.073797</v>
      </c>
      <c r="F19" t="n">
        <v>0.072726</v>
      </c>
      <c r="G19" t="n">
        <v>0.072052</v>
      </c>
      <c r="H19" t="n">
        <v>0.07164</v>
      </c>
      <c r="I19" t="n">
        <v>0.071071</v>
      </c>
      <c r="J19" t="n">
        <v>0.070187</v>
      </c>
      <c r="K19" t="n">
        <v>0.069283</v>
      </c>
      <c r="L19" t="n">
        <v>0.068399</v>
      </c>
      <c r="M19" t="n">
        <v>0.067566</v>
      </c>
      <c r="N19" t="n">
        <v>0.066746</v>
      </c>
      <c r="O19" t="n">
        <v>0.065932</v>
      </c>
      <c r="P19" t="n">
        <v>0.06518400000000001</v>
      </c>
      <c r="Q19" t="n">
        <v>0.064425</v>
      </c>
      <c r="R19" t="n">
        <v>0.06367299999999999</v>
      </c>
      <c r="S19" t="n">
        <v>0.062916</v>
      </c>
      <c r="T19" t="n">
        <v>0.062153</v>
      </c>
      <c r="U19" t="n">
        <v>0.061431</v>
      </c>
      <c r="V19" t="n">
        <v>0.060716</v>
      </c>
      <c r="W19" t="n">
        <v>0.060034</v>
      </c>
      <c r="X19" t="n">
        <v>0.059364</v>
      </c>
      <c r="Y19" t="n">
        <v>0.058695</v>
      </c>
      <c r="Z19" t="n">
        <v>0.058002</v>
      </c>
      <c r="AA19" t="n">
        <v>0.057258</v>
      </c>
      <c r="AB19" t="n">
        <v>0.056503</v>
      </c>
      <c r="AC19" t="n">
        <v>0.055764</v>
      </c>
      <c r="AD19" t="n">
        <v>0.055011</v>
      </c>
      <c r="AE19" t="inlineStr">
        <is>
          <t>-1.2%</t>
        </is>
      </c>
    </row>
    <row r="20">
      <c r="A20" t="inlineStr">
        <is>
          <t>Ventilation</t>
        </is>
      </c>
      <c r="B20" t="inlineStr">
        <is>
          <t>Commercial: Purchased Electricity: Ventilation: Alternative Electricity and Transportation</t>
        </is>
      </c>
      <c r="C20" t="inlineStr">
        <is>
          <t>AEO.2026.ELECTRNP.CNSM_NA_COMM_NA_PRC_VNTC_USA_QBTU.A</t>
        </is>
      </c>
      <c r="D20" t="inlineStr">
        <is>
          <t>quads</t>
        </is>
      </c>
      <c r="E20" t="n">
        <v>0.772579</v>
      </c>
      <c r="F20" t="n">
        <v>0.778081</v>
      </c>
      <c r="G20" t="n">
        <v>0.787216</v>
      </c>
      <c r="H20" t="n">
        <v>0.798948</v>
      </c>
      <c r="I20" t="n">
        <v>0.808617</v>
      </c>
      <c r="J20" t="n">
        <v>0.812848</v>
      </c>
      <c r="K20" t="n">
        <v>0.817403</v>
      </c>
      <c r="L20" t="n">
        <v>0.822489</v>
      </c>
      <c r="M20" t="n">
        <v>0.828422</v>
      </c>
      <c r="N20" t="n">
        <v>0.834734</v>
      </c>
      <c r="O20" t="n">
        <v>0.841408</v>
      </c>
      <c r="P20" t="n">
        <v>0.84894</v>
      </c>
      <c r="Q20" t="n">
        <v>0.856496</v>
      </c>
      <c r="R20" t="n">
        <v>0.864206</v>
      </c>
      <c r="S20" t="n">
        <v>0.871853</v>
      </c>
      <c r="T20" t="n">
        <v>0.879611</v>
      </c>
      <c r="U20" t="n">
        <v>0.8878740000000001</v>
      </c>
      <c r="V20" t="n">
        <v>0.896257</v>
      </c>
      <c r="W20" t="n">
        <v>0.905085</v>
      </c>
      <c r="X20" t="n">
        <v>0.914164</v>
      </c>
      <c r="Y20" t="n">
        <v>0.923373</v>
      </c>
      <c r="Z20" t="n">
        <v>0.932169</v>
      </c>
      <c r="AA20" t="n">
        <v>0.940261</v>
      </c>
      <c r="AB20" t="n">
        <v>0.948153</v>
      </c>
      <c r="AC20" t="n">
        <v>0.956425</v>
      </c>
      <c r="AD20" t="n">
        <v>0.964518</v>
      </c>
      <c r="AE20" t="inlineStr">
        <is>
          <t>0.9%</t>
        </is>
      </c>
    </row>
    <row r="21">
      <c r="A21" t="inlineStr">
        <is>
          <t>Cooking</t>
        </is>
      </c>
      <c r="B21" t="inlineStr">
        <is>
          <t>Commercial: Purchased Electricity: Cooking: Alternative Electricity and Transportation</t>
        </is>
      </c>
      <c r="C21" t="inlineStr">
        <is>
          <t>AEO.2026.ELECTRNP.CNSM_NA_COMM_NA_PRC_CGR_USA_QBTU.A</t>
        </is>
      </c>
      <c r="D21" t="inlineStr">
        <is>
          <t>quads</t>
        </is>
      </c>
      <c r="E21" t="n">
        <v>0.083991</v>
      </c>
      <c r="F21" t="n">
        <v>0.083245</v>
      </c>
      <c r="G21" t="n">
        <v>0.082882</v>
      </c>
      <c r="H21" t="n">
        <v>0.08275</v>
      </c>
      <c r="I21" t="n">
        <v>0.082396</v>
      </c>
      <c r="J21" t="n">
        <v>0.081708</v>
      </c>
      <c r="K21" t="n">
        <v>0.080997</v>
      </c>
      <c r="L21" t="n">
        <v>0.080317</v>
      </c>
      <c r="M21" t="n">
        <v>0.079704</v>
      </c>
      <c r="N21" t="n">
        <v>0.07911600000000001</v>
      </c>
      <c r="O21" t="n">
        <v>0.07853300000000001</v>
      </c>
      <c r="P21" t="n">
        <v>0.077998</v>
      </c>
      <c r="Q21" t="n">
        <v>0.077442</v>
      </c>
      <c r="R21" t="n">
        <v>0.076881</v>
      </c>
      <c r="S21" t="n">
        <v>0.076298</v>
      </c>
      <c r="T21" t="n">
        <v>0.07570200000000001</v>
      </c>
      <c r="U21" t="n">
        <v>0.075151</v>
      </c>
      <c r="V21" t="n">
        <v>0.074597</v>
      </c>
      <c r="W21" t="n">
        <v>0.07406500000000001</v>
      </c>
      <c r="X21" t="n">
        <v>0.07353800000000001</v>
      </c>
      <c r="Y21" t="n">
        <v>0.073002</v>
      </c>
      <c r="Z21" t="n">
        <v>0.072417</v>
      </c>
      <c r="AA21" t="n">
        <v>0.07176299999999999</v>
      </c>
      <c r="AB21" t="n">
        <v>0.07108200000000001</v>
      </c>
      <c r="AC21" t="n">
        <v>0.07041500000000001</v>
      </c>
      <c r="AD21" t="n">
        <v>0.06972100000000001</v>
      </c>
      <c r="AE21" t="inlineStr">
        <is>
          <t>-0.7%</t>
        </is>
      </c>
    </row>
    <row r="22">
      <c r="A22" t="inlineStr">
        <is>
          <t>Lighting</t>
        </is>
      </c>
      <c r="B22" t="inlineStr">
        <is>
          <t>Commercial: Purchased Electricity: Lighting: Alternative Electricity and Transportation</t>
        </is>
      </c>
      <c r="C22" t="inlineStr">
        <is>
          <t>AEO.2026.ELECTRNP.CNSM_NA_COMM_NA_PRC_LGHTNG_USA_QBTU.A</t>
        </is>
      </c>
      <c r="D22" t="inlineStr">
        <is>
          <t>quads</t>
        </is>
      </c>
      <c r="E22" t="n">
        <v>0.564649</v>
      </c>
      <c r="F22" t="n">
        <v>0.553328</v>
      </c>
      <c r="G22" t="n">
        <v>0.547329</v>
      </c>
      <c r="H22" t="n">
        <v>0.54543</v>
      </c>
      <c r="I22" t="n">
        <v>0.543588</v>
      </c>
      <c r="J22" t="n">
        <v>0.532318</v>
      </c>
      <c r="K22" t="n">
        <v>0.522622</v>
      </c>
      <c r="L22" t="n">
        <v>0.5142</v>
      </c>
      <c r="M22" t="n">
        <v>0.506779</v>
      </c>
      <c r="N22" t="n">
        <v>0.499778</v>
      </c>
      <c r="O22" t="n">
        <v>0.492952</v>
      </c>
      <c r="P22" t="n">
        <v>0.487289</v>
      </c>
      <c r="Q22" t="n">
        <v>0.482486</v>
      </c>
      <c r="R22" t="n">
        <v>0.478498</v>
      </c>
      <c r="S22" t="n">
        <v>0.475119</v>
      </c>
      <c r="T22" t="n">
        <v>0.470122</v>
      </c>
      <c r="U22" t="n">
        <v>0.466407</v>
      </c>
      <c r="V22" t="n">
        <v>0.463482</v>
      </c>
      <c r="W22" t="n">
        <v>0.461297</v>
      </c>
      <c r="X22" t="n">
        <v>0.459643</v>
      </c>
      <c r="Y22" t="n">
        <v>0.458401</v>
      </c>
      <c r="Z22" t="n">
        <v>0.457258</v>
      </c>
      <c r="AA22" t="n">
        <v>0.455994</v>
      </c>
      <c r="AB22" t="n">
        <v>0.454706</v>
      </c>
      <c r="AC22" t="n">
        <v>0.453692</v>
      </c>
      <c r="AD22" t="n">
        <v>0.452695</v>
      </c>
      <c r="AE22" t="inlineStr">
        <is>
          <t>-0.9%</t>
        </is>
      </c>
    </row>
    <row r="23">
      <c r="A23" t="inlineStr">
        <is>
          <t>Refrigeration</t>
        </is>
      </c>
      <c r="B23" t="inlineStr">
        <is>
          <t>Commercial: Purchased Electricity: Refrigeration: Alternative Electricity and Transportation</t>
        </is>
      </c>
      <c r="C23" t="inlineStr">
        <is>
          <t>AEO.2026.ELECTRNP.CNSM_NA_COMM_NA_PRC_REFR_USA_QBTU.A</t>
        </is>
      </c>
      <c r="D23" t="inlineStr">
        <is>
          <t>quads</t>
        </is>
      </c>
      <c r="E23" t="n">
        <v>0.366734</v>
      </c>
      <c r="F23" t="n">
        <v>0.365953</v>
      </c>
      <c r="G23" t="n">
        <v>0.366174</v>
      </c>
      <c r="H23" t="n">
        <v>0.367</v>
      </c>
      <c r="I23" t="n">
        <v>0.367563</v>
      </c>
      <c r="J23" t="n">
        <v>0.366644</v>
      </c>
      <c r="K23" t="n">
        <v>0.366206</v>
      </c>
      <c r="L23" t="n">
        <v>0.366109</v>
      </c>
      <c r="M23" t="n">
        <v>0.36639</v>
      </c>
      <c r="N23" t="n">
        <v>0.36695</v>
      </c>
      <c r="O23" t="n">
        <v>0.367756</v>
      </c>
      <c r="P23" t="n">
        <v>0.368848</v>
      </c>
      <c r="Q23" t="n">
        <v>0.370046</v>
      </c>
      <c r="R23" t="n">
        <v>0.371239</v>
      </c>
      <c r="S23" t="n">
        <v>0.372383</v>
      </c>
      <c r="T23" t="n">
        <v>0.373485</v>
      </c>
      <c r="U23" t="n">
        <v>0.374828</v>
      </c>
      <c r="V23" t="n">
        <v>0.376102</v>
      </c>
      <c r="W23" t="n">
        <v>0.37739</v>
      </c>
      <c r="X23" t="n">
        <v>0.378663</v>
      </c>
      <c r="Y23" t="n">
        <v>0.379901</v>
      </c>
      <c r="Z23" t="n">
        <v>0.381014</v>
      </c>
      <c r="AA23" t="n">
        <v>0.381955</v>
      </c>
      <c r="AB23" t="n">
        <v>0.382807</v>
      </c>
      <c r="AC23" t="n">
        <v>0.383654</v>
      </c>
      <c r="AD23" t="n">
        <v>0.384415</v>
      </c>
      <c r="AE23" t="inlineStr">
        <is>
          <t>0.2%</t>
        </is>
      </c>
    </row>
    <row r="24">
      <c r="A24" t="inlineStr">
        <is>
          <t>Data Center Servers</t>
        </is>
      </c>
      <c r="B24" t="inlineStr">
        <is>
          <t>Commercial: Purchased Electricity: Data Center Servers: Alternative Electricity and Transportation</t>
        </is>
      </c>
      <c r="C24" t="inlineStr">
        <is>
          <t>AEO.2026.ELECTRNP.CNSM_NA_COMM_NA_PRC_DATACTRSERV_USA_QBTU.A</t>
        </is>
      </c>
      <c r="D24" t="inlineStr">
        <is>
          <t>quads</t>
        </is>
      </c>
      <c r="E24" t="n">
        <v>0.357691</v>
      </c>
      <c r="F24" t="n">
        <v>0.403698</v>
      </c>
      <c r="G24" t="n">
        <v>0.452968</v>
      </c>
      <c r="H24" t="n">
        <v>0.503864</v>
      </c>
      <c r="I24" t="n">
        <v>0.555801</v>
      </c>
      <c r="J24" t="n">
        <v>0.608106</v>
      </c>
      <c r="K24" t="n">
        <v>0.660976</v>
      </c>
      <c r="L24" t="n">
        <v>0.714861</v>
      </c>
      <c r="M24" t="n">
        <v>0.769734</v>
      </c>
      <c r="N24" t="n">
        <v>0.825407</v>
      </c>
      <c r="O24" t="n">
        <v>0.881718</v>
      </c>
      <c r="P24" t="n">
        <v>0.9383860000000001</v>
      </c>
      <c r="Q24" t="n">
        <v>0.995149</v>
      </c>
      <c r="R24" t="n">
        <v>1.051305</v>
      </c>
      <c r="S24" t="n">
        <v>1.106359</v>
      </c>
      <c r="T24" t="n">
        <v>1.159801</v>
      </c>
      <c r="U24" t="n">
        <v>1.211428</v>
      </c>
      <c r="V24" t="n">
        <v>1.260422</v>
      </c>
      <c r="W24" t="n">
        <v>1.30683</v>
      </c>
      <c r="X24" t="n">
        <v>1.349851</v>
      </c>
      <c r="Y24" t="n">
        <v>1.389499</v>
      </c>
      <c r="Z24" t="n">
        <v>1.424823</v>
      </c>
      <c r="AA24" t="n">
        <v>1.455517</v>
      </c>
      <c r="AB24" t="n">
        <v>1.481245</v>
      </c>
      <c r="AC24" t="n">
        <v>1.501816</v>
      </c>
      <c r="AD24" t="n">
        <v>1.520085</v>
      </c>
      <c r="AE24" t="inlineStr">
        <is>
          <t>6.0%</t>
        </is>
      </c>
    </row>
    <row r="25">
      <c r="A25" t="inlineStr">
        <is>
          <t>Computers and office equipment</t>
        </is>
      </c>
      <c r="B25" t="inlineStr">
        <is>
          <t>Commercial: Purchased Electricity: Computers and Office Equipment: Alternative Electricity and Transportation</t>
        </is>
      </c>
      <c r="C25" t="inlineStr">
        <is>
          <t>AEO.2026.ELECTRNP.CNSM_NA_COMM_NA_PRC_OTHEQP_USA_QBTU.A</t>
        </is>
      </c>
      <c r="D25" t="inlineStr">
        <is>
          <t>quads</t>
        </is>
      </c>
      <c r="E25" t="n">
        <v>0.216953</v>
      </c>
      <c r="F25" t="n">
        <v>0.211745</v>
      </c>
      <c r="G25" t="n">
        <v>0.207122</v>
      </c>
      <c r="H25" t="n">
        <v>0.202684</v>
      </c>
      <c r="I25" t="n">
        <v>0.198262</v>
      </c>
      <c r="J25" t="n">
        <v>0.193913</v>
      </c>
      <c r="K25" t="n">
        <v>0.189829</v>
      </c>
      <c r="L25" t="n">
        <v>0.18572</v>
      </c>
      <c r="M25" t="n">
        <v>0.182465</v>
      </c>
      <c r="N25" t="n">
        <v>0.179709</v>
      </c>
      <c r="O25" t="n">
        <v>0.177067</v>
      </c>
      <c r="P25" t="n">
        <v>0.175041</v>
      </c>
      <c r="Q25" t="n">
        <v>0.173177</v>
      </c>
      <c r="R25" t="n">
        <v>0.171447</v>
      </c>
      <c r="S25" t="n">
        <v>0.170381</v>
      </c>
      <c r="T25" t="n">
        <v>0.169034</v>
      </c>
      <c r="U25" t="n">
        <v>0.167367</v>
      </c>
      <c r="V25" t="n">
        <v>0.16648</v>
      </c>
      <c r="W25" t="n">
        <v>0.164809</v>
      </c>
      <c r="X25" t="n">
        <v>0.163452</v>
      </c>
      <c r="Y25" t="n">
        <v>0.161864</v>
      </c>
      <c r="Z25" t="n">
        <v>0.16063</v>
      </c>
      <c r="AA25" t="n">
        <v>0.158545</v>
      </c>
      <c r="AB25" t="n">
        <v>0.15621</v>
      </c>
      <c r="AC25" t="n">
        <v>0.153638</v>
      </c>
      <c r="AD25" t="n">
        <v>0.150807</v>
      </c>
      <c r="AE25" t="inlineStr">
        <is>
          <t>-1.4%</t>
        </is>
      </c>
    </row>
    <row r="26">
      <c r="A26" t="inlineStr">
        <is>
          <t>Other Uses</t>
        </is>
      </c>
      <c r="B26" t="inlineStr">
        <is>
          <t>Commercial: Purchased Electricity: Other Uses: Alternative Electricity and Transportation</t>
        </is>
      </c>
      <c r="C26" t="inlineStr">
        <is>
          <t>AEO.2026.ELECTRNP.CNSM_NA_COMM_NA_PRC_OTHU_USA_QBTU.A</t>
        </is>
      </c>
      <c r="D26" t="inlineStr">
        <is>
          <t>quads</t>
        </is>
      </c>
      <c r="E26" t="n">
        <v>1.949163</v>
      </c>
      <c r="F26" t="n">
        <v>2.133727</v>
      </c>
      <c r="G26" t="n">
        <v>2.139688</v>
      </c>
      <c r="H26" t="n">
        <v>2.13915</v>
      </c>
      <c r="I26" t="n">
        <v>2.138203</v>
      </c>
      <c r="J26" t="n">
        <v>2.13603</v>
      </c>
      <c r="K26" t="n">
        <v>2.134272</v>
      </c>
      <c r="L26" t="n">
        <v>2.133495</v>
      </c>
      <c r="M26" t="n">
        <v>2.134242</v>
      </c>
      <c r="N26" t="n">
        <v>2.136272</v>
      </c>
      <c r="O26" t="n">
        <v>2.139616</v>
      </c>
      <c r="P26" t="n">
        <v>2.144953</v>
      </c>
      <c r="Q26" t="n">
        <v>2.15116</v>
      </c>
      <c r="R26" t="n">
        <v>2.157878</v>
      </c>
      <c r="S26" t="n">
        <v>2.164868</v>
      </c>
      <c r="T26" t="n">
        <v>2.172189</v>
      </c>
      <c r="U26" t="n">
        <v>2.179389</v>
      </c>
      <c r="V26" t="n">
        <v>2.186837</v>
      </c>
      <c r="W26" t="n">
        <v>2.194853</v>
      </c>
      <c r="X26" t="n">
        <v>2.203038</v>
      </c>
      <c r="Y26" t="n">
        <v>2.212115</v>
      </c>
      <c r="Z26" t="n">
        <v>2.221061</v>
      </c>
      <c r="AA26" t="n">
        <v>2.230132</v>
      </c>
      <c r="AB26" t="n">
        <v>2.239662</v>
      </c>
      <c r="AC26" t="n">
        <v>2.249701</v>
      </c>
      <c r="AD26" t="n">
        <v>2.260383</v>
      </c>
      <c r="AE26" t="inlineStr">
        <is>
          <t>0.6%</t>
        </is>
      </c>
    </row>
    <row r="27">
      <c r="A27" t="inlineStr">
        <is>
          <t>Gross End-use Electricity Consumption</t>
        </is>
      </c>
      <c r="B27" t="inlineStr">
        <is>
          <t>Commercial: Energy Consumption by Fuel: Electricity Subtotal: Alternative Electricity and Transportation</t>
        </is>
      </c>
      <c r="C27" t="inlineStr">
        <is>
          <t>AEO.2026.ELECTRNP.CNSM_NA_COMM_NA_PRC_DELE_USA_QBTU.A</t>
        </is>
      </c>
      <c r="D27" t="inlineStr">
        <is>
          <t>quads</t>
        </is>
      </c>
      <c r="E27" t="n">
        <v>5.153255</v>
      </c>
      <c r="F27" t="n">
        <v>5.390966</v>
      </c>
      <c r="G27" t="n">
        <v>5.448623</v>
      </c>
      <c r="H27" t="n">
        <v>5.511735</v>
      </c>
      <c r="I27" t="n">
        <v>5.571003</v>
      </c>
      <c r="J27" t="n">
        <v>5.609722</v>
      </c>
      <c r="K27" t="n">
        <v>5.652576</v>
      </c>
      <c r="L27" t="n">
        <v>5.700143</v>
      </c>
      <c r="M27" t="n">
        <v>5.753941</v>
      </c>
      <c r="N27" t="n">
        <v>5.811899</v>
      </c>
      <c r="O27" t="n">
        <v>5.872981</v>
      </c>
      <c r="P27" t="n">
        <v>5.940315</v>
      </c>
      <c r="Q27" t="n">
        <v>6.009748</v>
      </c>
      <c r="R27" t="n">
        <v>6.080286</v>
      </c>
      <c r="S27" t="n">
        <v>6.150941</v>
      </c>
      <c r="T27" t="n">
        <v>6.218776</v>
      </c>
      <c r="U27" t="n">
        <v>6.286955</v>
      </c>
      <c r="V27" t="n">
        <v>6.354805</v>
      </c>
      <c r="W27" t="n">
        <v>6.421803</v>
      </c>
      <c r="X27" t="n">
        <v>6.486873</v>
      </c>
      <c r="Y27" t="n">
        <v>6.550223</v>
      </c>
      <c r="Z27" t="n">
        <v>6.608398</v>
      </c>
      <c r="AA27" t="n">
        <v>6.659479</v>
      </c>
      <c r="AB27" t="n">
        <v>6.705345</v>
      </c>
      <c r="AC27" t="n">
        <v>6.747578</v>
      </c>
      <c r="AD27" t="n">
        <v>6.787544</v>
      </c>
      <c r="AE27" t="inlineStr">
        <is>
          <t>1.1%</t>
        </is>
      </c>
    </row>
    <row r="28">
      <c r="A28" t="inlineStr">
        <is>
          <t>Purchased Electricity for Electric Vehicle Charging</t>
        </is>
      </c>
      <c r="B28" t="inlineStr">
        <is>
          <t>Commercial: Energy Consumption by Fuel: Purchased Electricity for EV Charging: Alternative Electricity and Transportation</t>
        </is>
      </c>
      <c r="C28" t="inlineStr">
        <is>
          <t>AEO.2026.ELECTRNP.GEN_NA_COMM_NA_PRC_EVCHA_USA_QBTU.A</t>
        </is>
      </c>
      <c r="D28" t="inlineStr">
        <is>
          <t>quads</t>
        </is>
      </c>
      <c r="E28" t="n">
        <v>0.031625</v>
      </c>
      <c r="F28" t="n">
        <v>0.041349</v>
      </c>
      <c r="G28" t="n">
        <v>0.053095</v>
      </c>
      <c r="H28" t="n">
        <v>0.066244</v>
      </c>
      <c r="I28" t="n">
        <v>0.07960299999999999</v>
      </c>
      <c r="J28" t="n">
        <v>0.092543</v>
      </c>
      <c r="K28" t="n">
        <v>0.104416</v>
      </c>
      <c r="L28" t="n">
        <v>0.115643</v>
      </c>
      <c r="M28" t="n">
        <v>0.126972</v>
      </c>
      <c r="N28" t="n">
        <v>0.138502</v>
      </c>
      <c r="O28" t="n">
        <v>0.150392</v>
      </c>
      <c r="P28" t="n">
        <v>0.162461</v>
      </c>
      <c r="Q28" t="n">
        <v>0.174804</v>
      </c>
      <c r="R28" t="n">
        <v>0.187239</v>
      </c>
      <c r="S28" t="n">
        <v>0.19959</v>
      </c>
      <c r="T28" t="n">
        <v>0.212288</v>
      </c>
      <c r="U28" t="n">
        <v>0.225364</v>
      </c>
      <c r="V28" t="n">
        <v>0.239243</v>
      </c>
      <c r="W28" t="n">
        <v>0.253973</v>
      </c>
      <c r="X28" t="n">
        <v>0.269944</v>
      </c>
      <c r="Y28" t="n">
        <v>0.287121</v>
      </c>
      <c r="Z28" t="n">
        <v>0.304738</v>
      </c>
      <c r="AA28" t="n">
        <v>0.322704</v>
      </c>
      <c r="AB28" t="n">
        <v>0.341035</v>
      </c>
      <c r="AC28" t="n">
        <v>0.359608</v>
      </c>
      <c r="AD28" t="n">
        <v>0.378263</v>
      </c>
      <c r="AE28" t="inlineStr">
        <is>
          <t>10.4%</t>
        </is>
      </c>
    </row>
    <row r="29">
      <c r="A29" t="inlineStr">
        <is>
          <t>On-site Generation for Own Use</t>
        </is>
      </c>
      <c r="B29" t="inlineStr">
        <is>
          <t>Commercial: Energy Consumption by Fuel: Generation for Own Use: Alternative Electricity and Transportation</t>
        </is>
      </c>
      <c r="C29" t="inlineStr">
        <is>
          <t>AEO.2026.ELECTRNP.GEN_NA_COMM_NA_GFO_ELC_USA_QBTU.A</t>
        </is>
      </c>
      <c r="D29" t="inlineStr">
        <is>
          <t>quads</t>
        </is>
      </c>
      <c r="E29" t="n">
        <v>0.159509</v>
      </c>
      <c r="F29" t="n">
        <v>0.178677</v>
      </c>
      <c r="G29" t="n">
        <v>0.194806</v>
      </c>
      <c r="H29" t="n">
        <v>0.202568</v>
      </c>
      <c r="I29" t="n">
        <v>0.207279</v>
      </c>
      <c r="J29" t="n">
        <v>0.212645</v>
      </c>
      <c r="K29" t="n">
        <v>0.216793</v>
      </c>
      <c r="L29" t="n">
        <v>0.220071</v>
      </c>
      <c r="M29" t="n">
        <v>0.223757</v>
      </c>
      <c r="N29" t="n">
        <v>0.22936</v>
      </c>
      <c r="O29" t="n">
        <v>0.233889</v>
      </c>
      <c r="P29" t="n">
        <v>0.237713</v>
      </c>
      <c r="Q29" t="n">
        <v>0.244406</v>
      </c>
      <c r="R29" t="n">
        <v>0.250927</v>
      </c>
      <c r="S29" t="n">
        <v>0.258833</v>
      </c>
      <c r="T29" t="n">
        <v>0.265647</v>
      </c>
      <c r="U29" t="n">
        <v>0.26933</v>
      </c>
      <c r="V29" t="n">
        <v>0.274844</v>
      </c>
      <c r="W29" t="n">
        <v>0.27782</v>
      </c>
      <c r="X29" t="n">
        <v>0.281171</v>
      </c>
      <c r="Y29" t="n">
        <v>0.283907</v>
      </c>
      <c r="Z29" t="n">
        <v>0.288158</v>
      </c>
      <c r="AA29" t="n">
        <v>0.293419</v>
      </c>
      <c r="AB29" t="n">
        <v>0.298776</v>
      </c>
      <c r="AC29" t="n">
        <v>0.302829</v>
      </c>
      <c r="AD29" t="n">
        <v>0.308056</v>
      </c>
      <c r="AE29" t="inlineStr">
        <is>
          <t>2.7%</t>
        </is>
      </c>
    </row>
    <row r="30">
      <c r="A30" t="inlineStr">
        <is>
          <t>Purchased Electricity at Commercial Location</t>
        </is>
      </c>
      <c r="B30" t="inlineStr">
        <is>
          <t>Commercial: Energy Consumption by Fuel: Purchased Electricity: Alternative Electricity and Transportation</t>
        </is>
      </c>
      <c r="C30" t="inlineStr">
        <is>
          <t>AEO.2026.ELECTRNP.CNSM_NA_COMM_NA_DELE_ELC_USA_QBTU.A</t>
        </is>
      </c>
      <c r="D30" t="inlineStr">
        <is>
          <t>quads</t>
        </is>
      </c>
      <c r="E30" t="n">
        <v>5.025373</v>
      </c>
      <c r="F30" t="n">
        <v>5.253638</v>
      </c>
      <c r="G30" t="n">
        <v>5.306912</v>
      </c>
      <c r="H30" t="n">
        <v>5.375412</v>
      </c>
      <c r="I30" t="n">
        <v>5.443327</v>
      </c>
      <c r="J30" t="n">
        <v>5.48962</v>
      </c>
      <c r="K30" t="n">
        <v>5.540199</v>
      </c>
      <c r="L30" t="n">
        <v>5.595715</v>
      </c>
      <c r="M30" t="n">
        <v>5.657156</v>
      </c>
      <c r="N30" t="n">
        <v>5.72104</v>
      </c>
      <c r="O30" t="n">
        <v>5.789485</v>
      </c>
      <c r="P30" t="n">
        <v>5.865063</v>
      </c>
      <c r="Q30" t="n">
        <v>5.940146</v>
      </c>
      <c r="R30" t="n">
        <v>6.016598</v>
      </c>
      <c r="S30" t="n">
        <v>6.091698</v>
      </c>
      <c r="T30" t="n">
        <v>6.165417</v>
      </c>
      <c r="U30" t="n">
        <v>6.24299</v>
      </c>
      <c r="V30" t="n">
        <v>6.319204</v>
      </c>
      <c r="W30" t="n">
        <v>6.397956</v>
      </c>
      <c r="X30" t="n">
        <v>6.475646</v>
      </c>
      <c r="Y30" t="n">
        <v>6.553437</v>
      </c>
      <c r="Z30" t="n">
        <v>6.624979</v>
      </c>
      <c r="AA30" t="n">
        <v>6.688763</v>
      </c>
      <c r="AB30" t="n">
        <v>6.747605</v>
      </c>
      <c r="AC30" t="n">
        <v>6.804358</v>
      </c>
      <c r="AD30" t="n">
        <v>6.857751</v>
      </c>
      <c r="AE30" t="inlineStr">
        <is>
          <t>1.3%</t>
        </is>
      </c>
    </row>
    <row r="31">
      <c r="A31" t="inlineStr">
        <is>
          <t>Natural Gas</t>
        </is>
      </c>
    </row>
    <row r="32">
      <c r="A32" t="inlineStr">
        <is>
          <t>Space Heating</t>
        </is>
      </c>
      <c r="B32" t="inlineStr">
        <is>
          <t>Commercial: Natural Gas: Space Heating: Alternative Electricity and Transportation</t>
        </is>
      </c>
      <c r="C32" t="inlineStr">
        <is>
          <t>AEO.2026.ELECTRNP.CNSM_NA_COMM_NA_NG_SPH_USA_QBTU.A</t>
        </is>
      </c>
      <c r="D32" t="inlineStr">
        <is>
          <t>quads</t>
        </is>
      </c>
      <c r="E32" t="n">
        <v>1.677395</v>
      </c>
      <c r="F32" t="n">
        <v>1.658977</v>
      </c>
      <c r="G32" t="n">
        <v>1.655333</v>
      </c>
      <c r="H32" t="n">
        <v>1.640213</v>
      </c>
      <c r="I32" t="n">
        <v>1.614623</v>
      </c>
      <c r="J32" t="n">
        <v>1.585396</v>
      </c>
      <c r="K32" t="n">
        <v>1.558153</v>
      </c>
      <c r="L32" t="n">
        <v>1.539679</v>
      </c>
      <c r="M32" t="n">
        <v>1.52558</v>
      </c>
      <c r="N32" t="n">
        <v>1.514998</v>
      </c>
      <c r="O32" t="n">
        <v>1.504151</v>
      </c>
      <c r="P32" t="n">
        <v>1.494749</v>
      </c>
      <c r="Q32" t="n">
        <v>1.484763</v>
      </c>
      <c r="R32" t="n">
        <v>1.474809</v>
      </c>
      <c r="S32" t="n">
        <v>1.464232</v>
      </c>
      <c r="T32" t="n">
        <v>1.453817</v>
      </c>
      <c r="U32" t="n">
        <v>1.443761</v>
      </c>
      <c r="V32" t="n">
        <v>1.435541</v>
      </c>
      <c r="W32" t="n">
        <v>1.427792</v>
      </c>
      <c r="X32" t="n">
        <v>1.420772</v>
      </c>
      <c r="Y32" t="n">
        <v>1.413245</v>
      </c>
      <c r="Z32" t="n">
        <v>1.403235</v>
      </c>
      <c r="AA32" t="n">
        <v>1.391638</v>
      </c>
      <c r="AB32" t="n">
        <v>1.379734</v>
      </c>
      <c r="AC32" t="n">
        <v>1.367849</v>
      </c>
      <c r="AD32" t="n">
        <v>1.356255</v>
      </c>
      <c r="AE32" t="inlineStr">
        <is>
          <t>-0.8%</t>
        </is>
      </c>
    </row>
    <row r="33">
      <c r="A33" t="inlineStr">
        <is>
          <t>Space Cooling</t>
        </is>
      </c>
      <c r="B33" t="inlineStr">
        <is>
          <t>Commercial: Natural Gas: Space Cooling: Alternative Electricity and Transportation</t>
        </is>
      </c>
      <c r="C33" t="inlineStr">
        <is>
          <t>AEO.2026.ELECTRNP.CNSM_NA_COMM_NA_NG_SPC_USA_QBTU.A</t>
        </is>
      </c>
      <c r="D33" t="inlineStr">
        <is>
          <t>quads</t>
        </is>
      </c>
      <c r="E33" t="n">
        <v>0.015692</v>
      </c>
      <c r="F33" t="n">
        <v>0.017612</v>
      </c>
      <c r="G33" t="n">
        <v>0.017945</v>
      </c>
      <c r="H33" t="n">
        <v>0.018169</v>
      </c>
      <c r="I33" t="n">
        <v>0.018287</v>
      </c>
      <c r="J33" t="n">
        <v>0.018392</v>
      </c>
      <c r="K33" t="n">
        <v>0.018555</v>
      </c>
      <c r="L33" t="n">
        <v>0.018871</v>
      </c>
      <c r="M33" t="n">
        <v>0.01928</v>
      </c>
      <c r="N33" t="n">
        <v>0.019785</v>
      </c>
      <c r="O33" t="n">
        <v>0.020338</v>
      </c>
      <c r="P33" t="n">
        <v>0.020947</v>
      </c>
      <c r="Q33" t="n">
        <v>0.021603</v>
      </c>
      <c r="R33" t="n">
        <v>0.022292</v>
      </c>
      <c r="S33" t="n">
        <v>0.023007</v>
      </c>
      <c r="T33" t="n">
        <v>0.023771</v>
      </c>
      <c r="U33" t="n">
        <v>0.024568</v>
      </c>
      <c r="V33" t="n">
        <v>0.025421</v>
      </c>
      <c r="W33" t="n">
        <v>0.026326</v>
      </c>
      <c r="X33" t="n">
        <v>0.027285</v>
      </c>
      <c r="Y33" t="n">
        <v>0.028298</v>
      </c>
      <c r="Z33" t="n">
        <v>0.029311</v>
      </c>
      <c r="AA33" t="n">
        <v>0.030356</v>
      </c>
      <c r="AB33" t="n">
        <v>0.031435</v>
      </c>
      <c r="AC33" t="n">
        <v>0.03257</v>
      </c>
      <c r="AD33" t="n">
        <v>0.033763</v>
      </c>
      <c r="AE33" t="inlineStr">
        <is>
          <t>3.1%</t>
        </is>
      </c>
    </row>
    <row r="34">
      <c r="A34" t="inlineStr">
        <is>
          <t>Water Heating</t>
        </is>
      </c>
      <c r="B34" t="inlineStr">
        <is>
          <t>Commercial: Natural Gas: Water Heating: Alternative Electricity and Transportation</t>
        </is>
      </c>
      <c r="C34" t="inlineStr">
        <is>
          <t>AEO.2026.ELECTRNP.CNSM_NA_COMM_NA_NG_WTHT_USA_QBTU.A</t>
        </is>
      </c>
      <c r="D34" t="inlineStr">
        <is>
          <t>quads</t>
        </is>
      </c>
      <c r="E34" t="n">
        <v>0.27397</v>
      </c>
      <c r="F34" t="n">
        <v>0.280341</v>
      </c>
      <c r="G34" t="n">
        <v>0.283018</v>
      </c>
      <c r="H34" t="n">
        <v>0.283701</v>
      </c>
      <c r="I34" t="n">
        <v>0.282807</v>
      </c>
      <c r="J34" t="n">
        <v>0.281323</v>
      </c>
      <c r="K34" t="n">
        <v>0.280138</v>
      </c>
      <c r="L34" t="n">
        <v>0.280657</v>
      </c>
      <c r="M34" t="n">
        <v>0.281792</v>
      </c>
      <c r="N34" t="n">
        <v>0.283857</v>
      </c>
      <c r="O34" t="n">
        <v>0.2861</v>
      </c>
      <c r="P34" t="n">
        <v>0.288783</v>
      </c>
      <c r="Q34" t="n">
        <v>0.291449</v>
      </c>
      <c r="R34" t="n">
        <v>0.294131</v>
      </c>
      <c r="S34" t="n">
        <v>0.29673</v>
      </c>
      <c r="T34" t="n">
        <v>0.299366</v>
      </c>
      <c r="U34" t="n">
        <v>0.302164</v>
      </c>
      <c r="V34" t="n">
        <v>0.305317</v>
      </c>
      <c r="W34" t="n">
        <v>0.308628</v>
      </c>
      <c r="X34" t="n">
        <v>0.312135</v>
      </c>
      <c r="Y34" t="n">
        <v>0.315522</v>
      </c>
      <c r="Z34" t="n">
        <v>0.318429</v>
      </c>
      <c r="AA34" t="n">
        <v>0.321005</v>
      </c>
      <c r="AB34" t="n">
        <v>0.323466</v>
      </c>
      <c r="AC34" t="n">
        <v>0.325923</v>
      </c>
      <c r="AD34" t="n">
        <v>0.328429</v>
      </c>
      <c r="AE34" t="inlineStr">
        <is>
          <t>0.7%</t>
        </is>
      </c>
    </row>
    <row r="35">
      <c r="A35" t="inlineStr">
        <is>
          <t>Cooking</t>
        </is>
      </c>
      <c r="B35" t="inlineStr">
        <is>
          <t>Commercial: Natural Gas: Cooking: Alternative Electricity and Transportation</t>
        </is>
      </c>
      <c r="C35" t="inlineStr">
        <is>
          <t>AEO.2026.ELECTRNP.CNSM_NA_COMM_NA_NG_CGR_USA_QBTU.A</t>
        </is>
      </c>
      <c r="D35" t="inlineStr">
        <is>
          <t>quads</t>
        </is>
      </c>
      <c r="E35" t="n">
        <v>0.40539</v>
      </c>
      <c r="F35" t="n">
        <v>0.412698</v>
      </c>
      <c r="G35" t="n">
        <v>0.416201</v>
      </c>
      <c r="H35" t="n">
        <v>0.416769</v>
      </c>
      <c r="I35" t="n">
        <v>0.415153</v>
      </c>
      <c r="J35" t="n">
        <v>0.412603</v>
      </c>
      <c r="K35" t="n">
        <v>0.410522</v>
      </c>
      <c r="L35" t="n">
        <v>0.410815</v>
      </c>
      <c r="M35" t="n">
        <v>0.412028</v>
      </c>
      <c r="N35" t="n">
        <v>0.414518</v>
      </c>
      <c r="O35" t="n">
        <v>0.417203</v>
      </c>
      <c r="P35" t="n">
        <v>0.420466</v>
      </c>
      <c r="Q35" t="n">
        <v>0.423673</v>
      </c>
      <c r="R35" t="n">
        <v>0.426868</v>
      </c>
      <c r="S35" t="n">
        <v>0.429898</v>
      </c>
      <c r="T35" t="n">
        <v>0.432934</v>
      </c>
      <c r="U35" t="n">
        <v>0.436245</v>
      </c>
      <c r="V35" t="n">
        <v>0.440058</v>
      </c>
      <c r="W35" t="n">
        <v>0.444076</v>
      </c>
      <c r="X35" t="n">
        <v>0.448351</v>
      </c>
      <c r="Y35" t="n">
        <v>0.452416</v>
      </c>
      <c r="Z35" t="n">
        <v>0.455738</v>
      </c>
      <c r="AA35" t="n">
        <v>0.458542</v>
      </c>
      <c r="AB35" t="n">
        <v>0.461147</v>
      </c>
      <c r="AC35" t="n">
        <v>0.463721</v>
      </c>
      <c r="AD35" t="n">
        <v>0.466344</v>
      </c>
      <c r="AE35" t="inlineStr">
        <is>
          <t>0.6%</t>
        </is>
      </c>
    </row>
    <row r="36">
      <c r="A36" t="inlineStr">
        <is>
          <t>Other Uses</t>
        </is>
      </c>
      <c r="B36" t="inlineStr">
        <is>
          <t>Commercial: Natural Gas: Other Uses: Alternative Electricity and Transportation</t>
        </is>
      </c>
      <c r="C36" t="inlineStr">
        <is>
          <t>AEO.2026.ELECTRNP.CNSM_NA_COMM_NA_NG_OTHU_USA_QBTU.A</t>
        </is>
      </c>
      <c r="D36" t="inlineStr">
        <is>
          <t>quads</t>
        </is>
      </c>
      <c r="E36" t="n">
        <v>1.267356</v>
      </c>
      <c r="F36" t="n">
        <v>1.194333</v>
      </c>
      <c r="G36" t="n">
        <v>1.199043</v>
      </c>
      <c r="H36" t="n">
        <v>1.197086</v>
      </c>
      <c r="I36" t="n">
        <v>1.188333</v>
      </c>
      <c r="J36" t="n">
        <v>1.177144</v>
      </c>
      <c r="K36" t="n">
        <v>1.166085</v>
      </c>
      <c r="L36" t="n">
        <v>1.160668</v>
      </c>
      <c r="M36" t="n">
        <v>1.157207</v>
      </c>
      <c r="N36" t="n">
        <v>1.156334</v>
      </c>
      <c r="O36" t="n">
        <v>1.155312</v>
      </c>
      <c r="P36" t="n">
        <v>1.155334</v>
      </c>
      <c r="Q36" t="n">
        <v>1.155167</v>
      </c>
      <c r="R36" t="n">
        <v>1.155125</v>
      </c>
      <c r="S36" t="n">
        <v>1.154979</v>
      </c>
      <c r="T36" t="n">
        <v>1.155163</v>
      </c>
      <c r="U36" t="n">
        <v>1.155525</v>
      </c>
      <c r="V36" t="n">
        <v>1.157366</v>
      </c>
      <c r="W36" t="n">
        <v>1.159725</v>
      </c>
      <c r="X36" t="n">
        <v>1.162961</v>
      </c>
      <c r="Y36" t="n">
        <v>1.165869</v>
      </c>
      <c r="Z36" t="n">
        <v>1.167382</v>
      </c>
      <c r="AA36" t="n">
        <v>1.168018</v>
      </c>
      <c r="AB36" t="n">
        <v>1.16842</v>
      </c>
      <c r="AC36" t="n">
        <v>1.168869</v>
      </c>
      <c r="AD36" t="n">
        <v>1.169652</v>
      </c>
      <c r="AE36" t="inlineStr">
        <is>
          <t>-0.3%</t>
        </is>
      </c>
    </row>
    <row r="37">
      <c r="A37" t="inlineStr">
        <is>
          <t>Delivered Energy</t>
        </is>
      </c>
      <c r="B37" t="inlineStr">
        <is>
          <t>Commercial: Natural Gas: Delivered Energy: Alternative Electricity and Transportation</t>
        </is>
      </c>
      <c r="C37" t="inlineStr">
        <is>
          <t>AEO.2026.ELECTRNP.CNSM_NA_COMM_NA_NG_DELE_USA_QBTU.A</t>
        </is>
      </c>
      <c r="D37" t="inlineStr">
        <is>
          <t>quads</t>
        </is>
      </c>
      <c r="E37" t="n">
        <v>3.639804</v>
      </c>
      <c r="F37" t="n">
        <v>3.563961</v>
      </c>
      <c r="G37" t="n">
        <v>3.57154</v>
      </c>
      <c r="H37" t="n">
        <v>3.555938</v>
      </c>
      <c r="I37" t="n">
        <v>3.519203</v>
      </c>
      <c r="J37" t="n">
        <v>3.474857</v>
      </c>
      <c r="K37" t="n">
        <v>3.433453</v>
      </c>
      <c r="L37" t="n">
        <v>3.41069</v>
      </c>
      <c r="M37" t="n">
        <v>3.395886</v>
      </c>
      <c r="N37" t="n">
        <v>3.389492</v>
      </c>
      <c r="O37" t="n">
        <v>3.383103</v>
      </c>
      <c r="P37" t="n">
        <v>3.380279</v>
      </c>
      <c r="Q37" t="n">
        <v>3.376655</v>
      </c>
      <c r="R37" t="n">
        <v>3.373224</v>
      </c>
      <c r="S37" t="n">
        <v>3.368847</v>
      </c>
      <c r="T37" t="n">
        <v>3.365051</v>
      </c>
      <c r="U37" t="n">
        <v>3.362263</v>
      </c>
      <c r="V37" t="n">
        <v>3.363703</v>
      </c>
      <c r="W37" t="n">
        <v>3.366547</v>
      </c>
      <c r="X37" t="n">
        <v>3.371504</v>
      </c>
      <c r="Y37" t="n">
        <v>3.37535</v>
      </c>
      <c r="Z37" t="n">
        <v>3.374094</v>
      </c>
      <c r="AA37" t="n">
        <v>3.369559</v>
      </c>
      <c r="AB37" t="n">
        <v>3.364201</v>
      </c>
      <c r="AC37" t="n">
        <v>3.358932</v>
      </c>
      <c r="AD37" t="n">
        <v>3.354442</v>
      </c>
      <c r="AE37" t="inlineStr">
        <is>
          <t>-0.3%</t>
        </is>
      </c>
    </row>
    <row r="38">
      <c r="A38" t="inlineStr">
        <is>
          <t>Distillate Fuel Oil</t>
        </is>
      </c>
    </row>
    <row r="39">
      <c r="A39" t="inlineStr">
        <is>
          <t>Space Heating</t>
        </is>
      </c>
      <c r="B39" t="inlineStr">
        <is>
          <t>Commercial: Distillate Fuel Oil: Space Heating: Alternative Electricity and Transportation</t>
        </is>
      </c>
      <c r="C39" t="inlineStr">
        <is>
          <t>AEO.2026.ELECTRNP.CNSM_NA_COMM_NA_DFO_SPH_USA_QBTU.A</t>
        </is>
      </c>
      <c r="D39" t="inlineStr">
        <is>
          <t>quads</t>
        </is>
      </c>
      <c r="E39" t="n">
        <v>0.074528</v>
      </c>
      <c r="F39" t="n">
        <v>0.072814</v>
      </c>
      <c r="G39" t="n">
        <v>0.072147</v>
      </c>
      <c r="H39" t="n">
        <v>0.071328</v>
      </c>
      <c r="I39" t="n">
        <v>0.07024</v>
      </c>
      <c r="J39" t="n">
        <v>0.06938999999999999</v>
      </c>
      <c r="K39" t="n">
        <v>0.068552</v>
      </c>
      <c r="L39" t="n">
        <v>0.067389</v>
      </c>
      <c r="M39" t="n">
        <v>0.065912</v>
      </c>
      <c r="N39" t="n">
        <v>0.064453</v>
      </c>
      <c r="O39" t="n">
        <v>0.063009</v>
      </c>
      <c r="P39" t="n">
        <v>0.06167</v>
      </c>
      <c r="Q39" t="n">
        <v>0.060346</v>
      </c>
      <c r="R39" t="n">
        <v>0.059039</v>
      </c>
      <c r="S39" t="n">
        <v>0.05778</v>
      </c>
      <c r="T39" t="n">
        <v>0.056542</v>
      </c>
      <c r="U39" t="n">
        <v>0.055331</v>
      </c>
      <c r="V39" t="n">
        <v>0.054154</v>
      </c>
      <c r="W39" t="n">
        <v>0.052975</v>
      </c>
      <c r="X39" t="n">
        <v>0.051814</v>
      </c>
      <c r="Y39" t="n">
        <v>0.050657</v>
      </c>
      <c r="Z39" t="n">
        <v>0.049516</v>
      </c>
      <c r="AA39" t="n">
        <v>0.048376</v>
      </c>
      <c r="AB39" t="n">
        <v>0.047276</v>
      </c>
      <c r="AC39" t="n">
        <v>0.046179</v>
      </c>
      <c r="AD39" t="n">
        <v>0.045136</v>
      </c>
      <c r="AE39" t="inlineStr">
        <is>
          <t>-2.0%</t>
        </is>
      </c>
    </row>
    <row r="40">
      <c r="A40" t="inlineStr">
        <is>
          <t>Water Heating</t>
        </is>
      </c>
      <c r="B40" t="inlineStr">
        <is>
          <t>Commercial: Distillate Fuel Oil: Water Heating: Alternative Electricity and Transportation</t>
        </is>
      </c>
      <c r="C40" t="inlineStr">
        <is>
          <t>AEO.2026.ELECTRNP.CNSM_NA_COMM_NA_DFO_WTHT_USA_QBTU.A</t>
        </is>
      </c>
      <c r="D40" t="inlineStr">
        <is>
          <t>quads</t>
        </is>
      </c>
      <c r="E40" t="n">
        <v>0.003768</v>
      </c>
      <c r="F40" t="n">
        <v>0.003783</v>
      </c>
      <c r="G40" t="n">
        <v>0.003772</v>
      </c>
      <c r="H40" t="n">
        <v>0.003756</v>
      </c>
      <c r="I40" t="n">
        <v>0.003738</v>
      </c>
      <c r="J40" t="n">
        <v>0.003734</v>
      </c>
      <c r="K40" t="n">
        <v>0.00373</v>
      </c>
      <c r="L40" t="n">
        <v>0.00371</v>
      </c>
      <c r="M40" t="n">
        <v>0.003672</v>
      </c>
      <c r="N40" t="n">
        <v>0.003636</v>
      </c>
      <c r="O40" t="n">
        <v>0.003602</v>
      </c>
      <c r="P40" t="n">
        <v>0.003574</v>
      </c>
      <c r="Q40" t="n">
        <v>0.003547</v>
      </c>
      <c r="R40" t="n">
        <v>0.003521</v>
      </c>
      <c r="S40" t="n">
        <v>0.003496</v>
      </c>
      <c r="T40" t="n">
        <v>0.003472</v>
      </c>
      <c r="U40" t="n">
        <v>0.003448</v>
      </c>
      <c r="V40" t="n">
        <v>0.003424</v>
      </c>
      <c r="W40" t="n">
        <v>0.0034</v>
      </c>
      <c r="X40" t="n">
        <v>0.003376</v>
      </c>
      <c r="Y40" t="n">
        <v>0.00335</v>
      </c>
      <c r="Z40" t="n">
        <v>0.003324</v>
      </c>
      <c r="AA40" t="n">
        <v>0.003298</v>
      </c>
      <c r="AB40" t="n">
        <v>0.003273</v>
      </c>
      <c r="AC40" t="n">
        <v>0.003246</v>
      </c>
      <c r="AD40" t="n">
        <v>0.003222</v>
      </c>
      <c r="AE40" t="inlineStr">
        <is>
          <t>-0.6%</t>
        </is>
      </c>
    </row>
    <row r="41">
      <c r="A41" t="inlineStr">
        <is>
          <t>Other Uses</t>
        </is>
      </c>
      <c r="B41" t="inlineStr">
        <is>
          <t>Commercial: Distillate Fuel Oil: Other Uses: Alternative Electricity and Transportation</t>
        </is>
      </c>
      <c r="C41" t="inlineStr">
        <is>
          <t>AEO.2026.ELECTRNP.CNSM_NA_COMM_NA_DFO_OTHU_USA_QBTU.A</t>
        </is>
      </c>
      <c r="D41" t="inlineStr">
        <is>
          <t>quads</t>
        </is>
      </c>
      <c r="E41" t="n">
        <v>0.237124</v>
      </c>
      <c r="F41" t="n">
        <v>0.242392</v>
      </c>
      <c r="G41" t="n">
        <v>0.250526</v>
      </c>
      <c r="H41" t="n">
        <v>0.25241</v>
      </c>
      <c r="I41" t="n">
        <v>0.253941</v>
      </c>
      <c r="J41" t="n">
        <v>0.256359</v>
      </c>
      <c r="K41" t="n">
        <v>0.258468</v>
      </c>
      <c r="L41" t="n">
        <v>0.259219</v>
      </c>
      <c r="M41" t="n">
        <v>0.258164</v>
      </c>
      <c r="N41" t="n">
        <v>0.257158</v>
      </c>
      <c r="O41" t="n">
        <v>0.256193</v>
      </c>
      <c r="P41" t="n">
        <v>0.255626</v>
      </c>
      <c r="Q41" t="n">
        <v>0.254962</v>
      </c>
      <c r="R41" t="n">
        <v>0.25428</v>
      </c>
      <c r="S41" t="n">
        <v>0.253748</v>
      </c>
      <c r="T41" t="n">
        <v>0.253289</v>
      </c>
      <c r="U41" t="n">
        <v>0.25278</v>
      </c>
      <c r="V41" t="n">
        <v>0.252306</v>
      </c>
      <c r="W41" t="n">
        <v>0.251799</v>
      </c>
      <c r="X41" t="n">
        <v>0.251265</v>
      </c>
      <c r="Y41" t="n">
        <v>0.25063</v>
      </c>
      <c r="Z41" t="n">
        <v>0.249962</v>
      </c>
      <c r="AA41" t="n">
        <v>0.249195</v>
      </c>
      <c r="AB41" t="n">
        <v>0.248498</v>
      </c>
      <c r="AC41" t="n">
        <v>0.247697</v>
      </c>
      <c r="AD41" t="n">
        <v>0.247076</v>
      </c>
      <c r="AE41" t="inlineStr">
        <is>
          <t>0.2%</t>
        </is>
      </c>
    </row>
    <row r="42">
      <c r="A42" t="inlineStr">
        <is>
          <t>Delivered Energy</t>
        </is>
      </c>
      <c r="B42" t="inlineStr">
        <is>
          <t>Commercial: Distillate Fuel Oil: Delivered Energy: Alternative Electricity and Transportation</t>
        </is>
      </c>
      <c r="C42" t="inlineStr">
        <is>
          <t>AEO.2026.ELECTRNP.CNSM_NA_COMM_NA_DFO_DELE_USA_QBTU.A</t>
        </is>
      </c>
      <c r="D42" t="inlineStr">
        <is>
          <t>quads</t>
        </is>
      </c>
      <c r="E42" t="n">
        <v>0.31542</v>
      </c>
      <c r="F42" t="n">
        <v>0.318988</v>
      </c>
      <c r="G42" t="n">
        <v>0.326446</v>
      </c>
      <c r="H42" t="n">
        <v>0.327495</v>
      </c>
      <c r="I42" t="n">
        <v>0.327918</v>
      </c>
      <c r="J42" t="n">
        <v>0.329482</v>
      </c>
      <c r="K42" t="n">
        <v>0.330749</v>
      </c>
      <c r="L42" t="n">
        <v>0.330317</v>
      </c>
      <c r="M42" t="n">
        <v>0.327748</v>
      </c>
      <c r="N42" t="n">
        <v>0.325246</v>
      </c>
      <c r="O42" t="n">
        <v>0.322803</v>
      </c>
      <c r="P42" t="n">
        <v>0.32087</v>
      </c>
      <c r="Q42" t="n">
        <v>0.318856</v>
      </c>
      <c r="R42" t="n">
        <v>0.316839</v>
      </c>
      <c r="S42" t="n">
        <v>0.315024</v>
      </c>
      <c r="T42" t="n">
        <v>0.313302</v>
      </c>
      <c r="U42" t="n">
        <v>0.31156</v>
      </c>
      <c r="V42" t="n">
        <v>0.309885</v>
      </c>
      <c r="W42" t="n">
        <v>0.308174</v>
      </c>
      <c r="X42" t="n">
        <v>0.306455</v>
      </c>
      <c r="Y42" t="n">
        <v>0.304637</v>
      </c>
      <c r="Z42" t="n">
        <v>0.302802</v>
      </c>
      <c r="AA42" t="n">
        <v>0.300869</v>
      </c>
      <c r="AB42" t="n">
        <v>0.299047</v>
      </c>
      <c r="AC42" t="n">
        <v>0.297122</v>
      </c>
      <c r="AD42" t="n">
        <v>0.295435</v>
      </c>
      <c r="AE42" t="inlineStr">
        <is>
          <t>-0.3%</t>
        </is>
      </c>
    </row>
    <row r="43">
      <c r="A43" t="inlineStr">
        <is>
          <t>Marketed Renewables (biomass)</t>
        </is>
      </c>
      <c r="B43" t="inlineStr">
        <is>
          <t>Commercial: Marketed Renewables (biomass): Alternative Electricity and Transportation</t>
        </is>
      </c>
      <c r="C43" t="inlineStr">
        <is>
          <t>AEO.2026.ELECTRNP.CNSM_NA_COMM_NA_BMS_NA_USA_QBTU.A</t>
        </is>
      </c>
      <c r="D43" t="inlineStr">
        <is>
          <t>quads</t>
        </is>
      </c>
      <c r="E43" t="n">
        <v>0.143682</v>
      </c>
      <c r="F43" t="n">
        <v>0.143682</v>
      </c>
      <c r="G43" t="n">
        <v>0.143682</v>
      </c>
      <c r="H43" t="n">
        <v>0.143682</v>
      </c>
      <c r="I43" t="n">
        <v>0.143682</v>
      </c>
      <c r="J43" t="n">
        <v>0.143682</v>
      </c>
      <c r="K43" t="n">
        <v>0.143682</v>
      </c>
      <c r="L43" t="n">
        <v>0.143682</v>
      </c>
      <c r="M43" t="n">
        <v>0.143682</v>
      </c>
      <c r="N43" t="n">
        <v>0.143682</v>
      </c>
      <c r="O43" t="n">
        <v>0.143682</v>
      </c>
      <c r="P43" t="n">
        <v>0.143682</v>
      </c>
      <c r="Q43" t="n">
        <v>0.143682</v>
      </c>
      <c r="R43" t="n">
        <v>0.143682</v>
      </c>
      <c r="S43" t="n">
        <v>0.143682</v>
      </c>
      <c r="T43" t="n">
        <v>0.143682</v>
      </c>
      <c r="U43" t="n">
        <v>0.143682</v>
      </c>
      <c r="V43" t="n">
        <v>0.143682</v>
      </c>
      <c r="W43" t="n">
        <v>0.143682</v>
      </c>
      <c r="X43" t="n">
        <v>0.143682</v>
      </c>
      <c r="Y43" t="n">
        <v>0.143682</v>
      </c>
      <c r="Z43" t="n">
        <v>0.143682</v>
      </c>
      <c r="AA43" t="n">
        <v>0.143682</v>
      </c>
      <c r="AB43" t="n">
        <v>0.143682</v>
      </c>
      <c r="AC43" t="n">
        <v>0.143682</v>
      </c>
      <c r="AD43" t="n">
        <v>0.143682</v>
      </c>
      <c r="AE43" t="inlineStr">
        <is>
          <t>0.0%</t>
        </is>
      </c>
    </row>
    <row r="44">
      <c r="A44" t="inlineStr">
        <is>
          <t>Other Fuels</t>
        </is>
      </c>
      <c r="B44" t="inlineStr">
        <is>
          <t>Commercial: Other Fuels: Alternative Electricity and Transportation</t>
        </is>
      </c>
      <c r="C44" t="inlineStr">
        <is>
          <t>AEO.2026.ELECTRNP.CNSM_NA_COMM_NA_OFU_NA_USA_QBTU.A</t>
        </is>
      </c>
      <c r="D44" t="inlineStr">
        <is>
          <t>quads</t>
        </is>
      </c>
      <c r="E44" t="n">
        <v>0.648049</v>
      </c>
      <c r="F44" t="n">
        <v>0.661094</v>
      </c>
      <c r="G44" t="n">
        <v>0.6681589999999999</v>
      </c>
      <c r="H44" t="n">
        <v>0.67531</v>
      </c>
      <c r="I44" t="n">
        <v>0.682515</v>
      </c>
      <c r="J44" t="n">
        <v>0.690586</v>
      </c>
      <c r="K44" t="n">
        <v>0.697917</v>
      </c>
      <c r="L44" t="n">
        <v>0.705951</v>
      </c>
      <c r="M44" t="n">
        <v>0.713971</v>
      </c>
      <c r="N44" t="n">
        <v>0.722657</v>
      </c>
      <c r="O44" t="n">
        <v>0.73133</v>
      </c>
      <c r="P44" t="n">
        <v>0.7405350000000001</v>
      </c>
      <c r="Q44" t="n">
        <v>0.749823</v>
      </c>
      <c r="R44" t="n">
        <v>0.758903</v>
      </c>
      <c r="S44" t="n">
        <v>0.767861</v>
      </c>
      <c r="T44" t="n">
        <v>0.776531</v>
      </c>
      <c r="U44" t="n">
        <v>0.784718</v>
      </c>
      <c r="V44" t="n">
        <v>0.792674</v>
      </c>
      <c r="W44" t="n">
        <v>0.800393</v>
      </c>
      <c r="X44" t="n">
        <v>0.807938</v>
      </c>
      <c r="Y44" t="n">
        <v>0.815313</v>
      </c>
      <c r="Z44" t="n">
        <v>0.822668</v>
      </c>
      <c r="AA44" t="n">
        <v>0.829904</v>
      </c>
      <c r="AB44" t="n">
        <v>0.837112</v>
      </c>
      <c r="AC44" t="n">
        <v>0.844295</v>
      </c>
      <c r="AD44" t="n">
        <v>0.851509</v>
      </c>
      <c r="AE44" t="inlineStr">
        <is>
          <t>1.1%</t>
        </is>
      </c>
    </row>
    <row r="45">
      <c r="A45" t="inlineStr">
        <is>
          <t>Energy Consumption by End Use</t>
        </is>
      </c>
    </row>
    <row r="46">
      <c r="A46" t="inlineStr">
        <is>
          <t>Space Heating</t>
        </is>
      </c>
      <c r="B46" t="inlineStr">
        <is>
          <t>Commercial: Delivered Energy Use by End Use: Space Heating: Alternative Electricity and Transportation</t>
        </is>
      </c>
      <c r="C46" t="inlineStr">
        <is>
          <t>AEO.2026.ELECTRNP.CNSM_NA_COMM_NA_DEE_SPH_USA_QBTU.A</t>
        </is>
      </c>
      <c r="D46" t="inlineStr">
        <is>
          <t>quads</t>
        </is>
      </c>
      <c r="E46" t="n">
        <v>1.952783</v>
      </c>
      <c r="F46" t="n">
        <v>1.925782</v>
      </c>
      <c r="G46" t="n">
        <v>1.91981</v>
      </c>
      <c r="H46" t="n">
        <v>1.902778</v>
      </c>
      <c r="I46" t="n">
        <v>1.874552</v>
      </c>
      <c r="J46" t="n">
        <v>1.842688</v>
      </c>
      <c r="K46" t="n">
        <v>1.812736</v>
      </c>
      <c r="L46" t="n">
        <v>1.791174</v>
      </c>
      <c r="M46" t="n">
        <v>1.773721</v>
      </c>
      <c r="N46" t="n">
        <v>1.759693</v>
      </c>
      <c r="O46" t="n">
        <v>1.74536</v>
      </c>
      <c r="P46" t="n">
        <v>1.732645</v>
      </c>
      <c r="Q46" t="n">
        <v>1.719209</v>
      </c>
      <c r="R46" t="n">
        <v>1.70578</v>
      </c>
      <c r="S46" t="n">
        <v>1.691674</v>
      </c>
      <c r="T46" t="n">
        <v>1.677725</v>
      </c>
      <c r="U46" t="n">
        <v>1.664192</v>
      </c>
      <c r="V46" t="n">
        <v>1.652504</v>
      </c>
      <c r="W46" t="n">
        <v>1.641275</v>
      </c>
      <c r="X46" t="n">
        <v>1.630741</v>
      </c>
      <c r="Y46" t="n">
        <v>1.619726</v>
      </c>
      <c r="Z46" t="n">
        <v>1.606106</v>
      </c>
      <c r="AA46" t="n">
        <v>1.590729</v>
      </c>
      <c r="AB46" t="n">
        <v>1.575042</v>
      </c>
      <c r="AC46" t="n">
        <v>1.559413</v>
      </c>
      <c r="AD46" t="n">
        <v>1.544062</v>
      </c>
      <c r="AE46" t="inlineStr">
        <is>
          <t>-0.9%</t>
        </is>
      </c>
    </row>
    <row r="47">
      <c r="A47" t="inlineStr">
        <is>
          <t>Space Cooling</t>
        </is>
      </c>
      <c r="B47" t="inlineStr">
        <is>
          <t>Commercial: Delivered Energy Use by End Use: Space Cooling: Alternative Electricity and Transportation</t>
        </is>
      </c>
      <c r="C47" t="inlineStr">
        <is>
          <t>AEO.2026.ELECTRNP.CNSM_NA_COMM_NA_DEE_SPC_USA_QBTU.A</t>
        </is>
      </c>
      <c r="D47" t="inlineStr">
        <is>
          <t>quads</t>
        </is>
      </c>
      <c r="E47" t="n">
        <v>0.582531</v>
      </c>
      <c r="F47" t="n">
        <v>0.612084</v>
      </c>
      <c r="G47" t="n">
        <v>0.618806</v>
      </c>
      <c r="H47" t="n">
        <v>0.6272</v>
      </c>
      <c r="I47" t="n">
        <v>0.6340980000000001</v>
      </c>
      <c r="J47" t="n">
        <v>0.638458</v>
      </c>
      <c r="K47" t="n">
        <v>0.643512</v>
      </c>
      <c r="L47" t="n">
        <v>0.649317</v>
      </c>
      <c r="M47" t="n">
        <v>0.655688</v>
      </c>
      <c r="N47" t="n">
        <v>0.662731</v>
      </c>
      <c r="O47" t="n">
        <v>0.670137</v>
      </c>
      <c r="P47" t="n">
        <v>0.678396</v>
      </c>
      <c r="Q47" t="n">
        <v>0.686868</v>
      </c>
      <c r="R47" t="n">
        <v>0.695518</v>
      </c>
      <c r="S47" t="n">
        <v>0.704108</v>
      </c>
      <c r="T47" t="n">
        <v>0.713083</v>
      </c>
      <c r="U47" t="n">
        <v>0.722548</v>
      </c>
      <c r="V47" t="n">
        <v>0.732523</v>
      </c>
      <c r="W47" t="n">
        <v>0.743258</v>
      </c>
      <c r="X47" t="n">
        <v>0.75429</v>
      </c>
      <c r="Y47" t="n">
        <v>0.765846</v>
      </c>
      <c r="Z47" t="n">
        <v>0.776979</v>
      </c>
      <c r="AA47" t="n">
        <v>0.787694</v>
      </c>
      <c r="AB47" t="n">
        <v>0.7983789999999999</v>
      </c>
      <c r="AC47" t="n">
        <v>0.809658</v>
      </c>
      <c r="AD47" t="n">
        <v>0.821</v>
      </c>
      <c r="AE47" t="inlineStr">
        <is>
          <t>1.4%</t>
        </is>
      </c>
    </row>
    <row r="48">
      <c r="A48" t="inlineStr">
        <is>
          <t>Water Heating</t>
        </is>
      </c>
      <c r="B48" t="inlineStr">
        <is>
          <t>Commercial: Delivered Energy Use by End Use: Water Heating: Alternative Electricity and Transportation</t>
        </is>
      </c>
      <c r="C48" t="inlineStr">
        <is>
          <t>AEO.2026.ELECTRNP.CNSM_NA_COMM_NA_DEE_WTHT_USA_QBTU.A</t>
        </is>
      </c>
      <c r="D48" t="inlineStr">
        <is>
          <t>quads</t>
        </is>
      </c>
      <c r="E48" t="n">
        <v>0.351535</v>
      </c>
      <c r="F48" t="n">
        <v>0.35685</v>
      </c>
      <c r="G48" t="n">
        <v>0.358843</v>
      </c>
      <c r="H48" t="n">
        <v>0.359097</v>
      </c>
      <c r="I48" t="n">
        <v>0.357616</v>
      </c>
      <c r="J48" t="n">
        <v>0.355243</v>
      </c>
      <c r="K48" t="n">
        <v>0.353151</v>
      </c>
      <c r="L48" t="n">
        <v>0.352766</v>
      </c>
      <c r="M48" t="n">
        <v>0.35303</v>
      </c>
      <c r="N48" t="n">
        <v>0.354239</v>
      </c>
      <c r="O48" t="n">
        <v>0.355633</v>
      </c>
      <c r="P48" t="n">
        <v>0.357541</v>
      </c>
      <c r="Q48" t="n">
        <v>0.359422</v>
      </c>
      <c r="R48" t="n">
        <v>0.361325</v>
      </c>
      <c r="S48" t="n">
        <v>0.363143</v>
      </c>
      <c r="T48" t="n">
        <v>0.364991</v>
      </c>
      <c r="U48" t="n">
        <v>0.367042</v>
      </c>
      <c r="V48" t="n">
        <v>0.369457</v>
      </c>
      <c r="W48" t="n">
        <v>0.372063</v>
      </c>
      <c r="X48" t="n">
        <v>0.374875</v>
      </c>
      <c r="Y48" t="n">
        <v>0.377567</v>
      </c>
      <c r="Z48" t="n">
        <v>0.379756</v>
      </c>
      <c r="AA48" t="n">
        <v>0.381562</v>
      </c>
      <c r="AB48" t="n">
        <v>0.383242</v>
      </c>
      <c r="AC48" t="n">
        <v>0.384933</v>
      </c>
      <c r="AD48" t="n">
        <v>0.386662</v>
      </c>
      <c r="AE48" t="inlineStr">
        <is>
          <t>0.4%</t>
        </is>
      </c>
    </row>
    <row r="49">
      <c r="A49" t="inlineStr">
        <is>
          <t>Ventilation</t>
        </is>
      </c>
      <c r="B49" t="inlineStr">
        <is>
          <t>Commercial: Delivered Energy Use by End Use: Ventilation: Alternative Electricity and Transportation</t>
        </is>
      </c>
      <c r="C49" t="inlineStr">
        <is>
          <t>AEO.2026.ELECTRNP.CNSM_NA_COMM_NA_DEE_VNTC_USA_QBTU.A</t>
        </is>
      </c>
      <c r="D49" t="inlineStr">
        <is>
          <t>quads</t>
        </is>
      </c>
      <c r="E49" t="n">
        <v>0.772579</v>
      </c>
      <c r="F49" t="n">
        <v>0.778081</v>
      </c>
      <c r="G49" t="n">
        <v>0.787216</v>
      </c>
      <c r="H49" t="n">
        <v>0.798948</v>
      </c>
      <c r="I49" t="n">
        <v>0.808617</v>
      </c>
      <c r="J49" t="n">
        <v>0.812848</v>
      </c>
      <c r="K49" t="n">
        <v>0.817403</v>
      </c>
      <c r="L49" t="n">
        <v>0.822489</v>
      </c>
      <c r="M49" t="n">
        <v>0.828422</v>
      </c>
      <c r="N49" t="n">
        <v>0.834734</v>
      </c>
      <c r="O49" t="n">
        <v>0.841408</v>
      </c>
      <c r="P49" t="n">
        <v>0.84894</v>
      </c>
      <c r="Q49" t="n">
        <v>0.856496</v>
      </c>
      <c r="R49" t="n">
        <v>0.864206</v>
      </c>
      <c r="S49" t="n">
        <v>0.871853</v>
      </c>
      <c r="T49" t="n">
        <v>0.879611</v>
      </c>
      <c r="U49" t="n">
        <v>0.8878740000000001</v>
      </c>
      <c r="V49" t="n">
        <v>0.896257</v>
      </c>
      <c r="W49" t="n">
        <v>0.905085</v>
      </c>
      <c r="X49" t="n">
        <v>0.914164</v>
      </c>
      <c r="Y49" t="n">
        <v>0.923373</v>
      </c>
      <c r="Z49" t="n">
        <v>0.932169</v>
      </c>
      <c r="AA49" t="n">
        <v>0.940261</v>
      </c>
      <c r="AB49" t="n">
        <v>0.948153</v>
      </c>
      <c r="AC49" t="n">
        <v>0.956425</v>
      </c>
      <c r="AD49" t="n">
        <v>0.964518</v>
      </c>
      <c r="AE49" t="inlineStr">
        <is>
          <t>0.9%</t>
        </is>
      </c>
    </row>
    <row r="50">
      <c r="A50" t="inlineStr">
        <is>
          <t>Cooking</t>
        </is>
      </c>
      <c r="B50" t="inlineStr">
        <is>
          <t>Commercial: Delivered Energy Use by End Use: Cooking: Alternative Electricity and Transportation</t>
        </is>
      </c>
      <c r="C50" t="inlineStr">
        <is>
          <t>AEO.2026.ELECTRNP.CNSM_NA_COMM_NA_DEE_CGR_USA_QBTU.A</t>
        </is>
      </c>
      <c r="D50" t="inlineStr">
        <is>
          <t>quads</t>
        </is>
      </c>
      <c r="E50" t="n">
        <v>0.489381</v>
      </c>
      <c r="F50" t="n">
        <v>0.495944</v>
      </c>
      <c r="G50" t="n">
        <v>0.499083</v>
      </c>
      <c r="H50" t="n">
        <v>0.49952</v>
      </c>
      <c r="I50" t="n">
        <v>0.497549</v>
      </c>
      <c r="J50" t="n">
        <v>0.49431</v>
      </c>
      <c r="K50" t="n">
        <v>0.491519</v>
      </c>
      <c r="L50" t="n">
        <v>0.491133</v>
      </c>
      <c r="M50" t="n">
        <v>0.491732</v>
      </c>
      <c r="N50" t="n">
        <v>0.493634</v>
      </c>
      <c r="O50" t="n">
        <v>0.495736</v>
      </c>
      <c r="P50" t="n">
        <v>0.498464</v>
      </c>
      <c r="Q50" t="n">
        <v>0.501115</v>
      </c>
      <c r="R50" t="n">
        <v>0.503749</v>
      </c>
      <c r="S50" t="n">
        <v>0.506197</v>
      </c>
      <c r="T50" t="n">
        <v>0.508636</v>
      </c>
      <c r="U50" t="n">
        <v>0.511397</v>
      </c>
      <c r="V50" t="n">
        <v>0.514655</v>
      </c>
      <c r="W50" t="n">
        <v>0.51814</v>
      </c>
      <c r="X50" t="n">
        <v>0.521888</v>
      </c>
      <c r="Y50" t="n">
        <v>0.5254180000000001</v>
      </c>
      <c r="Z50" t="n">
        <v>0.528155</v>
      </c>
      <c r="AA50" t="n">
        <v>0.530305</v>
      </c>
      <c r="AB50" t="n">
        <v>0.532229</v>
      </c>
      <c r="AC50" t="n">
        <v>0.5341360000000001</v>
      </c>
      <c r="AD50" t="n">
        <v>0.536065</v>
      </c>
      <c r="AE50" t="inlineStr">
        <is>
          <t>0.4%</t>
        </is>
      </c>
    </row>
    <row r="51">
      <c r="A51" t="inlineStr">
        <is>
          <t>Lighting</t>
        </is>
      </c>
      <c r="B51" t="inlineStr">
        <is>
          <t>Commercial: Delivered Energy Use by End Use: Lighting: Alternative Electricity and Transportation</t>
        </is>
      </c>
      <c r="C51" t="inlineStr">
        <is>
          <t>AEO.2026.ELECTRNP.CNSM_NA_COMM_NA_DEE_LGHTNG_USA_QBTU.A</t>
        </is>
      </c>
      <c r="D51" t="inlineStr">
        <is>
          <t>quads</t>
        </is>
      </c>
      <c r="E51" t="n">
        <v>0.564649</v>
      </c>
      <c r="F51" t="n">
        <v>0.553328</v>
      </c>
      <c r="G51" t="n">
        <v>0.547329</v>
      </c>
      <c r="H51" t="n">
        <v>0.54543</v>
      </c>
      <c r="I51" t="n">
        <v>0.543588</v>
      </c>
      <c r="J51" t="n">
        <v>0.532318</v>
      </c>
      <c r="K51" t="n">
        <v>0.522622</v>
      </c>
      <c r="L51" t="n">
        <v>0.5142</v>
      </c>
      <c r="M51" t="n">
        <v>0.506779</v>
      </c>
      <c r="N51" t="n">
        <v>0.499778</v>
      </c>
      <c r="O51" t="n">
        <v>0.492952</v>
      </c>
      <c r="P51" t="n">
        <v>0.487289</v>
      </c>
      <c r="Q51" t="n">
        <v>0.482486</v>
      </c>
      <c r="R51" t="n">
        <v>0.478498</v>
      </c>
      <c r="S51" t="n">
        <v>0.475119</v>
      </c>
      <c r="T51" t="n">
        <v>0.470122</v>
      </c>
      <c r="U51" t="n">
        <v>0.466407</v>
      </c>
      <c r="V51" t="n">
        <v>0.463482</v>
      </c>
      <c r="W51" t="n">
        <v>0.461297</v>
      </c>
      <c r="X51" t="n">
        <v>0.459643</v>
      </c>
      <c r="Y51" t="n">
        <v>0.458401</v>
      </c>
      <c r="Z51" t="n">
        <v>0.457258</v>
      </c>
      <c r="AA51" t="n">
        <v>0.455994</v>
      </c>
      <c r="AB51" t="n">
        <v>0.454706</v>
      </c>
      <c r="AC51" t="n">
        <v>0.453692</v>
      </c>
      <c r="AD51" t="n">
        <v>0.452695</v>
      </c>
      <c r="AE51" t="inlineStr">
        <is>
          <t>-0.9%</t>
        </is>
      </c>
    </row>
    <row r="52">
      <c r="A52" t="inlineStr">
        <is>
          <t>Refrigeration</t>
        </is>
      </c>
      <c r="B52" t="inlineStr">
        <is>
          <t>Commercial: Delivered Energy Use by End Use: Refrigeration: Alternative Electricity and Transportation</t>
        </is>
      </c>
      <c r="C52" t="inlineStr">
        <is>
          <t>AEO.2026.ELECTRNP.CNSM_NA_COMM_NA_DEE_REFR_USA_QBTU.A</t>
        </is>
      </c>
      <c r="D52" t="inlineStr">
        <is>
          <t>quads</t>
        </is>
      </c>
      <c r="E52" t="n">
        <v>0.366734</v>
      </c>
      <c r="F52" t="n">
        <v>0.365953</v>
      </c>
      <c r="G52" t="n">
        <v>0.366174</v>
      </c>
      <c r="H52" t="n">
        <v>0.367</v>
      </c>
      <c r="I52" t="n">
        <v>0.367563</v>
      </c>
      <c r="J52" t="n">
        <v>0.366644</v>
      </c>
      <c r="K52" t="n">
        <v>0.366206</v>
      </c>
      <c r="L52" t="n">
        <v>0.366109</v>
      </c>
      <c r="M52" t="n">
        <v>0.36639</v>
      </c>
      <c r="N52" t="n">
        <v>0.36695</v>
      </c>
      <c r="O52" t="n">
        <v>0.367756</v>
      </c>
      <c r="P52" t="n">
        <v>0.368848</v>
      </c>
      <c r="Q52" t="n">
        <v>0.370046</v>
      </c>
      <c r="R52" t="n">
        <v>0.371239</v>
      </c>
      <c r="S52" t="n">
        <v>0.372383</v>
      </c>
      <c r="T52" t="n">
        <v>0.373485</v>
      </c>
      <c r="U52" t="n">
        <v>0.374828</v>
      </c>
      <c r="V52" t="n">
        <v>0.376102</v>
      </c>
      <c r="W52" t="n">
        <v>0.37739</v>
      </c>
      <c r="X52" t="n">
        <v>0.378663</v>
      </c>
      <c r="Y52" t="n">
        <v>0.379901</v>
      </c>
      <c r="Z52" t="n">
        <v>0.381014</v>
      </c>
      <c r="AA52" t="n">
        <v>0.381955</v>
      </c>
      <c r="AB52" t="n">
        <v>0.382807</v>
      </c>
      <c r="AC52" t="n">
        <v>0.383654</v>
      </c>
      <c r="AD52" t="n">
        <v>0.384415</v>
      </c>
      <c r="AE52" t="inlineStr">
        <is>
          <t>0.2%</t>
        </is>
      </c>
    </row>
    <row r="53">
      <c r="A53" t="inlineStr">
        <is>
          <t>Data Center Servers</t>
        </is>
      </c>
      <c r="B53" t="inlineStr">
        <is>
          <t>Commercial: Delivered Energy Use by End Use: Data Center Servers: Alternative Electricity and Transportation</t>
        </is>
      </c>
      <c r="C53" t="inlineStr">
        <is>
          <t>AEO.2026.ELECTRNP.CNSM_NA_COMM_NA_DEE_DATACTRSERV_USA_QBTU.A</t>
        </is>
      </c>
      <c r="D53" t="inlineStr">
        <is>
          <t>quads</t>
        </is>
      </c>
      <c r="E53" t="n">
        <v>0.357691</v>
      </c>
      <c r="F53" t="n">
        <v>0.403698</v>
      </c>
      <c r="G53" t="n">
        <v>0.452968</v>
      </c>
      <c r="H53" t="n">
        <v>0.503864</v>
      </c>
      <c r="I53" t="n">
        <v>0.555801</v>
      </c>
      <c r="J53" t="n">
        <v>0.608106</v>
      </c>
      <c r="K53" t="n">
        <v>0.660976</v>
      </c>
      <c r="L53" t="n">
        <v>0.714861</v>
      </c>
      <c r="M53" t="n">
        <v>0.769734</v>
      </c>
      <c r="N53" t="n">
        <v>0.825407</v>
      </c>
      <c r="O53" t="n">
        <v>0.881718</v>
      </c>
      <c r="P53" t="n">
        <v>0.9383860000000001</v>
      </c>
      <c r="Q53" t="n">
        <v>0.995149</v>
      </c>
      <c r="R53" t="n">
        <v>1.051305</v>
      </c>
      <c r="S53" t="n">
        <v>1.106359</v>
      </c>
      <c r="T53" t="n">
        <v>1.159801</v>
      </c>
      <c r="U53" t="n">
        <v>1.211428</v>
      </c>
      <c r="V53" t="n">
        <v>1.260422</v>
      </c>
      <c r="W53" t="n">
        <v>1.30683</v>
      </c>
      <c r="X53" t="n">
        <v>1.349851</v>
      </c>
      <c r="Y53" t="n">
        <v>1.389499</v>
      </c>
      <c r="Z53" t="n">
        <v>1.424823</v>
      </c>
      <c r="AA53" t="n">
        <v>1.455517</v>
      </c>
      <c r="AB53" t="n">
        <v>1.481245</v>
      </c>
      <c r="AC53" t="n">
        <v>1.501816</v>
      </c>
      <c r="AD53" t="n">
        <v>1.520085</v>
      </c>
      <c r="AE53" t="inlineStr">
        <is>
          <t>6.0%</t>
        </is>
      </c>
    </row>
    <row r="54">
      <c r="A54" t="inlineStr">
        <is>
          <t>Computers and office equipment</t>
        </is>
      </c>
      <c r="B54" t="inlineStr">
        <is>
          <t>Commercial: Delivered Energy Use by End Use: Computers and Office Equipment: Alternative Electricity and Transportation</t>
        </is>
      </c>
      <c r="C54" t="inlineStr">
        <is>
          <t>AEO.2026.ELECTRNP.CNSM_NA_COMM_NA_DEE_OFEQP_USA_QBTU.A</t>
        </is>
      </c>
      <c r="D54" t="inlineStr">
        <is>
          <t>quads</t>
        </is>
      </c>
      <c r="E54" t="n">
        <v>0.216953</v>
      </c>
      <c r="F54" t="n">
        <v>0.211745</v>
      </c>
      <c r="G54" t="n">
        <v>0.207122</v>
      </c>
      <c r="H54" t="n">
        <v>0.202684</v>
      </c>
      <c r="I54" t="n">
        <v>0.198262</v>
      </c>
      <c r="J54" t="n">
        <v>0.193913</v>
      </c>
      <c r="K54" t="n">
        <v>0.189829</v>
      </c>
      <c r="L54" t="n">
        <v>0.18572</v>
      </c>
      <c r="M54" t="n">
        <v>0.182465</v>
      </c>
      <c r="N54" t="n">
        <v>0.179709</v>
      </c>
      <c r="O54" t="n">
        <v>0.177067</v>
      </c>
      <c r="P54" t="n">
        <v>0.175041</v>
      </c>
      <c r="Q54" t="n">
        <v>0.173177</v>
      </c>
      <c r="R54" t="n">
        <v>0.171447</v>
      </c>
      <c r="S54" t="n">
        <v>0.170381</v>
      </c>
      <c r="T54" t="n">
        <v>0.169034</v>
      </c>
      <c r="U54" t="n">
        <v>0.167367</v>
      </c>
      <c r="V54" t="n">
        <v>0.16648</v>
      </c>
      <c r="W54" t="n">
        <v>0.164809</v>
      </c>
      <c r="X54" t="n">
        <v>0.163452</v>
      </c>
      <c r="Y54" t="n">
        <v>0.161864</v>
      </c>
      <c r="Z54" t="n">
        <v>0.16063</v>
      </c>
      <c r="AA54" t="n">
        <v>0.158545</v>
      </c>
      <c r="AB54" t="n">
        <v>0.15621</v>
      </c>
      <c r="AC54" t="n">
        <v>0.153638</v>
      </c>
      <c r="AD54" t="n">
        <v>0.150807</v>
      </c>
      <c r="AE54" t="inlineStr">
        <is>
          <t>-1.4%</t>
        </is>
      </c>
    </row>
    <row r="55">
      <c r="A55" t="inlineStr">
        <is>
          <t>Other Uses</t>
        </is>
      </c>
      <c r="B55" t="inlineStr">
        <is>
          <t>Commercial: Delivered Energy Use by End Use: Other Uses: Alternative Electricity and Transportation</t>
        </is>
      </c>
      <c r="C55" t="inlineStr">
        <is>
          <t>AEO.2026.ELECTRNP.CNSM_NA_COMM_NA_DEE_OTHU_USA_QBTU.A</t>
        </is>
      </c>
      <c r="D55" t="inlineStr">
        <is>
          <t>quads</t>
        </is>
      </c>
      <c r="E55" t="n">
        <v>4.245374</v>
      </c>
      <c r="F55" t="n">
        <v>4.375226</v>
      </c>
      <c r="G55" t="n">
        <v>4.401097</v>
      </c>
      <c r="H55" t="n">
        <v>4.407638</v>
      </c>
      <c r="I55" t="n">
        <v>4.406674</v>
      </c>
      <c r="J55" t="n">
        <v>4.403801</v>
      </c>
      <c r="K55" t="n">
        <v>4.400423</v>
      </c>
      <c r="L55" t="n">
        <v>4.403014</v>
      </c>
      <c r="M55" t="n">
        <v>4.407268</v>
      </c>
      <c r="N55" t="n">
        <v>4.416101</v>
      </c>
      <c r="O55" t="n">
        <v>4.426133</v>
      </c>
      <c r="P55" t="n">
        <v>4.440131</v>
      </c>
      <c r="Q55" t="n">
        <v>4.454795</v>
      </c>
      <c r="R55" t="n">
        <v>4.469867</v>
      </c>
      <c r="S55" t="n">
        <v>4.485139</v>
      </c>
      <c r="T55" t="n">
        <v>4.500853</v>
      </c>
      <c r="U55" t="n">
        <v>4.516094</v>
      </c>
      <c r="V55" t="n">
        <v>4.532867</v>
      </c>
      <c r="W55" t="n">
        <v>4.550451</v>
      </c>
      <c r="X55" t="n">
        <v>4.568884</v>
      </c>
      <c r="Y55" t="n">
        <v>4.587609</v>
      </c>
      <c r="Z55" t="n">
        <v>4.604755</v>
      </c>
      <c r="AA55" t="n">
        <v>4.620931</v>
      </c>
      <c r="AB55" t="n">
        <v>4.637374</v>
      </c>
      <c r="AC55" t="n">
        <v>4.654243</v>
      </c>
      <c r="AD55" t="n">
        <v>4.672302</v>
      </c>
      <c r="AE55" t="inlineStr">
        <is>
          <t>0.4%</t>
        </is>
      </c>
    </row>
    <row r="56">
      <c r="A56" t="inlineStr">
        <is>
          <t>Gross End-use Consumption</t>
        </is>
      </c>
      <c r="B56" t="inlineStr">
        <is>
          <t>Commercial: Delivered Energy Use by End Use: Gross End-use Consumption: Alternative Electricity and Transportation</t>
        </is>
      </c>
      <c r="C56" t="inlineStr">
        <is>
          <t>AEO.2026.ELECTRNP.CNSM_NA_COMM_NA_DEE_NA_USA_QBTU.A</t>
        </is>
      </c>
      <c r="D56" t="inlineStr">
        <is>
          <t>quads</t>
        </is>
      </c>
      <c r="E56" t="n">
        <v>9.90021</v>
      </c>
      <c r="F56" t="n">
        <v>10.078691</v>
      </c>
      <c r="G56" t="n">
        <v>10.158449</v>
      </c>
      <c r="H56" t="n">
        <v>10.21416</v>
      </c>
      <c r="I56" t="n">
        <v>10.244321</v>
      </c>
      <c r="J56" t="n">
        <v>10.24833</v>
      </c>
      <c r="K56" t="n">
        <v>10.258376</v>
      </c>
      <c r="L56" t="n">
        <v>10.290782</v>
      </c>
      <c r="M56" t="n">
        <v>10.335228</v>
      </c>
      <c r="N56" t="n">
        <v>10.392976</v>
      </c>
      <c r="O56" t="n">
        <v>10.453898</v>
      </c>
      <c r="P56" t="n">
        <v>10.525681</v>
      </c>
      <c r="Q56" t="n">
        <v>10.598765</v>
      </c>
      <c r="R56" t="n">
        <v>10.672935</v>
      </c>
      <c r="S56" t="n">
        <v>10.746355</v>
      </c>
      <c r="T56" t="n">
        <v>10.817343</v>
      </c>
      <c r="U56" t="n">
        <v>10.889177</v>
      </c>
      <c r="V56" t="n">
        <v>10.964749</v>
      </c>
      <c r="W56" t="n">
        <v>11.040599</v>
      </c>
      <c r="X56" t="n">
        <v>11.11645</v>
      </c>
      <c r="Y56" t="n">
        <v>11.189203</v>
      </c>
      <c r="Z56" t="n">
        <v>11.251643</v>
      </c>
      <c r="AA56" t="n">
        <v>11.303493</v>
      </c>
      <c r="AB56" t="n">
        <v>11.349386</v>
      </c>
      <c r="AC56" t="n">
        <v>11.391608</v>
      </c>
      <c r="AD56" t="n">
        <v>11.432612</v>
      </c>
      <c r="AE56" t="inlineStr">
        <is>
          <t>0.6%</t>
        </is>
      </c>
    </row>
    <row r="57">
      <c r="A57" t="inlineStr">
        <is>
          <t>Purchased Electricity for Electric Vehicle Charging</t>
        </is>
      </c>
      <c r="B57" t="inlineStr">
        <is>
          <t>Commercial: Energy Consumption by End Use: Purchased Electricity for EV Charging: Alternative Electricity and Transportation</t>
        </is>
      </c>
      <c r="C57" t="inlineStr">
        <is>
          <t>AEO.2026.ELECTRNP.CNSM_NA_COMM_NA_DEE_EVCHA_USA_QBTU.A</t>
        </is>
      </c>
      <c r="D57" t="inlineStr">
        <is>
          <t>quads</t>
        </is>
      </c>
      <c r="E57" t="n">
        <v>0.031625</v>
      </c>
      <c r="F57" t="n">
        <v>0.041349</v>
      </c>
      <c r="G57" t="n">
        <v>0.053095</v>
      </c>
      <c r="H57" t="n">
        <v>0.066244</v>
      </c>
      <c r="I57" t="n">
        <v>0.07960299999999999</v>
      </c>
      <c r="J57" t="n">
        <v>0.092543</v>
      </c>
      <c r="K57" t="n">
        <v>0.104416</v>
      </c>
      <c r="L57" t="n">
        <v>0.115643</v>
      </c>
      <c r="M57" t="n">
        <v>0.126972</v>
      </c>
      <c r="N57" t="n">
        <v>0.138502</v>
      </c>
      <c r="O57" t="n">
        <v>0.150392</v>
      </c>
      <c r="P57" t="n">
        <v>0.162461</v>
      </c>
      <c r="Q57" t="n">
        <v>0.174804</v>
      </c>
      <c r="R57" t="n">
        <v>0.187239</v>
      </c>
      <c r="S57" t="n">
        <v>0.19959</v>
      </c>
      <c r="T57" t="n">
        <v>0.212288</v>
      </c>
      <c r="U57" t="n">
        <v>0.225364</v>
      </c>
      <c r="V57" t="n">
        <v>0.239243</v>
      </c>
      <c r="W57" t="n">
        <v>0.253973</v>
      </c>
      <c r="X57" t="n">
        <v>0.269944</v>
      </c>
      <c r="Y57" t="n">
        <v>0.287121</v>
      </c>
      <c r="Z57" t="n">
        <v>0.304738</v>
      </c>
      <c r="AA57" t="n">
        <v>0.322704</v>
      </c>
      <c r="AB57" t="n">
        <v>0.341035</v>
      </c>
      <c r="AC57" t="n">
        <v>0.359608</v>
      </c>
      <c r="AD57" t="n">
        <v>0.378263</v>
      </c>
      <c r="AE57" t="inlineStr">
        <is>
          <t>10.4%</t>
        </is>
      </c>
    </row>
    <row r="58">
      <c r="A58" t="inlineStr">
        <is>
          <t>On-site Generation for Own Use</t>
        </is>
      </c>
      <c r="B58" t="inlineStr">
        <is>
          <t>Commercial: Energy Consumption by End Use: Generation for Own Use: Alternative Electricity and Transportation</t>
        </is>
      </c>
      <c r="C58" t="inlineStr">
        <is>
          <t>AEO.2026.ELECTRNP.GEN_NA_COMM_NA_DEE_GFO_USA_QBTU.A</t>
        </is>
      </c>
      <c r="D58" t="inlineStr">
        <is>
          <t>quads</t>
        </is>
      </c>
      <c r="E58" t="n">
        <v>0.159509</v>
      </c>
      <c r="F58" t="n">
        <v>0.178677</v>
      </c>
      <c r="G58" t="n">
        <v>0.194806</v>
      </c>
      <c r="H58" t="n">
        <v>0.202568</v>
      </c>
      <c r="I58" t="n">
        <v>0.207279</v>
      </c>
      <c r="J58" t="n">
        <v>0.212645</v>
      </c>
      <c r="K58" t="n">
        <v>0.216793</v>
      </c>
      <c r="L58" t="n">
        <v>0.220071</v>
      </c>
      <c r="M58" t="n">
        <v>0.223757</v>
      </c>
      <c r="N58" t="n">
        <v>0.22936</v>
      </c>
      <c r="O58" t="n">
        <v>0.233889</v>
      </c>
      <c r="P58" t="n">
        <v>0.237713</v>
      </c>
      <c r="Q58" t="n">
        <v>0.244406</v>
      </c>
      <c r="R58" t="n">
        <v>0.250927</v>
      </c>
      <c r="S58" t="n">
        <v>0.258833</v>
      </c>
      <c r="T58" t="n">
        <v>0.265647</v>
      </c>
      <c r="U58" t="n">
        <v>0.26933</v>
      </c>
      <c r="V58" t="n">
        <v>0.274844</v>
      </c>
      <c r="W58" t="n">
        <v>0.27782</v>
      </c>
      <c r="X58" t="n">
        <v>0.281171</v>
      </c>
      <c r="Y58" t="n">
        <v>0.283907</v>
      </c>
      <c r="Z58" t="n">
        <v>0.288158</v>
      </c>
      <c r="AA58" t="n">
        <v>0.293419</v>
      </c>
      <c r="AB58" t="n">
        <v>0.298776</v>
      </c>
      <c r="AC58" t="n">
        <v>0.302829</v>
      </c>
      <c r="AD58" t="n">
        <v>0.308056</v>
      </c>
      <c r="AE58" t="inlineStr">
        <is>
          <t>2.7%</t>
        </is>
      </c>
    </row>
    <row r="59">
      <c r="A59" t="inlineStr">
        <is>
          <t>Delivered Energy</t>
        </is>
      </c>
      <c r="B59" t="inlineStr">
        <is>
          <t>Commercial: Energy Consumption by End Use: Delivered Energy: Alternative Electricity and Transportation</t>
        </is>
      </c>
      <c r="C59" t="inlineStr">
        <is>
          <t>AEO.2026.ELECTRNP.CNSM_NA_COMM_NA_DEE_NA_USA_QBTU.A</t>
        </is>
      </c>
      <c r="D59" t="inlineStr">
        <is>
          <t>quads</t>
        </is>
      </c>
      <c r="E59" t="n">
        <v>9.772327000000001</v>
      </c>
      <c r="F59" t="n">
        <v>9.941364</v>
      </c>
      <c r="G59" t="n">
        <v>10.016738</v>
      </c>
      <c r="H59" t="n">
        <v>10.077836</v>
      </c>
      <c r="I59" t="n">
        <v>10.116645</v>
      </c>
      <c r="J59" t="n">
        <v>10.128227</v>
      </c>
      <c r="K59" t="n">
        <v>10.145999</v>
      </c>
      <c r="L59" t="n">
        <v>10.186355</v>
      </c>
      <c r="M59" t="n">
        <v>10.238443</v>
      </c>
      <c r="N59" t="n">
        <v>10.302117</v>
      </c>
      <c r="O59" t="n">
        <v>10.370401</v>
      </c>
      <c r="P59" t="n">
        <v>10.450429</v>
      </c>
      <c r="Q59" t="n">
        <v>10.529163</v>
      </c>
      <c r="R59" t="n">
        <v>10.609246</v>
      </c>
      <c r="S59" t="n">
        <v>10.687112</v>
      </c>
      <c r="T59" t="n">
        <v>10.763984</v>
      </c>
      <c r="U59" t="n">
        <v>10.845211</v>
      </c>
      <c r="V59" t="n">
        <v>10.929149</v>
      </c>
      <c r="W59" t="n">
        <v>11.016751</v>
      </c>
      <c r="X59" t="n">
        <v>11.105224</v>
      </c>
      <c r="Y59" t="n">
        <v>11.192418</v>
      </c>
      <c r="Z59" t="n">
        <v>11.268224</v>
      </c>
      <c r="AA59" t="n">
        <v>11.332779</v>
      </c>
      <c r="AB59" t="n">
        <v>11.391646</v>
      </c>
      <c r="AC59" t="n">
        <v>11.448387</v>
      </c>
      <c r="AD59" t="n">
        <v>11.50282</v>
      </c>
      <c r="AE59" t="inlineStr">
        <is>
          <t>0.7%</t>
        </is>
      </c>
    </row>
    <row r="60">
      <c r="A60" t="inlineStr">
        <is>
          <t>Electricity Related Losses</t>
        </is>
      </c>
      <c r="B60" t="inlineStr">
        <is>
          <t>Commercial: Electricity Related Losses: Alternative Electricity and Transportation</t>
        </is>
      </c>
      <c r="C60" t="inlineStr">
        <is>
          <t>AEO.2026.ELECTRNP.CNSM_NA_COMM_NA_ERL_NA_USA_QBTU.A</t>
        </is>
      </c>
      <c r="D60" t="inlineStr">
        <is>
          <t>quads</t>
        </is>
      </c>
      <c r="E60" t="n">
        <v>6.905145</v>
      </c>
      <c r="F60" t="n">
        <v>7.149404</v>
      </c>
      <c r="G60" t="n">
        <v>6.670446</v>
      </c>
      <c r="H60" t="n">
        <v>6.466255</v>
      </c>
      <c r="I60" t="n">
        <v>6.399875</v>
      </c>
      <c r="J60" t="n">
        <v>6.339254</v>
      </c>
      <c r="K60" t="n">
        <v>6.193811</v>
      </c>
      <c r="L60" t="n">
        <v>6.133888</v>
      </c>
      <c r="M60" t="n">
        <v>6.126631</v>
      </c>
      <c r="N60" t="n">
        <v>6.074709</v>
      </c>
      <c r="O60" t="n">
        <v>6.055776</v>
      </c>
      <c r="P60" t="n">
        <v>6.040712</v>
      </c>
      <c r="Q60" t="n">
        <v>6.057667</v>
      </c>
      <c r="R60" t="n">
        <v>6.090091</v>
      </c>
      <c r="S60" t="n">
        <v>6.107717</v>
      </c>
      <c r="T60" t="n">
        <v>6.108299</v>
      </c>
      <c r="U60" t="n">
        <v>6.112397</v>
      </c>
      <c r="V60" t="n">
        <v>6.144127</v>
      </c>
      <c r="W60" t="n">
        <v>6.185376</v>
      </c>
      <c r="X60" t="n">
        <v>6.227784</v>
      </c>
      <c r="Y60" t="n">
        <v>6.270594</v>
      </c>
      <c r="Z60" t="n">
        <v>6.309765</v>
      </c>
      <c r="AA60" t="n">
        <v>6.347584</v>
      </c>
      <c r="AB60" t="n">
        <v>6.379278</v>
      </c>
      <c r="AC60" t="n">
        <v>6.385493</v>
      </c>
      <c r="AD60" t="n">
        <v>6.408177</v>
      </c>
      <c r="AE60" t="inlineStr">
        <is>
          <t>-0.3%</t>
        </is>
      </c>
    </row>
    <row r="61">
      <c r="A61" t="inlineStr">
        <is>
          <t>Total Energy Consumption by End Use</t>
        </is>
      </c>
    </row>
    <row r="62">
      <c r="A62" t="inlineStr">
        <is>
          <t>Space Heating</t>
        </is>
      </c>
      <c r="B62" t="inlineStr">
        <is>
          <t>Commercial: Total Energy Use by End Use: Space Heating: Alternative Electricity and Transportation</t>
        </is>
      </c>
      <c r="C62" t="inlineStr">
        <is>
          <t>AEO.2026.ELECTRNP.CNSM_NA_COMM_NA_TEE_SPH_USA_QBTU.A</t>
        </is>
      </c>
      <c r="D62" t="inlineStr">
        <is>
          <t>quads</t>
        </is>
      </c>
      <c r="E62" t="n">
        <v>2.220233</v>
      </c>
      <c r="F62" t="n">
        <v>2.181025</v>
      </c>
      <c r="G62" t="n">
        <v>2.152913</v>
      </c>
      <c r="H62" t="n">
        <v>2.124369</v>
      </c>
      <c r="I62" t="n">
        <v>2.089279</v>
      </c>
      <c r="J62" t="n">
        <v>2.051446</v>
      </c>
      <c r="K62" t="n">
        <v>2.012737</v>
      </c>
      <c r="L62" t="n">
        <v>1.985195</v>
      </c>
      <c r="M62" t="n">
        <v>1.9634</v>
      </c>
      <c r="N62" t="n">
        <v>1.943525</v>
      </c>
      <c r="O62" t="n">
        <v>1.924334</v>
      </c>
      <c r="P62" t="n">
        <v>1.906887</v>
      </c>
      <c r="Q62" t="n">
        <v>1.889534</v>
      </c>
      <c r="R62" t="n">
        <v>1.872632</v>
      </c>
      <c r="S62" t="n">
        <v>1.854625</v>
      </c>
      <c r="T62" t="n">
        <v>1.836458</v>
      </c>
      <c r="U62" t="n">
        <v>1.818913</v>
      </c>
      <c r="V62" t="n">
        <v>1.803955</v>
      </c>
      <c r="W62" t="n">
        <v>1.789737</v>
      </c>
      <c r="X62" t="n">
        <v>1.776251</v>
      </c>
      <c r="Y62" t="n">
        <v>1.762363</v>
      </c>
      <c r="Z62" t="n">
        <v>1.745796</v>
      </c>
      <c r="AA62" t="n">
        <v>1.727454</v>
      </c>
      <c r="AB62" t="n">
        <v>1.708758</v>
      </c>
      <c r="AC62" t="n">
        <v>1.689725</v>
      </c>
      <c r="AD62" t="n">
        <v>1.671329</v>
      </c>
      <c r="AE62" t="inlineStr">
        <is>
          <t>-1.1%</t>
        </is>
      </c>
    </row>
    <row r="63">
      <c r="A63" t="inlineStr">
        <is>
          <t>Space Cooling</t>
        </is>
      </c>
      <c r="B63" t="inlineStr">
        <is>
          <t>Commercial: Total Energy Use by End Use: Space Cooling: Alternative Electricity and Transportation</t>
        </is>
      </c>
      <c r="C63" t="inlineStr">
        <is>
          <t>AEO.2026.ELECTRNP.CNSM_NA_COMM_NA_TEE_SPC_USA_QBTU.A</t>
        </is>
      </c>
      <c r="D63" t="inlineStr">
        <is>
          <t>quads</t>
        </is>
      </c>
      <c r="E63" t="n">
        <v>1.337292</v>
      </c>
      <c r="F63" t="n">
        <v>1.394258</v>
      </c>
      <c r="G63" t="n">
        <v>1.347048</v>
      </c>
      <c r="H63" t="n">
        <v>1.332899</v>
      </c>
      <c r="I63" t="n">
        <v>1.331185</v>
      </c>
      <c r="J63" t="n">
        <v>1.32735</v>
      </c>
      <c r="K63" t="n">
        <v>1.315402</v>
      </c>
      <c r="L63" t="n">
        <v>1.313716</v>
      </c>
      <c r="M63" t="n">
        <v>1.318108</v>
      </c>
      <c r="N63" t="n">
        <v>1.318481</v>
      </c>
      <c r="O63" t="n">
        <v>1.322756</v>
      </c>
      <c r="P63" t="n">
        <v>1.328437</v>
      </c>
      <c r="Q63" t="n">
        <v>1.337705</v>
      </c>
      <c r="R63" t="n">
        <v>1.348845</v>
      </c>
      <c r="S63" t="n">
        <v>1.358264</v>
      </c>
      <c r="T63" t="n">
        <v>1.366837</v>
      </c>
      <c r="U63" t="n">
        <v>1.376653</v>
      </c>
      <c r="V63" t="n">
        <v>1.390299</v>
      </c>
      <c r="W63" t="n">
        <v>1.406383</v>
      </c>
      <c r="X63" t="n">
        <v>1.423163</v>
      </c>
      <c r="Y63" t="n">
        <v>1.440974</v>
      </c>
      <c r="Z63" t="n">
        <v>1.458023</v>
      </c>
      <c r="AA63" t="n">
        <v>1.474735</v>
      </c>
      <c r="AB63" t="n">
        <v>1.49115</v>
      </c>
      <c r="AC63" t="n">
        <v>1.506182</v>
      </c>
      <c r="AD63" t="n">
        <v>1.523241</v>
      </c>
      <c r="AE63" t="inlineStr">
        <is>
          <t>0.5%</t>
        </is>
      </c>
    </row>
    <row r="64">
      <c r="A64" t="inlineStr">
        <is>
          <t>Water Heating</t>
        </is>
      </c>
      <c r="B64" t="inlineStr">
        <is>
          <t>Commercial: Total Energy Use by End Use: Water Heating: Alternative Electricity and Transportation</t>
        </is>
      </c>
      <c r="C64" t="inlineStr">
        <is>
          <t>AEO.2026.ELECTRNP.CNSM_NA_COMM_NA_TEE_WTHT_USA_QBTU.A</t>
        </is>
      </c>
      <c r="D64" t="inlineStr">
        <is>
          <t>quads</t>
        </is>
      </c>
      <c r="E64" t="n">
        <v>0.449798</v>
      </c>
      <c r="F64" t="n">
        <v>0.452539</v>
      </c>
      <c r="G64" t="n">
        <v>0.44617</v>
      </c>
      <c r="H64" t="n">
        <v>0.442108</v>
      </c>
      <c r="I64" t="n">
        <v>0.438068</v>
      </c>
      <c r="J64" t="n">
        <v>0.433221</v>
      </c>
      <c r="K64" t="n">
        <v>0.427638</v>
      </c>
      <c r="L64" t="n">
        <v>0.424849</v>
      </c>
      <c r="M64" t="n">
        <v>0.423358</v>
      </c>
      <c r="N64" t="n">
        <v>0.422314</v>
      </c>
      <c r="O64" t="n">
        <v>0.42185</v>
      </c>
      <c r="P64" t="n">
        <v>0.42199</v>
      </c>
      <c r="Q64" t="n">
        <v>0.42245</v>
      </c>
      <c r="R64" t="n">
        <v>0.423116</v>
      </c>
      <c r="S64" t="n">
        <v>0.42357</v>
      </c>
      <c r="T64" t="n">
        <v>0.423937</v>
      </c>
      <c r="U64" t="n">
        <v>0.424612</v>
      </c>
      <c r="V64" t="n">
        <v>0.425938</v>
      </c>
      <c r="W64" t="n">
        <v>0.427591</v>
      </c>
      <c r="X64" t="n">
        <v>0.429492</v>
      </c>
      <c r="Y64" t="n">
        <v>0.431294</v>
      </c>
      <c r="Z64" t="n">
        <v>0.432589</v>
      </c>
      <c r="AA64" t="n">
        <v>0.433505</v>
      </c>
      <c r="AB64" t="n">
        <v>0.434281</v>
      </c>
      <c r="AC64" t="n">
        <v>0.434916</v>
      </c>
      <c r="AD64" t="n">
        <v>0.435734</v>
      </c>
      <c r="AE64" t="inlineStr">
        <is>
          <t>-0.1%</t>
        </is>
      </c>
    </row>
    <row r="65">
      <c r="A65" t="inlineStr">
        <is>
          <t>Ventilation</t>
        </is>
      </c>
      <c r="B65" t="inlineStr">
        <is>
          <t>Commercial: Total Energy Use by End Use: Ventilation: Alternative Electricity and Transportation</t>
        </is>
      </c>
      <c r="C65" t="inlineStr">
        <is>
          <t>AEO.2026.ELECTRNP.CNSM_NA_COMM_NA_TEE_VNTC_USA_QBTU.A</t>
        </is>
      </c>
      <c r="D65" t="inlineStr">
        <is>
          <t>quads</t>
        </is>
      </c>
      <c r="E65" t="n">
        <v>1.801287</v>
      </c>
      <c r="F65" t="n">
        <v>1.801836</v>
      </c>
      <c r="G65" t="n">
        <v>1.741319</v>
      </c>
      <c r="H65" t="n">
        <v>1.724706</v>
      </c>
      <c r="I65" t="n">
        <v>1.723959</v>
      </c>
      <c r="J65" t="n">
        <v>1.715919</v>
      </c>
      <c r="K65" t="n">
        <v>1.696191</v>
      </c>
      <c r="L65" t="n">
        <v>1.689272</v>
      </c>
      <c r="M65" t="n">
        <v>1.690703</v>
      </c>
      <c r="N65" t="n">
        <v>1.686092</v>
      </c>
      <c r="O65" t="n">
        <v>1.686468</v>
      </c>
      <c r="P65" t="n">
        <v>1.688316</v>
      </c>
      <c r="Q65" t="n">
        <v>1.694416</v>
      </c>
      <c r="R65" t="n">
        <v>1.702867</v>
      </c>
      <c r="S65" t="n">
        <v>1.709215</v>
      </c>
      <c r="T65" t="n">
        <v>1.713848</v>
      </c>
      <c r="U65" t="n">
        <v>1.719934</v>
      </c>
      <c r="V65" t="n">
        <v>1.729993</v>
      </c>
      <c r="W65" t="n">
        <v>1.742244</v>
      </c>
      <c r="X65" t="n">
        <v>1.755229</v>
      </c>
      <c r="Y65" t="n">
        <v>1.768599</v>
      </c>
      <c r="Z65" t="n">
        <v>1.781273</v>
      </c>
      <c r="AA65" t="n">
        <v>1.793246</v>
      </c>
      <c r="AB65" t="n">
        <v>1.804607</v>
      </c>
      <c r="AC65" t="n">
        <v>1.813692</v>
      </c>
      <c r="AD65" t="n">
        <v>1.8249</v>
      </c>
      <c r="AE65" t="inlineStr">
        <is>
          <t>0.1%</t>
        </is>
      </c>
    </row>
    <row r="66">
      <c r="A66" t="inlineStr">
        <is>
          <t>Cooking</t>
        </is>
      </c>
      <c r="B66" t="inlineStr">
        <is>
          <t>Commercial: Total Energy Use by End Use: Cooking: Alternative Electricity and Transportation</t>
        </is>
      </c>
      <c r="C66" t="inlineStr">
        <is>
          <t>AEO.2026.ELECTRNP.CNSM_NA_COMM_NA_TEE_CGR_USA_QBTU.A</t>
        </is>
      </c>
      <c r="D66" t="inlineStr">
        <is>
          <t>quads</t>
        </is>
      </c>
      <c r="E66" t="n">
        <v>0.601217</v>
      </c>
      <c r="F66" t="n">
        <v>0.605473</v>
      </c>
      <c r="G66" t="n">
        <v>0.599535</v>
      </c>
      <c r="H66" t="n">
        <v>0.595404</v>
      </c>
      <c r="I66" t="n">
        <v>0.59082</v>
      </c>
      <c r="J66" t="n">
        <v>0.5850880000000001</v>
      </c>
      <c r="K66" t="n">
        <v>0.5786</v>
      </c>
      <c r="L66" t="n">
        <v>0.575776</v>
      </c>
      <c r="M66" t="n">
        <v>0.574694</v>
      </c>
      <c r="N66" t="n">
        <v>0.574326</v>
      </c>
      <c r="O66" t="n">
        <v>0.57461</v>
      </c>
      <c r="P66" t="n">
        <v>0.575583</v>
      </c>
      <c r="Q66" t="n">
        <v>0.576878</v>
      </c>
      <c r="R66" t="n">
        <v>0.578357</v>
      </c>
      <c r="S66" t="n">
        <v>0.579477</v>
      </c>
      <c r="T66" t="n">
        <v>0.580433</v>
      </c>
      <c r="U66" t="n">
        <v>0.581824</v>
      </c>
      <c r="V66" t="n">
        <v>0.584049</v>
      </c>
      <c r="W66" t="n">
        <v>0.586646</v>
      </c>
      <c r="X66" t="n">
        <v>0.589546</v>
      </c>
      <c r="Y66" t="n">
        <v>0.592242</v>
      </c>
      <c r="Z66" t="n">
        <v>0.59412</v>
      </c>
      <c r="AA66" t="n">
        <v>0.595407</v>
      </c>
      <c r="AB66" t="n">
        <v>0.596436</v>
      </c>
      <c r="AC66" t="n">
        <v>0.5972499999999999</v>
      </c>
      <c r="AD66" t="n">
        <v>0.598259</v>
      </c>
      <c r="AE66" t="inlineStr">
        <is>
          <t>-0.0%</t>
        </is>
      </c>
    </row>
    <row r="67">
      <c r="A67" t="inlineStr">
        <is>
          <t>Lighting</t>
        </is>
      </c>
      <c r="B67" t="inlineStr">
        <is>
          <t>Commercial: Total Energy Use by End Use: Lighting: Alternative Electricity and Transportation</t>
        </is>
      </c>
      <c r="C67" t="inlineStr">
        <is>
          <t>AEO.2026.ELECTRNP.CNSM_NA_COMM_NA_TEE_LGHTNG_USA_QBTU.A</t>
        </is>
      </c>
      <c r="D67" t="inlineStr">
        <is>
          <t>quads</t>
        </is>
      </c>
      <c r="E67" t="n">
        <v>1.316493</v>
      </c>
      <c r="F67" t="n">
        <v>1.281366</v>
      </c>
      <c r="G67" t="n">
        <v>1.21069</v>
      </c>
      <c r="H67" t="n">
        <v>1.177431</v>
      </c>
      <c r="I67" t="n">
        <v>1.158921</v>
      </c>
      <c r="J67" t="n">
        <v>1.123722</v>
      </c>
      <c r="K67" t="n">
        <v>1.084491</v>
      </c>
      <c r="L67" t="n">
        <v>1.056093</v>
      </c>
      <c r="M67" t="n">
        <v>1.034271</v>
      </c>
      <c r="N67" t="n">
        <v>1.009509</v>
      </c>
      <c r="O67" t="n">
        <v>0.988042</v>
      </c>
      <c r="P67" t="n">
        <v>0.969087</v>
      </c>
      <c r="Q67" t="n">
        <v>0.954507</v>
      </c>
      <c r="R67" t="n">
        <v>0.942852</v>
      </c>
      <c r="S67" t="n">
        <v>0.931441</v>
      </c>
      <c r="T67" t="n">
        <v>0.915992</v>
      </c>
      <c r="U67" t="n">
        <v>0.903495</v>
      </c>
      <c r="V67" t="n">
        <v>0.894633</v>
      </c>
      <c r="W67" t="n">
        <v>0.887973</v>
      </c>
      <c r="X67" t="n">
        <v>0.882531</v>
      </c>
      <c r="Y67" t="n">
        <v>0.878007</v>
      </c>
      <c r="Z67" t="n">
        <v>0.87377</v>
      </c>
      <c r="AA67" t="n">
        <v>0.869663</v>
      </c>
      <c r="AB67" t="n">
        <v>0.865437</v>
      </c>
      <c r="AC67" t="n">
        <v>0.860348</v>
      </c>
      <c r="AD67" t="n">
        <v>0.856515</v>
      </c>
      <c r="AE67" t="inlineStr">
        <is>
          <t>-1.7%</t>
        </is>
      </c>
    </row>
    <row r="68">
      <c r="A68" t="inlineStr">
        <is>
          <t>Refrigeration</t>
        </is>
      </c>
      <c r="B68" t="inlineStr">
        <is>
          <t>Commercial: Total Energy Use by End Use: Refrigeration: Alternative Electricity and Transportation</t>
        </is>
      </c>
      <c r="C68" t="inlineStr">
        <is>
          <t>AEO.2026.ELECTRNP.CNSM_NA_COMM_NA_TEE_REFR_USA_QBTU.A</t>
        </is>
      </c>
      <c r="D68" t="inlineStr">
        <is>
          <t>quads</t>
        </is>
      </c>
      <c r="E68" t="n">
        <v>0.8550489999999999</v>
      </c>
      <c r="F68" t="n">
        <v>0.847455</v>
      </c>
      <c r="G68" t="n">
        <v>0.809974</v>
      </c>
      <c r="H68" t="n">
        <v>0.792251</v>
      </c>
      <c r="I68" t="n">
        <v>0.783639</v>
      </c>
      <c r="J68" t="n">
        <v>0.773985</v>
      </c>
      <c r="K68" t="n">
        <v>0.759914</v>
      </c>
      <c r="L68" t="n">
        <v>0.751935</v>
      </c>
      <c r="M68" t="n">
        <v>0.747756</v>
      </c>
      <c r="N68" t="n">
        <v>0.7412069999999999</v>
      </c>
      <c r="O68" t="n">
        <v>0.737107</v>
      </c>
      <c r="P68" t="n">
        <v>0.73354</v>
      </c>
      <c r="Q68" t="n">
        <v>0.732066</v>
      </c>
      <c r="R68" t="n">
        <v>0.731505</v>
      </c>
      <c r="S68" t="n">
        <v>0.730035</v>
      </c>
      <c r="T68" t="n">
        <v>0.727704</v>
      </c>
      <c r="U68" t="n">
        <v>0.726093</v>
      </c>
      <c r="V68" t="n">
        <v>0.7259679999999999</v>
      </c>
      <c r="W68" t="n">
        <v>0.726457</v>
      </c>
      <c r="X68" t="n">
        <v>0.727047</v>
      </c>
      <c r="Y68" t="n">
        <v>0.727651</v>
      </c>
      <c r="Z68" t="n">
        <v>0.7280759999999999</v>
      </c>
      <c r="AA68" t="n">
        <v>0.728458</v>
      </c>
      <c r="AB68" t="n">
        <v>0.728591</v>
      </c>
      <c r="AC68" t="n">
        <v>0.727533</v>
      </c>
      <c r="AD68" t="n">
        <v>0.727326</v>
      </c>
      <c r="AE68" t="inlineStr">
        <is>
          <t>-0.6%</t>
        </is>
      </c>
    </row>
    <row r="69">
      <c r="A69" t="inlineStr">
        <is>
          <t>Data Center Servers</t>
        </is>
      </c>
      <c r="B69" t="inlineStr">
        <is>
          <t>Commercial: Total Energy Use by End Use: Data Center Servers: Alternative Electricity and Transportation</t>
        </is>
      </c>
      <c r="C69" t="inlineStr">
        <is>
          <t>AEO.2026.ELECTRNP.CNSM_NA_COMM_NA_TEE_DATACTRSERV_USA_QBTU.A</t>
        </is>
      </c>
      <c r="D69" t="inlineStr">
        <is>
          <t>quads</t>
        </is>
      </c>
      <c r="E69" t="n">
        <v>0.833967</v>
      </c>
      <c r="F69" t="n">
        <v>0.934862</v>
      </c>
      <c r="G69" t="n">
        <v>1.001963</v>
      </c>
      <c r="H69" t="n">
        <v>1.087702</v>
      </c>
      <c r="I69" t="n">
        <v>1.184959</v>
      </c>
      <c r="J69" t="n">
        <v>1.283711</v>
      </c>
      <c r="K69" t="n">
        <v>1.371591</v>
      </c>
      <c r="L69" t="n">
        <v>1.468221</v>
      </c>
      <c r="M69" t="n">
        <v>1.570929</v>
      </c>
      <c r="N69" t="n">
        <v>1.667252</v>
      </c>
      <c r="O69" t="n">
        <v>1.767263</v>
      </c>
      <c r="P69" t="n">
        <v>1.8662</v>
      </c>
      <c r="Q69" t="n">
        <v>1.968714</v>
      </c>
      <c r="R69" t="n">
        <v>2.071535</v>
      </c>
      <c r="S69" t="n">
        <v>2.168948</v>
      </c>
      <c r="T69" t="n">
        <v>2.259774</v>
      </c>
      <c r="U69" t="n">
        <v>2.346704</v>
      </c>
      <c r="V69" t="n">
        <v>2.432921</v>
      </c>
      <c r="W69" t="n">
        <v>2.515581</v>
      </c>
      <c r="X69" t="n">
        <v>2.591766</v>
      </c>
      <c r="Y69" t="n">
        <v>2.661403</v>
      </c>
      <c r="Z69" t="n">
        <v>2.722681</v>
      </c>
      <c r="AA69" t="n">
        <v>2.775933</v>
      </c>
      <c r="AB69" t="n">
        <v>2.819236</v>
      </c>
      <c r="AC69" t="n">
        <v>2.847931</v>
      </c>
      <c r="AD69" t="n">
        <v>2.87605</v>
      </c>
      <c r="AE69" t="inlineStr">
        <is>
          <t>5.1%</t>
        </is>
      </c>
    </row>
    <row r="70">
      <c r="A70" t="inlineStr">
        <is>
          <t>Computers and office equipment</t>
        </is>
      </c>
      <c r="B70" t="inlineStr">
        <is>
          <t>Commercial: Total Energy Use by End Use: Computers and Office Equipment: Alternative Electricity and Transportation</t>
        </is>
      </c>
      <c r="C70" t="inlineStr">
        <is>
          <t>AEO.2026.ELECTRNP.CNSM_NA_COMM_NA_TEE_OFEQP_USA_QBTU.A</t>
        </is>
      </c>
      <c r="D70" t="inlineStr">
        <is>
          <t>quads</t>
        </is>
      </c>
      <c r="E70" t="n">
        <v>0.50583</v>
      </c>
      <c r="F70" t="n">
        <v>0.490347</v>
      </c>
      <c r="G70" t="n">
        <v>0.458154</v>
      </c>
      <c r="H70" t="n">
        <v>0.437539</v>
      </c>
      <c r="I70" t="n">
        <v>0.422692</v>
      </c>
      <c r="J70" t="n">
        <v>0.40935</v>
      </c>
      <c r="K70" t="n">
        <v>0.393914</v>
      </c>
      <c r="L70" t="n">
        <v>0.381441</v>
      </c>
      <c r="M70" t="n">
        <v>0.372388</v>
      </c>
      <c r="N70" t="n">
        <v>0.362997</v>
      </c>
      <c r="O70" t="n">
        <v>0.354903</v>
      </c>
      <c r="P70" t="n">
        <v>0.34811</v>
      </c>
      <c r="Q70" t="n">
        <v>0.342599</v>
      </c>
      <c r="R70" t="n">
        <v>0.337827</v>
      </c>
      <c r="S70" t="n">
        <v>0.334022</v>
      </c>
      <c r="T70" t="n">
        <v>0.329349</v>
      </c>
      <c r="U70" t="n">
        <v>0.324214</v>
      </c>
      <c r="V70" t="n">
        <v>0.321348</v>
      </c>
      <c r="W70" t="n">
        <v>0.317249</v>
      </c>
      <c r="X70" t="n">
        <v>0.313833</v>
      </c>
      <c r="Y70" t="n">
        <v>0.310029</v>
      </c>
      <c r="Z70" t="n">
        <v>0.306946</v>
      </c>
      <c r="AA70" t="n">
        <v>0.302373</v>
      </c>
      <c r="AB70" t="n">
        <v>0.297312</v>
      </c>
      <c r="AC70" t="n">
        <v>0.291347</v>
      </c>
      <c r="AD70" t="n">
        <v>0.285331</v>
      </c>
      <c r="AE70" t="inlineStr">
        <is>
          <t>-2.3%</t>
        </is>
      </c>
    </row>
    <row r="71">
      <c r="A71" t="inlineStr">
        <is>
          <t>Other Uses</t>
        </is>
      </c>
      <c r="B71" t="inlineStr">
        <is>
          <t>Commercial: Total Energy Use by End Use: Other Uses: Alternative Electricity and Transportation</t>
        </is>
      </c>
      <c r="C71" t="inlineStr">
        <is>
          <t>AEO.2026.ELECTRNP.CNSM_NA_COMM_NA_TEE_OTHU_USA_QBTU.A</t>
        </is>
      </c>
      <c r="D71" t="inlineStr">
        <is>
          <t>quads</t>
        </is>
      </c>
      <c r="E71" t="n">
        <v>6.840734</v>
      </c>
      <c r="F71" t="n">
        <v>7.182665</v>
      </c>
      <c r="G71" t="n">
        <v>6.994391</v>
      </c>
      <c r="H71" t="n">
        <v>6.886318</v>
      </c>
      <c r="I71" t="n">
        <v>6.827085</v>
      </c>
      <c r="J71" t="n">
        <v>6.776926</v>
      </c>
      <c r="K71" t="n">
        <v>6.694976</v>
      </c>
      <c r="L71" t="n">
        <v>6.651408</v>
      </c>
      <c r="M71" t="n">
        <v>6.628742</v>
      </c>
      <c r="N71" t="n">
        <v>6.594918</v>
      </c>
      <c r="O71" t="n">
        <v>6.575034</v>
      </c>
      <c r="P71" t="n">
        <v>6.560918</v>
      </c>
      <c r="Q71" t="n">
        <v>6.559299</v>
      </c>
      <c r="R71" t="n">
        <v>6.563962</v>
      </c>
      <c r="S71" t="n">
        <v>6.564362</v>
      </c>
      <c r="T71" t="n">
        <v>6.560988</v>
      </c>
      <c r="U71" t="n">
        <v>6.558482</v>
      </c>
      <c r="V71" t="n">
        <v>6.567157</v>
      </c>
      <c r="W71" t="n">
        <v>6.580578</v>
      </c>
      <c r="X71" t="n">
        <v>6.595763</v>
      </c>
      <c r="Y71" t="n">
        <v>6.612508</v>
      </c>
      <c r="Z71" t="n">
        <v>6.627899</v>
      </c>
      <c r="AA71" t="n">
        <v>6.644061</v>
      </c>
      <c r="AB71" t="n">
        <v>6.660434</v>
      </c>
      <c r="AC71" t="n">
        <v>6.670706</v>
      </c>
      <c r="AD71" t="n">
        <v>6.688638</v>
      </c>
      <c r="AE71" t="inlineStr">
        <is>
          <t>-0.1%</t>
        </is>
      </c>
    </row>
    <row r="72">
      <c r="A72" t="inlineStr">
        <is>
          <t>Total Gross End-use Consumption</t>
        </is>
      </c>
      <c r="B72" t="inlineStr">
        <is>
          <t>Commercial: Total Energy Use by End Use: Total Gross End-use Consumption: Alternative Electricity and Transportation</t>
        </is>
      </c>
      <c r="C72" t="inlineStr">
        <is>
          <t>AEO.2026.ELECTRNP.CNSM_NA_COMM_NA_TEE_NA_USA_QBTU.A</t>
        </is>
      </c>
      <c r="D72" t="inlineStr">
        <is>
          <t>quads</t>
        </is>
      </c>
      <c r="E72" t="n">
        <v>16.7619</v>
      </c>
      <c r="F72" t="n">
        <v>17.171825</v>
      </c>
      <c r="G72" t="n">
        <v>16.762159</v>
      </c>
      <c r="H72" t="n">
        <v>16.600727</v>
      </c>
      <c r="I72" t="n">
        <v>16.550606</v>
      </c>
      <c r="J72" t="n">
        <v>16.480719</v>
      </c>
      <c r="K72" t="n">
        <v>16.335453</v>
      </c>
      <c r="L72" t="n">
        <v>16.297905</v>
      </c>
      <c r="M72" t="n">
        <v>16.324348</v>
      </c>
      <c r="N72" t="n">
        <v>16.320621</v>
      </c>
      <c r="O72" t="n">
        <v>16.352365</v>
      </c>
      <c r="P72" t="n">
        <v>16.399067</v>
      </c>
      <c r="Q72" t="n">
        <v>16.478168</v>
      </c>
      <c r="R72" t="n">
        <v>16.5735</v>
      </c>
      <c r="S72" t="n">
        <v>16.653957</v>
      </c>
      <c r="T72" t="n">
        <v>16.715321</v>
      </c>
      <c r="U72" t="n">
        <v>16.780924</v>
      </c>
      <c r="V72" t="n">
        <v>16.876263</v>
      </c>
      <c r="W72" t="n">
        <v>16.98044</v>
      </c>
      <c r="X72" t="n">
        <v>17.084621</v>
      </c>
      <c r="Y72" t="n">
        <v>17.185068</v>
      </c>
      <c r="Z72" t="n">
        <v>17.271172</v>
      </c>
      <c r="AA72" t="n">
        <v>17.344833</v>
      </c>
      <c r="AB72" t="n">
        <v>17.406242</v>
      </c>
      <c r="AC72" t="n">
        <v>17.439631</v>
      </c>
      <c r="AD72" t="n">
        <v>17.487322</v>
      </c>
      <c r="AE72" t="inlineStr">
        <is>
          <t>0.2%</t>
        </is>
      </c>
    </row>
    <row r="73">
      <c r="A73" t="inlineStr">
        <is>
          <t>Purchased Electricity for Electric Vehicle Charging</t>
        </is>
      </c>
      <c r="B73" t="inlineStr">
        <is>
          <t>Commercial: Total Energy Use by End Use: Purchased Electricity for EV Charging: Alternative Electricity and Transportation</t>
        </is>
      </c>
      <c r="C73" t="inlineStr">
        <is>
          <t>AEO.2026.ELECTRNP.GEN_GFO_COMM_NA_TEE_NA_USA_QBTU.A</t>
        </is>
      </c>
      <c r="D73" t="inlineStr">
        <is>
          <t>quads</t>
        </is>
      </c>
      <c r="E73" t="n">
        <v>0.07507999999999999</v>
      </c>
      <c r="F73" t="n">
        <v>0.097619</v>
      </c>
      <c r="G73" t="n">
        <v>0.119833</v>
      </c>
      <c r="H73" t="n">
        <v>0.145932</v>
      </c>
      <c r="I73" t="n">
        <v>0.173193</v>
      </c>
      <c r="J73" t="n">
        <v>0.199409</v>
      </c>
      <c r="K73" t="n">
        <v>0.22115</v>
      </c>
      <c r="L73" t="n">
        <v>0.242408</v>
      </c>
      <c r="M73" t="n">
        <v>0.264482</v>
      </c>
      <c r="N73" t="n">
        <v>0.285565</v>
      </c>
      <c r="O73" t="n">
        <v>0.307701</v>
      </c>
      <c r="P73" t="n">
        <v>0.329788</v>
      </c>
      <c r="Q73" t="n">
        <v>0.353066</v>
      </c>
      <c r="R73" t="n">
        <v>0.376765</v>
      </c>
      <c r="S73" t="n">
        <v>0.399704</v>
      </c>
      <c r="T73" t="n">
        <v>0.422609</v>
      </c>
      <c r="U73" t="n">
        <v>0.446014</v>
      </c>
      <c r="V73" t="n">
        <v>0.471859</v>
      </c>
      <c r="W73" t="n">
        <v>0.499508</v>
      </c>
      <c r="X73" t="n">
        <v>0.529556</v>
      </c>
      <c r="Y73" t="n">
        <v>0.561851</v>
      </c>
      <c r="Z73" t="n">
        <v>0.594977</v>
      </c>
      <c r="AA73" t="n">
        <v>0.628948</v>
      </c>
      <c r="AB73" t="n">
        <v>0.663455</v>
      </c>
      <c r="AC73" t="n">
        <v>0.697079</v>
      </c>
      <c r="AD73" t="n">
        <v>0.731728</v>
      </c>
      <c r="AE73" t="inlineStr">
        <is>
          <t>9.5%</t>
        </is>
      </c>
    </row>
    <row r="74">
      <c r="A74" t="inlineStr">
        <is>
          <t>On-site Generation for Own Use</t>
        </is>
      </c>
      <c r="B74" t="inlineStr">
        <is>
          <t>Commercial: Total Energy Use by End Use: Generation for Own Use: Alternative Electricity and Transportation</t>
        </is>
      </c>
      <c r="C74" t="inlineStr">
        <is>
          <t>AEO.2026.ELECTRNP.GEN_GFO_COMM_NA_TEE_NA_USA_QBTU.A</t>
        </is>
      </c>
      <c r="D74" t="inlineStr">
        <is>
          <t>quads</t>
        </is>
      </c>
      <c r="E74" t="n">
        <v>0.159509</v>
      </c>
      <c r="F74" t="n">
        <v>0.178677</v>
      </c>
      <c r="G74" t="n">
        <v>0.194806</v>
      </c>
      <c r="H74" t="n">
        <v>0.202568</v>
      </c>
      <c r="I74" t="n">
        <v>0.207279</v>
      </c>
      <c r="J74" t="n">
        <v>0.212645</v>
      </c>
      <c r="K74" t="n">
        <v>0.216793</v>
      </c>
      <c r="L74" t="n">
        <v>0.220071</v>
      </c>
      <c r="M74" t="n">
        <v>0.223757</v>
      </c>
      <c r="N74" t="n">
        <v>0.22936</v>
      </c>
      <c r="O74" t="n">
        <v>0.233889</v>
      </c>
      <c r="P74" t="n">
        <v>0.237713</v>
      </c>
      <c r="Q74" t="n">
        <v>0.244406</v>
      </c>
      <c r="R74" t="n">
        <v>0.250927</v>
      </c>
      <c r="S74" t="n">
        <v>0.258833</v>
      </c>
      <c r="T74" t="n">
        <v>0.265647</v>
      </c>
      <c r="U74" t="n">
        <v>0.26933</v>
      </c>
      <c r="V74" t="n">
        <v>0.274844</v>
      </c>
      <c r="W74" t="n">
        <v>0.27782</v>
      </c>
      <c r="X74" t="n">
        <v>0.281171</v>
      </c>
      <c r="Y74" t="n">
        <v>0.283907</v>
      </c>
      <c r="Z74" t="n">
        <v>0.288158</v>
      </c>
      <c r="AA74" t="n">
        <v>0.293419</v>
      </c>
      <c r="AB74" t="n">
        <v>0.298776</v>
      </c>
      <c r="AC74" t="n">
        <v>0.302829</v>
      </c>
      <c r="AD74" t="n">
        <v>0.308056</v>
      </c>
      <c r="AE74" t="inlineStr">
        <is>
          <t>2.7%</t>
        </is>
      </c>
    </row>
    <row r="75">
      <c r="A75" t="inlineStr">
        <is>
          <t>Total Energy</t>
        </is>
      </c>
      <c r="B75" t="inlineStr">
        <is>
          <t>Commercial: Total Energy Use by End Use: Total Net Own-use Generation: Alternative Electricity and Transportation</t>
        </is>
      </c>
      <c r="C75" t="inlineStr">
        <is>
          <t>AEO.2026.ELECTRNP.GEN_GFO_COMM_NA_TEE_TOT_USA_QBTU.A</t>
        </is>
      </c>
      <c r="D75" t="inlineStr">
        <is>
          <t>quads</t>
        </is>
      </c>
      <c r="E75" t="n">
        <v>16.677473</v>
      </c>
      <c r="F75" t="n">
        <v>17.090769</v>
      </c>
      <c r="G75" t="n">
        <v>16.687185</v>
      </c>
      <c r="H75" t="n">
        <v>16.54409</v>
      </c>
      <c r="I75" t="n">
        <v>16.51652</v>
      </c>
      <c r="J75" t="n">
        <v>16.467484</v>
      </c>
      <c r="K75" t="n">
        <v>16.339809</v>
      </c>
      <c r="L75" t="n">
        <v>16.320242</v>
      </c>
      <c r="M75" t="n">
        <v>16.365074</v>
      </c>
      <c r="N75" t="n">
        <v>16.376827</v>
      </c>
      <c r="O75" t="n">
        <v>16.426178</v>
      </c>
      <c r="P75" t="n">
        <v>16.491142</v>
      </c>
      <c r="Q75" t="n">
        <v>16.586828</v>
      </c>
      <c r="R75" t="n">
        <v>16.699337</v>
      </c>
      <c r="S75" t="n">
        <v>16.794828</v>
      </c>
      <c r="T75" t="n">
        <v>16.872284</v>
      </c>
      <c r="U75" t="n">
        <v>16.957609</v>
      </c>
      <c r="V75" t="n">
        <v>17.073278</v>
      </c>
      <c r="W75" t="n">
        <v>17.202127</v>
      </c>
      <c r="X75" t="n">
        <v>17.333006</v>
      </c>
      <c r="Y75" t="n">
        <v>17.463013</v>
      </c>
      <c r="Z75" t="n">
        <v>17.57799</v>
      </c>
      <c r="AA75" t="n">
        <v>17.680363</v>
      </c>
      <c r="AB75" t="n">
        <v>17.770922</v>
      </c>
      <c r="AC75" t="n">
        <v>17.833881</v>
      </c>
      <c r="AD75" t="n">
        <v>17.910994</v>
      </c>
      <c r="AE75" t="inlineStr">
        <is>
          <t>0.3%</t>
        </is>
      </c>
    </row>
    <row r="76">
      <c r="A76" t="inlineStr">
        <is>
          <t>Nonmarketed Renewable Fuels</t>
        </is>
      </c>
    </row>
    <row r="77">
      <c r="A77" t="inlineStr">
        <is>
          <t>Solar Thermal</t>
        </is>
      </c>
      <c r="B77" t="inlineStr">
        <is>
          <t>Commercial: Nonmarketed Renewable Fuels: Solar Thermal: Alternative Electricity and Transportation</t>
        </is>
      </c>
      <c r="C77" t="inlineStr">
        <is>
          <t>AEO.2026.ELECTRNP.CNSM_NA_COMM_NA_NRF_SOTH_USA_QBTU.A</t>
        </is>
      </c>
      <c r="D77" t="inlineStr">
        <is>
          <t>quads</t>
        </is>
      </c>
      <c r="E77" t="n">
        <v>0.065495</v>
      </c>
      <c r="F77" t="n">
        <v>0.063335</v>
      </c>
      <c r="G77" t="n">
        <v>0.063611</v>
      </c>
      <c r="H77" t="n">
        <v>0.062602</v>
      </c>
      <c r="I77" t="n">
        <v>0.061895</v>
      </c>
      <c r="J77" t="n">
        <v>0.061556</v>
      </c>
      <c r="K77" t="n">
        <v>0.061001</v>
      </c>
      <c r="L77" t="n">
        <v>0.059719</v>
      </c>
      <c r="M77" t="n">
        <v>0.0594</v>
      </c>
      <c r="N77" t="n">
        <v>0.059208</v>
      </c>
      <c r="O77" t="n">
        <v>0.058635</v>
      </c>
      <c r="P77" t="n">
        <v>0.058119</v>
      </c>
      <c r="Q77" t="n">
        <v>0.057821</v>
      </c>
      <c r="R77" t="n">
        <v>0.057597</v>
      </c>
      <c r="S77" t="n">
        <v>0.057361</v>
      </c>
      <c r="T77" t="n">
        <v>0.057212</v>
      </c>
      <c r="U77" t="n">
        <v>0.056903</v>
      </c>
      <c r="V77" t="n">
        <v>0.056644</v>
      </c>
      <c r="W77" t="n">
        <v>0.056244</v>
      </c>
      <c r="X77" t="n">
        <v>0.055781</v>
      </c>
      <c r="Y77" t="n">
        <v>0.055393</v>
      </c>
      <c r="Z77" t="n">
        <v>0.054973</v>
      </c>
      <c r="AA77" t="n">
        <v>0.054613</v>
      </c>
      <c r="AB77" t="n">
        <v>0.054244</v>
      </c>
      <c r="AC77" t="n">
        <v>0.053925</v>
      </c>
      <c r="AD77" t="n">
        <v>0.053519</v>
      </c>
      <c r="AE77" t="inlineStr">
        <is>
          <t>-0.8%</t>
        </is>
      </c>
    </row>
    <row r="78">
      <c r="A78" t="inlineStr">
        <is>
          <t>Solar Photovoltaic</t>
        </is>
      </c>
      <c r="B78" t="inlineStr">
        <is>
          <t>Commercial: Nonmarketed Renewable Fuels: Solar Photovoltaic: Alternative Electricity and Transportation</t>
        </is>
      </c>
      <c r="C78" t="inlineStr">
        <is>
          <t>AEO.2026.ELECTRNP.CNSM_NA_COMM_NA_NRF_SOPH_USA_QBTU.A</t>
        </is>
      </c>
      <c r="D78" t="inlineStr">
        <is>
          <t>quads</t>
        </is>
      </c>
      <c r="E78" t="n">
        <v>0.157573</v>
      </c>
      <c r="F78" t="n">
        <v>0.176538</v>
      </c>
      <c r="G78" t="n">
        <v>0.192646</v>
      </c>
      <c r="H78" t="n">
        <v>0.200389</v>
      </c>
      <c r="I78" t="n">
        <v>0.205067</v>
      </c>
      <c r="J78" t="n">
        <v>0.210395</v>
      </c>
      <c r="K78" t="n">
        <v>0.214509</v>
      </c>
      <c r="L78" t="n">
        <v>0.21775</v>
      </c>
      <c r="M78" t="n">
        <v>0.221398</v>
      </c>
      <c r="N78" t="n">
        <v>0.226933</v>
      </c>
      <c r="O78" t="n">
        <v>0.23142</v>
      </c>
      <c r="P78" t="n">
        <v>0.235197</v>
      </c>
      <c r="Q78" t="n">
        <v>0.241819</v>
      </c>
      <c r="R78" t="n">
        <v>0.248288</v>
      </c>
      <c r="S78" t="n">
        <v>0.256142</v>
      </c>
      <c r="T78" t="n">
        <v>0.262917</v>
      </c>
      <c r="U78" t="n">
        <v>0.266571</v>
      </c>
      <c r="V78" t="n">
        <v>0.272008</v>
      </c>
      <c r="W78" t="n">
        <v>0.274945</v>
      </c>
      <c r="X78" t="n">
        <v>0.278251</v>
      </c>
      <c r="Y78" t="n">
        <v>0.280957</v>
      </c>
      <c r="Z78" t="n">
        <v>0.285171</v>
      </c>
      <c r="AA78" t="n">
        <v>0.290382</v>
      </c>
      <c r="AB78" t="n">
        <v>0.295691</v>
      </c>
      <c r="AC78" t="n">
        <v>0.299714</v>
      </c>
      <c r="AD78" t="n">
        <v>0.304897</v>
      </c>
      <c r="AE78" t="inlineStr">
        <is>
          <t>2.7%</t>
        </is>
      </c>
    </row>
    <row r="79">
      <c r="A79" t="inlineStr">
        <is>
          <t>Wind</t>
        </is>
      </c>
      <c r="B79" t="inlineStr">
        <is>
          <t>Commercial: Nonmarketed Renewable Fuels: Wind: Alternative Electricity and Transportation</t>
        </is>
      </c>
      <c r="C79" t="inlineStr">
        <is>
          <t>AEO.2026.ELECTRNP.CNSM_NA_COMM_NA_NRF_WND_USA_QBTU.A</t>
        </is>
      </c>
      <c r="D79" t="inlineStr">
        <is>
          <t>quads</t>
        </is>
      </c>
      <c r="E79" t="n">
        <v>0.002524</v>
      </c>
      <c r="F79" t="n">
        <v>0.002527</v>
      </c>
      <c r="G79" t="n">
        <v>0.002533</v>
      </c>
      <c r="H79" t="n">
        <v>0.002533</v>
      </c>
      <c r="I79" t="n">
        <v>0.002536</v>
      </c>
      <c r="J79" t="n">
        <v>0.00254</v>
      </c>
      <c r="K79" t="n">
        <v>0.002542</v>
      </c>
      <c r="L79" t="n">
        <v>0.002545</v>
      </c>
      <c r="M79" t="n">
        <v>0.002549</v>
      </c>
      <c r="N79" t="n">
        <v>0.002552</v>
      </c>
      <c r="O79" t="n">
        <v>0.002553</v>
      </c>
      <c r="P79" t="n">
        <v>0.002554</v>
      </c>
      <c r="Q79" t="n">
        <v>0.002555</v>
      </c>
      <c r="R79" t="n">
        <v>0.002557</v>
      </c>
      <c r="S79" t="n">
        <v>0.002558</v>
      </c>
      <c r="T79" t="n">
        <v>0.00256</v>
      </c>
      <c r="U79" t="n">
        <v>0.002561</v>
      </c>
      <c r="V79" t="n">
        <v>0.002565</v>
      </c>
      <c r="W79" t="n">
        <v>0.002566</v>
      </c>
      <c r="X79" t="n">
        <v>0.002568</v>
      </c>
      <c r="Y79" t="n">
        <v>0.002568</v>
      </c>
      <c r="Z79" t="n">
        <v>0.002569</v>
      </c>
      <c r="AA79" t="n">
        <v>0.002572</v>
      </c>
      <c r="AB79" t="n">
        <v>0.002573</v>
      </c>
      <c r="AC79" t="n">
        <v>0.002574</v>
      </c>
      <c r="AD79" t="n">
        <v>0.002575</v>
      </c>
      <c r="AE79" t="inlineStr">
        <is>
          <t>0.1%</t>
        </is>
      </c>
    </row>
    <row r="80">
      <c r="A80" t="inlineStr">
        <is>
          <t>Total</t>
        </is>
      </c>
      <c r="B80" t="inlineStr">
        <is>
          <t>Commercial: Nonmarketed Renewable Fuels: Total: Alternative Electricity and Transportation</t>
        </is>
      </c>
      <c r="C80" t="inlineStr">
        <is>
          <t>AEO.2026.ELECTRNP.CNSM_NA_COMM_NA_NRF_TOT_USA_QBTU.A</t>
        </is>
      </c>
      <c r="D80" t="inlineStr">
        <is>
          <t>quads</t>
        </is>
      </c>
      <c r="E80" t="n">
        <v>0.225593</v>
      </c>
      <c r="F80" t="n">
        <v>0.242401</v>
      </c>
      <c r="G80" t="n">
        <v>0.25879</v>
      </c>
      <c r="H80" t="n">
        <v>0.265524</v>
      </c>
      <c r="I80" t="n">
        <v>0.269498</v>
      </c>
      <c r="J80" t="n">
        <v>0.274491</v>
      </c>
      <c r="K80" t="n">
        <v>0.278051</v>
      </c>
      <c r="L80" t="n">
        <v>0.280014</v>
      </c>
      <c r="M80" t="n">
        <v>0.283347</v>
      </c>
      <c r="N80" t="n">
        <v>0.288693</v>
      </c>
      <c r="O80" t="n">
        <v>0.292608</v>
      </c>
      <c r="P80" t="n">
        <v>0.295869</v>
      </c>
      <c r="Q80" t="n">
        <v>0.302195</v>
      </c>
      <c r="R80" t="n">
        <v>0.308441</v>
      </c>
      <c r="S80" t="n">
        <v>0.316061</v>
      </c>
      <c r="T80" t="n">
        <v>0.32269</v>
      </c>
      <c r="U80" t="n">
        <v>0.326035</v>
      </c>
      <c r="V80" t="n">
        <v>0.331217</v>
      </c>
      <c r="W80" t="n">
        <v>0.333756</v>
      </c>
      <c r="X80" t="n">
        <v>0.3366</v>
      </c>
      <c r="Y80" t="n">
        <v>0.338919</v>
      </c>
      <c r="Z80" t="n">
        <v>0.342714</v>
      </c>
      <c r="AA80" t="n">
        <v>0.347566</v>
      </c>
      <c r="AB80" t="n">
        <v>0.352509</v>
      </c>
      <c r="AC80" t="n">
        <v>0.356213</v>
      </c>
      <c r="AD80" t="n">
        <v>0.360991</v>
      </c>
      <c r="AE80" t="inlineStr">
        <is>
          <t>1.9%</t>
        </is>
      </c>
    </row>
    <row r="81">
      <c r="A81" t="inlineStr">
        <is>
          <t>Heating Degree Days</t>
        </is>
      </c>
    </row>
    <row r="82">
      <c r="A82" t="inlineStr">
        <is>
          <t>New England</t>
        </is>
      </c>
      <c r="B82" t="inlineStr">
        <is>
          <t>Commercial: Heating Degree Days: New England: Alternative Electricity and Transportation</t>
        </is>
      </c>
      <c r="C82" t="inlineStr">
        <is>
          <t>AEO.2026.ELECTRNP.KEI_NA_COMM_NA_NA_NA_NENGL_HDD.A</t>
        </is>
      </c>
      <c r="D82" t="inlineStr">
        <is>
          <t>HDD</t>
        </is>
      </c>
      <c r="E82" t="n">
        <v>6045</v>
      </c>
      <c r="F82" t="n">
        <v>5873</v>
      </c>
      <c r="G82" t="n">
        <v>5850</v>
      </c>
      <c r="H82" t="n">
        <v>5826</v>
      </c>
      <c r="I82" t="n">
        <v>5803</v>
      </c>
      <c r="J82" t="n">
        <v>5779</v>
      </c>
      <c r="K82" t="n">
        <v>5755</v>
      </c>
      <c r="L82" t="n">
        <v>5732</v>
      </c>
      <c r="M82" t="n">
        <v>5708</v>
      </c>
      <c r="N82" t="n">
        <v>5684</v>
      </c>
      <c r="O82" t="n">
        <v>5661</v>
      </c>
      <c r="P82" t="n">
        <v>5637</v>
      </c>
      <c r="Q82" t="n">
        <v>5613</v>
      </c>
      <c r="R82" t="n">
        <v>5589</v>
      </c>
      <c r="S82" t="n">
        <v>5566</v>
      </c>
      <c r="T82" t="n">
        <v>5542</v>
      </c>
      <c r="U82" t="n">
        <v>5518</v>
      </c>
      <c r="V82" t="n">
        <v>5495</v>
      </c>
      <c r="W82" t="n">
        <v>5471</v>
      </c>
      <c r="X82" t="n">
        <v>5447</v>
      </c>
      <c r="Y82" t="n">
        <v>5423</v>
      </c>
      <c r="Z82" t="n">
        <v>5400</v>
      </c>
      <c r="AA82" t="n">
        <v>5376</v>
      </c>
      <c r="AB82" t="n">
        <v>5352</v>
      </c>
      <c r="AC82" t="n">
        <v>5328</v>
      </c>
      <c r="AD82" t="n">
        <v>5305</v>
      </c>
      <c r="AE82" t="inlineStr">
        <is>
          <t>-0.5%</t>
        </is>
      </c>
    </row>
    <row r="83">
      <c r="A83" t="inlineStr">
        <is>
          <t>Middle Atlantic</t>
        </is>
      </c>
      <c r="B83" t="inlineStr">
        <is>
          <t>Commercial: Heating Degree Days: Middle Atlantic: Alternative Electricity and Transportation</t>
        </is>
      </c>
      <c r="C83" t="inlineStr">
        <is>
          <t>AEO.2026.ELECTRNP.KEI_NA_COMM_NA_NA_NA_MATL_HDD.A</t>
        </is>
      </c>
      <c r="D83" t="inlineStr">
        <is>
          <t>HDD</t>
        </is>
      </c>
      <c r="E83" t="n">
        <v>5404</v>
      </c>
      <c r="F83" t="n">
        <v>5271</v>
      </c>
      <c r="G83" t="n">
        <v>5249</v>
      </c>
      <c r="H83" t="n">
        <v>5228</v>
      </c>
      <c r="I83" t="n">
        <v>5207</v>
      </c>
      <c r="J83" t="n">
        <v>5185</v>
      </c>
      <c r="K83" t="n">
        <v>5164</v>
      </c>
      <c r="L83" t="n">
        <v>5142</v>
      </c>
      <c r="M83" t="n">
        <v>5121</v>
      </c>
      <c r="N83" t="n">
        <v>5100</v>
      </c>
      <c r="O83" t="n">
        <v>5078</v>
      </c>
      <c r="P83" t="n">
        <v>5057</v>
      </c>
      <c r="Q83" t="n">
        <v>5035</v>
      </c>
      <c r="R83" t="n">
        <v>5014</v>
      </c>
      <c r="S83" t="n">
        <v>4993</v>
      </c>
      <c r="T83" t="n">
        <v>4971</v>
      </c>
      <c r="U83" t="n">
        <v>4950</v>
      </c>
      <c r="V83" t="n">
        <v>4929</v>
      </c>
      <c r="W83" t="n">
        <v>4907</v>
      </c>
      <c r="X83" t="n">
        <v>4886</v>
      </c>
      <c r="Y83" t="n">
        <v>4865</v>
      </c>
      <c r="Z83" t="n">
        <v>4843</v>
      </c>
      <c r="AA83" t="n">
        <v>4822</v>
      </c>
      <c r="AB83" t="n">
        <v>4801</v>
      </c>
      <c r="AC83" t="n">
        <v>4780</v>
      </c>
      <c r="AD83" t="n">
        <v>4758</v>
      </c>
      <c r="AE83" t="inlineStr">
        <is>
          <t>-0.5%</t>
        </is>
      </c>
    </row>
    <row r="84">
      <c r="A84" t="inlineStr">
        <is>
          <t>East North Central</t>
        </is>
      </c>
      <c r="B84" t="inlineStr">
        <is>
          <t>Commercial: Heating Degree Days: East North Central: Alternative Electricity and Transportation</t>
        </is>
      </c>
      <c r="C84" t="inlineStr">
        <is>
          <t>AEO.2026.ELECTRNP.KEI_NA_COMM_NA_NA_NA_ENC_HDD.A</t>
        </is>
      </c>
      <c r="D84" t="inlineStr">
        <is>
          <t>HDD</t>
        </is>
      </c>
      <c r="E84" t="n">
        <v>5984</v>
      </c>
      <c r="F84" t="n">
        <v>5836</v>
      </c>
      <c r="G84" t="n">
        <v>5817</v>
      </c>
      <c r="H84" t="n">
        <v>5798</v>
      </c>
      <c r="I84" t="n">
        <v>5779</v>
      </c>
      <c r="J84" t="n">
        <v>5760</v>
      </c>
      <c r="K84" t="n">
        <v>5741</v>
      </c>
      <c r="L84" t="n">
        <v>5722</v>
      </c>
      <c r="M84" t="n">
        <v>5703</v>
      </c>
      <c r="N84" t="n">
        <v>5683</v>
      </c>
      <c r="O84" t="n">
        <v>5664</v>
      </c>
      <c r="P84" t="n">
        <v>5645</v>
      </c>
      <c r="Q84" t="n">
        <v>5626</v>
      </c>
      <c r="R84" t="n">
        <v>5607</v>
      </c>
      <c r="S84" t="n">
        <v>5588</v>
      </c>
      <c r="T84" t="n">
        <v>5569</v>
      </c>
      <c r="U84" t="n">
        <v>5549</v>
      </c>
      <c r="V84" t="n">
        <v>5530</v>
      </c>
      <c r="W84" t="n">
        <v>5511</v>
      </c>
      <c r="X84" t="n">
        <v>5492</v>
      </c>
      <c r="Y84" t="n">
        <v>5473</v>
      </c>
      <c r="Z84" t="n">
        <v>5453</v>
      </c>
      <c r="AA84" t="n">
        <v>5434</v>
      </c>
      <c r="AB84" t="n">
        <v>5415</v>
      </c>
      <c r="AC84" t="n">
        <v>5396</v>
      </c>
      <c r="AD84" t="n">
        <v>5377</v>
      </c>
      <c r="AE84" t="inlineStr">
        <is>
          <t>-0.4%</t>
        </is>
      </c>
    </row>
    <row r="85">
      <c r="A85" t="inlineStr">
        <is>
          <t>West North Central</t>
        </is>
      </c>
      <c r="B85" t="inlineStr">
        <is>
          <t>Commercial: Heating Degree Days: West North Central: Alternative Electricity and Transportation</t>
        </is>
      </c>
      <c r="C85" t="inlineStr">
        <is>
          <t>AEO.2026.ELECTRNP.KEI_NA_COMM_NA_NA_NA_WNC_HDD.A</t>
        </is>
      </c>
      <c r="D85" t="inlineStr">
        <is>
          <t>HDD</t>
        </is>
      </c>
      <c r="E85" t="n">
        <v>6267</v>
      </c>
      <c r="F85" t="n">
        <v>6263</v>
      </c>
      <c r="G85" t="n">
        <v>6251</v>
      </c>
      <c r="H85" t="n">
        <v>6239</v>
      </c>
      <c r="I85" t="n">
        <v>6227</v>
      </c>
      <c r="J85" t="n">
        <v>6215</v>
      </c>
      <c r="K85" t="n">
        <v>6203</v>
      </c>
      <c r="L85" t="n">
        <v>6191</v>
      </c>
      <c r="M85" t="n">
        <v>6178</v>
      </c>
      <c r="N85" t="n">
        <v>6166</v>
      </c>
      <c r="O85" t="n">
        <v>6153</v>
      </c>
      <c r="P85" t="n">
        <v>6141</v>
      </c>
      <c r="Q85" t="n">
        <v>6128</v>
      </c>
      <c r="R85" t="n">
        <v>6116</v>
      </c>
      <c r="S85" t="n">
        <v>6103</v>
      </c>
      <c r="T85" t="n">
        <v>6091</v>
      </c>
      <c r="U85" t="n">
        <v>6078</v>
      </c>
      <c r="V85" t="n">
        <v>6066</v>
      </c>
      <c r="W85" t="n">
        <v>6053</v>
      </c>
      <c r="X85" t="n">
        <v>6040</v>
      </c>
      <c r="Y85" t="n">
        <v>6028</v>
      </c>
      <c r="Z85" t="n">
        <v>6015</v>
      </c>
      <c r="AA85" t="n">
        <v>6002</v>
      </c>
      <c r="AB85" t="n">
        <v>5990</v>
      </c>
      <c r="AC85" t="n">
        <v>5977</v>
      </c>
      <c r="AD85" t="n">
        <v>5964</v>
      </c>
      <c r="AE85" t="inlineStr">
        <is>
          <t>-0.2%</t>
        </is>
      </c>
    </row>
    <row r="86">
      <c r="A86" t="inlineStr">
        <is>
          <t>South Atlantic</t>
        </is>
      </c>
      <c r="B86" t="inlineStr">
        <is>
          <t>Commercial: Heating Degree Days: South Atlantic: Alternative Electricity and Transportation</t>
        </is>
      </c>
      <c r="C86" t="inlineStr">
        <is>
          <t>AEO.2026.ELECTRNP.KEI_NA_COMM_NA_NA_NA_SATL_HDD.A</t>
        </is>
      </c>
      <c r="D86" t="inlineStr">
        <is>
          <t>HDD</t>
        </is>
      </c>
      <c r="E86" t="n">
        <v>2431</v>
      </c>
      <c r="F86" t="n">
        <v>2296</v>
      </c>
      <c r="G86" t="n">
        <v>2280</v>
      </c>
      <c r="H86" t="n">
        <v>2263</v>
      </c>
      <c r="I86" t="n">
        <v>2245</v>
      </c>
      <c r="J86" t="n">
        <v>2228</v>
      </c>
      <c r="K86" t="n">
        <v>2210</v>
      </c>
      <c r="L86" t="n">
        <v>2192</v>
      </c>
      <c r="M86" t="n">
        <v>2175</v>
      </c>
      <c r="N86" t="n">
        <v>2157</v>
      </c>
      <c r="O86" t="n">
        <v>2139</v>
      </c>
      <c r="P86" t="n">
        <v>2122</v>
      </c>
      <c r="Q86" t="n">
        <v>2104</v>
      </c>
      <c r="R86" t="n">
        <v>2087</v>
      </c>
      <c r="S86" t="n">
        <v>2069</v>
      </c>
      <c r="T86" t="n">
        <v>2052</v>
      </c>
      <c r="U86" t="n">
        <v>2034</v>
      </c>
      <c r="V86" t="n">
        <v>2017</v>
      </c>
      <c r="W86" t="n">
        <v>2000</v>
      </c>
      <c r="X86" t="n">
        <v>1982</v>
      </c>
      <c r="Y86" t="n">
        <v>1965</v>
      </c>
      <c r="Z86" t="n">
        <v>1948</v>
      </c>
      <c r="AA86" t="n">
        <v>1930</v>
      </c>
      <c r="AB86" t="n">
        <v>1913</v>
      </c>
      <c r="AC86" t="n">
        <v>1896</v>
      </c>
      <c r="AD86" t="n">
        <v>1879</v>
      </c>
      <c r="AE86" t="inlineStr">
        <is>
          <t>-1.0%</t>
        </is>
      </c>
    </row>
    <row r="87">
      <c r="A87" t="inlineStr">
        <is>
          <t>East South Central</t>
        </is>
      </c>
      <c r="B87" t="inlineStr">
        <is>
          <t>Commercial: Heating Degree Days: East South Central: Alternative Electricity and Transportation</t>
        </is>
      </c>
      <c r="C87" t="inlineStr">
        <is>
          <t>AEO.2026.ELECTRNP.KEI_NA_COMM_NA_NA_NA_ESC_HDD.A</t>
        </is>
      </c>
      <c r="D87" t="inlineStr">
        <is>
          <t>HDD</t>
        </is>
      </c>
      <c r="E87" t="n">
        <v>3231</v>
      </c>
      <c r="F87" t="n">
        <v>3099</v>
      </c>
      <c r="G87" t="n">
        <v>3084</v>
      </c>
      <c r="H87" t="n">
        <v>3069</v>
      </c>
      <c r="I87" t="n">
        <v>3053</v>
      </c>
      <c r="J87" t="n">
        <v>3038</v>
      </c>
      <c r="K87" t="n">
        <v>3023</v>
      </c>
      <c r="L87" t="n">
        <v>3008</v>
      </c>
      <c r="M87" t="n">
        <v>2992</v>
      </c>
      <c r="N87" t="n">
        <v>2977</v>
      </c>
      <c r="O87" t="n">
        <v>2961</v>
      </c>
      <c r="P87" t="n">
        <v>2946</v>
      </c>
      <c r="Q87" t="n">
        <v>2930</v>
      </c>
      <c r="R87" t="n">
        <v>2915</v>
      </c>
      <c r="S87" t="n">
        <v>2900</v>
      </c>
      <c r="T87" t="n">
        <v>2884</v>
      </c>
      <c r="U87" t="n">
        <v>2869</v>
      </c>
      <c r="V87" t="n">
        <v>2853</v>
      </c>
      <c r="W87" t="n">
        <v>2838</v>
      </c>
      <c r="X87" t="n">
        <v>2822</v>
      </c>
      <c r="Y87" t="n">
        <v>2807</v>
      </c>
      <c r="Z87" t="n">
        <v>2791</v>
      </c>
      <c r="AA87" t="n">
        <v>2776</v>
      </c>
      <c r="AB87" t="n">
        <v>2760</v>
      </c>
      <c r="AC87" t="n">
        <v>2745</v>
      </c>
      <c r="AD87" t="n">
        <v>2730</v>
      </c>
      <c r="AE87" t="inlineStr">
        <is>
          <t>-0.7%</t>
        </is>
      </c>
    </row>
    <row r="88">
      <c r="A88" t="inlineStr">
        <is>
          <t>West South Central</t>
        </is>
      </c>
      <c r="B88" t="inlineStr">
        <is>
          <t>Commercial: Heating Degree Days: West South Central: Alternative Electricity and Transportation</t>
        </is>
      </c>
      <c r="C88" t="inlineStr">
        <is>
          <t>AEO.2026.ELECTRNP.KEI_NA_COMM_NA_NA_NA_WSC_HDD.A</t>
        </is>
      </c>
      <c r="D88" t="inlineStr">
        <is>
          <t>HDD</t>
        </is>
      </c>
      <c r="E88" t="n">
        <v>1966</v>
      </c>
      <c r="F88" t="n">
        <v>1889</v>
      </c>
      <c r="G88" t="n">
        <v>1880</v>
      </c>
      <c r="H88" t="n">
        <v>1870</v>
      </c>
      <c r="I88" t="n">
        <v>1860</v>
      </c>
      <c r="J88" t="n">
        <v>1851</v>
      </c>
      <c r="K88" t="n">
        <v>1841</v>
      </c>
      <c r="L88" t="n">
        <v>1831</v>
      </c>
      <c r="M88" t="n">
        <v>1822</v>
      </c>
      <c r="N88" t="n">
        <v>1812</v>
      </c>
      <c r="O88" t="n">
        <v>1803</v>
      </c>
      <c r="P88" t="n">
        <v>1793</v>
      </c>
      <c r="Q88" t="n">
        <v>1784</v>
      </c>
      <c r="R88" t="n">
        <v>1774</v>
      </c>
      <c r="S88" t="n">
        <v>1765</v>
      </c>
      <c r="T88" t="n">
        <v>1756</v>
      </c>
      <c r="U88" t="n">
        <v>1746</v>
      </c>
      <c r="V88" t="n">
        <v>1737</v>
      </c>
      <c r="W88" t="n">
        <v>1728</v>
      </c>
      <c r="X88" t="n">
        <v>1718</v>
      </c>
      <c r="Y88" t="n">
        <v>1709</v>
      </c>
      <c r="Z88" t="n">
        <v>1700</v>
      </c>
      <c r="AA88" t="n">
        <v>1690</v>
      </c>
      <c r="AB88" t="n">
        <v>1681</v>
      </c>
      <c r="AC88" t="n">
        <v>1672</v>
      </c>
      <c r="AD88" t="n">
        <v>1663</v>
      </c>
      <c r="AE88" t="inlineStr">
        <is>
          <t>-0.7%</t>
        </is>
      </c>
    </row>
    <row r="89">
      <c r="A89" t="inlineStr">
        <is>
          <t>Mountain</t>
        </is>
      </c>
      <c r="B89" t="inlineStr">
        <is>
          <t>Commercial: Heating Degree Days: Mountain: Alternative Electricity and Transportation</t>
        </is>
      </c>
      <c r="C89" t="inlineStr">
        <is>
          <t>AEO.2026.ELECTRNP.KEI_NA_COMM_NA_NA_NA_MTN_HDD.A</t>
        </is>
      </c>
      <c r="D89" t="inlineStr">
        <is>
          <t>HDD</t>
        </is>
      </c>
      <c r="E89" t="n">
        <v>4734</v>
      </c>
      <c r="F89" t="n">
        <v>4833</v>
      </c>
      <c r="G89" t="n">
        <v>4825</v>
      </c>
      <c r="H89" t="n">
        <v>4816</v>
      </c>
      <c r="I89" t="n">
        <v>4807</v>
      </c>
      <c r="J89" t="n">
        <v>4799</v>
      </c>
      <c r="K89" t="n">
        <v>4790</v>
      </c>
      <c r="L89" t="n">
        <v>4782</v>
      </c>
      <c r="M89" t="n">
        <v>4774</v>
      </c>
      <c r="N89" t="n">
        <v>4766</v>
      </c>
      <c r="O89" t="n">
        <v>4758</v>
      </c>
      <c r="P89" t="n">
        <v>4750</v>
      </c>
      <c r="Q89" t="n">
        <v>4742</v>
      </c>
      <c r="R89" t="n">
        <v>4734</v>
      </c>
      <c r="S89" t="n">
        <v>4726</v>
      </c>
      <c r="T89" t="n">
        <v>4718</v>
      </c>
      <c r="U89" t="n">
        <v>4710</v>
      </c>
      <c r="V89" t="n">
        <v>4702</v>
      </c>
      <c r="W89" t="n">
        <v>4694</v>
      </c>
      <c r="X89" t="n">
        <v>4687</v>
      </c>
      <c r="Y89" t="n">
        <v>4679</v>
      </c>
      <c r="Z89" t="n">
        <v>4671</v>
      </c>
      <c r="AA89" t="n">
        <v>4664</v>
      </c>
      <c r="AB89" t="n">
        <v>4656</v>
      </c>
      <c r="AC89" t="n">
        <v>4648</v>
      </c>
      <c r="AD89" t="n">
        <v>4641</v>
      </c>
      <c r="AE89" t="inlineStr">
        <is>
          <t>-0.1%</t>
        </is>
      </c>
    </row>
    <row r="90">
      <c r="A90" t="inlineStr">
        <is>
          <t>Pacific</t>
        </is>
      </c>
      <c r="B90" t="inlineStr">
        <is>
          <t>Commercial: Heating Degree Days: Pacific: Alternative Electricity and Transportation</t>
        </is>
      </c>
      <c r="C90" t="inlineStr">
        <is>
          <t>AEO.2026.ELECTRNP.KEI_NA_COMM_NA_NA_NA_PCF_HDD.A</t>
        </is>
      </c>
      <c r="D90" t="inlineStr">
        <is>
          <t>HDD</t>
        </is>
      </c>
      <c r="E90" t="n">
        <v>3251</v>
      </c>
      <c r="F90" t="n">
        <v>3291</v>
      </c>
      <c r="G90" t="n">
        <v>3285</v>
      </c>
      <c r="H90" t="n">
        <v>3279</v>
      </c>
      <c r="I90" t="n">
        <v>3272</v>
      </c>
      <c r="J90" t="n">
        <v>3266</v>
      </c>
      <c r="K90" t="n">
        <v>3259</v>
      </c>
      <c r="L90" t="n">
        <v>3252</v>
      </c>
      <c r="M90" t="n">
        <v>3245</v>
      </c>
      <c r="N90" t="n">
        <v>3238</v>
      </c>
      <c r="O90" t="n">
        <v>3231</v>
      </c>
      <c r="P90" t="n">
        <v>3224</v>
      </c>
      <c r="Q90" t="n">
        <v>3216</v>
      </c>
      <c r="R90" t="n">
        <v>3209</v>
      </c>
      <c r="S90" t="n">
        <v>3202</v>
      </c>
      <c r="T90" t="n">
        <v>3195</v>
      </c>
      <c r="U90" t="n">
        <v>3187</v>
      </c>
      <c r="V90" t="n">
        <v>3180</v>
      </c>
      <c r="W90" t="n">
        <v>3173</v>
      </c>
      <c r="X90" t="n">
        <v>3165</v>
      </c>
      <c r="Y90" t="n">
        <v>3158</v>
      </c>
      <c r="Z90" t="n">
        <v>3151</v>
      </c>
      <c r="AA90" t="n">
        <v>3143</v>
      </c>
      <c r="AB90" t="n">
        <v>3136</v>
      </c>
      <c r="AC90" t="n">
        <v>3129</v>
      </c>
      <c r="AD90" t="n">
        <v>3122</v>
      </c>
      <c r="AE90" t="inlineStr">
        <is>
          <t>-0.2%</t>
        </is>
      </c>
    </row>
    <row r="91">
      <c r="A91" t="inlineStr">
        <is>
          <t>United States</t>
        </is>
      </c>
      <c r="B91" t="inlineStr">
        <is>
          <t>Commercial: Heating Degree Days: United States: Alternative Electricity and Transportation</t>
        </is>
      </c>
      <c r="C91" t="inlineStr">
        <is>
          <t>AEO.2026.ELECTRNP.KEI_NA_COMM_NA_NA_NA_USA_HDD.A</t>
        </is>
      </c>
      <c r="D91" t="inlineStr">
        <is>
          <t>HDD</t>
        </is>
      </c>
      <c r="E91" t="n">
        <v>3989.572266</v>
      </c>
      <c r="F91" t="n">
        <v>3910.105957</v>
      </c>
      <c r="G91" t="n">
        <v>3891.601562</v>
      </c>
      <c r="H91" t="n">
        <v>3872.825195</v>
      </c>
      <c r="I91" t="n">
        <v>3853.715576</v>
      </c>
      <c r="J91" t="n">
        <v>3835.12793</v>
      </c>
      <c r="K91" t="n">
        <v>3816.111328</v>
      </c>
      <c r="L91" t="n">
        <v>3797.137695</v>
      </c>
      <c r="M91" t="n">
        <v>3778.500977</v>
      </c>
      <c r="N91" t="n">
        <v>3759.552734</v>
      </c>
      <c r="O91" t="n">
        <v>3740.710938</v>
      </c>
      <c r="P91" t="n">
        <v>3722.160889</v>
      </c>
      <c r="Q91" t="n">
        <v>3703.157471</v>
      </c>
      <c r="R91" t="n">
        <v>3684.652344</v>
      </c>
      <c r="S91" t="n">
        <v>3666.064941</v>
      </c>
      <c r="T91" t="n">
        <v>3647.556152</v>
      </c>
      <c r="U91" t="n">
        <v>3628.524414</v>
      </c>
      <c r="V91" t="n">
        <v>3610.199219</v>
      </c>
      <c r="W91" t="n">
        <v>3591.732178</v>
      </c>
      <c r="X91" t="n">
        <v>3572.905273</v>
      </c>
      <c r="Y91" t="n">
        <v>3554.652588</v>
      </c>
      <c r="Z91" t="n">
        <v>3536.157715</v>
      </c>
      <c r="AA91" t="n">
        <v>3517.584961</v>
      </c>
      <c r="AB91" t="n">
        <v>3499.59668</v>
      </c>
      <c r="AC91" t="n">
        <v>3481.788574</v>
      </c>
      <c r="AD91" t="n">
        <v>3464.116211</v>
      </c>
      <c r="AE91" t="inlineStr">
        <is>
          <t>-0.6%</t>
        </is>
      </c>
    </row>
    <row r="92">
      <c r="A92" t="inlineStr">
        <is>
          <t>Cooling Degree Days</t>
        </is>
      </c>
    </row>
    <row r="93">
      <c r="A93" t="inlineStr">
        <is>
          <t>New England</t>
        </is>
      </c>
      <c r="B93" t="inlineStr">
        <is>
          <t>Commercial: Cooling Degree Days: New England: Alternative Electricity and Transportation</t>
        </is>
      </c>
      <c r="C93" t="inlineStr">
        <is>
          <t>AEO.2026.ELECTRNP.KEI_NA_COMM_NA_NA_NA_NENGL_CDD.A</t>
        </is>
      </c>
      <c r="D93" t="inlineStr">
        <is>
          <t>CDD</t>
        </is>
      </c>
      <c r="E93" t="n">
        <v>530</v>
      </c>
      <c r="F93" t="n">
        <v>626</v>
      </c>
      <c r="G93" t="n">
        <v>633</v>
      </c>
      <c r="H93" t="n">
        <v>640</v>
      </c>
      <c r="I93" t="n">
        <v>647</v>
      </c>
      <c r="J93" t="n">
        <v>654</v>
      </c>
      <c r="K93" t="n">
        <v>662</v>
      </c>
      <c r="L93" t="n">
        <v>669</v>
      </c>
      <c r="M93" t="n">
        <v>676</v>
      </c>
      <c r="N93" t="n">
        <v>683</v>
      </c>
      <c r="O93" t="n">
        <v>690</v>
      </c>
      <c r="P93" t="n">
        <v>697</v>
      </c>
      <c r="Q93" t="n">
        <v>704</v>
      </c>
      <c r="R93" t="n">
        <v>712</v>
      </c>
      <c r="S93" t="n">
        <v>719</v>
      </c>
      <c r="T93" t="n">
        <v>726</v>
      </c>
      <c r="U93" t="n">
        <v>733</v>
      </c>
      <c r="V93" t="n">
        <v>740</v>
      </c>
      <c r="W93" t="n">
        <v>747</v>
      </c>
      <c r="X93" t="n">
        <v>754</v>
      </c>
      <c r="Y93" t="n">
        <v>761</v>
      </c>
      <c r="Z93" t="n">
        <v>769</v>
      </c>
      <c r="AA93" t="n">
        <v>776</v>
      </c>
      <c r="AB93" t="n">
        <v>783</v>
      </c>
      <c r="AC93" t="n">
        <v>790</v>
      </c>
      <c r="AD93" t="n">
        <v>797</v>
      </c>
      <c r="AE93" t="inlineStr">
        <is>
          <t>1.6%</t>
        </is>
      </c>
    </row>
    <row r="94">
      <c r="A94" t="inlineStr">
        <is>
          <t>Middle Atlantic</t>
        </is>
      </c>
      <c r="B94" t="inlineStr">
        <is>
          <t>Commercial: Cooling Degree Days: Middle Atlantic: Alternative Electricity and Transportation</t>
        </is>
      </c>
      <c r="C94" t="inlineStr">
        <is>
          <t>AEO.2026.ELECTRNP.KEI_NA_COMM_NA_NA_NA_MATL_CDD.A</t>
        </is>
      </c>
      <c r="D94" t="inlineStr">
        <is>
          <t>CDD</t>
        </is>
      </c>
      <c r="E94" t="n">
        <v>766</v>
      </c>
      <c r="F94" t="n">
        <v>858</v>
      </c>
      <c r="G94" t="n">
        <v>866</v>
      </c>
      <c r="H94" t="n">
        <v>874</v>
      </c>
      <c r="I94" t="n">
        <v>883</v>
      </c>
      <c r="J94" t="n">
        <v>891</v>
      </c>
      <c r="K94" t="n">
        <v>899</v>
      </c>
      <c r="L94" t="n">
        <v>907</v>
      </c>
      <c r="M94" t="n">
        <v>915</v>
      </c>
      <c r="N94" t="n">
        <v>923</v>
      </c>
      <c r="O94" t="n">
        <v>932</v>
      </c>
      <c r="P94" t="n">
        <v>940</v>
      </c>
      <c r="Q94" t="n">
        <v>948</v>
      </c>
      <c r="R94" t="n">
        <v>956</v>
      </c>
      <c r="S94" t="n">
        <v>964</v>
      </c>
      <c r="T94" t="n">
        <v>973</v>
      </c>
      <c r="U94" t="n">
        <v>981</v>
      </c>
      <c r="V94" t="n">
        <v>989</v>
      </c>
      <c r="W94" t="n">
        <v>997</v>
      </c>
      <c r="X94" t="n">
        <v>1005</v>
      </c>
      <c r="Y94" t="n">
        <v>1014</v>
      </c>
      <c r="Z94" t="n">
        <v>1022</v>
      </c>
      <c r="AA94" t="n">
        <v>1030</v>
      </c>
      <c r="AB94" t="n">
        <v>1038</v>
      </c>
      <c r="AC94" t="n">
        <v>1046</v>
      </c>
      <c r="AD94" t="n">
        <v>1055</v>
      </c>
      <c r="AE94" t="inlineStr">
        <is>
          <t>1.3%</t>
        </is>
      </c>
    </row>
    <row r="95">
      <c r="A95" t="inlineStr">
        <is>
          <t>East North Central</t>
        </is>
      </c>
      <c r="B95" t="inlineStr">
        <is>
          <t>Commercial: Cooling Degree Days: East North Central: Alternative Electricity and Transportation</t>
        </is>
      </c>
      <c r="C95" t="inlineStr">
        <is>
          <t>AEO.2026.ELECTRNP.KEI_NA_COMM_NA_NA_NA_ENC_CDD.A</t>
        </is>
      </c>
      <c r="D95" t="inlineStr">
        <is>
          <t>CDD</t>
        </is>
      </c>
      <c r="E95" t="n">
        <v>873</v>
      </c>
      <c r="F95" t="n">
        <v>857</v>
      </c>
      <c r="G95" t="n">
        <v>862</v>
      </c>
      <c r="H95" t="n">
        <v>867</v>
      </c>
      <c r="I95" t="n">
        <v>871</v>
      </c>
      <c r="J95" t="n">
        <v>876</v>
      </c>
      <c r="K95" t="n">
        <v>881</v>
      </c>
      <c r="L95" t="n">
        <v>886</v>
      </c>
      <c r="M95" t="n">
        <v>890</v>
      </c>
      <c r="N95" t="n">
        <v>895</v>
      </c>
      <c r="O95" t="n">
        <v>900</v>
      </c>
      <c r="P95" t="n">
        <v>905</v>
      </c>
      <c r="Q95" t="n">
        <v>909</v>
      </c>
      <c r="R95" t="n">
        <v>914</v>
      </c>
      <c r="S95" t="n">
        <v>919</v>
      </c>
      <c r="T95" t="n">
        <v>924</v>
      </c>
      <c r="U95" t="n">
        <v>928</v>
      </c>
      <c r="V95" t="n">
        <v>933</v>
      </c>
      <c r="W95" t="n">
        <v>938</v>
      </c>
      <c r="X95" t="n">
        <v>943</v>
      </c>
      <c r="Y95" t="n">
        <v>948</v>
      </c>
      <c r="Z95" t="n">
        <v>952</v>
      </c>
      <c r="AA95" t="n">
        <v>957</v>
      </c>
      <c r="AB95" t="n">
        <v>962</v>
      </c>
      <c r="AC95" t="n">
        <v>967</v>
      </c>
      <c r="AD95" t="n">
        <v>972</v>
      </c>
      <c r="AE95" t="inlineStr">
        <is>
          <t>0.4%</t>
        </is>
      </c>
    </row>
    <row r="96">
      <c r="A96" t="inlineStr">
        <is>
          <t>West North Central</t>
        </is>
      </c>
      <c r="B96" t="inlineStr">
        <is>
          <t>Commercial: Cooling Degree Days: West North Central: Alternative Electricity and Transportation</t>
        </is>
      </c>
      <c r="C96" t="inlineStr">
        <is>
          <t>AEO.2026.ELECTRNP.KEI_NA_COMM_NA_NA_NA_WNC_CDD.A</t>
        </is>
      </c>
      <c r="D96" t="inlineStr">
        <is>
          <t>CDD</t>
        </is>
      </c>
      <c r="E96" t="n">
        <v>1052</v>
      </c>
      <c r="F96" t="n">
        <v>1048</v>
      </c>
      <c r="G96" t="n">
        <v>1053</v>
      </c>
      <c r="H96" t="n">
        <v>1057</v>
      </c>
      <c r="I96" t="n">
        <v>1062</v>
      </c>
      <c r="J96" t="n">
        <v>1067</v>
      </c>
      <c r="K96" t="n">
        <v>1071</v>
      </c>
      <c r="L96" t="n">
        <v>1076</v>
      </c>
      <c r="M96" t="n">
        <v>1081</v>
      </c>
      <c r="N96" t="n">
        <v>1086</v>
      </c>
      <c r="O96" t="n">
        <v>1090</v>
      </c>
      <c r="P96" t="n">
        <v>1095</v>
      </c>
      <c r="Q96" t="n">
        <v>1100</v>
      </c>
      <c r="R96" t="n">
        <v>1105</v>
      </c>
      <c r="S96" t="n">
        <v>1109</v>
      </c>
      <c r="T96" t="n">
        <v>1114</v>
      </c>
      <c r="U96" t="n">
        <v>1119</v>
      </c>
      <c r="V96" t="n">
        <v>1124</v>
      </c>
      <c r="W96" t="n">
        <v>1129</v>
      </c>
      <c r="X96" t="n">
        <v>1133</v>
      </c>
      <c r="Y96" t="n">
        <v>1138</v>
      </c>
      <c r="Z96" t="n">
        <v>1143</v>
      </c>
      <c r="AA96" t="n">
        <v>1148</v>
      </c>
      <c r="AB96" t="n">
        <v>1153</v>
      </c>
      <c r="AC96" t="n">
        <v>1158</v>
      </c>
      <c r="AD96" t="n">
        <v>1162</v>
      </c>
      <c r="AE96" t="inlineStr">
        <is>
          <t>0.4%</t>
        </is>
      </c>
    </row>
    <row r="97">
      <c r="A97" t="inlineStr">
        <is>
          <t>South Atlantic</t>
        </is>
      </c>
      <c r="B97" t="inlineStr">
        <is>
          <t>Commercial: Cooling Degree Days: South Atlantic: Alternative Electricity and Transportation</t>
        </is>
      </c>
      <c r="C97" t="inlineStr">
        <is>
          <t>AEO.2026.ELECTRNP.KEI_NA_COMM_NA_NA_NA_SATL_CDD.A</t>
        </is>
      </c>
      <c r="D97" t="inlineStr">
        <is>
          <t>CDD</t>
        </is>
      </c>
      <c r="E97" t="n">
        <v>2319</v>
      </c>
      <c r="F97" t="n">
        <v>2427</v>
      </c>
      <c r="G97" t="n">
        <v>2442</v>
      </c>
      <c r="H97" t="n">
        <v>2458</v>
      </c>
      <c r="I97" t="n">
        <v>2473</v>
      </c>
      <c r="J97" t="n">
        <v>2489</v>
      </c>
      <c r="K97" t="n">
        <v>2505</v>
      </c>
      <c r="L97" t="n">
        <v>2522</v>
      </c>
      <c r="M97" t="n">
        <v>2538</v>
      </c>
      <c r="N97" t="n">
        <v>2554</v>
      </c>
      <c r="O97" t="n">
        <v>2570</v>
      </c>
      <c r="P97" t="n">
        <v>2586</v>
      </c>
      <c r="Q97" t="n">
        <v>2603</v>
      </c>
      <c r="R97" t="n">
        <v>2619</v>
      </c>
      <c r="S97" t="n">
        <v>2635</v>
      </c>
      <c r="T97" t="n">
        <v>2652</v>
      </c>
      <c r="U97" t="n">
        <v>2668</v>
      </c>
      <c r="V97" t="n">
        <v>2684</v>
      </c>
      <c r="W97" t="n">
        <v>2701</v>
      </c>
      <c r="X97" t="n">
        <v>2717</v>
      </c>
      <c r="Y97" t="n">
        <v>2734</v>
      </c>
      <c r="Z97" t="n">
        <v>2750</v>
      </c>
      <c r="AA97" t="n">
        <v>2767</v>
      </c>
      <c r="AB97" t="n">
        <v>2783</v>
      </c>
      <c r="AC97" t="n">
        <v>2800</v>
      </c>
      <c r="AD97" t="n">
        <v>2816</v>
      </c>
      <c r="AE97" t="inlineStr">
        <is>
          <t>0.8%</t>
        </is>
      </c>
    </row>
    <row r="98">
      <c r="A98" t="inlineStr">
        <is>
          <t>East South Central</t>
        </is>
      </c>
      <c r="B98" t="inlineStr">
        <is>
          <t>Commercial: Cooling Degree Days: East South Central: Alternative Electricity and Transportation</t>
        </is>
      </c>
      <c r="C98" t="inlineStr">
        <is>
          <t>AEO.2026.ELECTRNP.KEI_NA_COMM_NA_NA_NA_ESC_CDD.A</t>
        </is>
      </c>
      <c r="D98" t="inlineStr">
        <is>
          <t>CDD</t>
        </is>
      </c>
      <c r="E98" t="n">
        <v>1790</v>
      </c>
      <c r="F98" t="n">
        <v>1783</v>
      </c>
      <c r="G98" t="n">
        <v>1790</v>
      </c>
      <c r="H98" t="n">
        <v>1797</v>
      </c>
      <c r="I98" t="n">
        <v>1804</v>
      </c>
      <c r="J98" t="n">
        <v>1811</v>
      </c>
      <c r="K98" t="n">
        <v>1819</v>
      </c>
      <c r="L98" t="n">
        <v>1826</v>
      </c>
      <c r="M98" t="n">
        <v>1833</v>
      </c>
      <c r="N98" t="n">
        <v>1840</v>
      </c>
      <c r="O98" t="n">
        <v>1847</v>
      </c>
      <c r="P98" t="n">
        <v>1854</v>
      </c>
      <c r="Q98" t="n">
        <v>1862</v>
      </c>
      <c r="R98" t="n">
        <v>1869</v>
      </c>
      <c r="S98" t="n">
        <v>1876</v>
      </c>
      <c r="T98" t="n">
        <v>1883</v>
      </c>
      <c r="U98" t="n">
        <v>1890</v>
      </c>
      <c r="V98" t="n">
        <v>1898</v>
      </c>
      <c r="W98" t="n">
        <v>1905</v>
      </c>
      <c r="X98" t="n">
        <v>1912</v>
      </c>
      <c r="Y98" t="n">
        <v>1919</v>
      </c>
      <c r="Z98" t="n">
        <v>1926</v>
      </c>
      <c r="AA98" t="n">
        <v>1934</v>
      </c>
      <c r="AB98" t="n">
        <v>1941</v>
      </c>
      <c r="AC98" t="n">
        <v>1948</v>
      </c>
      <c r="AD98" t="n">
        <v>1955</v>
      </c>
      <c r="AE98" t="inlineStr">
        <is>
          <t>0.4%</t>
        </is>
      </c>
    </row>
    <row r="99">
      <c r="A99" t="inlineStr">
        <is>
          <t>West South Central</t>
        </is>
      </c>
      <c r="B99" t="inlineStr">
        <is>
          <t>Commercial: Cooling Degree Days: West South Central: Alternative Electricity and Transportation</t>
        </is>
      </c>
      <c r="C99" t="inlineStr">
        <is>
          <t>AEO.2026.ELECTRNP.KEI_NA_COMM_NA_NA_NA_WSC_CDD.A</t>
        </is>
      </c>
      <c r="D99" t="inlineStr">
        <is>
          <t>CDD</t>
        </is>
      </c>
      <c r="E99" t="n">
        <v>2916</v>
      </c>
      <c r="F99" t="n">
        <v>2946</v>
      </c>
      <c r="G99" t="n">
        <v>2961</v>
      </c>
      <c r="H99" t="n">
        <v>2976</v>
      </c>
      <c r="I99" t="n">
        <v>2990</v>
      </c>
      <c r="J99" t="n">
        <v>3005</v>
      </c>
      <c r="K99" t="n">
        <v>3020</v>
      </c>
      <c r="L99" t="n">
        <v>3035</v>
      </c>
      <c r="M99" t="n">
        <v>3049</v>
      </c>
      <c r="N99" t="n">
        <v>3064</v>
      </c>
      <c r="O99" t="n">
        <v>3079</v>
      </c>
      <c r="P99" t="n">
        <v>3093</v>
      </c>
      <c r="Q99" t="n">
        <v>3108</v>
      </c>
      <c r="R99" t="n">
        <v>3123</v>
      </c>
      <c r="S99" t="n">
        <v>3138</v>
      </c>
      <c r="T99" t="n">
        <v>3152</v>
      </c>
      <c r="U99" t="n">
        <v>3167</v>
      </c>
      <c r="V99" t="n">
        <v>3182</v>
      </c>
      <c r="W99" t="n">
        <v>3197</v>
      </c>
      <c r="X99" t="n">
        <v>3211</v>
      </c>
      <c r="Y99" t="n">
        <v>3226</v>
      </c>
      <c r="Z99" t="n">
        <v>3241</v>
      </c>
      <c r="AA99" t="n">
        <v>3255</v>
      </c>
      <c r="AB99" t="n">
        <v>3270</v>
      </c>
      <c r="AC99" t="n">
        <v>3285</v>
      </c>
      <c r="AD99" t="n">
        <v>3299</v>
      </c>
      <c r="AE99" t="inlineStr">
        <is>
          <t>0.5%</t>
        </is>
      </c>
    </row>
    <row r="100">
      <c r="A100" t="inlineStr">
        <is>
          <t>Mountain</t>
        </is>
      </c>
      <c r="B100" t="inlineStr">
        <is>
          <t>Commercial: Cooling Degree Days: Mountain: Alternative Electricity and Transportation</t>
        </is>
      </c>
      <c r="C100" t="inlineStr">
        <is>
          <t>AEO.2026.ELECTRNP.KEI_NA_COMM_NA_NA_NA_MTN_CDD.A</t>
        </is>
      </c>
      <c r="D100" t="inlineStr">
        <is>
          <t>CDD</t>
        </is>
      </c>
      <c r="E100" t="n">
        <v>1515</v>
      </c>
      <c r="F100" t="n">
        <v>1608</v>
      </c>
      <c r="G100" t="n">
        <v>1617</v>
      </c>
      <c r="H100" t="n">
        <v>1627</v>
      </c>
      <c r="I100" t="n">
        <v>1636</v>
      </c>
      <c r="J100" t="n">
        <v>1645</v>
      </c>
      <c r="K100" t="n">
        <v>1655</v>
      </c>
      <c r="L100" t="n">
        <v>1664</v>
      </c>
      <c r="M100" t="n">
        <v>1673</v>
      </c>
      <c r="N100" t="n">
        <v>1682</v>
      </c>
      <c r="O100" t="n">
        <v>1691</v>
      </c>
      <c r="P100" t="n">
        <v>1701</v>
      </c>
      <c r="Q100" t="n">
        <v>1710</v>
      </c>
      <c r="R100" t="n">
        <v>1719</v>
      </c>
      <c r="S100" t="n">
        <v>1728</v>
      </c>
      <c r="T100" t="n">
        <v>1737</v>
      </c>
      <c r="U100" t="n">
        <v>1746</v>
      </c>
      <c r="V100" t="n">
        <v>1755</v>
      </c>
      <c r="W100" t="n">
        <v>1764</v>
      </c>
      <c r="X100" t="n">
        <v>1773</v>
      </c>
      <c r="Y100" t="n">
        <v>1782</v>
      </c>
      <c r="Z100" t="n">
        <v>1791</v>
      </c>
      <c r="AA100" t="n">
        <v>1800</v>
      </c>
      <c r="AB100" t="n">
        <v>1809</v>
      </c>
      <c r="AC100" t="n">
        <v>1818</v>
      </c>
      <c r="AD100" t="n">
        <v>1827</v>
      </c>
      <c r="AE100" t="inlineStr">
        <is>
          <t>0.8%</t>
        </is>
      </c>
    </row>
    <row r="101">
      <c r="A101" t="inlineStr">
        <is>
          <t>Pacific</t>
        </is>
      </c>
      <c r="B101" t="inlineStr">
        <is>
          <t>Commercial: Cooling Degree Days: Pacific: Alternative Electricity and Transportation</t>
        </is>
      </c>
      <c r="C101" t="inlineStr">
        <is>
          <t>AEO.2026.ELECTRNP.KEI_NA_COMM_NA_NA_NA_PCF_CDD.A</t>
        </is>
      </c>
      <c r="D101" t="inlineStr">
        <is>
          <t>CDD</t>
        </is>
      </c>
      <c r="E101" t="n">
        <v>887</v>
      </c>
      <c r="F101" t="n">
        <v>1040</v>
      </c>
      <c r="G101" t="n">
        <v>1049</v>
      </c>
      <c r="H101" t="n">
        <v>1058</v>
      </c>
      <c r="I101" t="n">
        <v>1067</v>
      </c>
      <c r="J101" t="n">
        <v>1076</v>
      </c>
      <c r="K101" t="n">
        <v>1085</v>
      </c>
      <c r="L101" t="n">
        <v>1094</v>
      </c>
      <c r="M101" t="n">
        <v>1103</v>
      </c>
      <c r="N101" t="n">
        <v>1112</v>
      </c>
      <c r="O101" t="n">
        <v>1121</v>
      </c>
      <c r="P101" t="n">
        <v>1131</v>
      </c>
      <c r="Q101" t="n">
        <v>1140</v>
      </c>
      <c r="R101" t="n">
        <v>1149</v>
      </c>
      <c r="S101" t="n">
        <v>1158</v>
      </c>
      <c r="T101" t="n">
        <v>1167</v>
      </c>
      <c r="U101" t="n">
        <v>1177</v>
      </c>
      <c r="V101" t="n">
        <v>1186</v>
      </c>
      <c r="W101" t="n">
        <v>1195</v>
      </c>
      <c r="X101" t="n">
        <v>1204</v>
      </c>
      <c r="Y101" t="n">
        <v>1213</v>
      </c>
      <c r="Z101" t="n">
        <v>1223</v>
      </c>
      <c r="AA101" t="n">
        <v>1232</v>
      </c>
      <c r="AB101" t="n">
        <v>1241</v>
      </c>
      <c r="AC101" t="n">
        <v>1250</v>
      </c>
      <c r="AD101" t="n">
        <v>1259</v>
      </c>
      <c r="AE101" t="inlineStr">
        <is>
          <t>1.4%</t>
        </is>
      </c>
    </row>
    <row r="102">
      <c r="A102" t="inlineStr">
        <is>
          <t>United States</t>
        </is>
      </c>
      <c r="B102" t="inlineStr">
        <is>
          <t>Commercial: Cooling Degree Days: United States: Alternative Electricity and Transportation</t>
        </is>
      </c>
      <c r="C102" t="inlineStr">
        <is>
          <t>AEO.2026.ELECTRNP.KEI_NA_COMM_NA_NA_NA_USA_CDD.A</t>
        </is>
      </c>
      <c r="D102" t="inlineStr">
        <is>
          <t>CDD</t>
        </is>
      </c>
      <c r="E102" t="n">
        <v>1516.423584</v>
      </c>
      <c r="F102" t="n">
        <v>1589.852905</v>
      </c>
      <c r="G102" t="n">
        <v>1602.154053</v>
      </c>
      <c r="H102" t="n">
        <v>1614.689941</v>
      </c>
      <c r="I102" t="n">
        <v>1626.874268</v>
      </c>
      <c r="J102" t="n">
        <v>1639.429199</v>
      </c>
      <c r="K102" t="n">
        <v>1652.126587</v>
      </c>
      <c r="L102" t="n">
        <v>1664.940918</v>
      </c>
      <c r="M102" t="n">
        <v>1677.306885</v>
      </c>
      <c r="N102" t="n">
        <v>1689.963013</v>
      </c>
      <c r="O102" t="n">
        <v>1702.697632</v>
      </c>
      <c r="P102" t="n">
        <v>1715.525879</v>
      </c>
      <c r="Q102" t="n">
        <v>1728.397705</v>
      </c>
      <c r="R102" t="n">
        <v>1741.199097</v>
      </c>
      <c r="S102" t="n">
        <v>1753.922607</v>
      </c>
      <c r="T102" t="n">
        <v>1766.921387</v>
      </c>
      <c r="U102" t="n">
        <v>1779.796143</v>
      </c>
      <c r="V102" t="n">
        <v>1792.71167</v>
      </c>
      <c r="W102" t="n">
        <v>1805.812012</v>
      </c>
      <c r="X102" t="n">
        <v>1818.522705</v>
      </c>
      <c r="Y102" t="n">
        <v>1831.77832</v>
      </c>
      <c r="Z102" t="n">
        <v>1844.803101</v>
      </c>
      <c r="AA102" t="n">
        <v>1857.874023</v>
      </c>
      <c r="AB102" t="n">
        <v>1870.785278</v>
      </c>
      <c r="AC102" t="n">
        <v>1883.820312</v>
      </c>
      <c r="AD102" t="n">
        <v>1896.469849</v>
      </c>
      <c r="AE102" t="inlineStr">
        <is>
          <t>0.9%</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Jeffrey Rissman</dc:creator>
  <dcterms:created xsi:type="dcterms:W3CDTF">2014-04-18T00:48:59Z</dcterms:created>
  <dcterms:modified xsi:type="dcterms:W3CDTF">2026-04-24T16:01:16Z</dcterms:modified>
  <cp:lastModifiedBy>Olivia Ashmoore</cp:lastModifiedBy>
</cp:coreProperties>
</file>