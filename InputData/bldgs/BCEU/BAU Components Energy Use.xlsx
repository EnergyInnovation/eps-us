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bldgs\BCEU\"/>
    </mc:Choice>
  </mc:AlternateContent>
  <xr:revisionPtr revIDLastSave="0" documentId="13_ncr:1_{A7CF6D3A-13DA-49BF-A2F9-678663B2C841}" xr6:coauthVersionLast="47" xr6:coauthVersionMax="47" xr10:uidLastSave="{00000000-0000-0000-0000-000000000000}"/>
  <bookViews>
    <workbookView xWindow="-120" yWindow="-120" windowWidth="29040" windowHeight="17520" firstSheet="5" xr2:uid="{C2AF0B5D-865A-4BA7-BF70-7FC8AC1DB459}"/>
  </bookViews>
  <sheets>
    <sheet name="About" sheetId="1" r:id="rId1"/>
    <sheet name="Source Data&gt;" sheetId="44" r:id="rId2"/>
    <sheet name="RECS HC2.1" sheetId="22" r:id="rId3"/>
    <sheet name="Table_4._Residential_Sector_Key" sheetId="39" r:id="rId4"/>
    <sheet name="Table_5._Commercial_Sector_Key_" sheetId="40" r:id="rId5"/>
    <sheet name="Water and Waste" sheetId="34" r:id="rId6"/>
    <sheet name="Calcs&gt;" sheetId="45" r:id="rId7"/>
    <sheet name="Heat Pump DOE Rule Adjustment" sheetId="38" r:id="rId8"/>
    <sheet name="Crosswalk AEO to EPS Summary" sheetId="43" r:id="rId9"/>
    <sheet name="Calculations" sheetId="42" r:id="rId10"/>
    <sheet name="BCEU-urban-residential-heating" sheetId="18" r:id="rId11"/>
    <sheet name="BCEU-urban-residential-cooling" sheetId="20" r:id="rId12"/>
    <sheet name="BCEU-urban-residential-lighting" sheetId="11" r:id="rId13"/>
    <sheet name="BCEU-urban-residential-appl" sheetId="12" r:id="rId14"/>
    <sheet name="BCEU-urban-residential-other" sheetId="13" r:id="rId15"/>
    <sheet name="BCEU-rural-residential-heating" sheetId="23" r:id="rId16"/>
    <sheet name="BCEU-rural-residential-cooling" sheetId="24" r:id="rId17"/>
    <sheet name="BCEU-rural-residential-lighting" sheetId="25" r:id="rId18"/>
    <sheet name="BCEU-rural-residential-appl" sheetId="26" r:id="rId19"/>
    <sheet name="BCEU-rural-residential-other" sheetId="27" r:id="rId20"/>
    <sheet name="BCEU-commercial-heating" sheetId="21" r:id="rId21"/>
    <sheet name="BCEU-commercial-cooling" sheetId="14" r:id="rId22"/>
    <sheet name="BCEU-commercial-lighting" sheetId="15" r:id="rId23"/>
    <sheet name="BCEU-commercial-appl" sheetId="16" r:id="rId24"/>
    <sheet name="BCEU-commercial-other" sheetId="17" r:id="rId25"/>
    <sheet name="BCEU-all-envelope" sheetId="31" r:id="rId26"/>
  </sheets>
  <definedNames>
    <definedName name="_xlnm._FilterDatabase" localSheetId="8" hidden="1">'Crosswalk AEO to EPS Summary'!$A$1:$E$117</definedName>
    <definedName name="Fraction_coal">About!$C$46</definedName>
    <definedName name="gal_per_barrel">#REF!</definedName>
    <definedName name="Percent_rural">About!$A$68</definedName>
    <definedName name="Percent_urban">About!$A$67</definedName>
    <definedName name="quadrillion">About!$B$70</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6" i="17" l="1"/>
  <c r="D6" i="17"/>
  <c r="E6" i="17"/>
  <c r="F6" i="17"/>
  <c r="G6" i="17"/>
  <c r="H6" i="17"/>
  <c r="I6" i="17"/>
  <c r="J6" i="17"/>
  <c r="K6" i="17"/>
  <c r="L6" i="17"/>
  <c r="M6" i="17"/>
  <c r="N6" i="17"/>
  <c r="O6" i="17"/>
  <c r="P6" i="17"/>
  <c r="Q6" i="17"/>
  <c r="R6" i="17"/>
  <c r="S6" i="17"/>
  <c r="T6" i="17"/>
  <c r="U6" i="17"/>
  <c r="V6" i="17"/>
  <c r="W6" i="17"/>
  <c r="X6" i="17"/>
  <c r="Y6" i="17"/>
  <c r="Z6" i="17"/>
  <c r="AA6" i="17"/>
  <c r="AB6" i="17"/>
  <c r="C7" i="17"/>
  <c r="D7" i="17"/>
  <c r="E7" i="17"/>
  <c r="F7" i="17"/>
  <c r="G7" i="17"/>
  <c r="H7" i="17"/>
  <c r="I7" i="17"/>
  <c r="J7" i="17"/>
  <c r="K7" i="17"/>
  <c r="L7" i="17"/>
  <c r="M7" i="17"/>
  <c r="N7" i="17"/>
  <c r="O7" i="17"/>
  <c r="P7" i="17"/>
  <c r="Q7" i="17"/>
  <c r="R7" i="17"/>
  <c r="S7" i="17"/>
  <c r="T7" i="17"/>
  <c r="U7" i="17"/>
  <c r="V7" i="17"/>
  <c r="W7" i="17"/>
  <c r="X7" i="17"/>
  <c r="Y7" i="17"/>
  <c r="Z7" i="17"/>
  <c r="AA7" i="17"/>
  <c r="AB7" i="17"/>
  <c r="C8" i="17"/>
  <c r="D8" i="17"/>
  <c r="E8" i="17"/>
  <c r="F8" i="17"/>
  <c r="G8" i="17"/>
  <c r="H8" i="17"/>
  <c r="I8" i="17"/>
  <c r="J8" i="17"/>
  <c r="K8" i="17"/>
  <c r="L8" i="17"/>
  <c r="M8" i="17"/>
  <c r="N8" i="17"/>
  <c r="O8" i="17"/>
  <c r="P8" i="17"/>
  <c r="Q8" i="17"/>
  <c r="R8" i="17"/>
  <c r="S8" i="17"/>
  <c r="T8" i="17"/>
  <c r="U8" i="17"/>
  <c r="V8" i="17"/>
  <c r="W8" i="17"/>
  <c r="X8" i="17"/>
  <c r="Y8" i="17"/>
  <c r="Z8" i="17"/>
  <c r="AA8" i="17"/>
  <c r="AB8" i="17"/>
  <c r="C9" i="17"/>
  <c r="D9" i="17"/>
  <c r="E9" i="17"/>
  <c r="F9" i="17"/>
  <c r="G9" i="17"/>
  <c r="H9" i="17"/>
  <c r="I9" i="17"/>
  <c r="J9" i="17"/>
  <c r="K9" i="17"/>
  <c r="L9" i="17"/>
  <c r="M9" i="17"/>
  <c r="N9" i="17"/>
  <c r="O9" i="17"/>
  <c r="P9" i="17"/>
  <c r="Q9" i="17"/>
  <c r="R9" i="17"/>
  <c r="S9" i="17"/>
  <c r="T9" i="17"/>
  <c r="U9" i="17"/>
  <c r="V9" i="17"/>
  <c r="W9" i="17"/>
  <c r="X9" i="17"/>
  <c r="Y9" i="17"/>
  <c r="Z9" i="17"/>
  <c r="AA9" i="17"/>
  <c r="AB9" i="17"/>
  <c r="C11" i="17"/>
  <c r="D11" i="17"/>
  <c r="E11" i="17"/>
  <c r="F11" i="17"/>
  <c r="G11" i="17"/>
  <c r="H11" i="17"/>
  <c r="I11" i="17"/>
  <c r="J11" i="17"/>
  <c r="K11" i="17"/>
  <c r="L11" i="17"/>
  <c r="M11" i="17"/>
  <c r="N11" i="17"/>
  <c r="O11" i="17"/>
  <c r="P11" i="17"/>
  <c r="Q11" i="17"/>
  <c r="R11" i="17"/>
  <c r="S11" i="17"/>
  <c r="T11" i="17"/>
  <c r="U11" i="17"/>
  <c r="V11" i="17"/>
  <c r="W11" i="17"/>
  <c r="X11" i="17"/>
  <c r="Y11" i="17"/>
  <c r="Z11" i="17"/>
  <c r="AA11" i="17"/>
  <c r="AB11" i="17"/>
  <c r="B6" i="17"/>
  <c r="B7" i="17"/>
  <c r="B8" i="17"/>
  <c r="B9" i="17"/>
  <c r="B11" i="17"/>
  <c r="C3" i="16"/>
  <c r="D3" i="16"/>
  <c r="E3" i="16"/>
  <c r="F3" i="16"/>
  <c r="G3" i="16"/>
  <c r="H3" i="16"/>
  <c r="I3" i="16"/>
  <c r="J3" i="16"/>
  <c r="K3" i="16"/>
  <c r="L3" i="16"/>
  <c r="M3" i="16"/>
  <c r="N3" i="16"/>
  <c r="O3" i="16"/>
  <c r="P3" i="16"/>
  <c r="Q3" i="16"/>
  <c r="R3" i="16"/>
  <c r="S3" i="16"/>
  <c r="T3" i="16"/>
  <c r="U3" i="16"/>
  <c r="V3" i="16"/>
  <c r="W3" i="16"/>
  <c r="X3" i="16"/>
  <c r="Y3" i="16"/>
  <c r="Z3" i="16"/>
  <c r="AA3" i="16"/>
  <c r="AB3" i="16"/>
  <c r="C6" i="16"/>
  <c r="D6" i="16"/>
  <c r="E6" i="16"/>
  <c r="F6" i="16"/>
  <c r="G6" i="16"/>
  <c r="H6" i="16"/>
  <c r="I6" i="16"/>
  <c r="J6" i="16"/>
  <c r="K6" i="16"/>
  <c r="L6" i="16"/>
  <c r="M6" i="16"/>
  <c r="N6" i="16"/>
  <c r="O6" i="16"/>
  <c r="P6" i="16"/>
  <c r="Q6" i="16"/>
  <c r="R6" i="16"/>
  <c r="S6" i="16"/>
  <c r="T6" i="16"/>
  <c r="U6" i="16"/>
  <c r="V6" i="16"/>
  <c r="W6" i="16"/>
  <c r="X6" i="16"/>
  <c r="Y6" i="16"/>
  <c r="Z6" i="16"/>
  <c r="AA6" i="16"/>
  <c r="AB6" i="16"/>
  <c r="C7" i="16"/>
  <c r="D7" i="16"/>
  <c r="E7" i="16"/>
  <c r="F7" i="16"/>
  <c r="G7" i="16"/>
  <c r="H7" i="16"/>
  <c r="I7" i="16"/>
  <c r="J7" i="16"/>
  <c r="K7" i="16"/>
  <c r="L7" i="16"/>
  <c r="M7" i="16"/>
  <c r="N7" i="16"/>
  <c r="O7" i="16"/>
  <c r="P7" i="16"/>
  <c r="Q7" i="16"/>
  <c r="R7" i="16"/>
  <c r="S7" i="16"/>
  <c r="T7" i="16"/>
  <c r="U7" i="16"/>
  <c r="V7" i="16"/>
  <c r="W7" i="16"/>
  <c r="X7" i="16"/>
  <c r="Y7" i="16"/>
  <c r="Z7" i="16"/>
  <c r="AA7" i="16"/>
  <c r="AB7" i="16"/>
  <c r="C8" i="16"/>
  <c r="D8" i="16"/>
  <c r="E8" i="16"/>
  <c r="F8" i="16"/>
  <c r="G8" i="16"/>
  <c r="H8" i="16"/>
  <c r="I8" i="16"/>
  <c r="J8" i="16"/>
  <c r="K8" i="16"/>
  <c r="L8" i="16"/>
  <c r="M8" i="16"/>
  <c r="N8" i="16"/>
  <c r="O8" i="16"/>
  <c r="P8" i="16"/>
  <c r="Q8" i="16"/>
  <c r="R8" i="16"/>
  <c r="S8" i="16"/>
  <c r="T8" i="16"/>
  <c r="U8" i="16"/>
  <c r="V8" i="16"/>
  <c r="W8" i="16"/>
  <c r="X8" i="16"/>
  <c r="Y8" i="16"/>
  <c r="Z8" i="16"/>
  <c r="AA8" i="16"/>
  <c r="AB8" i="16"/>
  <c r="C9" i="16"/>
  <c r="D9" i="16"/>
  <c r="E9" i="16"/>
  <c r="F9" i="16"/>
  <c r="G9" i="16"/>
  <c r="H9" i="16"/>
  <c r="I9" i="16"/>
  <c r="J9" i="16"/>
  <c r="K9" i="16"/>
  <c r="L9" i="16"/>
  <c r="M9" i="16"/>
  <c r="N9" i="16"/>
  <c r="O9" i="16"/>
  <c r="P9" i="16"/>
  <c r="Q9" i="16"/>
  <c r="R9" i="16"/>
  <c r="S9" i="16"/>
  <c r="T9" i="16"/>
  <c r="U9" i="16"/>
  <c r="V9" i="16"/>
  <c r="W9" i="16"/>
  <c r="X9" i="16"/>
  <c r="Y9" i="16"/>
  <c r="Z9" i="16"/>
  <c r="AA9" i="16"/>
  <c r="AB9" i="16"/>
  <c r="C11" i="16"/>
  <c r="D11" i="16"/>
  <c r="E11" i="16"/>
  <c r="F11" i="16"/>
  <c r="G11" i="16"/>
  <c r="H11" i="16"/>
  <c r="I11" i="16"/>
  <c r="J11" i="16"/>
  <c r="K11" i="16"/>
  <c r="L11" i="16"/>
  <c r="M11" i="16"/>
  <c r="N11" i="16"/>
  <c r="O11" i="16"/>
  <c r="P11" i="16"/>
  <c r="Q11" i="16"/>
  <c r="R11" i="16"/>
  <c r="S11" i="16"/>
  <c r="T11" i="16"/>
  <c r="U11" i="16"/>
  <c r="V11" i="16"/>
  <c r="W11" i="16"/>
  <c r="X11" i="16"/>
  <c r="Y11" i="16"/>
  <c r="Z11" i="16"/>
  <c r="AA11" i="16"/>
  <c r="AB11" i="16"/>
  <c r="B3" i="16"/>
  <c r="B6" i="16"/>
  <c r="B7" i="16"/>
  <c r="B8" i="16"/>
  <c r="B9" i="16"/>
  <c r="B11" i="16"/>
  <c r="C3" i="15"/>
  <c r="D3" i="15"/>
  <c r="E3" i="15"/>
  <c r="F3" i="15"/>
  <c r="G3" i="15"/>
  <c r="H3" i="15"/>
  <c r="I3" i="15"/>
  <c r="J3" i="15"/>
  <c r="K3" i="15"/>
  <c r="L3" i="15"/>
  <c r="M3" i="15"/>
  <c r="N3" i="15"/>
  <c r="O3" i="15"/>
  <c r="P3" i="15"/>
  <c r="Q3" i="15"/>
  <c r="R3" i="15"/>
  <c r="S3" i="15"/>
  <c r="T3" i="15"/>
  <c r="U3" i="15"/>
  <c r="V3" i="15"/>
  <c r="W3" i="15"/>
  <c r="X3" i="15"/>
  <c r="Y3" i="15"/>
  <c r="Z3" i="15"/>
  <c r="AA3" i="15"/>
  <c r="AB3" i="15"/>
  <c r="C4" i="15"/>
  <c r="D4" i="15"/>
  <c r="E4" i="15"/>
  <c r="F4" i="15"/>
  <c r="G4" i="15"/>
  <c r="H4" i="15"/>
  <c r="I4" i="15"/>
  <c r="J4" i="15"/>
  <c r="K4" i="15"/>
  <c r="L4" i="15"/>
  <c r="M4" i="15"/>
  <c r="N4" i="15"/>
  <c r="O4" i="15"/>
  <c r="P4" i="15"/>
  <c r="Q4" i="15"/>
  <c r="R4" i="15"/>
  <c r="S4" i="15"/>
  <c r="T4" i="15"/>
  <c r="U4" i="15"/>
  <c r="V4" i="15"/>
  <c r="W4" i="15"/>
  <c r="X4" i="15"/>
  <c r="Y4" i="15"/>
  <c r="Z4" i="15"/>
  <c r="AA4" i="15"/>
  <c r="AB4" i="15"/>
  <c r="C5" i="15"/>
  <c r="D5" i="15"/>
  <c r="E5" i="15"/>
  <c r="F5" i="15"/>
  <c r="G5" i="15"/>
  <c r="H5" i="15"/>
  <c r="I5" i="15"/>
  <c r="J5" i="15"/>
  <c r="K5" i="15"/>
  <c r="L5" i="15"/>
  <c r="M5" i="15"/>
  <c r="N5" i="15"/>
  <c r="O5" i="15"/>
  <c r="P5" i="15"/>
  <c r="Q5" i="15"/>
  <c r="R5" i="15"/>
  <c r="S5" i="15"/>
  <c r="T5" i="15"/>
  <c r="U5" i="15"/>
  <c r="V5" i="15"/>
  <c r="W5" i="15"/>
  <c r="X5" i="15"/>
  <c r="Y5" i="15"/>
  <c r="Z5" i="15"/>
  <c r="AA5" i="15"/>
  <c r="AB5" i="15"/>
  <c r="C6" i="15"/>
  <c r="D6" i="15"/>
  <c r="E6" i="15"/>
  <c r="F6" i="15"/>
  <c r="G6" i="15"/>
  <c r="H6" i="15"/>
  <c r="I6" i="15"/>
  <c r="J6" i="15"/>
  <c r="K6" i="15"/>
  <c r="L6" i="15"/>
  <c r="M6" i="15"/>
  <c r="N6" i="15"/>
  <c r="O6" i="15"/>
  <c r="P6" i="15"/>
  <c r="Q6" i="15"/>
  <c r="R6" i="15"/>
  <c r="S6" i="15"/>
  <c r="T6" i="15"/>
  <c r="U6" i="15"/>
  <c r="V6" i="15"/>
  <c r="W6" i="15"/>
  <c r="X6" i="15"/>
  <c r="Y6" i="15"/>
  <c r="Z6" i="15"/>
  <c r="AA6" i="15"/>
  <c r="AB6" i="15"/>
  <c r="C7" i="15"/>
  <c r="D7" i="15"/>
  <c r="E7" i="15"/>
  <c r="F7" i="15"/>
  <c r="G7" i="15"/>
  <c r="H7" i="15"/>
  <c r="I7" i="15"/>
  <c r="J7" i="15"/>
  <c r="K7" i="15"/>
  <c r="L7" i="15"/>
  <c r="M7" i="15"/>
  <c r="N7" i="15"/>
  <c r="O7" i="15"/>
  <c r="P7" i="15"/>
  <c r="Q7" i="15"/>
  <c r="R7" i="15"/>
  <c r="S7" i="15"/>
  <c r="T7" i="15"/>
  <c r="U7" i="15"/>
  <c r="V7" i="15"/>
  <c r="W7" i="15"/>
  <c r="X7" i="15"/>
  <c r="Y7" i="15"/>
  <c r="Z7" i="15"/>
  <c r="AA7" i="15"/>
  <c r="AB7" i="15"/>
  <c r="C8" i="15"/>
  <c r="D8" i="15"/>
  <c r="E8" i="15"/>
  <c r="F8" i="15"/>
  <c r="G8" i="15"/>
  <c r="H8" i="15"/>
  <c r="I8" i="15"/>
  <c r="J8" i="15"/>
  <c r="K8" i="15"/>
  <c r="L8" i="15"/>
  <c r="M8" i="15"/>
  <c r="N8" i="15"/>
  <c r="O8" i="15"/>
  <c r="P8" i="15"/>
  <c r="Q8" i="15"/>
  <c r="R8" i="15"/>
  <c r="S8" i="15"/>
  <c r="T8" i="15"/>
  <c r="U8" i="15"/>
  <c r="V8" i="15"/>
  <c r="W8" i="15"/>
  <c r="X8" i="15"/>
  <c r="Y8" i="15"/>
  <c r="Z8" i="15"/>
  <c r="AA8" i="15"/>
  <c r="AB8" i="15"/>
  <c r="C9" i="15"/>
  <c r="D9" i="15"/>
  <c r="E9" i="15"/>
  <c r="F9" i="15"/>
  <c r="G9" i="15"/>
  <c r="H9" i="15"/>
  <c r="I9" i="15"/>
  <c r="J9" i="15"/>
  <c r="K9" i="15"/>
  <c r="L9" i="15"/>
  <c r="M9" i="15"/>
  <c r="N9" i="15"/>
  <c r="O9" i="15"/>
  <c r="P9" i="15"/>
  <c r="Q9" i="15"/>
  <c r="R9" i="15"/>
  <c r="S9" i="15"/>
  <c r="T9" i="15"/>
  <c r="U9" i="15"/>
  <c r="V9" i="15"/>
  <c r="W9" i="15"/>
  <c r="X9" i="15"/>
  <c r="Y9" i="15"/>
  <c r="Z9" i="15"/>
  <c r="AA9" i="15"/>
  <c r="AB9" i="15"/>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3" i="15"/>
  <c r="B4" i="15"/>
  <c r="B5" i="15"/>
  <c r="B6" i="15"/>
  <c r="B7" i="15"/>
  <c r="B8" i="15"/>
  <c r="B9" i="15"/>
  <c r="B10" i="15"/>
  <c r="B11" i="15"/>
  <c r="C3" i="14"/>
  <c r="D3" i="14"/>
  <c r="E3" i="14"/>
  <c r="F3" i="14"/>
  <c r="G3" i="14"/>
  <c r="H3" i="14"/>
  <c r="I3" i="14"/>
  <c r="J3" i="14"/>
  <c r="K3" i="14"/>
  <c r="L3" i="14"/>
  <c r="M3" i="14"/>
  <c r="N3" i="14"/>
  <c r="O3" i="14"/>
  <c r="P3" i="14"/>
  <c r="Q3" i="14"/>
  <c r="R3" i="14"/>
  <c r="S3" i="14"/>
  <c r="T3" i="14"/>
  <c r="U3" i="14"/>
  <c r="V3" i="14"/>
  <c r="W3" i="14"/>
  <c r="X3" i="14"/>
  <c r="Y3" i="14"/>
  <c r="Z3" i="14"/>
  <c r="AA3" i="14"/>
  <c r="AB3" i="14"/>
  <c r="C5" i="14"/>
  <c r="D5" i="14"/>
  <c r="E5" i="14"/>
  <c r="F5" i="14"/>
  <c r="G5" i="14"/>
  <c r="H5" i="14"/>
  <c r="I5" i="14"/>
  <c r="J5" i="14"/>
  <c r="K5" i="14"/>
  <c r="L5" i="14"/>
  <c r="M5" i="14"/>
  <c r="N5" i="14"/>
  <c r="O5" i="14"/>
  <c r="P5" i="14"/>
  <c r="Q5" i="14"/>
  <c r="R5" i="14"/>
  <c r="S5" i="14"/>
  <c r="T5" i="14"/>
  <c r="U5" i="14"/>
  <c r="V5" i="14"/>
  <c r="W5" i="14"/>
  <c r="X5" i="14"/>
  <c r="Y5" i="14"/>
  <c r="Z5" i="14"/>
  <c r="AA5" i="14"/>
  <c r="AB5" i="14"/>
  <c r="C6" i="14"/>
  <c r="D6" i="14"/>
  <c r="E6" i="14"/>
  <c r="F6" i="14"/>
  <c r="G6" i="14"/>
  <c r="H6" i="14"/>
  <c r="I6" i="14"/>
  <c r="J6" i="14"/>
  <c r="K6" i="14"/>
  <c r="L6" i="14"/>
  <c r="M6" i="14"/>
  <c r="N6" i="14"/>
  <c r="O6" i="14"/>
  <c r="P6" i="14"/>
  <c r="Q6" i="14"/>
  <c r="R6" i="14"/>
  <c r="S6" i="14"/>
  <c r="T6" i="14"/>
  <c r="U6" i="14"/>
  <c r="V6" i="14"/>
  <c r="W6" i="14"/>
  <c r="X6" i="14"/>
  <c r="Y6" i="14"/>
  <c r="Z6" i="14"/>
  <c r="AA6" i="14"/>
  <c r="AB6" i="14"/>
  <c r="C7" i="14"/>
  <c r="D7" i="14"/>
  <c r="E7" i="14"/>
  <c r="F7" i="14"/>
  <c r="G7" i="14"/>
  <c r="H7" i="14"/>
  <c r="I7" i="14"/>
  <c r="J7" i="14"/>
  <c r="K7" i="14"/>
  <c r="L7" i="14"/>
  <c r="M7" i="14"/>
  <c r="N7" i="14"/>
  <c r="O7" i="14"/>
  <c r="P7" i="14"/>
  <c r="Q7" i="14"/>
  <c r="R7" i="14"/>
  <c r="S7" i="14"/>
  <c r="T7" i="14"/>
  <c r="U7" i="14"/>
  <c r="V7" i="14"/>
  <c r="W7" i="14"/>
  <c r="X7" i="14"/>
  <c r="Y7" i="14"/>
  <c r="Z7" i="14"/>
  <c r="AA7" i="14"/>
  <c r="AB7" i="14"/>
  <c r="C8" i="14"/>
  <c r="D8" i="14"/>
  <c r="E8" i="14"/>
  <c r="F8" i="14"/>
  <c r="G8" i="14"/>
  <c r="H8" i="14"/>
  <c r="I8" i="14"/>
  <c r="J8" i="14"/>
  <c r="K8" i="14"/>
  <c r="L8" i="14"/>
  <c r="M8" i="14"/>
  <c r="N8" i="14"/>
  <c r="O8" i="14"/>
  <c r="P8" i="14"/>
  <c r="Q8" i="14"/>
  <c r="R8" i="14"/>
  <c r="S8" i="14"/>
  <c r="T8" i="14"/>
  <c r="U8" i="14"/>
  <c r="V8" i="14"/>
  <c r="W8" i="14"/>
  <c r="X8" i="14"/>
  <c r="Y8" i="14"/>
  <c r="Z8" i="14"/>
  <c r="AA8" i="14"/>
  <c r="AB8" i="14"/>
  <c r="C9" i="14"/>
  <c r="D9" i="14"/>
  <c r="E9" i="14"/>
  <c r="F9" i="14"/>
  <c r="G9" i="14"/>
  <c r="H9" i="14"/>
  <c r="I9" i="14"/>
  <c r="J9" i="14"/>
  <c r="K9" i="14"/>
  <c r="L9" i="14"/>
  <c r="M9" i="14"/>
  <c r="N9" i="14"/>
  <c r="O9" i="14"/>
  <c r="P9" i="14"/>
  <c r="Q9" i="14"/>
  <c r="R9" i="14"/>
  <c r="S9" i="14"/>
  <c r="T9" i="14"/>
  <c r="U9" i="14"/>
  <c r="V9" i="14"/>
  <c r="W9" i="14"/>
  <c r="X9" i="14"/>
  <c r="Y9" i="14"/>
  <c r="Z9" i="14"/>
  <c r="AA9" i="14"/>
  <c r="AB9" i="14"/>
  <c r="C10" i="14"/>
  <c r="D10" i="14"/>
  <c r="E10" i="14"/>
  <c r="F10" i="14"/>
  <c r="G10" i="14"/>
  <c r="H10" i="14"/>
  <c r="I10" i="14"/>
  <c r="J10" i="14"/>
  <c r="K10" i="14"/>
  <c r="L10" i="14"/>
  <c r="M10" i="14"/>
  <c r="N10" i="14"/>
  <c r="O10" i="14"/>
  <c r="P10" i="14"/>
  <c r="Q10" i="14"/>
  <c r="R10" i="14"/>
  <c r="S10" i="14"/>
  <c r="T10" i="14"/>
  <c r="U10" i="14"/>
  <c r="V10" i="14"/>
  <c r="W10" i="14"/>
  <c r="X10" i="14"/>
  <c r="Y10" i="14"/>
  <c r="Z10" i="14"/>
  <c r="AA10" i="14"/>
  <c r="AB10" i="14"/>
  <c r="C11" i="14"/>
  <c r="D11" i="14"/>
  <c r="E11" i="14"/>
  <c r="F11" i="14"/>
  <c r="G11" i="14"/>
  <c r="H11" i="14"/>
  <c r="I11" i="14"/>
  <c r="J11" i="14"/>
  <c r="K11" i="14"/>
  <c r="L11" i="14"/>
  <c r="M11" i="14"/>
  <c r="N11" i="14"/>
  <c r="O11" i="14"/>
  <c r="P11" i="14"/>
  <c r="Q11" i="14"/>
  <c r="R11" i="14"/>
  <c r="S11" i="14"/>
  <c r="T11" i="14"/>
  <c r="U11" i="14"/>
  <c r="V11" i="14"/>
  <c r="W11" i="14"/>
  <c r="X11" i="14"/>
  <c r="Y11" i="14"/>
  <c r="Z11" i="14"/>
  <c r="AA11" i="14"/>
  <c r="AB11" i="14"/>
  <c r="B3" i="14"/>
  <c r="B5" i="14"/>
  <c r="B6" i="14"/>
  <c r="B7" i="14"/>
  <c r="B8" i="14"/>
  <c r="B9" i="14"/>
  <c r="B10" i="14"/>
  <c r="B11" i="14"/>
  <c r="C3" i="21"/>
  <c r="D3" i="21"/>
  <c r="E3" i="21"/>
  <c r="F3" i="21"/>
  <c r="G3" i="21"/>
  <c r="H3" i="21"/>
  <c r="I3" i="21"/>
  <c r="J3" i="21"/>
  <c r="K3" i="21"/>
  <c r="L3" i="21"/>
  <c r="M3" i="21"/>
  <c r="N3" i="21"/>
  <c r="O3" i="21"/>
  <c r="P3" i="21"/>
  <c r="Q3" i="21"/>
  <c r="R3" i="21"/>
  <c r="S3" i="21"/>
  <c r="T3" i="21"/>
  <c r="U3" i="21"/>
  <c r="V3" i="21"/>
  <c r="W3" i="21"/>
  <c r="X3" i="21"/>
  <c r="Y3" i="21"/>
  <c r="Z3" i="21"/>
  <c r="AA3" i="21"/>
  <c r="AB3" i="21"/>
  <c r="C8" i="21"/>
  <c r="D8" i="21"/>
  <c r="E8" i="21"/>
  <c r="F8" i="21"/>
  <c r="G8" i="21"/>
  <c r="H8" i="21"/>
  <c r="I8" i="21"/>
  <c r="J8" i="21"/>
  <c r="K8" i="21"/>
  <c r="L8" i="21"/>
  <c r="M8" i="21"/>
  <c r="N8" i="21"/>
  <c r="O8" i="21"/>
  <c r="P8" i="21"/>
  <c r="Q8" i="21"/>
  <c r="R8" i="21"/>
  <c r="S8" i="21"/>
  <c r="T8" i="21"/>
  <c r="U8" i="21"/>
  <c r="V8" i="21"/>
  <c r="W8" i="21"/>
  <c r="X8" i="21"/>
  <c r="Y8" i="21"/>
  <c r="Z8" i="21"/>
  <c r="AA8" i="21"/>
  <c r="AB8" i="21"/>
  <c r="C9" i="21"/>
  <c r="D9" i="21"/>
  <c r="E9" i="21"/>
  <c r="F9" i="21"/>
  <c r="G9" i="21"/>
  <c r="H9" i="21"/>
  <c r="I9" i="21"/>
  <c r="J9" i="21"/>
  <c r="K9" i="21"/>
  <c r="L9" i="21"/>
  <c r="M9" i="21"/>
  <c r="N9" i="21"/>
  <c r="O9" i="21"/>
  <c r="P9" i="21"/>
  <c r="Q9" i="21"/>
  <c r="R9" i="21"/>
  <c r="S9" i="21"/>
  <c r="T9" i="21"/>
  <c r="U9" i="21"/>
  <c r="V9" i="21"/>
  <c r="W9" i="21"/>
  <c r="X9" i="21"/>
  <c r="Y9" i="21"/>
  <c r="Z9" i="21"/>
  <c r="AA9" i="21"/>
  <c r="AB9"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B3" i="21"/>
  <c r="B8" i="21"/>
  <c r="B9" i="21"/>
  <c r="B11" i="21"/>
  <c r="C3" i="27"/>
  <c r="D3" i="27"/>
  <c r="E3" i="27"/>
  <c r="F3" i="27"/>
  <c r="G3" i="27"/>
  <c r="H3" i="27"/>
  <c r="I3" i="27"/>
  <c r="J3" i="27"/>
  <c r="K3" i="27"/>
  <c r="L3" i="27"/>
  <c r="M3" i="27"/>
  <c r="N3" i="27"/>
  <c r="O3" i="27"/>
  <c r="P3" i="27"/>
  <c r="Q3" i="27"/>
  <c r="R3" i="27"/>
  <c r="S3" i="27"/>
  <c r="T3" i="27"/>
  <c r="U3" i="27"/>
  <c r="V3" i="27"/>
  <c r="W3" i="27"/>
  <c r="X3" i="27"/>
  <c r="Y3" i="27"/>
  <c r="Z3" i="27"/>
  <c r="AA3" i="27"/>
  <c r="AB3" i="27"/>
  <c r="C6" i="27"/>
  <c r="D6" i="27"/>
  <c r="E6" i="27"/>
  <c r="F6" i="27"/>
  <c r="G6" i="27"/>
  <c r="H6" i="27"/>
  <c r="I6" i="27"/>
  <c r="J6" i="27"/>
  <c r="K6" i="27"/>
  <c r="L6" i="27"/>
  <c r="M6" i="27"/>
  <c r="N6" i="27"/>
  <c r="O6" i="27"/>
  <c r="P6" i="27"/>
  <c r="Q6" i="27"/>
  <c r="R6" i="27"/>
  <c r="S6" i="27"/>
  <c r="T6" i="27"/>
  <c r="U6" i="27"/>
  <c r="V6" i="27"/>
  <c r="W6" i="27"/>
  <c r="X6" i="27"/>
  <c r="Y6" i="27"/>
  <c r="Z6" i="27"/>
  <c r="AA6" i="27"/>
  <c r="AB6" i="27"/>
  <c r="C7" i="27"/>
  <c r="D7" i="27"/>
  <c r="E7" i="27"/>
  <c r="F7" i="27"/>
  <c r="G7" i="27"/>
  <c r="H7" i="27"/>
  <c r="I7" i="27"/>
  <c r="J7" i="27"/>
  <c r="K7" i="27"/>
  <c r="L7" i="27"/>
  <c r="M7" i="27"/>
  <c r="N7" i="27"/>
  <c r="O7" i="27"/>
  <c r="P7" i="27"/>
  <c r="Q7" i="27"/>
  <c r="R7" i="27"/>
  <c r="S7" i="27"/>
  <c r="T7" i="27"/>
  <c r="U7" i="27"/>
  <c r="V7" i="27"/>
  <c r="W7" i="27"/>
  <c r="X7" i="27"/>
  <c r="Y7" i="27"/>
  <c r="Z7" i="27"/>
  <c r="AA7" i="27"/>
  <c r="AB7" i="27"/>
  <c r="C8" i="27"/>
  <c r="D8" i="27"/>
  <c r="E8" i="27"/>
  <c r="F8" i="27"/>
  <c r="G8" i="27"/>
  <c r="H8" i="27"/>
  <c r="I8" i="27"/>
  <c r="J8" i="27"/>
  <c r="K8" i="27"/>
  <c r="L8" i="27"/>
  <c r="M8" i="27"/>
  <c r="N8" i="27"/>
  <c r="O8" i="27"/>
  <c r="P8" i="27"/>
  <c r="Q8" i="27"/>
  <c r="R8" i="27"/>
  <c r="S8" i="27"/>
  <c r="T8" i="27"/>
  <c r="U8" i="27"/>
  <c r="V8" i="27"/>
  <c r="W8" i="27"/>
  <c r="X8" i="27"/>
  <c r="Y8" i="27"/>
  <c r="Z8" i="27"/>
  <c r="AA8" i="27"/>
  <c r="AB8" i="27"/>
  <c r="C9" i="27"/>
  <c r="D9" i="27"/>
  <c r="E9" i="27"/>
  <c r="F9" i="27"/>
  <c r="G9" i="27"/>
  <c r="H9" i="27"/>
  <c r="I9" i="27"/>
  <c r="J9" i="27"/>
  <c r="K9" i="27"/>
  <c r="L9" i="27"/>
  <c r="M9" i="27"/>
  <c r="N9" i="27"/>
  <c r="O9" i="27"/>
  <c r="P9" i="27"/>
  <c r="Q9" i="27"/>
  <c r="R9" i="27"/>
  <c r="S9" i="27"/>
  <c r="T9" i="27"/>
  <c r="U9" i="27"/>
  <c r="V9" i="27"/>
  <c r="W9" i="27"/>
  <c r="X9" i="27"/>
  <c r="Y9" i="27"/>
  <c r="Z9" i="27"/>
  <c r="AA9" i="27"/>
  <c r="AB9" i="27"/>
  <c r="C11"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B3" i="27"/>
  <c r="B6" i="27"/>
  <c r="B7" i="27"/>
  <c r="B8" i="27"/>
  <c r="B9" i="27"/>
  <c r="B11" i="27"/>
  <c r="C3" i="26"/>
  <c r="D3" i="26"/>
  <c r="E3" i="26"/>
  <c r="F3" i="26"/>
  <c r="G3" i="26"/>
  <c r="H3" i="26"/>
  <c r="I3" i="26"/>
  <c r="J3" i="26"/>
  <c r="K3" i="26"/>
  <c r="L3" i="26"/>
  <c r="M3" i="26"/>
  <c r="N3" i="26"/>
  <c r="O3" i="26"/>
  <c r="P3" i="26"/>
  <c r="Q3" i="26"/>
  <c r="R3" i="26"/>
  <c r="S3" i="26"/>
  <c r="T3" i="26"/>
  <c r="U3" i="26"/>
  <c r="V3" i="26"/>
  <c r="W3" i="26"/>
  <c r="X3" i="26"/>
  <c r="Y3" i="26"/>
  <c r="Z3" i="26"/>
  <c r="AA3" i="26"/>
  <c r="AB3" i="26"/>
  <c r="C6" i="26"/>
  <c r="D6" i="26"/>
  <c r="E6" i="26"/>
  <c r="F6" i="26"/>
  <c r="G6" i="26"/>
  <c r="H6" i="26"/>
  <c r="I6" i="26"/>
  <c r="J6" i="26"/>
  <c r="K6" i="26"/>
  <c r="L6" i="26"/>
  <c r="M6" i="26"/>
  <c r="N6" i="26"/>
  <c r="O6" i="26"/>
  <c r="P6" i="26"/>
  <c r="Q6" i="26"/>
  <c r="R6" i="26"/>
  <c r="S6" i="26"/>
  <c r="T6" i="26"/>
  <c r="U6" i="26"/>
  <c r="V6" i="26"/>
  <c r="W6" i="26"/>
  <c r="X6" i="26"/>
  <c r="Y6" i="26"/>
  <c r="Z6" i="26"/>
  <c r="AA6" i="26"/>
  <c r="AB6" i="26"/>
  <c r="C7" i="26"/>
  <c r="D7" i="26"/>
  <c r="E7" i="26"/>
  <c r="F7" i="26"/>
  <c r="G7" i="26"/>
  <c r="H7" i="26"/>
  <c r="I7" i="26"/>
  <c r="J7" i="26"/>
  <c r="K7" i="26"/>
  <c r="L7" i="26"/>
  <c r="M7" i="26"/>
  <c r="N7" i="26"/>
  <c r="O7" i="26"/>
  <c r="P7" i="26"/>
  <c r="Q7" i="26"/>
  <c r="R7" i="26"/>
  <c r="S7" i="26"/>
  <c r="T7" i="26"/>
  <c r="U7" i="26"/>
  <c r="V7" i="26"/>
  <c r="W7" i="26"/>
  <c r="X7" i="26"/>
  <c r="Y7" i="26"/>
  <c r="Z7" i="26"/>
  <c r="AA7" i="26"/>
  <c r="AB7" i="26"/>
  <c r="C8" i="26"/>
  <c r="D8" i="26"/>
  <c r="E8" i="26"/>
  <c r="F8" i="26"/>
  <c r="G8" i="26"/>
  <c r="H8" i="26"/>
  <c r="I8" i="26"/>
  <c r="J8" i="26"/>
  <c r="K8" i="26"/>
  <c r="L8" i="26"/>
  <c r="M8" i="26"/>
  <c r="N8" i="26"/>
  <c r="O8" i="26"/>
  <c r="P8" i="26"/>
  <c r="Q8" i="26"/>
  <c r="R8" i="26"/>
  <c r="S8" i="26"/>
  <c r="T8" i="26"/>
  <c r="U8" i="26"/>
  <c r="V8" i="26"/>
  <c r="W8" i="26"/>
  <c r="X8" i="26"/>
  <c r="Y8" i="26"/>
  <c r="Z8" i="26"/>
  <c r="AA8" i="26"/>
  <c r="AB8" i="26"/>
  <c r="C9" i="26"/>
  <c r="D9" i="26"/>
  <c r="E9" i="26"/>
  <c r="F9" i="26"/>
  <c r="G9" i="26"/>
  <c r="H9" i="26"/>
  <c r="I9" i="26"/>
  <c r="J9" i="26"/>
  <c r="K9" i="26"/>
  <c r="L9" i="26"/>
  <c r="M9" i="26"/>
  <c r="N9" i="26"/>
  <c r="O9" i="26"/>
  <c r="P9" i="26"/>
  <c r="Q9" i="26"/>
  <c r="R9" i="26"/>
  <c r="S9" i="26"/>
  <c r="T9" i="26"/>
  <c r="U9" i="26"/>
  <c r="V9" i="26"/>
  <c r="W9" i="26"/>
  <c r="X9" i="26"/>
  <c r="Y9" i="26"/>
  <c r="Z9" i="26"/>
  <c r="AA9" i="26"/>
  <c r="AB9" i="26"/>
  <c r="C11"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B3" i="26"/>
  <c r="B6" i="26"/>
  <c r="B7" i="26"/>
  <c r="B8" i="26"/>
  <c r="B9" i="26"/>
  <c r="B11" i="26"/>
  <c r="C3" i="25"/>
  <c r="D3" i="25"/>
  <c r="E3" i="25"/>
  <c r="F3" i="25"/>
  <c r="G3" i="25"/>
  <c r="H3" i="25"/>
  <c r="I3" i="25"/>
  <c r="J3" i="25"/>
  <c r="K3" i="25"/>
  <c r="L3" i="25"/>
  <c r="M3" i="25"/>
  <c r="N3" i="25"/>
  <c r="O3" i="25"/>
  <c r="P3" i="25"/>
  <c r="Q3" i="25"/>
  <c r="R3" i="25"/>
  <c r="S3" i="25"/>
  <c r="T3" i="25"/>
  <c r="U3" i="25"/>
  <c r="V3" i="25"/>
  <c r="W3" i="25"/>
  <c r="X3" i="25"/>
  <c r="Y3" i="25"/>
  <c r="Z3" i="25"/>
  <c r="AA3" i="25"/>
  <c r="AB3" i="25"/>
  <c r="C4" i="25"/>
  <c r="D4" i="25"/>
  <c r="E4" i="25"/>
  <c r="F4" i="25"/>
  <c r="G4" i="25"/>
  <c r="H4" i="25"/>
  <c r="I4" i="25"/>
  <c r="J4" i="25"/>
  <c r="K4" i="25"/>
  <c r="L4" i="25"/>
  <c r="M4" i="25"/>
  <c r="N4" i="25"/>
  <c r="O4" i="25"/>
  <c r="P4" i="25"/>
  <c r="Q4" i="25"/>
  <c r="R4" i="25"/>
  <c r="S4" i="25"/>
  <c r="T4" i="25"/>
  <c r="U4" i="25"/>
  <c r="V4" i="25"/>
  <c r="W4" i="25"/>
  <c r="X4" i="25"/>
  <c r="Y4" i="25"/>
  <c r="Z4" i="25"/>
  <c r="AA4" i="25"/>
  <c r="AB4" i="25"/>
  <c r="C5" i="25"/>
  <c r="D5" i="25"/>
  <c r="E5" i="25"/>
  <c r="F5" i="25"/>
  <c r="G5" i="25"/>
  <c r="H5" i="25"/>
  <c r="I5" i="25"/>
  <c r="J5" i="25"/>
  <c r="K5" i="25"/>
  <c r="L5" i="25"/>
  <c r="M5" i="25"/>
  <c r="N5" i="25"/>
  <c r="O5" i="25"/>
  <c r="P5" i="25"/>
  <c r="Q5" i="25"/>
  <c r="R5" i="25"/>
  <c r="S5" i="25"/>
  <c r="T5" i="25"/>
  <c r="U5" i="25"/>
  <c r="V5" i="25"/>
  <c r="W5" i="25"/>
  <c r="X5" i="25"/>
  <c r="Y5" i="25"/>
  <c r="Z5" i="25"/>
  <c r="AA5" i="25"/>
  <c r="AB5" i="25"/>
  <c r="C6" i="25"/>
  <c r="D6" i="25"/>
  <c r="E6" i="25"/>
  <c r="F6" i="25"/>
  <c r="G6" i="25"/>
  <c r="H6" i="25"/>
  <c r="I6" i="25"/>
  <c r="J6" i="25"/>
  <c r="K6" i="25"/>
  <c r="L6" i="25"/>
  <c r="M6" i="25"/>
  <c r="N6" i="25"/>
  <c r="O6" i="25"/>
  <c r="P6" i="25"/>
  <c r="Q6" i="25"/>
  <c r="R6" i="25"/>
  <c r="S6" i="25"/>
  <c r="T6" i="25"/>
  <c r="U6" i="25"/>
  <c r="V6" i="25"/>
  <c r="W6" i="25"/>
  <c r="X6" i="25"/>
  <c r="Y6" i="25"/>
  <c r="Z6" i="25"/>
  <c r="AA6" i="25"/>
  <c r="AB6" i="25"/>
  <c r="C7" i="25"/>
  <c r="D7" i="25"/>
  <c r="E7" i="25"/>
  <c r="F7" i="25"/>
  <c r="G7" i="25"/>
  <c r="H7" i="25"/>
  <c r="I7" i="25"/>
  <c r="J7" i="25"/>
  <c r="K7" i="25"/>
  <c r="L7" i="25"/>
  <c r="M7" i="25"/>
  <c r="N7" i="25"/>
  <c r="O7" i="25"/>
  <c r="P7" i="25"/>
  <c r="Q7" i="25"/>
  <c r="R7" i="25"/>
  <c r="S7" i="25"/>
  <c r="T7" i="25"/>
  <c r="U7" i="25"/>
  <c r="V7" i="25"/>
  <c r="W7" i="25"/>
  <c r="X7" i="25"/>
  <c r="Y7" i="25"/>
  <c r="Z7" i="25"/>
  <c r="AA7" i="25"/>
  <c r="AB7" i="25"/>
  <c r="C8" i="25"/>
  <c r="D8" i="25"/>
  <c r="E8" i="25"/>
  <c r="F8" i="25"/>
  <c r="G8" i="25"/>
  <c r="H8" i="25"/>
  <c r="I8" i="25"/>
  <c r="J8" i="25"/>
  <c r="K8" i="25"/>
  <c r="L8" i="25"/>
  <c r="M8" i="25"/>
  <c r="N8" i="25"/>
  <c r="O8" i="25"/>
  <c r="P8" i="25"/>
  <c r="Q8" i="25"/>
  <c r="R8" i="25"/>
  <c r="S8" i="25"/>
  <c r="T8" i="25"/>
  <c r="U8" i="25"/>
  <c r="V8" i="25"/>
  <c r="W8" i="25"/>
  <c r="X8" i="25"/>
  <c r="Y8" i="25"/>
  <c r="Z8" i="25"/>
  <c r="AA8" i="25"/>
  <c r="AB8" i="25"/>
  <c r="C9" i="25"/>
  <c r="D9" i="25"/>
  <c r="E9" i="25"/>
  <c r="F9" i="25"/>
  <c r="G9" i="25"/>
  <c r="H9" i="25"/>
  <c r="I9" i="25"/>
  <c r="J9" i="25"/>
  <c r="K9" i="25"/>
  <c r="L9" i="25"/>
  <c r="M9" i="25"/>
  <c r="N9" i="25"/>
  <c r="O9" i="25"/>
  <c r="P9" i="25"/>
  <c r="Q9" i="25"/>
  <c r="R9" i="25"/>
  <c r="S9" i="25"/>
  <c r="T9" i="25"/>
  <c r="U9" i="25"/>
  <c r="V9" i="25"/>
  <c r="W9" i="25"/>
  <c r="X9" i="25"/>
  <c r="Y9" i="25"/>
  <c r="Z9" i="25"/>
  <c r="AA9" i="25"/>
  <c r="AB9" i="25"/>
  <c r="C10" i="25"/>
  <c r="D10" i="25"/>
  <c r="E10" i="25"/>
  <c r="F10" i="25"/>
  <c r="G10" i="25"/>
  <c r="H10" i="25"/>
  <c r="I10" i="25"/>
  <c r="J10" i="25"/>
  <c r="K10" i="25"/>
  <c r="L10" i="25"/>
  <c r="M10" i="25"/>
  <c r="N10" i="25"/>
  <c r="O10" i="25"/>
  <c r="P10" i="25"/>
  <c r="Q10" i="25"/>
  <c r="R10" i="25"/>
  <c r="S10" i="25"/>
  <c r="T10" i="25"/>
  <c r="U10" i="25"/>
  <c r="V10" i="25"/>
  <c r="W10" i="25"/>
  <c r="X10" i="25"/>
  <c r="Y10" i="25"/>
  <c r="Z10" i="25"/>
  <c r="AA10" i="25"/>
  <c r="AB10" i="25"/>
  <c r="C11" i="25"/>
  <c r="D11" i="25"/>
  <c r="E11" i="25"/>
  <c r="F11" i="25"/>
  <c r="G11" i="25"/>
  <c r="H11" i="25"/>
  <c r="I11" i="25"/>
  <c r="J11" i="25"/>
  <c r="K11" i="25"/>
  <c r="L11" i="25"/>
  <c r="M11" i="25"/>
  <c r="N11" i="25"/>
  <c r="O11" i="25"/>
  <c r="P11" i="25"/>
  <c r="Q11" i="25"/>
  <c r="R11" i="25"/>
  <c r="S11" i="25"/>
  <c r="T11" i="25"/>
  <c r="U11" i="25"/>
  <c r="V11" i="25"/>
  <c r="W11" i="25"/>
  <c r="X11" i="25"/>
  <c r="Y11" i="25"/>
  <c r="Z11" i="25"/>
  <c r="AA11" i="25"/>
  <c r="AB11" i="25"/>
  <c r="B3" i="25"/>
  <c r="B4" i="25"/>
  <c r="B5" i="25"/>
  <c r="B6" i="25"/>
  <c r="B7" i="25"/>
  <c r="B8" i="25"/>
  <c r="B9" i="25"/>
  <c r="B10" i="25"/>
  <c r="B11" i="25"/>
  <c r="C3" i="24"/>
  <c r="D3" i="24"/>
  <c r="E3" i="24"/>
  <c r="F3" i="24"/>
  <c r="G3" i="24"/>
  <c r="H3" i="24"/>
  <c r="I3" i="24"/>
  <c r="J3" i="24"/>
  <c r="K3" i="24"/>
  <c r="L3" i="24"/>
  <c r="M3" i="24"/>
  <c r="N3" i="24"/>
  <c r="O3" i="24"/>
  <c r="P3" i="24"/>
  <c r="Q3" i="24"/>
  <c r="R3" i="24"/>
  <c r="S3" i="24"/>
  <c r="T3" i="24"/>
  <c r="U3" i="24"/>
  <c r="V3" i="24"/>
  <c r="W3" i="24"/>
  <c r="X3" i="24"/>
  <c r="Y3" i="24"/>
  <c r="Z3" i="24"/>
  <c r="AA3" i="24"/>
  <c r="AB3" i="24"/>
  <c r="C5" i="24"/>
  <c r="D5" i="24"/>
  <c r="E5" i="24"/>
  <c r="F5" i="24"/>
  <c r="G5" i="24"/>
  <c r="H5" i="24"/>
  <c r="I5" i="24"/>
  <c r="J5" i="24"/>
  <c r="K5" i="24"/>
  <c r="L5" i="24"/>
  <c r="M5" i="24"/>
  <c r="N5" i="24"/>
  <c r="O5" i="24"/>
  <c r="P5" i="24"/>
  <c r="Q5" i="24"/>
  <c r="R5" i="24"/>
  <c r="S5" i="24"/>
  <c r="T5" i="24"/>
  <c r="U5" i="24"/>
  <c r="V5" i="24"/>
  <c r="W5" i="24"/>
  <c r="X5" i="24"/>
  <c r="Y5" i="24"/>
  <c r="Z5" i="24"/>
  <c r="AA5" i="24"/>
  <c r="AB5" i="24"/>
  <c r="C6" i="24"/>
  <c r="D6" i="24"/>
  <c r="E6" i="24"/>
  <c r="F6" i="24"/>
  <c r="G6" i="24"/>
  <c r="H6" i="24"/>
  <c r="I6" i="24"/>
  <c r="J6" i="24"/>
  <c r="K6" i="24"/>
  <c r="L6" i="24"/>
  <c r="M6" i="24"/>
  <c r="N6" i="24"/>
  <c r="O6" i="24"/>
  <c r="P6" i="24"/>
  <c r="Q6" i="24"/>
  <c r="R6" i="24"/>
  <c r="S6" i="24"/>
  <c r="T6" i="24"/>
  <c r="U6" i="24"/>
  <c r="V6" i="24"/>
  <c r="W6" i="24"/>
  <c r="X6" i="24"/>
  <c r="Y6" i="24"/>
  <c r="Z6" i="24"/>
  <c r="AA6" i="24"/>
  <c r="AB6" i="24"/>
  <c r="C7" i="24"/>
  <c r="D7" i="24"/>
  <c r="E7" i="24"/>
  <c r="F7" i="24"/>
  <c r="G7" i="24"/>
  <c r="H7" i="24"/>
  <c r="I7" i="24"/>
  <c r="J7" i="24"/>
  <c r="K7" i="24"/>
  <c r="L7" i="24"/>
  <c r="M7" i="24"/>
  <c r="N7" i="24"/>
  <c r="O7" i="24"/>
  <c r="P7" i="24"/>
  <c r="Q7" i="24"/>
  <c r="R7" i="24"/>
  <c r="S7" i="24"/>
  <c r="T7" i="24"/>
  <c r="U7" i="24"/>
  <c r="V7" i="24"/>
  <c r="W7" i="24"/>
  <c r="X7" i="24"/>
  <c r="Y7" i="24"/>
  <c r="Z7" i="24"/>
  <c r="AA7" i="24"/>
  <c r="AB7" i="24"/>
  <c r="C8" i="24"/>
  <c r="D8" i="24"/>
  <c r="E8" i="24"/>
  <c r="F8" i="24"/>
  <c r="G8" i="24"/>
  <c r="H8" i="24"/>
  <c r="I8" i="24"/>
  <c r="J8" i="24"/>
  <c r="K8" i="24"/>
  <c r="L8" i="24"/>
  <c r="M8" i="24"/>
  <c r="N8" i="24"/>
  <c r="O8" i="24"/>
  <c r="P8" i="24"/>
  <c r="Q8" i="24"/>
  <c r="R8" i="24"/>
  <c r="S8" i="24"/>
  <c r="T8" i="24"/>
  <c r="U8" i="24"/>
  <c r="V8" i="24"/>
  <c r="W8" i="24"/>
  <c r="X8" i="24"/>
  <c r="Y8" i="24"/>
  <c r="Z8" i="24"/>
  <c r="AA8" i="24"/>
  <c r="AB8" i="24"/>
  <c r="C9" i="24"/>
  <c r="D9" i="24"/>
  <c r="E9" i="24"/>
  <c r="F9" i="24"/>
  <c r="G9" i="24"/>
  <c r="H9" i="24"/>
  <c r="I9" i="24"/>
  <c r="J9" i="24"/>
  <c r="K9" i="24"/>
  <c r="L9" i="24"/>
  <c r="M9" i="24"/>
  <c r="N9" i="24"/>
  <c r="O9" i="24"/>
  <c r="P9" i="24"/>
  <c r="Q9" i="24"/>
  <c r="R9" i="24"/>
  <c r="S9" i="24"/>
  <c r="T9" i="24"/>
  <c r="U9" i="24"/>
  <c r="V9" i="24"/>
  <c r="W9" i="24"/>
  <c r="X9" i="24"/>
  <c r="Y9" i="24"/>
  <c r="Z9" i="24"/>
  <c r="AA9" i="24"/>
  <c r="AB9" i="24"/>
  <c r="C10" i="24"/>
  <c r="D10" i="24"/>
  <c r="E10" i="24"/>
  <c r="F10" i="24"/>
  <c r="G10" i="24"/>
  <c r="H10" i="24"/>
  <c r="I10" i="24"/>
  <c r="J10" i="24"/>
  <c r="K10" i="24"/>
  <c r="L10" i="24"/>
  <c r="M10" i="24"/>
  <c r="N10" i="24"/>
  <c r="O10" i="24"/>
  <c r="P10" i="24"/>
  <c r="Q10" i="24"/>
  <c r="R10" i="24"/>
  <c r="S10" i="24"/>
  <c r="T10" i="24"/>
  <c r="U10" i="24"/>
  <c r="V10" i="24"/>
  <c r="W10" i="24"/>
  <c r="X10" i="24"/>
  <c r="Y10" i="24"/>
  <c r="Z10" i="24"/>
  <c r="AA10" i="24"/>
  <c r="AB10" i="24"/>
  <c r="C11" i="24"/>
  <c r="D11" i="24"/>
  <c r="E11" i="24"/>
  <c r="F11" i="24"/>
  <c r="G11" i="24"/>
  <c r="H11" i="24"/>
  <c r="I11" i="24"/>
  <c r="J11" i="24"/>
  <c r="K11" i="24"/>
  <c r="L11" i="24"/>
  <c r="M11" i="24"/>
  <c r="N11" i="24"/>
  <c r="O11" i="24"/>
  <c r="P11" i="24"/>
  <c r="Q11" i="24"/>
  <c r="R11" i="24"/>
  <c r="S11" i="24"/>
  <c r="T11" i="24"/>
  <c r="U11" i="24"/>
  <c r="V11" i="24"/>
  <c r="W11" i="24"/>
  <c r="X11" i="24"/>
  <c r="Y11" i="24"/>
  <c r="Z11" i="24"/>
  <c r="AA11" i="24"/>
  <c r="AB11" i="24"/>
  <c r="B3" i="24"/>
  <c r="B5" i="24"/>
  <c r="B6" i="24"/>
  <c r="B7" i="24"/>
  <c r="B8" i="24"/>
  <c r="B9" i="24"/>
  <c r="B10" i="24"/>
  <c r="B11" i="24"/>
  <c r="C3" i="23"/>
  <c r="D3" i="23"/>
  <c r="E3" i="23"/>
  <c r="F3" i="23"/>
  <c r="G3" i="23"/>
  <c r="H3" i="23"/>
  <c r="I3" i="23"/>
  <c r="J3" i="23"/>
  <c r="K3" i="23"/>
  <c r="L3" i="23"/>
  <c r="M3" i="23"/>
  <c r="N3" i="23"/>
  <c r="O3" i="23"/>
  <c r="P3" i="23"/>
  <c r="Q3" i="23"/>
  <c r="R3" i="23"/>
  <c r="S3" i="23"/>
  <c r="T3" i="23"/>
  <c r="U3" i="23"/>
  <c r="V3" i="23"/>
  <c r="W3" i="23"/>
  <c r="X3" i="23"/>
  <c r="Y3" i="23"/>
  <c r="Z3" i="23"/>
  <c r="AA3" i="23"/>
  <c r="AB3" i="23"/>
  <c r="C6" i="23"/>
  <c r="D6" i="23"/>
  <c r="E6" i="23"/>
  <c r="F6" i="23"/>
  <c r="G6" i="23"/>
  <c r="H6" i="23"/>
  <c r="I6" i="23"/>
  <c r="J6" i="23"/>
  <c r="K6" i="23"/>
  <c r="L6" i="23"/>
  <c r="M6" i="23"/>
  <c r="N6" i="23"/>
  <c r="O6" i="23"/>
  <c r="P6" i="23"/>
  <c r="Q6" i="23"/>
  <c r="R6" i="23"/>
  <c r="S6" i="23"/>
  <c r="T6" i="23"/>
  <c r="U6" i="23"/>
  <c r="V6" i="23"/>
  <c r="W6" i="23"/>
  <c r="X6" i="23"/>
  <c r="Y6" i="23"/>
  <c r="Z6" i="23"/>
  <c r="AA6" i="23"/>
  <c r="AB6" i="23"/>
  <c r="C8" i="23"/>
  <c r="D8" i="23"/>
  <c r="E8" i="23"/>
  <c r="F8" i="23"/>
  <c r="G8" i="23"/>
  <c r="H8" i="23"/>
  <c r="I8" i="23"/>
  <c r="J8" i="23"/>
  <c r="K8" i="23"/>
  <c r="L8" i="23"/>
  <c r="M8" i="23"/>
  <c r="N8" i="23"/>
  <c r="O8" i="23"/>
  <c r="P8" i="23"/>
  <c r="Q8" i="23"/>
  <c r="R8" i="23"/>
  <c r="S8" i="23"/>
  <c r="T8" i="23"/>
  <c r="U8" i="23"/>
  <c r="V8" i="23"/>
  <c r="W8" i="23"/>
  <c r="X8" i="23"/>
  <c r="Y8" i="23"/>
  <c r="Z8" i="23"/>
  <c r="AA8" i="23"/>
  <c r="AB8" i="23"/>
  <c r="C9" i="23"/>
  <c r="D9" i="23"/>
  <c r="E9" i="23"/>
  <c r="F9" i="23"/>
  <c r="G9" i="23"/>
  <c r="H9" i="23"/>
  <c r="I9" i="23"/>
  <c r="J9" i="23"/>
  <c r="K9" i="23"/>
  <c r="L9" i="23"/>
  <c r="M9" i="23"/>
  <c r="N9" i="23"/>
  <c r="O9" i="23"/>
  <c r="P9" i="23"/>
  <c r="Q9" i="23"/>
  <c r="R9" i="23"/>
  <c r="S9" i="23"/>
  <c r="T9" i="23"/>
  <c r="U9" i="23"/>
  <c r="V9" i="23"/>
  <c r="W9" i="23"/>
  <c r="X9" i="23"/>
  <c r="Y9" i="23"/>
  <c r="Z9" i="23"/>
  <c r="AA9" i="23"/>
  <c r="AB9" i="23"/>
  <c r="C11" i="23"/>
  <c r="D11" i="23"/>
  <c r="E11" i="23"/>
  <c r="F11" i="23"/>
  <c r="G11" i="23"/>
  <c r="H11" i="23"/>
  <c r="I11" i="23"/>
  <c r="J11" i="23"/>
  <c r="K11" i="23"/>
  <c r="L11" i="23"/>
  <c r="M11" i="23"/>
  <c r="N11" i="23"/>
  <c r="O11" i="23"/>
  <c r="P11" i="23"/>
  <c r="Q11" i="23"/>
  <c r="R11" i="23"/>
  <c r="S11" i="23"/>
  <c r="T11" i="23"/>
  <c r="U11" i="23"/>
  <c r="V11" i="23"/>
  <c r="W11" i="23"/>
  <c r="X11" i="23"/>
  <c r="Y11" i="23"/>
  <c r="Z11" i="23"/>
  <c r="AA11" i="23"/>
  <c r="AB11" i="23"/>
  <c r="B3" i="23"/>
  <c r="B6" i="23"/>
  <c r="B8" i="23"/>
  <c r="B9" i="23"/>
  <c r="B11" i="23"/>
  <c r="C3" i="13"/>
  <c r="D3" i="13"/>
  <c r="E3" i="13"/>
  <c r="F3" i="13"/>
  <c r="G3" i="13"/>
  <c r="H3" i="13"/>
  <c r="I3" i="13"/>
  <c r="J3" i="13"/>
  <c r="K3" i="13"/>
  <c r="L3" i="13"/>
  <c r="M3" i="13"/>
  <c r="N3" i="13"/>
  <c r="O3" i="13"/>
  <c r="P3" i="13"/>
  <c r="Q3" i="13"/>
  <c r="R3" i="13"/>
  <c r="S3" i="13"/>
  <c r="T3" i="13"/>
  <c r="U3" i="13"/>
  <c r="V3" i="13"/>
  <c r="W3" i="13"/>
  <c r="X3" i="13"/>
  <c r="Y3" i="13"/>
  <c r="Z3" i="13"/>
  <c r="AA3" i="13"/>
  <c r="AB3" i="13"/>
  <c r="C6" i="13"/>
  <c r="D6" i="13"/>
  <c r="E6" i="13"/>
  <c r="F6" i="13"/>
  <c r="G6" i="13"/>
  <c r="H6" i="13"/>
  <c r="I6" i="13"/>
  <c r="J6" i="13"/>
  <c r="K6" i="13"/>
  <c r="L6" i="13"/>
  <c r="M6" i="13"/>
  <c r="N6" i="13"/>
  <c r="O6" i="13"/>
  <c r="P6" i="13"/>
  <c r="Q6" i="13"/>
  <c r="R6" i="13"/>
  <c r="S6" i="13"/>
  <c r="T6" i="13"/>
  <c r="U6" i="13"/>
  <c r="V6" i="13"/>
  <c r="W6" i="13"/>
  <c r="X6" i="13"/>
  <c r="Y6" i="13"/>
  <c r="Z6" i="13"/>
  <c r="AA6" i="13"/>
  <c r="AB6" i="13"/>
  <c r="C7" i="13"/>
  <c r="D7" i="13"/>
  <c r="E7" i="13"/>
  <c r="F7" i="13"/>
  <c r="G7" i="13"/>
  <c r="H7" i="13"/>
  <c r="I7" i="13"/>
  <c r="J7" i="13"/>
  <c r="K7" i="13"/>
  <c r="L7" i="13"/>
  <c r="M7" i="13"/>
  <c r="N7" i="13"/>
  <c r="O7" i="13"/>
  <c r="P7" i="13"/>
  <c r="Q7" i="13"/>
  <c r="R7" i="13"/>
  <c r="S7" i="13"/>
  <c r="T7" i="13"/>
  <c r="U7" i="13"/>
  <c r="V7" i="13"/>
  <c r="W7" i="13"/>
  <c r="X7" i="13"/>
  <c r="Y7" i="13"/>
  <c r="Z7" i="13"/>
  <c r="AA7" i="13"/>
  <c r="AB7" i="13"/>
  <c r="C8" i="13"/>
  <c r="D8" i="13"/>
  <c r="E8" i="13"/>
  <c r="F8" i="13"/>
  <c r="G8" i="13"/>
  <c r="H8" i="13"/>
  <c r="I8" i="13"/>
  <c r="J8" i="13"/>
  <c r="K8" i="13"/>
  <c r="L8" i="13"/>
  <c r="M8" i="13"/>
  <c r="N8" i="13"/>
  <c r="O8" i="13"/>
  <c r="P8" i="13"/>
  <c r="Q8" i="13"/>
  <c r="R8" i="13"/>
  <c r="S8" i="13"/>
  <c r="T8" i="13"/>
  <c r="U8" i="13"/>
  <c r="V8" i="13"/>
  <c r="W8" i="13"/>
  <c r="X8" i="13"/>
  <c r="Y8" i="13"/>
  <c r="Z8" i="13"/>
  <c r="AA8" i="13"/>
  <c r="AB8" i="13"/>
  <c r="C9" i="13"/>
  <c r="D9" i="13"/>
  <c r="E9" i="13"/>
  <c r="F9" i="13"/>
  <c r="G9" i="13"/>
  <c r="H9" i="13"/>
  <c r="I9" i="13"/>
  <c r="J9" i="13"/>
  <c r="K9" i="13"/>
  <c r="L9" i="13"/>
  <c r="M9" i="13"/>
  <c r="N9" i="13"/>
  <c r="O9" i="13"/>
  <c r="P9" i="13"/>
  <c r="Q9" i="13"/>
  <c r="R9" i="13"/>
  <c r="S9" i="13"/>
  <c r="T9" i="13"/>
  <c r="U9" i="13"/>
  <c r="V9" i="13"/>
  <c r="W9" i="13"/>
  <c r="X9" i="13"/>
  <c r="Y9" i="13"/>
  <c r="Z9" i="13"/>
  <c r="AA9" i="13"/>
  <c r="AB9" i="13"/>
  <c r="C11" i="13"/>
  <c r="D11" i="13"/>
  <c r="E11" i="13"/>
  <c r="F11" i="13"/>
  <c r="G11" i="13"/>
  <c r="H11" i="13"/>
  <c r="I11" i="13"/>
  <c r="J11" i="13"/>
  <c r="K11" i="13"/>
  <c r="L11" i="13"/>
  <c r="M11" i="13"/>
  <c r="N11" i="13"/>
  <c r="O11" i="13"/>
  <c r="P11" i="13"/>
  <c r="Q11" i="13"/>
  <c r="R11" i="13"/>
  <c r="S11" i="13"/>
  <c r="T11" i="13"/>
  <c r="U11" i="13"/>
  <c r="V11" i="13"/>
  <c r="W11" i="13"/>
  <c r="X11" i="13"/>
  <c r="Y11" i="13"/>
  <c r="Z11" i="13"/>
  <c r="AA11" i="13"/>
  <c r="AB11" i="13"/>
  <c r="B3" i="13"/>
  <c r="B6" i="13"/>
  <c r="B7" i="13"/>
  <c r="B8" i="13"/>
  <c r="B9" i="13"/>
  <c r="B11" i="13"/>
  <c r="C3" i="12"/>
  <c r="D3" i="12"/>
  <c r="E3" i="12"/>
  <c r="F3" i="12"/>
  <c r="G3" i="12"/>
  <c r="H3" i="12"/>
  <c r="I3" i="12"/>
  <c r="J3" i="12"/>
  <c r="K3" i="12"/>
  <c r="L3" i="12"/>
  <c r="M3" i="12"/>
  <c r="N3" i="12"/>
  <c r="O3" i="12"/>
  <c r="P3" i="12"/>
  <c r="Q3" i="12"/>
  <c r="R3" i="12"/>
  <c r="S3" i="12"/>
  <c r="T3" i="12"/>
  <c r="U3" i="12"/>
  <c r="V3" i="12"/>
  <c r="W3" i="12"/>
  <c r="X3" i="12"/>
  <c r="Y3" i="12"/>
  <c r="Z3" i="12"/>
  <c r="AA3" i="12"/>
  <c r="AB3"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C8" i="12"/>
  <c r="D8" i="12"/>
  <c r="E8" i="12"/>
  <c r="F8" i="12"/>
  <c r="G8" i="12"/>
  <c r="H8" i="12"/>
  <c r="I8" i="12"/>
  <c r="J8" i="12"/>
  <c r="K8" i="12"/>
  <c r="L8" i="12"/>
  <c r="M8" i="12"/>
  <c r="N8" i="12"/>
  <c r="O8" i="12"/>
  <c r="P8" i="12"/>
  <c r="Q8" i="12"/>
  <c r="R8" i="12"/>
  <c r="S8" i="12"/>
  <c r="T8" i="12"/>
  <c r="U8" i="12"/>
  <c r="V8" i="12"/>
  <c r="W8" i="12"/>
  <c r="X8" i="12"/>
  <c r="Y8" i="12"/>
  <c r="Z8" i="12"/>
  <c r="AA8" i="12"/>
  <c r="AB8" i="12"/>
  <c r="C9" i="12"/>
  <c r="D9" i="12"/>
  <c r="E9" i="12"/>
  <c r="F9" i="12"/>
  <c r="G9" i="12"/>
  <c r="H9" i="12"/>
  <c r="I9" i="12"/>
  <c r="J9" i="12"/>
  <c r="K9" i="12"/>
  <c r="L9" i="12"/>
  <c r="M9" i="12"/>
  <c r="N9" i="12"/>
  <c r="O9" i="12"/>
  <c r="P9" i="12"/>
  <c r="Q9" i="12"/>
  <c r="R9" i="12"/>
  <c r="S9" i="12"/>
  <c r="T9" i="12"/>
  <c r="U9" i="12"/>
  <c r="V9" i="12"/>
  <c r="W9" i="12"/>
  <c r="X9" i="12"/>
  <c r="Y9" i="12"/>
  <c r="Z9" i="12"/>
  <c r="AA9" i="12"/>
  <c r="AB9"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B3" i="12"/>
  <c r="B6" i="12"/>
  <c r="B7" i="12"/>
  <c r="B8" i="12"/>
  <c r="B9" i="12"/>
  <c r="B11" i="12"/>
  <c r="C3" i="11"/>
  <c r="D3" i="11"/>
  <c r="E3" i="11"/>
  <c r="F3" i="11"/>
  <c r="G3" i="11"/>
  <c r="H3" i="11"/>
  <c r="I3" i="11"/>
  <c r="J3" i="11"/>
  <c r="K3" i="11"/>
  <c r="L3" i="11"/>
  <c r="M3" i="11"/>
  <c r="N3" i="11"/>
  <c r="O3" i="11"/>
  <c r="P3" i="11"/>
  <c r="Q3" i="11"/>
  <c r="R3" i="11"/>
  <c r="S3" i="11"/>
  <c r="T3" i="11"/>
  <c r="U3" i="11"/>
  <c r="V3" i="11"/>
  <c r="W3" i="11"/>
  <c r="X3" i="11"/>
  <c r="Y3" i="11"/>
  <c r="Z3" i="11"/>
  <c r="AA3" i="11"/>
  <c r="AB3" i="11"/>
  <c r="C4" i="11"/>
  <c r="D4" i="11"/>
  <c r="E4" i="11"/>
  <c r="F4" i="11"/>
  <c r="G4" i="11"/>
  <c r="H4" i="11"/>
  <c r="I4" i="11"/>
  <c r="J4" i="11"/>
  <c r="K4" i="11"/>
  <c r="L4" i="11"/>
  <c r="M4" i="11"/>
  <c r="N4" i="11"/>
  <c r="O4" i="11"/>
  <c r="P4" i="11"/>
  <c r="Q4" i="11"/>
  <c r="R4" i="11"/>
  <c r="S4" i="11"/>
  <c r="T4" i="11"/>
  <c r="U4" i="11"/>
  <c r="V4" i="11"/>
  <c r="W4" i="11"/>
  <c r="X4" i="11"/>
  <c r="Y4" i="11"/>
  <c r="Z4" i="11"/>
  <c r="AA4" i="11"/>
  <c r="AB4" i="11"/>
  <c r="C5" i="11"/>
  <c r="D5" i="11"/>
  <c r="E5" i="11"/>
  <c r="F5" i="11"/>
  <c r="G5" i="11"/>
  <c r="H5" i="11"/>
  <c r="I5" i="11"/>
  <c r="J5" i="11"/>
  <c r="K5" i="11"/>
  <c r="L5" i="11"/>
  <c r="M5" i="11"/>
  <c r="N5" i="11"/>
  <c r="O5" i="11"/>
  <c r="P5" i="11"/>
  <c r="Q5" i="11"/>
  <c r="R5" i="11"/>
  <c r="S5" i="11"/>
  <c r="T5" i="11"/>
  <c r="U5" i="11"/>
  <c r="V5" i="11"/>
  <c r="W5" i="11"/>
  <c r="X5" i="11"/>
  <c r="Y5" i="11"/>
  <c r="Z5" i="11"/>
  <c r="AA5" i="11"/>
  <c r="AB5" i="11"/>
  <c r="C6" i="11"/>
  <c r="D6" i="11"/>
  <c r="E6" i="11"/>
  <c r="F6" i="11"/>
  <c r="G6" i="11"/>
  <c r="H6" i="11"/>
  <c r="I6" i="11"/>
  <c r="J6" i="11"/>
  <c r="K6" i="11"/>
  <c r="L6" i="11"/>
  <c r="M6" i="11"/>
  <c r="N6" i="11"/>
  <c r="O6" i="11"/>
  <c r="P6" i="11"/>
  <c r="Q6" i="11"/>
  <c r="R6" i="11"/>
  <c r="S6" i="11"/>
  <c r="T6" i="11"/>
  <c r="U6" i="11"/>
  <c r="V6" i="11"/>
  <c r="W6" i="11"/>
  <c r="X6" i="11"/>
  <c r="Y6" i="11"/>
  <c r="Z6" i="11"/>
  <c r="AA6" i="11"/>
  <c r="AB6" i="11"/>
  <c r="C7" i="11"/>
  <c r="D7" i="11"/>
  <c r="E7" i="11"/>
  <c r="F7" i="11"/>
  <c r="G7" i="11"/>
  <c r="H7" i="11"/>
  <c r="I7" i="11"/>
  <c r="J7" i="11"/>
  <c r="K7" i="11"/>
  <c r="L7" i="11"/>
  <c r="M7" i="11"/>
  <c r="N7" i="11"/>
  <c r="O7" i="11"/>
  <c r="P7" i="11"/>
  <c r="Q7" i="11"/>
  <c r="R7" i="11"/>
  <c r="S7" i="11"/>
  <c r="T7" i="11"/>
  <c r="U7" i="11"/>
  <c r="V7" i="11"/>
  <c r="W7" i="11"/>
  <c r="X7" i="11"/>
  <c r="Y7" i="11"/>
  <c r="Z7" i="11"/>
  <c r="AA7" i="11"/>
  <c r="AB7" i="11"/>
  <c r="C8" i="11"/>
  <c r="D8" i="11"/>
  <c r="E8" i="11"/>
  <c r="F8" i="11"/>
  <c r="G8" i="11"/>
  <c r="H8" i="11"/>
  <c r="I8" i="11"/>
  <c r="J8" i="11"/>
  <c r="K8" i="11"/>
  <c r="L8" i="11"/>
  <c r="M8" i="11"/>
  <c r="N8" i="11"/>
  <c r="O8" i="11"/>
  <c r="P8" i="11"/>
  <c r="Q8" i="11"/>
  <c r="R8" i="11"/>
  <c r="S8" i="11"/>
  <c r="T8" i="11"/>
  <c r="U8" i="11"/>
  <c r="V8" i="11"/>
  <c r="W8" i="11"/>
  <c r="X8" i="11"/>
  <c r="Y8" i="11"/>
  <c r="Z8" i="11"/>
  <c r="AA8" i="11"/>
  <c r="AB8" i="11"/>
  <c r="C9" i="11"/>
  <c r="D9" i="11"/>
  <c r="E9" i="11"/>
  <c r="F9" i="11"/>
  <c r="G9" i="11"/>
  <c r="H9" i="11"/>
  <c r="I9" i="11"/>
  <c r="J9" i="11"/>
  <c r="K9" i="11"/>
  <c r="L9" i="11"/>
  <c r="M9" i="11"/>
  <c r="N9" i="11"/>
  <c r="O9" i="11"/>
  <c r="P9" i="11"/>
  <c r="Q9" i="11"/>
  <c r="R9" i="11"/>
  <c r="S9" i="11"/>
  <c r="T9" i="11"/>
  <c r="U9" i="11"/>
  <c r="V9" i="11"/>
  <c r="W9" i="11"/>
  <c r="X9" i="11"/>
  <c r="Y9" i="11"/>
  <c r="Z9" i="11"/>
  <c r="AA9" i="11"/>
  <c r="AB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B3" i="11"/>
  <c r="B4" i="11"/>
  <c r="B5" i="11"/>
  <c r="B6" i="11"/>
  <c r="B7" i="11"/>
  <c r="B8" i="11"/>
  <c r="B9" i="11"/>
  <c r="B10" i="11"/>
  <c r="B11" i="11"/>
  <c r="C3" i="20"/>
  <c r="D3" i="20"/>
  <c r="E3" i="20"/>
  <c r="F3" i="20"/>
  <c r="G3" i="20"/>
  <c r="H3" i="20"/>
  <c r="I3" i="20"/>
  <c r="J3" i="20"/>
  <c r="K3" i="20"/>
  <c r="L3" i="20"/>
  <c r="M3" i="20"/>
  <c r="N3" i="20"/>
  <c r="O3" i="20"/>
  <c r="P3" i="20"/>
  <c r="Q3" i="20"/>
  <c r="R3" i="20"/>
  <c r="S3" i="20"/>
  <c r="T3" i="20"/>
  <c r="U3" i="20"/>
  <c r="V3" i="20"/>
  <c r="W3" i="20"/>
  <c r="X3" i="20"/>
  <c r="Y3" i="20"/>
  <c r="Z3" i="20"/>
  <c r="AA3" i="20"/>
  <c r="AB3" i="20"/>
  <c r="C5" i="20"/>
  <c r="D5" i="20"/>
  <c r="E5" i="20"/>
  <c r="F5" i="20"/>
  <c r="G5" i="20"/>
  <c r="H5" i="20"/>
  <c r="I5" i="20"/>
  <c r="J5" i="20"/>
  <c r="K5" i="20"/>
  <c r="L5" i="20"/>
  <c r="M5" i="20"/>
  <c r="N5" i="20"/>
  <c r="O5" i="20"/>
  <c r="P5" i="20"/>
  <c r="Q5" i="20"/>
  <c r="R5" i="20"/>
  <c r="S5" i="20"/>
  <c r="T5" i="20"/>
  <c r="U5" i="20"/>
  <c r="V5" i="20"/>
  <c r="W5" i="20"/>
  <c r="X5" i="20"/>
  <c r="Y5" i="20"/>
  <c r="Z5" i="20"/>
  <c r="AA5" i="20"/>
  <c r="AB5" i="20"/>
  <c r="C6" i="20"/>
  <c r="D6" i="20"/>
  <c r="E6" i="20"/>
  <c r="F6" i="20"/>
  <c r="G6" i="20"/>
  <c r="H6" i="20"/>
  <c r="I6" i="20"/>
  <c r="J6" i="20"/>
  <c r="K6" i="20"/>
  <c r="L6" i="20"/>
  <c r="M6" i="20"/>
  <c r="N6" i="20"/>
  <c r="O6" i="20"/>
  <c r="P6" i="20"/>
  <c r="Q6" i="20"/>
  <c r="R6" i="20"/>
  <c r="S6" i="20"/>
  <c r="T6" i="20"/>
  <c r="U6" i="20"/>
  <c r="V6" i="20"/>
  <c r="W6" i="20"/>
  <c r="X6" i="20"/>
  <c r="Y6" i="20"/>
  <c r="Z6" i="20"/>
  <c r="AA6" i="20"/>
  <c r="AB6" i="20"/>
  <c r="C7" i="20"/>
  <c r="D7" i="20"/>
  <c r="E7" i="20"/>
  <c r="F7" i="20"/>
  <c r="G7" i="20"/>
  <c r="H7" i="20"/>
  <c r="I7" i="20"/>
  <c r="J7" i="20"/>
  <c r="K7" i="20"/>
  <c r="L7" i="20"/>
  <c r="M7" i="20"/>
  <c r="N7" i="20"/>
  <c r="O7" i="20"/>
  <c r="P7" i="20"/>
  <c r="Q7" i="20"/>
  <c r="R7" i="20"/>
  <c r="S7" i="20"/>
  <c r="T7" i="20"/>
  <c r="U7" i="20"/>
  <c r="V7" i="20"/>
  <c r="W7" i="20"/>
  <c r="X7" i="20"/>
  <c r="Y7" i="20"/>
  <c r="Z7" i="20"/>
  <c r="AA7" i="20"/>
  <c r="AB7" i="20"/>
  <c r="C8" i="20"/>
  <c r="D8" i="20"/>
  <c r="E8" i="20"/>
  <c r="F8" i="20"/>
  <c r="G8" i="20"/>
  <c r="H8" i="20"/>
  <c r="I8" i="20"/>
  <c r="J8" i="20"/>
  <c r="K8" i="20"/>
  <c r="L8" i="20"/>
  <c r="M8" i="20"/>
  <c r="N8" i="20"/>
  <c r="O8" i="20"/>
  <c r="P8" i="20"/>
  <c r="Q8" i="20"/>
  <c r="R8" i="20"/>
  <c r="S8" i="20"/>
  <c r="T8" i="20"/>
  <c r="U8" i="20"/>
  <c r="V8" i="20"/>
  <c r="W8" i="20"/>
  <c r="X8" i="20"/>
  <c r="Y8" i="20"/>
  <c r="Z8" i="20"/>
  <c r="AA8" i="20"/>
  <c r="AB8" i="20"/>
  <c r="C9" i="20"/>
  <c r="D9" i="20"/>
  <c r="E9" i="20"/>
  <c r="F9" i="20"/>
  <c r="G9" i="20"/>
  <c r="H9" i="20"/>
  <c r="I9" i="20"/>
  <c r="J9" i="20"/>
  <c r="K9" i="20"/>
  <c r="L9" i="20"/>
  <c r="M9" i="20"/>
  <c r="N9" i="20"/>
  <c r="O9" i="20"/>
  <c r="P9" i="20"/>
  <c r="Q9" i="20"/>
  <c r="R9" i="20"/>
  <c r="S9" i="20"/>
  <c r="T9" i="20"/>
  <c r="U9" i="20"/>
  <c r="V9" i="20"/>
  <c r="W9" i="20"/>
  <c r="X9" i="20"/>
  <c r="Y9" i="20"/>
  <c r="Z9" i="20"/>
  <c r="AA9" i="20"/>
  <c r="AB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B3" i="20"/>
  <c r="B5" i="20"/>
  <c r="B6" i="20"/>
  <c r="B7" i="20"/>
  <c r="B8" i="20"/>
  <c r="B9" i="20"/>
  <c r="B10" i="20"/>
  <c r="B11" i="20"/>
  <c r="C3" i="18"/>
  <c r="D3" i="18"/>
  <c r="E3" i="18"/>
  <c r="F3" i="18"/>
  <c r="G3" i="18"/>
  <c r="H3" i="18"/>
  <c r="I3" i="18"/>
  <c r="J3" i="18"/>
  <c r="K3" i="18"/>
  <c r="L3" i="18"/>
  <c r="M3" i="18"/>
  <c r="N3" i="18"/>
  <c r="O3" i="18"/>
  <c r="P3" i="18"/>
  <c r="Q3" i="18"/>
  <c r="R3" i="18"/>
  <c r="S3" i="18"/>
  <c r="T3" i="18"/>
  <c r="U3" i="18"/>
  <c r="V3" i="18"/>
  <c r="W3" i="18"/>
  <c r="X3" i="18"/>
  <c r="Y3" i="18"/>
  <c r="Z3" i="18"/>
  <c r="AA3" i="18"/>
  <c r="AB3" i="18"/>
  <c r="C6" i="18"/>
  <c r="D6" i="18"/>
  <c r="E6" i="18"/>
  <c r="F6" i="18"/>
  <c r="G6" i="18"/>
  <c r="H6" i="18"/>
  <c r="I6" i="18"/>
  <c r="J6" i="18"/>
  <c r="K6" i="18"/>
  <c r="L6" i="18"/>
  <c r="M6" i="18"/>
  <c r="N6" i="18"/>
  <c r="O6" i="18"/>
  <c r="P6" i="18"/>
  <c r="Q6" i="18"/>
  <c r="R6" i="18"/>
  <c r="S6" i="18"/>
  <c r="T6" i="18"/>
  <c r="U6" i="18"/>
  <c r="V6" i="18"/>
  <c r="W6" i="18"/>
  <c r="X6" i="18"/>
  <c r="Y6" i="18"/>
  <c r="Z6" i="18"/>
  <c r="AA6" i="18"/>
  <c r="AB6" i="18"/>
  <c r="C8" i="18"/>
  <c r="D8" i="18"/>
  <c r="E8" i="18"/>
  <c r="F8" i="18"/>
  <c r="G8" i="18"/>
  <c r="H8" i="18"/>
  <c r="I8" i="18"/>
  <c r="J8" i="18"/>
  <c r="K8" i="18"/>
  <c r="L8" i="18"/>
  <c r="M8" i="18"/>
  <c r="N8" i="18"/>
  <c r="O8" i="18"/>
  <c r="P8" i="18"/>
  <c r="Q8" i="18"/>
  <c r="R8" i="18"/>
  <c r="S8" i="18"/>
  <c r="T8" i="18"/>
  <c r="U8" i="18"/>
  <c r="V8" i="18"/>
  <c r="W8" i="18"/>
  <c r="X8" i="18"/>
  <c r="Y8" i="18"/>
  <c r="Z8" i="18"/>
  <c r="AA8" i="18"/>
  <c r="AB8" i="18"/>
  <c r="C9" i="18"/>
  <c r="D9" i="18"/>
  <c r="E9" i="18"/>
  <c r="F9" i="18"/>
  <c r="G9" i="18"/>
  <c r="H9" i="18"/>
  <c r="I9" i="18"/>
  <c r="J9" i="18"/>
  <c r="K9" i="18"/>
  <c r="L9" i="18"/>
  <c r="M9" i="18"/>
  <c r="N9" i="18"/>
  <c r="O9" i="18"/>
  <c r="P9" i="18"/>
  <c r="Q9" i="18"/>
  <c r="R9" i="18"/>
  <c r="S9" i="18"/>
  <c r="T9" i="18"/>
  <c r="U9" i="18"/>
  <c r="V9" i="18"/>
  <c r="W9" i="18"/>
  <c r="X9" i="18"/>
  <c r="Y9" i="18"/>
  <c r="Z9" i="18"/>
  <c r="AA9" i="18"/>
  <c r="AB9"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B3" i="18"/>
  <c r="B6" i="18"/>
  <c r="B8" i="18"/>
  <c r="B9" i="18"/>
  <c r="B11" i="18"/>
  <c r="AF223" i="42" l="1"/>
  <c r="AE223" i="42"/>
  <c r="AD223" i="42"/>
  <c r="AC223" i="42"/>
  <c r="AB223" i="42"/>
  <c r="AA223" i="42"/>
  <c r="Z223" i="42"/>
  <c r="Y223" i="42"/>
  <c r="X223" i="42"/>
  <c r="W223" i="42"/>
  <c r="V223" i="42"/>
  <c r="U223" i="42"/>
  <c r="T223" i="42"/>
  <c r="S223" i="42"/>
  <c r="R223" i="42"/>
  <c r="Q223" i="42"/>
  <c r="P223" i="42"/>
  <c r="O223" i="42"/>
  <c r="N223" i="42"/>
  <c r="M223" i="42"/>
  <c r="L223" i="42"/>
  <c r="K223" i="42"/>
  <c r="J223" i="42"/>
  <c r="I223" i="42"/>
  <c r="H223" i="42"/>
  <c r="G223" i="42"/>
  <c r="B196" i="42" l="1"/>
  <c r="B195" i="42"/>
  <c r="B194" i="42"/>
  <c r="B193" i="42"/>
  <c r="B192" i="42"/>
  <c r="B191" i="42"/>
  <c r="B190" i="42"/>
  <c r="B189" i="42"/>
  <c r="B188" i="42"/>
  <c r="B187" i="42"/>
  <c r="B183" i="42"/>
  <c r="B182" i="42"/>
  <c r="B181" i="42"/>
  <c r="B180" i="42"/>
  <c r="B179" i="42"/>
  <c r="B178" i="42"/>
  <c r="B177" i="42"/>
  <c r="B176" i="42"/>
  <c r="B175" i="42"/>
  <c r="B174" i="42"/>
  <c r="B170" i="42"/>
  <c r="B169" i="42"/>
  <c r="B168" i="42"/>
  <c r="B167" i="42"/>
  <c r="B166" i="42"/>
  <c r="B165" i="42"/>
  <c r="B164" i="42"/>
  <c r="B163" i="42"/>
  <c r="B162" i="42"/>
  <c r="B161" i="42"/>
  <c r="B157" i="42"/>
  <c r="B156" i="42"/>
  <c r="B155" i="42"/>
  <c r="B154" i="42"/>
  <c r="B153" i="42"/>
  <c r="B152" i="42"/>
  <c r="B151" i="42"/>
  <c r="B150" i="42"/>
  <c r="B149" i="42"/>
  <c r="B148" i="42"/>
  <c r="B144" i="42"/>
  <c r="B143" i="42"/>
  <c r="B142" i="42"/>
  <c r="B141" i="42"/>
  <c r="B140" i="42"/>
  <c r="B139" i="42"/>
  <c r="B138" i="42"/>
  <c r="B137" i="42"/>
  <c r="B136" i="42"/>
  <c r="B135" i="42"/>
  <c r="B131" i="42"/>
  <c r="B130" i="42"/>
  <c r="B129" i="42"/>
  <c r="B128" i="42"/>
  <c r="B127" i="42"/>
  <c r="B126" i="42"/>
  <c r="B125" i="42"/>
  <c r="B124" i="42"/>
  <c r="B123" i="42"/>
  <c r="B122" i="42"/>
  <c r="B118" i="42"/>
  <c r="B117" i="42"/>
  <c r="B116" i="42"/>
  <c r="B115" i="42"/>
  <c r="B114" i="42"/>
  <c r="B113" i="42"/>
  <c r="B112" i="42"/>
  <c r="B111" i="42"/>
  <c r="B110" i="42"/>
  <c r="B109" i="42"/>
  <c r="B105" i="42"/>
  <c r="B104" i="42"/>
  <c r="B103" i="42"/>
  <c r="B102" i="42"/>
  <c r="B101" i="42"/>
  <c r="B100" i="42"/>
  <c r="B99" i="42"/>
  <c r="B98" i="42"/>
  <c r="B97" i="42"/>
  <c r="B96" i="42"/>
  <c r="B92" i="42"/>
  <c r="B91" i="42"/>
  <c r="B90" i="42"/>
  <c r="B89" i="42"/>
  <c r="B88" i="42"/>
  <c r="B87" i="42"/>
  <c r="B86" i="42"/>
  <c r="B85" i="42"/>
  <c r="B84" i="42"/>
  <c r="B83" i="42"/>
  <c r="B79" i="42"/>
  <c r="B78" i="42"/>
  <c r="B77" i="42"/>
  <c r="B76" i="42"/>
  <c r="B75" i="42"/>
  <c r="B74" i="42"/>
  <c r="B73" i="42"/>
  <c r="B72" i="42"/>
  <c r="B71" i="42"/>
  <c r="B70" i="42"/>
  <c r="B66" i="42"/>
  <c r="B65" i="42"/>
  <c r="B64" i="42"/>
  <c r="B63" i="42"/>
  <c r="B62" i="42"/>
  <c r="B61" i="42"/>
  <c r="B60" i="42"/>
  <c r="B59" i="42"/>
  <c r="B58" i="42"/>
  <c r="B57" i="42"/>
  <c r="B53" i="42"/>
  <c r="B52" i="42"/>
  <c r="B51" i="42"/>
  <c r="B50" i="42"/>
  <c r="B49" i="42"/>
  <c r="B48" i="42"/>
  <c r="B47" i="42"/>
  <c r="B46" i="42"/>
  <c r="B45" i="42"/>
  <c r="B44" i="42"/>
  <c r="B40" i="42"/>
  <c r="B39" i="42"/>
  <c r="B38" i="42"/>
  <c r="B37" i="42"/>
  <c r="B36" i="42"/>
  <c r="B35" i="42"/>
  <c r="B34" i="42"/>
  <c r="B33" i="42"/>
  <c r="B32" i="42"/>
  <c r="B31" i="42"/>
  <c r="B27" i="42"/>
  <c r="B26" i="42"/>
  <c r="B25" i="42"/>
  <c r="B24" i="42"/>
  <c r="B23" i="42"/>
  <c r="B22" i="42"/>
  <c r="B21" i="42"/>
  <c r="B20" i="42"/>
  <c r="B19" i="42"/>
  <c r="B18" i="42"/>
  <c r="B6" i="42"/>
  <c r="B7" i="42"/>
  <c r="B8" i="42"/>
  <c r="B9" i="42"/>
  <c r="B10" i="42"/>
  <c r="B11" i="42"/>
  <c r="B12" i="42"/>
  <c r="B13" i="42"/>
  <c r="B14" i="42"/>
  <c r="B5" i="42"/>
  <c r="B40" i="43"/>
  <c r="B41" i="43"/>
  <c r="B42" i="43"/>
  <c r="B43" i="43"/>
  <c r="B44" i="43"/>
  <c r="B45" i="43"/>
  <c r="B46" i="43"/>
  <c r="B47" i="43"/>
  <c r="B48" i="43"/>
  <c r="B49" i="43"/>
  <c r="B50" i="43"/>
  <c r="B51" i="43"/>
  <c r="B52" i="43"/>
  <c r="B53" i="43"/>
  <c r="B54" i="43"/>
  <c r="B55" i="43"/>
  <c r="B56" i="43"/>
  <c r="B57" i="43"/>
  <c r="B58" i="43"/>
  <c r="B59" i="43"/>
  <c r="B60" i="43"/>
  <c r="B61" i="43"/>
  <c r="B62" i="43"/>
  <c r="B63" i="43"/>
  <c r="B64" i="43"/>
  <c r="B39" i="43"/>
  <c r="B4" i="43"/>
  <c r="B5" i="43"/>
  <c r="B6" i="43"/>
  <c r="B7" i="43"/>
  <c r="B8" i="43"/>
  <c r="B9" i="43"/>
  <c r="B10" i="43"/>
  <c r="B11" i="43"/>
  <c r="B12" i="43"/>
  <c r="B13" i="43"/>
  <c r="B14" i="43"/>
  <c r="B15" i="43"/>
  <c r="B16" i="43"/>
  <c r="B17" i="43"/>
  <c r="B18" i="43"/>
  <c r="B19" i="43"/>
  <c r="B20" i="43"/>
  <c r="B21" i="43"/>
  <c r="B22" i="43"/>
  <c r="B23" i="43"/>
  <c r="B24" i="43"/>
  <c r="B25" i="43"/>
  <c r="B26" i="43"/>
  <c r="B27" i="43"/>
  <c r="B28" i="43"/>
  <c r="B29" i="43"/>
  <c r="B30" i="43"/>
  <c r="B31" i="43"/>
  <c r="B32" i="43"/>
  <c r="B33" i="43"/>
  <c r="B34" i="43"/>
  <c r="B35" i="43"/>
  <c r="B36" i="43"/>
  <c r="B37" i="43"/>
  <c r="B3" i="43"/>
  <c r="G39" i="43"/>
  <c r="H39" i="43"/>
  <c r="I39" i="43"/>
  <c r="J39" i="43"/>
  <c r="K39" i="43"/>
  <c r="L39" i="43"/>
  <c r="M39" i="43"/>
  <c r="N39" i="43"/>
  <c r="O39" i="43"/>
  <c r="P39" i="43"/>
  <c r="Q39" i="43"/>
  <c r="R39" i="43"/>
  <c r="S39" i="43"/>
  <c r="T39" i="43"/>
  <c r="U39" i="43"/>
  <c r="V39" i="43"/>
  <c r="W39" i="43"/>
  <c r="X39" i="43"/>
  <c r="Y39" i="43"/>
  <c r="Z39" i="43"/>
  <c r="AA39" i="43"/>
  <c r="AB39" i="43"/>
  <c r="AC39" i="43"/>
  <c r="AD39" i="43"/>
  <c r="AE39" i="43"/>
  <c r="AF39" i="43"/>
  <c r="G40" i="43"/>
  <c r="H40" i="43"/>
  <c r="I40" i="43"/>
  <c r="J40" i="43"/>
  <c r="K40" i="43"/>
  <c r="L40" i="43"/>
  <c r="M40" i="43"/>
  <c r="N40" i="43"/>
  <c r="O40" i="43"/>
  <c r="P40" i="43"/>
  <c r="Q40" i="43"/>
  <c r="R40" i="43"/>
  <c r="S40" i="43"/>
  <c r="T40" i="43"/>
  <c r="U40" i="43"/>
  <c r="V40" i="43"/>
  <c r="W40" i="43"/>
  <c r="X40" i="43"/>
  <c r="Y40" i="43"/>
  <c r="Z40" i="43"/>
  <c r="AA40" i="43"/>
  <c r="AB40" i="43"/>
  <c r="AC40" i="43"/>
  <c r="AD40" i="43"/>
  <c r="AE40" i="43"/>
  <c r="AF40" i="43"/>
  <c r="G41" i="43"/>
  <c r="H41" i="43"/>
  <c r="I41" i="43"/>
  <c r="J41" i="43"/>
  <c r="K41" i="43"/>
  <c r="L41" i="43"/>
  <c r="M41" i="43"/>
  <c r="N41" i="43"/>
  <c r="O41" i="43"/>
  <c r="P41" i="43"/>
  <c r="Q41" i="43"/>
  <c r="R41" i="43"/>
  <c r="S41" i="43"/>
  <c r="T41" i="43"/>
  <c r="U41" i="43"/>
  <c r="V41" i="43"/>
  <c r="W41" i="43"/>
  <c r="X41" i="43"/>
  <c r="Y41" i="43"/>
  <c r="Z41" i="43"/>
  <c r="AA41" i="43"/>
  <c r="AB41" i="43"/>
  <c r="AC41" i="43"/>
  <c r="AD41" i="43"/>
  <c r="AE41" i="43"/>
  <c r="AF41" i="43"/>
  <c r="G42" i="43"/>
  <c r="H42" i="43"/>
  <c r="I42" i="43"/>
  <c r="J42" i="43"/>
  <c r="K42" i="43"/>
  <c r="L42" i="43"/>
  <c r="M42" i="43"/>
  <c r="N42" i="43"/>
  <c r="O42" i="43"/>
  <c r="P42" i="43"/>
  <c r="Q42" i="43"/>
  <c r="R42" i="43"/>
  <c r="S42" i="43"/>
  <c r="T42" i="43"/>
  <c r="U42" i="43"/>
  <c r="V42" i="43"/>
  <c r="W42" i="43"/>
  <c r="X42" i="43"/>
  <c r="Y42" i="43"/>
  <c r="Z42" i="43"/>
  <c r="AA42" i="43"/>
  <c r="AB42" i="43"/>
  <c r="AC42" i="43"/>
  <c r="AD42" i="43"/>
  <c r="AE42" i="43"/>
  <c r="AF42" i="43"/>
  <c r="G43" i="43"/>
  <c r="H43" i="43"/>
  <c r="I43" i="43"/>
  <c r="J43" i="43"/>
  <c r="K43" i="43"/>
  <c r="L43" i="43"/>
  <c r="M43" i="43"/>
  <c r="N43" i="43"/>
  <c r="O43" i="43"/>
  <c r="P43" i="43"/>
  <c r="Q43" i="43"/>
  <c r="R43" i="43"/>
  <c r="S43" i="43"/>
  <c r="T43" i="43"/>
  <c r="U43" i="43"/>
  <c r="V43" i="43"/>
  <c r="W43" i="43"/>
  <c r="X43" i="43"/>
  <c r="Y43" i="43"/>
  <c r="Z43" i="43"/>
  <c r="AA43" i="43"/>
  <c r="AB43" i="43"/>
  <c r="AC43" i="43"/>
  <c r="AD43" i="43"/>
  <c r="AE43" i="43"/>
  <c r="AF43" i="43"/>
  <c r="G44" i="43"/>
  <c r="H44" i="43"/>
  <c r="I44" i="43"/>
  <c r="J44" i="43"/>
  <c r="K44" i="43"/>
  <c r="L44" i="43"/>
  <c r="M44" i="43"/>
  <c r="N44" i="43"/>
  <c r="O44" i="43"/>
  <c r="P44" i="43"/>
  <c r="Q44" i="43"/>
  <c r="R44" i="43"/>
  <c r="S44" i="43"/>
  <c r="T44" i="43"/>
  <c r="U44" i="43"/>
  <c r="V44" i="43"/>
  <c r="W44" i="43"/>
  <c r="X44" i="43"/>
  <c r="Y44" i="43"/>
  <c r="Z44" i="43"/>
  <c r="AA44" i="43"/>
  <c r="AB44" i="43"/>
  <c r="AC44" i="43"/>
  <c r="AD44" i="43"/>
  <c r="AE44" i="43"/>
  <c r="AF44" i="43"/>
  <c r="G45" i="43"/>
  <c r="H45" i="43"/>
  <c r="I45" i="43"/>
  <c r="J45" i="43"/>
  <c r="K45" i="43"/>
  <c r="L45" i="43"/>
  <c r="M45" i="43"/>
  <c r="N45" i="43"/>
  <c r="O45" i="43"/>
  <c r="P45" i="43"/>
  <c r="Q45" i="43"/>
  <c r="R45" i="43"/>
  <c r="S45" i="43"/>
  <c r="T45" i="43"/>
  <c r="U45" i="43"/>
  <c r="V45" i="43"/>
  <c r="W45" i="43"/>
  <c r="X45" i="43"/>
  <c r="Y45" i="43"/>
  <c r="Z45" i="43"/>
  <c r="AA45" i="43"/>
  <c r="AB45" i="43"/>
  <c r="AC45" i="43"/>
  <c r="AD45" i="43"/>
  <c r="AE45" i="43"/>
  <c r="AF45" i="43"/>
  <c r="G46" i="43"/>
  <c r="H46" i="43"/>
  <c r="I46" i="43"/>
  <c r="J46" i="43"/>
  <c r="K46" i="43"/>
  <c r="L46" i="43"/>
  <c r="M46" i="43"/>
  <c r="N46" i="43"/>
  <c r="O46" i="43"/>
  <c r="P46" i="43"/>
  <c r="Q46" i="43"/>
  <c r="R46" i="43"/>
  <c r="S46" i="43"/>
  <c r="T46" i="43"/>
  <c r="U46" i="43"/>
  <c r="V46" i="43"/>
  <c r="W46" i="43"/>
  <c r="X46" i="43"/>
  <c r="Y46" i="43"/>
  <c r="Z46" i="43"/>
  <c r="AA46" i="43"/>
  <c r="AB46" i="43"/>
  <c r="AC46" i="43"/>
  <c r="AD46" i="43"/>
  <c r="AE46" i="43"/>
  <c r="AF46" i="43"/>
  <c r="G47" i="43"/>
  <c r="H47" i="43"/>
  <c r="I47" i="43"/>
  <c r="J47" i="43"/>
  <c r="K47" i="43"/>
  <c r="L47" i="43"/>
  <c r="M47" i="43"/>
  <c r="N47" i="43"/>
  <c r="O47" i="43"/>
  <c r="P47" i="43"/>
  <c r="Q47" i="43"/>
  <c r="R47" i="43"/>
  <c r="S47" i="43"/>
  <c r="T47" i="43"/>
  <c r="U47" i="43"/>
  <c r="V47" i="43"/>
  <c r="W47" i="43"/>
  <c r="X47" i="43"/>
  <c r="Y47" i="43"/>
  <c r="Z47" i="43"/>
  <c r="AA47" i="43"/>
  <c r="AB47" i="43"/>
  <c r="AC47" i="43"/>
  <c r="AD47" i="43"/>
  <c r="AE47" i="43"/>
  <c r="AF47" i="43"/>
  <c r="G48" i="43"/>
  <c r="H48" i="43"/>
  <c r="I48" i="43"/>
  <c r="J48" i="43"/>
  <c r="K48" i="43"/>
  <c r="L48" i="43"/>
  <c r="M48" i="43"/>
  <c r="N48" i="43"/>
  <c r="O48" i="43"/>
  <c r="P48" i="43"/>
  <c r="Q48" i="43"/>
  <c r="R48" i="43"/>
  <c r="S48" i="43"/>
  <c r="T48" i="43"/>
  <c r="U48" i="43"/>
  <c r="V48" i="43"/>
  <c r="W48" i="43"/>
  <c r="X48" i="43"/>
  <c r="Y48" i="43"/>
  <c r="Z48" i="43"/>
  <c r="AA48" i="43"/>
  <c r="AB48" i="43"/>
  <c r="AC48" i="43"/>
  <c r="AD48" i="43"/>
  <c r="AE48" i="43"/>
  <c r="AF48" i="43"/>
  <c r="G49" i="43"/>
  <c r="H49" i="43"/>
  <c r="I49" i="43"/>
  <c r="J49" i="43"/>
  <c r="K49" i="43"/>
  <c r="L49" i="43"/>
  <c r="M49" i="43"/>
  <c r="N49" i="43"/>
  <c r="O49" i="43"/>
  <c r="P49" i="43"/>
  <c r="Q49" i="43"/>
  <c r="R49" i="43"/>
  <c r="S49" i="43"/>
  <c r="T49" i="43"/>
  <c r="U49" i="43"/>
  <c r="V49" i="43"/>
  <c r="W49" i="43"/>
  <c r="X49" i="43"/>
  <c r="Y49" i="43"/>
  <c r="Z49" i="43"/>
  <c r="AA49" i="43"/>
  <c r="AB49" i="43"/>
  <c r="AC49" i="43"/>
  <c r="AD49" i="43"/>
  <c r="AE49" i="43"/>
  <c r="AF49" i="43"/>
  <c r="G50" i="43"/>
  <c r="H50" i="43"/>
  <c r="I50" i="43"/>
  <c r="J50" i="43"/>
  <c r="K50" i="43"/>
  <c r="L50" i="43"/>
  <c r="M50" i="43"/>
  <c r="N50" i="43"/>
  <c r="O50" i="43"/>
  <c r="P50" i="43"/>
  <c r="Q50" i="43"/>
  <c r="R50" i="43"/>
  <c r="S50" i="43"/>
  <c r="T50" i="43"/>
  <c r="U50" i="43"/>
  <c r="V50" i="43"/>
  <c r="W50" i="43"/>
  <c r="X50" i="43"/>
  <c r="Y50" i="43"/>
  <c r="Z50" i="43"/>
  <c r="AA50" i="43"/>
  <c r="AB50" i="43"/>
  <c r="AC50" i="43"/>
  <c r="AD50" i="43"/>
  <c r="AE50" i="43"/>
  <c r="AF50" i="43"/>
  <c r="G51" i="43"/>
  <c r="H51" i="43"/>
  <c r="I51" i="43"/>
  <c r="J51" i="43"/>
  <c r="K51" i="43"/>
  <c r="L51" i="43"/>
  <c r="M51" i="43"/>
  <c r="N51" i="43"/>
  <c r="O51" i="43"/>
  <c r="P51" i="43"/>
  <c r="Q51" i="43"/>
  <c r="R51" i="43"/>
  <c r="S51" i="43"/>
  <c r="T51" i="43"/>
  <c r="U51" i="43"/>
  <c r="V51" i="43"/>
  <c r="W51" i="43"/>
  <c r="X51" i="43"/>
  <c r="Y51" i="43"/>
  <c r="Z51" i="43"/>
  <c r="AA51" i="43"/>
  <c r="AB51" i="43"/>
  <c r="AC51" i="43"/>
  <c r="AD51" i="43"/>
  <c r="AE51" i="43"/>
  <c r="AF51" i="43"/>
  <c r="G52" i="43"/>
  <c r="H52" i="43"/>
  <c r="I52" i="43"/>
  <c r="J52" i="43"/>
  <c r="K52" i="43"/>
  <c r="L52" i="43"/>
  <c r="M52" i="43"/>
  <c r="N52" i="43"/>
  <c r="O52" i="43"/>
  <c r="P52" i="43"/>
  <c r="Q52" i="43"/>
  <c r="R52" i="43"/>
  <c r="S52" i="43"/>
  <c r="T52" i="43"/>
  <c r="U52" i="43"/>
  <c r="V52" i="43"/>
  <c r="W52" i="43"/>
  <c r="X52" i="43"/>
  <c r="Y52" i="43"/>
  <c r="Z52" i="43"/>
  <c r="AA52" i="43"/>
  <c r="AB52" i="43"/>
  <c r="AC52" i="43"/>
  <c r="AD52" i="43"/>
  <c r="AE52" i="43"/>
  <c r="AF52" i="43"/>
  <c r="G53" i="43"/>
  <c r="H53" i="43"/>
  <c r="I53" i="43"/>
  <c r="J53" i="43"/>
  <c r="K53" i="43"/>
  <c r="L53" i="43"/>
  <c r="M53" i="43"/>
  <c r="N53" i="43"/>
  <c r="O53" i="43"/>
  <c r="P53" i="43"/>
  <c r="Q53" i="43"/>
  <c r="R53" i="43"/>
  <c r="S53" i="43"/>
  <c r="T53" i="43"/>
  <c r="U53" i="43"/>
  <c r="V53" i="43"/>
  <c r="W53" i="43"/>
  <c r="X53" i="43"/>
  <c r="Y53" i="43"/>
  <c r="Z53" i="43"/>
  <c r="AA53" i="43"/>
  <c r="AB53" i="43"/>
  <c r="AC53" i="43"/>
  <c r="AD53" i="43"/>
  <c r="AE53" i="43"/>
  <c r="AF53" i="43"/>
  <c r="G54" i="43"/>
  <c r="H54" i="43"/>
  <c r="I54" i="43"/>
  <c r="J54" i="43"/>
  <c r="K54" i="43"/>
  <c r="L54" i="43"/>
  <c r="M54" i="43"/>
  <c r="N54" i="43"/>
  <c r="O54" i="43"/>
  <c r="P54" i="43"/>
  <c r="Q54" i="43"/>
  <c r="R54" i="43"/>
  <c r="S54" i="43"/>
  <c r="T54" i="43"/>
  <c r="U54" i="43"/>
  <c r="V54" i="43"/>
  <c r="W54" i="43"/>
  <c r="X54" i="43"/>
  <c r="Y54" i="43"/>
  <c r="Z54" i="43"/>
  <c r="AA54" i="43"/>
  <c r="AB54" i="43"/>
  <c r="AC54" i="43"/>
  <c r="AD54" i="43"/>
  <c r="AE54" i="43"/>
  <c r="AF54" i="43"/>
  <c r="G55" i="43"/>
  <c r="H55" i="43"/>
  <c r="I55" i="43"/>
  <c r="J55" i="43"/>
  <c r="K55" i="43"/>
  <c r="L55" i="43"/>
  <c r="M55" i="43"/>
  <c r="N55" i="43"/>
  <c r="O55" i="43"/>
  <c r="P55" i="43"/>
  <c r="Q55" i="43"/>
  <c r="R55" i="43"/>
  <c r="S55" i="43"/>
  <c r="T55" i="43"/>
  <c r="U55" i="43"/>
  <c r="V55" i="43"/>
  <c r="W55" i="43"/>
  <c r="X55" i="43"/>
  <c r="Y55" i="43"/>
  <c r="Z55" i="43"/>
  <c r="AA55" i="43"/>
  <c r="AB55" i="43"/>
  <c r="AC55" i="43"/>
  <c r="AD55" i="43"/>
  <c r="AE55" i="43"/>
  <c r="AF55" i="43"/>
  <c r="G56" i="43"/>
  <c r="H56" i="43"/>
  <c r="I56" i="43"/>
  <c r="J56" i="43"/>
  <c r="K56" i="43"/>
  <c r="L56" i="43"/>
  <c r="M56" i="43"/>
  <c r="N56" i="43"/>
  <c r="O56" i="43"/>
  <c r="P56" i="43"/>
  <c r="Q56" i="43"/>
  <c r="R56" i="43"/>
  <c r="S56" i="43"/>
  <c r="T56" i="43"/>
  <c r="U56" i="43"/>
  <c r="V56" i="43"/>
  <c r="W56" i="43"/>
  <c r="X56" i="43"/>
  <c r="Y56" i="43"/>
  <c r="Z56" i="43"/>
  <c r="AA56" i="43"/>
  <c r="AB56" i="43"/>
  <c r="AC56" i="43"/>
  <c r="AD56" i="43"/>
  <c r="AE56" i="43"/>
  <c r="AF56" i="43"/>
  <c r="G57" i="43"/>
  <c r="H57" i="43"/>
  <c r="I57" i="43"/>
  <c r="J57" i="43"/>
  <c r="K57" i="43"/>
  <c r="L57" i="43"/>
  <c r="M57" i="43"/>
  <c r="N57" i="43"/>
  <c r="O57" i="43"/>
  <c r="P57" i="43"/>
  <c r="Q57" i="43"/>
  <c r="R57" i="43"/>
  <c r="S57" i="43"/>
  <c r="T57" i="43"/>
  <c r="U57" i="43"/>
  <c r="V57" i="43"/>
  <c r="W57" i="43"/>
  <c r="X57" i="43"/>
  <c r="Y57" i="43"/>
  <c r="Z57" i="43"/>
  <c r="AA57" i="43"/>
  <c r="AB57" i="43"/>
  <c r="AC57" i="43"/>
  <c r="AD57" i="43"/>
  <c r="AE57" i="43"/>
  <c r="AF57" i="43"/>
  <c r="G58" i="43"/>
  <c r="H58" i="43"/>
  <c r="I58" i="43"/>
  <c r="J58" i="43"/>
  <c r="K58" i="43"/>
  <c r="L58" i="43"/>
  <c r="M58" i="43"/>
  <c r="N58" i="43"/>
  <c r="O58" i="43"/>
  <c r="P58" i="43"/>
  <c r="Q58" i="43"/>
  <c r="R58" i="43"/>
  <c r="S58" i="43"/>
  <c r="T58" i="43"/>
  <c r="U58" i="43"/>
  <c r="V58" i="43"/>
  <c r="W58" i="43"/>
  <c r="X58" i="43"/>
  <c r="Y58" i="43"/>
  <c r="Z58" i="43"/>
  <c r="AA58" i="43"/>
  <c r="AB58" i="43"/>
  <c r="AC58" i="43"/>
  <c r="AD58" i="43"/>
  <c r="AE58" i="43"/>
  <c r="AF58" i="43"/>
  <c r="G59" i="43"/>
  <c r="H59" i="43"/>
  <c r="I59" i="43"/>
  <c r="J59" i="43"/>
  <c r="K59" i="43"/>
  <c r="L59" i="43"/>
  <c r="M59" i="43"/>
  <c r="N59" i="43"/>
  <c r="O59" i="43"/>
  <c r="P59" i="43"/>
  <c r="Q59" i="43"/>
  <c r="R59" i="43"/>
  <c r="S59" i="43"/>
  <c r="T59" i="43"/>
  <c r="U59" i="43"/>
  <c r="V59" i="43"/>
  <c r="W59" i="43"/>
  <c r="X59" i="43"/>
  <c r="Y59" i="43"/>
  <c r="Z59" i="43"/>
  <c r="AA59" i="43"/>
  <c r="AB59" i="43"/>
  <c r="AC59" i="43"/>
  <c r="AD59" i="43"/>
  <c r="AE59" i="43"/>
  <c r="AF59" i="43"/>
  <c r="G60" i="43"/>
  <c r="H60" i="43"/>
  <c r="I60" i="43"/>
  <c r="J60" i="43"/>
  <c r="K60" i="43"/>
  <c r="L60" i="43"/>
  <c r="M60" i="43"/>
  <c r="N60" i="43"/>
  <c r="O60" i="43"/>
  <c r="P60" i="43"/>
  <c r="Q60" i="43"/>
  <c r="R60" i="43"/>
  <c r="S60" i="43"/>
  <c r="T60" i="43"/>
  <c r="U60" i="43"/>
  <c r="V60" i="43"/>
  <c r="W60" i="43"/>
  <c r="X60" i="43"/>
  <c r="Y60" i="43"/>
  <c r="Z60" i="43"/>
  <c r="AA60" i="43"/>
  <c r="AB60" i="43"/>
  <c r="AC60" i="43"/>
  <c r="AD60" i="43"/>
  <c r="AE60" i="43"/>
  <c r="AF60" i="43"/>
  <c r="G61" i="43"/>
  <c r="H61" i="43"/>
  <c r="I61" i="43"/>
  <c r="J61" i="43"/>
  <c r="K61" i="43"/>
  <c r="L61" i="43"/>
  <c r="M61" i="43"/>
  <c r="N61" i="43"/>
  <c r="O61" i="43"/>
  <c r="P61" i="43"/>
  <c r="Q61" i="43"/>
  <c r="R61" i="43"/>
  <c r="S61" i="43"/>
  <c r="T61" i="43"/>
  <c r="U61" i="43"/>
  <c r="V61" i="43"/>
  <c r="W61" i="43"/>
  <c r="X61" i="43"/>
  <c r="Y61" i="43"/>
  <c r="Z61" i="43"/>
  <c r="AA61" i="43"/>
  <c r="AB61" i="43"/>
  <c r="AC61" i="43"/>
  <c r="AD61" i="43"/>
  <c r="AE61" i="43"/>
  <c r="AF61" i="43"/>
  <c r="G62" i="43"/>
  <c r="H62" i="43"/>
  <c r="I62" i="43"/>
  <c r="J62" i="43"/>
  <c r="K62" i="43"/>
  <c r="L62" i="43"/>
  <c r="M62" i="43"/>
  <c r="N62" i="43"/>
  <c r="O62" i="43"/>
  <c r="P62" i="43"/>
  <c r="Q62" i="43"/>
  <c r="R62" i="43"/>
  <c r="S62" i="43"/>
  <c r="T62" i="43"/>
  <c r="U62" i="43"/>
  <c r="V62" i="43"/>
  <c r="W62" i="43"/>
  <c r="X62" i="43"/>
  <c r="Y62" i="43"/>
  <c r="Z62" i="43"/>
  <c r="AA62" i="43"/>
  <c r="AB62" i="43"/>
  <c r="AC62" i="43"/>
  <c r="AD62" i="43"/>
  <c r="AE62" i="43"/>
  <c r="AF62" i="43"/>
  <c r="G63" i="43"/>
  <c r="H63" i="43"/>
  <c r="I63" i="43"/>
  <c r="J63" i="43"/>
  <c r="K63" i="43"/>
  <c r="L63" i="43"/>
  <c r="M63" i="43"/>
  <c r="N63" i="43"/>
  <c r="O63" i="43"/>
  <c r="P63" i="43"/>
  <c r="Q63" i="43"/>
  <c r="R63" i="43"/>
  <c r="S63" i="43"/>
  <c r="T63" i="43"/>
  <c r="U63" i="43"/>
  <c r="V63" i="43"/>
  <c r="W63" i="43"/>
  <c r="X63" i="43"/>
  <c r="Y63" i="43"/>
  <c r="Z63" i="43"/>
  <c r="AA63" i="43"/>
  <c r="AB63" i="43"/>
  <c r="AC63" i="43"/>
  <c r="AD63" i="43"/>
  <c r="AE63" i="43"/>
  <c r="AF63" i="43"/>
  <c r="G64" i="43"/>
  <c r="H64" i="43"/>
  <c r="I64" i="43"/>
  <c r="J64" i="43"/>
  <c r="K64" i="43"/>
  <c r="L64" i="43"/>
  <c r="M64" i="43"/>
  <c r="N64" i="43"/>
  <c r="O64" i="43"/>
  <c r="P64" i="43"/>
  <c r="Q64" i="43"/>
  <c r="R64" i="43"/>
  <c r="S64" i="43"/>
  <c r="T64" i="43"/>
  <c r="U64" i="43"/>
  <c r="V64" i="43"/>
  <c r="W64" i="43"/>
  <c r="X64" i="43"/>
  <c r="Y64" i="43"/>
  <c r="Z64" i="43"/>
  <c r="AA64" i="43"/>
  <c r="AB64" i="43"/>
  <c r="AC64" i="43"/>
  <c r="AD64" i="43"/>
  <c r="AE64" i="43"/>
  <c r="AF64" i="43"/>
  <c r="F40" i="43"/>
  <c r="F41" i="43"/>
  <c r="F42" i="43"/>
  <c r="F43" i="43"/>
  <c r="F44" i="43"/>
  <c r="F45" i="43"/>
  <c r="F46" i="43"/>
  <c r="F47" i="43"/>
  <c r="F48" i="43"/>
  <c r="F49" i="43"/>
  <c r="F50" i="43"/>
  <c r="F51" i="43"/>
  <c r="F52" i="43"/>
  <c r="F53" i="43"/>
  <c r="F54" i="43"/>
  <c r="F55" i="43"/>
  <c r="F56" i="43"/>
  <c r="F57" i="43"/>
  <c r="F58" i="43"/>
  <c r="F59" i="43"/>
  <c r="F60" i="43"/>
  <c r="F61" i="43"/>
  <c r="F62" i="43"/>
  <c r="F63" i="43"/>
  <c r="F64" i="43"/>
  <c r="F39" i="43"/>
  <c r="G3" i="43"/>
  <c r="H3" i="43"/>
  <c r="I3" i="43"/>
  <c r="J3" i="43"/>
  <c r="K3" i="43"/>
  <c r="L3" i="43"/>
  <c r="M3" i="43"/>
  <c r="N3" i="43"/>
  <c r="O3" i="43"/>
  <c r="P3" i="43"/>
  <c r="Q3" i="43"/>
  <c r="R3" i="43"/>
  <c r="S3" i="43"/>
  <c r="T3" i="43"/>
  <c r="U3" i="43"/>
  <c r="V3" i="43"/>
  <c r="W3" i="43"/>
  <c r="X3" i="43"/>
  <c r="Y3" i="43"/>
  <c r="Z3" i="43"/>
  <c r="AA3" i="43"/>
  <c r="AB3" i="43"/>
  <c r="AC3" i="43"/>
  <c r="AD3" i="43"/>
  <c r="AE3" i="43"/>
  <c r="AF3" i="43"/>
  <c r="G4" i="43"/>
  <c r="H4" i="43"/>
  <c r="I4" i="43"/>
  <c r="J4" i="43"/>
  <c r="K4" i="43"/>
  <c r="L4" i="43"/>
  <c r="M4" i="43"/>
  <c r="N4" i="43"/>
  <c r="O4" i="43"/>
  <c r="P4" i="43"/>
  <c r="Q4" i="43"/>
  <c r="R4" i="43"/>
  <c r="S4" i="43"/>
  <c r="T4" i="43"/>
  <c r="U4" i="43"/>
  <c r="V4" i="43"/>
  <c r="W4" i="43"/>
  <c r="X4" i="43"/>
  <c r="Y4" i="43"/>
  <c r="Z4" i="43"/>
  <c r="AA4" i="43"/>
  <c r="AB4" i="43"/>
  <c r="AC4" i="43"/>
  <c r="AD4" i="43"/>
  <c r="AE4" i="43"/>
  <c r="AF4" i="43"/>
  <c r="G5" i="43"/>
  <c r="H5" i="43"/>
  <c r="I5" i="43"/>
  <c r="J5" i="43"/>
  <c r="K5" i="43"/>
  <c r="L5" i="43"/>
  <c r="M5" i="43"/>
  <c r="N5" i="43"/>
  <c r="O5" i="43"/>
  <c r="P5" i="43"/>
  <c r="Q5" i="43"/>
  <c r="R5" i="43"/>
  <c r="S5" i="43"/>
  <c r="T5" i="43"/>
  <c r="U5" i="43"/>
  <c r="V5" i="43"/>
  <c r="W5" i="43"/>
  <c r="X5" i="43"/>
  <c r="Y5" i="43"/>
  <c r="Z5" i="43"/>
  <c r="AA5" i="43"/>
  <c r="AB5" i="43"/>
  <c r="AC5" i="43"/>
  <c r="AD5" i="43"/>
  <c r="AE5" i="43"/>
  <c r="AF5" i="43"/>
  <c r="G6" i="43"/>
  <c r="H6" i="43"/>
  <c r="I6" i="43"/>
  <c r="J6" i="43"/>
  <c r="K6" i="43"/>
  <c r="L6" i="43"/>
  <c r="M6" i="43"/>
  <c r="N6" i="43"/>
  <c r="O6" i="43"/>
  <c r="P6" i="43"/>
  <c r="Q6" i="43"/>
  <c r="R6" i="43"/>
  <c r="S6" i="43"/>
  <c r="T6" i="43"/>
  <c r="U6" i="43"/>
  <c r="V6" i="43"/>
  <c r="W6" i="43"/>
  <c r="X6" i="43"/>
  <c r="Y6" i="43"/>
  <c r="Z6" i="43"/>
  <c r="AA6" i="43"/>
  <c r="AB6" i="43"/>
  <c r="AC6" i="43"/>
  <c r="AD6" i="43"/>
  <c r="AE6" i="43"/>
  <c r="AF6" i="43"/>
  <c r="G7" i="43"/>
  <c r="H7" i="43"/>
  <c r="I7" i="43"/>
  <c r="J7" i="43"/>
  <c r="K7" i="43"/>
  <c r="L7" i="43"/>
  <c r="M7" i="43"/>
  <c r="N7" i="43"/>
  <c r="O7" i="43"/>
  <c r="P7" i="43"/>
  <c r="Q7" i="43"/>
  <c r="R7" i="43"/>
  <c r="S7" i="43"/>
  <c r="T7" i="43"/>
  <c r="U7" i="43"/>
  <c r="V7" i="43"/>
  <c r="W7" i="43"/>
  <c r="X7" i="43"/>
  <c r="Y7" i="43"/>
  <c r="Z7" i="43"/>
  <c r="AA7" i="43"/>
  <c r="AB7" i="43"/>
  <c r="AC7" i="43"/>
  <c r="AD7" i="43"/>
  <c r="AE7" i="43"/>
  <c r="AF7" i="43"/>
  <c r="G8" i="43"/>
  <c r="H8" i="43"/>
  <c r="I8" i="43"/>
  <c r="J8" i="43"/>
  <c r="K8" i="43"/>
  <c r="L8" i="43"/>
  <c r="M8" i="43"/>
  <c r="N8" i="43"/>
  <c r="O8" i="43"/>
  <c r="P8" i="43"/>
  <c r="Q8" i="43"/>
  <c r="R8" i="43"/>
  <c r="S8" i="43"/>
  <c r="T8" i="43"/>
  <c r="U8" i="43"/>
  <c r="V8" i="43"/>
  <c r="W8" i="43"/>
  <c r="X8" i="43"/>
  <c r="Y8" i="43"/>
  <c r="Z8" i="43"/>
  <c r="AA8" i="43"/>
  <c r="AB8" i="43"/>
  <c r="AC8" i="43"/>
  <c r="AD8" i="43"/>
  <c r="AE8" i="43"/>
  <c r="AF8" i="43"/>
  <c r="G9" i="43"/>
  <c r="H9" i="43"/>
  <c r="I9" i="43"/>
  <c r="J9" i="43"/>
  <c r="K9" i="43"/>
  <c r="L9" i="43"/>
  <c r="M9" i="43"/>
  <c r="N9" i="43"/>
  <c r="O9" i="43"/>
  <c r="P9" i="43"/>
  <c r="Q9" i="43"/>
  <c r="R9" i="43"/>
  <c r="S9" i="43"/>
  <c r="T9" i="43"/>
  <c r="U9" i="43"/>
  <c r="V9" i="43"/>
  <c r="W9" i="43"/>
  <c r="X9" i="43"/>
  <c r="Y9" i="43"/>
  <c r="Z9" i="43"/>
  <c r="AA9" i="43"/>
  <c r="AB9" i="43"/>
  <c r="AC9" i="43"/>
  <c r="AD9" i="43"/>
  <c r="AE9" i="43"/>
  <c r="AF9" i="43"/>
  <c r="G10" i="43"/>
  <c r="H10" i="43"/>
  <c r="I10" i="43"/>
  <c r="J10" i="43"/>
  <c r="K10" i="43"/>
  <c r="L10" i="43"/>
  <c r="M10" i="43"/>
  <c r="N10" i="43"/>
  <c r="O10" i="43"/>
  <c r="P10" i="43"/>
  <c r="Q10" i="43"/>
  <c r="R10" i="43"/>
  <c r="S10" i="43"/>
  <c r="T10" i="43"/>
  <c r="U10" i="43"/>
  <c r="V10" i="43"/>
  <c r="W10" i="43"/>
  <c r="X10" i="43"/>
  <c r="Y10" i="43"/>
  <c r="Z10" i="43"/>
  <c r="AA10" i="43"/>
  <c r="AB10" i="43"/>
  <c r="AC10" i="43"/>
  <c r="AD10" i="43"/>
  <c r="AE10" i="43"/>
  <c r="AF10" i="43"/>
  <c r="G11" i="43"/>
  <c r="H11" i="43"/>
  <c r="I11" i="43"/>
  <c r="J11" i="43"/>
  <c r="K11" i="43"/>
  <c r="L11" i="43"/>
  <c r="M11" i="43"/>
  <c r="N11" i="43"/>
  <c r="O11" i="43"/>
  <c r="P11" i="43"/>
  <c r="Q11" i="43"/>
  <c r="R11" i="43"/>
  <c r="S11" i="43"/>
  <c r="T11" i="43"/>
  <c r="U11" i="43"/>
  <c r="V11" i="43"/>
  <c r="W11" i="43"/>
  <c r="X11" i="43"/>
  <c r="Y11" i="43"/>
  <c r="Z11" i="43"/>
  <c r="AA11" i="43"/>
  <c r="AB11" i="43"/>
  <c r="AC11" i="43"/>
  <c r="AD11" i="43"/>
  <c r="AE11" i="43"/>
  <c r="AF11" i="43"/>
  <c r="G12" i="43"/>
  <c r="H12" i="43"/>
  <c r="I12" i="43"/>
  <c r="J12" i="43"/>
  <c r="K12" i="43"/>
  <c r="L12" i="43"/>
  <c r="M12" i="43"/>
  <c r="N12" i="43"/>
  <c r="O12" i="43"/>
  <c r="P12" i="43"/>
  <c r="Q12" i="43"/>
  <c r="R12" i="43"/>
  <c r="S12" i="43"/>
  <c r="T12" i="43"/>
  <c r="U12" i="43"/>
  <c r="V12" i="43"/>
  <c r="W12" i="43"/>
  <c r="X12" i="43"/>
  <c r="Y12" i="43"/>
  <c r="Z12" i="43"/>
  <c r="AA12" i="43"/>
  <c r="AB12" i="43"/>
  <c r="AC12" i="43"/>
  <c r="AD12" i="43"/>
  <c r="AE12" i="43"/>
  <c r="AF12" i="43"/>
  <c r="G13" i="43"/>
  <c r="H13" i="43"/>
  <c r="I13" i="43"/>
  <c r="J13" i="43"/>
  <c r="K13" i="43"/>
  <c r="L13" i="43"/>
  <c r="M13" i="43"/>
  <c r="N13" i="43"/>
  <c r="O13" i="43"/>
  <c r="P13" i="43"/>
  <c r="Q13" i="43"/>
  <c r="R13" i="43"/>
  <c r="S13" i="43"/>
  <c r="T13" i="43"/>
  <c r="U13" i="43"/>
  <c r="V13" i="43"/>
  <c r="W13" i="43"/>
  <c r="X13" i="43"/>
  <c r="Y13" i="43"/>
  <c r="Z13" i="43"/>
  <c r="AA13" i="43"/>
  <c r="AB13" i="43"/>
  <c r="AC13" i="43"/>
  <c r="AD13" i="43"/>
  <c r="AE13" i="43"/>
  <c r="AF13" i="43"/>
  <c r="G14" i="43"/>
  <c r="H14" i="43"/>
  <c r="I14" i="43"/>
  <c r="J14" i="43"/>
  <c r="K14" i="43"/>
  <c r="L14" i="43"/>
  <c r="M14" i="43"/>
  <c r="N14" i="43"/>
  <c r="O14" i="43"/>
  <c r="P14" i="43"/>
  <c r="Q14" i="43"/>
  <c r="R14" i="43"/>
  <c r="S14" i="43"/>
  <c r="T14" i="43"/>
  <c r="U14" i="43"/>
  <c r="V14" i="43"/>
  <c r="W14" i="43"/>
  <c r="X14" i="43"/>
  <c r="Y14" i="43"/>
  <c r="Z14" i="43"/>
  <c r="AA14" i="43"/>
  <c r="AB14" i="43"/>
  <c r="AC14" i="43"/>
  <c r="AD14" i="43"/>
  <c r="AE14" i="43"/>
  <c r="AF14" i="43"/>
  <c r="G15" i="43"/>
  <c r="H15" i="43"/>
  <c r="I15" i="43"/>
  <c r="J15" i="43"/>
  <c r="K15" i="43"/>
  <c r="L15" i="43"/>
  <c r="M15" i="43"/>
  <c r="N15" i="43"/>
  <c r="O15" i="43"/>
  <c r="P15" i="43"/>
  <c r="Q15" i="43"/>
  <c r="R15" i="43"/>
  <c r="S15" i="43"/>
  <c r="T15" i="43"/>
  <c r="U15" i="43"/>
  <c r="V15" i="43"/>
  <c r="W15" i="43"/>
  <c r="X15" i="43"/>
  <c r="Y15" i="43"/>
  <c r="Z15" i="43"/>
  <c r="AA15" i="43"/>
  <c r="AB15" i="43"/>
  <c r="AC15" i="43"/>
  <c r="AD15" i="43"/>
  <c r="AE15" i="43"/>
  <c r="AF15" i="43"/>
  <c r="G16" i="43"/>
  <c r="H16" i="43"/>
  <c r="I16" i="43"/>
  <c r="J16" i="43"/>
  <c r="K16" i="43"/>
  <c r="L16" i="43"/>
  <c r="M16" i="43"/>
  <c r="N16" i="43"/>
  <c r="O16" i="43"/>
  <c r="P16" i="43"/>
  <c r="Q16" i="43"/>
  <c r="R16" i="43"/>
  <c r="S16" i="43"/>
  <c r="T16" i="43"/>
  <c r="U16" i="43"/>
  <c r="V16" i="43"/>
  <c r="W16" i="43"/>
  <c r="X16" i="43"/>
  <c r="Y16" i="43"/>
  <c r="Z16" i="43"/>
  <c r="AA16" i="43"/>
  <c r="AB16" i="43"/>
  <c r="AC16" i="43"/>
  <c r="AD16" i="43"/>
  <c r="AE16" i="43"/>
  <c r="AF16" i="43"/>
  <c r="G17" i="43"/>
  <c r="H17" i="43"/>
  <c r="I17" i="43"/>
  <c r="J17" i="43"/>
  <c r="K17" i="43"/>
  <c r="L17" i="43"/>
  <c r="M17" i="43"/>
  <c r="N17" i="43"/>
  <c r="O17" i="43"/>
  <c r="P17" i="43"/>
  <c r="Q17" i="43"/>
  <c r="R17" i="43"/>
  <c r="S17" i="43"/>
  <c r="T17" i="43"/>
  <c r="U17" i="43"/>
  <c r="V17" i="43"/>
  <c r="W17" i="43"/>
  <c r="X17" i="43"/>
  <c r="Y17" i="43"/>
  <c r="Z17" i="43"/>
  <c r="AA17" i="43"/>
  <c r="AB17" i="43"/>
  <c r="AC17" i="43"/>
  <c r="AD17" i="43"/>
  <c r="AE17" i="43"/>
  <c r="AF17" i="43"/>
  <c r="G18" i="43"/>
  <c r="H18" i="43"/>
  <c r="I18" i="43"/>
  <c r="J18" i="43"/>
  <c r="K18" i="43"/>
  <c r="L18" i="43"/>
  <c r="M18" i="43"/>
  <c r="N18" i="43"/>
  <c r="O18" i="43"/>
  <c r="P18" i="43"/>
  <c r="Q18" i="43"/>
  <c r="R18" i="43"/>
  <c r="S18" i="43"/>
  <c r="T18" i="43"/>
  <c r="U18" i="43"/>
  <c r="V18" i="43"/>
  <c r="W18" i="43"/>
  <c r="X18" i="43"/>
  <c r="Y18" i="43"/>
  <c r="Z18" i="43"/>
  <c r="AA18" i="43"/>
  <c r="AB18" i="43"/>
  <c r="AC18" i="43"/>
  <c r="AD18" i="43"/>
  <c r="AE18" i="43"/>
  <c r="AF18" i="43"/>
  <c r="G19" i="43"/>
  <c r="H19" i="43"/>
  <c r="I19" i="43"/>
  <c r="J19" i="43"/>
  <c r="K19" i="43"/>
  <c r="L19" i="43"/>
  <c r="M19" i="43"/>
  <c r="N19" i="43"/>
  <c r="O19" i="43"/>
  <c r="P19" i="43"/>
  <c r="Q19" i="43"/>
  <c r="R19" i="43"/>
  <c r="S19" i="43"/>
  <c r="T19" i="43"/>
  <c r="U19" i="43"/>
  <c r="V19" i="43"/>
  <c r="W19" i="43"/>
  <c r="X19" i="43"/>
  <c r="Y19" i="43"/>
  <c r="Z19" i="43"/>
  <c r="AA19" i="43"/>
  <c r="AB19" i="43"/>
  <c r="AC19" i="43"/>
  <c r="AD19" i="43"/>
  <c r="AE19" i="43"/>
  <c r="AF19" i="43"/>
  <c r="G20" i="43"/>
  <c r="H20" i="43"/>
  <c r="I20" i="43"/>
  <c r="J20" i="43"/>
  <c r="K20" i="43"/>
  <c r="L20" i="43"/>
  <c r="M20" i="43"/>
  <c r="N20" i="43"/>
  <c r="O20" i="43"/>
  <c r="P20" i="43"/>
  <c r="Q20" i="43"/>
  <c r="R20" i="43"/>
  <c r="S20" i="43"/>
  <c r="T20" i="43"/>
  <c r="U20" i="43"/>
  <c r="V20" i="43"/>
  <c r="W20" i="43"/>
  <c r="X20" i="43"/>
  <c r="Y20" i="43"/>
  <c r="Z20" i="43"/>
  <c r="AA20" i="43"/>
  <c r="AB20" i="43"/>
  <c r="AC20" i="43"/>
  <c r="AD20" i="43"/>
  <c r="AE20" i="43"/>
  <c r="AF20" i="43"/>
  <c r="G21" i="43"/>
  <c r="H21" i="43"/>
  <c r="I21" i="43"/>
  <c r="J21" i="43"/>
  <c r="K21" i="43"/>
  <c r="L21" i="43"/>
  <c r="M21" i="43"/>
  <c r="N21" i="43"/>
  <c r="O21" i="43"/>
  <c r="P21" i="43"/>
  <c r="Q21" i="43"/>
  <c r="R21" i="43"/>
  <c r="S21" i="43"/>
  <c r="T21" i="43"/>
  <c r="U21" i="43"/>
  <c r="V21" i="43"/>
  <c r="W21" i="43"/>
  <c r="X21" i="43"/>
  <c r="Y21" i="43"/>
  <c r="Z21" i="43"/>
  <c r="AA21" i="43"/>
  <c r="AB21" i="43"/>
  <c r="AC21" i="43"/>
  <c r="AD21" i="43"/>
  <c r="AE21" i="43"/>
  <c r="AF21" i="43"/>
  <c r="G22" i="43"/>
  <c r="H22" i="43"/>
  <c r="I22" i="43"/>
  <c r="J22" i="43"/>
  <c r="K22" i="43"/>
  <c r="L22" i="43"/>
  <c r="M22" i="43"/>
  <c r="N22" i="43"/>
  <c r="O22" i="43"/>
  <c r="P22" i="43"/>
  <c r="Q22" i="43"/>
  <c r="R22" i="43"/>
  <c r="S22" i="43"/>
  <c r="T22" i="43"/>
  <c r="U22" i="43"/>
  <c r="V22" i="43"/>
  <c r="W22" i="43"/>
  <c r="X22" i="43"/>
  <c r="Y22" i="43"/>
  <c r="Z22" i="43"/>
  <c r="AA22" i="43"/>
  <c r="AB22" i="43"/>
  <c r="AC22" i="43"/>
  <c r="AD22" i="43"/>
  <c r="AE22" i="43"/>
  <c r="AF22" i="43"/>
  <c r="G23" i="43"/>
  <c r="H23" i="43"/>
  <c r="I23" i="43"/>
  <c r="J23" i="43"/>
  <c r="K23" i="43"/>
  <c r="L23" i="43"/>
  <c r="M23" i="43"/>
  <c r="N23" i="43"/>
  <c r="O23" i="43"/>
  <c r="P23" i="43"/>
  <c r="Q23" i="43"/>
  <c r="R23" i="43"/>
  <c r="S23" i="43"/>
  <c r="T23" i="43"/>
  <c r="U23" i="43"/>
  <c r="V23" i="43"/>
  <c r="W23" i="43"/>
  <c r="X23" i="43"/>
  <c r="Y23" i="43"/>
  <c r="Z23" i="43"/>
  <c r="AA23" i="43"/>
  <c r="AB23" i="43"/>
  <c r="AC23" i="43"/>
  <c r="AD23" i="43"/>
  <c r="AE23" i="43"/>
  <c r="AF23" i="43"/>
  <c r="G24" i="43"/>
  <c r="H24" i="43"/>
  <c r="I24" i="43"/>
  <c r="J24" i="43"/>
  <c r="K24" i="43"/>
  <c r="L24" i="43"/>
  <c r="M24" i="43"/>
  <c r="N24" i="43"/>
  <c r="O24" i="43"/>
  <c r="P24" i="43"/>
  <c r="Q24" i="43"/>
  <c r="R24" i="43"/>
  <c r="S24" i="43"/>
  <c r="T24" i="43"/>
  <c r="U24" i="43"/>
  <c r="V24" i="43"/>
  <c r="W24" i="43"/>
  <c r="X24" i="43"/>
  <c r="Y24" i="43"/>
  <c r="Z24" i="43"/>
  <c r="AA24" i="43"/>
  <c r="AB24" i="43"/>
  <c r="AC24" i="43"/>
  <c r="AD24" i="43"/>
  <c r="AE24" i="43"/>
  <c r="AF24" i="43"/>
  <c r="G25" i="43"/>
  <c r="H25" i="43"/>
  <c r="I25" i="43"/>
  <c r="J25" i="43"/>
  <c r="K25" i="43"/>
  <c r="L25" i="43"/>
  <c r="M25" i="43"/>
  <c r="N25" i="43"/>
  <c r="O25" i="43"/>
  <c r="P25" i="43"/>
  <c r="Q25" i="43"/>
  <c r="R25" i="43"/>
  <c r="S25" i="43"/>
  <c r="T25" i="43"/>
  <c r="U25" i="43"/>
  <c r="V25" i="43"/>
  <c r="W25" i="43"/>
  <c r="X25" i="43"/>
  <c r="Y25" i="43"/>
  <c r="Z25" i="43"/>
  <c r="AA25" i="43"/>
  <c r="AB25" i="43"/>
  <c r="AC25" i="43"/>
  <c r="AD25" i="43"/>
  <c r="AE25" i="43"/>
  <c r="AF25" i="43"/>
  <c r="G26" i="43"/>
  <c r="H26" i="43"/>
  <c r="I26" i="43"/>
  <c r="J26" i="43"/>
  <c r="K26" i="43"/>
  <c r="L26" i="43"/>
  <c r="M26" i="43"/>
  <c r="N26" i="43"/>
  <c r="O26" i="43"/>
  <c r="P26" i="43"/>
  <c r="Q26" i="43"/>
  <c r="R26" i="43"/>
  <c r="S26" i="43"/>
  <c r="T26" i="43"/>
  <c r="U26" i="43"/>
  <c r="V26" i="43"/>
  <c r="W26" i="43"/>
  <c r="X26" i="43"/>
  <c r="Y26" i="43"/>
  <c r="Z26" i="43"/>
  <c r="AA26" i="43"/>
  <c r="AB26" i="43"/>
  <c r="AC26" i="43"/>
  <c r="AD26" i="43"/>
  <c r="AE26" i="43"/>
  <c r="AF26" i="43"/>
  <c r="G27" i="43"/>
  <c r="H27" i="43"/>
  <c r="I27" i="43"/>
  <c r="J27" i="43"/>
  <c r="K27" i="43"/>
  <c r="L27" i="43"/>
  <c r="M27" i="43"/>
  <c r="N27" i="43"/>
  <c r="O27" i="43"/>
  <c r="P27" i="43"/>
  <c r="Q27" i="43"/>
  <c r="R27" i="43"/>
  <c r="S27" i="43"/>
  <c r="T27" i="43"/>
  <c r="U27" i="43"/>
  <c r="V27" i="43"/>
  <c r="W27" i="43"/>
  <c r="X27" i="43"/>
  <c r="Y27" i="43"/>
  <c r="Z27" i="43"/>
  <c r="AA27" i="43"/>
  <c r="AB27" i="43"/>
  <c r="AC27" i="43"/>
  <c r="AD27" i="43"/>
  <c r="AE27" i="43"/>
  <c r="AF27" i="43"/>
  <c r="G28" i="43"/>
  <c r="H28" i="43"/>
  <c r="I28" i="43"/>
  <c r="J28" i="43"/>
  <c r="K28" i="43"/>
  <c r="L28" i="43"/>
  <c r="M28" i="43"/>
  <c r="N28" i="43"/>
  <c r="O28" i="43"/>
  <c r="P28" i="43"/>
  <c r="Q28" i="43"/>
  <c r="R28" i="43"/>
  <c r="S28" i="43"/>
  <c r="T28" i="43"/>
  <c r="U28" i="43"/>
  <c r="V28" i="43"/>
  <c r="W28" i="43"/>
  <c r="X28" i="43"/>
  <c r="Y28" i="43"/>
  <c r="Z28" i="43"/>
  <c r="AA28" i="43"/>
  <c r="AB28" i="43"/>
  <c r="AC28" i="43"/>
  <c r="AD28" i="43"/>
  <c r="AE28" i="43"/>
  <c r="AF28" i="43"/>
  <c r="G29" i="43"/>
  <c r="H29" i="43"/>
  <c r="I29" i="43"/>
  <c r="J29" i="43"/>
  <c r="K29" i="43"/>
  <c r="L29" i="43"/>
  <c r="M29" i="43"/>
  <c r="N29" i="43"/>
  <c r="O29" i="43"/>
  <c r="P29" i="43"/>
  <c r="Q29" i="43"/>
  <c r="R29" i="43"/>
  <c r="S29" i="43"/>
  <c r="T29" i="43"/>
  <c r="U29" i="43"/>
  <c r="V29" i="43"/>
  <c r="W29" i="43"/>
  <c r="X29" i="43"/>
  <c r="Y29" i="43"/>
  <c r="Z29" i="43"/>
  <c r="AA29" i="43"/>
  <c r="AB29" i="43"/>
  <c r="AC29" i="43"/>
  <c r="AD29" i="43"/>
  <c r="AE29" i="43"/>
  <c r="AF29" i="43"/>
  <c r="G30" i="43"/>
  <c r="H30" i="43"/>
  <c r="I30" i="43"/>
  <c r="J30" i="43"/>
  <c r="K30" i="43"/>
  <c r="L30" i="43"/>
  <c r="M30" i="43"/>
  <c r="N30" i="43"/>
  <c r="O30" i="43"/>
  <c r="P30" i="43"/>
  <c r="Q30" i="43"/>
  <c r="R30" i="43"/>
  <c r="S30" i="43"/>
  <c r="T30" i="43"/>
  <c r="U30" i="43"/>
  <c r="V30" i="43"/>
  <c r="W30" i="43"/>
  <c r="X30" i="43"/>
  <c r="Y30" i="43"/>
  <c r="Z30" i="43"/>
  <c r="AA30" i="43"/>
  <c r="AB30" i="43"/>
  <c r="AC30" i="43"/>
  <c r="AD30" i="43"/>
  <c r="AE30" i="43"/>
  <c r="AF30" i="43"/>
  <c r="G31" i="43"/>
  <c r="H31" i="43"/>
  <c r="I31" i="43"/>
  <c r="J31" i="43"/>
  <c r="K31" i="43"/>
  <c r="L31" i="43"/>
  <c r="M31" i="43"/>
  <c r="N31" i="43"/>
  <c r="O31" i="43"/>
  <c r="P31" i="43"/>
  <c r="Q31" i="43"/>
  <c r="R31" i="43"/>
  <c r="S31" i="43"/>
  <c r="T31" i="43"/>
  <c r="U31" i="43"/>
  <c r="V31" i="43"/>
  <c r="W31" i="43"/>
  <c r="X31" i="43"/>
  <c r="Y31" i="43"/>
  <c r="Z31" i="43"/>
  <c r="AA31" i="43"/>
  <c r="AB31" i="43"/>
  <c r="AC31" i="43"/>
  <c r="AD31" i="43"/>
  <c r="AE31" i="43"/>
  <c r="AF31" i="43"/>
  <c r="G32" i="43"/>
  <c r="H32" i="43"/>
  <c r="I32" i="43"/>
  <c r="J32" i="43"/>
  <c r="K32" i="43"/>
  <c r="L32" i="43"/>
  <c r="M32" i="43"/>
  <c r="N32" i="43"/>
  <c r="O32" i="43"/>
  <c r="P32" i="43"/>
  <c r="Q32" i="43"/>
  <c r="R32" i="43"/>
  <c r="S32" i="43"/>
  <c r="T32" i="43"/>
  <c r="U32" i="43"/>
  <c r="V32" i="43"/>
  <c r="W32" i="43"/>
  <c r="X32" i="43"/>
  <c r="Y32" i="43"/>
  <c r="Z32" i="43"/>
  <c r="AA32" i="43"/>
  <c r="AB32" i="43"/>
  <c r="AC32" i="43"/>
  <c r="AD32" i="43"/>
  <c r="AE32" i="43"/>
  <c r="AF32" i="43"/>
  <c r="G33" i="43"/>
  <c r="H33" i="43"/>
  <c r="I33" i="43"/>
  <c r="J33" i="43"/>
  <c r="K33" i="43"/>
  <c r="L33" i="43"/>
  <c r="M33" i="43"/>
  <c r="N33" i="43"/>
  <c r="O33" i="43"/>
  <c r="P33" i="43"/>
  <c r="Q33" i="43"/>
  <c r="R33" i="43"/>
  <c r="S33" i="43"/>
  <c r="T33" i="43"/>
  <c r="U33" i="43"/>
  <c r="V33" i="43"/>
  <c r="W33" i="43"/>
  <c r="X33" i="43"/>
  <c r="Y33" i="43"/>
  <c r="Z33" i="43"/>
  <c r="AA33" i="43"/>
  <c r="AB33" i="43"/>
  <c r="AC33" i="43"/>
  <c r="AD33" i="43"/>
  <c r="AE33" i="43"/>
  <c r="AF33" i="43"/>
  <c r="G34" i="43"/>
  <c r="H34" i="43"/>
  <c r="I34" i="43"/>
  <c r="J34" i="43"/>
  <c r="K34" i="43"/>
  <c r="L34" i="43"/>
  <c r="M34" i="43"/>
  <c r="N34" i="43"/>
  <c r="O34" i="43"/>
  <c r="P34" i="43"/>
  <c r="Q34" i="43"/>
  <c r="R34" i="43"/>
  <c r="S34" i="43"/>
  <c r="T34" i="43"/>
  <c r="U34" i="43"/>
  <c r="V34" i="43"/>
  <c r="W34" i="43"/>
  <c r="X34" i="43"/>
  <c r="Y34" i="43"/>
  <c r="Z34" i="43"/>
  <c r="AA34" i="43"/>
  <c r="AB34" i="43"/>
  <c r="AC34" i="43"/>
  <c r="AD34" i="43"/>
  <c r="AE34" i="43"/>
  <c r="AF34" i="43"/>
  <c r="G35" i="43"/>
  <c r="H35" i="43"/>
  <c r="I35" i="43"/>
  <c r="J35" i="43"/>
  <c r="K35" i="43"/>
  <c r="L35" i="43"/>
  <c r="M35" i="43"/>
  <c r="N35" i="43"/>
  <c r="O35" i="43"/>
  <c r="P35" i="43"/>
  <c r="Q35" i="43"/>
  <c r="R35" i="43"/>
  <c r="S35" i="43"/>
  <c r="T35" i="43"/>
  <c r="U35" i="43"/>
  <c r="V35" i="43"/>
  <c r="W35" i="43"/>
  <c r="X35" i="43"/>
  <c r="Y35" i="43"/>
  <c r="Z35" i="43"/>
  <c r="AA35" i="43"/>
  <c r="AB35" i="43"/>
  <c r="AC35" i="43"/>
  <c r="AD35" i="43"/>
  <c r="AE35" i="43"/>
  <c r="AF35" i="43"/>
  <c r="G36" i="43"/>
  <c r="H36" i="43"/>
  <c r="I36" i="43"/>
  <c r="J36" i="43"/>
  <c r="K36" i="43"/>
  <c r="L36" i="43"/>
  <c r="M36" i="43"/>
  <c r="N36" i="43"/>
  <c r="O36" i="43"/>
  <c r="P36" i="43"/>
  <c r="Q36" i="43"/>
  <c r="R36" i="43"/>
  <c r="S36" i="43"/>
  <c r="T36" i="43"/>
  <c r="U36" i="43"/>
  <c r="V36" i="43"/>
  <c r="W36" i="43"/>
  <c r="X36" i="43"/>
  <c r="Y36" i="43"/>
  <c r="Z36" i="43"/>
  <c r="AA36" i="43"/>
  <c r="AB36" i="43"/>
  <c r="AC36" i="43"/>
  <c r="AD36" i="43"/>
  <c r="AE36" i="43"/>
  <c r="AF36" i="43"/>
  <c r="G37" i="43"/>
  <c r="H37" i="43"/>
  <c r="I37" i="43"/>
  <c r="J37" i="43"/>
  <c r="K37" i="43"/>
  <c r="L37" i="43"/>
  <c r="M37" i="43"/>
  <c r="N37" i="43"/>
  <c r="O37" i="43"/>
  <c r="P37" i="43"/>
  <c r="Q37" i="43"/>
  <c r="R37" i="43"/>
  <c r="S37" i="43"/>
  <c r="T37" i="43"/>
  <c r="U37" i="43"/>
  <c r="V37" i="43"/>
  <c r="W37" i="43"/>
  <c r="X37" i="43"/>
  <c r="Y37" i="43"/>
  <c r="Z37" i="43"/>
  <c r="AA37" i="43"/>
  <c r="AB37" i="43"/>
  <c r="AC37" i="43"/>
  <c r="AD37" i="43"/>
  <c r="AE37" i="43"/>
  <c r="AF37" i="43"/>
  <c r="F4" i="43"/>
  <c r="F5" i="43"/>
  <c r="F6" i="43"/>
  <c r="F7" i="43"/>
  <c r="F8" i="43"/>
  <c r="F9" i="43"/>
  <c r="F10" i="43"/>
  <c r="F11" i="43"/>
  <c r="F12" i="43"/>
  <c r="F13" i="43"/>
  <c r="F14" i="43"/>
  <c r="F15" i="43"/>
  <c r="F16" i="43"/>
  <c r="F17" i="43"/>
  <c r="F18" i="43"/>
  <c r="F19" i="43"/>
  <c r="F20" i="43"/>
  <c r="F21" i="43"/>
  <c r="F22" i="43"/>
  <c r="F23" i="43"/>
  <c r="F24" i="43"/>
  <c r="F25" i="43"/>
  <c r="F26" i="43"/>
  <c r="F27" i="43"/>
  <c r="F28" i="43"/>
  <c r="F29" i="43"/>
  <c r="F30" i="43"/>
  <c r="F31" i="43"/>
  <c r="F32" i="43"/>
  <c r="F33" i="43"/>
  <c r="F34" i="43"/>
  <c r="F35" i="43"/>
  <c r="F36" i="43"/>
  <c r="F37" i="43"/>
  <c r="F3" i="43"/>
  <c r="AF198" i="42"/>
  <c r="AE198" i="42"/>
  <c r="AD198" i="42"/>
  <c r="AC198" i="42"/>
  <c r="AB198" i="42"/>
  <c r="AA198" i="42"/>
  <c r="Z198" i="42"/>
  <c r="Y198" i="42"/>
  <c r="X198" i="42"/>
  <c r="W198" i="42"/>
  <c r="V198" i="42"/>
  <c r="U198" i="42"/>
  <c r="T198" i="42"/>
  <c r="S198" i="42"/>
  <c r="R198" i="42"/>
  <c r="Q198" i="42"/>
  <c r="P198" i="42"/>
  <c r="O198" i="42"/>
  <c r="N198" i="42"/>
  <c r="M198" i="42"/>
  <c r="L198" i="42"/>
  <c r="K198" i="42"/>
  <c r="J198" i="42"/>
  <c r="I198" i="42"/>
  <c r="H198" i="42"/>
  <c r="G198" i="42"/>
  <c r="F198" i="42"/>
  <c r="M23" i="38"/>
  <c r="J23" i="38"/>
  <c r="K23" i="38"/>
  <c r="L23" i="38"/>
  <c r="N23" i="38"/>
  <c r="O23" i="38"/>
  <c r="P23" i="38"/>
  <c r="Q23" i="38"/>
  <c r="R23" i="38"/>
  <c r="S23" i="38"/>
  <c r="T23" i="38"/>
  <c r="U23" i="38"/>
  <c r="V23" i="38"/>
  <c r="W23" i="38"/>
  <c r="X23" i="38"/>
  <c r="Y23" i="38"/>
  <c r="Z23" i="38"/>
  <c r="AA23" i="38"/>
  <c r="AB23" i="38"/>
  <c r="AC23" i="38"/>
  <c r="AD23" i="38"/>
  <c r="I23" i="38"/>
  <c r="I25" i="38" s="1"/>
  <c r="C30" i="38"/>
  <c r="D30" i="38"/>
  <c r="E30" i="38"/>
  <c r="F30" i="38"/>
  <c r="G30" i="38"/>
  <c r="H30" i="38"/>
  <c r="B30" i="38"/>
  <c r="D25" i="38"/>
  <c r="C25" i="38"/>
  <c r="H25" i="38"/>
  <c r="G25" i="38"/>
  <c r="E25" i="38"/>
  <c r="F25" i="38"/>
  <c r="B12" i="38"/>
  <c r="B11" i="38"/>
  <c r="K24" i="38" s="1"/>
  <c r="B5" i="38"/>
  <c r="B7" i="38" s="1"/>
  <c r="B13" i="38" s="1"/>
  <c r="B3" i="38"/>
  <c r="B33" i="38" l="1"/>
  <c r="B34" i="38" s="1"/>
  <c r="C33" i="38"/>
  <c r="I24" i="38"/>
  <c r="O24" i="38"/>
  <c r="H24" i="38"/>
  <c r="G24" i="38"/>
  <c r="P24" i="38"/>
  <c r="B24" i="38"/>
  <c r="Y24" i="38"/>
  <c r="F24" i="38"/>
  <c r="X24" i="38"/>
  <c r="E24" i="38"/>
  <c r="W24" i="38"/>
  <c r="D24" i="38"/>
  <c r="Q24" i="38"/>
  <c r="C24" i="38"/>
  <c r="AD24" i="38"/>
  <c r="V24" i="38"/>
  <c r="N24" i="38"/>
  <c r="AC24" i="38"/>
  <c r="U24" i="38"/>
  <c r="M24" i="38"/>
  <c r="AB24" i="38"/>
  <c r="T24" i="38"/>
  <c r="L24" i="38"/>
  <c r="AA24" i="38"/>
  <c r="S24" i="38"/>
  <c r="Z24" i="38"/>
  <c r="R24" i="38"/>
  <c r="J24" i="38"/>
  <c r="A68" i="1"/>
  <c r="A67" i="1"/>
  <c r="B35" i="38" l="1"/>
  <c r="C35" i="38"/>
  <c r="C34" i="38"/>
  <c r="X25" i="38"/>
  <c r="M25" i="38"/>
  <c r="AB25" i="38"/>
  <c r="L25" i="38"/>
  <c r="N25" i="38"/>
  <c r="R25" i="38"/>
  <c r="V25" i="38"/>
  <c r="P25" i="38"/>
  <c r="AD25" i="38"/>
  <c r="Q25" i="38"/>
  <c r="Y25" i="38"/>
  <c r="K25" i="38"/>
  <c r="S25" i="38"/>
  <c r="AA25" i="38"/>
  <c r="U25" i="38"/>
  <c r="AC25" i="38"/>
  <c r="O25" i="38"/>
  <c r="J25" i="38"/>
  <c r="W25" i="38"/>
  <c r="T25" i="38"/>
  <c r="Z25" i="38"/>
  <c r="AE9" i="34" l="1"/>
  <c r="AD9" i="34"/>
  <c r="AC9" i="34"/>
  <c r="W9" i="34"/>
  <c r="V9" i="34"/>
  <c r="U9" i="34"/>
  <c r="O9" i="34"/>
  <c r="N9" i="34"/>
  <c r="M9" i="34"/>
  <c r="G9" i="34"/>
  <c r="F9" i="34"/>
  <c r="E9" i="34"/>
  <c r="H6" i="34"/>
  <c r="G6" i="34"/>
  <c r="AJ9" i="34" s="1"/>
  <c r="F6" i="34"/>
  <c r="T9" i="34" s="1"/>
  <c r="E6" i="34"/>
  <c r="L9" i="34" s="1"/>
  <c r="D6" i="34"/>
  <c r="D9" i="34" s="1"/>
  <c r="C6" i="34"/>
  <c r="B6" i="34"/>
  <c r="H9" i="34" l="1"/>
  <c r="P9" i="34"/>
  <c r="X9" i="34"/>
  <c r="AF9" i="34"/>
  <c r="I9" i="34"/>
  <c r="Q9" i="34"/>
  <c r="Y9" i="34"/>
  <c r="AG9" i="34"/>
  <c r="J9" i="34"/>
  <c r="R9" i="34"/>
  <c r="Z9" i="34"/>
  <c r="AH9" i="34"/>
  <c r="K9" i="34"/>
  <c r="S9" i="34"/>
  <c r="AA9" i="34"/>
  <c r="AI9" i="34"/>
  <c r="AB9" i="34"/>
  <c r="B70" i="1" l="1"/>
  <c r="G239" i="42" l="1"/>
  <c r="O239" i="42"/>
  <c r="W239" i="42"/>
  <c r="AE239" i="42"/>
  <c r="L235" i="42"/>
  <c r="T235" i="42"/>
  <c r="AB235" i="42"/>
  <c r="I231" i="42"/>
  <c r="Q231" i="42"/>
  <c r="F231" i="42"/>
  <c r="N227" i="42"/>
  <c r="AD227" i="42"/>
  <c r="S222" i="42"/>
  <c r="O227" i="42"/>
  <c r="T222" i="42"/>
  <c r="F227" i="42"/>
  <c r="Y222" i="42"/>
  <c r="H239" i="42"/>
  <c r="P239" i="42"/>
  <c r="X239" i="42"/>
  <c r="AF239" i="42"/>
  <c r="M235" i="42"/>
  <c r="U235" i="42"/>
  <c r="AC235" i="42"/>
  <c r="J231" i="42"/>
  <c r="R231" i="42"/>
  <c r="Z231" i="42"/>
  <c r="G227" i="42"/>
  <c r="L222" i="42"/>
  <c r="N222" i="42"/>
  <c r="I239" i="42"/>
  <c r="Q239" i="42"/>
  <c r="Y239" i="42"/>
  <c r="F239" i="42"/>
  <c r="N235" i="42"/>
  <c r="V235" i="42"/>
  <c r="AD235" i="42"/>
  <c r="K231" i="42"/>
  <c r="S231" i="42"/>
  <c r="AA231" i="42"/>
  <c r="H227" i="42"/>
  <c r="P227" i="42"/>
  <c r="X227" i="42"/>
  <c r="AF227" i="42"/>
  <c r="M222" i="42"/>
  <c r="U222" i="42"/>
  <c r="AC222" i="42"/>
  <c r="Q222" i="42"/>
  <c r="J239" i="42"/>
  <c r="R239" i="42"/>
  <c r="Z239" i="42"/>
  <c r="G235" i="42"/>
  <c r="O235" i="42"/>
  <c r="W235" i="42"/>
  <c r="AE235" i="42"/>
  <c r="L231" i="42"/>
  <c r="T231" i="42"/>
  <c r="AB231" i="42"/>
  <c r="I227" i="42"/>
  <c r="Q227" i="42"/>
  <c r="Y227" i="42"/>
  <c r="V222" i="42"/>
  <c r="K239" i="42"/>
  <c r="S239" i="42"/>
  <c r="AA239" i="42"/>
  <c r="H235" i="42"/>
  <c r="P235" i="42"/>
  <c r="X235" i="42"/>
  <c r="AF235" i="42"/>
  <c r="M231" i="42"/>
  <c r="U231" i="42"/>
  <c r="AC231" i="42"/>
  <c r="J227" i="42"/>
  <c r="R227" i="42"/>
  <c r="Z227" i="42"/>
  <c r="G222" i="42"/>
  <c r="O222" i="42"/>
  <c r="W222" i="42"/>
  <c r="AE222" i="42"/>
  <c r="M239" i="42"/>
  <c r="AC239" i="42"/>
  <c r="R235" i="42"/>
  <c r="G231" i="42"/>
  <c r="W231" i="42"/>
  <c r="L227" i="42"/>
  <c r="AB227" i="42"/>
  <c r="F222" i="42"/>
  <c r="L239" i="42"/>
  <c r="T239" i="42"/>
  <c r="AB239" i="42"/>
  <c r="I235" i="42"/>
  <c r="Q235" i="42"/>
  <c r="Y235" i="42"/>
  <c r="F235" i="42"/>
  <c r="N231" i="42"/>
  <c r="V231" i="42"/>
  <c r="AD231" i="42"/>
  <c r="K227" i="42"/>
  <c r="S227" i="42"/>
  <c r="AA227" i="42"/>
  <c r="H222" i="42"/>
  <c r="P222" i="42"/>
  <c r="X222" i="42"/>
  <c r="AF222" i="42"/>
  <c r="U239" i="42"/>
  <c r="J235" i="42"/>
  <c r="Z235" i="42"/>
  <c r="O231" i="42"/>
  <c r="AE231" i="42"/>
  <c r="T227" i="42"/>
  <c r="I222" i="42"/>
  <c r="N239" i="42"/>
  <c r="V239" i="42"/>
  <c r="AD239" i="42"/>
  <c r="K235" i="42"/>
  <c r="S235" i="42"/>
  <c r="AA235" i="42"/>
  <c r="H231" i="42"/>
  <c r="P231" i="42"/>
  <c r="X231" i="42"/>
  <c r="AF231" i="42"/>
  <c r="M227" i="42"/>
  <c r="U227" i="42"/>
  <c r="AC227" i="42"/>
  <c r="J222" i="42"/>
  <c r="R222" i="42"/>
  <c r="Z222" i="42"/>
  <c r="Y231" i="42"/>
  <c r="V227" i="42"/>
  <c r="K222" i="42"/>
  <c r="AA222" i="42"/>
  <c r="W227" i="42"/>
  <c r="AE227" i="42"/>
  <c r="AB222" i="42"/>
  <c r="AD222" i="42"/>
  <c r="AF140" i="42"/>
  <c r="AD140" i="42"/>
  <c r="AB140" i="42"/>
  <c r="Y140" i="42"/>
  <c r="X140" i="42"/>
  <c r="V140" i="42"/>
  <c r="T140" i="42"/>
  <c r="Q140" i="42"/>
  <c r="P140" i="42"/>
  <c r="N140" i="42"/>
  <c r="L140" i="42"/>
  <c r="I140" i="42"/>
  <c r="H140" i="42"/>
  <c r="F140" i="42"/>
  <c r="R140" i="42"/>
  <c r="Z140" i="42"/>
  <c r="AE140" i="42"/>
  <c r="J140" i="42"/>
  <c r="AA140" i="42"/>
  <c r="W140" i="42"/>
  <c r="AC140" i="42"/>
  <c r="S140" i="42"/>
  <c r="M140" i="42"/>
  <c r="O140" i="42"/>
  <c r="U140" i="42"/>
  <c r="K140" i="42"/>
  <c r="G140" i="42"/>
  <c r="G188" i="42"/>
  <c r="C3" i="17" s="1"/>
  <c r="O188" i="42"/>
  <c r="K3" i="17" s="1"/>
  <c r="W188" i="42"/>
  <c r="S3" i="17" s="1"/>
  <c r="AE188" i="42"/>
  <c r="AA3" i="17" s="1"/>
  <c r="H188" i="42"/>
  <c r="D3" i="17" s="1"/>
  <c r="P188" i="42"/>
  <c r="L3" i="17" s="1"/>
  <c r="X188" i="42"/>
  <c r="T3" i="17" s="1"/>
  <c r="AF188" i="42"/>
  <c r="AB3" i="17" s="1"/>
  <c r="I188" i="42"/>
  <c r="E3" i="17" s="1"/>
  <c r="Q188" i="42"/>
  <c r="M3" i="17" s="1"/>
  <c r="Y188" i="42"/>
  <c r="U3" i="17" s="1"/>
  <c r="F188" i="42"/>
  <c r="B3" i="17" s="1"/>
  <c r="J188" i="42"/>
  <c r="F3" i="17" s="1"/>
  <c r="R188" i="42"/>
  <c r="N3" i="17" s="1"/>
  <c r="Z188" i="42"/>
  <c r="V3" i="17" s="1"/>
  <c r="AC188" i="42"/>
  <c r="Y3" i="17" s="1"/>
  <c r="K188" i="42"/>
  <c r="G3" i="17" s="1"/>
  <c r="S188" i="42"/>
  <c r="O3" i="17" s="1"/>
  <c r="AA188" i="42"/>
  <c r="W3" i="17" s="1"/>
  <c r="N188" i="42"/>
  <c r="J3" i="17" s="1"/>
  <c r="L188" i="42"/>
  <c r="H3" i="17" s="1"/>
  <c r="T188" i="42"/>
  <c r="P3" i="17" s="1"/>
  <c r="AB188" i="42"/>
  <c r="X3" i="17" s="1"/>
  <c r="U188" i="42"/>
  <c r="Q3" i="17" s="1"/>
  <c r="AD188" i="42"/>
  <c r="Z3" i="17" s="1"/>
  <c r="M188" i="42"/>
  <c r="I3" i="17" s="1"/>
  <c r="V188" i="42"/>
  <c r="R3" i="17" s="1"/>
  <c r="I19" i="38"/>
  <c r="Q19" i="38"/>
  <c r="Y19" i="38"/>
  <c r="H217" i="42"/>
  <c r="P217" i="42"/>
  <c r="X217" i="42"/>
  <c r="AF217" i="42"/>
  <c r="M213" i="42"/>
  <c r="U213" i="42"/>
  <c r="AC213" i="42"/>
  <c r="J209" i="42"/>
  <c r="R209" i="42"/>
  <c r="Z209" i="42"/>
  <c r="G205" i="42"/>
  <c r="O205" i="42"/>
  <c r="W205" i="42"/>
  <c r="AE205" i="42"/>
  <c r="K200" i="42"/>
  <c r="S200" i="42"/>
  <c r="AA200" i="42"/>
  <c r="M200" i="42"/>
  <c r="P19" i="38"/>
  <c r="O217" i="42"/>
  <c r="AB213" i="42"/>
  <c r="F209" i="42"/>
  <c r="AD205" i="42"/>
  <c r="J19" i="38"/>
  <c r="R19" i="38"/>
  <c r="Z19" i="38"/>
  <c r="I217" i="42"/>
  <c r="Q217" i="42"/>
  <c r="Y217" i="42"/>
  <c r="F217" i="42"/>
  <c r="N213" i="42"/>
  <c r="V213" i="42"/>
  <c r="AD213" i="42"/>
  <c r="K209" i="42"/>
  <c r="S209" i="42"/>
  <c r="AA209" i="42"/>
  <c r="H205" i="42"/>
  <c r="P205" i="42"/>
  <c r="X205" i="42"/>
  <c r="AF205" i="42"/>
  <c r="L200" i="42"/>
  <c r="T200" i="42"/>
  <c r="AB200" i="42"/>
  <c r="Q205" i="42"/>
  <c r="F205" i="42"/>
  <c r="AC200" i="42"/>
  <c r="H19" i="38"/>
  <c r="H33" i="38" s="1"/>
  <c r="L213" i="42"/>
  <c r="Y209" i="42"/>
  <c r="J200" i="42"/>
  <c r="K19" i="38"/>
  <c r="S19" i="38"/>
  <c r="AA19" i="38"/>
  <c r="J217" i="42"/>
  <c r="R217" i="42"/>
  <c r="Z217" i="42"/>
  <c r="G213" i="42"/>
  <c r="O213" i="42"/>
  <c r="W213" i="42"/>
  <c r="AE213" i="42"/>
  <c r="L209" i="42"/>
  <c r="T209" i="42"/>
  <c r="AB209" i="42"/>
  <c r="I205" i="42"/>
  <c r="Y205" i="42"/>
  <c r="U200" i="42"/>
  <c r="G217" i="42"/>
  <c r="AE217" i="42"/>
  <c r="T213" i="42"/>
  <c r="Q209" i="42"/>
  <c r="V205" i="42"/>
  <c r="Z200" i="42"/>
  <c r="L19" i="38"/>
  <c r="T19" i="38"/>
  <c r="T20" i="38" s="1"/>
  <c r="T32" i="38" s="1"/>
  <c r="AB19" i="38"/>
  <c r="K217" i="42"/>
  <c r="S217" i="42"/>
  <c r="AA217" i="42"/>
  <c r="H213" i="42"/>
  <c r="P213" i="42"/>
  <c r="X213" i="42"/>
  <c r="AF213" i="42"/>
  <c r="M209" i="42"/>
  <c r="U209" i="42"/>
  <c r="AC209" i="42"/>
  <c r="J205" i="42"/>
  <c r="R205" i="42"/>
  <c r="Z205" i="42"/>
  <c r="F200" i="42"/>
  <c r="N200" i="42"/>
  <c r="V200" i="42"/>
  <c r="AD200" i="42"/>
  <c r="Y213" i="42"/>
  <c r="N209" i="42"/>
  <c r="AD209" i="42"/>
  <c r="S205" i="42"/>
  <c r="G200" i="42"/>
  <c r="W200" i="42"/>
  <c r="X19" i="38"/>
  <c r="W217" i="42"/>
  <c r="I209" i="42"/>
  <c r="N205" i="42"/>
  <c r="R200" i="42"/>
  <c r="E19" i="38"/>
  <c r="E33" i="38" s="1"/>
  <c r="M19" i="38"/>
  <c r="U19" i="38"/>
  <c r="AC19" i="38"/>
  <c r="AC20" i="38" s="1"/>
  <c r="AC32" i="38" s="1"/>
  <c r="L217" i="42"/>
  <c r="T217" i="42"/>
  <c r="AB217" i="42"/>
  <c r="I213" i="42"/>
  <c r="Q213" i="42"/>
  <c r="F213" i="42"/>
  <c r="V209" i="42"/>
  <c r="K205" i="42"/>
  <c r="AA205" i="42"/>
  <c r="O200" i="42"/>
  <c r="AE200" i="42"/>
  <c r="F19" i="38"/>
  <c r="F33" i="38" s="1"/>
  <c r="N19" i="38"/>
  <c r="V19" i="38"/>
  <c r="AD19" i="38"/>
  <c r="M217" i="42"/>
  <c r="U217" i="42"/>
  <c r="AC217" i="42"/>
  <c r="J213" i="42"/>
  <c r="R213" i="42"/>
  <c r="Z213" i="42"/>
  <c r="G209" i="42"/>
  <c r="O209" i="42"/>
  <c r="W209" i="42"/>
  <c r="AE209" i="42"/>
  <c r="L205" i="42"/>
  <c r="T205" i="42"/>
  <c r="AB205" i="42"/>
  <c r="H200" i="42"/>
  <c r="P200" i="42"/>
  <c r="X200" i="42"/>
  <c r="AF200" i="42"/>
  <c r="G19" i="38"/>
  <c r="G33" i="38" s="1"/>
  <c r="O19" i="38"/>
  <c r="W19" i="38"/>
  <c r="D19" i="38"/>
  <c r="D33" i="38" s="1"/>
  <c r="N217" i="42"/>
  <c r="V217" i="42"/>
  <c r="AD217" i="42"/>
  <c r="K213" i="42"/>
  <c r="S213" i="42"/>
  <c r="AA213" i="42"/>
  <c r="H209" i="42"/>
  <c r="P209" i="42"/>
  <c r="X209" i="42"/>
  <c r="AF209" i="42"/>
  <c r="M205" i="42"/>
  <c r="U205" i="42"/>
  <c r="AC205" i="42"/>
  <c r="I200" i="42"/>
  <c r="Q200" i="42"/>
  <c r="Y200" i="42"/>
  <c r="M189" i="42"/>
  <c r="I4" i="17" s="1"/>
  <c r="T176" i="42"/>
  <c r="P4" i="16" s="1"/>
  <c r="J161" i="42"/>
  <c r="F2" i="15" s="1"/>
  <c r="AD139" i="42"/>
  <c r="Z6" i="21" s="1"/>
  <c r="T137" i="42"/>
  <c r="AB189" i="42"/>
  <c r="X4" i="17" s="1"/>
  <c r="P177" i="42"/>
  <c r="L5" i="16" s="1"/>
  <c r="F174" i="42"/>
  <c r="B2" i="16" s="1"/>
  <c r="W148" i="42"/>
  <c r="S2" i="14" s="1"/>
  <c r="P138" i="42"/>
  <c r="F135" i="42"/>
  <c r="AF190" i="42"/>
  <c r="AB5" i="17" s="1"/>
  <c r="Q187" i="42"/>
  <c r="M2" i="17" s="1"/>
  <c r="J176" i="42"/>
  <c r="F4" i="16" s="1"/>
  <c r="AA150" i="42"/>
  <c r="W4" i="14" s="1"/>
  <c r="T139" i="42"/>
  <c r="P6" i="21" s="1"/>
  <c r="J137" i="42"/>
  <c r="G190" i="42"/>
  <c r="C5" i="17" s="1"/>
  <c r="AD177" i="42"/>
  <c r="Z5" i="16" s="1"/>
  <c r="T174" i="42"/>
  <c r="P2" i="16" s="1"/>
  <c r="J150" i="42"/>
  <c r="F4" i="14" s="1"/>
  <c r="V138" i="42"/>
  <c r="AA135" i="42"/>
  <c r="AE187" i="42"/>
  <c r="AA2" i="17" s="1"/>
  <c r="X176" i="42"/>
  <c r="T4" i="16" s="1"/>
  <c r="N161" i="42"/>
  <c r="J2" i="15" s="1"/>
  <c r="Z139" i="42"/>
  <c r="V6" i="21" s="1"/>
  <c r="P137" i="42"/>
  <c r="M190" i="42"/>
  <c r="I5" i="17" s="1"/>
  <c r="F187" i="42"/>
  <c r="B2" i="17" s="1"/>
  <c r="Z174" i="42"/>
  <c r="V2" i="16" s="1"/>
  <c r="P150" i="42"/>
  <c r="L4" i="14" s="1"/>
  <c r="AB138" i="42"/>
  <c r="U135" i="42"/>
  <c r="F189" i="42"/>
  <c r="B4" i="17" s="1"/>
  <c r="U176" i="42"/>
  <c r="Q4" i="16" s="1"/>
  <c r="K161" i="42"/>
  <c r="G2" i="15" s="1"/>
  <c r="AE139" i="42"/>
  <c r="AA6" i="21" s="1"/>
  <c r="U137" i="42"/>
  <c r="Q174" i="42"/>
  <c r="M2" i="16" s="1"/>
  <c r="W189" i="42"/>
  <c r="S4" i="17" s="1"/>
  <c r="T161" i="42"/>
  <c r="P2" i="15" s="1"/>
  <c r="AA187" i="42"/>
  <c r="W2" i="17" s="1"/>
  <c r="L176" i="42"/>
  <c r="H4" i="16" s="1"/>
  <c r="AC150" i="42"/>
  <c r="Y4" i="14" s="1"/>
  <c r="V139" i="42"/>
  <c r="R6" i="21" s="1"/>
  <c r="L137" i="42"/>
  <c r="T189" i="42"/>
  <c r="P4" i="17" s="1"/>
  <c r="H177" i="42"/>
  <c r="D5" i="16" s="1"/>
  <c r="Y161" i="42"/>
  <c r="U2" i="15" s="1"/>
  <c r="O148" i="42"/>
  <c r="K2" i="14" s="1"/>
  <c r="H138" i="42"/>
  <c r="X190" i="42"/>
  <c r="T5" i="17" s="1"/>
  <c r="I187" i="42"/>
  <c r="E2" i="17" s="1"/>
  <c r="AC174" i="42"/>
  <c r="Y2" i="16" s="1"/>
  <c r="S150" i="42"/>
  <c r="O4" i="14" s="1"/>
  <c r="L139" i="42"/>
  <c r="H6" i="21" s="1"/>
  <c r="J135" i="42"/>
  <c r="Z189" i="42"/>
  <c r="V4" i="17" s="1"/>
  <c r="V177" i="42"/>
  <c r="R5" i="16" s="1"/>
  <c r="L174" i="42"/>
  <c r="H2" i="16" s="1"/>
  <c r="AC148" i="42"/>
  <c r="Y2" i="14" s="1"/>
  <c r="N138" i="42"/>
  <c r="AD190" i="42"/>
  <c r="Z5" i="17" s="1"/>
  <c r="W187" i="42"/>
  <c r="S2" i="17" s="1"/>
  <c r="P176" i="42"/>
  <c r="L4" i="16" s="1"/>
  <c r="F161" i="42"/>
  <c r="B2" i="15" s="1"/>
  <c r="R139" i="42"/>
  <c r="N6" i="21" s="1"/>
  <c r="H137" i="42"/>
  <c r="AF189" i="42"/>
  <c r="AB4" i="17" s="1"/>
  <c r="AB177" i="42"/>
  <c r="X5" i="16" s="1"/>
  <c r="R174" i="42"/>
  <c r="N2" i="16" s="1"/>
  <c r="H150" i="42"/>
  <c r="D4" i="14" s="1"/>
  <c r="T138" i="42"/>
  <c r="AC135" i="42"/>
  <c r="AB187" i="42"/>
  <c r="X2" i="17" s="1"/>
  <c r="M176" i="42"/>
  <c r="I4" i="16" s="1"/>
  <c r="AD150" i="42"/>
  <c r="Z4" i="14" s="1"/>
  <c r="W139" i="42"/>
  <c r="S6" i="21" s="1"/>
  <c r="M137" i="42"/>
  <c r="AB190" i="42"/>
  <c r="X5" i="17" s="1"/>
  <c r="G150" i="42"/>
  <c r="C4" i="14" s="1"/>
  <c r="S187" i="42"/>
  <c r="O2" i="17" s="1"/>
  <c r="AE174" i="42"/>
  <c r="AA2" i="16" s="1"/>
  <c r="U150" i="42"/>
  <c r="Q4" i="14" s="1"/>
  <c r="N139" i="42"/>
  <c r="J6" i="21" s="1"/>
  <c r="H135" i="42"/>
  <c r="L189" i="42"/>
  <c r="H4" i="17" s="1"/>
  <c r="AA176" i="42"/>
  <c r="W4" i="16" s="1"/>
  <c r="Q161" i="42"/>
  <c r="M2" i="15" s="1"/>
  <c r="G148" i="42"/>
  <c r="C2" i="14" s="1"/>
  <c r="AA137" i="42"/>
  <c r="P190" i="42"/>
  <c r="L5" i="17" s="1"/>
  <c r="AE177" i="42"/>
  <c r="AA5" i="16" s="1"/>
  <c r="U174" i="42"/>
  <c r="Q2" i="16" s="1"/>
  <c r="K150" i="42"/>
  <c r="G4" i="14" s="1"/>
  <c r="AE138" i="42"/>
  <c r="R135" i="42"/>
  <c r="R189" i="42"/>
  <c r="N4" i="17" s="1"/>
  <c r="N177" i="42"/>
  <c r="J5" i="16" s="1"/>
  <c r="AE161" i="42"/>
  <c r="AA2" i="15" s="1"/>
  <c r="U148" i="42"/>
  <c r="Q2" i="14" s="1"/>
  <c r="F138" i="42"/>
  <c r="V190" i="42"/>
  <c r="R5" i="17" s="1"/>
  <c r="O187" i="42"/>
  <c r="K2" i="17" s="1"/>
  <c r="H176" i="42"/>
  <c r="D4" i="16" s="1"/>
  <c r="Y150" i="42"/>
  <c r="U4" i="14" s="1"/>
  <c r="J139" i="42"/>
  <c r="F6" i="21" s="1"/>
  <c r="L135" i="42"/>
  <c r="X189" i="42"/>
  <c r="T4" i="17" s="1"/>
  <c r="T177" i="42"/>
  <c r="P5" i="16" s="1"/>
  <c r="J174" i="42"/>
  <c r="F2" i="16" s="1"/>
  <c r="AA148" i="42"/>
  <c r="W2" i="14" s="1"/>
  <c r="L138" i="42"/>
  <c r="AA190" i="42"/>
  <c r="W5" i="17" s="1"/>
  <c r="T187" i="42"/>
  <c r="P2" i="17" s="1"/>
  <c r="AF174" i="42"/>
  <c r="AB2" i="16" s="1"/>
  <c r="V150" i="42"/>
  <c r="R4" i="14" s="1"/>
  <c r="O139" i="42"/>
  <c r="K6" i="21" s="1"/>
  <c r="G135" i="42"/>
  <c r="Y174" i="42"/>
  <c r="U2" i="16" s="1"/>
  <c r="X139" i="42"/>
  <c r="T6" i="21" s="1"/>
  <c r="Z190" i="42"/>
  <c r="V5" i="17" s="1"/>
  <c r="K187" i="42"/>
  <c r="G2" i="17" s="1"/>
  <c r="W174" i="42"/>
  <c r="S2" i="16" s="1"/>
  <c r="M150" i="42"/>
  <c r="I4" i="14" s="1"/>
  <c r="F139" i="42"/>
  <c r="B6" i="21" s="1"/>
  <c r="P135" i="42"/>
  <c r="Z187" i="42"/>
  <c r="V2" i="17" s="1"/>
  <c r="S176" i="42"/>
  <c r="O4" i="16" s="1"/>
  <c r="I161" i="42"/>
  <c r="E2" i="15" s="1"/>
  <c r="AC139" i="42"/>
  <c r="Y6" i="21" s="1"/>
  <c r="S137" i="42"/>
  <c r="H190" i="42"/>
  <c r="D5" i="17" s="1"/>
  <c r="W177" i="42"/>
  <c r="S5" i="16" s="1"/>
  <c r="M174" i="42"/>
  <c r="I2" i="16" s="1"/>
  <c r="AD148" i="42"/>
  <c r="Z2" i="14" s="1"/>
  <c r="W138" i="42"/>
  <c r="Z135" i="42"/>
  <c r="J189" i="42"/>
  <c r="F4" i="17" s="1"/>
  <c r="F177" i="42"/>
  <c r="B5" i="16" s="1"/>
  <c r="W161" i="42"/>
  <c r="S2" i="15" s="1"/>
  <c r="M148" i="42"/>
  <c r="I2" i="14" s="1"/>
  <c r="Y137" i="42"/>
  <c r="N190" i="42"/>
  <c r="J5" i="17" s="1"/>
  <c r="G187" i="42"/>
  <c r="C2" i="17" s="1"/>
  <c r="AA174" i="42"/>
  <c r="W2" i="16" s="1"/>
  <c r="Q150" i="42"/>
  <c r="M4" i="14" s="1"/>
  <c r="AC138" i="42"/>
  <c r="T135" i="42"/>
  <c r="P189" i="42"/>
  <c r="L4" i="17" s="1"/>
  <c r="L177" i="42"/>
  <c r="H5" i="16" s="1"/>
  <c r="AC161" i="42"/>
  <c r="Y2" i="15" s="1"/>
  <c r="S148" i="42"/>
  <c r="O2" i="14" s="1"/>
  <c r="AE137" i="42"/>
  <c r="S190" i="42"/>
  <c r="O5" i="17" s="1"/>
  <c r="L187" i="42"/>
  <c r="H2" i="17" s="1"/>
  <c r="X174" i="42"/>
  <c r="T2" i="16" s="1"/>
  <c r="N150" i="42"/>
  <c r="J4" i="14" s="1"/>
  <c r="G139" i="42"/>
  <c r="C6" i="21" s="1"/>
  <c r="O135" i="42"/>
  <c r="F176" i="42"/>
  <c r="B4" i="16" s="1"/>
  <c r="O150" i="42"/>
  <c r="K4" i="14" s="1"/>
  <c r="N137" i="42"/>
  <c r="R190" i="42"/>
  <c r="N5" i="17" s="1"/>
  <c r="Y177" i="42"/>
  <c r="U5" i="16" s="1"/>
  <c r="O174" i="42"/>
  <c r="K2" i="16" s="1"/>
  <c r="AF148" i="42"/>
  <c r="AB2" i="14" s="1"/>
  <c r="Y138" i="42"/>
  <c r="X135" i="42"/>
  <c r="R187" i="42"/>
  <c r="N2" i="17" s="1"/>
  <c r="K176" i="42"/>
  <c r="G4" i="16" s="1"/>
  <c r="AB150" i="42"/>
  <c r="X4" i="14" s="1"/>
  <c r="U139" i="42"/>
  <c r="Q6" i="21" s="1"/>
  <c r="K137" i="42"/>
  <c r="AA189" i="42"/>
  <c r="W4" i="17" s="1"/>
  <c r="O177" i="42"/>
  <c r="K5" i="16" s="1"/>
  <c r="AF161" i="42"/>
  <c r="AB2" i="15" s="1"/>
  <c r="V148" i="42"/>
  <c r="R2" i="14" s="1"/>
  <c r="O138" i="42"/>
  <c r="AF187" i="42"/>
  <c r="AB2" i="17" s="1"/>
  <c r="Y176" i="42"/>
  <c r="U4" i="16" s="1"/>
  <c r="O161" i="42"/>
  <c r="K2" i="15" s="1"/>
  <c r="AA139" i="42"/>
  <c r="W6" i="21" s="1"/>
  <c r="Q137" i="42"/>
  <c r="F190" i="42"/>
  <c r="B5" i="17" s="1"/>
  <c r="AC177" i="42"/>
  <c r="Y5" i="16" s="1"/>
  <c r="S174" i="42"/>
  <c r="O2" i="16" s="1"/>
  <c r="I150" i="42"/>
  <c r="E4" i="14" s="1"/>
  <c r="U138" i="42"/>
  <c r="AB135" i="42"/>
  <c r="H189" i="42"/>
  <c r="D4" i="17" s="1"/>
  <c r="AE176" i="42"/>
  <c r="AA4" i="16" s="1"/>
  <c r="U161" i="42"/>
  <c r="Q2" i="15" s="1"/>
  <c r="K148" i="42"/>
  <c r="G2" i="14" s="1"/>
  <c r="W137" i="42"/>
  <c r="K190" i="42"/>
  <c r="G5" i="17" s="1"/>
  <c r="Z177" i="42"/>
  <c r="V5" i="16" s="1"/>
  <c r="P174" i="42"/>
  <c r="L2" i="16" s="1"/>
  <c r="F150" i="42"/>
  <c r="B4" i="14" s="1"/>
  <c r="Z138" i="42"/>
  <c r="W135" i="42"/>
  <c r="W150" i="42"/>
  <c r="S4" i="14" s="1"/>
  <c r="AF139" i="42"/>
  <c r="AB6" i="21" s="1"/>
  <c r="L161" i="42"/>
  <c r="H2" i="15" s="1"/>
  <c r="J190" i="42"/>
  <c r="F5" i="17" s="1"/>
  <c r="Q177" i="42"/>
  <c r="M5" i="16" s="1"/>
  <c r="G174" i="42"/>
  <c r="C2" i="16" s="1"/>
  <c r="X148" i="42"/>
  <c r="T2" i="14" s="1"/>
  <c r="Q138" i="42"/>
  <c r="AF135" i="42"/>
  <c r="Y190" i="42"/>
  <c r="U5" i="17" s="1"/>
  <c r="J187" i="42"/>
  <c r="F2" i="17" s="1"/>
  <c r="AD174" i="42"/>
  <c r="Z2" i="16" s="1"/>
  <c r="T150" i="42"/>
  <c r="P4" i="14" s="1"/>
  <c r="M139" i="42"/>
  <c r="I6" i="21" s="1"/>
  <c r="I135" i="42"/>
  <c r="S189" i="42"/>
  <c r="O4" i="17" s="1"/>
  <c r="G177" i="42"/>
  <c r="C5" i="16" s="1"/>
  <c r="X161" i="42"/>
  <c r="T2" i="15" s="1"/>
  <c r="N148" i="42"/>
  <c r="J2" i="14" s="1"/>
  <c r="G138" i="42"/>
  <c r="AE190" i="42"/>
  <c r="AA5" i="17" s="1"/>
  <c r="X187" i="42"/>
  <c r="T2" i="17" s="1"/>
  <c r="Q176" i="42"/>
  <c r="M4" i="16" s="1"/>
  <c r="G161" i="42"/>
  <c r="C2" i="15" s="1"/>
  <c r="S139" i="42"/>
  <c r="O6" i="21" s="1"/>
  <c r="I137" i="42"/>
  <c r="Y189" i="42"/>
  <c r="U4" i="17" s="1"/>
  <c r="U177" i="42"/>
  <c r="Q5" i="16" s="1"/>
  <c r="K174" i="42"/>
  <c r="G2" i="16" s="1"/>
  <c r="AB148" i="42"/>
  <c r="X2" i="14" s="1"/>
  <c r="M138" i="42"/>
  <c r="AD187" i="42"/>
  <c r="Z2" i="17" s="1"/>
  <c r="W176" i="42"/>
  <c r="S4" i="16" s="1"/>
  <c r="M161" i="42"/>
  <c r="I2" i="15" s="1"/>
  <c r="Y139" i="42"/>
  <c r="U6" i="21" s="1"/>
  <c r="O137" i="42"/>
  <c r="AD189" i="42"/>
  <c r="Z4" i="17" s="1"/>
  <c r="R177" i="42"/>
  <c r="N5" i="16" s="1"/>
  <c r="H174" i="42"/>
  <c r="D2" i="16" s="1"/>
  <c r="Y148" i="42"/>
  <c r="U2" i="14" s="1"/>
  <c r="R138" i="42"/>
  <c r="AE135" i="42"/>
  <c r="AD137" i="42"/>
  <c r="V137" i="42"/>
  <c r="J148" i="42"/>
  <c r="F2" i="14" s="1"/>
  <c r="AC189" i="42"/>
  <c r="Y4" i="17" s="1"/>
  <c r="I177" i="42"/>
  <c r="E5" i="16" s="1"/>
  <c r="Z161" i="42"/>
  <c r="V2" i="15" s="1"/>
  <c r="P148" i="42"/>
  <c r="L2" i="14" s="1"/>
  <c r="I138" i="42"/>
  <c r="Q190" i="42"/>
  <c r="M5" i="17" s="1"/>
  <c r="AF177" i="42"/>
  <c r="AB5" i="16" s="1"/>
  <c r="V174" i="42"/>
  <c r="R2" i="16" s="1"/>
  <c r="L150" i="42"/>
  <c r="H4" i="14" s="1"/>
  <c r="AF138" i="42"/>
  <c r="AF143" i="42" s="1"/>
  <c r="Q135" i="42"/>
  <c r="K189" i="42"/>
  <c r="G4" i="17" s="1"/>
  <c r="Z176" i="42"/>
  <c r="V4" i="16" s="1"/>
  <c r="P161" i="42"/>
  <c r="L2" i="15" s="1"/>
  <c r="F148" i="42"/>
  <c r="B2" i="14" s="1"/>
  <c r="Z137" i="42"/>
  <c r="W190" i="42"/>
  <c r="S5" i="17" s="1"/>
  <c r="P187" i="42"/>
  <c r="L2" i="17" s="1"/>
  <c r="I176" i="42"/>
  <c r="E4" i="16" s="1"/>
  <c r="Z150" i="42"/>
  <c r="V4" i="14" s="1"/>
  <c r="K139" i="42"/>
  <c r="G6" i="21" s="1"/>
  <c r="K135" i="42"/>
  <c r="Q189" i="42"/>
  <c r="M4" i="17" s="1"/>
  <c r="M177" i="42"/>
  <c r="I5" i="16" s="1"/>
  <c r="AD161" i="42"/>
  <c r="Z2" i="15" s="1"/>
  <c r="T148" i="42"/>
  <c r="P2" i="14" s="1"/>
  <c r="AF137" i="42"/>
  <c r="AC190" i="42"/>
  <c r="Y5" i="17" s="1"/>
  <c r="V187" i="42"/>
  <c r="R2" i="17" s="1"/>
  <c r="O176" i="42"/>
  <c r="K4" i="16" s="1"/>
  <c r="AF150" i="42"/>
  <c r="AB4" i="14" s="1"/>
  <c r="Q139" i="42"/>
  <c r="M6" i="21" s="1"/>
  <c r="G137" i="42"/>
  <c r="V189" i="42"/>
  <c r="R4" i="17" s="1"/>
  <c r="J177" i="42"/>
  <c r="F5" i="16" s="1"/>
  <c r="AA161" i="42"/>
  <c r="W2" i="15" s="1"/>
  <c r="Q148" i="42"/>
  <c r="M2" i="14" s="1"/>
  <c r="J138" i="42"/>
  <c r="T190" i="42"/>
  <c r="P5" i="17" s="1"/>
  <c r="AB176" i="42"/>
  <c r="X4" i="16" s="1"/>
  <c r="X177" i="42"/>
  <c r="T5" i="16" s="1"/>
  <c r="Y187" i="42"/>
  <c r="U2" i="17" s="1"/>
  <c r="O190" i="42"/>
  <c r="K5" i="17" s="1"/>
  <c r="S177" i="42"/>
  <c r="O5" i="16" s="1"/>
  <c r="H139" i="42"/>
  <c r="D6" i="21" s="1"/>
  <c r="AD176" i="42"/>
  <c r="Z4" i="16" s="1"/>
  <c r="L13" i="42"/>
  <c r="K20" i="42"/>
  <c r="G4" i="20" s="1"/>
  <c r="R60" i="42"/>
  <c r="N5" i="13" s="1"/>
  <c r="R161" i="42"/>
  <c r="N2" i="15" s="1"/>
  <c r="N174" i="42"/>
  <c r="J2" i="16" s="1"/>
  <c r="R176" i="42"/>
  <c r="N4" i="16" s="1"/>
  <c r="H187" i="42"/>
  <c r="D2" i="17" s="1"/>
  <c r="I189" i="42"/>
  <c r="E4" i="17" s="1"/>
  <c r="U190" i="42"/>
  <c r="Q5" i="17" s="1"/>
  <c r="I174" i="42"/>
  <c r="E2" i="16" s="1"/>
  <c r="N135" i="42"/>
  <c r="AD135" i="42"/>
  <c r="K177" i="42"/>
  <c r="G5" i="16" s="1"/>
  <c r="AE150" i="42"/>
  <c r="AA4" i="14" s="1"/>
  <c r="K60" i="42"/>
  <c r="G5" i="13" s="1"/>
  <c r="Q8" i="42"/>
  <c r="O5" i="42"/>
  <c r="H148" i="42"/>
  <c r="D2" i="14" s="1"/>
  <c r="AE148" i="42"/>
  <c r="AA2" i="14" s="1"/>
  <c r="H161" i="42"/>
  <c r="D2" i="15" s="1"/>
  <c r="AB174" i="42"/>
  <c r="X2" i="16" s="1"/>
  <c r="AF176" i="42"/>
  <c r="AB4" i="16" s="1"/>
  <c r="N187" i="42"/>
  <c r="J2" i="17" s="1"/>
  <c r="N189" i="42"/>
  <c r="J4" i="17" s="1"/>
  <c r="Z148" i="42"/>
  <c r="V2" i="14" s="1"/>
  <c r="V176" i="42"/>
  <c r="R4" i="16" s="1"/>
  <c r="O189" i="42"/>
  <c r="K4" i="17" s="1"/>
  <c r="AB52" i="42"/>
  <c r="X10" i="12" s="1"/>
  <c r="T20" i="42"/>
  <c r="P4" i="20" s="1"/>
  <c r="AA46" i="42"/>
  <c r="W4" i="12" s="1"/>
  <c r="AB137" i="42"/>
  <c r="X138" i="42"/>
  <c r="AB139" i="42"/>
  <c r="X6" i="21" s="1"/>
  <c r="R150" i="42"/>
  <c r="N4" i="14" s="1"/>
  <c r="V161" i="42"/>
  <c r="R2" i="15" s="1"/>
  <c r="G176" i="42"/>
  <c r="C4" i="16" s="1"/>
  <c r="AC176" i="42"/>
  <c r="Y4" i="16" s="1"/>
  <c r="P139" i="42"/>
  <c r="L6" i="21" s="1"/>
  <c r="AE189" i="42"/>
  <c r="AA4" i="17" s="1"/>
  <c r="G189" i="42"/>
  <c r="C4" i="17" s="1"/>
  <c r="V20" i="42"/>
  <c r="R4" i="20" s="1"/>
  <c r="R46" i="42"/>
  <c r="N4" i="12" s="1"/>
  <c r="Y135" i="42"/>
  <c r="R137" i="42"/>
  <c r="AD138" i="42"/>
  <c r="L148" i="42"/>
  <c r="H2" i="14" s="1"/>
  <c r="X150" i="42"/>
  <c r="T4" i="14" s="1"/>
  <c r="S161" i="42"/>
  <c r="O2" i="15" s="1"/>
  <c r="F137" i="42"/>
  <c r="U187" i="42"/>
  <c r="Q2" i="17" s="1"/>
  <c r="N176" i="42"/>
  <c r="J4" i="16" s="1"/>
  <c r="AA138" i="42"/>
  <c r="J47" i="42"/>
  <c r="F5" i="12" s="1"/>
  <c r="AF5" i="42"/>
  <c r="AB2" i="18" s="1"/>
  <c r="K10" i="42"/>
  <c r="S135" i="42"/>
  <c r="X137" i="42"/>
  <c r="I139" i="42"/>
  <c r="E6" i="21" s="1"/>
  <c r="I148" i="42"/>
  <c r="E2" i="14" s="1"/>
  <c r="AA177" i="42"/>
  <c r="W5" i="16" s="1"/>
  <c r="M135" i="42"/>
  <c r="AC137" i="42"/>
  <c r="L190" i="42"/>
  <c r="H5" i="17" s="1"/>
  <c r="AB161" i="42"/>
  <c r="X2" i="15" s="1"/>
  <c r="K138" i="42"/>
  <c r="S138" i="42"/>
  <c r="U189" i="42"/>
  <c r="Q4" i="17" s="1"/>
  <c r="I190" i="42"/>
  <c r="E5" i="17" s="1"/>
  <c r="AC187" i="42"/>
  <c r="Y2" i="17" s="1"/>
  <c r="S47" i="42"/>
  <c r="O5" i="12" s="1"/>
  <c r="N60" i="42"/>
  <c r="J5" i="13" s="1"/>
  <c r="Y46" i="42"/>
  <c r="U4" i="12" s="1"/>
  <c r="N7" i="42"/>
  <c r="M59" i="42"/>
  <c r="I4" i="13" s="1"/>
  <c r="U75" i="42"/>
  <c r="Q7" i="23" s="1"/>
  <c r="J20" i="42"/>
  <c r="F4" i="20" s="1"/>
  <c r="J10" i="42"/>
  <c r="L31" i="42"/>
  <c r="H2" i="11" s="1"/>
  <c r="AE52" i="42"/>
  <c r="AA10" i="12" s="1"/>
  <c r="AF65" i="42"/>
  <c r="AB10" i="13" s="1"/>
  <c r="AD7" i="42"/>
  <c r="AC5" i="42"/>
  <c r="Y2" i="18" s="1"/>
  <c r="AB60" i="42"/>
  <c r="X5" i="13" s="1"/>
  <c r="AE7" i="42"/>
  <c r="P5" i="42"/>
  <c r="L2" i="18" s="1"/>
  <c r="H117" i="42"/>
  <c r="D10" i="26" s="1"/>
  <c r="AE59" i="42"/>
  <c r="AA4" i="13" s="1"/>
  <c r="AC13" i="42"/>
  <c r="U46" i="42"/>
  <c r="Q4" i="12" s="1"/>
  <c r="V59" i="42"/>
  <c r="R4" i="13" s="1"/>
  <c r="H13" i="42"/>
  <c r="M187" i="42"/>
  <c r="I2" i="17" s="1"/>
  <c r="Y72" i="42"/>
  <c r="U4" i="23" s="1"/>
  <c r="V13" i="42"/>
  <c r="V73" i="42"/>
  <c r="R5" i="23" s="1"/>
  <c r="AF60" i="42"/>
  <c r="AB5" i="13" s="1"/>
  <c r="R148" i="42"/>
  <c r="N2" i="14" s="1"/>
  <c r="F20" i="42"/>
  <c r="B4" i="20" s="1"/>
  <c r="L52" i="42"/>
  <c r="H10" i="12" s="1"/>
  <c r="M7" i="42"/>
  <c r="M18" i="42"/>
  <c r="I2" i="20" s="1"/>
  <c r="T8" i="42"/>
  <c r="T5" i="42"/>
  <c r="P2" i="18" s="1"/>
  <c r="R59" i="42"/>
  <c r="N4" i="13" s="1"/>
  <c r="H70" i="42"/>
  <c r="D2" i="23" s="1"/>
  <c r="O70" i="42"/>
  <c r="K2" i="23" s="1"/>
  <c r="V57" i="42"/>
  <c r="R2" i="13" s="1"/>
  <c r="W10" i="42"/>
  <c r="AF31" i="42"/>
  <c r="AB2" i="11" s="1"/>
  <c r="G13" i="42"/>
  <c r="X47" i="42"/>
  <c r="T5" i="12" s="1"/>
  <c r="O18" i="42"/>
  <c r="K2" i="20" s="1"/>
  <c r="M8" i="42"/>
  <c r="V65" i="42"/>
  <c r="R10" i="13" s="1"/>
  <c r="G75" i="42"/>
  <c r="C7" i="23" s="1"/>
  <c r="P57" i="42"/>
  <c r="L2" i="13" s="1"/>
  <c r="Y78" i="42"/>
  <c r="U10" i="23" s="1"/>
  <c r="Y31" i="42"/>
  <c r="U2" i="11" s="1"/>
  <c r="L47" i="42"/>
  <c r="H5" i="12" s="1"/>
  <c r="L65" i="42"/>
  <c r="H10" i="13" s="1"/>
  <c r="V18" i="42"/>
  <c r="R2" i="20" s="1"/>
  <c r="N52" i="42"/>
  <c r="J10" i="12" s="1"/>
  <c r="K57" i="42"/>
  <c r="G2" i="13" s="1"/>
  <c r="AB20" i="42"/>
  <c r="X4" i="20" s="1"/>
  <c r="AE8" i="42"/>
  <c r="AF20" i="42"/>
  <c r="AB4" i="20" s="1"/>
  <c r="H96" i="42"/>
  <c r="D2" i="25" s="1"/>
  <c r="AC57" i="42"/>
  <c r="Y2" i="13" s="1"/>
  <c r="V135" i="42"/>
  <c r="O112" i="42"/>
  <c r="K5" i="26" s="1"/>
  <c r="AF75" i="42"/>
  <c r="AB7" i="23" s="1"/>
  <c r="L122" i="42"/>
  <c r="H2" i="27" s="1"/>
  <c r="J130" i="42"/>
  <c r="F10" i="27" s="1"/>
  <c r="AC124" i="42"/>
  <c r="Y4" i="27" s="1"/>
  <c r="O111" i="42"/>
  <c r="K4" i="26" s="1"/>
  <c r="X72" i="42"/>
  <c r="T4" i="23" s="1"/>
  <c r="O124" i="42"/>
  <c r="K4" i="27" s="1"/>
  <c r="Y125" i="42"/>
  <c r="U5" i="27" s="1"/>
  <c r="R85" i="42"/>
  <c r="N4" i="24" s="1"/>
  <c r="U125" i="42"/>
  <c r="Q5" i="27" s="1"/>
  <c r="R111" i="42"/>
  <c r="N4" i="26" s="1"/>
  <c r="S124" i="42"/>
  <c r="O4" i="27" s="1"/>
  <c r="H72" i="42"/>
  <c r="D4" i="23" s="1"/>
  <c r="P112" i="42"/>
  <c r="L5" i="26" s="1"/>
  <c r="Z117" i="42"/>
  <c r="V10" i="26" s="1"/>
  <c r="T83" i="42"/>
  <c r="P2" i="24" s="1"/>
  <c r="J96" i="42"/>
  <c r="F2" i="25" s="1"/>
  <c r="V124" i="42"/>
  <c r="R4" i="27" s="1"/>
  <c r="H111" i="42"/>
  <c r="D4" i="26" s="1"/>
  <c r="AC73" i="42"/>
  <c r="Y5" i="23" s="1"/>
  <c r="J122" i="42"/>
  <c r="F2" i="27" s="1"/>
  <c r="AD130" i="42"/>
  <c r="Z10" i="27" s="1"/>
  <c r="M83" i="42"/>
  <c r="I2" i="24" s="1"/>
  <c r="AC85" i="42"/>
  <c r="Y4" i="24" s="1"/>
  <c r="F124" i="42"/>
  <c r="B4" i="27" s="1"/>
  <c r="X125" i="42"/>
  <c r="T5" i="27" s="1"/>
  <c r="F96" i="42"/>
  <c r="B2" i="25" s="1"/>
  <c r="AD111" i="42"/>
  <c r="Z4" i="26" s="1"/>
  <c r="S96" i="42"/>
  <c r="O2" i="25" s="1"/>
  <c r="K70" i="42"/>
  <c r="G2" i="23" s="1"/>
  <c r="R96" i="42"/>
  <c r="N2" i="25" s="1"/>
  <c r="AC111" i="42"/>
  <c r="Y4" i="26" s="1"/>
  <c r="AB122" i="42"/>
  <c r="X2" i="27" s="1"/>
  <c r="X70" i="42"/>
  <c r="T2" i="23" s="1"/>
  <c r="R83" i="42"/>
  <c r="N2" i="24" s="1"/>
  <c r="K85" i="42"/>
  <c r="G4" i="24" s="1"/>
  <c r="K72" i="42"/>
  <c r="G4" i="23" s="1"/>
  <c r="T96" i="42"/>
  <c r="P2" i="25" s="1"/>
  <c r="R112" i="42"/>
  <c r="N5" i="26" s="1"/>
  <c r="AE117" i="42"/>
  <c r="AA10" i="26" s="1"/>
  <c r="AF85" i="42"/>
  <c r="AB4" i="24" s="1"/>
  <c r="N85" i="42"/>
  <c r="J4" i="24" s="1"/>
  <c r="M85" i="42"/>
  <c r="I4" i="24" s="1"/>
  <c r="H124" i="42"/>
  <c r="D4" i="27" s="1"/>
  <c r="AE85" i="42"/>
  <c r="AA4" i="24" s="1"/>
  <c r="AF72" i="42"/>
  <c r="AB4" i="23" s="1"/>
  <c r="AD72" i="42"/>
  <c r="Z4" i="23" s="1"/>
  <c r="Z70" i="42"/>
  <c r="V2" i="23" s="1"/>
  <c r="X73" i="42"/>
  <c r="T5" i="23" s="1"/>
  <c r="Q46" i="42"/>
  <c r="M4" i="12" s="1"/>
  <c r="U47" i="42"/>
  <c r="Q5" i="12" s="1"/>
  <c r="J7" i="42"/>
  <c r="F31" i="42"/>
  <c r="B2" i="11" s="1"/>
  <c r="I7" i="42"/>
  <c r="AF46" i="42"/>
  <c r="AB4" i="12" s="1"/>
  <c r="AA7" i="42"/>
  <c r="Q20" i="42"/>
  <c r="M4" i="20" s="1"/>
  <c r="I60" i="42"/>
  <c r="E5" i="13" s="1"/>
  <c r="AA10" i="42"/>
  <c r="P13" i="42"/>
  <c r="R5" i="42"/>
  <c r="N2" i="18" s="1"/>
  <c r="U8" i="42"/>
  <c r="V47" i="42"/>
  <c r="R5" i="12" s="1"/>
  <c r="J46" i="42"/>
  <c r="F4" i="12" s="1"/>
  <c r="J18" i="42"/>
  <c r="F2" i="20" s="1"/>
  <c r="AD57" i="42"/>
  <c r="Z2" i="13" s="1"/>
  <c r="AB47" i="42"/>
  <c r="X5" i="12" s="1"/>
  <c r="U52" i="42"/>
  <c r="Q10" i="12" s="1"/>
  <c r="AA8" i="42"/>
  <c r="I57" i="42"/>
  <c r="E2" i="13" s="1"/>
  <c r="F46" i="42"/>
  <c r="B4" i="12" s="1"/>
  <c r="AC65" i="42"/>
  <c r="Y10" i="13" s="1"/>
  <c r="Y47" i="42"/>
  <c r="U5" i="12" s="1"/>
  <c r="U20" i="42"/>
  <c r="Q4" i="20" s="1"/>
  <c r="G47" i="42"/>
  <c r="C5" i="12" s="1"/>
  <c r="G20" i="42"/>
  <c r="C4" i="20" s="1"/>
  <c r="AA59" i="42"/>
  <c r="W4" i="13" s="1"/>
  <c r="F47" i="42"/>
  <c r="B5" i="12" s="1"/>
  <c r="AB130" i="42"/>
  <c r="X10" i="27" s="1"/>
  <c r="AE122" i="42"/>
  <c r="AA2" i="27" s="1"/>
  <c r="Y75" i="42"/>
  <c r="U7" i="23" s="1"/>
  <c r="AA122" i="42"/>
  <c r="W2" i="27" s="1"/>
  <c r="S117" i="42"/>
  <c r="O10" i="26" s="1"/>
  <c r="K130" i="42"/>
  <c r="G10" i="27" s="1"/>
  <c r="AD73" i="42"/>
  <c r="Z5" i="23" s="1"/>
  <c r="AF112" i="42"/>
  <c r="AB5" i="26" s="1"/>
  <c r="O122" i="42"/>
  <c r="K2" i="27" s="1"/>
  <c r="O117" i="42"/>
  <c r="K10" i="26" s="1"/>
  <c r="K122" i="42"/>
  <c r="G2" i="27" s="1"/>
  <c r="W130" i="42"/>
  <c r="S10" i="27" s="1"/>
  <c r="I117" i="42"/>
  <c r="E10" i="26" s="1"/>
  <c r="H73" i="42"/>
  <c r="D5" i="23" s="1"/>
  <c r="AD124" i="42"/>
  <c r="Z4" i="27" s="1"/>
  <c r="P111" i="42"/>
  <c r="L4" i="26" s="1"/>
  <c r="J75" i="42"/>
  <c r="F7" i="23" s="1"/>
  <c r="AF124" i="42"/>
  <c r="AB4" i="27" s="1"/>
  <c r="L117" i="42"/>
  <c r="H10" i="26" s="1"/>
  <c r="M130" i="42"/>
  <c r="I10" i="27" s="1"/>
  <c r="T70" i="42"/>
  <c r="P2" i="23" s="1"/>
  <c r="AA111" i="42"/>
  <c r="W4" i="26" s="1"/>
  <c r="T124" i="42"/>
  <c r="P4" i="27" s="1"/>
  <c r="N96" i="42"/>
  <c r="J2" i="25" s="1"/>
  <c r="Z130" i="42"/>
  <c r="V10" i="27" s="1"/>
  <c r="W112" i="42"/>
  <c r="S5" i="26" s="1"/>
  <c r="N122" i="42"/>
  <c r="J2" i="27" s="1"/>
  <c r="W78" i="42"/>
  <c r="S10" i="23" s="1"/>
  <c r="AA83" i="42"/>
  <c r="W2" i="24" s="1"/>
  <c r="I83" i="42"/>
  <c r="E2" i="24" s="1"/>
  <c r="S112" i="42"/>
  <c r="O5" i="26" s="1"/>
  <c r="N125" i="42"/>
  <c r="J5" i="27" s="1"/>
  <c r="Z83" i="42"/>
  <c r="V2" i="24" s="1"/>
  <c r="S85" i="42"/>
  <c r="O4" i="24" s="1"/>
  <c r="AC122" i="42"/>
  <c r="Y2" i="27" s="1"/>
  <c r="H75" i="42"/>
  <c r="D7" i="23" s="1"/>
  <c r="AB75" i="42"/>
  <c r="X7" i="23" s="1"/>
  <c r="AA112" i="42"/>
  <c r="W5" i="26" s="1"/>
  <c r="J83" i="42"/>
  <c r="F2" i="24" s="1"/>
  <c r="AD83" i="42"/>
  <c r="Z2" i="24" s="1"/>
  <c r="F73" i="42"/>
  <c r="B5" i="23" s="1"/>
  <c r="V78" i="42"/>
  <c r="R10" i="23" s="1"/>
  <c r="AE75" i="42"/>
  <c r="AA7" i="23" s="1"/>
  <c r="AA70" i="42"/>
  <c r="W2" i="23" s="1"/>
  <c r="AE124" i="42"/>
  <c r="AA4" i="27" s="1"/>
  <c r="U78" i="42"/>
  <c r="Q10" i="23" s="1"/>
  <c r="AE125" i="42"/>
  <c r="AA5" i="27" s="1"/>
  <c r="V111" i="42"/>
  <c r="R4" i="26" s="1"/>
  <c r="L85" i="42"/>
  <c r="H4" i="24" s="1"/>
  <c r="X117" i="42"/>
  <c r="T10" i="26" s="1"/>
  <c r="Y5" i="42"/>
  <c r="U2" i="18" s="1"/>
  <c r="N31" i="42"/>
  <c r="J2" i="11" s="1"/>
  <c r="U59" i="42"/>
  <c r="Q4" i="13" s="1"/>
  <c r="N8" i="42"/>
  <c r="P59" i="42"/>
  <c r="L4" i="13" s="1"/>
  <c r="Y20" i="42"/>
  <c r="U4" i="20" s="1"/>
  <c r="Y65" i="42"/>
  <c r="U10" i="13" s="1"/>
  <c r="AF47" i="42"/>
  <c r="AB5" i="12" s="1"/>
  <c r="Z52" i="42"/>
  <c r="V10" i="12" s="1"/>
  <c r="T18" i="42"/>
  <c r="P2" i="20" s="1"/>
  <c r="L20" i="42"/>
  <c r="H4" i="20" s="1"/>
  <c r="AD52" i="42"/>
  <c r="Z10" i="12" s="1"/>
  <c r="AB5" i="42"/>
  <c r="X2" i="18" s="1"/>
  <c r="U10" i="42"/>
  <c r="T52" i="42"/>
  <c r="P10" i="12" s="1"/>
  <c r="T31" i="42"/>
  <c r="P2" i="11" s="1"/>
  <c r="M65" i="42"/>
  <c r="I10" i="13" s="1"/>
  <c r="K59" i="42"/>
  <c r="G4" i="13" s="1"/>
  <c r="Z13" i="42"/>
  <c r="W5" i="42"/>
  <c r="S2" i="18" s="1"/>
  <c r="S60" i="42"/>
  <c r="O5" i="13" s="1"/>
  <c r="P52" i="42"/>
  <c r="L10" i="12" s="1"/>
  <c r="I20" i="42"/>
  <c r="E4" i="20" s="1"/>
  <c r="J13" i="42"/>
  <c r="R8" i="42"/>
  <c r="Q57" i="42"/>
  <c r="M2" i="13" s="1"/>
  <c r="N46" i="42"/>
  <c r="J4" i="12" s="1"/>
  <c r="V31" i="42"/>
  <c r="R2" i="11" s="1"/>
  <c r="X10" i="42"/>
  <c r="J8" i="42"/>
  <c r="H65" i="42"/>
  <c r="D10" i="13" s="1"/>
  <c r="O20" i="42"/>
  <c r="K4" i="20" s="1"/>
  <c r="H60" i="42"/>
  <c r="D5" i="13" s="1"/>
  <c r="R65" i="42"/>
  <c r="N10" i="13" s="1"/>
  <c r="AF57" i="42"/>
  <c r="AB2" i="13" s="1"/>
  <c r="W47" i="42"/>
  <c r="S5" i="12" s="1"/>
  <c r="Q83" i="42"/>
  <c r="M2" i="24" s="1"/>
  <c r="Q96" i="42"/>
  <c r="M2" i="25" s="1"/>
  <c r="Q70" i="42"/>
  <c r="M2" i="23" s="1"/>
  <c r="Q112" i="42"/>
  <c r="M5" i="26" s="1"/>
  <c r="I111" i="42"/>
  <c r="E4" i="26" s="1"/>
  <c r="U122" i="42"/>
  <c r="Q2" i="27" s="1"/>
  <c r="AE83" i="42"/>
  <c r="AA2" i="24" s="1"/>
  <c r="S125" i="42"/>
  <c r="O5" i="27" s="1"/>
  <c r="AF111" i="42"/>
  <c r="AB4" i="26" s="1"/>
  <c r="I85" i="42"/>
  <c r="E4" i="24" s="1"/>
  <c r="AB111" i="42"/>
  <c r="X4" i="26" s="1"/>
  <c r="M124" i="42"/>
  <c r="I4" i="27" s="1"/>
  <c r="V125" i="42"/>
  <c r="R5" i="27" s="1"/>
  <c r="S78" i="42"/>
  <c r="O10" i="23" s="1"/>
  <c r="T117" i="42"/>
  <c r="P10" i="26" s="1"/>
  <c r="U130" i="42"/>
  <c r="Q10" i="27" s="1"/>
  <c r="L70" i="42"/>
  <c r="H2" i="23" s="1"/>
  <c r="V117" i="42"/>
  <c r="R10" i="26" s="1"/>
  <c r="AF96" i="42"/>
  <c r="AB2" i="25" s="1"/>
  <c r="AD122" i="42"/>
  <c r="Z2" i="27" s="1"/>
  <c r="Q72" i="42"/>
  <c r="M4" i="23" s="1"/>
  <c r="X130" i="42"/>
  <c r="T10" i="27" s="1"/>
  <c r="J117" i="42"/>
  <c r="F10" i="26" s="1"/>
  <c r="AE78" i="42"/>
  <c r="AA10" i="23" s="1"/>
  <c r="P124" i="42"/>
  <c r="L4" i="27" s="1"/>
  <c r="R125" i="42"/>
  <c r="N5" i="27" s="1"/>
  <c r="AE111" i="42"/>
  <c r="AA4" i="26" s="1"/>
  <c r="M73" i="42"/>
  <c r="I5" i="23" s="1"/>
  <c r="Q75" i="42"/>
  <c r="M7" i="23" s="1"/>
  <c r="Z73" i="42"/>
  <c r="V5" i="23" s="1"/>
  <c r="Q73" i="42"/>
  <c r="M5" i="23" s="1"/>
  <c r="W111" i="42"/>
  <c r="S4" i="26" s="1"/>
  <c r="P75" i="42"/>
  <c r="L7" i="23" s="1"/>
  <c r="I78" i="42"/>
  <c r="E10" i="23" s="1"/>
  <c r="X78" i="42"/>
  <c r="T10" i="23" s="1"/>
  <c r="N70" i="42"/>
  <c r="J2" i="23" s="1"/>
  <c r="R72" i="42"/>
  <c r="N4" i="23" s="1"/>
  <c r="X96" i="42"/>
  <c r="T2" i="25" s="1"/>
  <c r="S130" i="42"/>
  <c r="O10" i="27" s="1"/>
  <c r="O85" i="42"/>
  <c r="K4" i="24" s="1"/>
  <c r="AA78" i="42"/>
  <c r="W10" i="23" s="1"/>
  <c r="W124" i="42"/>
  <c r="S4" i="27" s="1"/>
  <c r="F130" i="42"/>
  <c r="B10" i="27" s="1"/>
  <c r="Z85" i="42"/>
  <c r="V4" i="24" s="1"/>
  <c r="N73" i="42"/>
  <c r="J5" i="23" s="1"/>
  <c r="I122" i="42"/>
  <c r="E2" i="27" s="1"/>
  <c r="AA124" i="42"/>
  <c r="W4" i="27" s="1"/>
  <c r="Z75" i="42"/>
  <c r="V7" i="23" s="1"/>
  <c r="Q130" i="42"/>
  <c r="M10" i="27" s="1"/>
  <c r="AD112" i="42"/>
  <c r="Z5" i="26" s="1"/>
  <c r="K112" i="42"/>
  <c r="G5" i="26" s="1"/>
  <c r="M125" i="42"/>
  <c r="I5" i="27" s="1"/>
  <c r="J111" i="42"/>
  <c r="F4" i="26" s="1"/>
  <c r="K124" i="42"/>
  <c r="G4" i="27" s="1"/>
  <c r="AF73" i="42"/>
  <c r="AB5" i="23" s="1"/>
  <c r="L111" i="42"/>
  <c r="H4" i="26" s="1"/>
  <c r="G130" i="42"/>
  <c r="C10" i="27" s="1"/>
  <c r="T112" i="42"/>
  <c r="P5" i="26" s="1"/>
  <c r="AA75" i="42"/>
  <c r="W7" i="23" s="1"/>
  <c r="N124" i="42"/>
  <c r="J4" i="27" s="1"/>
  <c r="AD96" i="42"/>
  <c r="Z2" i="25" s="1"/>
  <c r="U73" i="42"/>
  <c r="Q5" i="23" s="1"/>
  <c r="F117" i="42"/>
  <c r="B10" i="26" s="1"/>
  <c r="H122" i="42"/>
  <c r="D2" i="27" s="1"/>
  <c r="AA130" i="42"/>
  <c r="W10" i="27" s="1"/>
  <c r="M122" i="42"/>
  <c r="I2" i="27" s="1"/>
  <c r="G72" i="42"/>
  <c r="C4" i="23" s="1"/>
  <c r="W70" i="42"/>
  <c r="S2" i="23" s="1"/>
  <c r="N75" i="42"/>
  <c r="J7" i="23" s="1"/>
  <c r="G96" i="42"/>
  <c r="C2" i="25" s="1"/>
  <c r="F72" i="42"/>
  <c r="B4" i="23" s="1"/>
  <c r="Z72" i="42"/>
  <c r="V4" i="23" s="1"/>
  <c r="U96" i="42"/>
  <c r="Q2" i="25" s="1"/>
  <c r="O125" i="42"/>
  <c r="K5" i="27" s="1"/>
  <c r="P73" i="42"/>
  <c r="L5" i="23" s="1"/>
  <c r="Y124" i="42"/>
  <c r="U4" i="27" s="1"/>
  <c r="V70" i="42"/>
  <c r="R2" i="23" s="1"/>
  <c r="J72" i="42"/>
  <c r="F4" i="23" s="1"/>
  <c r="N83" i="42"/>
  <c r="J2" i="24" s="1"/>
  <c r="L96" i="42"/>
  <c r="H2" i="25" s="1"/>
  <c r="M111" i="42"/>
  <c r="I4" i="26" s="1"/>
  <c r="AB72" i="42"/>
  <c r="X4" i="23" s="1"/>
  <c r="O78" i="42"/>
  <c r="K10" i="23" s="1"/>
  <c r="Y112" i="42"/>
  <c r="U5" i="26" s="1"/>
  <c r="F78" i="42"/>
  <c r="B10" i="23" s="1"/>
  <c r="O75" i="42"/>
  <c r="K7" i="23" s="1"/>
  <c r="Z112" i="42"/>
  <c r="V5" i="26" s="1"/>
  <c r="H85" i="42"/>
  <c r="D4" i="24" s="1"/>
  <c r="K7" i="42"/>
  <c r="S7" i="42"/>
  <c r="AE65" i="42"/>
  <c r="AA10" i="13" s="1"/>
  <c r="P10" i="42"/>
  <c r="Z65" i="42"/>
  <c r="V10" i="13" s="1"/>
  <c r="X57" i="42"/>
  <c r="T2" i="13" s="1"/>
  <c r="AC10" i="42"/>
  <c r="I65" i="42"/>
  <c r="E10" i="13" s="1"/>
  <c r="Q5" i="42"/>
  <c r="M2" i="18" s="1"/>
  <c r="I47" i="42"/>
  <c r="E5" i="12" s="1"/>
  <c r="G65" i="42"/>
  <c r="C10" i="13" s="1"/>
  <c r="T59" i="42"/>
  <c r="P4" i="13" s="1"/>
  <c r="AF18" i="42"/>
  <c r="AB2" i="20" s="1"/>
  <c r="J65" i="42"/>
  <c r="F10" i="13" s="1"/>
  <c r="AE10" i="42"/>
  <c r="J59" i="42"/>
  <c r="F4" i="13" s="1"/>
  <c r="S10" i="42"/>
  <c r="Q7" i="42"/>
  <c r="AB46" i="42"/>
  <c r="X4" i="12" s="1"/>
  <c r="X18" i="42"/>
  <c r="T2" i="20" s="1"/>
  <c r="AD20" i="42"/>
  <c r="Z4" i="20" s="1"/>
  <c r="I10" i="42"/>
  <c r="Y7" i="42"/>
  <c r="Q65" i="42"/>
  <c r="M10" i="13" s="1"/>
  <c r="AA57" i="42"/>
  <c r="W2" i="13" s="1"/>
  <c r="AB13" i="42"/>
  <c r="G60" i="42"/>
  <c r="C5" i="13" s="1"/>
  <c r="M60" i="42"/>
  <c r="I5" i="13" s="1"/>
  <c r="U60" i="42"/>
  <c r="Q5" i="13" s="1"/>
  <c r="S13" i="42"/>
  <c r="I18" i="42"/>
  <c r="E2" i="20" s="1"/>
  <c r="AF52" i="42"/>
  <c r="AB10" i="12" s="1"/>
  <c r="S46" i="42"/>
  <c r="O4" i="12" s="1"/>
  <c r="M10" i="42"/>
  <c r="AC7" i="42"/>
  <c r="AA96" i="42"/>
  <c r="W2" i="25" s="1"/>
  <c r="O72" i="42"/>
  <c r="K4" i="23" s="1"/>
  <c r="N111" i="42"/>
  <c r="J4" i="26" s="1"/>
  <c r="M117" i="42"/>
  <c r="I10" i="26" s="1"/>
  <c r="W122" i="42"/>
  <c r="S2" i="27" s="1"/>
  <c r="P78" i="42"/>
  <c r="L10" i="23" s="1"/>
  <c r="AC125" i="42"/>
  <c r="Y5" i="27" s="1"/>
  <c r="Z111" i="42"/>
  <c r="V4" i="26" s="1"/>
  <c r="Q117" i="42"/>
  <c r="M10" i="26" s="1"/>
  <c r="P72" i="42"/>
  <c r="L4" i="23" s="1"/>
  <c r="G124" i="42"/>
  <c r="C4" i="27" s="1"/>
  <c r="Q125" i="42"/>
  <c r="M5" i="27" s="1"/>
  <c r="J85" i="42"/>
  <c r="F4" i="24" s="1"/>
  <c r="AD117" i="42"/>
  <c r="Z10" i="26" s="1"/>
  <c r="O130" i="42"/>
  <c r="K10" i="27" s="1"/>
  <c r="AB112" i="42"/>
  <c r="X5" i="26" s="1"/>
  <c r="X83" i="42"/>
  <c r="T2" i="24" s="1"/>
  <c r="AB125" i="42"/>
  <c r="X5" i="27" s="1"/>
  <c r="X122" i="42"/>
  <c r="T2" i="27" s="1"/>
  <c r="F109" i="42"/>
  <c r="B2" i="26" s="1"/>
  <c r="I96" i="42"/>
  <c r="E2" i="25" s="1"/>
  <c r="AE112" i="42"/>
  <c r="AA5" i="26" s="1"/>
  <c r="AF125" i="42"/>
  <c r="AB5" i="27" s="1"/>
  <c r="AB70" i="42"/>
  <c r="X2" i="23" s="1"/>
  <c r="L125" i="42"/>
  <c r="H5" i="27" s="1"/>
  <c r="Y111" i="42"/>
  <c r="U4" i="26" s="1"/>
  <c r="T130" i="42"/>
  <c r="P10" i="27" s="1"/>
  <c r="Q111" i="42"/>
  <c r="M4" i="26" s="1"/>
  <c r="G117" i="42"/>
  <c r="C10" i="26" s="1"/>
  <c r="F125" i="42"/>
  <c r="B5" i="27" s="1"/>
  <c r="P83" i="42"/>
  <c r="L2" i="24" s="1"/>
  <c r="AC96" i="42"/>
  <c r="Y2" i="25" s="1"/>
  <c r="K96" i="42"/>
  <c r="G2" i="25" s="1"/>
  <c r="T72" i="42"/>
  <c r="P4" i="23" s="1"/>
  <c r="K83" i="42"/>
  <c r="G2" i="24" s="1"/>
  <c r="AD85" i="42"/>
  <c r="Z4" i="24" s="1"/>
  <c r="H78" i="42"/>
  <c r="D10" i="23" s="1"/>
  <c r="M96" i="42"/>
  <c r="I2" i="25" s="1"/>
  <c r="J124" i="42"/>
  <c r="F4" i="27" s="1"/>
  <c r="K75" i="42"/>
  <c r="G7" i="23" s="1"/>
  <c r="G83" i="42"/>
  <c r="C2" i="24" s="1"/>
  <c r="AC78" i="42"/>
  <c r="Y10" i="23" s="1"/>
  <c r="V83" i="42"/>
  <c r="R2" i="24" s="1"/>
  <c r="Y73" i="42"/>
  <c r="U5" i="23" s="1"/>
  <c r="X85" i="42"/>
  <c r="T4" i="24" s="1"/>
  <c r="U117" i="42"/>
  <c r="Q10" i="26" s="1"/>
  <c r="W72" i="42"/>
  <c r="S4" i="23" s="1"/>
  <c r="G70" i="42"/>
  <c r="C2" i="23" s="1"/>
  <c r="AA72" i="42"/>
  <c r="W4" i="23" s="1"/>
  <c r="K111" i="42"/>
  <c r="G4" i="26" s="1"/>
  <c r="J60" i="42"/>
  <c r="F5" i="13" s="1"/>
  <c r="R10" i="42"/>
  <c r="F10" i="42"/>
  <c r="R13" i="42"/>
  <c r="AF8" i="42"/>
  <c r="AC60" i="42"/>
  <c r="Y5" i="13" s="1"/>
  <c r="W18" i="42"/>
  <c r="S2" i="20" s="1"/>
  <c r="W8" i="42"/>
  <c r="R7" i="42"/>
  <c r="AB59" i="42"/>
  <c r="X4" i="13" s="1"/>
  <c r="V8" i="42"/>
  <c r="J52" i="42"/>
  <c r="F10" i="12" s="1"/>
  <c r="L8" i="42"/>
  <c r="O31" i="42"/>
  <c r="K2" i="11" s="1"/>
  <c r="N20" i="42"/>
  <c r="J4" i="20" s="1"/>
  <c r="T65" i="42"/>
  <c r="P10" i="13" s="1"/>
  <c r="AB65" i="42"/>
  <c r="X10" i="13" s="1"/>
  <c r="H52" i="42"/>
  <c r="D10" i="12" s="1"/>
  <c r="V10" i="42"/>
  <c r="I8" i="42"/>
  <c r="R47" i="42"/>
  <c r="N5" i="12" s="1"/>
  <c r="S18" i="42"/>
  <c r="O2" i="20" s="1"/>
  <c r="R18" i="42"/>
  <c r="N2" i="20" s="1"/>
  <c r="I46" i="42"/>
  <c r="E4" i="12" s="1"/>
  <c r="H18" i="42"/>
  <c r="D2" i="20" s="1"/>
  <c r="K31" i="42"/>
  <c r="G2" i="11" s="1"/>
  <c r="Q10" i="42"/>
  <c r="T57" i="42"/>
  <c r="P2" i="13" s="1"/>
  <c r="R31" i="42"/>
  <c r="N2" i="11" s="1"/>
  <c r="T7" i="42"/>
  <c r="S31" i="42"/>
  <c r="O2" i="11" s="1"/>
  <c r="O60" i="42"/>
  <c r="K5" i="13" s="1"/>
  <c r="S57" i="42"/>
  <c r="O2" i="13" s="1"/>
  <c r="M5" i="42"/>
  <c r="M52" i="42"/>
  <c r="I10" i="12" s="1"/>
  <c r="V72" i="42"/>
  <c r="R4" i="23" s="1"/>
  <c r="AA117" i="42"/>
  <c r="W10" i="26" s="1"/>
  <c r="F75" i="42"/>
  <c r="B7" i="23" s="1"/>
  <c r="AA125" i="42"/>
  <c r="W5" i="27" s="1"/>
  <c r="M112" i="42"/>
  <c r="I5" i="26" s="1"/>
  <c r="T122" i="42"/>
  <c r="P2" i="27" s="1"/>
  <c r="S122" i="42"/>
  <c r="O2" i="27" s="1"/>
  <c r="AE130" i="42"/>
  <c r="AA10" i="27" s="1"/>
  <c r="G111" i="42"/>
  <c r="C4" i="26" s="1"/>
  <c r="I124" i="42"/>
  <c r="E4" i="27" s="1"/>
  <c r="X112" i="42"/>
  <c r="T5" i="26" s="1"/>
  <c r="G122" i="42"/>
  <c r="C2" i="27" s="1"/>
  <c r="J112" i="42"/>
  <c r="F5" i="26" s="1"/>
  <c r="T111" i="42"/>
  <c r="P4" i="26" s="1"/>
  <c r="AF122" i="42"/>
  <c r="AB2" i="27" s="1"/>
  <c r="F111" i="42"/>
  <c r="B4" i="26" s="1"/>
  <c r="U111" i="42"/>
  <c r="Q4" i="26" s="1"/>
  <c r="R122" i="42"/>
  <c r="N2" i="27" s="1"/>
  <c r="N112" i="42"/>
  <c r="J5" i="26" s="1"/>
  <c r="U83" i="42"/>
  <c r="Q2" i="24" s="1"/>
  <c r="X124" i="42"/>
  <c r="T4" i="27" s="1"/>
  <c r="Z125" i="42"/>
  <c r="V5" i="27" s="1"/>
  <c r="V122" i="42"/>
  <c r="R2" i="27" s="1"/>
  <c r="R124" i="42"/>
  <c r="N4" i="27" s="1"/>
  <c r="AC117" i="42"/>
  <c r="Y10" i="26" s="1"/>
  <c r="V130" i="42"/>
  <c r="R10" i="27" s="1"/>
  <c r="O96" i="42"/>
  <c r="K2" i="25" s="1"/>
  <c r="U112" i="42"/>
  <c r="Q5" i="26" s="1"/>
  <c r="G85" i="42"/>
  <c r="C4" i="24" s="1"/>
  <c r="AA85" i="42"/>
  <c r="W4" i="24" s="1"/>
  <c r="AB85" i="42"/>
  <c r="X4" i="24" s="1"/>
  <c r="S83" i="42"/>
  <c r="O2" i="24" s="1"/>
  <c r="AB78" i="42"/>
  <c r="X10" i="23" s="1"/>
  <c r="M75" i="42"/>
  <c r="I7" i="23" s="1"/>
  <c r="AB73" i="42"/>
  <c r="X5" i="23" s="1"/>
  <c r="T78" i="42"/>
  <c r="P10" i="23" s="1"/>
  <c r="O83" i="42"/>
  <c r="K2" i="24" s="1"/>
  <c r="AD78" i="42"/>
  <c r="Z10" i="23" s="1"/>
  <c r="V85" i="42"/>
  <c r="R4" i="24" s="1"/>
  <c r="H83" i="42"/>
  <c r="D2" i="24" s="1"/>
  <c r="AF70" i="42"/>
  <c r="AB2" i="23" s="1"/>
  <c r="S73" i="42"/>
  <c r="O5" i="23" s="1"/>
  <c r="L75" i="42"/>
  <c r="H7" i="23" s="1"/>
  <c r="F85" i="42"/>
  <c r="B4" i="24" s="1"/>
  <c r="N78" i="42"/>
  <c r="J10" i="23" s="1"/>
  <c r="Y122" i="42"/>
  <c r="U2" i="27" s="1"/>
  <c r="Q124" i="42"/>
  <c r="M4" i="27" s="1"/>
  <c r="P96" i="42"/>
  <c r="L2" i="25" s="1"/>
  <c r="S75" i="42"/>
  <c r="O7" i="23" s="1"/>
  <c r="N47" i="42"/>
  <c r="J5" i="12" s="1"/>
  <c r="H8" i="42"/>
  <c r="G31" i="42"/>
  <c r="C2" i="11" s="1"/>
  <c r="F65" i="42"/>
  <c r="B10" i="13" s="1"/>
  <c r="M20" i="42"/>
  <c r="I4" i="20" s="1"/>
  <c r="O13" i="42"/>
  <c r="R20" i="42"/>
  <c r="N4" i="20" s="1"/>
  <c r="Q60" i="42"/>
  <c r="M5" i="13" s="1"/>
  <c r="AB10" i="42"/>
  <c r="F5" i="42"/>
  <c r="R52" i="42"/>
  <c r="N10" i="12" s="1"/>
  <c r="G18" i="42"/>
  <c r="C2" i="20" s="1"/>
  <c r="AD31" i="42"/>
  <c r="Z2" i="11" s="1"/>
  <c r="S52" i="42"/>
  <c r="O10" i="12" s="1"/>
  <c r="Y8" i="42"/>
  <c r="AC46" i="42"/>
  <c r="Y4" i="12" s="1"/>
  <c r="AD13" i="42"/>
  <c r="AB8" i="42"/>
  <c r="R57" i="42"/>
  <c r="N2" i="13" s="1"/>
  <c r="F7" i="42"/>
  <c r="I13" i="42"/>
  <c r="AB57" i="42"/>
  <c r="X2" i="13" s="1"/>
  <c r="AC31" i="42"/>
  <c r="Y2" i="11" s="1"/>
  <c r="V52" i="42"/>
  <c r="R10" i="12" s="1"/>
  <c r="L10" i="42"/>
  <c r="AB7" i="42"/>
  <c r="Z47" i="42"/>
  <c r="V5" i="12" s="1"/>
  <c r="AA18" i="42"/>
  <c r="W2" i="20" s="1"/>
  <c r="AD47" i="42"/>
  <c r="Z5" i="12" s="1"/>
  <c r="AC8" i="42"/>
  <c r="Y13" i="42"/>
  <c r="G52" i="42"/>
  <c r="C10" i="12" s="1"/>
  <c r="Y10" i="42"/>
  <c r="AD60" i="42"/>
  <c r="Z5" i="13" s="1"/>
  <c r="P125" i="42"/>
  <c r="L5" i="27" s="1"/>
  <c r="H125" i="42"/>
  <c r="D5" i="27" s="1"/>
  <c r="AD125" i="42"/>
  <c r="Z5" i="27" s="1"/>
  <c r="AB83" i="42"/>
  <c r="X2" i="24" s="1"/>
  <c r="S72" i="42"/>
  <c r="O4" i="23" s="1"/>
  <c r="N117" i="42"/>
  <c r="J10" i="26" s="1"/>
  <c r="S111" i="42"/>
  <c r="O4" i="26" s="1"/>
  <c r="X75" i="42"/>
  <c r="T7" i="23" s="1"/>
  <c r="R73" i="42"/>
  <c r="N5" i="23" s="1"/>
  <c r="Y70" i="42"/>
  <c r="U2" i="23" s="1"/>
  <c r="T85" i="42"/>
  <c r="P4" i="24" s="1"/>
  <c r="U72" i="42"/>
  <c r="Q4" i="23" s="1"/>
  <c r="W125" i="42"/>
  <c r="S5" i="27" s="1"/>
  <c r="F83" i="42"/>
  <c r="B2" i="24" s="1"/>
  <c r="AA52" i="42"/>
  <c r="W10" i="12" s="1"/>
  <c r="M47" i="42"/>
  <c r="I5" i="12" s="1"/>
  <c r="AA5" i="42"/>
  <c r="W2" i="18" s="1"/>
  <c r="O8" i="42"/>
  <c r="T46" i="42"/>
  <c r="P4" i="12" s="1"/>
  <c r="X5" i="42"/>
  <c r="T2" i="18" s="1"/>
  <c r="L60" i="42"/>
  <c r="H5" i="13" s="1"/>
  <c r="Q31" i="42"/>
  <c r="M2" i="11" s="1"/>
  <c r="I52" i="42"/>
  <c r="E10" i="12" s="1"/>
  <c r="AE5" i="42"/>
  <c r="AA2" i="18" s="1"/>
  <c r="Q52" i="42"/>
  <c r="M10" i="12" s="1"/>
  <c r="H57" i="42"/>
  <c r="D2" i="13" s="1"/>
  <c r="V46" i="42"/>
  <c r="R4" i="12" s="1"/>
  <c r="K46" i="42"/>
  <c r="G4" i="12" s="1"/>
  <c r="F18" i="42"/>
  <c r="B2" i="20" s="1"/>
  <c r="Y59" i="42"/>
  <c r="U4" i="13" s="1"/>
  <c r="W46" i="42"/>
  <c r="S4" i="12" s="1"/>
  <c r="N10" i="42"/>
  <c r="K8" i="42"/>
  <c r="X31" i="42"/>
  <c r="T2" i="11" s="1"/>
  <c r="F60" i="42"/>
  <c r="B5" i="13" s="1"/>
  <c r="AE46" i="42"/>
  <c r="AA4" i="12" s="1"/>
  <c r="W83" i="42"/>
  <c r="S2" i="24" s="1"/>
  <c r="Y117" i="42"/>
  <c r="U10" i="26" s="1"/>
  <c r="P117" i="42"/>
  <c r="L10" i="26" s="1"/>
  <c r="R75" i="42"/>
  <c r="N7" i="23" s="1"/>
  <c r="AC75" i="42"/>
  <c r="Y7" i="23" s="1"/>
  <c r="T125" i="42"/>
  <c r="P5" i="27" s="1"/>
  <c r="P130" i="42"/>
  <c r="L10" i="27" s="1"/>
  <c r="N72" i="42"/>
  <c r="J4" i="23" s="1"/>
  <c r="AE70" i="42"/>
  <c r="AA2" i="23" s="1"/>
  <c r="Z96" i="42"/>
  <c r="V2" i="25" s="1"/>
  <c r="I72" i="42"/>
  <c r="E4" i="23" s="1"/>
  <c r="J70" i="42"/>
  <c r="F2" i="23" s="1"/>
  <c r="K73" i="42"/>
  <c r="G5" i="23" s="1"/>
  <c r="W73" i="42"/>
  <c r="S5" i="23" s="1"/>
  <c r="N65" i="42"/>
  <c r="J10" i="13" s="1"/>
  <c r="F44" i="42"/>
  <c r="B2" i="12" s="1"/>
  <c r="O59" i="42"/>
  <c r="K4" i="13" s="1"/>
  <c r="Z57" i="42"/>
  <c r="V2" i="13" s="1"/>
  <c r="AD65" i="42"/>
  <c r="Z10" i="13" s="1"/>
  <c r="AD18" i="42"/>
  <c r="Z2" i="20" s="1"/>
  <c r="K18" i="42"/>
  <c r="G2" i="20" s="1"/>
  <c r="W59" i="42"/>
  <c r="S4" i="13" s="1"/>
  <c r="S59" i="42"/>
  <c r="O4" i="13" s="1"/>
  <c r="Q13" i="42"/>
  <c r="S5" i="42"/>
  <c r="O2" i="18" s="1"/>
  <c r="H31" i="42"/>
  <c r="D2" i="11" s="1"/>
  <c r="H20" i="42"/>
  <c r="D4" i="20" s="1"/>
  <c r="AC59" i="42"/>
  <c r="Y4" i="13" s="1"/>
  <c r="P31" i="42"/>
  <c r="L2" i="11" s="1"/>
  <c r="M13" i="42"/>
  <c r="F57" i="42"/>
  <c r="B2" i="13" s="1"/>
  <c r="L5" i="42"/>
  <c r="J57" i="42"/>
  <c r="F2" i="13" s="1"/>
  <c r="AE47" i="42"/>
  <c r="AA5" i="12" s="1"/>
  <c r="U13" i="42"/>
  <c r="N57" i="42"/>
  <c r="J2" i="13" s="1"/>
  <c r="Q122" i="42"/>
  <c r="M2" i="27" s="1"/>
  <c r="AC72" i="42"/>
  <c r="Y4" i="23" s="1"/>
  <c r="G8" i="42"/>
  <c r="O57" i="42"/>
  <c r="K2" i="13" s="1"/>
  <c r="W7" i="42"/>
  <c r="AA65" i="42"/>
  <c r="W10" i="13" s="1"/>
  <c r="H5" i="42"/>
  <c r="V75" i="42"/>
  <c r="R7" i="23" s="1"/>
  <c r="AE72" i="42"/>
  <c r="AA4" i="23" s="1"/>
  <c r="W57" i="42"/>
  <c r="S2" i="13" s="1"/>
  <c r="G46" i="42"/>
  <c r="C4" i="12" s="1"/>
  <c r="O52" i="42"/>
  <c r="K10" i="12" s="1"/>
  <c r="X20" i="42"/>
  <c r="T4" i="20" s="1"/>
  <c r="K78" i="42"/>
  <c r="G10" i="23" s="1"/>
  <c r="Q85" i="42"/>
  <c r="M4" i="24" s="1"/>
  <c r="I73" i="42"/>
  <c r="E5" i="23" s="1"/>
  <c r="I130" i="42"/>
  <c r="E10" i="27" s="1"/>
  <c r="H112" i="42"/>
  <c r="D5" i="26" s="1"/>
  <c r="P122" i="42"/>
  <c r="L2" i="27" s="1"/>
  <c r="L124" i="42"/>
  <c r="H4" i="27" s="1"/>
  <c r="Q78" i="42"/>
  <c r="M10" i="23" s="1"/>
  <c r="J78" i="42"/>
  <c r="F10" i="23" s="1"/>
  <c r="T73" i="42"/>
  <c r="P5" i="23" s="1"/>
  <c r="W75" i="42"/>
  <c r="S7" i="23" s="1"/>
  <c r="AD75" i="42"/>
  <c r="Z7" i="23" s="1"/>
  <c r="J125" i="42"/>
  <c r="F5" i="27" s="1"/>
  <c r="I70" i="42"/>
  <c r="E2" i="23" s="1"/>
  <c r="AE57" i="42"/>
  <c r="AA2" i="13" s="1"/>
  <c r="AE13" i="42"/>
  <c r="X8" i="42"/>
  <c r="Z7" i="42"/>
  <c r="AF59" i="42"/>
  <c r="AB4" i="13" s="1"/>
  <c r="AD59" i="42"/>
  <c r="Z4" i="13" s="1"/>
  <c r="U31" i="42"/>
  <c r="Q2" i="11" s="1"/>
  <c r="S20" i="42"/>
  <c r="O4" i="20" s="1"/>
  <c r="AC52" i="42"/>
  <c r="Y10" i="12" s="1"/>
  <c r="AA20" i="42"/>
  <c r="W4" i="20" s="1"/>
  <c r="K13" i="42"/>
  <c r="O47" i="42"/>
  <c r="K5" i="12" s="1"/>
  <c r="O46" i="42"/>
  <c r="K4" i="12" s="1"/>
  <c r="Z20" i="42"/>
  <c r="V4" i="20" s="1"/>
  <c r="F59" i="42"/>
  <c r="B4" i="13" s="1"/>
  <c r="W20" i="42"/>
  <c r="S4" i="20" s="1"/>
  <c r="P60" i="42"/>
  <c r="L5" i="13" s="1"/>
  <c r="Z60" i="42"/>
  <c r="V5" i="13" s="1"/>
  <c r="W13" i="42"/>
  <c r="N59" i="42"/>
  <c r="J4" i="13" s="1"/>
  <c r="AE20" i="42"/>
  <c r="AA4" i="20" s="1"/>
  <c r="X60" i="42"/>
  <c r="T5" i="13" s="1"/>
  <c r="U195" i="42"/>
  <c r="Q10" i="17" s="1"/>
  <c r="K182" i="42"/>
  <c r="G10" i="16" s="1"/>
  <c r="AE73" i="42"/>
  <c r="AA5" i="23" s="1"/>
  <c r="O73" i="42"/>
  <c r="K5" i="23" s="1"/>
  <c r="AB18" i="42"/>
  <c r="X2" i="20" s="1"/>
  <c r="K65" i="42"/>
  <c r="G10" i="13" s="1"/>
  <c r="Q59" i="42"/>
  <c r="M4" i="13" s="1"/>
  <c r="W60" i="42"/>
  <c r="S5" i="13" s="1"/>
  <c r="Y18" i="42"/>
  <c r="U2" i="20" s="1"/>
  <c r="V96" i="42"/>
  <c r="R2" i="25" s="1"/>
  <c r="I75" i="42"/>
  <c r="E7" i="23" s="1"/>
  <c r="AD70" i="42"/>
  <c r="Z2" i="23" s="1"/>
  <c r="J5" i="42"/>
  <c r="Z18" i="42"/>
  <c r="V2" i="20" s="1"/>
  <c r="Z10" i="42"/>
  <c r="G59" i="42"/>
  <c r="C4" i="13" s="1"/>
  <c r="AE96" i="42"/>
  <c r="AA2" i="25" s="1"/>
  <c r="T75" i="42"/>
  <c r="P7" i="23" s="1"/>
  <c r="AE31" i="42"/>
  <c r="AA2" i="11" s="1"/>
  <c r="O65" i="42"/>
  <c r="K10" i="13" s="1"/>
  <c r="H7" i="42"/>
  <c r="N18" i="42"/>
  <c r="J2" i="20" s="1"/>
  <c r="J182" i="42"/>
  <c r="F10" i="16" s="1"/>
  <c r="F70" i="42"/>
  <c r="B2" i="23" s="1"/>
  <c r="G78" i="42"/>
  <c r="C10" i="23" s="1"/>
  <c r="Z78" i="42"/>
  <c r="V10" i="23" s="1"/>
  <c r="Z122" i="42"/>
  <c r="V2" i="27" s="1"/>
  <c r="AF130" i="42"/>
  <c r="AB10" i="27" s="1"/>
  <c r="F112" i="42"/>
  <c r="B5" i="26" s="1"/>
  <c r="AC112" i="42"/>
  <c r="Y5" i="26" s="1"/>
  <c r="G73" i="42"/>
  <c r="C5" i="23" s="1"/>
  <c r="U85" i="42"/>
  <c r="Q4" i="24" s="1"/>
  <c r="AC70" i="42"/>
  <c r="Y2" i="23" s="1"/>
  <c r="R130" i="42"/>
  <c r="N10" i="27" s="1"/>
  <c r="Y96" i="42"/>
  <c r="U2" i="25" s="1"/>
  <c r="N130" i="42"/>
  <c r="J10" i="27" s="1"/>
  <c r="R78" i="42"/>
  <c r="N10" i="23" s="1"/>
  <c r="K5" i="42"/>
  <c r="F52" i="42"/>
  <c r="B10" i="12" s="1"/>
  <c r="G57" i="42"/>
  <c r="C2" i="13" s="1"/>
  <c r="Z31" i="42"/>
  <c r="V2" i="11" s="1"/>
  <c r="AC20" i="42"/>
  <c r="Y4" i="20" s="1"/>
  <c r="L57" i="42"/>
  <c r="H2" i="13" s="1"/>
  <c r="U65" i="42"/>
  <c r="Q10" i="13" s="1"/>
  <c r="Z46" i="42"/>
  <c r="V4" i="12" s="1"/>
  <c r="AA13" i="42"/>
  <c r="AA60" i="42"/>
  <c r="W5" i="13" s="1"/>
  <c r="P7" i="42"/>
  <c r="Y57" i="42"/>
  <c r="U2" i="13" s="1"/>
  <c r="Y52" i="42"/>
  <c r="U10" i="12" s="1"/>
  <c r="S8" i="42"/>
  <c r="P65" i="42"/>
  <c r="L10" i="13" s="1"/>
  <c r="AD46" i="42"/>
  <c r="Z4" i="12" s="1"/>
  <c r="AC47" i="42"/>
  <c r="Y5" i="12" s="1"/>
  <c r="W31" i="42"/>
  <c r="S2" i="11" s="1"/>
  <c r="U7" i="42"/>
  <c r="X65" i="42"/>
  <c r="T10" i="13" s="1"/>
  <c r="K47" i="42"/>
  <c r="G5" i="12" s="1"/>
  <c r="L59" i="42"/>
  <c r="H4" i="13" s="1"/>
  <c r="U143" i="42"/>
  <c r="K195" i="42"/>
  <c r="G10" i="17" s="1"/>
  <c r="L78" i="42"/>
  <c r="H10" i="23" s="1"/>
  <c r="W85" i="42"/>
  <c r="S4" i="24" s="1"/>
  <c r="I5" i="42"/>
  <c r="AF7" i="42"/>
  <c r="V5" i="42"/>
  <c r="R2" i="18" s="1"/>
  <c r="Q18" i="42"/>
  <c r="M2" i="20" s="1"/>
  <c r="T10" i="42"/>
  <c r="U124" i="42"/>
  <c r="Q4" i="27" s="1"/>
  <c r="F122" i="42"/>
  <c r="B2" i="27" s="1"/>
  <c r="P8" i="42"/>
  <c r="M31" i="42"/>
  <c r="I2" i="11" s="1"/>
  <c r="X59" i="42"/>
  <c r="T4" i="13" s="1"/>
  <c r="AA31" i="42"/>
  <c r="W2" i="11" s="1"/>
  <c r="N13" i="42"/>
  <c r="K117" i="42"/>
  <c r="G10" i="26" s="1"/>
  <c r="Z124" i="42"/>
  <c r="V4" i="27" s="1"/>
  <c r="AF13" i="42"/>
  <c r="T47" i="42"/>
  <c r="P5" i="12" s="1"/>
  <c r="AF10" i="42"/>
  <c r="L46" i="42"/>
  <c r="H4" i="12" s="1"/>
  <c r="G125" i="42"/>
  <c r="C5" i="27" s="1"/>
  <c r="I112" i="42"/>
  <c r="E5" i="26" s="1"/>
  <c r="K125" i="42"/>
  <c r="G5" i="27" s="1"/>
  <c r="V112" i="42"/>
  <c r="R5" i="26" s="1"/>
  <c r="AB124" i="42"/>
  <c r="X4" i="27" s="1"/>
  <c r="L112" i="42"/>
  <c r="H5" i="26" s="1"/>
  <c r="AF78" i="42"/>
  <c r="AB10" i="23" s="1"/>
  <c r="M72" i="42"/>
  <c r="I4" i="23" s="1"/>
  <c r="U70" i="42"/>
  <c r="Q2" i="23" s="1"/>
  <c r="AA73" i="42"/>
  <c r="W5" i="23" s="1"/>
  <c r="Y85" i="42"/>
  <c r="U4" i="24" s="1"/>
  <c r="R70" i="42"/>
  <c r="N2" i="23" s="1"/>
  <c r="P85" i="42"/>
  <c r="L4" i="24" s="1"/>
  <c r="AF83" i="42"/>
  <c r="AB2" i="24" s="1"/>
  <c r="Z5" i="42"/>
  <c r="V2" i="18" s="1"/>
  <c r="F8" i="42"/>
  <c r="X46" i="42"/>
  <c r="T4" i="12" s="1"/>
  <c r="H46" i="42"/>
  <c r="D4" i="12" s="1"/>
  <c r="H59" i="42"/>
  <c r="D4" i="13" s="1"/>
  <c r="V60" i="42"/>
  <c r="R5" i="13" s="1"/>
  <c r="P18" i="42"/>
  <c r="L2" i="20" s="1"/>
  <c r="T13" i="42"/>
  <c r="X7" i="42"/>
  <c r="I59" i="42"/>
  <c r="E4" i="13" s="1"/>
  <c r="G7" i="42"/>
  <c r="Z8" i="42"/>
  <c r="P46" i="42"/>
  <c r="L4" i="12" s="1"/>
  <c r="AD5" i="42"/>
  <c r="Z2" i="18" s="1"/>
  <c r="G10" i="42"/>
  <c r="M57" i="42"/>
  <c r="I2" i="13" s="1"/>
  <c r="H10" i="42"/>
  <c r="AD8" i="42"/>
  <c r="Q47" i="42"/>
  <c r="M5" i="12" s="1"/>
  <c r="O10" i="42"/>
  <c r="U57" i="42"/>
  <c r="Q2" i="13" s="1"/>
  <c r="I31" i="42"/>
  <c r="E2" i="11" s="1"/>
  <c r="U182" i="42"/>
  <c r="Q10" i="16" s="1"/>
  <c r="J195" i="42"/>
  <c r="F10" i="17" s="1"/>
  <c r="S70" i="42"/>
  <c r="O2" i="23" s="1"/>
  <c r="I125" i="42"/>
  <c r="E5" i="27" s="1"/>
  <c r="W96" i="42"/>
  <c r="S2" i="25" s="1"/>
  <c r="AB96" i="42"/>
  <c r="X2" i="25" s="1"/>
  <c r="L72" i="42"/>
  <c r="H4" i="23" s="1"/>
  <c r="Y60" i="42"/>
  <c r="U5" i="13" s="1"/>
  <c r="AA47" i="42"/>
  <c r="W5" i="12" s="1"/>
  <c r="S65" i="42"/>
  <c r="O10" i="13" s="1"/>
  <c r="L18" i="42"/>
  <c r="H2" i="20" s="1"/>
  <c r="U5" i="42"/>
  <c r="Q2" i="18" s="1"/>
  <c r="X111" i="42"/>
  <c r="T4" i="26" s="1"/>
  <c r="P70" i="42"/>
  <c r="L2" i="23" s="1"/>
  <c r="M78" i="42"/>
  <c r="I10" i="23" s="1"/>
  <c r="V7" i="42"/>
  <c r="X52" i="42"/>
  <c r="T10" i="12" s="1"/>
  <c r="F13" i="42"/>
  <c r="M46" i="42"/>
  <c r="I4" i="12" s="1"/>
  <c r="G112" i="42"/>
  <c r="C5" i="26" s="1"/>
  <c r="M70" i="42"/>
  <c r="I2" i="23" s="1"/>
  <c r="Y83" i="42"/>
  <c r="U2" i="24" s="1"/>
  <c r="G5" i="42"/>
  <c r="AC18" i="42"/>
  <c r="Y2" i="20" s="1"/>
  <c r="AE18" i="42"/>
  <c r="AA2" i="20" s="1"/>
  <c r="K143" i="42"/>
  <c r="Y130" i="42"/>
  <c r="U10" i="27" s="1"/>
  <c r="AB117" i="42"/>
  <c r="X10" i="26" s="1"/>
  <c r="R117" i="42"/>
  <c r="N10" i="26" s="1"/>
  <c r="L130" i="42"/>
  <c r="H10" i="27" s="1"/>
  <c r="L73" i="42"/>
  <c r="H5" i="23" s="1"/>
  <c r="K52" i="42"/>
  <c r="G10" i="12" s="1"/>
  <c r="X13" i="42"/>
  <c r="O7" i="42"/>
  <c r="H47" i="42"/>
  <c r="D5" i="12" s="1"/>
  <c r="AB31" i="42"/>
  <c r="X2" i="11" s="1"/>
  <c r="AE60" i="42"/>
  <c r="AA5" i="13" s="1"/>
  <c r="J143" i="42"/>
  <c r="AC83" i="42"/>
  <c r="Y2" i="24" s="1"/>
  <c r="J73" i="42"/>
  <c r="F5" i="23" s="1"/>
  <c r="H130" i="42"/>
  <c r="D10" i="27" s="1"/>
  <c r="U18" i="42"/>
  <c r="Q2" i="20" s="1"/>
  <c r="N5" i="42"/>
  <c r="AD10" i="42"/>
  <c r="W65" i="42"/>
  <c r="S10" i="13" s="1"/>
  <c r="L83" i="42"/>
  <c r="H2" i="24" s="1"/>
  <c r="AF117" i="42"/>
  <c r="AB10" i="26" s="1"/>
  <c r="J31" i="42"/>
  <c r="F2" i="11" s="1"/>
  <c r="Z59" i="42"/>
  <c r="V4" i="13" s="1"/>
  <c r="L7" i="42"/>
  <c r="W52" i="42"/>
  <c r="S10" i="12" s="1"/>
  <c r="AC130" i="42"/>
  <c r="Y10" i="27" s="1"/>
  <c r="W117" i="42"/>
  <c r="S10" i="26" s="1"/>
  <c r="P47" i="42"/>
  <c r="L5" i="12" s="1"/>
  <c r="T60" i="42"/>
  <c r="P5" i="13" s="1"/>
  <c r="P20" i="42"/>
  <c r="L4" i="20" s="1"/>
  <c r="Z195" i="42" l="1"/>
  <c r="V10" i="17" s="1"/>
  <c r="AA20" i="38"/>
  <c r="AA32" i="38" s="1"/>
  <c r="V20" i="38"/>
  <c r="V32" i="38" s="1"/>
  <c r="V143" i="42"/>
  <c r="J20" i="38"/>
  <c r="R20" i="38"/>
  <c r="R32" i="38" s="1"/>
  <c r="AF182" i="42"/>
  <c r="AB10" i="16" s="1"/>
  <c r="AF195" i="42"/>
  <c r="AB10" i="17" s="1"/>
  <c r="O143" i="42"/>
  <c r="H143" i="42"/>
  <c r="Z20" i="38"/>
  <c r="Z32" i="38" s="1"/>
  <c r="O195" i="42"/>
  <c r="K10" i="17" s="1"/>
  <c r="L20" i="38"/>
  <c r="N20" i="38"/>
  <c r="N32" i="38" s="1"/>
  <c r="W20" i="38"/>
  <c r="W32" i="38" s="1"/>
  <c r="Q7" i="21"/>
  <c r="U240" i="42"/>
  <c r="U241" i="42" s="1"/>
  <c r="AA7" i="21"/>
  <c r="AE240" i="42"/>
  <c r="AE241" i="42" s="1"/>
  <c r="L7" i="21"/>
  <c r="P240" i="42"/>
  <c r="P241" i="42" s="1"/>
  <c r="AB7" i="21"/>
  <c r="AF240" i="42"/>
  <c r="AF241" i="42" s="1"/>
  <c r="K7" i="21"/>
  <c r="O240" i="42"/>
  <c r="O241" i="42" s="1"/>
  <c r="V7" i="21"/>
  <c r="Z240" i="42"/>
  <c r="Z241" i="42" s="1"/>
  <c r="M7" i="21"/>
  <c r="Q240" i="42"/>
  <c r="Q241" i="42" s="1"/>
  <c r="I143" i="42"/>
  <c r="O182" i="42"/>
  <c r="K10" i="16" s="1"/>
  <c r="H195" i="42"/>
  <c r="D10" i="17" s="1"/>
  <c r="U20" i="38"/>
  <c r="U32" i="38" s="1"/>
  <c r="S20" i="38"/>
  <c r="S32" i="38" s="1"/>
  <c r="I7" i="21"/>
  <c r="M240" i="42"/>
  <c r="M241" i="42" s="1"/>
  <c r="N7" i="21"/>
  <c r="R240" i="42"/>
  <c r="R241" i="42" s="1"/>
  <c r="P7" i="21"/>
  <c r="T240" i="42"/>
  <c r="T241" i="42" s="1"/>
  <c r="M20" i="38"/>
  <c r="K20" i="38"/>
  <c r="O7" i="21"/>
  <c r="S240" i="42"/>
  <c r="S241" i="42" s="1"/>
  <c r="B7" i="21"/>
  <c r="F240" i="42"/>
  <c r="F241" i="42" s="1"/>
  <c r="R7" i="21"/>
  <c r="V240" i="42"/>
  <c r="V241" i="42" s="1"/>
  <c r="Y7" i="21"/>
  <c r="AC240" i="42"/>
  <c r="AC241" i="42" s="1"/>
  <c r="D7" i="21"/>
  <c r="H240" i="42"/>
  <c r="H241" i="42" s="1"/>
  <c r="T7" i="21"/>
  <c r="X240" i="42"/>
  <c r="X241" i="42" s="1"/>
  <c r="S7" i="21"/>
  <c r="W240" i="42"/>
  <c r="W241" i="42" s="1"/>
  <c r="E7" i="21"/>
  <c r="I240" i="42"/>
  <c r="I241" i="42" s="1"/>
  <c r="Y240" i="42"/>
  <c r="Y241" i="42" s="1"/>
  <c r="U7" i="21"/>
  <c r="AD20" i="38"/>
  <c r="AD32" i="38" s="1"/>
  <c r="C7" i="21"/>
  <c r="G240" i="42"/>
  <c r="G241" i="42" s="1"/>
  <c r="W7" i="21"/>
  <c r="AA240" i="42"/>
  <c r="AA241" i="42" s="1"/>
  <c r="H7" i="21"/>
  <c r="L240" i="42"/>
  <c r="L241" i="42" s="1"/>
  <c r="X7" i="21"/>
  <c r="AB240" i="42"/>
  <c r="AB241" i="42" s="1"/>
  <c r="G7" i="21"/>
  <c r="K240" i="42"/>
  <c r="K241" i="42" s="1"/>
  <c r="F7" i="21"/>
  <c r="J240" i="42"/>
  <c r="J241" i="42" s="1"/>
  <c r="N240" i="42"/>
  <c r="N241" i="42" s="1"/>
  <c r="J7" i="21"/>
  <c r="Z7" i="21"/>
  <c r="AD240" i="42"/>
  <c r="AD241" i="42" s="1"/>
  <c r="I195" i="42"/>
  <c r="E10" i="17" s="1"/>
  <c r="I182" i="42"/>
  <c r="E10" i="16" s="1"/>
  <c r="Y195" i="42"/>
  <c r="U10" i="17" s="1"/>
  <c r="Y143" i="42"/>
  <c r="H182" i="42"/>
  <c r="D10" i="16" s="1"/>
  <c r="Y182" i="42"/>
  <c r="U10" i="16" s="1"/>
  <c r="P195" i="42"/>
  <c r="L10" i="17" s="1"/>
  <c r="P182" i="42"/>
  <c r="L10" i="16" s="1"/>
  <c r="AE143" i="42"/>
  <c r="T182" i="42"/>
  <c r="P10" i="16" s="1"/>
  <c r="T195" i="42"/>
  <c r="P10" i="17" s="1"/>
  <c r="AE195" i="42"/>
  <c r="AA10" i="17" s="1"/>
  <c r="W143" i="42"/>
  <c r="S10" i="21" s="1"/>
  <c r="F143" i="42"/>
  <c r="B10" i="21" s="1"/>
  <c r="N195" i="42"/>
  <c r="J10" i="17" s="1"/>
  <c r="M143" i="42"/>
  <c r="AD195" i="42"/>
  <c r="Z10" i="17" s="1"/>
  <c r="Q182" i="42"/>
  <c r="M10" i="16" s="1"/>
  <c r="V195" i="42"/>
  <c r="R10" i="17" s="1"/>
  <c r="F195" i="42"/>
  <c r="B10" i="17" s="1"/>
  <c r="T143" i="42"/>
  <c r="L182" i="42"/>
  <c r="H10" i="16" s="1"/>
  <c r="P143" i="42"/>
  <c r="L10" i="21" s="1"/>
  <c r="F182" i="42"/>
  <c r="B10" i="16" s="1"/>
  <c r="W182" i="42"/>
  <c r="S10" i="16" s="1"/>
  <c r="X143" i="42"/>
  <c r="AB143" i="42"/>
  <c r="V182" i="42"/>
  <c r="R10" i="16" s="1"/>
  <c r="W195" i="42"/>
  <c r="S10" i="17" s="1"/>
  <c r="L195" i="42"/>
  <c r="H10" i="17" s="1"/>
  <c r="AB195" i="42"/>
  <c r="X10" i="17" s="1"/>
  <c r="AE182" i="42"/>
  <c r="AA10" i="16" s="1"/>
  <c r="N143" i="42"/>
  <c r="R182" i="42"/>
  <c r="N10" i="16" s="1"/>
  <c r="N182" i="42"/>
  <c r="J10" i="16" s="1"/>
  <c r="AB182" i="42"/>
  <c r="X10" i="16" s="1"/>
  <c r="R143" i="42"/>
  <c r="X182" i="42"/>
  <c r="T10" i="16" s="1"/>
  <c r="L143" i="42"/>
  <c r="H10" i="21" s="1"/>
  <c r="X195" i="42"/>
  <c r="T10" i="17" s="1"/>
  <c r="M182" i="42"/>
  <c r="I10" i="16" s="1"/>
  <c r="Q195" i="42"/>
  <c r="M10" i="17" s="1"/>
  <c r="M195" i="42"/>
  <c r="I10" i="17" s="1"/>
  <c r="Q143" i="42"/>
  <c r="AC143" i="42"/>
  <c r="S195" i="42"/>
  <c r="O10" i="17" s="1"/>
  <c r="AD182" i="42"/>
  <c r="Z10" i="16" s="1"/>
  <c r="G195" i="42"/>
  <c r="C10" i="17" s="1"/>
  <c r="Z143" i="42"/>
  <c r="AA143" i="42"/>
  <c r="W10" i="21" s="1"/>
  <c r="AA182" i="42"/>
  <c r="W10" i="16" s="1"/>
  <c r="Z182" i="42"/>
  <c r="V10" i="16" s="1"/>
  <c r="AD143" i="42"/>
  <c r="Z10" i="21" s="1"/>
  <c r="G143" i="42"/>
  <c r="C10" i="21" s="1"/>
  <c r="S182" i="42"/>
  <c r="O10" i="16" s="1"/>
  <c r="R195" i="42"/>
  <c r="N10" i="17" s="1"/>
  <c r="AC195" i="42"/>
  <c r="Y10" i="17" s="1"/>
  <c r="S143" i="42"/>
  <c r="O10" i="21" s="1"/>
  <c r="G182" i="42"/>
  <c r="C10" i="16" s="1"/>
  <c r="AC182" i="42"/>
  <c r="Y10" i="16" s="1"/>
  <c r="AA195" i="42"/>
  <c r="W10" i="17" s="1"/>
  <c r="O218" i="42"/>
  <c r="O219" i="42" s="1"/>
  <c r="K7" i="18"/>
  <c r="V5" i="18"/>
  <c r="Z210" i="42"/>
  <c r="Z211" i="42" s="1"/>
  <c r="AB10" i="18"/>
  <c r="AF214" i="42"/>
  <c r="AF215" i="42" s="1"/>
  <c r="L5" i="18"/>
  <c r="P210" i="42"/>
  <c r="P211" i="42" s="1"/>
  <c r="AB4" i="18"/>
  <c r="AF206" i="42"/>
  <c r="AF207" i="42" s="1"/>
  <c r="U236" i="42"/>
  <c r="U237" i="42" s="1"/>
  <c r="Q10" i="21"/>
  <c r="AA214" i="42"/>
  <c r="AA215" i="42" s="1"/>
  <c r="W10" i="18"/>
  <c r="G2" i="18"/>
  <c r="AB10" i="21"/>
  <c r="AF236" i="42"/>
  <c r="AF237" i="42" s="1"/>
  <c r="S4" i="18"/>
  <c r="W206" i="42"/>
  <c r="W207" i="42" s="1"/>
  <c r="I10" i="18"/>
  <c r="M214" i="42"/>
  <c r="M215" i="42" s="1"/>
  <c r="E5" i="18"/>
  <c r="I210" i="42"/>
  <c r="I211" i="42" s="1"/>
  <c r="N10" i="18"/>
  <c r="R214" i="42"/>
  <c r="R215" i="42" s="1"/>
  <c r="O7" i="18"/>
  <c r="S218" i="42"/>
  <c r="S219" i="42" s="1"/>
  <c r="G4" i="18"/>
  <c r="K206" i="42"/>
  <c r="K207" i="42" s="1"/>
  <c r="T7" i="18"/>
  <c r="X218" i="42"/>
  <c r="X219" i="42" s="1"/>
  <c r="W5" i="18"/>
  <c r="AA210" i="42"/>
  <c r="AA211" i="42" s="1"/>
  <c r="G7" i="18"/>
  <c r="K218" i="42"/>
  <c r="K219" i="42" s="1"/>
  <c r="X4" i="21"/>
  <c r="AB228" i="42"/>
  <c r="AB229" i="42" s="1"/>
  <c r="E5" i="21"/>
  <c r="I232" i="42"/>
  <c r="I233" i="42" s="1"/>
  <c r="AA2" i="21"/>
  <c r="AE224" i="42"/>
  <c r="AE225" i="42" s="1"/>
  <c r="E4" i="21"/>
  <c r="I228" i="42"/>
  <c r="I229" i="42" s="1"/>
  <c r="S4" i="21"/>
  <c r="W228" i="42"/>
  <c r="W229" i="42" s="1"/>
  <c r="K5" i="21"/>
  <c r="O232" i="42"/>
  <c r="O233" i="42" s="1"/>
  <c r="J4" i="21"/>
  <c r="N228" i="42"/>
  <c r="N229" i="42" s="1"/>
  <c r="AA228" i="42"/>
  <c r="AA229" i="42" s="1"/>
  <c r="W4" i="21"/>
  <c r="D5" i="21"/>
  <c r="H232" i="42"/>
  <c r="H233" i="42" s="1"/>
  <c r="P228" i="42"/>
  <c r="P229" i="42" s="1"/>
  <c r="L4" i="21"/>
  <c r="Y10" i="21"/>
  <c r="K4" i="18"/>
  <c r="O206" i="42"/>
  <c r="O207" i="42" s="1"/>
  <c r="T10" i="18"/>
  <c r="X214" i="42"/>
  <c r="X215" i="42" s="1"/>
  <c r="C4" i="18"/>
  <c r="G206" i="42"/>
  <c r="G207" i="42" s="1"/>
  <c r="E2" i="18"/>
  <c r="J10" i="21"/>
  <c r="U10" i="18"/>
  <c r="Y214" i="42"/>
  <c r="Y215" i="42" s="1"/>
  <c r="U5" i="18"/>
  <c r="Y210" i="42"/>
  <c r="Y211" i="42" s="1"/>
  <c r="Q218" i="42"/>
  <c r="Q219" i="42" s="1"/>
  <c r="M7" i="18"/>
  <c r="R7" i="18"/>
  <c r="V218" i="42"/>
  <c r="V219" i="42" s="1"/>
  <c r="R5" i="18"/>
  <c r="V210" i="42"/>
  <c r="V211" i="42" s="1"/>
  <c r="B7" i="18"/>
  <c r="F218" i="42"/>
  <c r="F219" i="42" s="1"/>
  <c r="J5" i="18"/>
  <c r="N210" i="42"/>
  <c r="N211" i="42" s="1"/>
  <c r="L10" i="18"/>
  <c r="P214" i="42"/>
  <c r="P215" i="42" s="1"/>
  <c r="F4" i="18"/>
  <c r="J206" i="42"/>
  <c r="J207" i="42" s="1"/>
  <c r="C10" i="18"/>
  <c r="G214" i="42"/>
  <c r="G215" i="42" s="1"/>
  <c r="P5" i="18"/>
  <c r="T210" i="42"/>
  <c r="T211" i="42" s="1"/>
  <c r="R10" i="18"/>
  <c r="V214" i="42"/>
  <c r="V215" i="42" s="1"/>
  <c r="AC228" i="42"/>
  <c r="AC229" i="42" s="1"/>
  <c r="Y4" i="21"/>
  <c r="R232" i="42"/>
  <c r="R233" i="42" s="1"/>
  <c r="N5" i="21"/>
  <c r="AB2" i="21"/>
  <c r="AF224" i="42"/>
  <c r="AF225" i="42" s="1"/>
  <c r="AA4" i="21"/>
  <c r="AE228" i="42"/>
  <c r="AE229" i="42" s="1"/>
  <c r="V2" i="21"/>
  <c r="Z224" i="42"/>
  <c r="Z225" i="42" s="1"/>
  <c r="Y2" i="21"/>
  <c r="AC224" i="42"/>
  <c r="AC225" i="42" s="1"/>
  <c r="B2" i="21"/>
  <c r="F224" i="42"/>
  <c r="F225" i="42" s="1"/>
  <c r="G10" i="21"/>
  <c r="K236" i="42"/>
  <c r="K237" i="42" s="1"/>
  <c r="Z5" i="18"/>
  <c r="AD210" i="42"/>
  <c r="AD211" i="42" s="1"/>
  <c r="B5" i="18"/>
  <c r="F210" i="42"/>
  <c r="F211" i="42" s="1"/>
  <c r="V236" i="42"/>
  <c r="V237" i="42" s="1"/>
  <c r="R10" i="21"/>
  <c r="V10" i="21"/>
  <c r="C5" i="18"/>
  <c r="G210" i="42"/>
  <c r="G211" i="42" s="1"/>
  <c r="M10" i="21"/>
  <c r="Y5" i="18"/>
  <c r="AC210" i="42"/>
  <c r="AC211" i="42" s="1"/>
  <c r="K10" i="18"/>
  <c r="O214" i="42"/>
  <c r="O215" i="42" s="1"/>
  <c r="I2" i="18"/>
  <c r="N7" i="18"/>
  <c r="R218" i="42"/>
  <c r="R219" i="42" s="1"/>
  <c r="U4" i="18"/>
  <c r="Y206" i="42"/>
  <c r="Y207" i="42" s="1"/>
  <c r="AA7" i="18"/>
  <c r="AE218" i="42"/>
  <c r="AE219" i="42" s="1"/>
  <c r="AC218" i="42"/>
  <c r="AC219" i="42" s="1"/>
  <c r="Y7" i="18"/>
  <c r="V10" i="18"/>
  <c r="Z214" i="42"/>
  <c r="Z215" i="42" s="1"/>
  <c r="W7" i="18"/>
  <c r="AA218" i="42"/>
  <c r="AA219" i="42" s="1"/>
  <c r="AE210" i="42"/>
  <c r="AE211" i="42" s="1"/>
  <c r="AA5" i="18"/>
  <c r="J218" i="42"/>
  <c r="J219" i="42" s="1"/>
  <c r="F7" i="18"/>
  <c r="I2" i="21"/>
  <c r="M224" i="42"/>
  <c r="M225" i="42" s="1"/>
  <c r="Z5" i="21"/>
  <c r="AD232" i="42"/>
  <c r="AD233" i="42" s="1"/>
  <c r="AB4" i="21"/>
  <c r="AF228" i="42"/>
  <c r="AF229" i="42" s="1"/>
  <c r="M2" i="21"/>
  <c r="Q224" i="42"/>
  <c r="Q225" i="42" s="1"/>
  <c r="M5" i="21"/>
  <c r="Q232" i="42"/>
  <c r="Q233" i="42" s="1"/>
  <c r="S2" i="21"/>
  <c r="W224" i="42"/>
  <c r="W225" i="42" s="1"/>
  <c r="T2" i="21"/>
  <c r="X224" i="42"/>
  <c r="X225" i="42" s="1"/>
  <c r="S5" i="21"/>
  <c r="W232" i="42"/>
  <c r="W233" i="42" s="1"/>
  <c r="H5" i="21"/>
  <c r="L232" i="42"/>
  <c r="L233" i="42" s="1"/>
  <c r="N2" i="21"/>
  <c r="R224" i="42"/>
  <c r="R225" i="42" s="1"/>
  <c r="P5" i="21"/>
  <c r="T232" i="42"/>
  <c r="T233" i="42" s="1"/>
  <c r="F2" i="21"/>
  <c r="J224" i="42"/>
  <c r="J225" i="42" s="1"/>
  <c r="Q2" i="21"/>
  <c r="U224" i="42"/>
  <c r="U225" i="42" s="1"/>
  <c r="L5" i="21"/>
  <c r="P232" i="42"/>
  <c r="P233" i="42" s="1"/>
  <c r="AB20" i="38"/>
  <c r="AB32" i="38" s="1"/>
  <c r="Y20" i="38"/>
  <c r="Y32" i="38" s="1"/>
  <c r="K10" i="21"/>
  <c r="J236" i="42"/>
  <c r="J237" i="42" s="1"/>
  <c r="F10" i="21"/>
  <c r="B10" i="18"/>
  <c r="F214" i="42"/>
  <c r="F215" i="42" s="1"/>
  <c r="D7" i="18"/>
  <c r="H218" i="42"/>
  <c r="H219" i="42" s="1"/>
  <c r="T4" i="18"/>
  <c r="X206" i="42"/>
  <c r="X207" i="42" s="1"/>
  <c r="O5" i="18"/>
  <c r="S210" i="42"/>
  <c r="S211" i="42" s="1"/>
  <c r="D4" i="18"/>
  <c r="H206" i="42"/>
  <c r="H207" i="42" s="1"/>
  <c r="V4" i="18"/>
  <c r="Z206" i="42"/>
  <c r="Z207" i="42" s="1"/>
  <c r="E10" i="21"/>
  <c r="Q10" i="18"/>
  <c r="U214" i="42"/>
  <c r="U215" i="42" s="1"/>
  <c r="I214" i="42"/>
  <c r="I215" i="42" s="1"/>
  <c r="E10" i="18"/>
  <c r="N4" i="18"/>
  <c r="R206" i="42"/>
  <c r="R207" i="42" s="1"/>
  <c r="O10" i="18"/>
  <c r="S214" i="42"/>
  <c r="S215" i="42" s="1"/>
  <c r="I218" i="42"/>
  <c r="I219" i="42" s="1"/>
  <c r="E7" i="18"/>
  <c r="W218" i="42"/>
  <c r="W219" i="42" s="1"/>
  <c r="S7" i="18"/>
  <c r="I4" i="18"/>
  <c r="M206" i="42"/>
  <c r="M207" i="42" s="1"/>
  <c r="AA4" i="18"/>
  <c r="AE206" i="42"/>
  <c r="AE207" i="42" s="1"/>
  <c r="W5" i="21"/>
  <c r="AA232" i="42"/>
  <c r="AA233" i="42" s="1"/>
  <c r="N4" i="21"/>
  <c r="R228" i="42"/>
  <c r="R229" i="42" s="1"/>
  <c r="Z2" i="21"/>
  <c r="AD224" i="42"/>
  <c r="AD225" i="42" s="1"/>
  <c r="AB5" i="21"/>
  <c r="AF232" i="42"/>
  <c r="AF233" i="42" s="1"/>
  <c r="I5" i="21"/>
  <c r="M232" i="42"/>
  <c r="M233" i="42" s="1"/>
  <c r="E2" i="21"/>
  <c r="I224" i="42"/>
  <c r="I225" i="42" s="1"/>
  <c r="V5" i="21"/>
  <c r="Z232" i="42"/>
  <c r="Z233" i="42" s="1"/>
  <c r="M4" i="21"/>
  <c r="Q228" i="42"/>
  <c r="Q229" i="42" s="1"/>
  <c r="U5" i="21"/>
  <c r="Y232" i="42"/>
  <c r="Y233" i="42" s="1"/>
  <c r="O224" i="42"/>
  <c r="O225" i="42" s="1"/>
  <c r="K2" i="21"/>
  <c r="AA5" i="21"/>
  <c r="AE232" i="42"/>
  <c r="AE233" i="42" s="1"/>
  <c r="X5" i="21"/>
  <c r="AB232" i="42"/>
  <c r="AB233" i="42" s="1"/>
  <c r="F4" i="21"/>
  <c r="J228" i="42"/>
  <c r="J229" i="42" s="1"/>
  <c r="X20" i="38"/>
  <c r="X32" i="38" s="1"/>
  <c r="P20" i="38"/>
  <c r="P32" i="38" s="1"/>
  <c r="Q20" i="38"/>
  <c r="Q32" i="38" s="1"/>
  <c r="T214" i="42"/>
  <c r="T215" i="42" s="1"/>
  <c r="P10" i="18"/>
  <c r="J10" i="18"/>
  <c r="N214" i="42"/>
  <c r="N215" i="42" s="1"/>
  <c r="V7" i="18"/>
  <c r="Z218" i="42"/>
  <c r="Z219" i="42" s="1"/>
  <c r="S10" i="18"/>
  <c r="W214" i="42"/>
  <c r="W215" i="42" s="1"/>
  <c r="G10" i="18"/>
  <c r="K214" i="42"/>
  <c r="K215" i="42" s="1"/>
  <c r="T5" i="18"/>
  <c r="X210" i="42"/>
  <c r="X211" i="42" s="1"/>
  <c r="K5" i="18"/>
  <c r="O210" i="42"/>
  <c r="O211" i="42" s="1"/>
  <c r="B4" i="18"/>
  <c r="F206" i="42"/>
  <c r="F207" i="42" s="1"/>
  <c r="S5" i="18"/>
  <c r="W210" i="42"/>
  <c r="W211" i="42" s="1"/>
  <c r="R210" i="42"/>
  <c r="R211" i="42" s="1"/>
  <c r="N5" i="18"/>
  <c r="D10" i="18"/>
  <c r="H214" i="42"/>
  <c r="H215" i="42" s="1"/>
  <c r="U2" i="21"/>
  <c r="Y224" i="42"/>
  <c r="Y225" i="42" s="1"/>
  <c r="J2" i="21"/>
  <c r="N224" i="42"/>
  <c r="N225" i="42" s="1"/>
  <c r="C4" i="21"/>
  <c r="G228" i="42"/>
  <c r="G229" i="42" s="1"/>
  <c r="U4" i="21"/>
  <c r="Y228" i="42"/>
  <c r="Y229" i="42" s="1"/>
  <c r="L2" i="21"/>
  <c r="P224" i="42"/>
  <c r="P225" i="42" s="1"/>
  <c r="G224" i="42"/>
  <c r="G225" i="42" s="1"/>
  <c r="C2" i="21"/>
  <c r="I4" i="21"/>
  <c r="M228" i="42"/>
  <c r="M229" i="42" s="1"/>
  <c r="D35" i="38"/>
  <c r="D34" i="38"/>
  <c r="J201" i="42"/>
  <c r="H34" i="38"/>
  <c r="H35" i="38"/>
  <c r="I27" i="38"/>
  <c r="I20" i="38"/>
  <c r="H4" i="18"/>
  <c r="L206" i="42"/>
  <c r="L207" i="42" s="1"/>
  <c r="Z7" i="18"/>
  <c r="AD218" i="42"/>
  <c r="AD219" i="42" s="1"/>
  <c r="C2" i="18"/>
  <c r="R4" i="18"/>
  <c r="V206" i="42"/>
  <c r="V207" i="42" s="1"/>
  <c r="C7" i="18"/>
  <c r="G218" i="42"/>
  <c r="G219" i="42" s="1"/>
  <c r="P7" i="18"/>
  <c r="T218" i="42"/>
  <c r="T219" i="42" s="1"/>
  <c r="X10" i="21"/>
  <c r="AA10" i="18"/>
  <c r="AE214" i="42"/>
  <c r="AE215" i="42" s="1"/>
  <c r="G5" i="18"/>
  <c r="K210" i="42"/>
  <c r="K211" i="42" s="1"/>
  <c r="L7" i="18"/>
  <c r="P218" i="42"/>
  <c r="P219" i="42" s="1"/>
  <c r="J214" i="42"/>
  <c r="J215" i="42" s="1"/>
  <c r="F10" i="18"/>
  <c r="W4" i="18"/>
  <c r="AA206" i="42"/>
  <c r="AA207" i="42" s="1"/>
  <c r="O5" i="21"/>
  <c r="S232" i="42"/>
  <c r="S233" i="42" s="1"/>
  <c r="Z228" i="42"/>
  <c r="Z229" i="42" s="1"/>
  <c r="V4" i="21"/>
  <c r="X2" i="21"/>
  <c r="AB224" i="42"/>
  <c r="AB225" i="42" s="1"/>
  <c r="G4" i="21"/>
  <c r="K228" i="42"/>
  <c r="K229" i="42" s="1"/>
  <c r="B5" i="21"/>
  <c r="F232" i="42"/>
  <c r="F233" i="42" s="1"/>
  <c r="D2" i="21"/>
  <c r="H224" i="42"/>
  <c r="H225" i="42" s="1"/>
  <c r="J5" i="21"/>
  <c r="N232" i="42"/>
  <c r="N233" i="42" s="1"/>
  <c r="H4" i="21"/>
  <c r="L228" i="42"/>
  <c r="L229" i="42" s="1"/>
  <c r="U228" i="42"/>
  <c r="U229" i="42" s="1"/>
  <c r="Q4" i="21"/>
  <c r="W2" i="21"/>
  <c r="AA224" i="42"/>
  <c r="AA225" i="42" s="1"/>
  <c r="F35" i="38"/>
  <c r="H201" i="42"/>
  <c r="F34" i="38"/>
  <c r="E35" i="38"/>
  <c r="G201" i="42"/>
  <c r="E34" i="38"/>
  <c r="J2" i="18"/>
  <c r="AB7" i="18"/>
  <c r="AF218" i="42"/>
  <c r="AF219" i="42" s="1"/>
  <c r="Q4" i="18"/>
  <c r="U206" i="42"/>
  <c r="U207" i="42" s="1"/>
  <c r="L4" i="18"/>
  <c r="P206" i="42"/>
  <c r="P207" i="42" s="1"/>
  <c r="F2" i="18"/>
  <c r="D2" i="18"/>
  <c r="H2" i="18"/>
  <c r="M10" i="18"/>
  <c r="Q214" i="42"/>
  <c r="Q215" i="42" s="1"/>
  <c r="J7" i="18"/>
  <c r="N218" i="42"/>
  <c r="N219" i="42" s="1"/>
  <c r="X4" i="18"/>
  <c r="AB206" i="42"/>
  <c r="AB207" i="42" s="1"/>
  <c r="X5" i="18"/>
  <c r="AB210" i="42"/>
  <c r="AB211" i="42" s="1"/>
  <c r="B2" i="18"/>
  <c r="F202" i="42"/>
  <c r="F203" i="42" s="1"/>
  <c r="D5" i="18"/>
  <c r="H210" i="42"/>
  <c r="H211" i="42" s="1"/>
  <c r="P4" i="18"/>
  <c r="T206" i="42"/>
  <c r="T207" i="42" s="1"/>
  <c r="Y4" i="18"/>
  <c r="AC206" i="42"/>
  <c r="AC207" i="42" s="1"/>
  <c r="R2" i="21"/>
  <c r="V224" i="42"/>
  <c r="V225" i="42" s="1"/>
  <c r="I5" i="18"/>
  <c r="M210" i="42"/>
  <c r="M211" i="42" s="1"/>
  <c r="Z4" i="18"/>
  <c r="AD206" i="42"/>
  <c r="AD207" i="42" s="1"/>
  <c r="J4" i="18"/>
  <c r="N206" i="42"/>
  <c r="N207" i="42" s="1"/>
  <c r="G5" i="21"/>
  <c r="K232" i="42"/>
  <c r="K233" i="42" s="1"/>
  <c r="T4" i="21"/>
  <c r="X228" i="42"/>
  <c r="X229" i="42" s="1"/>
  <c r="B4" i="21"/>
  <c r="F228" i="42"/>
  <c r="F229" i="42" s="1"/>
  <c r="K2" i="18"/>
  <c r="H10" i="18"/>
  <c r="L214" i="42"/>
  <c r="L215" i="42" s="1"/>
  <c r="R4" i="21"/>
  <c r="V228" i="42"/>
  <c r="V229" i="42" s="1"/>
  <c r="K4" i="21"/>
  <c r="O228" i="42"/>
  <c r="O229" i="42" s="1"/>
  <c r="C5" i="21"/>
  <c r="G232" i="42"/>
  <c r="G233" i="42" s="1"/>
  <c r="U232" i="42"/>
  <c r="U233" i="42" s="1"/>
  <c r="Q5" i="21"/>
  <c r="P2" i="21"/>
  <c r="T224" i="42"/>
  <c r="T225" i="42" s="1"/>
  <c r="V232" i="42"/>
  <c r="V233" i="42" s="1"/>
  <c r="R5" i="21"/>
  <c r="O20" i="38"/>
  <c r="O32" i="38" s="1"/>
  <c r="AA10" i="21"/>
  <c r="U10" i="21"/>
  <c r="U7" i="18"/>
  <c r="Y218" i="42"/>
  <c r="Y219" i="42" s="1"/>
  <c r="H7" i="18"/>
  <c r="L218" i="42"/>
  <c r="L219" i="42" s="1"/>
  <c r="Z10" i="18"/>
  <c r="AD214" i="42"/>
  <c r="AD215" i="42" s="1"/>
  <c r="X7" i="18"/>
  <c r="AB218" i="42"/>
  <c r="AB219" i="42" s="1"/>
  <c r="H5" i="18"/>
  <c r="L210" i="42"/>
  <c r="L211" i="42" s="1"/>
  <c r="AB5" i="18"/>
  <c r="AF210" i="42"/>
  <c r="AF211" i="42" s="1"/>
  <c r="I7" i="18"/>
  <c r="M218" i="42"/>
  <c r="M219" i="42" s="1"/>
  <c r="X10" i="18"/>
  <c r="AB214" i="42"/>
  <c r="AB215" i="42" s="1"/>
  <c r="M4" i="18"/>
  <c r="Q206" i="42"/>
  <c r="Q207" i="42" s="1"/>
  <c r="O4" i="18"/>
  <c r="S206" i="42"/>
  <c r="S207" i="42" s="1"/>
  <c r="F5" i="18"/>
  <c r="J210" i="42"/>
  <c r="J211" i="42" s="1"/>
  <c r="Q7" i="18"/>
  <c r="U218" i="42"/>
  <c r="U219" i="42" s="1"/>
  <c r="Q5" i="18"/>
  <c r="U210" i="42"/>
  <c r="U211" i="42" s="1"/>
  <c r="E4" i="18"/>
  <c r="I206" i="42"/>
  <c r="I207" i="42" s="1"/>
  <c r="Y10" i="18"/>
  <c r="AC214" i="42"/>
  <c r="AC215" i="42" s="1"/>
  <c r="O2" i="21"/>
  <c r="S224" i="42"/>
  <c r="S225" i="42" s="1"/>
  <c r="T5" i="21"/>
  <c r="X232" i="42"/>
  <c r="X233" i="42" s="1"/>
  <c r="M5" i="18"/>
  <c r="Q210" i="42"/>
  <c r="Q211" i="42" s="1"/>
  <c r="J232" i="42"/>
  <c r="J233" i="42" s="1"/>
  <c r="F5" i="21"/>
  <c r="G2" i="21"/>
  <c r="K224" i="42"/>
  <c r="K225" i="42" s="1"/>
  <c r="Z4" i="21"/>
  <c r="AD228" i="42"/>
  <c r="AD229" i="42" s="1"/>
  <c r="Y5" i="21"/>
  <c r="AC232" i="42"/>
  <c r="AC233" i="42" s="1"/>
  <c r="O4" i="21"/>
  <c r="S228" i="42"/>
  <c r="S229" i="42" s="1"/>
  <c r="H2" i="21"/>
  <c r="L224" i="42"/>
  <c r="L225" i="42" s="1"/>
  <c r="D4" i="21"/>
  <c r="H228" i="42"/>
  <c r="H229" i="42" s="1"/>
  <c r="P4" i="21"/>
  <c r="T228" i="42"/>
  <c r="T229" i="42" s="1"/>
  <c r="I201" i="42"/>
  <c r="G35" i="38"/>
  <c r="G34" i="38"/>
  <c r="H236" i="42" l="1"/>
  <c r="H237" i="42" s="1"/>
  <c r="Y236" i="42"/>
  <c r="Y237" i="42" s="1"/>
  <c r="D10" i="21"/>
  <c r="L236" i="42"/>
  <c r="L237" i="42" s="1"/>
  <c r="O236" i="42"/>
  <c r="O237" i="42" s="1"/>
  <c r="T236" i="42"/>
  <c r="T237" i="42" s="1"/>
  <c r="Q236" i="42"/>
  <c r="Q237" i="42" s="1"/>
  <c r="I236" i="42"/>
  <c r="I237" i="42" s="1"/>
  <c r="M236" i="42"/>
  <c r="M237" i="42" s="1"/>
  <c r="F236" i="42"/>
  <c r="F237" i="42" s="1"/>
  <c r="R236" i="42"/>
  <c r="R237" i="42" s="1"/>
  <c r="N236" i="42"/>
  <c r="N237" i="42" s="1"/>
  <c r="I10" i="21"/>
  <c r="AE236" i="42"/>
  <c r="AE237" i="42" s="1"/>
  <c r="X236" i="42"/>
  <c r="X237" i="42" s="1"/>
  <c r="T10" i="21"/>
  <c r="W236" i="42"/>
  <c r="W237" i="42" s="1"/>
  <c r="P10" i="21"/>
  <c r="N10" i="21"/>
  <c r="S236" i="42"/>
  <c r="S237" i="42" s="1"/>
  <c r="AD236" i="42"/>
  <c r="AD237" i="42" s="1"/>
  <c r="P236" i="42"/>
  <c r="P237" i="42" s="1"/>
  <c r="AB236" i="42"/>
  <c r="AB237" i="42" s="1"/>
  <c r="G236" i="42"/>
  <c r="G237" i="42" s="1"/>
  <c r="Z236" i="42"/>
  <c r="Z237" i="42" s="1"/>
  <c r="AA236" i="42"/>
  <c r="AA237" i="42" s="1"/>
  <c r="AC236" i="42"/>
  <c r="AC237" i="42" s="1"/>
  <c r="G44" i="42"/>
  <c r="G109" i="42"/>
  <c r="C2" i="26" s="1"/>
  <c r="H44" i="42"/>
  <c r="H109" i="42"/>
  <c r="D2" i="26" s="1"/>
  <c r="J27" i="38"/>
  <c r="I29" i="38"/>
  <c r="I28" i="38"/>
  <c r="J44" i="42"/>
  <c r="J109" i="42"/>
  <c r="F2" i="26" s="1"/>
  <c r="I109" i="42"/>
  <c r="E2" i="26" s="1"/>
  <c r="I44" i="42"/>
  <c r="F2" i="12" l="1"/>
  <c r="J202" i="42"/>
  <c r="J203" i="42" s="1"/>
  <c r="E2" i="12"/>
  <c r="I202" i="42"/>
  <c r="I203" i="42" s="1"/>
  <c r="I30" i="38"/>
  <c r="I31" i="38" s="1"/>
  <c r="I33" i="38" s="1"/>
  <c r="K27" i="38"/>
  <c r="J28" i="38"/>
  <c r="J29" i="38"/>
  <c r="J30" i="38" s="1"/>
  <c r="J31" i="38" s="1"/>
  <c r="J33" i="38" s="1"/>
  <c r="D2" i="12"/>
  <c r="H202" i="42"/>
  <c r="H203" i="42" s="1"/>
  <c r="C2" i="12"/>
  <c r="G202" i="42"/>
  <c r="G203" i="42" s="1"/>
  <c r="L201" i="42" l="1"/>
  <c r="J35" i="38"/>
  <c r="J34" i="38"/>
  <c r="L27" i="38"/>
  <c r="K29" i="38"/>
  <c r="K28" i="38"/>
  <c r="K201" i="42"/>
  <c r="I35" i="38"/>
  <c r="I34" i="38"/>
  <c r="K30" i="38" l="1"/>
  <c r="K31" i="38" s="1"/>
  <c r="K33" i="38" s="1"/>
  <c r="M201" i="42" s="1"/>
  <c r="L29" i="38"/>
  <c r="M27" i="38"/>
  <c r="L28" i="38"/>
  <c r="L44" i="42"/>
  <c r="L109" i="42"/>
  <c r="H2" i="26" s="1"/>
  <c r="K44" i="42"/>
  <c r="K109" i="42"/>
  <c r="G2" i="26" s="1"/>
  <c r="K34" i="38" l="1"/>
  <c r="K35" i="38"/>
  <c r="L30" i="38"/>
  <c r="L31" i="38" s="1"/>
  <c r="L33" i="38" s="1"/>
  <c r="N201" i="42" s="1"/>
  <c r="H2" i="12"/>
  <c r="L202" i="42"/>
  <c r="L203" i="42" s="1"/>
  <c r="M28" i="38"/>
  <c r="M29" i="38"/>
  <c r="M30" i="38" s="1"/>
  <c r="M31" i="38" s="1"/>
  <c r="M33" i="38" s="1"/>
  <c r="N27" i="38"/>
  <c r="M109" i="42"/>
  <c r="I2" i="26" s="1"/>
  <c r="M44" i="42"/>
  <c r="G2" i="12"/>
  <c r="K202" i="42"/>
  <c r="K203" i="42" s="1"/>
  <c r="L35" i="38" l="1"/>
  <c r="L34" i="38"/>
  <c r="N44" i="42"/>
  <c r="N109" i="42"/>
  <c r="J2" i="26" s="1"/>
  <c r="N28" i="38"/>
  <c r="N29" i="38"/>
  <c r="N30" i="38" s="1"/>
  <c r="N31" i="38" s="1"/>
  <c r="N33" i="38" s="1"/>
  <c r="O27" i="38"/>
  <c r="O201" i="42"/>
  <c r="M35" i="38"/>
  <c r="M34" i="38"/>
  <c r="I2" i="12"/>
  <c r="M202" i="42"/>
  <c r="M203" i="42" s="1"/>
  <c r="O109" i="42" l="1"/>
  <c r="K2" i="26" s="1"/>
  <c r="O44" i="42"/>
  <c r="O28" i="38"/>
  <c r="O29" i="38"/>
  <c r="P27" i="38"/>
  <c r="N34" i="38"/>
  <c r="P201" i="42"/>
  <c r="N35" i="38"/>
  <c r="J2" i="12"/>
  <c r="N202" i="42"/>
  <c r="N203" i="42" s="1"/>
  <c r="O30" i="38" l="1"/>
  <c r="O31" i="38" s="1"/>
  <c r="O33" i="38" s="1"/>
  <c r="O35" i="38" s="1"/>
  <c r="P44" i="42"/>
  <c r="P109" i="42"/>
  <c r="L2" i="26" s="1"/>
  <c r="P28" i="38"/>
  <c r="P29" i="38"/>
  <c r="P30" i="38" s="1"/>
  <c r="P31" i="38" s="1"/>
  <c r="P33" i="38" s="1"/>
  <c r="Q27" i="38"/>
  <c r="Q201" i="42"/>
  <c r="O34" i="38"/>
  <c r="K2" i="12"/>
  <c r="O202" i="42"/>
  <c r="O203" i="42" s="1"/>
  <c r="Q109" i="42" l="1"/>
  <c r="M2" i="26" s="1"/>
  <c r="Q44" i="42"/>
  <c r="Q28" i="38"/>
  <c r="R27" i="38"/>
  <c r="Q29" i="38"/>
  <c r="R201" i="42"/>
  <c r="P35" i="38"/>
  <c r="P34" i="38"/>
  <c r="L2" i="12"/>
  <c r="P202" i="42"/>
  <c r="P203" i="42" s="1"/>
  <c r="Q30" i="38" l="1"/>
  <c r="Q31" i="38" s="1"/>
  <c r="Q33" i="38" s="1"/>
  <c r="S201" i="42" s="1"/>
  <c r="R44" i="42"/>
  <c r="R109" i="42"/>
  <c r="N2" i="26" s="1"/>
  <c r="S27" i="38"/>
  <c r="R28" i="38"/>
  <c r="R29" i="38"/>
  <c r="R30" i="38" s="1"/>
  <c r="R31" i="38" s="1"/>
  <c r="R33" i="38" s="1"/>
  <c r="Q202" i="42"/>
  <c r="Q203" i="42" s="1"/>
  <c r="M2" i="12"/>
  <c r="Q35" i="38" l="1"/>
  <c r="Q34" i="38"/>
  <c r="T201" i="42"/>
  <c r="R35" i="38"/>
  <c r="R34" i="38"/>
  <c r="S28" i="38"/>
  <c r="S29" i="38"/>
  <c r="T27" i="38"/>
  <c r="S44" i="42"/>
  <c r="S109" i="42"/>
  <c r="O2" i="26" s="1"/>
  <c r="N2" i="12"/>
  <c r="R202" i="42"/>
  <c r="R203" i="42" s="1"/>
  <c r="S30" i="38" l="1"/>
  <c r="S31" i="38" s="1"/>
  <c r="S33" i="38" s="1"/>
  <c r="U201" i="42" s="1"/>
  <c r="U27" i="38"/>
  <c r="T29" i="38"/>
  <c r="T28" i="38"/>
  <c r="S202" i="42"/>
  <c r="S203" i="42" s="1"/>
  <c r="O2" i="12"/>
  <c r="T109" i="42"/>
  <c r="P2" i="26" s="1"/>
  <c r="T44" i="42"/>
  <c r="S34" i="38" l="1"/>
  <c r="S35" i="38"/>
  <c r="T30" i="38"/>
  <c r="T31" i="38" s="1"/>
  <c r="T33" i="38" s="1"/>
  <c r="T35" i="38" s="1"/>
  <c r="U109" i="42"/>
  <c r="Q2" i="26" s="1"/>
  <c r="U44" i="42"/>
  <c r="T202" i="42"/>
  <c r="T203" i="42" s="1"/>
  <c r="P2" i="12"/>
  <c r="V201" i="42"/>
  <c r="V27" i="38"/>
  <c r="W27" i="38" s="1"/>
  <c r="X27" i="38" s="1"/>
  <c r="Y27" i="38" s="1"/>
  <c r="Z27" i="38" s="1"/>
  <c r="AA27" i="38" s="1"/>
  <c r="AB27" i="38" s="1"/>
  <c r="AC27" i="38" s="1"/>
  <c r="AD27" i="38" s="1"/>
  <c r="U28" i="38"/>
  <c r="U29" i="38"/>
  <c r="U30" i="38" s="1"/>
  <c r="U31" i="38" s="1"/>
  <c r="T34" i="38" l="1"/>
  <c r="V31" i="38"/>
  <c r="U33" i="38"/>
  <c r="V44" i="42"/>
  <c r="V109" i="42"/>
  <c r="R2" i="26" s="1"/>
  <c r="U202" i="42"/>
  <c r="U203" i="42" s="1"/>
  <c r="Q2" i="12"/>
  <c r="V202" i="42" l="1"/>
  <c r="V203" i="42" s="1"/>
  <c r="R2" i="12"/>
  <c r="U34" i="38"/>
  <c r="U35" i="38"/>
  <c r="W201" i="42"/>
  <c r="W31" i="38"/>
  <c r="V33" i="38"/>
  <c r="X201" i="42" l="1"/>
  <c r="V35" i="38"/>
  <c r="V34" i="38"/>
  <c r="X31" i="38"/>
  <c r="W33" i="38"/>
  <c r="W44" i="42"/>
  <c r="W109" i="42"/>
  <c r="S2" i="26" s="1"/>
  <c r="W202" i="42" l="1"/>
  <c r="W203" i="42" s="1"/>
  <c r="S2" i="12"/>
  <c r="Y31" i="38"/>
  <c r="X33" i="38"/>
  <c r="Y201" i="42"/>
  <c r="W35" i="38"/>
  <c r="W34" i="38"/>
  <c r="X44" i="42"/>
  <c r="X109" i="42"/>
  <c r="T2" i="26" s="1"/>
  <c r="Z201" i="42" l="1"/>
  <c r="X35" i="38"/>
  <c r="X34" i="38"/>
  <c r="Y44" i="42"/>
  <c r="Y109" i="42"/>
  <c r="U2" i="26" s="1"/>
  <c r="Z31" i="38"/>
  <c r="Y33" i="38"/>
  <c r="X202" i="42"/>
  <c r="X203" i="42" s="1"/>
  <c r="T2" i="12"/>
  <c r="AA201" i="42" l="1"/>
  <c r="Y35" i="38"/>
  <c r="Y34" i="38"/>
  <c r="AA31" i="38"/>
  <c r="Z33" i="38"/>
  <c r="Z44" i="42"/>
  <c r="Z109" i="42"/>
  <c r="V2" i="26" s="1"/>
  <c r="Y202" i="42"/>
  <c r="Y203" i="42" s="1"/>
  <c r="U2" i="12"/>
  <c r="AA44" i="42" l="1"/>
  <c r="AA109" i="42"/>
  <c r="W2" i="26" s="1"/>
  <c r="Z202" i="42"/>
  <c r="Z203" i="42" s="1"/>
  <c r="V2" i="12"/>
  <c r="AB201" i="42"/>
  <c r="Z35" i="38"/>
  <c r="Z34" i="38"/>
  <c r="AB31" i="38"/>
  <c r="AA33" i="38"/>
  <c r="AC201" i="42" l="1"/>
  <c r="AA34" i="38"/>
  <c r="AA35" i="38"/>
  <c r="AC31" i="38"/>
  <c r="AB33" i="38"/>
  <c r="AB44" i="42"/>
  <c r="AB109" i="42"/>
  <c r="X2" i="26" s="1"/>
  <c r="AA202" i="42"/>
  <c r="AA203" i="42" s="1"/>
  <c r="W2" i="12"/>
  <c r="AD201" i="42" l="1"/>
  <c r="AB35" i="38"/>
  <c r="AB34" i="38"/>
  <c r="AB202" i="42"/>
  <c r="AB203" i="42" s="1"/>
  <c r="X2" i="12"/>
  <c r="AC44" i="42"/>
  <c r="AC109" i="42"/>
  <c r="Y2" i="26" s="1"/>
  <c r="AD31" i="38"/>
  <c r="AD33" i="38" s="1"/>
  <c r="AC33" i="38"/>
  <c r="AC202" i="42" l="1"/>
  <c r="AC203" i="42" s="1"/>
  <c r="Y2" i="12"/>
  <c r="AD109" i="42"/>
  <c r="Z2" i="26" s="1"/>
  <c r="AD44" i="42"/>
  <c r="AF201" i="42"/>
  <c r="AD35" i="38"/>
  <c r="AD34" i="38"/>
  <c r="AE201" i="42"/>
  <c r="AC35" i="38"/>
  <c r="AC34" i="38"/>
  <c r="AD202" i="42" l="1"/>
  <c r="AD203" i="42" s="1"/>
  <c r="Z2" i="12"/>
  <c r="AF109" i="42"/>
  <c r="AB2" i="26" s="1"/>
  <c r="AF44" i="42"/>
  <c r="AE109" i="42"/>
  <c r="AA2" i="26" s="1"/>
  <c r="AE44" i="42"/>
  <c r="AE202" i="42" l="1"/>
  <c r="AE203" i="42" s="1"/>
  <c r="AA2" i="12"/>
  <c r="AF202" i="42"/>
  <c r="AF203" i="42" s="1"/>
  <c r="AB2" i="12"/>
</calcChain>
</file>

<file path=xl/sharedStrings.xml><?xml version="1.0" encoding="utf-8"?>
<sst xmlns="http://schemas.openxmlformats.org/spreadsheetml/2006/main" count="2453" uniqueCount="754">
  <si>
    <t>Sources:</t>
  </si>
  <si>
    <t/>
  </si>
  <si>
    <t>Key Indicators</t>
  </si>
  <si>
    <t>Electricity Related Losses</t>
  </si>
  <si>
    <t>Total Energy Consumption by End Use</t>
  </si>
  <si>
    <t>Heating Degree Days</t>
  </si>
  <si>
    <t>Cooling Degree Days</t>
  </si>
  <si>
    <t>U.S. Energy Information Administration</t>
  </si>
  <si>
    <t>Table 4</t>
  </si>
  <si>
    <t>Table 5</t>
  </si>
  <si>
    <t>Year</t>
  </si>
  <si>
    <t>electricity (BTU)</t>
  </si>
  <si>
    <t>coal (BTU)</t>
  </si>
  <si>
    <t>natural gas (BTU)</t>
  </si>
  <si>
    <t>petroleum diesel (BTU)</t>
  </si>
  <si>
    <t>BCEU BAU Components Energy Use</t>
  </si>
  <si>
    <t>heat (BTU)</t>
  </si>
  <si>
    <t>Notes:</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</si>
  <si>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</si>
  <si>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</si>
  <si>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</si>
  <si>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</si>
  <si>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</si>
  <si>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</si>
  <si>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</si>
  <si>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</si>
  <si>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</si>
  <si>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</si>
  <si>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</si>
  <si>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</si>
  <si>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</si>
  <si>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</si>
  <si>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</si>
  <si>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</si>
  <si>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</si>
  <si>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</si>
  <si>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</si>
  <si>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</si>
  <si>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</si>
  <si>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</si>
  <si>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</si>
  <si>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</si>
  <si>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</si>
  <si>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</si>
  <si>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</si>
  <si>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</si>
  <si>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</si>
  <si>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</si>
  <si>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</si>
  <si>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</si>
  <si>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</si>
  <si>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</si>
  <si>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</si>
  <si>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</si>
  <si>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</si>
  <si>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</si>
  <si>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</si>
  <si>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</si>
  <si>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</si>
  <si>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</si>
  <si>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</si>
  <si>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</si>
  <si>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</si>
  <si>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</si>
  <si>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</si>
  <si>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</si>
  <si>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</si>
  <si>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</si>
  <si>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</si>
  <si>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</si>
  <si>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</si>
  <si>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</si>
  <si>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</si>
  <si>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</si>
  <si>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</si>
  <si>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</si>
  <si>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</si>
  <si>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</si>
  <si>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</si>
  <si>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</si>
  <si>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</si>
  <si>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</si>
  <si>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</si>
  <si>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</si>
  <si>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</si>
  <si>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</si>
  <si>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</si>
  <si>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</si>
  <si>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</si>
  <si>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</si>
  <si>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</si>
  <si>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</si>
  <si>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</si>
  <si>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</si>
  <si>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</si>
  <si>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</si>
  <si>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</si>
  <si>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</si>
  <si>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</si>
  <si>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</si>
  <si>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</si>
  <si>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</si>
  <si>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</si>
  <si>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</si>
  <si>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</si>
  <si>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</si>
  <si>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</si>
  <si>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</si>
  <si>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</si>
  <si>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</si>
  <si>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</si>
  <si>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</si>
  <si>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</si>
  <si>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</si>
  <si>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</si>
  <si>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</si>
  <si>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</si>
  <si>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</si>
  <si>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</si>
  <si>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</si>
  <si>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</si>
  <si>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</si>
  <si>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</si>
  <si>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</si>
  <si>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</si>
  <si>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</si>
  <si>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</si>
  <si>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</si>
  <si>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</si>
  <si>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</si>
  <si>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</si>
  <si>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</si>
  <si>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</si>
  <si>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</si>
  <si>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</si>
  <si>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</si>
  <si>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</si>
  <si>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</si>
  <si>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</si>
  <si>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</si>
  <si>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</si>
  <si>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</si>
  <si>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</si>
  <si>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</si>
  <si>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</si>
  <si>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</si>
  <si>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</si>
  <si>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</si>
  <si>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</si>
  <si>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</si>
  <si>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</si>
  <si>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</si>
  <si>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</si>
  <si>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</si>
  <si>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</si>
  <si>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</si>
  <si>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</si>
  <si>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</si>
  <si>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</si>
  <si>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</si>
  <si>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</si>
  <si>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</si>
  <si>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</si>
  <si>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</si>
  <si>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</si>
  <si>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</si>
  <si>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</si>
  <si>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</si>
  <si>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</si>
  <si>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</si>
  <si>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kerosene (BTU)</t>
  </si>
  <si>
    <t>heavy or residual fuel oil (BTU)</t>
  </si>
  <si>
    <t>LPG propane or butane (BTU)</t>
  </si>
  <si>
    <t>hydrogen (BTU)</t>
  </si>
  <si>
    <t>Accordingly, we make the following assumptions based on comparing emissions</t>
  </si>
  <si>
    <t>Remainng "other fuels" are LPG/propane/butane</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</si>
  <si>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</si>
  <si>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</si>
  <si>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</si>
  <si>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</si>
  <si>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</si>
  <si>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</si>
  <si>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</si>
  <si>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</si>
  <si>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</si>
  <si>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</si>
  <si>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</si>
  <si>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</si>
  <si>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</si>
  <si>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</si>
  <si>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</si>
  <si>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</si>
  <si>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</si>
  <si>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</si>
  <si>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</si>
  <si>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</si>
  <si>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</si>
  <si>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</si>
  <si>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</si>
  <si>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Energy Consumption by Fuel</t>
  </si>
  <si>
    <t>electricity</t>
  </si>
  <si>
    <t>eps</t>
  </si>
  <si>
    <t>aeo</t>
  </si>
  <si>
    <t>CHECK</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</si>
  <si>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</si>
  <si>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</si>
  <si>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</si>
  <si>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</si>
  <si>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</si>
  <si>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</si>
  <si>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</si>
  <si>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</si>
  <si>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Other</t>
  </si>
  <si>
    <t>https://www.eia.gov/consumption/residential/data/2020/?src=%E2%80%B9%20Consumption%20%20%20%20%20%20Residential%20Energy%20Consumption%20Survey%20(RECS)-f1</t>
  </si>
  <si>
    <t>https://www.eia.gov/consumption/residential/data/2020/hc/xls/HC%202.1.xlsx</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</si>
  <si>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</si>
  <si>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</si>
  <si>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</si>
  <si>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</si>
  <si>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</si>
  <si>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</si>
  <si>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</si>
  <si>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</si>
  <si>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</si>
  <si>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</si>
  <si>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</si>
  <si>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</si>
  <si>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</si>
  <si>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</si>
  <si>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</si>
  <si>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</si>
  <si>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</si>
  <si>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</si>
  <si>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</si>
  <si>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</si>
  <si>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</si>
  <si>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</si>
  <si>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</si>
  <si>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</si>
  <si>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</si>
  <si>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</si>
  <si>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</si>
  <si>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Urban/Rural Residential Split</t>
  </si>
  <si>
    <t>https://www.energy.gov/articles/doe-finalizes-efficiency-standards-water-heaters-save-americans-over-7-billion-household</t>
  </si>
  <si>
    <t>average lifetime of electric water heaters</t>
  </si>
  <si>
    <t>https://www.eia.gov/outlooks/aeo/assumptions/pdf/RDM_Assumptions.pdf  (table 5)</t>
  </si>
  <si>
    <t>percent of heat pump sales in start year</t>
  </si>
  <si>
    <t>https://www.regulations.gov/document/EERE-2017-BT-STD-0019-1426 (37944)</t>
  </si>
  <si>
    <t>electric water heater efficiency pre-standard (assumes 20-55 gallon, medium)</t>
  </si>
  <si>
    <t>electric water heater efficiency post-standard  (assumes 20-55 gallon, medium)</t>
  </si>
  <si>
    <t>efficiency improvement post 2029</t>
  </si>
  <si>
    <t>percent of water heaters availble for replacement each year</t>
  </si>
  <si>
    <t>percent of water heaters that are not already heat pumps</t>
  </si>
  <si>
    <t>efficiency improvement</t>
  </si>
  <si>
    <t>Sources for Assumptions:</t>
  </si>
  <si>
    <t>Calculations</t>
  </si>
  <si>
    <t>electric water heaters (btu)</t>
  </si>
  <si>
    <t>bau heat pump sales</t>
  </si>
  <si>
    <t>new btus per year</t>
  </si>
  <si>
    <t>AEO 2023 data</t>
  </si>
  <si>
    <t>BAU Energy Data</t>
  </si>
  <si>
    <t>Heat Pump Sales</t>
  </si>
  <si>
    <t>change from original bau</t>
  </si>
  <si>
    <t>new bau forecast for water heaters electricity (btu)</t>
  </si>
  <si>
    <t>2029 baseline (btu)</t>
  </si>
  <si>
    <t>btus replaced at time of sale (btu)</t>
  </si>
  <si>
    <t>2029 btus held constant</t>
  </si>
  <si>
    <t>new bau forecast for water heaters electricity (quad btu)</t>
  </si>
  <si>
    <t>btus replaced with higher standard electric appliances (btu)</t>
  </si>
  <si>
    <t>cumulative total heat pumps/higher standard electric appliances in stock</t>
  </si>
  <si>
    <t>delta of btus replaced w/ higher standard electric appliances (btu)</t>
  </si>
  <si>
    <t>adjust bau new sales to be higher standard electric appliances (btu)</t>
  </si>
  <si>
    <t>"DOE estimates that 61% of electric water heater sales as of 2029 will be heat pumps"</t>
  </si>
  <si>
    <t>appliances large enough to be subject to higher standards</t>
  </si>
  <si>
    <t>post 2042, existing qualifying appliances are already heat pumps, no assumed additional efficiency improvement</t>
  </si>
  <si>
    <t>percent of water heaters that are higher standard electric appliances additional to bau this year and qualify for higher standards</t>
  </si>
  <si>
    <t>Residential</t>
  </si>
  <si>
    <t>Commercial</t>
  </si>
  <si>
    <t>CDD</t>
  </si>
  <si>
    <t>AEO.2025.HIGHZTC.KEI_CDD_RESD_NA_NA_NA_USA_CDD.A</t>
  </si>
  <si>
    <t>Residential: Cooling Degree Days: United States: High Zero-Carbon Technology Cost</t>
  </si>
  <si>
    <t>United States</t>
  </si>
  <si>
    <t>AEO.2025.HIGHZTC.KEI_CDD_RESD_NA_NA_NA_PCF_CDD.A</t>
  </si>
  <si>
    <t>Residential: Cooling Degree Days: Pacific: High Zero-Carbon Technology Cost</t>
  </si>
  <si>
    <t>AEO.2025.HIGHZTC.KEI_CDD_RESD_NA_NA_NA_MTN_CDD.A</t>
  </si>
  <si>
    <t>Residential: Cooling Degree Days: Mountain: High Zero-Carbon Technology Cost</t>
  </si>
  <si>
    <t>AEO.2025.HIGHZTC.KEI_CDD_RESD_NA_NA_NA_WSC_CDD.A</t>
  </si>
  <si>
    <t>Residential: Cooling Degree Days: West South Central: High Zero-Carbon Technology Cost</t>
  </si>
  <si>
    <t>AEO.2025.HIGHZTC.KEI_CDD_RESD_NA_NA_NA_ESC_CDD.A</t>
  </si>
  <si>
    <t>Residential: Cooling Degree Days: East South Central: High Zero-Carbon Technology Cost</t>
  </si>
  <si>
    <t>AEO.2025.HIGHZTC.KEI_CDD_RESD_NA_NA_NA_SATL_CDD.A</t>
  </si>
  <si>
    <t>Residential: Cooling Degree Days: South Atlantic: High Zero-Carbon Technology Cost</t>
  </si>
  <si>
    <t>AEO.2025.HIGHZTC.KEI_CDD_RESD_NA_NA_NA_WNC_CDD.A</t>
  </si>
  <si>
    <t>Residential: Cooling Degree Days: West North Central: High Zero-Carbon Technology Cost</t>
  </si>
  <si>
    <t>AEO.2025.HIGHZTC.KEI_CDD_RESD_NA_NA_NA_ENC_CDD.A</t>
  </si>
  <si>
    <t>Residential: Cooling Degree Days: East North Central: High Zero-Carbon Technology Cost</t>
  </si>
  <si>
    <t>AEO.2025.HIGHZTC.KEI_CDD_RESD_NA_NA_NA_MATL_CDD.A</t>
  </si>
  <si>
    <t>Residential: Cooling Degree Days: Middle Atlantic: High Zero-Carbon Technology Cost</t>
  </si>
  <si>
    <t>AEO.2025.HIGHZTC.KEI_CDD_RESD_NA_NA_NA_NENGL_CDD.A</t>
  </si>
  <si>
    <t>Residential: Cooling Degree Days: New England: High Zero-Carbon Technology Cost</t>
  </si>
  <si>
    <t>HDD</t>
  </si>
  <si>
    <t>AEO.2025.HIGHZTC.KEI_HDD_RESD_NA_NA_NA_USA_HDD.A</t>
  </si>
  <si>
    <t>Residential: Heating Degree Days: United States: High Zero-Carbon Technology Cost</t>
  </si>
  <si>
    <t>AEO.2025.HIGHZTC.KEI_HDD_RESD_NA_NA_NA_PCF_HDD.A</t>
  </si>
  <si>
    <t>Residential: Heating Degree Days: Pacific: High Zero-Carbon Technology Cost</t>
  </si>
  <si>
    <t>AEO.2025.HIGHZTC.KEI_HDD_RESD_NA_NA_NA_MTN_HDD.A</t>
  </si>
  <si>
    <t>Residential: Heating Degree Days: Mountain: High Zero-Carbon Technology Cost</t>
  </si>
  <si>
    <t>AEO.2025.HIGHZTC.KEI_HDD_RESD_NA_NA_NA_WSC_HDD.A</t>
  </si>
  <si>
    <t>Residential: Heating Degree Days: West South Central: High Zero-Carbon Technology Cost</t>
  </si>
  <si>
    <t>AEO.2025.HIGHZTC.KEI_HDD_RESD_NA_NA_NA_ESC_HDD.A</t>
  </si>
  <si>
    <t>Residential: Heating Degree Days: East South Central: High Zero-Carbon Technology Cost</t>
  </si>
  <si>
    <t>AEO.2025.HIGHZTC.KEI_HDD_RESD_NA_NA_NA_SATL_HDD.A</t>
  </si>
  <si>
    <t>Residential: Heating Degree Days: South Atlantic: High Zero-Carbon Technology Cost</t>
  </si>
  <si>
    <t>AEO.2025.HIGHZTC.KEI_HDD_RESD_NA_NA_NA_WNC_HDD.A</t>
  </si>
  <si>
    <t>Residential: Heating Degree Days: West North Central: High Zero-Carbon Technology Cost</t>
  </si>
  <si>
    <t>AEO.2025.HIGHZTC.KEI_HDD_RESD_NA_NA_NA_ENC_HDD.A</t>
  </si>
  <si>
    <t>Residential: Heating Degree Days: East North Central: High Zero-Carbon Technology Cost</t>
  </si>
  <si>
    <t>AEO.2025.HIGHZTC.KEI_HDD_RESD_NA_NA_NA_MATL_HDD.A</t>
  </si>
  <si>
    <t>Residential: Heating Degree Days: Middle Atlantic: High Zero-Carbon Technology Cost</t>
  </si>
  <si>
    <t>AEO.2025.HIGHZTC.KEI_HDD_RESD_NA_NA_NA_NENGL_HDD.A</t>
  </si>
  <si>
    <t>Residential: Heating Degree Days: New England: High Zero-Carbon Technology Cost</t>
  </si>
  <si>
    <t>quads</t>
  </si>
  <si>
    <t>AEO.2025.HIGHZTC.CNSM_NA_RESD_NA_NRW_NA_USA_QBTU.A</t>
  </si>
  <si>
    <t>Residential: Nonmarketed Renewables: Total: High Zero-Carbon Technology Cost</t>
  </si>
  <si>
    <t>Total</t>
  </si>
  <si>
    <t>AEO.2025.HIGHZTC.CNSM_NA_RESD_WND_NRW_NA_USA_QBTU.A</t>
  </si>
  <si>
    <t>Residential: Nonmarketed Renewables: Wind: High Zero-Carbon Technology Cost</t>
  </si>
  <si>
    <t>Wind</t>
  </si>
  <si>
    <t>AEO.2025.HIGHZTC.CNSM_NA_RESD_SOPH_NRW_NA_USA_QBTU.A</t>
  </si>
  <si>
    <t>Residential: Nonmarketed Renewables: Solar Photovoltaic: High Zero-Carbon Technology Cost</t>
  </si>
  <si>
    <t>Solar Photovoltaic</t>
  </si>
  <si>
    <t>AEO.2025.HIGHZTC.CNSM_NA_RESD_SHW_NRW_NA_USA_QBTU.A</t>
  </si>
  <si>
    <t>Residential: Nonmarketed Renewables: Solar Hot Water Heating: High Zero-Carbon Technology Cost</t>
  </si>
  <si>
    <t>Solar Hot Water Heating</t>
  </si>
  <si>
    <t>Nonmarketed Renewables</t>
  </si>
  <si>
    <t>AEO.2025.HIGHZTC.GEN_NA_RESD_TTG_TEE_NA_USA_QBTU.A</t>
  </si>
  <si>
    <t>Residential: Total Net Own-use Generation: Total Gross End-use Consumption: High Zero-Carbon Technology Cost</t>
  </si>
  <si>
    <t>Total Energy</t>
  </si>
  <si>
    <t>AEO.2025.HIGHZTC.GEN_NA_RESD_GFO_TEE_NA_USA_QBTU.A</t>
  </si>
  <si>
    <t>Residential: Generation for Own Use: Total Gross End-use Consumption: High Zero-Carbon Technology Cost</t>
  </si>
  <si>
    <t>On-site Generation for Own Use</t>
  </si>
  <si>
    <t>AEO.2025.HIGHZTC.GEN_NA_RESD_PUELEVCHRG_TEE_NA_USA_QBTU.A</t>
  </si>
  <si>
    <t>Residential: Generation for Own Use: Purchased Electricity for EV Charging: High Zero-Carbon Technology Cost</t>
  </si>
  <si>
    <t>Purchased Electricity for Electric Vehicle Charging</t>
  </si>
  <si>
    <t>AEO.2025.HIGHZTC.CNSM_NA_RESD_TOTENCONS_TEE_NA_USA_QBTU.A</t>
  </si>
  <si>
    <t>Residential: Total Energy Use by End Use: Total Gross End-use Consumption: High Zero-Carbon Technology Cost</t>
  </si>
  <si>
    <t>Total Gross End-use Consumption</t>
  </si>
  <si>
    <t>AEO.2025.HIGHZTC.CNSM_NA_RESD_OTHU_TEE_NA_USA_QBTU.A</t>
  </si>
  <si>
    <t>Residential: Total Energy Use by End Use: Other Uses: High Zero-Carbon Technology Cost</t>
  </si>
  <si>
    <t>Other Uses</t>
  </si>
  <si>
    <t>AEO.2025.HIGHZTC.CNSM_NA_RESD_FPR_TEE_NA_USA_QBTU.A</t>
  </si>
  <si>
    <t>Residential: Total Energy Use by End Use: Fans and Pumps: High Zero-Carbon Technology Cost</t>
  </si>
  <si>
    <t>Furnace Fans and Boiler Circulation Pumps</t>
  </si>
  <si>
    <t>AEO.2025.HIGHZTC.CNSM_NA_RESD_CMPR_TEE_NA_USA_QBTU.A</t>
  </si>
  <si>
    <t>Residential: Total Energy Use by End Use: Computers: High Zero-Carbon Technology Cost</t>
  </si>
  <si>
    <t>Computers and Related Equipment</t>
  </si>
  <si>
    <t>AEO.2025.HIGHZTC.CNSM_NA_RESD_TVR_TEE_NA_USA_QBTU.A</t>
  </si>
  <si>
    <t>Residential: Total Energy Use by End Use: Televisions: High Zero-Carbon Technology Cost</t>
  </si>
  <si>
    <t>Televisions and Related Equipment</t>
  </si>
  <si>
    <t>AEO.2025.HIGHZTC.CNSM_NA_RESD_DSW_TEE_NA_USA_QBTU.A</t>
  </si>
  <si>
    <t>Residential: Total Energy Use by End Use: Dishwashers: High Zero-Carbon Technology Cost</t>
  </si>
  <si>
    <t>Dishwashers</t>
  </si>
  <si>
    <t>AEO.2025.HIGHZTC.CNSM_NA_RESD_CLW_TEE_NA_USA_QBTU.A</t>
  </si>
  <si>
    <t>Residential: Total Energy Use by End Use: Clothes Washers: High Zero-Carbon Technology Cost</t>
  </si>
  <si>
    <t>Clothes Washers</t>
  </si>
  <si>
    <t>AEO.2025.HIGHZTC.CNSM_NA_RESD_LGHTNG_TEE_NA_USA_QBTU.A</t>
  </si>
  <si>
    <t>Residential: Total Energy Use by End Use: Lighting: High Zero-Carbon Technology Cost</t>
  </si>
  <si>
    <t>Lighting</t>
  </si>
  <si>
    <t>AEO.2025.HIGHZTC.CNSM_NA_RESD_FRZ_TEE_NA_USA_QBTU.A</t>
  </si>
  <si>
    <t>Residential: Total Energy Use by End Use: Freezers: High Zero-Carbon Technology Cost</t>
  </si>
  <si>
    <t>Freezers</t>
  </si>
  <si>
    <t>AEO.2025.HIGHZTC.CNSM_NA_RESD_CDR_TEE_NA_USA_QBTU.A</t>
  </si>
  <si>
    <t>Residential: Total Energy Use by End Use: Clothes Dryers: High Zero-Carbon Technology Cost</t>
  </si>
  <si>
    <t>Clothes Dryers</t>
  </si>
  <si>
    <t>AEO.2025.HIGHZTC.CNSM_NA_RESD_CGR_TEE_NA_USA_QBTU.A</t>
  </si>
  <si>
    <t>Residential: Total Energy Use by End Use: Cooking: High Zero-Carbon Technology Cost</t>
  </si>
  <si>
    <t>Cooking</t>
  </si>
  <si>
    <t>AEO.2025.HIGHZTC.CNSM_NA_RESD_REFR_TEE_NA_USA_QBTU.A</t>
  </si>
  <si>
    <t>Residential: Total Energy Use by End Use: Refrigeration: High Zero-Carbon Technology Cost</t>
  </si>
  <si>
    <t>Refrigeration</t>
  </si>
  <si>
    <t>AEO.2025.HIGHZTC.CNSM_NA_RESD_WTHT_TEE_NA_USA_QBTU.A</t>
  </si>
  <si>
    <t>Residential: Total Energy Use by End Use: Water Heating: High Zero-Carbon Technology Cost</t>
  </si>
  <si>
    <t>Water Heating</t>
  </si>
  <si>
    <t>AEO.2025.HIGHZTC.CNSM_NA_RESD_SPC_TEE_NA_USA_QBTU.A</t>
  </si>
  <si>
    <t>Residential: Total Energy Use by End Use: Space Cooling: High Zero-Carbon Technology Cost</t>
  </si>
  <si>
    <t>Space Cooling</t>
  </si>
  <si>
    <t>AEO.2025.HIGHZTC.CNSM_NA_RESD_SPH_TEE_NA_USA_QBTU.A</t>
  </si>
  <si>
    <t>Residential: Total Energy Use by End Use: Space Heating: High Zero-Carbon Technology Cost</t>
  </si>
  <si>
    <t>Space Heating</t>
  </si>
  <si>
    <t>AEO.2025.HIGHZTC.CNSM_LOSSES_RESD_NA_ENRL_NA_USA_QBTU.A</t>
  </si>
  <si>
    <t>Residential: Electricity Related Losses: High Zero-Carbon Technology Cost</t>
  </si>
  <si>
    <t>AEO.2025.HIGHZTC.CNSM_NA_RESD_DELE_DEE_NA_USA_QBTU.A</t>
  </si>
  <si>
    <t>Residential: Energy Consumption by End Use: Delivered Energy: High Zero-Carbon Technology Cost</t>
  </si>
  <si>
    <t>Delivered Energy</t>
  </si>
  <si>
    <t>AEO.2025.HIGHZTC.GEN_NA_RESD_GFO_DEE_NA_USA_QBTU.A</t>
  </si>
  <si>
    <t>Residential: Energy Consumption by End Use: Generation for Own Use: High Zero-Carbon Technology Cost</t>
  </si>
  <si>
    <t>AEO.2025.HIGHZTC.CNSM_NA_RESD_PUELEVCHRG_DEE_NA_USA_QBTU.A</t>
  </si>
  <si>
    <t>Residential: Energy Consumption by End Use: Purchased Electricity for EV Charging: High Zero-Carbon Technology Cost</t>
  </si>
  <si>
    <t>AEO.2025.HIGHZTC.CNSM_NA_RESD_TUS_DEE_NA_USA_QBTU.A</t>
  </si>
  <si>
    <t>Residential: Energy Consumption by End Use: Gross End-use Consumption: High Zero-Carbon Technology Cost</t>
  </si>
  <si>
    <t>Gross End-use Electricity Consumption</t>
  </si>
  <si>
    <t>AEO.2025.HIGHZTC.CNSM_NA_RESD_OTHU_DEE_NA_USA_QBTU.A</t>
  </si>
  <si>
    <t>Residential: Delivered Energy Use by End Use: Other Uses: High Zero-Carbon Technology Cost</t>
  </si>
  <si>
    <t>AEO.2025.HIGHZTC.CNSM_NA_RESD_FPR_DEE_NA_USA_QBTU.A</t>
  </si>
  <si>
    <t>Residential: Delivered Energy Use by End Use: Fans and Pumps: High Zero-Carbon Technology Cost</t>
  </si>
  <si>
    <t>AEO.2025.HIGHZTC.CNSM_NA_RESD_CMPR_DEE_NA_USA_QBTU.A</t>
  </si>
  <si>
    <t>Residential: Delivered Energy Use by End Use: Computers: High Zero-Carbon Technology Cost</t>
  </si>
  <si>
    <t>AEO.2025.HIGHZTC.CNSM_NA_RESD_TVR_DEE_NA_USA_QBTU.A</t>
  </si>
  <si>
    <t>Residential: Delivered Energy Use by End Use: Televisions: High Zero-Carbon Technology Cost</t>
  </si>
  <si>
    <t>AEO.2025.HIGHZTC.CNSM_NA_RESD_DSW_DEE_NA_USA_QBTU.A</t>
  </si>
  <si>
    <t>Residential: Delivered Energy Use by End Use: Dishwashers: High Zero-Carbon Technology Cost</t>
  </si>
  <si>
    <t>AEO.2025.HIGHZTC.CNSM_NA_RESD_CLW_DEE_NA_USA_QBTU.A</t>
  </si>
  <si>
    <t>Residential: Delivered Energy Use by End Use: Clothes Washers: High Zero-Carbon Technology Cost</t>
  </si>
  <si>
    <t>AEO.2025.HIGHZTC.CNSM_NA_RESD_LGHTNG_DEE_NA_USA_QBTU.A</t>
  </si>
  <si>
    <t>Residential: Delivered Energy Use by End Use: Lighting: High Zero-Carbon Technology Cost</t>
  </si>
  <si>
    <t>AEO.2025.HIGHZTC.CNSM_NA_RESD_FRZ_DEE_NA_USA_QBTU.A</t>
  </si>
  <si>
    <t>Residential: Delivered Energy Use by End Use: Freezers: High Zero-Carbon Technology Cost</t>
  </si>
  <si>
    <t>AEO.2025.HIGHZTC.CNSM_NA_RESD_CDR_DEE_NA_USA_QBTU.A</t>
  </si>
  <si>
    <t>Residential: Delivered Energy Use by End Use: Clothes Dryers: High Zero-Carbon Technology Cost</t>
  </si>
  <si>
    <t>AEO.2025.HIGHZTC.CNSM_NA_RESD_CGR_DEE_NA_USA_QBTU.A</t>
  </si>
  <si>
    <t>Residential: Delivered Energy Use by End Use: Cooking: High Zero-Carbon Technology Cost</t>
  </si>
  <si>
    <t>AEO.2025.HIGHZTC.CNSM_NA_RESD_REFR_DEE_NA_USA_QBTU.A</t>
  </si>
  <si>
    <t>Residential: Delivered Energy Use by End Use: Refrigeration: High Zero-Carbon Technology Cost</t>
  </si>
  <si>
    <t>AEO.2025.HIGHZTC.CNSM_NA_RESD_WTHT_DEE_NA_USA_QBTU.A</t>
  </si>
  <si>
    <t>Residential: Delivered Energy Use by End Use: Water Heating: High Zero-Carbon Technology Cost</t>
  </si>
  <si>
    <t>AEO.2025.HIGHZTC.CNSM_NA_RESD_SPC_DEE_NA_USA_QBTU.A</t>
  </si>
  <si>
    <t>Residential: Delivered Energy Use by End Use: Space Cooling: High Zero-Carbon Technology Cost</t>
  </si>
  <si>
    <t>AEO.2025.HIGHZTC.CNSM_NA_RESD_SPH_DEE_NA_USA_QBTU.A</t>
  </si>
  <si>
    <t>Residential: Delivered Energy Use by End Use: Space Heating: High Zero-Carbon Technology Cost</t>
  </si>
  <si>
    <t>Energy Consumption by End Use</t>
  </si>
  <si>
    <t>AEO.2025.HIGHZTC.CNSM_NA_RESD_NA_MRW_NA_USA_QBTU.A</t>
  </si>
  <si>
    <t>Residential: Marketed Renewables (wood): High Zero-Carbon Technology Cost</t>
  </si>
  <si>
    <t>Marketed Renewables (wood)</t>
  </si>
  <si>
    <t>AEO.2025.HIGHZTC.CNSM_NA_RESD_DELE_PROP_NA_USA_QBTU.A</t>
  </si>
  <si>
    <t>Residential: Propane: Delivered Energy: High Zero-Carbon Technology Cost</t>
  </si>
  <si>
    <t>AEO.2025.HIGHZTC.CNSM_NA_RESD_OTHU_PROP_NA_USA_QBTU.A</t>
  </si>
  <si>
    <t>Residential: Propane: Other Uses: High Zero-Carbon Technology Cost</t>
  </si>
  <si>
    <t>AEO.2025.HIGHZTC.CNSM_NA_RESD_CGR_PROP_NA_USA_QBTU.A</t>
  </si>
  <si>
    <t>Residential: Propane: Cooking: High Zero-Carbon Technology Cost</t>
  </si>
  <si>
    <t>AEO.2025.HIGHZTC.CNSM_NA_RESD_WTHT_PROP_NA_USA_QBTU.A</t>
  </si>
  <si>
    <t>Residential: Propane: Water Heating: High Zero-Carbon Technology Cost</t>
  </si>
  <si>
    <t>AEO.2025.HIGHZTC.CNSM_NA_RESD_SPH_PROP_NA_USA_QBTU.A</t>
  </si>
  <si>
    <t>Residential: Propane: Space Heating: High Zero-Carbon Technology Cost</t>
  </si>
  <si>
    <t>AEO.2025.HIGHZTC.CNSM_NA_RESD_NA_DFO_NA_USA_QBTU.A</t>
  </si>
  <si>
    <t>Residential: Distillate Fuel Oil: Delivered Energy: High Zero-Carbon Technology Cost</t>
  </si>
  <si>
    <t>AEO.2025.HIGHZTC.CNSM_NA_RESD_OTHU_DFO_NA_USA_QBTU.A</t>
  </si>
  <si>
    <t>Residential: Distillate Fuel Oil: Other Uses: High Zero-Carbon Technology Cost</t>
  </si>
  <si>
    <t>AEO.2025.HIGHZTC.CNSM_NA_RESD_WTHT_DFO_NA_USA_QBTU.A</t>
  </si>
  <si>
    <t>Residential: Distillate Fuel Oil: Water Heating: High Zero-Carbon Technology Cost</t>
  </si>
  <si>
    <t>AEO.2025.HIGHZTC.CNSM_NA_RESD_SPH_DFO_NA_USA_QBTU.A</t>
  </si>
  <si>
    <t>Residential: Distillate Fuel Oil: Space Heating: High Zero-Carbon Technology Cost</t>
  </si>
  <si>
    <t>Distillate Fuel Oil</t>
  </si>
  <si>
    <t>AEO.2025.HIGHZTC.CNSM_NA_RESD_DELE_NG_NA_USA_QBTU.A</t>
  </si>
  <si>
    <t>Residential: Natural Gas: Delivered Energy: High Zero-Carbon Technology Cost</t>
  </si>
  <si>
    <t>AEO.2025.HIGHZTC.CNSM_NA_RESD_OTHU_NG_NA_USA_QBTU.A</t>
  </si>
  <si>
    <t>Residential: Natural Gas: Other Uses: High Zero-Carbon Technology Cost</t>
  </si>
  <si>
    <t>AEO.2025.HIGHZTC.CNSM_NA_RESD_CDR_NG_NA_USA_QBTU.A</t>
  </si>
  <si>
    <t>Residential: Natural Gas: Clothes Dryers: High Zero-Carbon Technology Cost</t>
  </si>
  <si>
    <t>AEO.2025.HIGHZTC.CNSM_NA_RESD_CGR_NG_NA_USA_QBTU.A</t>
  </si>
  <si>
    <t>Residential: Natural Gas: Cooking: High Zero-Carbon Technology Cost</t>
  </si>
  <si>
    <t>AEO.2025.HIGHZTC.CNSM_NA_RESD_WTHT_NG_NA_USA_QBTU.A</t>
  </si>
  <si>
    <t>Residential: Natural Gas: Water Heating: High Zero-Carbon Technology Cost</t>
  </si>
  <si>
    <t>AEO.2025.HIGHZTC.CNSM_NA_RESD_SPC_NG_NA_USA_QBTU.A</t>
  </si>
  <si>
    <t>Residential: Natural Gas: Space Cooling: High Zero-Carbon Technology Cost</t>
  </si>
  <si>
    <t>AEO.2025.HIGHZTC.CNSM_NA_RESD_SPH_NG_NA_USA_QBTU.A</t>
  </si>
  <si>
    <t>Residential: Natural Gas: Space Heating: High Zero-Carbon Technology Cost</t>
  </si>
  <si>
    <t>Natural Gas</t>
  </si>
  <si>
    <t>AEO.2025.HIGHZTC.CNSM_NA_RESD_PURCHELEC_ELC_NA_USA_QBTU.A</t>
  </si>
  <si>
    <t>Residential: Electricity: Purchased Electricity at Residential Location: High Zero-Carbon Technology Cost</t>
  </si>
  <si>
    <t>Purchased Electricity at Residential Location</t>
  </si>
  <si>
    <t>AEO.2025.HIGHZTC.GEN_NA_RESD_GFO_ELC_NA_USA_QBTU.A</t>
  </si>
  <si>
    <t>Residential: Electricity: Generation for Own Use: High Zero-Carbon Technology Cost</t>
  </si>
  <si>
    <t>AEO.2025.HIGHZTC.CNSM_NA_RESD_EVCHRING_ELC_NA_USA_QBTU.A</t>
  </si>
  <si>
    <t>Residential: Electricity: Purchased Electricity for EV Charging: High Zero-Carbon Technology Cost</t>
  </si>
  <si>
    <t>AEO.2025.HIGHZTC.CNSM_NA_RESD_DELE_ELC_NA_USA_QBTU.A</t>
  </si>
  <si>
    <t>Residential: Electricity: Gross End-use Electricity Consumption: High Zero-Carbon Technology Cost</t>
  </si>
  <si>
    <t>AEO.2025.HIGHZTC.CNSM_NA_RESD_OTHU_ELC_NA_USA_QBTU.A</t>
  </si>
  <si>
    <t>Residential: Electricity: Other Uses: High Zero-Carbon Technology Cost</t>
  </si>
  <si>
    <t>AEO.2025.HIGHZTC.CNSM_NA_RESD_FPR_ELC_NA_USA_QBTU.A</t>
  </si>
  <si>
    <t>Residential: Electricity: Fans and Pumps: High Zero-Carbon Technology Cost</t>
  </si>
  <si>
    <t>AEO.2025.HIGHZTC.CNSM_NA_RESD_CMPR_ELC_NA_USA_QBTU.A</t>
  </si>
  <si>
    <t>Residential: Electricity: Computers: High Zero-Carbon Technology Cost</t>
  </si>
  <si>
    <t>AEO.2025.HIGHZTC.CNSM_NA_RESD_TVR_ELC_NA_USA_QBTU.A</t>
  </si>
  <si>
    <t>Residential: Electricity: Televisions: High Zero-Carbon Technology Cost</t>
  </si>
  <si>
    <t>AEO.2025.HIGHZTC.CNSM_NA_RESD_DSW_ELC_NA_USA_QBTU.A</t>
  </si>
  <si>
    <t>Residential: Electricity: Dishwashers: High Zero-Carbon Technology Cost</t>
  </si>
  <si>
    <t>AEO.2025.HIGHZTC.CNSM_NA_RESD_CLW_ELC_NA_USA_QBTU.A</t>
  </si>
  <si>
    <t>Residential: Electricity: Clothes Washers: High Zero-Carbon Technology Cost</t>
  </si>
  <si>
    <t>AEO.2025.HIGHZTC.CNSM_NA_RESD_LGHTNG_ELC_NA_USA_QBTU.A</t>
  </si>
  <si>
    <t>Residential: Electricity: Lighting: High Zero-Carbon Technology Cost</t>
  </si>
  <si>
    <t>AEO.2025.HIGHZTC.CNSM_NA_RESD_FRZ_ELC_NA_USA_QBTU.A</t>
  </si>
  <si>
    <t>Residential: Electricity: Freezers: High Zero-Carbon Technology Cost</t>
  </si>
  <si>
    <t>AEO.2025.HIGHZTC.CNSM_NA_RESD_CDR_ELC_NA_USA_QBTU.A</t>
  </si>
  <si>
    <t>Residential: Electricity: Clothes Dryers: High Zero-Carbon Technology Cost</t>
  </si>
  <si>
    <t>AEO.2025.HIGHZTC.CNSM_NA_RESD_CGR_ELC_NA_USA_QBTU.A</t>
  </si>
  <si>
    <t>Residential: Electricity: Cooking: High Zero-Carbon Technology Cost</t>
  </si>
  <si>
    <t>AEO.2025.HIGHZTC.CNSM_NA_RESD_REFR_ELC_NA_USA_QBTU.A</t>
  </si>
  <si>
    <t>Residential: Electricity: Refrigeration: High Zero-Carbon Technology Cost</t>
  </si>
  <si>
    <t>AEO.2025.HIGHZTC.CNSM_NA_RESD_WTHT_ELC_NA_USA_QBTU.A</t>
  </si>
  <si>
    <t>Residential: Electricity: Water Heating: High Zero-Carbon Technology Cost</t>
  </si>
  <si>
    <t>AEO.2025.HIGHZTC.CNSM_NA_RESD_SPC_ELC_NA_USA_QBTU.A</t>
  </si>
  <si>
    <t>Residential: Electricity: Space Cooling: High Zero-Carbon Technology Cost</t>
  </si>
  <si>
    <t>AEO.2025.HIGHZTC.CNSM_HHD_RESD_SPH_ELC_NA_USA_QBTU.A</t>
  </si>
  <si>
    <t>Residential: Electricity: Space Heating: High Zero-Carbon Technology Cost</t>
  </si>
  <si>
    <t>thousand Btu/sq ft</t>
  </si>
  <si>
    <t>AEO.2025.HIGHZTC.INY_HHD_RESD_TEN_NA_NA_USA_THBTUPSQFT.A</t>
  </si>
  <si>
    <t>Residential: Energy Intensity per Square Foot: Delivered Energy Consumption: High Zero-Carbon Technology Cost</t>
  </si>
  <si>
    <t>Delivered Energy Consumption</t>
  </si>
  <si>
    <t>AEO.2025.HIGHZTC.INY_HHD_RESD_DELE_NA_NA_USA_THBTUPSQFT.A</t>
  </si>
  <si>
    <t>Residential: Energy Intensity per Square Foot: Gross End-use Consumption: High Zero-Carbon Technology Cost</t>
  </si>
  <si>
    <t>Gross End-use Consumption</t>
  </si>
  <si>
    <t>(thousand Btu per square foot)</t>
  </si>
  <si>
    <t>MMBtu/household</t>
  </si>
  <si>
    <t>AEO.2025.HIGHZTC.INY_HHD_RESD_TEN_NA_NA_USA_MILLBTUPHOSD.A</t>
  </si>
  <si>
    <t>Residential: Household Energy Intensity: Delivered Energy Consumption: High Zero-Carbon Technology Cost</t>
  </si>
  <si>
    <t>AEO.2025.HIGHZTC.INY_HHD_RESD_DELE_NA_NA_USA_MILLBTUPHOSD.A</t>
  </si>
  <si>
    <t>Residential: Household Energy Intensity: Gross End-use Consumption: High Zero-Carbon Technology Cost</t>
  </si>
  <si>
    <t>(MMBtu per household)</t>
  </si>
  <si>
    <t>Energy Intensity</t>
  </si>
  <si>
    <t>sq ft</t>
  </si>
  <si>
    <t>AEO.2025.HIGHZTC.KEI_HHD_RESD_NA_NA_NA_USA_SQFT.A</t>
  </si>
  <si>
    <t>Residential: Key Indicators: Average House Square Footage: High Zero-Carbon Technology Cost</t>
  </si>
  <si>
    <t>Average House Square Footage</t>
  </si>
  <si>
    <t>millions</t>
  </si>
  <si>
    <t>AEO.2025.HIGHZTC.KEI_HHD_RESD_TEN_NA_NA_USA_MILL.A</t>
  </si>
  <si>
    <t>Residential: Key Indicators: Households: Total: High Zero-Carbon Technology Cost</t>
  </si>
  <si>
    <t>AEO.2025.HIGHZTC.KEI_HHD_RESD_MBH_NA_NA_USA_MILL.A</t>
  </si>
  <si>
    <t>Residential: Key Indicators: Households: Mobile Homes: High Zero-Carbon Technology Cost</t>
  </si>
  <si>
    <t>Mobile Homes</t>
  </si>
  <si>
    <t>AEO.2025.HIGHZTC.KEI_HHD_RESD_MFR_NA_NA_USA_MILL.A</t>
  </si>
  <si>
    <t>Residential: Key Indicators: Households: Multifamily: High Zero-Carbon Technology Cost</t>
  </si>
  <si>
    <t>Multifamily</t>
  </si>
  <si>
    <t>AEO.2025.HIGHZTC.KEI_HHD_RESD_SFR_NA_NA_USA_MILL.A</t>
  </si>
  <si>
    <t>Residential: Key Indicators: Households: Single-Family: High Zero-Carbon Technology Cost</t>
  </si>
  <si>
    <t>Single-Family</t>
  </si>
  <si>
    <t>Households (millions)</t>
  </si>
  <si>
    <t>Growth (2024-2050)</t>
  </si>
  <si>
    <t>units</t>
  </si>
  <si>
    <t>api key</t>
  </si>
  <si>
    <t>full name</t>
  </si>
  <si>
    <t>Source: U.S. Energy Information Administration</t>
  </si>
  <si>
    <t>Tue Dec 02 2025 13:13:01 GMT-0800 (Pacific Standard Time)</t>
  </si>
  <si>
    <t>https://www.eia.gov/outlooks/aeo/data/browser/#/?id=4-AEO2025&amp;cases=highZTC&amp;sourcekey=0</t>
  </si>
  <si>
    <t>Table 4.  Residential Sector Key Indicators and Consumption</t>
  </si>
  <si>
    <t>AEO.2025.HIGHZTC.KEI_NA_COMM_NA_NA_NA_USA_CDD.A</t>
  </si>
  <si>
    <t>Commercial: Cooling Degree Days: United States: High Zero-Carbon Technology Cost</t>
  </si>
  <si>
    <t>AEO.2025.HIGHZTC.KEI_NA_COMM_NA_NA_NA_PCF_CDD.A</t>
  </si>
  <si>
    <t>Commercial: Cooling Degree Days: Pacific: High Zero-Carbon Technology Cost</t>
  </si>
  <si>
    <t>AEO.2025.HIGHZTC.KEI_NA_COMM_NA_NA_NA_MTN_CDD.A</t>
  </si>
  <si>
    <t>Commercial: Cooling Degree Days: Mountain: High Zero-Carbon Technology Cost</t>
  </si>
  <si>
    <t>AEO.2025.HIGHZTC.KEI_NA_COMM_NA_NA_NA_WSC_CDD.A</t>
  </si>
  <si>
    <t>Commercial: Cooling Degree Days: West South Central: High Zero-Carbon Technology Cost</t>
  </si>
  <si>
    <t>AEO.2025.HIGHZTC.KEI_NA_COMM_NA_NA_NA_ESC_CDD.A</t>
  </si>
  <si>
    <t>Commercial: Cooling Degree Days: East South Central: High Zero-Carbon Technology Cost</t>
  </si>
  <si>
    <t>AEO.2025.HIGHZTC.KEI_NA_COMM_NA_NA_NA_SATL_CDD.A</t>
  </si>
  <si>
    <t>Commercial: Cooling Degree Days: South Atlantic: High Zero-Carbon Technology Cost</t>
  </si>
  <si>
    <t>AEO.2025.HIGHZTC.KEI_NA_COMM_NA_NA_NA_WNC_CDD.A</t>
  </si>
  <si>
    <t>Commercial: Cooling Degree Days: West North Central: High Zero-Carbon Technology Cost</t>
  </si>
  <si>
    <t>AEO.2025.HIGHZTC.KEI_NA_COMM_NA_NA_NA_ENC_CDD.A</t>
  </si>
  <si>
    <t>Commercial: Cooling Degree Days: East North Central: High Zero-Carbon Technology Cost</t>
  </si>
  <si>
    <t>AEO.2025.HIGHZTC.KEI_NA_COMM_NA_NA_NA_MATL_CDD.A</t>
  </si>
  <si>
    <t>Commercial: Cooling Degree Days: Middle Atlantic: High Zero-Carbon Technology Cost</t>
  </si>
  <si>
    <t>AEO.2025.HIGHZTC.KEI_NA_COMM_NA_NA_NA_NENGL_CDD.A</t>
  </si>
  <si>
    <t>Commercial: Cooling Degree Days: New England: High Zero-Carbon Technology Cost</t>
  </si>
  <si>
    <t>AEO.2025.HIGHZTC.KEI_NA_COMM_NA_NA_NA_USA_HDD.A</t>
  </si>
  <si>
    <t>Commercial: Heating Degree Days: United States: High Zero-Carbon Technology Cost</t>
  </si>
  <si>
    <t>AEO.2025.HIGHZTC.KEI_NA_COMM_NA_NA_NA_PCF_HDD.A</t>
  </si>
  <si>
    <t>Commercial: Heating Degree Days: Pacific: High Zero-Carbon Technology Cost</t>
  </si>
  <si>
    <t>AEO.2025.HIGHZTC.KEI_NA_COMM_NA_NA_NA_MTN_HDD.A</t>
  </si>
  <si>
    <t>Commercial: Heating Degree Days: Mountain: High Zero-Carbon Technology Cost</t>
  </si>
  <si>
    <t>AEO.2025.HIGHZTC.KEI_NA_COMM_NA_NA_NA_WSC_HDD.A</t>
  </si>
  <si>
    <t>Commercial: Heating Degree Days: West South Central: High Zero-Carbon Technology Cost</t>
  </si>
  <si>
    <t>AEO.2025.HIGHZTC.KEI_NA_COMM_NA_NA_NA_ESC_HDD.A</t>
  </si>
  <si>
    <t>Commercial: Heating Degree Days: East South Central: High Zero-Carbon Technology Cost</t>
  </si>
  <si>
    <t>AEO.2025.HIGHZTC.KEI_NA_COMM_NA_NA_NA_SATL_HDD.A</t>
  </si>
  <si>
    <t>Commercial: Heating Degree Days: South Atlantic: High Zero-Carbon Technology Cost</t>
  </si>
  <si>
    <t>AEO.2025.HIGHZTC.KEI_NA_COMM_NA_NA_NA_WNC_HDD.A</t>
  </si>
  <si>
    <t>Commercial: Heating Degree Days: West North Central: High Zero-Carbon Technology Cost</t>
  </si>
  <si>
    <t>AEO.2025.HIGHZTC.KEI_NA_COMM_NA_NA_NA_ENC_HDD.A</t>
  </si>
  <si>
    <t>Commercial: Heating Degree Days: East North Central: High Zero-Carbon Technology Cost</t>
  </si>
  <si>
    <t>AEO.2025.HIGHZTC.KEI_NA_COMM_NA_NA_NA_MATL_HDD.A</t>
  </si>
  <si>
    <t>Commercial: Heating Degree Days: Middle Atlantic: High Zero-Carbon Technology Cost</t>
  </si>
  <si>
    <t>AEO.2025.HIGHZTC.KEI_NA_COMM_NA_NA_NA_NENGL_HDD.A</t>
  </si>
  <si>
    <t>Commercial: Heating Degree Days: New England: High Zero-Carbon Technology Cost</t>
  </si>
  <si>
    <t>AEO.2025.HIGHZTC.CNSM_NA_COMM_NA_NRF_TOT_USA_QBTU.A</t>
  </si>
  <si>
    <t>Commercial: Nonmarketed Renewable Fuels: Total: High Zero-Carbon Technology Cost</t>
  </si>
  <si>
    <t>AEO.2025.HIGHZTC.CNSM_NA_COMM_NA_NRF_WND_USA_QBTU.A</t>
  </si>
  <si>
    <t>Commercial: Nonmarketed Renewable Fuels: Wind: High Zero-Carbon Technology Cost</t>
  </si>
  <si>
    <t>AEO.2025.HIGHZTC.CNSM_NA_COMM_NA_NRF_SOPH_USA_QBTU.A</t>
  </si>
  <si>
    <t>Commercial: Nonmarketed Renewable Fuels: Solar Photovoltaic: High Zero-Carbon Technology Cost</t>
  </si>
  <si>
    <t>AEO.2025.HIGHZTC.CNSM_NA_COMM_NA_NRF_SOTH_USA_QBTU.A</t>
  </si>
  <si>
    <t>Commercial: Nonmarketed Renewable Fuels: Solar Thermal: High Zero-Carbon Technology Cost</t>
  </si>
  <si>
    <t>Solar Thermal</t>
  </si>
  <si>
    <t>Nonmarketed Renewable Fuels</t>
  </si>
  <si>
    <t>AEO.2025.HIGHZTC.GEN_GFO_COMM_NA_TEE_TOT_USA_QBTU.A</t>
  </si>
  <si>
    <t>Commercial: Total Energy Use by End Use: Total Net Own-use Generation: High Zero-Carbon Technology Cost</t>
  </si>
  <si>
    <t>AEO.2025.HIGHZTC.GEN_GFO_COMM_NA_TEE_NA_USA_QBTU.A</t>
  </si>
  <si>
    <t>Commercial: Total Energy Use by End Use: Generation for Own Use: High Zero-Carbon Technology Cost</t>
  </si>
  <si>
    <t>Commercial: Total Energy Use by End Use: Purchased Electricity for EV Charging: High Zero-Carbon Technology Cost</t>
  </si>
  <si>
    <t>AEO.2025.HIGHZTC.CNSM_NA_COMM_NA_TEE_NA_USA_QBTU.A</t>
  </si>
  <si>
    <t>Commercial: Total Energy Use by End Use: Total Gross End-use Consumption: High Zero-Carbon Technology Cost</t>
  </si>
  <si>
    <t>AEO.2025.HIGHZTC.CNSM_NA_COMM_NA_TEE_OTHU_USA_QBTU.A</t>
  </si>
  <si>
    <t>Commercial: Total Energy Use by End Use: Other Uses: High Zero-Carbon Technology Cost</t>
  </si>
  <si>
    <t>AEO.2025.HIGHZTC.CNSM_NA_COMM_NA_TEE_OFEQPNPC_USA_QBTU.A</t>
  </si>
  <si>
    <t>Commercial: Total Energy Use by End Use: Office Equipment: High Zero-Carbon Technology Cost</t>
  </si>
  <si>
    <t>Office Equipment</t>
  </si>
  <si>
    <t>AEO.2025.HIGHZTC.CNSM_NA_COMM_NA_TEE_OFEQPC_USA_QBTU.A</t>
  </si>
  <si>
    <t>Commercial: Total Energy Use by End Use: Computing: High Zero-Carbon Technology Cost</t>
  </si>
  <si>
    <t>Computing</t>
  </si>
  <si>
    <t>AEO.2025.HIGHZTC.CNSM_NA_COMM_NA_TEE_REFR_USA_QBTU.A</t>
  </si>
  <si>
    <t>Commercial: Total Energy Use by End Use: Refrigeration: High Zero-Carbon Technology Cost</t>
  </si>
  <si>
    <t>AEO.2025.HIGHZTC.CNSM_NA_COMM_NA_TEE_LGHTNG_USA_QBTU.A</t>
  </si>
  <si>
    <t>Commercial: Total Energy Use by End Use: Lighting: High Zero-Carbon Technology Cost</t>
  </si>
  <si>
    <t>AEO.2025.HIGHZTC.CNSM_NA_COMM_NA_TEE_CGR_USA_QBTU.A</t>
  </si>
  <si>
    <t>Commercial: Total Energy Use by End Use: Cooking: High Zero-Carbon Technology Cost</t>
  </si>
  <si>
    <t>AEO.2025.HIGHZTC.CNSM_NA_COMM_NA_TEE_VNTC_USA_QBTU.A</t>
  </si>
  <si>
    <t>Commercial: Total Energy Use by End Use: Ventilation: High Zero-Carbon Technology Cost</t>
  </si>
  <si>
    <t>Ventilation</t>
  </si>
  <si>
    <t>AEO.2025.HIGHZTC.CNSM_NA_COMM_NA_TEE_WTHT_USA_QBTU.A</t>
  </si>
  <si>
    <t>Commercial: Total Energy Use by End Use: Water Heating: High Zero-Carbon Technology Cost</t>
  </si>
  <si>
    <t>AEO.2025.HIGHZTC.CNSM_NA_COMM_NA_TEE_SPC_USA_QBTU.A</t>
  </si>
  <si>
    <t>Commercial: Total Energy Use by End Use: Space Cooling: High Zero-Carbon Technology Cost</t>
  </si>
  <si>
    <t>AEO.2025.HIGHZTC.CNSM_NA_COMM_NA_TEE_SPH_USA_QBTU.A</t>
  </si>
  <si>
    <t>Commercial: Total Energy Use by End Use: Space Heating: High Zero-Carbon Technology Cost</t>
  </si>
  <si>
    <t>AEO.2025.HIGHZTC.CNSM_NA_COMM_NA_ERL_NA_USA_QBTU.A</t>
  </si>
  <si>
    <t>Commercial: Electricity Related Losses: High Zero-Carbon Technology Cost</t>
  </si>
  <si>
    <t>AEO.2025.HIGHZTC.CNSM_NA_COMM_NA_DEE_NA_USA_QBTU.A</t>
  </si>
  <si>
    <t>Commercial: Energy Consumption by End Use: Delivered Energy: High Zero-Carbon Technology Cost</t>
  </si>
  <si>
    <t>AEO.2025.HIGHZTC.GEN_NA_COMM_NA_DEE_GFO_USA_QBTU.A</t>
  </si>
  <si>
    <t>Commercial: Energy Consumption by End Use: Generation for Own Use: High Zero-Carbon Technology Cost</t>
  </si>
  <si>
    <t>AEO.2025.HIGHZTC.CNSM_NA_COMM_NA_DEE_EVCHA_USA_QBTU.A</t>
  </si>
  <si>
    <t>Commercial: Energy Consumption by End Use: Purchased Electricity for EV Charging: High Zero-Carbon Technology Cost</t>
  </si>
  <si>
    <t>Commercial: Delivered Energy Use by End Use: Gross End-use Consumption: High Zero-Carbon Technology Cost</t>
  </si>
  <si>
    <t>AEO.2025.HIGHZTC.CNSM_NA_COMM_NA_DEE_OTHU_USA_QBTU.A</t>
  </si>
  <si>
    <t>Commercial: Delivered Energy Use by End Use: Other Uses: High Zero-Carbon Technology Cost</t>
  </si>
  <si>
    <t>AEO.2025.HIGHZTC.CNSM_NA_COMM_NA_DEE_OFEQPNPC_USA_QBTU.A</t>
  </si>
  <si>
    <t>Commercial: Delivered Energy Use by End Use: Office Equipment: High Zero-Carbon Technology Cost</t>
  </si>
  <si>
    <t>AEO.2025.HIGHZTC.CNSM_NA_COMM_NA_DEE_OFEQPC_USA_QBTU.A</t>
  </si>
  <si>
    <t>Commercial: Delivered Energy Use by End Use: Computing: High Zero-Carbon Technology Cost</t>
  </si>
  <si>
    <t>AEO.2025.HIGHZTC.CNSM_NA_COMM_NA_DEE_REFR_USA_QBTU.A</t>
  </si>
  <si>
    <t>Commercial: Delivered Energy Use by End Use: Refrigeration: High Zero-Carbon Technology Cost</t>
  </si>
  <si>
    <t>AEO.2025.HIGHZTC.CNSM_NA_COMM_NA_DEE_LGHTNG_USA_QBTU.A</t>
  </si>
  <si>
    <t>Commercial: Delivered Energy Use by End Use: Lighting: High Zero-Carbon Technology Cost</t>
  </si>
  <si>
    <t>AEO.2025.HIGHZTC.CNSM_NA_COMM_NA_DEE_CGR_USA_QBTU.A</t>
  </si>
  <si>
    <t>Commercial: Delivered Energy Use by End Use: Cooking: High Zero-Carbon Technology Cost</t>
  </si>
  <si>
    <t>AEO.2025.HIGHZTC.CNSM_NA_COMM_NA_DEE_VNTC_USA_QBTU.A</t>
  </si>
  <si>
    <t>Commercial: Delivered Energy Use by End Use: Ventilation: High Zero-Carbon Technology Cost</t>
  </si>
  <si>
    <t>AEO.2025.HIGHZTC.CNSM_NA_COMM_NA_DEE_WTHT_USA_QBTU.A</t>
  </si>
  <si>
    <t>Commercial: Delivered Energy Use by End Use: Water Heating: High Zero-Carbon Technology Cost</t>
  </si>
  <si>
    <t>AEO.2025.HIGHZTC.CNSM_NA_COMM_NA_DEE_SPC_USA_QBTU.A</t>
  </si>
  <si>
    <t>Commercial: Delivered Energy Use by End Use: Space Cooling: High Zero-Carbon Technology Cost</t>
  </si>
  <si>
    <t>AEO.2025.HIGHZTC.CNSM_NA_COMM_NA_DEE_SPH_USA_QBTU.A</t>
  </si>
  <si>
    <t>Commercial: Delivered Energy Use by End Use: Space Heating: High Zero-Carbon Technology Cost</t>
  </si>
  <si>
    <t>AEO.2025.HIGHZTC.CNSM_NA_COMM_NA_OFU_NA_USA_QBTU.A</t>
  </si>
  <si>
    <t>Commercial: Other Fuels: High Zero-Carbon Technology Cost</t>
  </si>
  <si>
    <t>Other Fuels</t>
  </si>
  <si>
    <t>AEO.2025.HIGHZTC.CNSM_NA_COMM_NA_BMS_NA_USA_QBTU.A</t>
  </si>
  <si>
    <t>Commercial: Marketed Renewables (biomass): High Zero-Carbon Technology Cost</t>
  </si>
  <si>
    <t>Marketed Renewables (biomass)</t>
  </si>
  <si>
    <t>AEO.2025.HIGHZTC.CNSM_NA_COMM_NA_DFO_DELE_USA_QBTU.A</t>
  </si>
  <si>
    <t>Commercial: Distillate Fuel Oil: Delivered Energy: High Zero-Carbon Technology Cost</t>
  </si>
  <si>
    <t>AEO.2025.HIGHZTC.CNSM_NA_COMM_NA_DFO_OTHU_USA_QBTU.A</t>
  </si>
  <si>
    <t>Commercial: Distillate Fuel Oil: Other Uses: High Zero-Carbon Technology Cost</t>
  </si>
  <si>
    <t>AEO.2025.HIGHZTC.CNSM_NA_COMM_NA_DFO_WTHT_USA_QBTU.A</t>
  </si>
  <si>
    <t>Commercial: Distillate Fuel Oil: Water Heating: High Zero-Carbon Technology Cost</t>
  </si>
  <si>
    <t>AEO.2025.HIGHZTC.CNSM_NA_COMM_NA_DFO_SPH_USA_QBTU.A</t>
  </si>
  <si>
    <t>Commercial: Distillate Fuel Oil: Space Heating: High Zero-Carbon Technology Cost</t>
  </si>
  <si>
    <t>AEO.2025.HIGHZTC.CNSM_NA_COMM_NA_NG_DELE_USA_QBTU.A</t>
  </si>
  <si>
    <t>Commercial: Natural Gas: Delivered Energy: High Zero-Carbon Technology Cost</t>
  </si>
  <si>
    <t>AEO.2025.HIGHZTC.CNSM_NA_COMM_NA_NG_OTHU_USA_QBTU.A</t>
  </si>
  <si>
    <t>Commercial: Natural Gas: Other Uses: High Zero-Carbon Technology Cost</t>
  </si>
  <si>
    <t>AEO.2025.HIGHZTC.CNSM_NA_COMM_NA_NG_CGR_USA_QBTU.A</t>
  </si>
  <si>
    <t>Commercial: Natural Gas: Cooking: High Zero-Carbon Technology Cost</t>
  </si>
  <si>
    <t>AEO.2025.HIGHZTC.CNSM_NA_COMM_NA_NG_WTHT_USA_QBTU.A</t>
  </si>
  <si>
    <t>Commercial: Natural Gas: Water Heating: High Zero-Carbon Technology Cost</t>
  </si>
  <si>
    <t>AEO.2025.HIGHZTC.CNSM_NA_COMM_NA_NG_SPC_USA_QBTU.A</t>
  </si>
  <si>
    <t>Commercial: Natural Gas: Space Cooling: High Zero-Carbon Technology Cost</t>
  </si>
  <si>
    <t>AEO.2025.HIGHZTC.CNSM_NA_COMM_NA_NG_SPH_USA_QBTU.A</t>
  </si>
  <si>
    <t>Commercial: Natural Gas: Space Heating: High Zero-Carbon Technology Cost</t>
  </si>
  <si>
    <t>AEO.2025.HIGHZTC.CNSM_NA_COMM_NA_DELE_ELC_USA_QBTU.A</t>
  </si>
  <si>
    <t>Commercial: Energy Consumption by Fuel: Purchased Electricity: High Zero-Carbon Technology Cost</t>
  </si>
  <si>
    <t>Purchased Electricity at Commercial Location</t>
  </si>
  <si>
    <t>AEO.2025.HIGHZTC.GEN_NA_COMM_NA_GFO_ELC_USA_QBTU.A</t>
  </si>
  <si>
    <t>Commercial: Energy Consumption by Fuel: Generation for Own Use: High Zero-Carbon Technology Cost</t>
  </si>
  <si>
    <t>AEO.2025.HIGHZTC.GEN_NA_COMM_NA_PRC_EVCHA_USA_QBTU.A</t>
  </si>
  <si>
    <t>Commercial: Energy Consumption by Fuel: Purchased Electricity for EV Charging: High Zero-Carbon Technology Cost</t>
  </si>
  <si>
    <t>AEO.2025.HIGHZTC.CNSM_NA_COMM_NA_PRC_DELE_USA_QBTU.A</t>
  </si>
  <si>
    <t>Commercial: Energy Consumption by Fuel: Electricity Subtotal: High Zero-Carbon Technology Cost</t>
  </si>
  <si>
    <t>AEO.2025.HIGHZTC.CNSM_NA_COMM_NA_PRC_OTHU_USA_QBTU.A</t>
  </si>
  <si>
    <t>Commercial: Purchased Electricity: Other Uses: High Zero-Carbon Technology Cost</t>
  </si>
  <si>
    <t>AEO.2025.HIGHZTC.CNSM_NA_COMM_NA_PRC_OTHEQPNPC_USA_QBTU.A</t>
  </si>
  <si>
    <t>Commercial: Purchased Electricity: Office Equipment: High Zero-Carbon Technology Cost</t>
  </si>
  <si>
    <t>AEO.2025.HIGHZTC.CNSM_NA_COMM_NA_PRC_OTHEQPPC_USA_QBTU.A</t>
  </si>
  <si>
    <t>Commercial: Purchased Electricity: Computing: High Zero-Carbon Technology Cost</t>
  </si>
  <si>
    <t>AEO.2025.HIGHZTC.CNSM_NA_COMM_NA_PRC_REFR_USA_QBTU.A</t>
  </si>
  <si>
    <t>Commercial: Purchased Electricity: Refrigeration: High Zero-Carbon Technology Cost</t>
  </si>
  <si>
    <t>AEO.2025.HIGHZTC.CNSM_NA_COMM_NA_PRC_LGHTNG_USA_QBTU.A</t>
  </si>
  <si>
    <t>Commercial: Purchased Electricity: Lighting: High Zero-Carbon Technology Cost</t>
  </si>
  <si>
    <t>AEO.2025.HIGHZTC.CNSM_NA_COMM_NA_PRC_CGR_USA_QBTU.A</t>
  </si>
  <si>
    <t>Commercial: Purchased Electricity: Cooking: High Zero-Carbon Technology Cost</t>
  </si>
  <si>
    <t>AEO.2025.HIGHZTC.CNSM_NA_COMM_NA_PRC_VNTC_USA_QBTU.A</t>
  </si>
  <si>
    <t>Commercial: Purchased Electricity: Ventilation: High Zero-Carbon Technology Cost</t>
  </si>
  <si>
    <t>AEO.2025.HIGHZTC.CNSM_NA_COMM_NA_PRC_WTHT_USA_QBTU.A</t>
  </si>
  <si>
    <t>Commercial: Purchased Electricity: Water Heating: High Zero-Carbon Technology Cost</t>
  </si>
  <si>
    <t>AEO.2025.HIGHZTC.CNSM_NA_COMM_NA_PRC_SPC_USA_QBTU.A</t>
  </si>
  <si>
    <t>Commercial: Purchased Electricity: Space Cooling: High Zero-Carbon Technology Cost</t>
  </si>
  <si>
    <t>Space Cooling 3/</t>
  </si>
  <si>
    <t>AEO.2025.HIGHZTC.CNSM_NA_COMM_NA_PRC_SPH_USA_QBTU.A</t>
  </si>
  <si>
    <t>Commercial: Purchased Electricity: Space Heating: High Zero-Carbon Technology Cost</t>
  </si>
  <si>
    <t>AEO.2025.HIGHZTC.INY_NA_COMM_NA_EUI_ERL_USA_THBTUPSQFT.A</t>
  </si>
  <si>
    <t>Commercial: Energy Use Intensity: Delivered Energy Consumption: High Zero-Carbon Technology Cost</t>
  </si>
  <si>
    <t>AEO.2025.HIGHZTC.INY_NA_COMM_NA_EUI_DLENCONS_USA_THBTUPSQFT.A</t>
  </si>
  <si>
    <t>Commercial: Energy Use Intensity: Gross End-use Consumption: High Zero-Carbon Technology Cost</t>
  </si>
  <si>
    <t>Energy Consumption Intensity</t>
  </si>
  <si>
    <t>billion sq ft</t>
  </si>
  <si>
    <t>AEO.2025.HIGHZTC.KEI_NA_COMM_NA_TFP_TOT_USA_BLNSQFT.A</t>
  </si>
  <si>
    <t>Commercial: Total Floorspace: Total: High Zero-Carbon Technology Cost</t>
  </si>
  <si>
    <t>AEO.2025.HIGHZTC.KEI_NA_COMM_NA_TFP_NADN_USA_BLNSQFT.A</t>
  </si>
  <si>
    <t>Commercial: Total Floorspace: New Additions: High Zero-Carbon Technology Cost</t>
  </si>
  <si>
    <t>New Additions</t>
  </si>
  <si>
    <t>AEO.2025.HIGHZTC.KEI_NA_COMM_NA_TFP_SURV_USA_BLNSQFT.A</t>
  </si>
  <si>
    <t>Commercial: Total Floorspace: Surviving: High Zero-Carbon Technology Cost</t>
  </si>
  <si>
    <t>Surviving</t>
  </si>
  <si>
    <t>Total Floorspace (billion square feet)</t>
  </si>
  <si>
    <t>Tue Dec 02 2025 13:13:07 GMT-0800 (Pacific Standard Time)</t>
  </si>
  <si>
    <t>https://www.eia.gov/outlooks/aeo/data/browser/#/?id=5-AEO2025&amp;cases=highZTC&amp;sourcekey=0</t>
  </si>
  <si>
    <t>Table 5.  Commercial Sector Key Indicators and Consumption</t>
  </si>
  <si>
    <t>Variables</t>
  </si>
  <si>
    <t>EPS-end use</t>
  </si>
  <si>
    <t>EPS-fuel</t>
  </si>
  <si>
    <t>heating</t>
  </si>
  <si>
    <t>cooling</t>
  </si>
  <si>
    <t>appliances</t>
  </si>
  <si>
    <t>lighting</t>
  </si>
  <si>
    <t>other</t>
  </si>
  <si>
    <t>total</t>
  </si>
  <si>
    <t>residential</t>
  </si>
  <si>
    <t>commercial</t>
  </si>
  <si>
    <t>NA</t>
  </si>
  <si>
    <t>DOE</t>
  </si>
  <si>
    <t>COMMERCIAL CHECK</t>
  </si>
  <si>
    <t>RESIDENTIAL CHECK</t>
  </si>
  <si>
    <t>Annual Energy Outlook 2025</t>
  </si>
  <si>
    <t>High zero-carbon technology cost: Table 4</t>
  </si>
  <si>
    <t>https://www.eia.gov/outlooks/aeo/tables_side_xls.php</t>
  </si>
  <si>
    <t>High zero-carbon technology cost: Table 5</t>
  </si>
  <si>
    <t>Notes on DOE Heat Pump Rules</t>
  </si>
  <si>
    <t>The US Department of Energy implemented new standards that incentivize the installation of electric heat pumps. We adjust the electricity consumption forecast for water heating to increase demand to reflect the new requirements.</t>
  </si>
  <si>
    <t>Units:</t>
  </si>
  <si>
    <t>This tab adjusts AEO values. It adds in electricity expected for electric heating from DOE heat pump rules. It also splits the 'other fuels' category among different fuels and end uses</t>
  </si>
  <si>
    <t>Combined Code</t>
  </si>
  <si>
    <t>AEO Table 4</t>
  </si>
  <si>
    <t>AEO Table 5</t>
  </si>
  <si>
    <t>The 'Crosswalk AEO to EPS Summary' tab summarizes relevant AEO data and tags it with EPS categories. The 'Calculations' tab organizes the AEO data and makes a few adjustments.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</si>
</sst>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8" formatCode="_(* #,##0_);_(* \(#,##0\);_(* &quot;-&quot;??_);_(@_)"/>
  </numFmts>
  <fonts count="25"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i/>
      <sz val="9"/>
      <color theme="1"/>
      <name val="Calibri"/>
      <family val="2"/>
      <scheme val="minor"/>
    </font>
    <font>
      <vertAlign val="superscript"/>
      <sz val="9"/>
      <color theme="1"/>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b/>
      <i/>
      <sz val="11"/>
      <color theme="1"/>
      <name val="Calibri"/>
      <family val="2"/>
      <scheme val="minor"/>
    </font>
    <font>
      <sz val="12"/>
      <color theme="1"/>
      <name val="Aptos"/>
      <family val="2"/>
    </font>
    <font>
      <sz val="11"/>
      <name val="Calibri"/>
      <family val="2"/>
      <scheme val="minor"/>
    </font>
  </fonts>
  <fills count="18">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diagonal/>
    </border>
  </borders>
  <cellStyleXfs count="36">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9" fillId="0" borderId="0" applyFont="0" applyFill="0" applyBorder="0" applyAlignment="0" applyProtection="0"/>
    <xf numFmtId="0" fontId="3" fillId="0" borderId="10" applyNumberFormat="0" applyProtection="0">
      <alignment horizontal="left" wrapText="1"/>
    </xf>
    <xf numFmtId="43" fontId="9" fillId="0" borderId="0" applyFont="0" applyFill="0" applyBorder="0" applyAlignment="0" applyProtection="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cellStyleXfs>
  <cellXfs count="104">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165" fontId="0" fillId="0" borderId="0" xfId="15" applyNumberFormat="1" applyFont="1"/>
    <xf numFmtId="4" fontId="0" fillId="0" borderId="0" xfId="0" applyNumberFormat="1"/>
    <xf numFmtId="0" fontId="14" fillId="0" borderId="0" xfId="0" applyFont="1"/>
    <xf numFmtId="11" fontId="0" fillId="0" borderId="0" xfId="17" applyNumberFormat="1" applyFont="1"/>
    <xf numFmtId="0" fontId="0" fillId="5" borderId="0" xfId="0" applyFill="1"/>
    <xf numFmtId="9" fontId="0" fillId="0" borderId="0" xfId="15" applyFont="1"/>
    <xf numFmtId="0" fontId="14" fillId="5" borderId="0" xfId="0" applyFont="1" applyFill="1"/>
    <xf numFmtId="0" fontId="0" fillId="6" borderId="0" xfId="0" applyFill="1"/>
    <xf numFmtId="0" fontId="15"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7" borderId="0" xfId="0" applyFont="1" applyFill="1"/>
    <xf numFmtId="11" fontId="9" fillId="0" borderId="0" xfId="0" applyNumberFormat="1" applyFont="1"/>
    <xf numFmtId="0" fontId="1" fillId="8" borderId="0" xfId="0" applyFont="1" applyFill="1"/>
    <xf numFmtId="168" fontId="1" fillId="0" borderId="0" xfId="17" applyNumberFormat="1" applyFont="1"/>
    <xf numFmtId="168"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3"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3" fillId="0" borderId="7" xfId="11" applyFont="1">
      <alignment wrapText="1"/>
    </xf>
    <xf numFmtId="2" fontId="13" fillId="0" borderId="7" xfId="11" applyNumberFormat="1" applyFont="1" applyAlignment="1">
      <alignment horizontal="right" wrapText="1"/>
    </xf>
    <xf numFmtId="0" fontId="13" fillId="0" borderId="7" xfId="11" applyFont="1" applyAlignment="1">
      <alignment horizontal="left" wrapText="1" indent="1"/>
    </xf>
    <xf numFmtId="0" fontId="13" fillId="0" borderId="7" xfId="11" applyFont="1" applyAlignment="1">
      <alignment horizontal="left" wrapText="1" indent="2"/>
    </xf>
    <xf numFmtId="0" fontId="0" fillId="0" borderId="0" xfId="0" applyAlignment="1">
      <alignment horizontal="left" indent="1"/>
    </xf>
    <xf numFmtId="0" fontId="13" fillId="0" borderId="7" xfId="11" applyFont="1" applyAlignment="1">
      <alignment horizontal="left" wrapText="1"/>
    </xf>
    <xf numFmtId="0" fontId="13" fillId="0" borderId="7" xfId="11" quotePrefix="1" applyFont="1">
      <alignment wrapText="1"/>
    </xf>
    <xf numFmtId="0" fontId="13" fillId="0" borderId="7" xfId="11" applyFont="1" applyAlignment="1">
      <alignment horizontal="right" wrapText="1"/>
    </xf>
    <xf numFmtId="0" fontId="11" fillId="0" borderId="6" xfId="10" applyFont="1" applyAlignment="1">
      <alignment horizontal="left" wrapText="1" indent="1"/>
    </xf>
    <xf numFmtId="164" fontId="13" fillId="0" borderId="7" xfId="11" applyNumberFormat="1" applyFont="1" applyAlignment="1">
      <alignment horizontal="right" wrapText="1"/>
    </xf>
    <xf numFmtId="0" fontId="1" fillId="5" borderId="0" xfId="0" applyFont="1" applyFill="1"/>
    <xf numFmtId="9" fontId="0" fillId="0" borderId="0" xfId="0" applyNumberFormat="1"/>
    <xf numFmtId="0" fontId="1" fillId="4" borderId="0" xfId="0" applyFont="1" applyFill="1"/>
    <xf numFmtId="0" fontId="0" fillId="4" borderId="0" xfId="0" applyFill="1"/>
    <xf numFmtId="9" fontId="1" fillId="0" borderId="0" xfId="15" applyFont="1"/>
    <xf numFmtId="0" fontId="0" fillId="9" borderId="0" xfId="0" applyFill="1"/>
    <xf numFmtId="0" fontId="1" fillId="0" borderId="13" xfId="0" applyFont="1" applyBorder="1"/>
    <xf numFmtId="0" fontId="0" fillId="0" borderId="14" xfId="0" applyBorder="1"/>
    <xf numFmtId="9" fontId="0" fillId="0" borderId="14" xfId="15" applyFont="1" applyBorder="1"/>
    <xf numFmtId="0" fontId="1" fillId="10" borderId="0" xfId="0" applyFont="1" applyFill="1"/>
    <xf numFmtId="0" fontId="0" fillId="10" borderId="0" xfId="0" applyFill="1"/>
    <xf numFmtId="9" fontId="9" fillId="0" borderId="0" xfId="15" applyFont="1"/>
    <xf numFmtId="11" fontId="0" fillId="0" borderId="0" xfId="15" applyNumberFormat="1" applyFont="1"/>
    <xf numFmtId="0" fontId="0" fillId="0" borderId="0" xfId="15" applyNumberFormat="1" applyFont="1"/>
    <xf numFmtId="0" fontId="20" fillId="11" borderId="0" xfId="0" applyFont="1" applyFill="1"/>
    <xf numFmtId="0" fontId="21" fillId="11" borderId="0" xfId="0" applyFont="1" applyFill="1"/>
    <xf numFmtId="0" fontId="21" fillId="11" borderId="14" xfId="0" applyFont="1" applyFill="1" applyBorder="1"/>
    <xf numFmtId="0" fontId="1" fillId="6" borderId="0" xfId="0" applyFont="1" applyFill="1"/>
    <xf numFmtId="11" fontId="0" fillId="6" borderId="0" xfId="0" applyNumberFormat="1" applyFill="1"/>
    <xf numFmtId="0" fontId="19" fillId="0" borderId="0" xfId="0" applyFont="1"/>
    <xf numFmtId="9" fontId="19" fillId="0" borderId="0" xfId="15" applyFont="1"/>
    <xf numFmtId="11" fontId="0" fillId="0" borderId="14" xfId="15" applyNumberFormat="1" applyFont="1" applyBorder="1"/>
    <xf numFmtId="11" fontId="0" fillId="0" borderId="15" xfId="0" applyNumberFormat="1" applyBorder="1"/>
    <xf numFmtId="11" fontId="0" fillId="0" borderId="14" xfId="0" applyNumberFormat="1" applyBorder="1"/>
    <xf numFmtId="0" fontId="22" fillId="5" borderId="0" xfId="0" applyFont="1" applyFill="1"/>
    <xf numFmtId="9" fontId="9" fillId="10" borderId="0" xfId="15" applyFont="1" applyFill="1"/>
    <xf numFmtId="11" fontId="0" fillId="10" borderId="0" xfId="0" applyNumberFormat="1" applyFill="1"/>
    <xf numFmtId="11" fontId="0" fillId="9" borderId="0" xfId="0" applyNumberFormat="1" applyFill="1"/>
    <xf numFmtId="0" fontId="23" fillId="0" borderId="0" xfId="0" applyFont="1"/>
    <xf numFmtId="9" fontId="0" fillId="0" borderId="0" xfId="15" applyFont="1" applyAlignment="1">
      <alignment wrapText="1"/>
    </xf>
    <xf numFmtId="10" fontId="0" fillId="0" borderId="0" xfId="0" applyNumberFormat="1"/>
    <xf numFmtId="0" fontId="0" fillId="12" borderId="0" xfId="0" applyFill="1"/>
    <xf numFmtId="0" fontId="0" fillId="0" borderId="16" xfId="0" applyBorder="1"/>
    <xf numFmtId="0" fontId="1" fillId="13" borderId="0" xfId="0" applyFont="1" applyFill="1"/>
    <xf numFmtId="0" fontId="1" fillId="13" borderId="16" xfId="0" applyFont="1" applyFill="1" applyBorder="1"/>
    <xf numFmtId="9" fontId="0" fillId="9" borderId="0" xfId="15" applyFont="1" applyFill="1"/>
    <xf numFmtId="0" fontId="16" fillId="0" borderId="0" xfId="14" applyFont="1" applyAlignment="1">
      <alignment horizontal="left" wrapText="1"/>
    </xf>
    <xf numFmtId="0" fontId="0" fillId="0" borderId="0" xfId="0" applyAlignment="1">
      <alignment wrapText="1"/>
    </xf>
    <xf numFmtId="3" fontId="11" fillId="0" borderId="9" xfId="0" applyNumberFormat="1" applyFont="1" applyBorder="1" applyAlignment="1">
      <alignment horizontal="left" wrapText="1"/>
    </xf>
    <xf numFmtId="0" fontId="0" fillId="0" borderId="9" xfId="0" applyBorder="1" applyAlignment="1">
      <alignment horizontal="left"/>
    </xf>
    <xf numFmtId="3" fontId="11" fillId="0" borderId="12" xfId="16" applyNumberFormat="1" applyFont="1" applyBorder="1">
      <alignment horizontal="left" wrapText="1"/>
    </xf>
    <xf numFmtId="0" fontId="10" fillId="0" borderId="0" xfId="0" applyFont="1" applyAlignment="1">
      <alignment horizontal="left" wrapText="1"/>
    </xf>
    <xf numFmtId="0" fontId="7" fillId="0" borderId="8" xfId="9">
      <alignment wrapText="1"/>
    </xf>
    <xf numFmtId="0" fontId="1" fillId="0" borderId="0" xfId="0" applyFont="1" applyFill="1"/>
    <xf numFmtId="0" fontId="1" fillId="14" borderId="0" xfId="0" applyFont="1" applyFill="1"/>
    <xf numFmtId="0" fontId="0" fillId="14" borderId="0" xfId="0" applyFill="1"/>
    <xf numFmtId="0" fontId="20" fillId="15" borderId="0" xfId="0" applyFont="1" applyFill="1"/>
    <xf numFmtId="0" fontId="0" fillId="0" borderId="0" xfId="0" applyNumberFormat="1"/>
    <xf numFmtId="166" fontId="0" fillId="0" borderId="0" xfId="0" applyNumberFormat="1" applyFill="1"/>
    <xf numFmtId="166" fontId="0" fillId="16" borderId="0" xfId="0" applyNumberFormat="1" applyFill="1"/>
    <xf numFmtId="0" fontId="0" fillId="0" borderId="0" xfId="0" applyFill="1"/>
    <xf numFmtId="0" fontId="0" fillId="0" borderId="0" xfId="0" applyFont="1"/>
    <xf numFmtId="0" fontId="0" fillId="0" borderId="0" xfId="0" applyFont="1" applyFill="1"/>
    <xf numFmtId="0" fontId="0" fillId="5" borderId="0" xfId="0" applyFont="1" applyFill="1"/>
    <xf numFmtId="0" fontId="21" fillId="15" borderId="0" xfId="0" applyFont="1" applyFill="1"/>
    <xf numFmtId="0" fontId="0" fillId="14" borderId="0" xfId="0" applyFont="1" applyFill="1"/>
    <xf numFmtId="0" fontId="24" fillId="0" borderId="0" xfId="0" applyFont="1" applyFill="1"/>
    <xf numFmtId="0" fontId="24" fillId="0" borderId="0" xfId="0" applyFont="1"/>
    <xf numFmtId="0" fontId="0" fillId="12" borderId="0" xfId="0" applyFont="1" applyFill="1" applyAlignment="1">
      <alignment wrapText="1"/>
    </xf>
    <xf numFmtId="0" fontId="1" fillId="17" borderId="0" xfId="0" applyFont="1" applyFill="1"/>
    <xf numFmtId="0" fontId="1" fillId="17" borderId="16" xfId="0" applyFont="1" applyFill="1" applyBorder="1"/>
  </cellXfs>
  <cellStyles count="36">
    <cellStyle name="Body: normal cell" xfId="4" xr:uid="{00000000-0005-0000-0000-000000000000}"/>
    <cellStyle name="Body: normal cell 2" xfId="11" xr:uid="{00000000-0005-0000-0000-000001000000}"/>
    <cellStyle name="Body: normal cell 2 2" xfId="27" xr:uid="{C64CC71B-8781-4D51-B11F-42D1A7F2E888}"/>
    <cellStyle name="Body: normal cell 3" xfId="20" xr:uid="{91AD3E71-79F3-4117-8DA4-98D5FCA0DE78}"/>
    <cellStyle name="Comma" xfId="17" builtinId="3"/>
    <cellStyle name="Font: Calibri, 9pt regular" xfId="1" xr:uid="{00000000-0005-0000-0000-000003000000}"/>
    <cellStyle name="Font: Calibri, 9pt regular 2" xfId="13" xr:uid="{00000000-0005-0000-0000-000004000000}"/>
    <cellStyle name="Font: Calibri, 9pt regular 2 2" xfId="28" xr:uid="{7068914B-94AF-4C43-8725-324FE6E171F5}"/>
    <cellStyle name="Font: Calibri, 9pt regular 3" xfId="22" xr:uid="{867021F5-50F6-412E-896C-F0DB1105ED58}"/>
    <cellStyle name="Footnotes: top row" xfId="6" xr:uid="{00000000-0005-0000-0000-000005000000}"/>
    <cellStyle name="Footnotes: top row 2" xfId="9" xr:uid="{00000000-0005-0000-0000-000006000000}"/>
    <cellStyle name="Footnotes: top row 2 2" xfId="29" xr:uid="{59BEE92A-4574-472B-864F-626189BFDBAD}"/>
    <cellStyle name="Footnotes: top row 3" xfId="18" xr:uid="{EF416A48-AF0B-41CE-BFC3-15653D8038C0}"/>
    <cellStyle name="Header: bottom row" xfId="2" xr:uid="{00000000-0005-0000-0000-000007000000}"/>
    <cellStyle name="Header: bottom row 2" xfId="12" xr:uid="{00000000-0005-0000-0000-000008000000}"/>
    <cellStyle name="Header: bottom row 2 2" xfId="30" xr:uid="{BE28B536-332A-4A1A-B434-EE84F97ADE6A}"/>
    <cellStyle name="Header: bottom row 3" xfId="21" xr:uid="{5F70A249-24B3-40A3-9110-0E484813A8EA}"/>
    <cellStyle name="Header: top rows" xfId="16" xr:uid="{00000000-0005-0000-0000-000009000000}"/>
    <cellStyle name="Hyperlink" xfId="7" builtinId="8"/>
    <cellStyle name="Normal" xfId="0" builtinId="0"/>
    <cellStyle name="Normal 2" xfId="8" xr:uid="{00000000-0005-0000-0000-00000C000000}"/>
    <cellStyle name="Normal 3" xfId="26" xr:uid="{0790E7D9-43B5-4C03-B3C6-79D3DA10D5F5}"/>
    <cellStyle name="Normal 3 2" xfId="34" xr:uid="{15DCBD19-8278-46E9-82A5-C66FE2837166}"/>
    <cellStyle name="Normal 4" xfId="25" xr:uid="{D7E87CA2-F1BD-414C-AC8C-EA689FE67D32}"/>
    <cellStyle name="Normal 5" xfId="24" xr:uid="{88EE2525-A5EE-4620-8FBD-862C43466242}"/>
    <cellStyle name="Normal 5 2" xfId="35" xr:uid="{FDFB24C0-1EBB-4EDF-ADCD-1F756B59D645}"/>
    <cellStyle name="Normal 6" xfId="33" xr:uid="{FFA9FE9C-880E-4651-B84B-23D43009517F}"/>
    <cellStyle name="Parent row" xfId="5" xr:uid="{00000000-0005-0000-0000-00000D000000}"/>
    <cellStyle name="Parent row 2" xfId="10" xr:uid="{00000000-0005-0000-0000-00000E000000}"/>
    <cellStyle name="Parent row 2 2" xfId="31" xr:uid="{DCAE5260-16CC-4B31-82C7-654D9E237534}"/>
    <cellStyle name="Parent row 3" xfId="19" xr:uid="{1A6EFA56-E288-456A-A909-18D9D9718FB7}"/>
    <cellStyle name="Percent" xfId="15" builtinId="5"/>
    <cellStyle name="Table title" xfId="3" xr:uid="{00000000-0005-0000-0000-000010000000}"/>
    <cellStyle name="Table title 2" xfId="14" xr:uid="{00000000-0005-0000-0000-000011000000}"/>
    <cellStyle name="Table title 2 2" xfId="32" xr:uid="{390E5306-101B-4146-9F1B-E62BDD5AF3DE}"/>
    <cellStyle name="Table title 3" xfId="23" xr:uid="{DD32A8BF-1D9A-431C-97C4-D8C1B1DF3E43}"/>
  </cellStyles>
  <dxfs count="1">
    <dxf>
      <font>
        <color rgb="FF9C0006"/>
      </font>
      <fill>
        <patternFill>
          <bgColor rgb="FFFFC7CE"/>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hyperlink" Target="https://www.regulations.gov/document/EERE-2017-BT-STD-0019-1426%20(37944)" TargetMode="External"/><Relationship Id="rId2" Type="http://schemas.openxmlformats.org/officeDocument/2006/relationships/hyperlink" Target="https://www.regulations.gov/document/EERE-2017-BT-STD-0019-1426%20(37944)" TargetMode="External"/><Relationship Id="rId1" Type="http://schemas.openxmlformats.org/officeDocument/2006/relationships/hyperlink" Target="https://www.eia.gov/outlooks/aeo/assumptions/pdf/RDM_Assumptions.pdf%20%20(table%205)"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0"/>
  <sheetViews>
    <sheetView tabSelected="1" topLeftCell="A43" workbookViewId="0">
      <selection activeCell="I72" sqref="I72"/>
    </sheetView>
  </sheetViews>
  <sheetFormatPr defaultRowHeight="15" x14ac:dyDescent="0.25"/>
  <cols>
    <col min="1" max="1" width="12.42578125" customWidth="1"/>
    <col min="2" max="2" width="61.42578125" customWidth="1"/>
    <col min="3" max="3" width="19.28515625" customWidth="1"/>
  </cols>
  <sheetData>
    <row r="1" spans="1:2" x14ac:dyDescent="0.25">
      <c r="A1" s="1" t="s">
        <v>15</v>
      </c>
    </row>
    <row r="3" spans="1:2" x14ac:dyDescent="0.25">
      <c r="A3" s="1" t="s">
        <v>0</v>
      </c>
      <c r="B3" s="2" t="s">
        <v>276</v>
      </c>
    </row>
    <row r="4" spans="1:2" x14ac:dyDescent="0.25">
      <c r="B4" t="s">
        <v>7</v>
      </c>
    </row>
    <row r="5" spans="1:2" x14ac:dyDescent="0.25">
      <c r="B5" s="4">
        <v>2025</v>
      </c>
    </row>
    <row r="6" spans="1:2" x14ac:dyDescent="0.25">
      <c r="B6" t="s">
        <v>742</v>
      </c>
    </row>
    <row r="7" spans="1:2" x14ac:dyDescent="0.25">
      <c r="B7" t="s">
        <v>743</v>
      </c>
    </row>
    <row r="8" spans="1:2" x14ac:dyDescent="0.25">
      <c r="B8" t="s">
        <v>744</v>
      </c>
    </row>
    <row r="11" spans="1:2" x14ac:dyDescent="0.25">
      <c r="B11" s="2" t="s">
        <v>277</v>
      </c>
    </row>
    <row r="12" spans="1:2" x14ac:dyDescent="0.25">
      <c r="B12" t="s">
        <v>7</v>
      </c>
    </row>
    <row r="13" spans="1:2" x14ac:dyDescent="0.25">
      <c r="B13" s="4">
        <v>2025</v>
      </c>
    </row>
    <row r="14" spans="1:2" x14ac:dyDescent="0.25">
      <c r="B14" t="s">
        <v>742</v>
      </c>
    </row>
    <row r="15" spans="1:2" x14ac:dyDescent="0.25">
      <c r="B15" t="s">
        <v>745</v>
      </c>
    </row>
    <row r="16" spans="1:2" x14ac:dyDescent="0.25">
      <c r="B16" t="s">
        <v>744</v>
      </c>
    </row>
    <row r="19" spans="1:2" x14ac:dyDescent="0.25">
      <c r="B19" s="2" t="s">
        <v>69</v>
      </c>
    </row>
    <row r="20" spans="1:2" x14ac:dyDescent="0.25">
      <c r="B20" t="s">
        <v>70</v>
      </c>
    </row>
    <row r="21" spans="1:2" x14ac:dyDescent="0.25">
      <c r="B21" s="4">
        <v>2020</v>
      </c>
    </row>
    <row r="22" spans="1:2" x14ac:dyDescent="0.25">
      <c r="B22" t="s">
        <v>71</v>
      </c>
    </row>
    <row r="23" spans="1:2" x14ac:dyDescent="0.25">
      <c r="B23" s="5" t="s">
        <v>213</v>
      </c>
    </row>
    <row r="24" spans="1:2" x14ac:dyDescent="0.25">
      <c r="B24" s="5" t="s">
        <v>214</v>
      </c>
    </row>
    <row r="25" spans="1:2" x14ac:dyDescent="0.25">
      <c r="B25" t="s">
        <v>72</v>
      </c>
    </row>
    <row r="27" spans="1:2" x14ac:dyDescent="0.25">
      <c r="A27" s="1" t="s">
        <v>17</v>
      </c>
    </row>
    <row r="28" spans="1:2" x14ac:dyDescent="0.25">
      <c r="A28" s="1"/>
    </row>
    <row r="29" spans="1:2" x14ac:dyDescent="0.25">
      <c r="A29" s="1" t="s">
        <v>25</v>
      </c>
    </row>
    <row r="30" spans="1:2" x14ac:dyDescent="0.25">
      <c r="A30" t="s">
        <v>26</v>
      </c>
    </row>
    <row r="31" spans="1:2" x14ac:dyDescent="0.25">
      <c r="A31" t="s">
        <v>27</v>
      </c>
    </row>
    <row r="32" spans="1:2" x14ac:dyDescent="0.25">
      <c r="A32" t="s">
        <v>28</v>
      </c>
    </row>
    <row r="34" spans="1:3" x14ac:dyDescent="0.25">
      <c r="A34" t="s">
        <v>29</v>
      </c>
    </row>
    <row r="35" spans="1:3" x14ac:dyDescent="0.25">
      <c r="A35" t="s">
        <v>30</v>
      </c>
    </row>
    <row r="36" spans="1:3" x14ac:dyDescent="0.25">
      <c r="A36" t="s">
        <v>32</v>
      </c>
    </row>
    <row r="37" spans="1:3" x14ac:dyDescent="0.25">
      <c r="A37" t="s">
        <v>31</v>
      </c>
    </row>
    <row r="39" spans="1:3" x14ac:dyDescent="0.25">
      <c r="A39" s="1" t="s">
        <v>18</v>
      </c>
    </row>
    <row r="40" spans="1:3" x14ac:dyDescent="0.25">
      <c r="A40" t="s">
        <v>19</v>
      </c>
    </row>
    <row r="41" spans="1:3" x14ac:dyDescent="0.25">
      <c r="A41" t="s">
        <v>20</v>
      </c>
    </row>
    <row r="42" spans="1:3" x14ac:dyDescent="0.25">
      <c r="A42" t="s">
        <v>21</v>
      </c>
    </row>
    <row r="43" spans="1:3" x14ac:dyDescent="0.25">
      <c r="A43" t="s">
        <v>174</v>
      </c>
    </row>
    <row r="44" spans="1:3" x14ac:dyDescent="0.25">
      <c r="B44" t="s">
        <v>22</v>
      </c>
    </row>
    <row r="45" spans="1:3" x14ac:dyDescent="0.25">
      <c r="B45" t="s">
        <v>23</v>
      </c>
    </row>
    <row r="46" spans="1:3" x14ac:dyDescent="0.25">
      <c r="B46" t="s">
        <v>24</v>
      </c>
      <c r="C46" s="3">
        <v>0.04</v>
      </c>
    </row>
    <row r="47" spans="1:3" x14ac:dyDescent="0.25">
      <c r="B47" t="s">
        <v>175</v>
      </c>
    </row>
    <row r="49" spans="1:1" x14ac:dyDescent="0.25">
      <c r="A49" s="1" t="s">
        <v>192</v>
      </c>
    </row>
    <row r="50" spans="1:1" x14ac:dyDescent="0.25">
      <c r="A50" t="s">
        <v>193</v>
      </c>
    </row>
    <row r="51" spans="1:1" x14ac:dyDescent="0.25">
      <c r="A51" t="s">
        <v>194</v>
      </c>
    </row>
    <row r="52" spans="1:1" x14ac:dyDescent="0.25">
      <c r="A52" t="s">
        <v>195</v>
      </c>
    </row>
    <row r="53" spans="1:1" x14ac:dyDescent="0.25">
      <c r="A53" t="s">
        <v>196</v>
      </c>
    </row>
    <row r="54" spans="1:1" x14ac:dyDescent="0.25">
      <c r="A54" t="s">
        <v>197</v>
      </c>
    </row>
    <row r="55" spans="1:1" x14ac:dyDescent="0.25">
      <c r="A55" t="s">
        <v>198</v>
      </c>
    </row>
    <row r="57" spans="1:1" x14ac:dyDescent="0.25">
      <c r="A57" s="1" t="s">
        <v>753</v>
      </c>
    </row>
    <row r="58" spans="1:1" x14ac:dyDescent="0.25">
      <c r="A58" s="94"/>
    </row>
    <row r="59" spans="1:1" x14ac:dyDescent="0.25">
      <c r="A59" s="1" t="s">
        <v>204</v>
      </c>
    </row>
    <row r="60" spans="1:1" x14ac:dyDescent="0.25">
      <c r="A60" t="s">
        <v>205</v>
      </c>
    </row>
    <row r="62" spans="1:1" x14ac:dyDescent="0.25">
      <c r="A62" s="1" t="s">
        <v>746</v>
      </c>
    </row>
    <row r="63" spans="1:1" x14ac:dyDescent="0.25">
      <c r="A63" t="s">
        <v>747</v>
      </c>
    </row>
    <row r="65" spans="1:2" x14ac:dyDescent="0.25">
      <c r="A65" s="1" t="s">
        <v>748</v>
      </c>
    </row>
    <row r="66" spans="1:2" x14ac:dyDescent="0.25">
      <c r="A66" s="1" t="s">
        <v>242</v>
      </c>
    </row>
    <row r="67" spans="1:2" x14ac:dyDescent="0.25">
      <c r="A67" s="8">
        <f>'RECS HC2.1'!B24/SUM('RECS HC2.1'!B24,'RECS HC2.1'!B27)</f>
        <v>0.81308184246741677</v>
      </c>
      <c r="B67" t="s">
        <v>48</v>
      </c>
    </row>
    <row r="68" spans="1:2" x14ac:dyDescent="0.25">
      <c r="A68" s="8">
        <f>'RECS HC2.1'!B27/SUM('RECS HC2.1'!B24,'RECS HC2.1'!B27)</f>
        <v>0.18691815753258317</v>
      </c>
      <c r="B68" t="s">
        <v>49</v>
      </c>
    </row>
    <row r="70" spans="1:2" x14ac:dyDescent="0.25">
      <c r="A70" t="s">
        <v>191</v>
      </c>
      <c r="B70" s="11">
        <f>10^15</f>
        <v>1000000000000000</v>
      </c>
    </row>
  </sheetData>
  <hyperlinks>
    <hyperlink ref="B24" r:id="rId1" xr:uid="{4112156D-26B4-4A72-8B7D-0376B284EBA6}"/>
    <hyperlink ref="B23" r:id="rId2" xr:uid="{42B5983F-C1B1-4923-ACBC-CDCC13870A16}"/>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A6E4-7B38-47C0-9BF3-E2EF9F2BDB56}">
  <sheetPr>
    <tabColor theme="0" tint="-0.499984740745262"/>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2"/>
  <sheetViews>
    <sheetView workbookViewId="0">
      <selection sqref="A1:B1"/>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84" t="s">
        <v>215</v>
      </c>
      <c r="B1" s="84"/>
    </row>
    <row r="2" spans="1:7" ht="24" customHeight="1" x14ac:dyDescent="0.25">
      <c r="A2" s="79" t="s">
        <v>216</v>
      </c>
      <c r="B2" s="80"/>
      <c r="C2" s="80"/>
      <c r="D2" s="80"/>
      <c r="E2" s="80"/>
      <c r="F2" s="80"/>
      <c r="G2" s="80"/>
    </row>
    <row r="3" spans="1:7" ht="24" customHeight="1" thickBot="1" x14ac:dyDescent="0.3">
      <c r="A3" s="25"/>
      <c r="B3" s="81" t="s">
        <v>74</v>
      </c>
      <c r="C3" s="81"/>
      <c r="D3" s="81"/>
      <c r="E3" s="81"/>
      <c r="F3" s="81"/>
      <c r="G3" s="82"/>
    </row>
    <row r="4" spans="1:7" ht="23.25" customHeight="1" thickTop="1" x14ac:dyDescent="0.25">
      <c r="A4" s="25"/>
      <c r="B4" s="26"/>
      <c r="C4" s="83" t="s">
        <v>75</v>
      </c>
      <c r="D4" s="83"/>
      <c r="E4" s="83"/>
      <c r="F4" s="83"/>
      <c r="G4" s="83"/>
    </row>
    <row r="5" spans="1:7" ht="46.5" customHeight="1" thickBot="1" x14ac:dyDescent="0.3">
      <c r="A5" s="27"/>
      <c r="B5" s="28" t="s">
        <v>217</v>
      </c>
      <c r="C5" s="28" t="s">
        <v>76</v>
      </c>
      <c r="D5" s="28" t="s">
        <v>77</v>
      </c>
      <c r="E5" s="28" t="s">
        <v>218</v>
      </c>
      <c r="F5" s="28" t="s">
        <v>219</v>
      </c>
      <c r="G5" s="28" t="s">
        <v>78</v>
      </c>
    </row>
    <row r="6" spans="1:7" ht="24" customHeight="1" thickTop="1" x14ac:dyDescent="0.25">
      <c r="A6" s="29" t="s">
        <v>79</v>
      </c>
      <c r="B6" s="30">
        <v>123.53</v>
      </c>
      <c r="C6" s="30">
        <v>77.069999999999993</v>
      </c>
      <c r="D6" s="30">
        <v>7.45</v>
      </c>
      <c r="E6" s="30">
        <v>9.34</v>
      </c>
      <c r="F6" s="30">
        <v>22.84</v>
      </c>
      <c r="G6" s="30">
        <v>6.83</v>
      </c>
    </row>
    <row r="7" spans="1:7" ht="24" customHeight="1" x14ac:dyDescent="0.25">
      <c r="A7" s="31" t="s">
        <v>80</v>
      </c>
      <c r="B7" s="32" t="s">
        <v>1</v>
      </c>
      <c r="C7" s="32" t="s">
        <v>1</v>
      </c>
      <c r="D7" s="32" t="s">
        <v>1</v>
      </c>
      <c r="E7" s="32" t="s">
        <v>1</v>
      </c>
      <c r="F7" s="32" t="s">
        <v>1</v>
      </c>
      <c r="G7" s="32" t="s">
        <v>1</v>
      </c>
    </row>
    <row r="8" spans="1:7" ht="15" customHeight="1" x14ac:dyDescent="0.25">
      <c r="A8" s="33" t="s">
        <v>33</v>
      </c>
      <c r="B8" s="34">
        <v>21.92</v>
      </c>
      <c r="C8" s="34">
        <v>11.23</v>
      </c>
      <c r="D8" s="34">
        <v>1.95</v>
      </c>
      <c r="E8" s="34">
        <v>3.15</v>
      </c>
      <c r="F8" s="34">
        <v>5.0999999999999996</v>
      </c>
      <c r="G8" s="34">
        <v>0.5</v>
      </c>
    </row>
    <row r="9" spans="1:7" x14ac:dyDescent="0.25">
      <c r="A9" s="35" t="s">
        <v>34</v>
      </c>
      <c r="B9" s="34">
        <v>5.88</v>
      </c>
      <c r="C9" s="34">
        <v>3.34</v>
      </c>
      <c r="D9" s="34">
        <v>0.3</v>
      </c>
      <c r="E9" s="34">
        <v>0.99</v>
      </c>
      <c r="F9" s="34">
        <v>1.1000000000000001</v>
      </c>
      <c r="G9" s="34">
        <v>0.14000000000000001</v>
      </c>
    </row>
    <row r="10" spans="1:7" x14ac:dyDescent="0.25">
      <c r="A10" s="35" t="s">
        <v>35</v>
      </c>
      <c r="B10" s="34">
        <v>16.04</v>
      </c>
      <c r="C10" s="34">
        <v>7.89</v>
      </c>
      <c r="D10" s="34">
        <v>1.65</v>
      </c>
      <c r="E10" s="34">
        <v>2.15</v>
      </c>
      <c r="F10" s="34">
        <v>3.99</v>
      </c>
      <c r="G10" s="34">
        <v>0.36</v>
      </c>
    </row>
    <row r="11" spans="1:7" x14ac:dyDescent="0.25">
      <c r="A11" s="33" t="s">
        <v>36</v>
      </c>
      <c r="B11" s="34">
        <v>27.04</v>
      </c>
      <c r="C11" s="34">
        <v>18.579999999999998</v>
      </c>
      <c r="D11" s="34">
        <v>1.33</v>
      </c>
      <c r="E11" s="34">
        <v>1.95</v>
      </c>
      <c r="F11" s="34">
        <v>4.2</v>
      </c>
      <c r="G11" s="34">
        <v>0.97</v>
      </c>
    </row>
    <row r="12" spans="1:7" x14ac:dyDescent="0.25">
      <c r="A12" s="35" t="s">
        <v>37</v>
      </c>
      <c r="B12" s="34">
        <v>18.55</v>
      </c>
      <c r="C12" s="34">
        <v>12.59</v>
      </c>
      <c r="D12" s="34">
        <v>0.91</v>
      </c>
      <c r="E12" s="34">
        <v>1.49</v>
      </c>
      <c r="F12" s="34">
        <v>2.94</v>
      </c>
      <c r="G12" s="34">
        <v>0.63</v>
      </c>
    </row>
    <row r="13" spans="1:7" ht="15" customHeight="1" x14ac:dyDescent="0.25">
      <c r="A13" s="35" t="s">
        <v>38</v>
      </c>
      <c r="B13" s="34">
        <v>8.5</v>
      </c>
      <c r="C13" s="34">
        <v>5.99</v>
      </c>
      <c r="D13" s="34">
        <v>0.43</v>
      </c>
      <c r="E13" s="34">
        <v>0.47</v>
      </c>
      <c r="F13" s="34">
        <v>1.26</v>
      </c>
      <c r="G13" s="34">
        <v>0.35</v>
      </c>
    </row>
    <row r="14" spans="1:7" x14ac:dyDescent="0.25">
      <c r="A14" s="33" t="s">
        <v>39</v>
      </c>
      <c r="B14" s="34">
        <v>46.84</v>
      </c>
      <c r="C14" s="34">
        <v>30.29</v>
      </c>
      <c r="D14" s="34">
        <v>2.48</v>
      </c>
      <c r="E14" s="34">
        <v>2.36</v>
      </c>
      <c r="F14" s="34">
        <v>7.83</v>
      </c>
      <c r="G14" s="34">
        <v>3.89</v>
      </c>
    </row>
    <row r="15" spans="1:7" x14ac:dyDescent="0.25">
      <c r="A15" s="35" t="s">
        <v>40</v>
      </c>
      <c r="B15" s="34">
        <v>24.84</v>
      </c>
      <c r="C15" s="34">
        <v>15.25</v>
      </c>
      <c r="D15" s="34">
        <v>1.92</v>
      </c>
      <c r="E15" s="34">
        <v>1.17</v>
      </c>
      <c r="F15" s="34">
        <v>4.51</v>
      </c>
      <c r="G15" s="34">
        <v>2</v>
      </c>
    </row>
    <row r="16" spans="1:7" x14ac:dyDescent="0.25">
      <c r="A16" s="35" t="s">
        <v>41</v>
      </c>
      <c r="B16" s="34">
        <v>7.38</v>
      </c>
      <c r="C16" s="34">
        <v>5.17</v>
      </c>
      <c r="D16" s="34">
        <v>0.19</v>
      </c>
      <c r="E16" s="34">
        <v>0.41</v>
      </c>
      <c r="F16" s="34">
        <v>0.84</v>
      </c>
      <c r="G16" s="34">
        <v>0.77</v>
      </c>
    </row>
    <row r="17" spans="1:7" ht="15" customHeight="1" x14ac:dyDescent="0.25">
      <c r="A17" s="35" t="s">
        <v>42</v>
      </c>
      <c r="B17" s="34">
        <v>14.62</v>
      </c>
      <c r="C17" s="34">
        <v>9.8699999999999992</v>
      </c>
      <c r="D17" s="34">
        <v>0.36</v>
      </c>
      <c r="E17" s="34">
        <v>0.78</v>
      </c>
      <c r="F17" s="34">
        <v>2.48</v>
      </c>
      <c r="G17" s="34">
        <v>1.1200000000000001</v>
      </c>
    </row>
    <row r="18" spans="1:7" x14ac:dyDescent="0.25">
      <c r="A18" s="33" t="s">
        <v>43</v>
      </c>
      <c r="B18" s="34">
        <v>27.72</v>
      </c>
      <c r="C18" s="34">
        <v>16.97</v>
      </c>
      <c r="D18" s="34">
        <v>1.69</v>
      </c>
      <c r="E18" s="34">
        <v>1.89</v>
      </c>
      <c r="F18" s="34">
        <v>5.7</v>
      </c>
      <c r="G18" s="34">
        <v>1.47</v>
      </c>
    </row>
    <row r="19" spans="1:7" x14ac:dyDescent="0.25">
      <c r="A19" s="35" t="s">
        <v>44</v>
      </c>
      <c r="B19" s="34">
        <v>9.2200000000000006</v>
      </c>
      <c r="C19" s="34">
        <v>6.06</v>
      </c>
      <c r="D19" s="34">
        <v>0.5</v>
      </c>
      <c r="E19" s="34">
        <v>0.52</v>
      </c>
      <c r="F19" s="34">
        <v>1.47</v>
      </c>
      <c r="G19" s="34">
        <v>0.67</v>
      </c>
    </row>
    <row r="20" spans="1:7" x14ac:dyDescent="0.25">
      <c r="A20" s="36" t="s">
        <v>45</v>
      </c>
      <c r="B20" s="34">
        <v>4.62</v>
      </c>
      <c r="C20" s="34">
        <v>3.1</v>
      </c>
      <c r="D20" s="34">
        <v>0.28999999999999998</v>
      </c>
      <c r="E20" s="34">
        <v>0.26</v>
      </c>
      <c r="F20" s="34">
        <v>0.73</v>
      </c>
      <c r="G20" s="34">
        <v>0.24</v>
      </c>
    </row>
    <row r="21" spans="1:7" x14ac:dyDescent="0.25">
      <c r="A21" s="36" t="s">
        <v>46</v>
      </c>
      <c r="B21" s="34">
        <v>4.5999999999999996</v>
      </c>
      <c r="C21" s="34">
        <v>2.96</v>
      </c>
      <c r="D21" s="34">
        <v>0.21</v>
      </c>
      <c r="E21" s="34">
        <v>0.26</v>
      </c>
      <c r="F21" s="34">
        <v>0.74</v>
      </c>
      <c r="G21" s="34">
        <v>0.43</v>
      </c>
    </row>
    <row r="22" spans="1:7" x14ac:dyDescent="0.25">
      <c r="A22" s="35" t="s">
        <v>47</v>
      </c>
      <c r="B22" s="34">
        <v>18.510000000000002</v>
      </c>
      <c r="C22" s="34">
        <v>10.91</v>
      </c>
      <c r="D22" s="34">
        <v>1.19</v>
      </c>
      <c r="E22" s="34">
        <v>1.36</v>
      </c>
      <c r="F22" s="34">
        <v>4.24</v>
      </c>
      <c r="G22" s="34">
        <v>0.8</v>
      </c>
    </row>
    <row r="23" spans="1:7" ht="24" customHeight="1" x14ac:dyDescent="0.25">
      <c r="A23" s="31" t="s">
        <v>220</v>
      </c>
      <c r="B23" s="32" t="s">
        <v>1</v>
      </c>
      <c r="C23" s="32" t="s">
        <v>1</v>
      </c>
      <c r="D23" s="32" t="s">
        <v>1</v>
      </c>
      <c r="E23" s="32" t="s">
        <v>1</v>
      </c>
      <c r="F23" s="32" t="s">
        <v>1</v>
      </c>
      <c r="G23" s="32" t="s">
        <v>1</v>
      </c>
    </row>
    <row r="24" spans="1:7" x14ac:dyDescent="0.25">
      <c r="A24" s="33" t="s">
        <v>48</v>
      </c>
      <c r="B24" s="34">
        <v>100.44</v>
      </c>
      <c r="C24" s="34">
        <v>58.8</v>
      </c>
      <c r="D24" s="34">
        <v>7.04</v>
      </c>
      <c r="E24" s="34">
        <v>9.02</v>
      </c>
      <c r="F24" s="34">
        <v>22.27</v>
      </c>
      <c r="G24" s="34">
        <v>3.31</v>
      </c>
    </row>
    <row r="25" spans="1:7" s="37" customFormat="1" x14ac:dyDescent="0.25">
      <c r="A25" s="35" t="s">
        <v>81</v>
      </c>
      <c r="B25" s="34">
        <v>89.24</v>
      </c>
      <c r="C25" s="34">
        <v>50.99</v>
      </c>
      <c r="D25" s="34">
        <v>6.57</v>
      </c>
      <c r="E25" s="34">
        <v>7.95</v>
      </c>
      <c r="F25" s="34">
        <v>21.2</v>
      </c>
      <c r="G25" s="34">
        <v>2.5299999999999998</v>
      </c>
    </row>
    <row r="26" spans="1:7" s="37" customFormat="1" x14ac:dyDescent="0.25">
      <c r="A26" s="35" t="s">
        <v>82</v>
      </c>
      <c r="B26" s="34">
        <v>11.2</v>
      </c>
      <c r="C26" s="34">
        <v>7.82</v>
      </c>
      <c r="D26" s="34">
        <v>0.47</v>
      </c>
      <c r="E26" s="34">
        <v>1.07</v>
      </c>
      <c r="F26" s="34">
        <v>1.07</v>
      </c>
      <c r="G26" s="34">
        <v>0.77</v>
      </c>
    </row>
    <row r="27" spans="1:7" x14ac:dyDescent="0.25">
      <c r="A27" s="33" t="s">
        <v>49</v>
      </c>
      <c r="B27" s="34">
        <v>23.09</v>
      </c>
      <c r="C27" s="34">
        <v>18.27</v>
      </c>
      <c r="D27" s="34">
        <v>0.41</v>
      </c>
      <c r="E27" s="34">
        <v>0.32</v>
      </c>
      <c r="F27" s="34">
        <v>0.56999999999999995</v>
      </c>
      <c r="G27" s="34">
        <v>3.52</v>
      </c>
    </row>
    <row r="28" spans="1:7" ht="33.950000000000003" customHeight="1" x14ac:dyDescent="0.25">
      <c r="A28" s="31" t="s">
        <v>221</v>
      </c>
      <c r="B28" s="32" t="s">
        <v>1</v>
      </c>
      <c r="C28" s="32" t="s">
        <v>1</v>
      </c>
      <c r="D28" s="32" t="s">
        <v>1</v>
      </c>
      <c r="E28" s="32" t="s">
        <v>1</v>
      </c>
      <c r="F28" s="32" t="s">
        <v>1</v>
      </c>
      <c r="G28" s="32" t="s">
        <v>1</v>
      </c>
    </row>
    <row r="29" spans="1:7" x14ac:dyDescent="0.25">
      <c r="A29" s="33" t="s">
        <v>83</v>
      </c>
      <c r="B29" s="34">
        <v>42.5</v>
      </c>
      <c r="C29" s="34">
        <v>28.04</v>
      </c>
      <c r="D29" s="34">
        <v>2.4300000000000002</v>
      </c>
      <c r="E29" s="34">
        <v>3.78</v>
      </c>
      <c r="F29" s="34">
        <v>6.74</v>
      </c>
      <c r="G29" s="34">
        <v>1.52</v>
      </c>
    </row>
    <row r="30" spans="1:7" x14ac:dyDescent="0.25">
      <c r="A30" s="33" t="s">
        <v>84</v>
      </c>
      <c r="B30" s="34">
        <v>36.79</v>
      </c>
      <c r="C30" s="34">
        <v>21.89</v>
      </c>
      <c r="D30" s="34">
        <v>2.8</v>
      </c>
      <c r="E30" s="34">
        <v>2.72</v>
      </c>
      <c r="F30" s="34">
        <v>7.03</v>
      </c>
      <c r="G30" s="34">
        <v>2.35</v>
      </c>
    </row>
    <row r="31" spans="1:7" x14ac:dyDescent="0.25">
      <c r="A31" s="33" t="s">
        <v>85</v>
      </c>
      <c r="B31" s="34">
        <v>15.06</v>
      </c>
      <c r="C31" s="34">
        <v>9.07</v>
      </c>
      <c r="D31" s="34">
        <v>0.9</v>
      </c>
      <c r="E31" s="34">
        <v>1.1200000000000001</v>
      </c>
      <c r="F31" s="34">
        <v>3.12</v>
      </c>
      <c r="G31" s="34">
        <v>0.83</v>
      </c>
    </row>
    <row r="32" spans="1:7" ht="24" customHeight="1" x14ac:dyDescent="0.25">
      <c r="A32" s="33" t="s">
        <v>86</v>
      </c>
      <c r="B32" s="34">
        <v>22.31</v>
      </c>
      <c r="C32" s="34">
        <v>13.98</v>
      </c>
      <c r="D32" s="34">
        <v>0.92</v>
      </c>
      <c r="E32" s="34">
        <v>1.25</v>
      </c>
      <c r="F32" s="34">
        <v>4.37</v>
      </c>
      <c r="G32" s="34">
        <v>1.8</v>
      </c>
    </row>
    <row r="33" spans="1:7" x14ac:dyDescent="0.25">
      <c r="A33" s="33" t="s">
        <v>50</v>
      </c>
      <c r="B33" s="34">
        <v>6.87</v>
      </c>
      <c r="C33" s="34">
        <v>4.09</v>
      </c>
      <c r="D33" s="34">
        <v>0.4</v>
      </c>
      <c r="E33" s="34">
        <v>0.48</v>
      </c>
      <c r="F33" s="34">
        <v>1.57</v>
      </c>
      <c r="G33" s="34">
        <v>0.34</v>
      </c>
    </row>
    <row r="34" spans="1:7" x14ac:dyDescent="0.25">
      <c r="A34" s="31" t="s">
        <v>87</v>
      </c>
      <c r="B34" s="32" t="s">
        <v>1</v>
      </c>
      <c r="C34" s="32" t="s">
        <v>1</v>
      </c>
      <c r="D34" s="32" t="s">
        <v>1</v>
      </c>
      <c r="E34" s="32" t="s">
        <v>1</v>
      </c>
      <c r="F34" s="32" t="s">
        <v>1</v>
      </c>
      <c r="G34" s="32" t="s">
        <v>1</v>
      </c>
    </row>
    <row r="35" spans="1:7" x14ac:dyDescent="0.25">
      <c r="A35" s="33" t="s">
        <v>88</v>
      </c>
      <c r="B35" s="34">
        <v>20.260000000000002</v>
      </c>
      <c r="C35" s="34">
        <v>13.58</v>
      </c>
      <c r="D35" s="34">
        <v>1.1399999999999999</v>
      </c>
      <c r="E35" s="34">
        <v>2.36</v>
      </c>
      <c r="F35" s="34">
        <v>3.08</v>
      </c>
      <c r="G35" s="34">
        <v>0.09</v>
      </c>
    </row>
    <row r="36" spans="1:7" x14ac:dyDescent="0.25">
      <c r="A36" s="33" t="s">
        <v>52</v>
      </c>
      <c r="B36" s="34">
        <v>12.48</v>
      </c>
      <c r="C36" s="34">
        <v>9.9</v>
      </c>
      <c r="D36" s="34">
        <v>0.4</v>
      </c>
      <c r="E36" s="34">
        <v>0.77</v>
      </c>
      <c r="F36" s="34">
        <v>1.25</v>
      </c>
      <c r="G36" s="34">
        <v>0.16</v>
      </c>
    </row>
    <row r="37" spans="1:7" x14ac:dyDescent="0.25">
      <c r="A37" s="33" t="s">
        <v>53</v>
      </c>
      <c r="B37" s="34">
        <v>12.76</v>
      </c>
      <c r="C37" s="34">
        <v>8.23</v>
      </c>
      <c r="D37" s="34">
        <v>0.63</v>
      </c>
      <c r="E37" s="34">
        <v>1.1200000000000001</v>
      </c>
      <c r="F37" s="34">
        <v>2.41</v>
      </c>
      <c r="G37" s="34">
        <v>0.37</v>
      </c>
    </row>
    <row r="38" spans="1:7" ht="24" customHeight="1" x14ac:dyDescent="0.25">
      <c r="A38" s="33" t="s">
        <v>54</v>
      </c>
      <c r="B38" s="34">
        <v>18.34</v>
      </c>
      <c r="C38" s="34">
        <v>10.46</v>
      </c>
      <c r="D38" s="34">
        <v>0.97</v>
      </c>
      <c r="E38" s="34">
        <v>1.56</v>
      </c>
      <c r="F38" s="34">
        <v>4.01</v>
      </c>
      <c r="G38" s="34">
        <v>1.34</v>
      </c>
    </row>
    <row r="39" spans="1:7" x14ac:dyDescent="0.25">
      <c r="A39" s="33" t="s">
        <v>55</v>
      </c>
      <c r="B39" s="34">
        <v>16.3</v>
      </c>
      <c r="C39" s="34">
        <v>8.67</v>
      </c>
      <c r="D39" s="34">
        <v>1.26</v>
      </c>
      <c r="E39" s="34">
        <v>1.43</v>
      </c>
      <c r="F39" s="34">
        <v>3.6</v>
      </c>
      <c r="G39" s="34">
        <v>1.33</v>
      </c>
    </row>
    <row r="40" spans="1:7" x14ac:dyDescent="0.25">
      <c r="A40" s="33" t="s">
        <v>56</v>
      </c>
      <c r="B40" s="34">
        <v>17.16</v>
      </c>
      <c r="C40" s="34">
        <v>10.65</v>
      </c>
      <c r="D40" s="34">
        <v>1.08</v>
      </c>
      <c r="E40" s="34">
        <v>0.95</v>
      </c>
      <c r="F40" s="34">
        <v>2.5499999999999998</v>
      </c>
      <c r="G40" s="34">
        <v>1.92</v>
      </c>
    </row>
    <row r="41" spans="1:7" x14ac:dyDescent="0.25">
      <c r="A41" s="33" t="s">
        <v>57</v>
      </c>
      <c r="B41" s="34">
        <v>16.16</v>
      </c>
      <c r="C41" s="34">
        <v>9.98</v>
      </c>
      <c r="D41" s="34">
        <v>1.31</v>
      </c>
      <c r="E41" s="34">
        <v>0.72</v>
      </c>
      <c r="F41" s="34">
        <v>3.17</v>
      </c>
      <c r="G41" s="34">
        <v>0.98</v>
      </c>
    </row>
    <row r="42" spans="1:7" x14ac:dyDescent="0.25">
      <c r="A42" s="33" t="s">
        <v>89</v>
      </c>
      <c r="B42" s="34">
        <v>5.53</v>
      </c>
      <c r="C42" s="34">
        <v>3.05</v>
      </c>
      <c r="D42" s="34">
        <v>0.37</v>
      </c>
      <c r="E42" s="34">
        <v>0.26</v>
      </c>
      <c r="F42" s="34">
        <v>1.52</v>
      </c>
      <c r="G42" s="34">
        <v>0.32</v>
      </c>
    </row>
    <row r="43" spans="1:7" x14ac:dyDescent="0.25">
      <c r="A43" s="33" t="s">
        <v>222</v>
      </c>
      <c r="B43" s="34">
        <v>4.5599999999999996</v>
      </c>
      <c r="C43" s="34">
        <v>2.5299999999999998</v>
      </c>
      <c r="D43" s="34">
        <v>0.28999999999999998</v>
      </c>
      <c r="E43" s="34">
        <v>0.18</v>
      </c>
      <c r="F43" s="34">
        <v>1.26</v>
      </c>
      <c r="G43" s="34">
        <v>0.31</v>
      </c>
    </row>
    <row r="44" spans="1:7" x14ac:dyDescent="0.25">
      <c r="A44" s="31" t="s">
        <v>90</v>
      </c>
      <c r="B44" s="32" t="s">
        <v>1</v>
      </c>
      <c r="C44" s="32" t="s">
        <v>1</v>
      </c>
      <c r="D44" s="32" t="s">
        <v>1</v>
      </c>
      <c r="E44" s="32" t="s">
        <v>1</v>
      </c>
      <c r="F44" s="32" t="s">
        <v>1</v>
      </c>
      <c r="G44" s="32" t="s">
        <v>1</v>
      </c>
    </row>
    <row r="45" spans="1:7" x14ac:dyDescent="0.25">
      <c r="A45" s="33" t="s">
        <v>223</v>
      </c>
      <c r="B45" s="34">
        <v>47.15</v>
      </c>
      <c r="C45" s="34">
        <v>44.59</v>
      </c>
      <c r="D45" s="34">
        <v>2.57</v>
      </c>
      <c r="E45" s="34" t="s">
        <v>58</v>
      </c>
      <c r="F45" s="34" t="s">
        <v>58</v>
      </c>
      <c r="G45" s="34" t="s">
        <v>58</v>
      </c>
    </row>
    <row r="46" spans="1:7" x14ac:dyDescent="0.25">
      <c r="A46" s="33" t="s">
        <v>224</v>
      </c>
      <c r="B46" s="34">
        <v>32.47</v>
      </c>
      <c r="C46" s="34">
        <v>28.53</v>
      </c>
      <c r="D46" s="34">
        <v>3.94</v>
      </c>
      <c r="E46" s="34" t="s">
        <v>58</v>
      </c>
      <c r="F46" s="34" t="s">
        <v>58</v>
      </c>
      <c r="G46" s="34" t="s">
        <v>58</v>
      </c>
    </row>
    <row r="47" spans="1:7" ht="24" customHeight="1" x14ac:dyDescent="0.25">
      <c r="A47" s="33" t="s">
        <v>225</v>
      </c>
      <c r="B47" s="34">
        <v>2.61</v>
      </c>
      <c r="C47" s="34">
        <v>1.76</v>
      </c>
      <c r="D47" s="34">
        <v>0.85</v>
      </c>
      <c r="E47" s="34" t="s">
        <v>58</v>
      </c>
      <c r="F47" s="34" t="s">
        <v>58</v>
      </c>
      <c r="G47" s="34" t="s">
        <v>58</v>
      </c>
    </row>
    <row r="48" spans="1:7" x14ac:dyDescent="0.25">
      <c r="A48" s="33" t="s">
        <v>226</v>
      </c>
      <c r="B48" s="34">
        <v>2.2799999999999998</v>
      </c>
      <c r="C48" s="34">
        <v>2.19</v>
      </c>
      <c r="D48" s="34">
        <v>0.09</v>
      </c>
      <c r="E48" s="34" t="s">
        <v>58</v>
      </c>
      <c r="F48" s="34" t="s">
        <v>58</v>
      </c>
      <c r="G48" s="34" t="s">
        <v>58</v>
      </c>
    </row>
    <row r="49" spans="1:7" ht="26.25" x14ac:dyDescent="0.25">
      <c r="A49" s="33" t="s">
        <v>91</v>
      </c>
      <c r="B49" s="34">
        <v>39.01</v>
      </c>
      <c r="C49" s="34" t="s">
        <v>58</v>
      </c>
      <c r="D49" s="34" t="s">
        <v>58</v>
      </c>
      <c r="E49" s="34">
        <v>9.34</v>
      </c>
      <c r="F49" s="34">
        <v>22.84</v>
      </c>
      <c r="G49" s="34">
        <v>6.83</v>
      </c>
    </row>
    <row r="50" spans="1:7" x14ac:dyDescent="0.25">
      <c r="A50" s="31" t="s">
        <v>92</v>
      </c>
      <c r="B50" s="32" t="s">
        <v>1</v>
      </c>
      <c r="C50" s="32" t="s">
        <v>1</v>
      </c>
      <c r="D50" s="32" t="s">
        <v>1</v>
      </c>
      <c r="E50" s="32" t="s">
        <v>1</v>
      </c>
      <c r="F50" s="32" t="s">
        <v>1</v>
      </c>
      <c r="G50" s="32" t="s">
        <v>1</v>
      </c>
    </row>
    <row r="51" spans="1:7" ht="26.25" x14ac:dyDescent="0.25">
      <c r="A51" s="33" t="s">
        <v>227</v>
      </c>
      <c r="B51" s="34">
        <v>45.44</v>
      </c>
      <c r="C51" s="34">
        <v>31.14</v>
      </c>
      <c r="D51" s="34">
        <v>2.83</v>
      </c>
      <c r="E51" s="34">
        <v>2.23</v>
      </c>
      <c r="F51" s="34">
        <v>3.79</v>
      </c>
      <c r="G51" s="34">
        <v>5.45</v>
      </c>
    </row>
    <row r="52" spans="1:7" x14ac:dyDescent="0.25">
      <c r="A52" s="33" t="s">
        <v>59</v>
      </c>
      <c r="B52" s="34">
        <v>33.369999999999997</v>
      </c>
      <c r="C52" s="34">
        <v>17.52</v>
      </c>
      <c r="D52" s="34">
        <v>2.0099999999999998</v>
      </c>
      <c r="E52" s="34">
        <v>3.79</v>
      </c>
      <c r="F52" s="34">
        <v>9.8000000000000007</v>
      </c>
      <c r="G52" s="34">
        <v>0.24</v>
      </c>
    </row>
    <row r="53" spans="1:7" ht="24" customHeight="1" x14ac:dyDescent="0.25">
      <c r="A53" s="33" t="s">
        <v>60</v>
      </c>
      <c r="B53" s="34">
        <v>18.8</v>
      </c>
      <c r="C53" s="34">
        <v>12.63</v>
      </c>
      <c r="D53" s="34">
        <v>0.92</v>
      </c>
      <c r="E53" s="34">
        <v>1.55</v>
      </c>
      <c r="F53" s="34">
        <v>2.86</v>
      </c>
      <c r="G53" s="34">
        <v>0.84</v>
      </c>
    </row>
    <row r="54" spans="1:7" ht="15" customHeight="1" x14ac:dyDescent="0.25">
      <c r="A54" s="33" t="s">
        <v>61</v>
      </c>
      <c r="B54" s="34">
        <v>15.65</v>
      </c>
      <c r="C54" s="34">
        <v>10.54</v>
      </c>
      <c r="D54" s="34">
        <v>1.07</v>
      </c>
      <c r="E54" s="34">
        <v>0.89</v>
      </c>
      <c r="F54" s="34">
        <v>3.08</v>
      </c>
      <c r="G54" s="34">
        <v>0.08</v>
      </c>
    </row>
    <row r="55" spans="1:7" x14ac:dyDescent="0.25">
      <c r="A55" s="33" t="s">
        <v>228</v>
      </c>
      <c r="B55" s="34">
        <v>6.42</v>
      </c>
      <c r="C55" s="34">
        <v>2.89</v>
      </c>
      <c r="D55" s="34">
        <v>0.41</v>
      </c>
      <c r="E55" s="34">
        <v>0.5</v>
      </c>
      <c r="F55" s="34">
        <v>2.56</v>
      </c>
      <c r="G55" s="34" t="s">
        <v>51</v>
      </c>
    </row>
    <row r="56" spans="1:7" x14ac:dyDescent="0.25">
      <c r="A56" s="33" t="s">
        <v>229</v>
      </c>
      <c r="B56" s="34">
        <v>1.89</v>
      </c>
      <c r="C56" s="34">
        <v>1.1599999999999999</v>
      </c>
      <c r="D56" s="34">
        <v>0.11</v>
      </c>
      <c r="E56" s="34">
        <v>0.21</v>
      </c>
      <c r="F56" s="34">
        <v>0.3</v>
      </c>
      <c r="G56" s="34">
        <v>0.11</v>
      </c>
    </row>
    <row r="57" spans="1:7" x14ac:dyDescent="0.25">
      <c r="A57" s="33" t="s">
        <v>62</v>
      </c>
      <c r="B57" s="34">
        <v>1.46</v>
      </c>
      <c r="C57" s="34">
        <v>0.94</v>
      </c>
      <c r="D57" s="34">
        <v>0.08</v>
      </c>
      <c r="E57" s="34">
        <v>0.14000000000000001</v>
      </c>
      <c r="F57" s="34">
        <v>0.31</v>
      </c>
      <c r="G57" s="34" t="s">
        <v>58</v>
      </c>
    </row>
    <row r="58" spans="1:7" x14ac:dyDescent="0.25">
      <c r="A58" s="33" t="s">
        <v>93</v>
      </c>
      <c r="B58" s="34">
        <v>0.5</v>
      </c>
      <c r="C58" s="34">
        <v>0.26</v>
      </c>
      <c r="D58" s="34" t="s">
        <v>51</v>
      </c>
      <c r="E58" s="34" t="s">
        <v>51</v>
      </c>
      <c r="F58" s="34">
        <v>0.14000000000000001</v>
      </c>
      <c r="G58" s="34" t="s">
        <v>51</v>
      </c>
    </row>
    <row r="59" spans="1:7" x14ac:dyDescent="0.25">
      <c r="A59" s="31" t="s">
        <v>94</v>
      </c>
      <c r="B59" s="32" t="s">
        <v>1</v>
      </c>
      <c r="C59" s="32" t="s">
        <v>1</v>
      </c>
      <c r="D59" s="32" t="s">
        <v>1</v>
      </c>
      <c r="E59" s="32" t="s">
        <v>1</v>
      </c>
      <c r="F59" s="32" t="s">
        <v>1</v>
      </c>
      <c r="G59" s="32" t="s">
        <v>1</v>
      </c>
    </row>
    <row r="60" spans="1:7" x14ac:dyDescent="0.25">
      <c r="A60" s="33" t="s">
        <v>95</v>
      </c>
      <c r="B60" s="34">
        <v>76.03</v>
      </c>
      <c r="C60" s="34">
        <v>61.56</v>
      </c>
      <c r="D60" s="34">
        <v>5.49</v>
      </c>
      <c r="E60" s="34">
        <v>5.89</v>
      </c>
      <c r="F60" s="34" t="s">
        <v>58</v>
      </c>
      <c r="G60" s="34">
        <v>3.09</v>
      </c>
    </row>
    <row r="61" spans="1:7" x14ac:dyDescent="0.25">
      <c r="A61" s="33" t="s">
        <v>63</v>
      </c>
      <c r="B61" s="34">
        <v>9.69</v>
      </c>
      <c r="C61" s="34">
        <v>5.87</v>
      </c>
      <c r="D61" s="34">
        <v>0.28000000000000003</v>
      </c>
      <c r="E61" s="34">
        <v>0.46</v>
      </c>
      <c r="F61" s="34" t="s">
        <v>58</v>
      </c>
      <c r="G61" s="34">
        <v>3.08</v>
      </c>
    </row>
    <row r="62" spans="1:7" ht="24" customHeight="1" x14ac:dyDescent="0.25">
      <c r="A62" s="33" t="s">
        <v>96</v>
      </c>
      <c r="B62" s="34">
        <v>5.19</v>
      </c>
      <c r="C62" s="34">
        <v>3.06</v>
      </c>
      <c r="D62" s="34">
        <v>0.55000000000000004</v>
      </c>
      <c r="E62" s="34">
        <v>1.23</v>
      </c>
      <c r="F62" s="34" t="s">
        <v>58</v>
      </c>
      <c r="G62" s="34">
        <v>0.35</v>
      </c>
    </row>
    <row r="63" spans="1:7" x14ac:dyDescent="0.25">
      <c r="A63" s="33" t="s">
        <v>97</v>
      </c>
      <c r="B63" s="34">
        <v>4.8899999999999997</v>
      </c>
      <c r="C63" s="34">
        <v>3.6</v>
      </c>
      <c r="D63" s="34">
        <v>0.59</v>
      </c>
      <c r="E63" s="34">
        <v>0.66</v>
      </c>
      <c r="F63" s="34" t="s">
        <v>58</v>
      </c>
      <c r="G63" s="34" t="s">
        <v>51</v>
      </c>
    </row>
    <row r="64" spans="1:7" x14ac:dyDescent="0.25">
      <c r="A64" s="33" t="s">
        <v>98</v>
      </c>
      <c r="B64" s="34">
        <v>2.14</v>
      </c>
      <c r="C64" s="34">
        <v>1.58</v>
      </c>
      <c r="D64" s="34">
        <v>0.11</v>
      </c>
      <c r="E64" s="34">
        <v>0.43</v>
      </c>
      <c r="F64" s="34" t="s">
        <v>58</v>
      </c>
      <c r="G64" s="34" t="s">
        <v>51</v>
      </c>
    </row>
    <row r="65" spans="1:7" x14ac:dyDescent="0.25">
      <c r="A65" s="33" t="s">
        <v>99</v>
      </c>
      <c r="B65" s="34">
        <v>1.49</v>
      </c>
      <c r="C65" s="34">
        <v>0.73</v>
      </c>
      <c r="D65" s="34">
        <v>0.18</v>
      </c>
      <c r="E65" s="34">
        <v>0.51</v>
      </c>
      <c r="F65" s="34" t="s">
        <v>58</v>
      </c>
      <c r="G65" s="34">
        <v>0.08</v>
      </c>
    </row>
    <row r="66" spans="1:7" x14ac:dyDescent="0.25">
      <c r="A66" s="33" t="s">
        <v>93</v>
      </c>
      <c r="B66" s="34">
        <v>1.26</v>
      </c>
      <c r="C66" s="34">
        <v>0.67</v>
      </c>
      <c r="D66" s="34">
        <v>0.27</v>
      </c>
      <c r="E66" s="34">
        <v>0.15</v>
      </c>
      <c r="F66" s="34" t="s">
        <v>58</v>
      </c>
      <c r="G66" s="34">
        <v>0.18</v>
      </c>
    </row>
    <row r="67" spans="1:7" ht="26.25" x14ac:dyDescent="0.25">
      <c r="A67" s="33" t="s">
        <v>100</v>
      </c>
      <c r="B67" s="34">
        <v>22.84</v>
      </c>
      <c r="C67" s="34" t="s">
        <v>58</v>
      </c>
      <c r="D67" s="34" t="s">
        <v>58</v>
      </c>
      <c r="E67" s="34" t="s">
        <v>58</v>
      </c>
      <c r="F67" s="34">
        <v>22.84</v>
      </c>
      <c r="G67" s="34" t="s">
        <v>58</v>
      </c>
    </row>
    <row r="68" spans="1:7" ht="26.25" x14ac:dyDescent="0.25">
      <c r="A68" s="31" t="s">
        <v>101</v>
      </c>
      <c r="B68" s="32" t="s">
        <v>1</v>
      </c>
      <c r="C68" s="32" t="s">
        <v>1</v>
      </c>
      <c r="D68" s="32" t="s">
        <v>1</v>
      </c>
      <c r="E68" s="32" t="s">
        <v>1</v>
      </c>
      <c r="F68" s="32" t="s">
        <v>1</v>
      </c>
      <c r="G68" s="32" t="s">
        <v>1</v>
      </c>
    </row>
    <row r="69" spans="1:7" x14ac:dyDescent="0.25">
      <c r="A69" s="38" t="s">
        <v>65</v>
      </c>
      <c r="B69" s="34">
        <v>4.59</v>
      </c>
      <c r="C69" s="34">
        <v>0.09</v>
      </c>
      <c r="D69" s="34">
        <v>0.05</v>
      </c>
      <c r="E69" s="34">
        <v>0.77</v>
      </c>
      <c r="F69" s="34">
        <v>3.56</v>
      </c>
      <c r="G69" s="34">
        <v>0.11</v>
      </c>
    </row>
    <row r="70" spans="1:7" x14ac:dyDescent="0.25">
      <c r="A70" s="38">
        <v>3</v>
      </c>
      <c r="B70" s="34">
        <v>8.73</v>
      </c>
      <c r="C70" s="34">
        <v>0.65</v>
      </c>
      <c r="D70" s="34">
        <v>0.3</v>
      </c>
      <c r="E70" s="34">
        <v>1.71</v>
      </c>
      <c r="F70" s="34">
        <v>5.86</v>
      </c>
      <c r="G70" s="34">
        <v>0.21</v>
      </c>
    </row>
    <row r="71" spans="1:7" ht="33.950000000000003" customHeight="1" x14ac:dyDescent="0.25">
      <c r="A71" s="38">
        <v>4</v>
      </c>
      <c r="B71" s="34">
        <v>15.95</v>
      </c>
      <c r="C71" s="34">
        <v>3.3</v>
      </c>
      <c r="D71" s="34">
        <v>1.46</v>
      </c>
      <c r="E71" s="34">
        <v>3.04</v>
      </c>
      <c r="F71" s="34">
        <v>6.98</v>
      </c>
      <c r="G71" s="34">
        <v>1.17</v>
      </c>
    </row>
    <row r="72" spans="1:7" x14ac:dyDescent="0.25">
      <c r="A72" s="38">
        <v>5</v>
      </c>
      <c r="B72" s="34">
        <v>19.54</v>
      </c>
      <c r="C72" s="34">
        <v>9.77</v>
      </c>
      <c r="D72" s="34">
        <v>1.81</v>
      </c>
      <c r="E72" s="34">
        <v>2.17</v>
      </c>
      <c r="F72" s="34">
        <v>4.13</v>
      </c>
      <c r="G72" s="34">
        <v>1.65</v>
      </c>
    </row>
    <row r="73" spans="1:7" x14ac:dyDescent="0.25">
      <c r="A73" s="38">
        <v>6</v>
      </c>
      <c r="B73" s="34">
        <v>22.1</v>
      </c>
      <c r="C73" s="34">
        <v>15.86</v>
      </c>
      <c r="D73" s="34">
        <v>1.66</v>
      </c>
      <c r="E73" s="34">
        <v>0.97</v>
      </c>
      <c r="F73" s="34">
        <v>1.68</v>
      </c>
      <c r="G73" s="34">
        <v>1.94</v>
      </c>
    </row>
    <row r="74" spans="1:7" x14ac:dyDescent="0.25">
      <c r="A74" s="38">
        <v>7</v>
      </c>
      <c r="B74" s="34">
        <v>18.86</v>
      </c>
      <c r="C74" s="34">
        <v>16.23</v>
      </c>
      <c r="D74" s="34">
        <v>1.1000000000000001</v>
      </c>
      <c r="E74" s="34">
        <v>0.27</v>
      </c>
      <c r="F74" s="34">
        <v>0.38</v>
      </c>
      <c r="G74" s="34">
        <v>0.87</v>
      </c>
    </row>
    <row r="75" spans="1:7" x14ac:dyDescent="0.25">
      <c r="A75" s="38">
        <v>8</v>
      </c>
      <c r="B75" s="34">
        <v>13.87</v>
      </c>
      <c r="C75" s="34">
        <v>12.42</v>
      </c>
      <c r="D75" s="34">
        <v>0.56000000000000005</v>
      </c>
      <c r="E75" s="34">
        <v>0.16</v>
      </c>
      <c r="F75" s="34">
        <v>0.15</v>
      </c>
      <c r="G75" s="34">
        <v>0.57999999999999996</v>
      </c>
    </row>
    <row r="76" spans="1:7" x14ac:dyDescent="0.25">
      <c r="A76" s="38" t="s">
        <v>102</v>
      </c>
      <c r="B76" s="34">
        <v>19.899999999999999</v>
      </c>
      <c r="C76" s="34">
        <v>18.73</v>
      </c>
      <c r="D76" s="34">
        <v>0.51</v>
      </c>
      <c r="E76" s="34">
        <v>0.25</v>
      </c>
      <c r="F76" s="34">
        <v>0.11</v>
      </c>
      <c r="G76" s="34">
        <v>0.3</v>
      </c>
    </row>
    <row r="77" spans="1:7" x14ac:dyDescent="0.25">
      <c r="A77" s="31" t="s">
        <v>103</v>
      </c>
      <c r="B77" s="34" t="s">
        <v>1</v>
      </c>
      <c r="C77" s="34" t="s">
        <v>1</v>
      </c>
      <c r="D77" s="34" t="s">
        <v>1</v>
      </c>
      <c r="E77" s="34" t="s">
        <v>1</v>
      </c>
      <c r="F77" s="34" t="s">
        <v>1</v>
      </c>
      <c r="G77" s="34" t="s">
        <v>1</v>
      </c>
    </row>
    <row r="78" spans="1:7" x14ac:dyDescent="0.25">
      <c r="A78" s="38">
        <v>0</v>
      </c>
      <c r="B78" s="34">
        <v>1.82</v>
      </c>
      <c r="C78" s="34">
        <v>0.1</v>
      </c>
      <c r="D78" s="34" t="s">
        <v>51</v>
      </c>
      <c r="E78" s="34">
        <v>0.32</v>
      </c>
      <c r="F78" s="34">
        <v>1.36</v>
      </c>
      <c r="G78" s="34" t="s">
        <v>51</v>
      </c>
    </row>
    <row r="79" spans="1:7" x14ac:dyDescent="0.25">
      <c r="A79" s="38">
        <v>1</v>
      </c>
      <c r="B79" s="34">
        <v>14.52</v>
      </c>
      <c r="C79" s="34">
        <v>1.25</v>
      </c>
      <c r="D79" s="34">
        <v>0.49</v>
      </c>
      <c r="E79" s="34">
        <v>2.61</v>
      </c>
      <c r="F79" s="34">
        <v>9.7799999999999994</v>
      </c>
      <c r="G79" s="34">
        <v>0.4</v>
      </c>
    </row>
    <row r="80" spans="1:7" ht="24" customHeight="1" x14ac:dyDescent="0.25">
      <c r="A80" s="38">
        <v>2</v>
      </c>
      <c r="B80" s="34">
        <v>30.67</v>
      </c>
      <c r="C80" s="34">
        <v>10.56</v>
      </c>
      <c r="D80" s="34">
        <v>3.19</v>
      </c>
      <c r="E80" s="34">
        <v>4.57</v>
      </c>
      <c r="F80" s="34">
        <v>9.99</v>
      </c>
      <c r="G80" s="34">
        <v>2.36</v>
      </c>
    </row>
    <row r="81" spans="1:7" x14ac:dyDescent="0.25">
      <c r="A81" s="38">
        <v>3</v>
      </c>
      <c r="B81" s="34">
        <v>48.27</v>
      </c>
      <c r="C81" s="34">
        <v>38.869999999999997</v>
      </c>
      <c r="D81" s="34">
        <v>2.94</v>
      </c>
      <c r="E81" s="34">
        <v>1.48</v>
      </c>
      <c r="F81" s="34">
        <v>1.51</v>
      </c>
      <c r="G81" s="34">
        <v>3.49</v>
      </c>
    </row>
    <row r="82" spans="1:7" x14ac:dyDescent="0.25">
      <c r="A82" s="38">
        <v>4</v>
      </c>
      <c r="B82" s="34">
        <v>22.08</v>
      </c>
      <c r="C82" s="34">
        <v>20.61</v>
      </c>
      <c r="D82" s="34">
        <v>0.57999999999999996</v>
      </c>
      <c r="E82" s="34">
        <v>0.23</v>
      </c>
      <c r="F82" s="34">
        <v>0.15</v>
      </c>
      <c r="G82" s="34">
        <v>0.51</v>
      </c>
    </row>
    <row r="83" spans="1:7" x14ac:dyDescent="0.25">
      <c r="A83" s="38" t="s">
        <v>104</v>
      </c>
      <c r="B83" s="34">
        <v>6.16</v>
      </c>
      <c r="C83" s="34">
        <v>5.69</v>
      </c>
      <c r="D83" s="34">
        <v>0.21</v>
      </c>
      <c r="E83" s="34">
        <v>0.13</v>
      </c>
      <c r="F83" s="34" t="s">
        <v>51</v>
      </c>
      <c r="G83" s="34">
        <v>7.0000000000000007E-2</v>
      </c>
    </row>
    <row r="84" spans="1:7" ht="26.25" x14ac:dyDescent="0.25">
      <c r="A84" s="31" t="s">
        <v>105</v>
      </c>
      <c r="B84" s="32" t="s">
        <v>1</v>
      </c>
      <c r="C84" s="32" t="s">
        <v>1</v>
      </c>
      <c r="D84" s="32" t="s">
        <v>1</v>
      </c>
      <c r="E84" s="32" t="s">
        <v>1</v>
      </c>
      <c r="F84" s="32" t="s">
        <v>1</v>
      </c>
      <c r="G84" s="32" t="s">
        <v>1</v>
      </c>
    </row>
    <row r="85" spans="1:7" x14ac:dyDescent="0.25">
      <c r="A85" s="38">
        <v>1</v>
      </c>
      <c r="B85" s="34">
        <v>8.41</v>
      </c>
      <c r="C85" s="34">
        <v>1.43</v>
      </c>
      <c r="D85" s="34">
        <v>0.31</v>
      </c>
      <c r="E85" s="34">
        <v>1.55</v>
      </c>
      <c r="F85" s="34">
        <v>4.84</v>
      </c>
      <c r="G85" s="34">
        <v>0.28000000000000003</v>
      </c>
    </row>
    <row r="86" spans="1:7" x14ac:dyDescent="0.25">
      <c r="A86" s="38">
        <v>2</v>
      </c>
      <c r="B86" s="34">
        <v>27.88</v>
      </c>
      <c r="C86" s="34">
        <v>9.65</v>
      </c>
      <c r="D86" s="34">
        <v>2.13</v>
      </c>
      <c r="E86" s="34">
        <v>3.9</v>
      </c>
      <c r="F86" s="34">
        <v>10.07</v>
      </c>
      <c r="G86" s="34">
        <v>2.13</v>
      </c>
    </row>
    <row r="87" spans="1:7" ht="33.950000000000003" customHeight="1" x14ac:dyDescent="0.25">
      <c r="A87" s="38">
        <v>3</v>
      </c>
      <c r="B87" s="34">
        <v>32.82</v>
      </c>
      <c r="C87" s="34">
        <v>19.91</v>
      </c>
      <c r="D87" s="34">
        <v>2.39</v>
      </c>
      <c r="E87" s="34">
        <v>2.5499999999999998</v>
      </c>
      <c r="F87" s="34">
        <v>5.6</v>
      </c>
      <c r="G87" s="34">
        <v>2.36</v>
      </c>
    </row>
    <row r="88" spans="1:7" x14ac:dyDescent="0.25">
      <c r="A88" s="38">
        <v>4</v>
      </c>
      <c r="B88" s="34">
        <v>26.77</v>
      </c>
      <c r="C88" s="34">
        <v>21.33</v>
      </c>
      <c r="D88" s="34">
        <v>1.5</v>
      </c>
      <c r="E88" s="34">
        <v>0.82</v>
      </c>
      <c r="F88" s="34">
        <v>1.86</v>
      </c>
      <c r="G88" s="34">
        <v>1.26</v>
      </c>
    </row>
    <row r="89" spans="1:7" x14ac:dyDescent="0.25">
      <c r="A89" s="38" t="s">
        <v>104</v>
      </c>
      <c r="B89" s="34">
        <v>27.64</v>
      </c>
      <c r="C89" s="34">
        <v>24.75</v>
      </c>
      <c r="D89" s="34">
        <v>1.1100000000000001</v>
      </c>
      <c r="E89" s="34">
        <v>0.51</v>
      </c>
      <c r="F89" s="34">
        <v>0.47</v>
      </c>
      <c r="G89" s="34">
        <v>0.79</v>
      </c>
    </row>
    <row r="90" spans="1:7" x14ac:dyDescent="0.25">
      <c r="A90" s="31" t="s">
        <v>106</v>
      </c>
      <c r="B90" s="32" t="s">
        <v>1</v>
      </c>
      <c r="C90" s="32" t="s">
        <v>1</v>
      </c>
      <c r="D90" s="32" t="s">
        <v>1</v>
      </c>
      <c r="E90" s="32" t="s">
        <v>1</v>
      </c>
      <c r="F90" s="32" t="s">
        <v>1</v>
      </c>
      <c r="G90" s="32" t="s">
        <v>1</v>
      </c>
    </row>
    <row r="91" spans="1:7" x14ac:dyDescent="0.25">
      <c r="A91" s="38">
        <v>0</v>
      </c>
      <c r="B91" s="34">
        <v>0.15</v>
      </c>
      <c r="C91" s="34">
        <v>7.0000000000000007E-2</v>
      </c>
      <c r="D91" s="34" t="s">
        <v>51</v>
      </c>
      <c r="E91" s="34" t="s">
        <v>51</v>
      </c>
      <c r="F91" s="34" t="s">
        <v>51</v>
      </c>
      <c r="G91" s="34" t="s">
        <v>51</v>
      </c>
    </row>
    <row r="92" spans="1:7" x14ac:dyDescent="0.25">
      <c r="A92" s="38">
        <v>1</v>
      </c>
      <c r="B92" s="34">
        <v>50.32</v>
      </c>
      <c r="C92" s="34">
        <v>21.7</v>
      </c>
      <c r="D92" s="34">
        <v>3.03</v>
      </c>
      <c r="E92" s="34">
        <v>7.24</v>
      </c>
      <c r="F92" s="34">
        <v>16.260000000000002</v>
      </c>
      <c r="G92" s="34">
        <v>2.1</v>
      </c>
    </row>
    <row r="93" spans="1:7" ht="24" customHeight="1" x14ac:dyDescent="0.25">
      <c r="A93" s="38">
        <v>2</v>
      </c>
      <c r="B93" s="34">
        <v>56.85</v>
      </c>
      <c r="C93" s="34">
        <v>40.42</v>
      </c>
      <c r="D93" s="34">
        <v>3.7</v>
      </c>
      <c r="E93" s="34">
        <v>1.86</v>
      </c>
      <c r="F93" s="34">
        <v>6.36</v>
      </c>
      <c r="G93" s="34">
        <v>4.51</v>
      </c>
    </row>
    <row r="94" spans="1:7" x14ac:dyDescent="0.25">
      <c r="A94" s="38" t="s">
        <v>107</v>
      </c>
      <c r="B94" s="34">
        <v>16.21</v>
      </c>
      <c r="C94" s="34">
        <v>14.89</v>
      </c>
      <c r="D94" s="34">
        <v>0.72</v>
      </c>
      <c r="E94" s="34">
        <v>0.23</v>
      </c>
      <c r="F94" s="34">
        <v>0.15</v>
      </c>
      <c r="G94" s="34">
        <v>0.22</v>
      </c>
    </row>
    <row r="95" spans="1:7" x14ac:dyDescent="0.25">
      <c r="A95" s="31" t="s">
        <v>108</v>
      </c>
      <c r="B95" s="32" t="s">
        <v>1</v>
      </c>
      <c r="C95" s="32" t="s">
        <v>1</v>
      </c>
      <c r="D95" s="32" t="s">
        <v>1</v>
      </c>
      <c r="E95" s="32" t="s">
        <v>1</v>
      </c>
      <c r="F95" s="32" t="s">
        <v>1</v>
      </c>
      <c r="G95" s="32" t="s">
        <v>1</v>
      </c>
    </row>
    <row r="96" spans="1:7" x14ac:dyDescent="0.25">
      <c r="A96" s="38">
        <v>0</v>
      </c>
      <c r="B96" s="34">
        <v>86.83</v>
      </c>
      <c r="C96" s="34">
        <v>47.8</v>
      </c>
      <c r="D96" s="34">
        <v>4.0599999999999996</v>
      </c>
      <c r="E96" s="34">
        <v>8.2100000000000009</v>
      </c>
      <c r="F96" s="34">
        <v>20.77</v>
      </c>
      <c r="G96" s="34">
        <v>5.98</v>
      </c>
    </row>
    <row r="97" spans="1:7" x14ac:dyDescent="0.25">
      <c r="A97" s="38">
        <v>1</v>
      </c>
      <c r="B97" s="34">
        <v>33.79</v>
      </c>
      <c r="C97" s="34">
        <v>26.87</v>
      </c>
      <c r="D97" s="34">
        <v>3.21</v>
      </c>
      <c r="E97" s="34">
        <v>1.03</v>
      </c>
      <c r="F97" s="34">
        <v>1.94</v>
      </c>
      <c r="G97" s="34">
        <v>0.75</v>
      </c>
    </row>
    <row r="98" spans="1:7" ht="24" customHeight="1" x14ac:dyDescent="0.25">
      <c r="A98" s="38" t="s">
        <v>109</v>
      </c>
      <c r="B98" s="34">
        <v>2.91</v>
      </c>
      <c r="C98" s="34">
        <v>2.39</v>
      </c>
      <c r="D98" s="34">
        <v>0.18</v>
      </c>
      <c r="E98" s="34">
        <v>0.11</v>
      </c>
      <c r="F98" s="34">
        <v>0.13</v>
      </c>
      <c r="G98" s="34">
        <v>0.1</v>
      </c>
    </row>
    <row r="99" spans="1:7" x14ac:dyDescent="0.25">
      <c r="A99" s="31" t="s">
        <v>64</v>
      </c>
      <c r="B99" s="32" t="s">
        <v>1</v>
      </c>
      <c r="C99" s="32" t="s">
        <v>1</v>
      </c>
      <c r="D99" s="32" t="s">
        <v>1</v>
      </c>
      <c r="E99" s="32" t="s">
        <v>1</v>
      </c>
      <c r="F99" s="32" t="s">
        <v>1</v>
      </c>
      <c r="G99" s="32" t="s">
        <v>1</v>
      </c>
    </row>
    <row r="100" spans="1:7" x14ac:dyDescent="0.25">
      <c r="A100" s="33" t="s">
        <v>66</v>
      </c>
      <c r="B100" s="34">
        <v>36.83</v>
      </c>
      <c r="C100" s="34">
        <v>33.86</v>
      </c>
      <c r="D100" s="34">
        <v>2.98</v>
      </c>
      <c r="E100" s="34" t="s">
        <v>58</v>
      </c>
      <c r="F100" s="34" t="s">
        <v>58</v>
      </c>
      <c r="G100" s="34" t="s">
        <v>58</v>
      </c>
    </row>
    <row r="101" spans="1:7" x14ac:dyDescent="0.25">
      <c r="A101" s="35" t="s">
        <v>110</v>
      </c>
      <c r="B101" s="34">
        <v>21.71</v>
      </c>
      <c r="C101" s="34">
        <v>19.850000000000001</v>
      </c>
      <c r="D101" s="34">
        <v>1.87</v>
      </c>
      <c r="E101" s="34" t="s">
        <v>58</v>
      </c>
      <c r="F101" s="34" t="s">
        <v>58</v>
      </c>
      <c r="G101" s="34" t="s">
        <v>58</v>
      </c>
    </row>
    <row r="102" spans="1:7" ht="24" customHeight="1" x14ac:dyDescent="0.25">
      <c r="A102" s="35" t="s">
        <v>111</v>
      </c>
      <c r="B102" s="34">
        <v>15.12</v>
      </c>
      <c r="C102" s="34">
        <v>14.01</v>
      </c>
      <c r="D102" s="34">
        <v>1.1100000000000001</v>
      </c>
      <c r="E102" s="34" t="s">
        <v>58</v>
      </c>
      <c r="F102" s="34" t="s">
        <v>58</v>
      </c>
      <c r="G102" s="34" t="s">
        <v>58</v>
      </c>
    </row>
    <row r="103" spans="1:7" x14ac:dyDescent="0.25">
      <c r="A103" s="38" t="s">
        <v>67</v>
      </c>
      <c r="B103" s="34">
        <v>47.68</v>
      </c>
      <c r="C103" s="34">
        <v>43.21</v>
      </c>
      <c r="D103" s="34">
        <v>4.47</v>
      </c>
      <c r="E103" s="34" t="s">
        <v>58</v>
      </c>
      <c r="F103" s="34" t="s">
        <v>58</v>
      </c>
      <c r="G103" s="34" t="s">
        <v>58</v>
      </c>
    </row>
    <row r="104" spans="1:7" ht="26.25" x14ac:dyDescent="0.25">
      <c r="A104" s="38" t="s">
        <v>91</v>
      </c>
      <c r="B104" s="34">
        <v>39.01</v>
      </c>
      <c r="C104" s="34" t="s">
        <v>58</v>
      </c>
      <c r="D104" s="34" t="s">
        <v>58</v>
      </c>
      <c r="E104" s="34">
        <v>9.34</v>
      </c>
      <c r="F104" s="34">
        <v>22.84</v>
      </c>
      <c r="G104" s="34">
        <v>6.83</v>
      </c>
    </row>
    <row r="105" spans="1:7" x14ac:dyDescent="0.25">
      <c r="A105" s="31" t="s">
        <v>112</v>
      </c>
      <c r="B105" s="32" t="s">
        <v>1</v>
      </c>
      <c r="C105" s="32" t="s">
        <v>1</v>
      </c>
      <c r="D105" s="32" t="s">
        <v>1</v>
      </c>
      <c r="E105" s="32" t="s">
        <v>1</v>
      </c>
      <c r="F105" s="32" t="s">
        <v>1</v>
      </c>
      <c r="G105" s="32" t="s">
        <v>1</v>
      </c>
    </row>
    <row r="106" spans="1:7" x14ac:dyDescent="0.25">
      <c r="A106" s="33" t="s">
        <v>66</v>
      </c>
      <c r="B106" s="34">
        <v>56.5</v>
      </c>
      <c r="C106" s="34">
        <v>52.99</v>
      </c>
      <c r="D106" s="34">
        <v>3.52</v>
      </c>
      <c r="E106" s="34" t="s">
        <v>58</v>
      </c>
      <c r="F106" s="34" t="s">
        <v>58</v>
      </c>
      <c r="G106" s="34" t="s">
        <v>58</v>
      </c>
    </row>
    <row r="107" spans="1:7" x14ac:dyDescent="0.25">
      <c r="A107" s="35" t="s">
        <v>113</v>
      </c>
      <c r="B107" s="34">
        <v>7.68</v>
      </c>
      <c r="C107" s="34">
        <v>7.1</v>
      </c>
      <c r="D107" s="34">
        <v>0.56999999999999995</v>
      </c>
      <c r="E107" s="34" t="s">
        <v>58</v>
      </c>
      <c r="F107" s="34" t="s">
        <v>58</v>
      </c>
      <c r="G107" s="34" t="s">
        <v>58</v>
      </c>
    </row>
    <row r="108" spans="1:7" ht="24" customHeight="1" x14ac:dyDescent="0.25">
      <c r="A108" s="35" t="s">
        <v>114</v>
      </c>
      <c r="B108" s="34">
        <v>48.83</v>
      </c>
      <c r="C108" s="34">
        <v>45.88</v>
      </c>
      <c r="D108" s="34">
        <v>2.94</v>
      </c>
      <c r="E108" s="34" t="s">
        <v>58</v>
      </c>
      <c r="F108" s="34" t="s">
        <v>58</v>
      </c>
      <c r="G108" s="34" t="s">
        <v>58</v>
      </c>
    </row>
    <row r="109" spans="1:7" x14ac:dyDescent="0.25">
      <c r="A109" s="33" t="s">
        <v>67</v>
      </c>
      <c r="B109" s="34">
        <v>28.01</v>
      </c>
      <c r="C109" s="34">
        <v>24.08</v>
      </c>
      <c r="D109" s="34">
        <v>3.94</v>
      </c>
      <c r="E109" s="34" t="s">
        <v>58</v>
      </c>
      <c r="F109" s="34" t="s">
        <v>58</v>
      </c>
      <c r="G109" s="34" t="s">
        <v>58</v>
      </c>
    </row>
    <row r="110" spans="1:7" ht="26.25" x14ac:dyDescent="0.25">
      <c r="A110" s="38" t="s">
        <v>91</v>
      </c>
      <c r="B110" s="34">
        <v>39.01</v>
      </c>
      <c r="C110" s="34" t="s">
        <v>58</v>
      </c>
      <c r="D110" s="34" t="s">
        <v>58</v>
      </c>
      <c r="E110" s="34">
        <v>9.34</v>
      </c>
      <c r="F110" s="34">
        <v>22.84</v>
      </c>
      <c r="G110" s="34">
        <v>6.83</v>
      </c>
    </row>
    <row r="111" spans="1:7" x14ac:dyDescent="0.25">
      <c r="A111" s="31" t="s">
        <v>115</v>
      </c>
      <c r="B111" s="32" t="s">
        <v>1</v>
      </c>
      <c r="C111" s="32" t="s">
        <v>1</v>
      </c>
      <c r="D111" s="32" t="s">
        <v>1</v>
      </c>
      <c r="E111" s="32" t="s">
        <v>1</v>
      </c>
      <c r="F111" s="32" t="s">
        <v>1</v>
      </c>
      <c r="G111" s="32" t="s">
        <v>1</v>
      </c>
    </row>
    <row r="112" spans="1:7" x14ac:dyDescent="0.25">
      <c r="A112" s="33" t="s">
        <v>66</v>
      </c>
      <c r="B112" s="34">
        <v>51.79</v>
      </c>
      <c r="C112" s="34">
        <v>48.19</v>
      </c>
      <c r="D112" s="34">
        <v>3.6</v>
      </c>
      <c r="E112" s="34" t="s">
        <v>58</v>
      </c>
      <c r="F112" s="34" t="s">
        <v>58</v>
      </c>
      <c r="G112" s="34" t="s">
        <v>58</v>
      </c>
    </row>
    <row r="113" spans="1:7" x14ac:dyDescent="0.25">
      <c r="A113" s="35" t="s">
        <v>116</v>
      </c>
      <c r="B113" s="34">
        <v>11.27</v>
      </c>
      <c r="C113" s="34">
        <v>9.64</v>
      </c>
      <c r="D113" s="34">
        <v>1.64</v>
      </c>
      <c r="E113" s="34" t="s">
        <v>58</v>
      </c>
      <c r="F113" s="34" t="s">
        <v>58</v>
      </c>
      <c r="G113" s="34" t="s">
        <v>58</v>
      </c>
    </row>
    <row r="114" spans="1:7" ht="24" customHeight="1" x14ac:dyDescent="0.25">
      <c r="A114" s="35" t="s">
        <v>117</v>
      </c>
      <c r="B114" s="34">
        <v>34.18</v>
      </c>
      <c r="C114" s="34">
        <v>32.270000000000003</v>
      </c>
      <c r="D114" s="34">
        <v>1.91</v>
      </c>
      <c r="E114" s="34" t="s">
        <v>58</v>
      </c>
      <c r="F114" s="34" t="s">
        <v>58</v>
      </c>
      <c r="G114" s="34" t="s">
        <v>58</v>
      </c>
    </row>
    <row r="115" spans="1:7" ht="24" customHeight="1" x14ac:dyDescent="0.25">
      <c r="A115" s="35" t="s">
        <v>118</v>
      </c>
      <c r="B115" s="34">
        <v>6.34</v>
      </c>
      <c r="C115" s="34">
        <v>6.28</v>
      </c>
      <c r="D115" s="34">
        <v>0.06</v>
      </c>
      <c r="E115" s="34" t="s">
        <v>58</v>
      </c>
      <c r="F115" s="34" t="s">
        <v>58</v>
      </c>
      <c r="G115" s="34" t="s">
        <v>58</v>
      </c>
    </row>
    <row r="116" spans="1:7" x14ac:dyDescent="0.25">
      <c r="A116" s="33" t="s">
        <v>67</v>
      </c>
      <c r="B116" s="34">
        <v>32.72</v>
      </c>
      <c r="C116" s="34">
        <v>28.88</v>
      </c>
      <c r="D116" s="34">
        <v>3.85</v>
      </c>
      <c r="E116" s="34" t="s">
        <v>58</v>
      </c>
      <c r="F116" s="34" t="s">
        <v>58</v>
      </c>
      <c r="G116" s="34" t="s">
        <v>58</v>
      </c>
    </row>
    <row r="117" spans="1:7" ht="26.25" x14ac:dyDescent="0.25">
      <c r="A117" s="38" t="s">
        <v>91</v>
      </c>
      <c r="B117" s="34">
        <v>39.01</v>
      </c>
      <c r="C117" s="34" t="s">
        <v>58</v>
      </c>
      <c r="D117" s="34" t="s">
        <v>58</v>
      </c>
      <c r="E117" s="34">
        <v>9.34</v>
      </c>
      <c r="F117" s="34">
        <v>22.84</v>
      </c>
      <c r="G117" s="34">
        <v>6.83</v>
      </c>
    </row>
    <row r="118" spans="1:7" x14ac:dyDescent="0.25">
      <c r="A118" s="31" t="s">
        <v>119</v>
      </c>
      <c r="B118" s="32" t="s">
        <v>1</v>
      </c>
      <c r="C118" s="32" t="s">
        <v>1</v>
      </c>
      <c r="D118" s="32" t="s">
        <v>1</v>
      </c>
      <c r="E118" s="32" t="s">
        <v>1</v>
      </c>
      <c r="F118" s="32" t="s">
        <v>1</v>
      </c>
      <c r="G118" s="32" t="s">
        <v>1</v>
      </c>
    </row>
    <row r="119" spans="1:7" x14ac:dyDescent="0.25">
      <c r="A119" s="33" t="s">
        <v>120</v>
      </c>
      <c r="B119" s="34">
        <v>34.340000000000003</v>
      </c>
      <c r="C119" s="34">
        <v>24.33</v>
      </c>
      <c r="D119" s="34">
        <v>1.8</v>
      </c>
      <c r="E119" s="34">
        <v>1.59</v>
      </c>
      <c r="F119" s="34">
        <v>5.22</v>
      </c>
      <c r="G119" s="34">
        <v>1.39</v>
      </c>
    </row>
    <row r="120" spans="1:7" x14ac:dyDescent="0.25">
      <c r="A120" s="33" t="s">
        <v>121</v>
      </c>
      <c r="B120" s="34">
        <v>64.27</v>
      </c>
      <c r="C120" s="34">
        <v>40.369999999999997</v>
      </c>
      <c r="D120" s="34">
        <v>3.98</v>
      </c>
      <c r="E120" s="34">
        <v>4.41</v>
      </c>
      <c r="F120" s="34">
        <v>12.22</v>
      </c>
      <c r="G120" s="34">
        <v>3.28</v>
      </c>
    </row>
    <row r="121" spans="1:7" ht="24" customHeight="1" x14ac:dyDescent="0.25">
      <c r="A121" s="33" t="s">
        <v>122</v>
      </c>
      <c r="B121" s="34">
        <v>21.29</v>
      </c>
      <c r="C121" s="34">
        <v>11.11</v>
      </c>
      <c r="D121" s="34">
        <v>1.45</v>
      </c>
      <c r="E121" s="34">
        <v>2.7</v>
      </c>
      <c r="F121" s="34">
        <v>4.1500000000000004</v>
      </c>
      <c r="G121" s="34">
        <v>1.87</v>
      </c>
    </row>
    <row r="122" spans="1:7" x14ac:dyDescent="0.25">
      <c r="A122" s="33" t="s">
        <v>230</v>
      </c>
      <c r="B122" s="34">
        <v>3.63</v>
      </c>
      <c r="C122" s="34">
        <v>1.25</v>
      </c>
      <c r="D122" s="34">
        <v>0.21</v>
      </c>
      <c r="E122" s="34">
        <v>0.64</v>
      </c>
      <c r="F122" s="34">
        <v>1.24</v>
      </c>
      <c r="G122" s="34">
        <v>0.28999999999999998</v>
      </c>
    </row>
    <row r="123" spans="1:7" x14ac:dyDescent="0.25">
      <c r="A123" s="31" t="s">
        <v>123</v>
      </c>
      <c r="B123" s="32" t="s">
        <v>1</v>
      </c>
      <c r="C123" s="32" t="s">
        <v>1</v>
      </c>
      <c r="D123" s="32" t="s">
        <v>1</v>
      </c>
      <c r="E123" s="32" t="s">
        <v>1</v>
      </c>
      <c r="F123" s="32" t="s">
        <v>1</v>
      </c>
      <c r="G123" s="32" t="s">
        <v>1</v>
      </c>
    </row>
    <row r="124" spans="1:7" x14ac:dyDescent="0.25">
      <c r="A124" s="33" t="s">
        <v>68</v>
      </c>
      <c r="B124" s="34">
        <v>55.37</v>
      </c>
      <c r="C124" s="34">
        <v>37.020000000000003</v>
      </c>
      <c r="D124" s="34">
        <v>2.91</v>
      </c>
      <c r="E124" s="34">
        <v>2.9</v>
      </c>
      <c r="F124" s="34">
        <v>10.130000000000001</v>
      </c>
      <c r="G124" s="34">
        <v>2.41</v>
      </c>
    </row>
    <row r="125" spans="1:7" x14ac:dyDescent="0.25">
      <c r="A125" s="33" t="s">
        <v>124</v>
      </c>
      <c r="B125" s="34">
        <v>52.63</v>
      </c>
      <c r="C125" s="34">
        <v>32.53</v>
      </c>
      <c r="D125" s="34">
        <v>3.35</v>
      </c>
      <c r="E125" s="34">
        <v>4.22</v>
      </c>
      <c r="F125" s="34">
        <v>9.35</v>
      </c>
      <c r="G125" s="34">
        <v>3.19</v>
      </c>
    </row>
    <row r="126" spans="1:7" s="37" customFormat="1" ht="24" customHeight="1" x14ac:dyDescent="0.25">
      <c r="A126" s="33" t="s">
        <v>125</v>
      </c>
      <c r="B126" s="34">
        <v>10.39</v>
      </c>
      <c r="C126" s="34">
        <v>5.3</v>
      </c>
      <c r="D126" s="34">
        <v>0.76</v>
      </c>
      <c r="E126" s="34">
        <v>1.43</v>
      </c>
      <c r="F126" s="34">
        <v>2.15</v>
      </c>
      <c r="G126" s="34">
        <v>0.75</v>
      </c>
    </row>
    <row r="127" spans="1:7" s="37" customFormat="1" x14ac:dyDescent="0.25">
      <c r="A127" s="33" t="s">
        <v>126</v>
      </c>
      <c r="B127" s="34">
        <v>5.14</v>
      </c>
      <c r="C127" s="34">
        <v>2.2200000000000002</v>
      </c>
      <c r="D127" s="34">
        <v>0.44</v>
      </c>
      <c r="E127" s="34">
        <v>0.8</v>
      </c>
      <c r="F127" s="34">
        <v>1.2</v>
      </c>
      <c r="G127" s="34">
        <v>0.48</v>
      </c>
    </row>
    <row r="128" spans="1:7" s="37" customFormat="1" x14ac:dyDescent="0.25">
      <c r="A128" s="31" t="s">
        <v>231</v>
      </c>
      <c r="B128" s="32" t="s">
        <v>1</v>
      </c>
      <c r="C128" s="32" t="s">
        <v>1</v>
      </c>
      <c r="D128" s="32" t="s">
        <v>1</v>
      </c>
      <c r="E128" s="32" t="s">
        <v>1</v>
      </c>
      <c r="F128" s="32" t="s">
        <v>1</v>
      </c>
      <c r="G128" s="32" t="s">
        <v>1</v>
      </c>
    </row>
    <row r="129" spans="1:7" x14ac:dyDescent="0.25">
      <c r="A129" s="33" t="s">
        <v>66</v>
      </c>
      <c r="B129" s="34">
        <v>55.18</v>
      </c>
      <c r="C129" s="34">
        <v>39.22</v>
      </c>
      <c r="D129" s="34">
        <v>3.72</v>
      </c>
      <c r="E129" s="34">
        <v>3.49</v>
      </c>
      <c r="F129" s="34">
        <v>8.75</v>
      </c>
      <c r="G129" s="34" t="s">
        <v>58</v>
      </c>
    </row>
    <row r="130" spans="1:7" x14ac:dyDescent="0.25">
      <c r="A130" s="33" t="s">
        <v>67</v>
      </c>
      <c r="B130" s="34">
        <v>61.52</v>
      </c>
      <c r="C130" s="34">
        <v>37.85</v>
      </c>
      <c r="D130" s="34">
        <v>3.73</v>
      </c>
      <c r="E130" s="34">
        <v>5.85</v>
      </c>
      <c r="F130" s="34">
        <v>14.08</v>
      </c>
      <c r="G130" s="34" t="s">
        <v>58</v>
      </c>
    </row>
    <row r="131" spans="1:7" ht="24" customHeight="1" x14ac:dyDescent="0.25">
      <c r="A131" s="38" t="s">
        <v>127</v>
      </c>
      <c r="B131" s="34">
        <v>6.83</v>
      </c>
      <c r="C131" s="34" t="s">
        <v>58</v>
      </c>
      <c r="D131" s="34" t="s">
        <v>58</v>
      </c>
      <c r="E131" s="34" t="s">
        <v>58</v>
      </c>
      <c r="F131" s="34" t="s">
        <v>58</v>
      </c>
      <c r="G131" s="34">
        <v>6.83</v>
      </c>
    </row>
    <row r="132" spans="1:7" x14ac:dyDescent="0.25">
      <c r="A132" s="31" t="s">
        <v>128</v>
      </c>
      <c r="B132" s="32" t="s">
        <v>1</v>
      </c>
      <c r="C132" s="32" t="s">
        <v>1</v>
      </c>
      <c r="D132" s="32" t="s">
        <v>1</v>
      </c>
      <c r="E132" s="32" t="s">
        <v>1</v>
      </c>
      <c r="F132" s="32" t="s">
        <v>1</v>
      </c>
      <c r="G132" s="32" t="s">
        <v>1</v>
      </c>
    </row>
    <row r="133" spans="1:7" x14ac:dyDescent="0.25">
      <c r="A133" s="33" t="s">
        <v>129</v>
      </c>
      <c r="B133" s="34">
        <v>6.95</v>
      </c>
      <c r="C133" s="34">
        <v>0.1</v>
      </c>
      <c r="D133" s="34">
        <v>0.22</v>
      </c>
      <c r="E133" s="34">
        <v>0.77</v>
      </c>
      <c r="F133" s="34">
        <v>5.85</v>
      </c>
      <c r="G133" s="34" t="s">
        <v>51</v>
      </c>
    </row>
    <row r="134" spans="1:7" x14ac:dyDescent="0.25">
      <c r="A134" s="33" t="s">
        <v>130</v>
      </c>
      <c r="B134" s="34">
        <v>18.149999999999999</v>
      </c>
      <c r="C134" s="34">
        <v>1.72</v>
      </c>
      <c r="D134" s="34">
        <v>1.79</v>
      </c>
      <c r="E134" s="34">
        <v>3.81</v>
      </c>
      <c r="F134" s="34">
        <v>10.54</v>
      </c>
      <c r="G134" s="34">
        <v>0.28999999999999998</v>
      </c>
    </row>
    <row r="135" spans="1:7" ht="24" customHeight="1" x14ac:dyDescent="0.25">
      <c r="A135" s="33" t="s">
        <v>131</v>
      </c>
      <c r="B135" s="34">
        <v>29.35</v>
      </c>
      <c r="C135" s="34">
        <v>16.16</v>
      </c>
      <c r="D135" s="34">
        <v>2.6</v>
      </c>
      <c r="E135" s="34">
        <v>2.86</v>
      </c>
      <c r="F135" s="34">
        <v>5.09</v>
      </c>
      <c r="G135" s="34">
        <v>2.66</v>
      </c>
    </row>
    <row r="136" spans="1:7" x14ac:dyDescent="0.25">
      <c r="A136" s="39" t="s">
        <v>132</v>
      </c>
      <c r="B136" s="34">
        <v>38.42</v>
      </c>
      <c r="C136" s="34">
        <v>30.76</v>
      </c>
      <c r="D136" s="34">
        <v>1.97</v>
      </c>
      <c r="E136" s="34">
        <v>1.42</v>
      </c>
      <c r="F136" s="34">
        <v>1.04</v>
      </c>
      <c r="G136" s="34">
        <v>3.23</v>
      </c>
    </row>
    <row r="137" spans="1:7" x14ac:dyDescent="0.25">
      <c r="A137" s="39" t="s">
        <v>133</v>
      </c>
      <c r="B137" s="34">
        <v>13.61</v>
      </c>
      <c r="C137" s="34">
        <v>12.28</v>
      </c>
      <c r="D137" s="34">
        <v>0.43</v>
      </c>
      <c r="E137" s="34">
        <v>0.25</v>
      </c>
      <c r="F137" s="34">
        <v>0.14000000000000001</v>
      </c>
      <c r="G137" s="34">
        <v>0.51</v>
      </c>
    </row>
    <row r="138" spans="1:7" x14ac:dyDescent="0.25">
      <c r="A138" s="39" t="s">
        <v>134</v>
      </c>
      <c r="B138" s="34">
        <v>12.43</v>
      </c>
      <c r="C138" s="34">
        <v>11.7</v>
      </c>
      <c r="D138" s="34">
        <v>0.35</v>
      </c>
      <c r="E138" s="34">
        <v>0.14000000000000001</v>
      </c>
      <c r="F138" s="34" t="s">
        <v>51</v>
      </c>
      <c r="G138" s="34">
        <v>0.13</v>
      </c>
    </row>
    <row r="139" spans="1:7" x14ac:dyDescent="0.25">
      <c r="A139" s="39" t="s">
        <v>135</v>
      </c>
      <c r="B139" s="34">
        <v>4.62</v>
      </c>
      <c r="C139" s="34">
        <v>4.3499999999999996</v>
      </c>
      <c r="D139" s="34">
        <v>0.1</v>
      </c>
      <c r="E139" s="34">
        <v>0.09</v>
      </c>
      <c r="F139" s="34" t="s">
        <v>51</v>
      </c>
      <c r="G139" s="34" t="s">
        <v>51</v>
      </c>
    </row>
    <row r="140" spans="1:7" x14ac:dyDescent="0.25">
      <c r="A140" s="31" t="s">
        <v>136</v>
      </c>
      <c r="B140" s="32" t="s">
        <v>1</v>
      </c>
      <c r="C140" s="32" t="s">
        <v>1</v>
      </c>
      <c r="D140" s="32" t="s">
        <v>1</v>
      </c>
      <c r="E140" s="32" t="s">
        <v>1</v>
      </c>
      <c r="F140" s="32" t="s">
        <v>1</v>
      </c>
      <c r="G140" s="32" t="s">
        <v>1</v>
      </c>
    </row>
    <row r="141" spans="1:7" x14ac:dyDescent="0.25">
      <c r="A141" s="33" t="s">
        <v>137</v>
      </c>
      <c r="B141" s="34">
        <v>43.51</v>
      </c>
      <c r="C141" s="34">
        <v>21.45</v>
      </c>
      <c r="D141" s="34">
        <v>2.81</v>
      </c>
      <c r="E141" s="34">
        <v>4.9400000000000004</v>
      </c>
      <c r="F141" s="34">
        <v>10.84</v>
      </c>
      <c r="G141" s="34">
        <v>3.46</v>
      </c>
    </row>
    <row r="142" spans="1:7" x14ac:dyDescent="0.25">
      <c r="A142" s="33" t="s">
        <v>138</v>
      </c>
      <c r="B142" s="34">
        <v>77.95</v>
      </c>
      <c r="C142" s="34">
        <v>54.09</v>
      </c>
      <c r="D142" s="34">
        <v>4.5199999999999996</v>
      </c>
      <c r="E142" s="34">
        <v>4.33</v>
      </c>
      <c r="F142" s="34">
        <v>11.72</v>
      </c>
      <c r="G142" s="34">
        <v>3.29</v>
      </c>
    </row>
    <row r="143" spans="1:7" ht="24" customHeight="1" x14ac:dyDescent="0.25">
      <c r="A143" s="33" t="s">
        <v>139</v>
      </c>
      <c r="B143" s="34">
        <v>2.0699999999999998</v>
      </c>
      <c r="C143" s="34">
        <v>1.53</v>
      </c>
      <c r="D143" s="34">
        <v>0.12</v>
      </c>
      <c r="E143" s="34">
        <v>7.0000000000000007E-2</v>
      </c>
      <c r="F143" s="34">
        <v>0.27</v>
      </c>
      <c r="G143" s="34" t="s">
        <v>51</v>
      </c>
    </row>
    <row r="144" spans="1:7" x14ac:dyDescent="0.25">
      <c r="A144" s="31" t="s">
        <v>140</v>
      </c>
      <c r="B144" s="32" t="s">
        <v>1</v>
      </c>
      <c r="C144" s="32" t="s">
        <v>1</v>
      </c>
      <c r="D144" s="32" t="s">
        <v>1</v>
      </c>
      <c r="E144" s="32" t="s">
        <v>1</v>
      </c>
      <c r="F144" s="32" t="s">
        <v>1</v>
      </c>
      <c r="G144" s="32" t="s">
        <v>1</v>
      </c>
    </row>
    <row r="145" spans="1:7" x14ac:dyDescent="0.25">
      <c r="A145" s="33" t="s">
        <v>141</v>
      </c>
      <c r="B145" s="34">
        <v>47.4</v>
      </c>
      <c r="C145" s="34">
        <v>23.3</v>
      </c>
      <c r="D145" s="34">
        <v>2.89</v>
      </c>
      <c r="E145" s="34">
        <v>4.2300000000000004</v>
      </c>
      <c r="F145" s="34">
        <v>13.02</v>
      </c>
      <c r="G145" s="34">
        <v>3.94</v>
      </c>
    </row>
    <row r="146" spans="1:7" x14ac:dyDescent="0.25">
      <c r="A146" s="33" t="s">
        <v>60</v>
      </c>
      <c r="B146" s="34">
        <v>40.31</v>
      </c>
      <c r="C146" s="34">
        <v>27.87</v>
      </c>
      <c r="D146" s="34">
        <v>2.2599999999999998</v>
      </c>
      <c r="E146" s="34">
        <v>3.23</v>
      </c>
      <c r="F146" s="34">
        <v>5.52</v>
      </c>
      <c r="G146" s="34">
        <v>1.43</v>
      </c>
    </row>
    <row r="147" spans="1:7" ht="24" customHeight="1" x14ac:dyDescent="0.25">
      <c r="A147" s="33" t="s">
        <v>142</v>
      </c>
      <c r="B147" s="34">
        <v>31.85</v>
      </c>
      <c r="C147" s="34">
        <v>23.39</v>
      </c>
      <c r="D147" s="34">
        <v>1.95</v>
      </c>
      <c r="E147" s="34">
        <v>1.54</v>
      </c>
      <c r="F147" s="34">
        <v>3.66</v>
      </c>
      <c r="G147" s="34">
        <v>1.3</v>
      </c>
    </row>
    <row r="148" spans="1:7" x14ac:dyDescent="0.25">
      <c r="A148" s="39" t="s">
        <v>143</v>
      </c>
      <c r="B148" s="34">
        <v>1.72</v>
      </c>
      <c r="C148" s="34">
        <v>0.94</v>
      </c>
      <c r="D148" s="34">
        <v>0.15</v>
      </c>
      <c r="E148" s="34">
        <v>0.19</v>
      </c>
      <c r="F148" s="34">
        <v>0.34</v>
      </c>
      <c r="G148" s="34">
        <v>0.1</v>
      </c>
    </row>
    <row r="149" spans="1:7" x14ac:dyDescent="0.25">
      <c r="A149" s="39" t="s">
        <v>144</v>
      </c>
      <c r="B149" s="34">
        <v>2.25</v>
      </c>
      <c r="C149" s="34">
        <v>1.56</v>
      </c>
      <c r="D149" s="34">
        <v>0.19</v>
      </c>
      <c r="E149" s="34">
        <v>0.15</v>
      </c>
      <c r="F149" s="34">
        <v>0.3</v>
      </c>
      <c r="G149" s="34" t="s">
        <v>51</v>
      </c>
    </row>
    <row r="150" spans="1:7" ht="26.25" x14ac:dyDescent="0.25">
      <c r="A150" s="31" t="s">
        <v>232</v>
      </c>
      <c r="B150" s="32" t="s">
        <v>1</v>
      </c>
      <c r="C150" s="32" t="s">
        <v>1</v>
      </c>
      <c r="D150" s="32" t="s">
        <v>1</v>
      </c>
      <c r="E150" s="32" t="s">
        <v>1</v>
      </c>
      <c r="F150" s="32" t="s">
        <v>1</v>
      </c>
      <c r="G150" s="32" t="s">
        <v>1</v>
      </c>
    </row>
    <row r="151" spans="1:7" x14ac:dyDescent="0.25">
      <c r="A151" s="38">
        <v>0</v>
      </c>
      <c r="B151" s="34">
        <v>60.38</v>
      </c>
      <c r="C151" s="34">
        <v>33.83</v>
      </c>
      <c r="D151" s="34">
        <v>3.24</v>
      </c>
      <c r="E151" s="34">
        <v>6.19</v>
      </c>
      <c r="F151" s="34">
        <v>12.3</v>
      </c>
      <c r="G151" s="34">
        <v>4.8</v>
      </c>
    </row>
    <row r="152" spans="1:7" x14ac:dyDescent="0.25">
      <c r="A152" s="38">
        <v>1</v>
      </c>
      <c r="B152" s="34">
        <v>39.81</v>
      </c>
      <c r="C152" s="34">
        <v>25.64</v>
      </c>
      <c r="D152" s="34">
        <v>2.57</v>
      </c>
      <c r="E152" s="34">
        <v>2.27</v>
      </c>
      <c r="F152" s="34">
        <v>8.06</v>
      </c>
      <c r="G152" s="34">
        <v>1.27</v>
      </c>
    </row>
    <row r="153" spans="1:7" ht="24" customHeight="1" x14ac:dyDescent="0.25">
      <c r="A153" s="38">
        <v>2</v>
      </c>
      <c r="B153" s="34">
        <v>15.19</v>
      </c>
      <c r="C153" s="34">
        <v>10.85</v>
      </c>
      <c r="D153" s="34">
        <v>1.26</v>
      </c>
      <c r="E153" s="34">
        <v>0.67</v>
      </c>
      <c r="F153" s="34">
        <v>1.84</v>
      </c>
      <c r="G153" s="34">
        <v>0.56000000000000005</v>
      </c>
    </row>
    <row r="154" spans="1:7" x14ac:dyDescent="0.25">
      <c r="A154" s="38" t="s">
        <v>107</v>
      </c>
      <c r="B154" s="34">
        <v>8.16</v>
      </c>
      <c r="C154" s="34">
        <v>6.75</v>
      </c>
      <c r="D154" s="34">
        <v>0.38</v>
      </c>
      <c r="E154" s="34">
        <v>0.2</v>
      </c>
      <c r="F154" s="34">
        <v>0.64</v>
      </c>
      <c r="G154" s="34">
        <v>0.19</v>
      </c>
    </row>
    <row r="155" spans="1:7" x14ac:dyDescent="0.25">
      <c r="A155" s="31" t="s">
        <v>146</v>
      </c>
      <c r="B155" s="32" t="s">
        <v>1</v>
      </c>
      <c r="C155" s="32" t="s">
        <v>1</v>
      </c>
      <c r="D155" s="32" t="s">
        <v>1</v>
      </c>
      <c r="E155" s="32" t="s">
        <v>1</v>
      </c>
      <c r="F155" s="32" t="s">
        <v>1</v>
      </c>
      <c r="G155" s="32" t="s">
        <v>1</v>
      </c>
    </row>
    <row r="156" spans="1:7" x14ac:dyDescent="0.25">
      <c r="A156" s="33" t="s">
        <v>66</v>
      </c>
      <c r="B156" s="34">
        <v>34.299999999999997</v>
      </c>
      <c r="C156" s="34">
        <v>25.3</v>
      </c>
      <c r="D156" s="34">
        <v>1.83</v>
      </c>
      <c r="E156" s="34">
        <v>1.97</v>
      </c>
      <c r="F156" s="34">
        <v>3.38</v>
      </c>
      <c r="G156" s="34">
        <v>1.82</v>
      </c>
    </row>
    <row r="157" spans="1:7" x14ac:dyDescent="0.25">
      <c r="A157" s="33" t="s">
        <v>67</v>
      </c>
      <c r="B157" s="34">
        <v>36.81</v>
      </c>
      <c r="C157" s="34">
        <v>22.8</v>
      </c>
      <c r="D157" s="34">
        <v>2.2000000000000002</v>
      </c>
      <c r="E157" s="34">
        <v>2.74</v>
      </c>
      <c r="F157" s="34">
        <v>6.71</v>
      </c>
      <c r="G157" s="34">
        <v>2.35</v>
      </c>
    </row>
    <row r="158" spans="1:7" ht="24" customHeight="1" x14ac:dyDescent="0.25">
      <c r="A158" s="33" t="s">
        <v>145</v>
      </c>
      <c r="B158" s="34">
        <v>52.42</v>
      </c>
      <c r="C158" s="34">
        <v>28.96</v>
      </c>
      <c r="D158" s="34">
        <v>3.43</v>
      </c>
      <c r="E158" s="34">
        <v>4.62</v>
      </c>
      <c r="F158" s="34">
        <v>12.74</v>
      </c>
      <c r="G158" s="34">
        <v>2.66</v>
      </c>
    </row>
    <row r="159" spans="1:7" ht="26.25" x14ac:dyDescent="0.25">
      <c r="A159" s="31" t="s">
        <v>147</v>
      </c>
      <c r="B159" s="32" t="s">
        <v>1</v>
      </c>
      <c r="C159" s="32" t="s">
        <v>1</v>
      </c>
      <c r="D159" s="32" t="s">
        <v>1</v>
      </c>
      <c r="E159" s="32" t="s">
        <v>1</v>
      </c>
      <c r="F159" s="32" t="s">
        <v>1</v>
      </c>
      <c r="G159" s="32" t="s">
        <v>1</v>
      </c>
    </row>
    <row r="160" spans="1:7" x14ac:dyDescent="0.25">
      <c r="A160" s="33" t="s">
        <v>66</v>
      </c>
      <c r="B160" s="34">
        <v>67.83</v>
      </c>
      <c r="C160" s="34">
        <v>58.09</v>
      </c>
      <c r="D160" s="34">
        <v>4.22</v>
      </c>
      <c r="E160" s="34">
        <v>2.11</v>
      </c>
      <c r="F160" s="34" t="s">
        <v>58</v>
      </c>
      <c r="G160" s="34">
        <v>3.41</v>
      </c>
    </row>
    <row r="161" spans="1:7" x14ac:dyDescent="0.25">
      <c r="A161" s="33" t="s">
        <v>67</v>
      </c>
      <c r="B161" s="34">
        <v>32.869999999999997</v>
      </c>
      <c r="C161" s="34">
        <v>18.97</v>
      </c>
      <c r="D161" s="34">
        <v>3.24</v>
      </c>
      <c r="E161" s="34">
        <v>7.23</v>
      </c>
      <c r="F161" s="34" t="s">
        <v>58</v>
      </c>
      <c r="G161" s="34">
        <v>3.42</v>
      </c>
    </row>
    <row r="162" spans="1:7" ht="24" customHeight="1" x14ac:dyDescent="0.25">
      <c r="A162" s="33" t="s">
        <v>100</v>
      </c>
      <c r="B162" s="34">
        <v>22.84</v>
      </c>
      <c r="C162" s="34" t="s">
        <v>58</v>
      </c>
      <c r="D162" s="34" t="s">
        <v>58</v>
      </c>
      <c r="E162" s="34" t="s">
        <v>58</v>
      </c>
      <c r="F162" s="34">
        <v>22.84</v>
      </c>
      <c r="G162" s="34" t="s">
        <v>58</v>
      </c>
    </row>
    <row r="163" spans="1:7" ht="26.25" x14ac:dyDescent="0.25">
      <c r="A163" s="31" t="s">
        <v>233</v>
      </c>
      <c r="B163" s="40" t="s">
        <v>1</v>
      </c>
      <c r="C163" s="40" t="s">
        <v>1</v>
      </c>
      <c r="D163" s="40" t="s">
        <v>1</v>
      </c>
      <c r="E163" s="40" t="s">
        <v>1</v>
      </c>
      <c r="F163" s="40" t="s">
        <v>1</v>
      </c>
      <c r="G163" s="40" t="s">
        <v>1</v>
      </c>
    </row>
    <row r="164" spans="1:7" x14ac:dyDescent="0.25">
      <c r="A164" s="33" t="s">
        <v>66</v>
      </c>
      <c r="B164" s="40">
        <v>1.82</v>
      </c>
      <c r="C164" s="40">
        <v>1.46</v>
      </c>
      <c r="D164" s="40">
        <v>0.11</v>
      </c>
      <c r="E164" s="40" t="s">
        <v>51</v>
      </c>
      <c r="F164" s="40">
        <v>0.17</v>
      </c>
      <c r="G164" s="40" t="s">
        <v>51</v>
      </c>
    </row>
    <row r="165" spans="1:7" x14ac:dyDescent="0.25">
      <c r="A165" s="35" t="s">
        <v>234</v>
      </c>
      <c r="B165" s="40">
        <v>1.39</v>
      </c>
      <c r="C165" s="40">
        <v>1.22</v>
      </c>
      <c r="D165" s="40">
        <v>0.09</v>
      </c>
      <c r="E165" s="40" t="s">
        <v>51</v>
      </c>
      <c r="F165" s="40" t="s">
        <v>51</v>
      </c>
      <c r="G165" s="40" t="s">
        <v>51</v>
      </c>
    </row>
    <row r="166" spans="1:7" ht="33.75" customHeight="1" x14ac:dyDescent="0.25">
      <c r="A166" s="33" t="s">
        <v>67</v>
      </c>
      <c r="B166" s="40">
        <v>121.71</v>
      </c>
      <c r="C166" s="40">
        <v>75.61</v>
      </c>
      <c r="D166" s="40">
        <v>7.34</v>
      </c>
      <c r="E166" s="40">
        <v>9.2899999999999991</v>
      </c>
      <c r="F166" s="40">
        <v>22.67</v>
      </c>
      <c r="G166" s="40">
        <v>6.79</v>
      </c>
    </row>
    <row r="167" spans="1:7" x14ac:dyDescent="0.25">
      <c r="A167" s="31" t="s">
        <v>148</v>
      </c>
      <c r="B167" s="31" t="s">
        <v>1</v>
      </c>
      <c r="C167" s="31" t="s">
        <v>1</v>
      </c>
      <c r="D167" s="31" t="s">
        <v>1</v>
      </c>
      <c r="E167" s="31" t="s">
        <v>1</v>
      </c>
      <c r="F167" s="31" t="s">
        <v>1</v>
      </c>
      <c r="G167" s="31" t="s">
        <v>1</v>
      </c>
    </row>
    <row r="168" spans="1:7" x14ac:dyDescent="0.25">
      <c r="A168" s="33" t="s">
        <v>66</v>
      </c>
      <c r="B168" s="34">
        <v>84.52</v>
      </c>
      <c r="C168" s="34">
        <v>54.13</v>
      </c>
      <c r="D168" s="34">
        <v>5.63</v>
      </c>
      <c r="E168" s="34">
        <v>6.95</v>
      </c>
      <c r="F168" s="34">
        <v>14.94</v>
      </c>
      <c r="G168" s="34">
        <v>2.87</v>
      </c>
    </row>
    <row r="169" spans="1:7" x14ac:dyDescent="0.25">
      <c r="A169" s="35" t="s">
        <v>235</v>
      </c>
      <c r="B169" s="34">
        <v>69.489999999999995</v>
      </c>
      <c r="C169" s="34">
        <v>47.14</v>
      </c>
      <c r="D169" s="34">
        <v>4.9000000000000004</v>
      </c>
      <c r="E169" s="34">
        <v>5.27</v>
      </c>
      <c r="F169" s="34">
        <v>10.3</v>
      </c>
      <c r="G169" s="34">
        <v>1.89</v>
      </c>
    </row>
    <row r="170" spans="1:7" ht="33.75" customHeight="1" x14ac:dyDescent="0.25">
      <c r="A170" s="35" t="s">
        <v>236</v>
      </c>
      <c r="B170" s="34">
        <v>15.03</v>
      </c>
      <c r="C170" s="34">
        <v>6.99</v>
      </c>
      <c r="D170" s="34">
        <v>0.74</v>
      </c>
      <c r="E170" s="34">
        <v>1.68</v>
      </c>
      <c r="F170" s="34">
        <v>4.6399999999999997</v>
      </c>
      <c r="G170" s="34">
        <v>0.98</v>
      </c>
    </row>
    <row r="171" spans="1:7" x14ac:dyDescent="0.25">
      <c r="A171" s="33" t="s">
        <v>67</v>
      </c>
      <c r="B171" s="34">
        <v>39.01</v>
      </c>
      <c r="C171" s="34">
        <v>22.93</v>
      </c>
      <c r="D171" s="34">
        <v>1.82</v>
      </c>
      <c r="E171" s="34">
        <v>2.4</v>
      </c>
      <c r="F171" s="34">
        <v>7.9</v>
      </c>
      <c r="G171" s="34">
        <v>3.96</v>
      </c>
    </row>
    <row r="172" spans="1:7" x14ac:dyDescent="0.25">
      <c r="A172" s="31" t="s">
        <v>149</v>
      </c>
      <c r="B172" s="32" t="s">
        <v>1</v>
      </c>
      <c r="C172" s="32" t="s">
        <v>1</v>
      </c>
      <c r="D172" s="32" t="s">
        <v>1</v>
      </c>
      <c r="E172" s="32" t="s">
        <v>1</v>
      </c>
      <c r="F172" s="32" t="s">
        <v>1</v>
      </c>
      <c r="G172" s="32" t="s">
        <v>1</v>
      </c>
    </row>
    <row r="173" spans="1:7" x14ac:dyDescent="0.25">
      <c r="A173" s="33" t="s">
        <v>66</v>
      </c>
      <c r="B173" s="34">
        <v>3.37</v>
      </c>
      <c r="C173" s="34">
        <v>3.16</v>
      </c>
      <c r="D173" s="34">
        <v>0.11</v>
      </c>
      <c r="E173" s="34" t="s">
        <v>58</v>
      </c>
      <c r="F173" s="34" t="s">
        <v>58</v>
      </c>
      <c r="G173" s="34">
        <v>0.1</v>
      </c>
    </row>
    <row r="174" spans="1:7" x14ac:dyDescent="0.25">
      <c r="A174" s="33" t="s">
        <v>67</v>
      </c>
      <c r="B174" s="34">
        <v>87.98</v>
      </c>
      <c r="C174" s="34">
        <v>73.91</v>
      </c>
      <c r="D174" s="34">
        <v>7.34</v>
      </c>
      <c r="E174" s="34" t="s">
        <v>58</v>
      </c>
      <c r="F174" s="34" t="s">
        <v>58</v>
      </c>
      <c r="G174" s="34">
        <v>6.73</v>
      </c>
    </row>
    <row r="175" spans="1:7" ht="24" customHeight="1" x14ac:dyDescent="0.25">
      <c r="A175" s="33" t="s">
        <v>150</v>
      </c>
      <c r="B175" s="34">
        <v>32.18</v>
      </c>
      <c r="C175" s="34" t="s">
        <v>58</v>
      </c>
      <c r="D175" s="34" t="s">
        <v>58</v>
      </c>
      <c r="E175" s="34">
        <v>9.34</v>
      </c>
      <c r="F175" s="34">
        <v>22.84</v>
      </c>
      <c r="G175" s="34" t="s">
        <v>58</v>
      </c>
    </row>
    <row r="176" spans="1:7" ht="26.25" x14ac:dyDescent="0.25">
      <c r="A176" s="31" t="s">
        <v>237</v>
      </c>
      <c r="B176" s="32" t="s">
        <v>1</v>
      </c>
      <c r="C176" s="32" t="s">
        <v>1</v>
      </c>
      <c r="D176" s="32" t="s">
        <v>1</v>
      </c>
      <c r="E176" s="32" t="s">
        <v>1</v>
      </c>
      <c r="F176" s="32" t="s">
        <v>1</v>
      </c>
      <c r="G176" s="32" t="s">
        <v>1</v>
      </c>
    </row>
    <row r="177" spans="1:7" x14ac:dyDescent="0.25">
      <c r="A177" s="33" t="s">
        <v>66</v>
      </c>
      <c r="B177" s="34">
        <v>22.72</v>
      </c>
      <c r="C177" s="34">
        <v>15.11</v>
      </c>
      <c r="D177" s="34">
        <v>1.05</v>
      </c>
      <c r="E177" s="34">
        <v>1.42</v>
      </c>
      <c r="F177" s="34">
        <v>3.64</v>
      </c>
      <c r="G177" s="34">
        <v>1.5</v>
      </c>
    </row>
    <row r="178" spans="1:7" x14ac:dyDescent="0.25">
      <c r="A178" s="35" t="s">
        <v>238</v>
      </c>
      <c r="B178" s="34">
        <v>19</v>
      </c>
      <c r="C178" s="34">
        <v>13.08</v>
      </c>
      <c r="D178" s="34">
        <v>0.83</v>
      </c>
      <c r="E178" s="34">
        <v>1.08</v>
      </c>
      <c r="F178" s="34">
        <v>2.68</v>
      </c>
      <c r="G178" s="34">
        <v>1.32</v>
      </c>
    </row>
    <row r="179" spans="1:7" ht="24" customHeight="1" x14ac:dyDescent="0.25">
      <c r="A179" s="35" t="s">
        <v>239</v>
      </c>
      <c r="B179" s="34">
        <v>0.25</v>
      </c>
      <c r="C179" s="34">
        <v>0.15</v>
      </c>
      <c r="D179" s="34" t="s">
        <v>51</v>
      </c>
      <c r="E179" s="34" t="s">
        <v>51</v>
      </c>
      <c r="F179" s="34" t="s">
        <v>51</v>
      </c>
      <c r="G179" s="34" t="s">
        <v>51</v>
      </c>
    </row>
    <row r="180" spans="1:7" ht="26.25" x14ac:dyDescent="0.25">
      <c r="A180" s="35" t="s">
        <v>240</v>
      </c>
      <c r="B180" s="34">
        <v>3.08</v>
      </c>
      <c r="C180" s="34">
        <v>1.71</v>
      </c>
      <c r="D180" s="34">
        <v>0.18</v>
      </c>
      <c r="E180" s="34">
        <v>0.28999999999999998</v>
      </c>
      <c r="F180" s="34">
        <v>0.76</v>
      </c>
      <c r="G180" s="34">
        <v>0.14000000000000001</v>
      </c>
    </row>
    <row r="181" spans="1:7" x14ac:dyDescent="0.25">
      <c r="A181" s="35" t="s">
        <v>212</v>
      </c>
      <c r="B181" s="34">
        <v>0.39</v>
      </c>
      <c r="C181" s="34">
        <v>0.16</v>
      </c>
      <c r="D181" s="34" t="s">
        <v>51</v>
      </c>
      <c r="E181" s="34" t="s">
        <v>51</v>
      </c>
      <c r="F181" s="34">
        <v>0.18</v>
      </c>
      <c r="G181" s="34" t="s">
        <v>51</v>
      </c>
    </row>
    <row r="182" spans="1:7" x14ac:dyDescent="0.25">
      <c r="A182" s="33" t="s">
        <v>67</v>
      </c>
      <c r="B182" s="34">
        <v>100.81</v>
      </c>
      <c r="C182" s="34">
        <v>61.96</v>
      </c>
      <c r="D182" s="34">
        <v>6.4</v>
      </c>
      <c r="E182" s="34">
        <v>7.92</v>
      </c>
      <c r="F182" s="34">
        <v>19.190000000000001</v>
      </c>
      <c r="G182" s="34">
        <v>5.33</v>
      </c>
    </row>
    <row r="183" spans="1:7" ht="24" customHeight="1" x14ac:dyDescent="0.25">
      <c r="A183" s="31" t="s">
        <v>151</v>
      </c>
      <c r="B183" s="32" t="s">
        <v>1</v>
      </c>
      <c r="C183" s="32" t="s">
        <v>1</v>
      </c>
      <c r="D183" s="32" t="s">
        <v>1</v>
      </c>
      <c r="E183" s="32" t="s">
        <v>1</v>
      </c>
      <c r="F183" s="32" t="s">
        <v>1</v>
      </c>
      <c r="G183" s="32" t="s">
        <v>1</v>
      </c>
    </row>
    <row r="184" spans="1:7" x14ac:dyDescent="0.25">
      <c r="A184" s="33" t="s">
        <v>66</v>
      </c>
      <c r="B184" s="34">
        <v>17.66</v>
      </c>
      <c r="C184" s="34">
        <v>13.93</v>
      </c>
      <c r="D184" s="34">
        <v>0.34</v>
      </c>
      <c r="E184" s="34">
        <v>0.22</v>
      </c>
      <c r="F184" s="34">
        <v>2.15</v>
      </c>
      <c r="G184" s="34">
        <v>1.02</v>
      </c>
    </row>
    <row r="185" spans="1:7" x14ac:dyDescent="0.25">
      <c r="A185" s="33" t="s">
        <v>67</v>
      </c>
      <c r="B185" s="34">
        <v>105.87</v>
      </c>
      <c r="C185" s="34">
        <v>63.14</v>
      </c>
      <c r="D185" s="34">
        <v>7.11</v>
      </c>
      <c r="E185" s="34">
        <v>9.1199999999999992</v>
      </c>
      <c r="F185" s="34">
        <v>20.69</v>
      </c>
      <c r="G185" s="34">
        <v>5.82</v>
      </c>
    </row>
    <row r="186" spans="1:7" x14ac:dyDescent="0.25">
      <c r="A186" s="31" t="s">
        <v>152</v>
      </c>
      <c r="B186" s="32" t="s">
        <v>1</v>
      </c>
      <c r="C186" s="32" t="s">
        <v>1</v>
      </c>
      <c r="D186" s="32" t="s">
        <v>1</v>
      </c>
      <c r="E186" s="32" t="s">
        <v>1</v>
      </c>
      <c r="F186" s="32" t="s">
        <v>1</v>
      </c>
      <c r="G186" s="32" t="s">
        <v>1</v>
      </c>
    </row>
    <row r="187" spans="1:7" ht="24" customHeight="1" x14ac:dyDescent="0.25">
      <c r="A187" s="38" t="s">
        <v>66</v>
      </c>
      <c r="B187" s="34">
        <v>8.52</v>
      </c>
      <c r="C187" s="34">
        <v>8.09</v>
      </c>
      <c r="D187" s="34">
        <v>0.2</v>
      </c>
      <c r="E187" s="34" t="s">
        <v>58</v>
      </c>
      <c r="F187" s="34" t="s">
        <v>58</v>
      </c>
      <c r="G187" s="34">
        <v>0.23</v>
      </c>
    </row>
    <row r="188" spans="1:7" x14ac:dyDescent="0.25">
      <c r="A188" s="33" t="s">
        <v>67</v>
      </c>
      <c r="B188" s="34">
        <v>82.83</v>
      </c>
      <c r="C188" s="34">
        <v>68.98</v>
      </c>
      <c r="D188" s="34">
        <v>7.25</v>
      </c>
      <c r="E188" s="34" t="s">
        <v>58</v>
      </c>
      <c r="F188" s="34" t="s">
        <v>58</v>
      </c>
      <c r="G188" s="34">
        <v>6.6</v>
      </c>
    </row>
    <row r="189" spans="1:7" x14ac:dyDescent="0.25">
      <c r="A189" s="33" t="s">
        <v>150</v>
      </c>
      <c r="B189" s="34">
        <v>32.18</v>
      </c>
      <c r="C189" s="34" t="s">
        <v>58</v>
      </c>
      <c r="D189" s="34" t="s">
        <v>58</v>
      </c>
      <c r="E189" s="34">
        <v>9.34</v>
      </c>
      <c r="F189" s="34">
        <v>22.84</v>
      </c>
      <c r="G189" s="34" t="s">
        <v>58</v>
      </c>
    </row>
    <row r="190" spans="1:7" x14ac:dyDescent="0.25">
      <c r="A190" s="41" t="s">
        <v>153</v>
      </c>
      <c r="B190" s="32" t="s">
        <v>1</v>
      </c>
      <c r="C190" s="32" t="s">
        <v>1</v>
      </c>
      <c r="D190" s="32" t="s">
        <v>1</v>
      </c>
      <c r="E190" s="32" t="s">
        <v>1</v>
      </c>
      <c r="F190" s="32" t="s">
        <v>1</v>
      </c>
      <c r="G190" s="32" t="s">
        <v>1</v>
      </c>
    </row>
    <row r="191" spans="1:7" x14ac:dyDescent="0.25">
      <c r="A191" s="35" t="s">
        <v>154</v>
      </c>
      <c r="B191" s="34">
        <v>1.9</v>
      </c>
      <c r="C191" s="34">
        <v>1.77</v>
      </c>
      <c r="D191" s="34">
        <v>0.06</v>
      </c>
      <c r="E191" s="34" t="s">
        <v>58</v>
      </c>
      <c r="F191" s="34" t="s">
        <v>58</v>
      </c>
      <c r="G191" s="34" t="s">
        <v>51</v>
      </c>
    </row>
    <row r="192" spans="1:7" x14ac:dyDescent="0.25">
      <c r="A192" s="35" t="s">
        <v>155</v>
      </c>
      <c r="B192" s="34">
        <v>5.08</v>
      </c>
      <c r="C192" s="34">
        <v>4.84</v>
      </c>
      <c r="D192" s="34">
        <v>0.1</v>
      </c>
      <c r="E192" s="34" t="s">
        <v>58</v>
      </c>
      <c r="F192" s="34" t="s">
        <v>58</v>
      </c>
      <c r="G192" s="34">
        <v>0.14000000000000001</v>
      </c>
    </row>
    <row r="193" spans="1:7" ht="24" customHeight="1" x14ac:dyDescent="0.25">
      <c r="A193" s="35" t="s">
        <v>156</v>
      </c>
      <c r="B193" s="34">
        <v>1.54</v>
      </c>
      <c r="C193" s="34">
        <v>1.48</v>
      </c>
      <c r="D193" s="34" t="s">
        <v>51</v>
      </c>
      <c r="E193" s="34" t="s">
        <v>58</v>
      </c>
      <c r="F193" s="34" t="s">
        <v>58</v>
      </c>
      <c r="G193" s="34" t="s">
        <v>51</v>
      </c>
    </row>
    <row r="194" spans="1:7" x14ac:dyDescent="0.25">
      <c r="A194" s="35" t="s">
        <v>157</v>
      </c>
      <c r="B194" s="34">
        <v>82.83</v>
      </c>
      <c r="C194" s="34">
        <v>68.98</v>
      </c>
      <c r="D194" s="34">
        <v>7.25</v>
      </c>
      <c r="E194" s="34" t="s">
        <v>58</v>
      </c>
      <c r="F194" s="34" t="s">
        <v>58</v>
      </c>
      <c r="G194" s="34">
        <v>6.6</v>
      </c>
    </row>
    <row r="195" spans="1:7" x14ac:dyDescent="0.25">
      <c r="A195" s="35" t="s">
        <v>150</v>
      </c>
      <c r="B195" s="34">
        <v>32.18</v>
      </c>
      <c r="C195" s="34" t="s">
        <v>58</v>
      </c>
      <c r="D195" s="34" t="s">
        <v>58</v>
      </c>
      <c r="E195" s="34">
        <v>9.34</v>
      </c>
      <c r="F195" s="34">
        <v>22.84</v>
      </c>
      <c r="G195" s="34" t="s">
        <v>58</v>
      </c>
    </row>
    <row r="196" spans="1:7" x14ac:dyDescent="0.25">
      <c r="A196" s="41" t="s">
        <v>158</v>
      </c>
      <c r="B196" s="32" t="s">
        <v>1</v>
      </c>
      <c r="C196" s="32" t="s">
        <v>1</v>
      </c>
      <c r="D196" s="32" t="s">
        <v>1</v>
      </c>
      <c r="E196" s="32" t="s">
        <v>1</v>
      </c>
      <c r="F196" s="32" t="s">
        <v>1</v>
      </c>
      <c r="G196" s="32" t="s">
        <v>1</v>
      </c>
    </row>
    <row r="197" spans="1:7" x14ac:dyDescent="0.25">
      <c r="A197" s="35" t="s">
        <v>159</v>
      </c>
      <c r="B197" s="34">
        <v>2.89</v>
      </c>
      <c r="C197" s="34">
        <v>2.82</v>
      </c>
      <c r="D197" s="34">
        <v>0.05</v>
      </c>
      <c r="E197" s="34" t="s">
        <v>58</v>
      </c>
      <c r="F197" s="34" t="s">
        <v>58</v>
      </c>
      <c r="G197" s="34" t="s">
        <v>51</v>
      </c>
    </row>
    <row r="198" spans="1:7" x14ac:dyDescent="0.25">
      <c r="A198" s="36" t="s">
        <v>160</v>
      </c>
      <c r="B198" s="34">
        <v>0.85</v>
      </c>
      <c r="C198" s="34">
        <v>0.82</v>
      </c>
      <c r="D198" s="34" t="s">
        <v>51</v>
      </c>
      <c r="E198" s="34" t="s">
        <v>58</v>
      </c>
      <c r="F198" s="34" t="s">
        <v>58</v>
      </c>
      <c r="G198" s="34" t="s">
        <v>51</v>
      </c>
    </row>
    <row r="199" spans="1:7" x14ac:dyDescent="0.25">
      <c r="A199" s="36" t="s">
        <v>161</v>
      </c>
      <c r="B199" s="34">
        <v>1.32</v>
      </c>
      <c r="C199" s="34">
        <v>1.3</v>
      </c>
      <c r="D199" s="34" t="s">
        <v>51</v>
      </c>
      <c r="E199" s="34" t="s">
        <v>58</v>
      </c>
      <c r="F199" s="34" t="s">
        <v>58</v>
      </c>
      <c r="G199" s="34" t="s">
        <v>51</v>
      </c>
    </row>
    <row r="200" spans="1:7" x14ac:dyDescent="0.25">
      <c r="A200" s="36" t="s">
        <v>162</v>
      </c>
      <c r="B200" s="34">
        <v>0.28999999999999998</v>
      </c>
      <c r="C200" s="34">
        <v>0.28000000000000003</v>
      </c>
      <c r="D200" s="34" t="s">
        <v>51</v>
      </c>
      <c r="E200" s="34" t="s">
        <v>58</v>
      </c>
      <c r="F200" s="34" t="s">
        <v>58</v>
      </c>
      <c r="G200" s="34" t="s">
        <v>58</v>
      </c>
    </row>
    <row r="201" spans="1:7" x14ac:dyDescent="0.25">
      <c r="A201" s="36" t="s">
        <v>163</v>
      </c>
      <c r="B201" s="34">
        <v>0.42</v>
      </c>
      <c r="C201" s="34">
        <v>0.42</v>
      </c>
      <c r="D201" s="34" t="s">
        <v>51</v>
      </c>
      <c r="E201" s="34" t="s">
        <v>58</v>
      </c>
      <c r="F201" s="34" t="s">
        <v>58</v>
      </c>
      <c r="G201" s="34" t="s">
        <v>58</v>
      </c>
    </row>
    <row r="202" spans="1:7" x14ac:dyDescent="0.25">
      <c r="A202" s="35" t="s">
        <v>164</v>
      </c>
      <c r="B202" s="34">
        <v>5.63</v>
      </c>
      <c r="C202" s="34">
        <v>5.27</v>
      </c>
      <c r="D202" s="34">
        <v>0.15</v>
      </c>
      <c r="E202" s="34" t="s">
        <v>58</v>
      </c>
      <c r="F202" s="34" t="s">
        <v>58</v>
      </c>
      <c r="G202" s="34">
        <v>0.22</v>
      </c>
    </row>
    <row r="203" spans="1:7" ht="24" customHeight="1" x14ac:dyDescent="0.25">
      <c r="A203" s="35" t="s">
        <v>157</v>
      </c>
      <c r="B203" s="34">
        <v>82.83</v>
      </c>
      <c r="C203" s="34">
        <v>68.98</v>
      </c>
      <c r="D203" s="34">
        <v>7.25</v>
      </c>
      <c r="E203" s="34" t="s">
        <v>58</v>
      </c>
      <c r="F203" s="34" t="s">
        <v>58</v>
      </c>
      <c r="G203" s="34">
        <v>6.6</v>
      </c>
    </row>
    <row r="204" spans="1:7" s="37" customFormat="1" x14ac:dyDescent="0.25">
      <c r="A204" s="35" t="s">
        <v>150</v>
      </c>
      <c r="B204" s="34">
        <v>32.18</v>
      </c>
      <c r="C204" s="34" t="s">
        <v>58</v>
      </c>
      <c r="D204" s="34" t="s">
        <v>58</v>
      </c>
      <c r="E204" s="34">
        <v>9.34</v>
      </c>
      <c r="F204" s="34">
        <v>22.84</v>
      </c>
      <c r="G204" s="34" t="s">
        <v>58</v>
      </c>
    </row>
    <row r="205" spans="1:7" s="37" customFormat="1" x14ac:dyDescent="0.25">
      <c r="A205" s="31" t="s">
        <v>165</v>
      </c>
      <c r="B205" s="32" t="s">
        <v>1</v>
      </c>
      <c r="C205" s="32" t="s">
        <v>1</v>
      </c>
      <c r="D205" s="32" t="s">
        <v>1</v>
      </c>
      <c r="E205" s="32" t="s">
        <v>1</v>
      </c>
      <c r="F205" s="32" t="s">
        <v>1</v>
      </c>
      <c r="G205" s="32" t="s">
        <v>1</v>
      </c>
    </row>
    <row r="206" spans="1:7" s="37" customFormat="1" ht="24" customHeight="1" x14ac:dyDescent="0.25">
      <c r="A206" s="33" t="s">
        <v>66</v>
      </c>
      <c r="B206" s="34">
        <v>8.84</v>
      </c>
      <c r="C206" s="34">
        <v>7.33</v>
      </c>
      <c r="D206" s="34">
        <v>0.28000000000000003</v>
      </c>
      <c r="E206" s="34">
        <v>0.22</v>
      </c>
      <c r="F206" s="34">
        <v>0.73</v>
      </c>
      <c r="G206" s="34">
        <v>0.28999999999999998</v>
      </c>
    </row>
    <row r="207" spans="1:7" s="37" customFormat="1" x14ac:dyDescent="0.25">
      <c r="A207" s="33" t="s">
        <v>67</v>
      </c>
      <c r="B207" s="34">
        <v>114.69</v>
      </c>
      <c r="C207" s="34">
        <v>69.739999999999995</v>
      </c>
      <c r="D207" s="34">
        <v>7.18</v>
      </c>
      <c r="E207" s="34">
        <v>9.1199999999999992</v>
      </c>
      <c r="F207" s="34">
        <v>22.11</v>
      </c>
      <c r="G207" s="34">
        <v>6.55</v>
      </c>
    </row>
    <row r="208" spans="1:7" s="37" customFormat="1" x14ac:dyDescent="0.25">
      <c r="A208" s="41" t="s">
        <v>166</v>
      </c>
      <c r="B208" s="32" t="s">
        <v>1</v>
      </c>
      <c r="C208" s="32" t="s">
        <v>1</v>
      </c>
      <c r="D208" s="32" t="s">
        <v>1</v>
      </c>
      <c r="E208" s="32" t="s">
        <v>1</v>
      </c>
      <c r="F208" s="32" t="s">
        <v>1</v>
      </c>
      <c r="G208" s="32" t="s">
        <v>1</v>
      </c>
    </row>
    <row r="209" spans="1:7" s="37" customFormat="1" x14ac:dyDescent="0.25">
      <c r="A209" s="35" t="s">
        <v>154</v>
      </c>
      <c r="B209" s="34">
        <v>4.22</v>
      </c>
      <c r="C209" s="34">
        <v>3.3</v>
      </c>
      <c r="D209" s="34">
        <v>0.17</v>
      </c>
      <c r="E209" s="34">
        <v>0.14000000000000001</v>
      </c>
      <c r="F209" s="34">
        <v>0.44</v>
      </c>
      <c r="G209" s="34">
        <v>0.16</v>
      </c>
    </row>
    <row r="210" spans="1:7" s="37" customFormat="1" x14ac:dyDescent="0.25">
      <c r="A210" s="35" t="s">
        <v>155</v>
      </c>
      <c r="B210" s="34">
        <v>1.27</v>
      </c>
      <c r="C210" s="34">
        <v>1.1299999999999999</v>
      </c>
      <c r="D210" s="34" t="s">
        <v>51</v>
      </c>
      <c r="E210" s="34" t="s">
        <v>51</v>
      </c>
      <c r="F210" s="34" t="s">
        <v>51</v>
      </c>
      <c r="G210" s="34" t="s">
        <v>51</v>
      </c>
    </row>
    <row r="211" spans="1:7" ht="24" customHeight="1" x14ac:dyDescent="0.25">
      <c r="A211" s="35" t="s">
        <v>156</v>
      </c>
      <c r="B211" s="34">
        <v>3.35</v>
      </c>
      <c r="C211" s="34">
        <v>2.9</v>
      </c>
      <c r="D211" s="34">
        <v>0.08</v>
      </c>
      <c r="E211" s="34" t="s">
        <v>51</v>
      </c>
      <c r="F211" s="34">
        <v>0.21</v>
      </c>
      <c r="G211" s="34">
        <v>0.1</v>
      </c>
    </row>
    <row r="212" spans="1:7" x14ac:dyDescent="0.25">
      <c r="A212" s="35" t="s">
        <v>167</v>
      </c>
      <c r="B212" s="34">
        <v>114.69</v>
      </c>
      <c r="C212" s="34">
        <v>69.739999999999995</v>
      </c>
      <c r="D212" s="34">
        <v>7.18</v>
      </c>
      <c r="E212" s="34">
        <v>9.1199999999999992</v>
      </c>
      <c r="F212" s="34">
        <v>22.11</v>
      </c>
      <c r="G212" s="34">
        <v>6.55</v>
      </c>
    </row>
    <row r="213" spans="1:7" x14ac:dyDescent="0.25">
      <c r="A213" s="41" t="s">
        <v>168</v>
      </c>
      <c r="B213" s="32" t="s">
        <v>1</v>
      </c>
      <c r="C213" s="32" t="s">
        <v>1</v>
      </c>
      <c r="D213" s="32" t="s">
        <v>1</v>
      </c>
      <c r="E213" s="32" t="s">
        <v>1</v>
      </c>
      <c r="F213" s="32" t="s">
        <v>1</v>
      </c>
      <c r="G213" s="32" t="s">
        <v>1</v>
      </c>
    </row>
    <row r="214" spans="1:7" x14ac:dyDescent="0.25">
      <c r="A214" s="35" t="s">
        <v>160</v>
      </c>
      <c r="B214" s="34">
        <v>4.41</v>
      </c>
      <c r="C214" s="34">
        <v>3.8</v>
      </c>
      <c r="D214" s="34">
        <v>0.1</v>
      </c>
      <c r="E214" s="34" t="s">
        <v>51</v>
      </c>
      <c r="F214" s="34">
        <v>0.24</v>
      </c>
      <c r="G214" s="34">
        <v>0.17</v>
      </c>
    </row>
    <row r="215" spans="1:7" x14ac:dyDescent="0.25">
      <c r="A215" s="35" t="s">
        <v>161</v>
      </c>
      <c r="B215" s="34">
        <v>1.47</v>
      </c>
      <c r="C215" s="34">
        <v>1.23</v>
      </c>
      <c r="D215" s="34">
        <v>0.04</v>
      </c>
      <c r="E215" s="34" t="s">
        <v>51</v>
      </c>
      <c r="F215" s="34">
        <v>0.11</v>
      </c>
      <c r="G215" s="34" t="s">
        <v>51</v>
      </c>
    </row>
    <row r="216" spans="1:7" x14ac:dyDescent="0.25">
      <c r="A216" s="35" t="s">
        <v>163</v>
      </c>
      <c r="B216" s="34">
        <v>0.36</v>
      </c>
      <c r="C216" s="34">
        <v>0.32</v>
      </c>
      <c r="D216" s="34" t="s">
        <v>51</v>
      </c>
      <c r="E216" s="34" t="s">
        <v>58</v>
      </c>
      <c r="F216" s="34" t="s">
        <v>51</v>
      </c>
      <c r="G216" s="34" t="s">
        <v>58</v>
      </c>
    </row>
    <row r="217" spans="1:7" ht="43.5" customHeight="1" x14ac:dyDescent="0.25">
      <c r="A217" s="35" t="s">
        <v>169</v>
      </c>
      <c r="B217" s="34">
        <v>2.6</v>
      </c>
      <c r="C217" s="34">
        <v>1.98</v>
      </c>
      <c r="D217" s="34">
        <v>0.12</v>
      </c>
      <c r="E217" s="34" t="s">
        <v>51</v>
      </c>
      <c r="F217" s="34">
        <v>0.34</v>
      </c>
      <c r="G217" s="34">
        <v>0.09</v>
      </c>
    </row>
    <row r="218" spans="1:7" x14ac:dyDescent="0.25">
      <c r="A218" s="35" t="s">
        <v>167</v>
      </c>
      <c r="B218" s="34">
        <v>114.69</v>
      </c>
      <c r="C218" s="34">
        <v>69.739999999999995</v>
      </c>
      <c r="D218" s="34">
        <v>7.18</v>
      </c>
      <c r="E218" s="34">
        <v>9.1199999999999992</v>
      </c>
      <c r="F218" s="34">
        <v>22.11</v>
      </c>
      <c r="G218" s="34">
        <v>6.55</v>
      </c>
    </row>
    <row r="219" spans="1:7" x14ac:dyDescent="0.25">
      <c r="A219" s="33"/>
      <c r="B219" s="42"/>
      <c r="C219" s="42"/>
      <c r="D219" s="42"/>
      <c r="E219" s="42"/>
      <c r="F219" s="42"/>
      <c r="G219" s="42"/>
    </row>
    <row r="220" spans="1:7" s="37" customFormat="1" ht="15.75" thickBot="1" x14ac:dyDescent="0.3">
      <c r="A220" s="35"/>
      <c r="B220" s="34"/>
      <c r="C220" s="34"/>
      <c r="D220" s="34"/>
      <c r="E220" s="34"/>
      <c r="F220" s="34"/>
      <c r="G220" s="34"/>
    </row>
    <row r="221" spans="1:7" s="37" customFormat="1" ht="206.25" customHeight="1" x14ac:dyDescent="0.25">
      <c r="A221" s="85" t="s">
        <v>241</v>
      </c>
      <c r="B221" s="85"/>
      <c r="C221" s="85"/>
      <c r="D221" s="85"/>
      <c r="E221" s="85"/>
      <c r="F221" s="85"/>
      <c r="G221" s="85"/>
    </row>
    <row r="222" spans="1:7" s="37" customFormat="1" x14ac:dyDescent="0.25">
      <c r="A222"/>
      <c r="B222"/>
      <c r="C222"/>
      <c r="D222"/>
      <c r="E222"/>
      <c r="F222"/>
      <c r="G222"/>
    </row>
  </sheetData>
  <mergeCells count="5">
    <mergeCell ref="A2:G2"/>
    <mergeCell ref="B3:G3"/>
    <mergeCell ref="C4:G4"/>
    <mergeCell ref="A1:B1"/>
    <mergeCell ref="A221:G2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35EB5-6B55-4FDF-BABA-833C3C6CEE31}">
  <dimension ref="A1:AG125"/>
  <sheetViews>
    <sheetView workbookViewId="0"/>
  </sheetViews>
  <sheetFormatPr defaultRowHeight="15" x14ac:dyDescent="0.25"/>
  <cols>
    <col min="1" max="1" width="27.7109375" customWidth="1"/>
    <col min="2" max="2" width="67.5703125" customWidth="1"/>
    <col min="3" max="3" width="65" bestFit="1" customWidth="1"/>
  </cols>
  <sheetData>
    <row r="1" spans="1:33" x14ac:dyDescent="0.25">
      <c r="A1" t="s">
        <v>543</v>
      </c>
    </row>
    <row r="2" spans="1:33" x14ac:dyDescent="0.25">
      <c r="A2" t="s">
        <v>542</v>
      </c>
    </row>
    <row r="3" spans="1:33" x14ac:dyDescent="0.25">
      <c r="A3" t="s">
        <v>541</v>
      </c>
    </row>
    <row r="4" spans="1:33" x14ac:dyDescent="0.25">
      <c r="A4" t="s">
        <v>540</v>
      </c>
    </row>
    <row r="5" spans="1:33" x14ac:dyDescent="0.25">
      <c r="B5" t="s">
        <v>539</v>
      </c>
      <c r="C5" t="s">
        <v>538</v>
      </c>
      <c r="D5" t="s">
        <v>537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536</v>
      </c>
    </row>
    <row r="6" spans="1:33" x14ac:dyDescent="0.25">
      <c r="A6" t="s">
        <v>2</v>
      </c>
    </row>
    <row r="7" spans="1:33" x14ac:dyDescent="0.25">
      <c r="A7" t="s">
        <v>535</v>
      </c>
    </row>
    <row r="8" spans="1:33" x14ac:dyDescent="0.25">
      <c r="A8" t="s">
        <v>534</v>
      </c>
      <c r="B8" t="s">
        <v>533</v>
      </c>
      <c r="C8" t="s">
        <v>532</v>
      </c>
      <c r="D8" t="s">
        <v>523</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73">
        <v>8.9999999999999993E-3</v>
      </c>
    </row>
    <row r="9" spans="1:33" x14ac:dyDescent="0.25">
      <c r="A9" t="s">
        <v>531</v>
      </c>
      <c r="B9" t="s">
        <v>530</v>
      </c>
      <c r="C9" t="s">
        <v>529</v>
      </c>
      <c r="D9" t="s">
        <v>523</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73">
        <v>0.01</v>
      </c>
    </row>
    <row r="10" spans="1:33" x14ac:dyDescent="0.25">
      <c r="A10" t="s">
        <v>528</v>
      </c>
      <c r="B10" t="s">
        <v>527</v>
      </c>
      <c r="C10" t="s">
        <v>526</v>
      </c>
      <c r="D10" t="s">
        <v>523</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73">
        <v>1E-3</v>
      </c>
    </row>
    <row r="11" spans="1:33" x14ac:dyDescent="0.25">
      <c r="A11" t="s">
        <v>324</v>
      </c>
      <c r="B11" t="s">
        <v>525</v>
      </c>
      <c r="C11" t="s">
        <v>524</v>
      </c>
      <c r="D11" t="s">
        <v>523</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73">
        <v>8.9999999999999993E-3</v>
      </c>
    </row>
    <row r="12" spans="1:33" x14ac:dyDescent="0.25">
      <c r="A12" t="s">
        <v>522</v>
      </c>
      <c r="B12" t="s">
        <v>521</v>
      </c>
      <c r="C12" t="s">
        <v>520</v>
      </c>
      <c r="D12" t="s">
        <v>519</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73">
        <v>3.0000000000000001E-3</v>
      </c>
    </row>
    <row r="13" spans="1:33" x14ac:dyDescent="0.25">
      <c r="A13" t="s">
        <v>518</v>
      </c>
    </row>
    <row r="14" spans="1:33" x14ac:dyDescent="0.25">
      <c r="A14" t="s">
        <v>517</v>
      </c>
    </row>
    <row r="15" spans="1:33" x14ac:dyDescent="0.25">
      <c r="A15" t="s">
        <v>510</v>
      </c>
      <c r="B15" t="s">
        <v>516</v>
      </c>
      <c r="C15" t="s">
        <v>515</v>
      </c>
      <c r="D15" t="s">
        <v>512</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73">
        <v>-7.0000000000000001E-3</v>
      </c>
    </row>
    <row r="16" spans="1:33" x14ac:dyDescent="0.25">
      <c r="A16" t="s">
        <v>507</v>
      </c>
      <c r="B16" t="s">
        <v>514</v>
      </c>
      <c r="C16" t="s">
        <v>513</v>
      </c>
      <c r="D16" t="s">
        <v>512</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73">
        <v>-8.9999999999999993E-3</v>
      </c>
    </row>
    <row r="17" spans="1:33" x14ac:dyDescent="0.25">
      <c r="A17" t="s">
        <v>511</v>
      </c>
    </row>
    <row r="18" spans="1:33" x14ac:dyDescent="0.25">
      <c r="A18" t="s">
        <v>510</v>
      </c>
      <c r="B18" t="s">
        <v>509</v>
      </c>
      <c r="C18" t="s">
        <v>508</v>
      </c>
      <c r="D18" t="s">
        <v>504</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73">
        <v>-0.01</v>
      </c>
    </row>
    <row r="19" spans="1:33" x14ac:dyDescent="0.25">
      <c r="A19" t="s">
        <v>507</v>
      </c>
      <c r="B19" t="s">
        <v>506</v>
      </c>
      <c r="C19" t="s">
        <v>505</v>
      </c>
      <c r="D19" t="s">
        <v>504</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73">
        <v>-1.2E-2</v>
      </c>
    </row>
    <row r="20" spans="1:33" x14ac:dyDescent="0.25">
      <c r="A20" t="s">
        <v>199</v>
      </c>
    </row>
    <row r="21" spans="1:33" x14ac:dyDescent="0.25">
      <c r="A21" t="s">
        <v>160</v>
      </c>
    </row>
    <row r="22" spans="1:33" x14ac:dyDescent="0.25">
      <c r="A22" t="s">
        <v>388</v>
      </c>
      <c r="B22" t="s">
        <v>503</v>
      </c>
      <c r="C22" t="s">
        <v>502</v>
      </c>
      <c r="D22" t="s">
        <v>321</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73">
        <v>-3.0000000000000001E-3</v>
      </c>
    </row>
    <row r="23" spans="1:33" x14ac:dyDescent="0.25">
      <c r="A23" t="s">
        <v>385</v>
      </c>
      <c r="B23" t="s">
        <v>501</v>
      </c>
      <c r="C23" t="s">
        <v>500</v>
      </c>
      <c r="D23" t="s">
        <v>321</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73">
        <v>1.0999999999999999E-2</v>
      </c>
    </row>
    <row r="24" spans="1:33" x14ac:dyDescent="0.25">
      <c r="A24" t="s">
        <v>382</v>
      </c>
      <c r="B24" t="s">
        <v>499</v>
      </c>
      <c r="C24" t="s">
        <v>498</v>
      </c>
      <c r="D24" t="s">
        <v>321</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73">
        <v>-2.8000000000000001E-2</v>
      </c>
    </row>
    <row r="25" spans="1:33" x14ac:dyDescent="0.25">
      <c r="A25" t="s">
        <v>379</v>
      </c>
      <c r="B25" t="s">
        <v>497</v>
      </c>
      <c r="C25" t="s">
        <v>496</v>
      </c>
      <c r="D25" t="s">
        <v>321</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73">
        <v>0</v>
      </c>
    </row>
    <row r="26" spans="1:33" x14ac:dyDescent="0.25">
      <c r="A26" t="s">
        <v>376</v>
      </c>
      <c r="B26" t="s">
        <v>495</v>
      </c>
      <c r="C26" t="s">
        <v>494</v>
      </c>
      <c r="D26" t="s">
        <v>321</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73">
        <v>7.0000000000000001E-3</v>
      </c>
    </row>
    <row r="27" spans="1:33" x14ac:dyDescent="0.25">
      <c r="A27" t="s">
        <v>373</v>
      </c>
      <c r="B27" t="s">
        <v>493</v>
      </c>
      <c r="C27" t="s">
        <v>492</v>
      </c>
      <c r="D27" t="s">
        <v>321</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73">
        <v>1.0999999999999999E-2</v>
      </c>
    </row>
    <row r="28" spans="1:33" x14ac:dyDescent="0.25">
      <c r="A28" t="s">
        <v>370</v>
      </c>
      <c r="B28" t="s">
        <v>491</v>
      </c>
      <c r="C28" t="s">
        <v>490</v>
      </c>
      <c r="D28" t="s">
        <v>321</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73">
        <v>-3.0000000000000001E-3</v>
      </c>
    </row>
    <row r="29" spans="1:33" x14ac:dyDescent="0.25">
      <c r="A29" t="s">
        <v>367</v>
      </c>
      <c r="B29" t="s">
        <v>489</v>
      </c>
      <c r="C29" t="s">
        <v>488</v>
      </c>
      <c r="D29" t="s">
        <v>321</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73">
        <v>1E-3</v>
      </c>
    </row>
    <row r="30" spans="1:33" x14ac:dyDescent="0.25">
      <c r="A30" t="s">
        <v>364</v>
      </c>
      <c r="B30" t="s">
        <v>487</v>
      </c>
      <c r="C30" t="s">
        <v>486</v>
      </c>
      <c r="D30" t="s">
        <v>321</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73">
        <v>-1.4E-2</v>
      </c>
    </row>
    <row r="31" spans="1:33" x14ac:dyDescent="0.25">
      <c r="A31" t="s">
        <v>361</v>
      </c>
      <c r="B31" t="s">
        <v>485</v>
      </c>
      <c r="C31" t="s">
        <v>484</v>
      </c>
      <c r="D31" t="s">
        <v>321</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73">
        <v>1.0999999999999999E-2</v>
      </c>
    </row>
    <row r="32" spans="1:33" x14ac:dyDescent="0.25">
      <c r="A32" t="s">
        <v>358</v>
      </c>
      <c r="B32" t="s">
        <v>483</v>
      </c>
      <c r="C32" t="s">
        <v>482</v>
      </c>
      <c r="D32" t="s">
        <v>321</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73">
        <v>-8.9999999999999993E-3</v>
      </c>
    </row>
    <row r="33" spans="1:33" x14ac:dyDescent="0.25">
      <c r="A33" t="s">
        <v>355</v>
      </c>
      <c r="B33" t="s">
        <v>481</v>
      </c>
      <c r="C33" t="s">
        <v>480</v>
      </c>
      <c r="D33" t="s">
        <v>321</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73">
        <v>-1.6E-2</v>
      </c>
    </row>
    <row r="34" spans="1:33" x14ac:dyDescent="0.25">
      <c r="A34" t="s">
        <v>352</v>
      </c>
      <c r="B34" t="s">
        <v>479</v>
      </c>
      <c r="C34" t="s">
        <v>478</v>
      </c>
      <c r="D34" t="s">
        <v>321</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73">
        <v>0</v>
      </c>
    </row>
    <row r="35" spans="1:33" x14ac:dyDescent="0.25">
      <c r="A35" t="s">
        <v>349</v>
      </c>
      <c r="B35" t="s">
        <v>477</v>
      </c>
      <c r="C35" t="s">
        <v>476</v>
      </c>
      <c r="D35" t="s">
        <v>321</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73">
        <v>1.4E-2</v>
      </c>
    </row>
    <row r="36" spans="1:33" x14ac:dyDescent="0.25">
      <c r="A36" t="s">
        <v>400</v>
      </c>
      <c r="B36" t="s">
        <v>475</v>
      </c>
      <c r="C36" t="s">
        <v>474</v>
      </c>
      <c r="D36" t="s">
        <v>321</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73">
        <v>6.0000000000000001E-3</v>
      </c>
    </row>
    <row r="37" spans="1:33" x14ac:dyDescent="0.25">
      <c r="A37" t="s">
        <v>343</v>
      </c>
      <c r="B37" t="s">
        <v>473</v>
      </c>
      <c r="C37" t="s">
        <v>472</v>
      </c>
      <c r="D37" t="s">
        <v>321</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73">
        <v>0.14699999999999999</v>
      </c>
    </row>
    <row r="38" spans="1:33" x14ac:dyDescent="0.25">
      <c r="A38" t="s">
        <v>340</v>
      </c>
      <c r="B38" t="s">
        <v>471</v>
      </c>
      <c r="C38" t="s">
        <v>470</v>
      </c>
      <c r="D38" t="s">
        <v>321</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73">
        <v>6.0999999999999999E-2</v>
      </c>
    </row>
    <row r="39" spans="1:33" x14ac:dyDescent="0.25">
      <c r="A39" t="s">
        <v>469</v>
      </c>
      <c r="B39" t="s">
        <v>468</v>
      </c>
      <c r="C39" t="s">
        <v>467</v>
      </c>
      <c r="D39" t="s">
        <v>321</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73">
        <v>1.2E-2</v>
      </c>
    </row>
    <row r="40" spans="1:33" x14ac:dyDescent="0.25">
      <c r="A40" t="s">
        <v>466</v>
      </c>
    </row>
    <row r="41" spans="1:33" x14ac:dyDescent="0.25">
      <c r="A41" t="s">
        <v>388</v>
      </c>
      <c r="B41" t="s">
        <v>465</v>
      </c>
      <c r="C41" t="s">
        <v>464</v>
      </c>
      <c r="D41" t="s">
        <v>321</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73">
        <v>-3.0000000000000001E-3</v>
      </c>
    </row>
    <row r="42" spans="1:33" x14ac:dyDescent="0.25">
      <c r="A42" t="s">
        <v>385</v>
      </c>
      <c r="B42" t="s">
        <v>463</v>
      </c>
      <c r="C42" t="s">
        <v>462</v>
      </c>
      <c r="D42" t="s">
        <v>321</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73">
        <v>-1E-3</v>
      </c>
    </row>
    <row r="43" spans="1:33" x14ac:dyDescent="0.25">
      <c r="A43" t="s">
        <v>382</v>
      </c>
      <c r="B43" t="s">
        <v>461</v>
      </c>
      <c r="C43" t="s">
        <v>460</v>
      </c>
      <c r="D43" t="s">
        <v>321</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73">
        <v>1E-3</v>
      </c>
    </row>
    <row r="44" spans="1:33" x14ac:dyDescent="0.25">
      <c r="A44" t="s">
        <v>376</v>
      </c>
      <c r="B44" t="s">
        <v>459</v>
      </c>
      <c r="C44" t="s">
        <v>458</v>
      </c>
      <c r="D44" t="s">
        <v>321</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73">
        <v>4.0000000000000001E-3</v>
      </c>
    </row>
    <row r="45" spans="1:33" x14ac:dyDescent="0.25">
      <c r="A45" t="s">
        <v>373</v>
      </c>
      <c r="B45" t="s">
        <v>457</v>
      </c>
      <c r="C45" t="s">
        <v>456</v>
      </c>
      <c r="D45" t="s">
        <v>321</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73">
        <v>1.6E-2</v>
      </c>
    </row>
    <row r="46" spans="1:33" x14ac:dyDescent="0.25">
      <c r="A46" t="s">
        <v>349</v>
      </c>
      <c r="B46" t="s">
        <v>455</v>
      </c>
      <c r="C46" t="s">
        <v>454</v>
      </c>
      <c r="D46" t="s">
        <v>321</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73">
        <v>0</v>
      </c>
    </row>
    <row r="47" spans="1:33" x14ac:dyDescent="0.25">
      <c r="A47" t="s">
        <v>393</v>
      </c>
      <c r="B47" t="s">
        <v>453</v>
      </c>
      <c r="C47" t="s">
        <v>452</v>
      </c>
      <c r="D47" t="s">
        <v>321</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73">
        <v>-1E-3</v>
      </c>
    </row>
    <row r="48" spans="1:33" x14ac:dyDescent="0.25">
      <c r="A48" t="s">
        <v>451</v>
      </c>
    </row>
    <row r="49" spans="1:33" x14ac:dyDescent="0.25">
      <c r="A49" t="s">
        <v>388</v>
      </c>
      <c r="B49" t="s">
        <v>450</v>
      </c>
      <c r="C49" t="s">
        <v>449</v>
      </c>
      <c r="D49" t="s">
        <v>321</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73">
        <v>-1.2E-2</v>
      </c>
    </row>
    <row r="50" spans="1:33" x14ac:dyDescent="0.25">
      <c r="A50" t="s">
        <v>382</v>
      </c>
      <c r="B50" t="s">
        <v>448</v>
      </c>
      <c r="C50" t="s">
        <v>447</v>
      </c>
      <c r="D50" t="s">
        <v>321</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73">
        <v>-3.4000000000000002E-2</v>
      </c>
    </row>
    <row r="51" spans="1:33" x14ac:dyDescent="0.25">
      <c r="A51" t="s">
        <v>349</v>
      </c>
      <c r="B51" t="s">
        <v>446</v>
      </c>
      <c r="C51" t="s">
        <v>445</v>
      </c>
      <c r="D51" t="s">
        <v>321</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73">
        <v>-1E-3</v>
      </c>
    </row>
    <row r="52" spans="1:33" x14ac:dyDescent="0.25">
      <c r="A52" t="s">
        <v>393</v>
      </c>
      <c r="B52" t="s">
        <v>444</v>
      </c>
      <c r="C52" t="s">
        <v>443</v>
      </c>
      <c r="D52" t="s">
        <v>321</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73">
        <v>-1.2999999999999999E-2</v>
      </c>
    </row>
    <row r="53" spans="1:33" x14ac:dyDescent="0.25">
      <c r="A53" t="s">
        <v>162</v>
      </c>
    </row>
    <row r="54" spans="1:33" x14ac:dyDescent="0.25">
      <c r="A54" t="s">
        <v>388</v>
      </c>
      <c r="B54" t="s">
        <v>442</v>
      </c>
      <c r="C54" t="s">
        <v>441</v>
      </c>
      <c r="D54" t="s">
        <v>321</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73">
        <v>-1.0999999999999999E-2</v>
      </c>
    </row>
    <row r="55" spans="1:33" x14ac:dyDescent="0.25">
      <c r="A55" t="s">
        <v>382</v>
      </c>
      <c r="B55" t="s">
        <v>440</v>
      </c>
      <c r="C55" t="s">
        <v>439</v>
      </c>
      <c r="D55" t="s">
        <v>321</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73">
        <v>-2.4E-2</v>
      </c>
    </row>
    <row r="56" spans="1:33" x14ac:dyDescent="0.25">
      <c r="A56" t="s">
        <v>376</v>
      </c>
      <c r="B56" t="s">
        <v>438</v>
      </c>
      <c r="C56" t="s">
        <v>437</v>
      </c>
      <c r="D56" t="s">
        <v>321</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73">
        <v>-6.0000000000000001E-3</v>
      </c>
    </row>
    <row r="57" spans="1:33" x14ac:dyDescent="0.25">
      <c r="A57" t="s">
        <v>349</v>
      </c>
      <c r="B57" t="s">
        <v>436</v>
      </c>
      <c r="C57" t="s">
        <v>435</v>
      </c>
      <c r="D57" t="s">
        <v>321</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73">
        <v>2.4E-2</v>
      </c>
    </row>
    <row r="58" spans="1:33" x14ac:dyDescent="0.25">
      <c r="A58" t="s">
        <v>393</v>
      </c>
      <c r="B58" t="s">
        <v>434</v>
      </c>
      <c r="C58" t="s">
        <v>433</v>
      </c>
      <c r="D58" t="s">
        <v>321</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73">
        <v>-3.0000000000000001E-3</v>
      </c>
    </row>
    <row r="59" spans="1:33" x14ac:dyDescent="0.25">
      <c r="A59" t="s">
        <v>432</v>
      </c>
      <c r="B59" t="s">
        <v>431</v>
      </c>
      <c r="C59" t="s">
        <v>430</v>
      </c>
      <c r="D59" t="s">
        <v>321</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73">
        <v>-1.0999999999999999E-2</v>
      </c>
    </row>
    <row r="60" spans="1:33" x14ac:dyDescent="0.25">
      <c r="A60" t="s">
        <v>429</v>
      </c>
    </row>
    <row r="61" spans="1:33" x14ac:dyDescent="0.25">
      <c r="A61" t="s">
        <v>388</v>
      </c>
      <c r="B61" t="s">
        <v>428</v>
      </c>
      <c r="C61" t="s">
        <v>427</v>
      </c>
      <c r="D61" t="s">
        <v>321</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73">
        <v>-5.0000000000000001E-3</v>
      </c>
    </row>
    <row r="62" spans="1:33" x14ac:dyDescent="0.25">
      <c r="A62" t="s">
        <v>385</v>
      </c>
      <c r="B62" t="s">
        <v>426</v>
      </c>
      <c r="C62" t="s">
        <v>425</v>
      </c>
      <c r="D62" t="s">
        <v>321</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73">
        <v>1.0999999999999999E-2</v>
      </c>
    </row>
    <row r="63" spans="1:33" x14ac:dyDescent="0.25">
      <c r="A63" t="s">
        <v>382</v>
      </c>
      <c r="B63" t="s">
        <v>424</v>
      </c>
      <c r="C63" t="s">
        <v>423</v>
      </c>
      <c r="D63" t="s">
        <v>321</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73">
        <v>-7.0000000000000001E-3</v>
      </c>
    </row>
    <row r="64" spans="1:33" x14ac:dyDescent="0.25">
      <c r="A64" t="s">
        <v>379</v>
      </c>
      <c r="B64" t="s">
        <v>422</v>
      </c>
      <c r="C64" t="s">
        <v>421</v>
      </c>
      <c r="D64" t="s">
        <v>321</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73">
        <v>0</v>
      </c>
    </row>
    <row r="65" spans="1:33" x14ac:dyDescent="0.25">
      <c r="A65" t="s">
        <v>376</v>
      </c>
      <c r="B65" t="s">
        <v>420</v>
      </c>
      <c r="C65" t="s">
        <v>419</v>
      </c>
      <c r="D65" t="s">
        <v>321</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73">
        <v>5.0000000000000001E-3</v>
      </c>
    </row>
    <row r="66" spans="1:33" x14ac:dyDescent="0.25">
      <c r="A66" t="s">
        <v>373</v>
      </c>
      <c r="B66" t="s">
        <v>418</v>
      </c>
      <c r="C66" t="s">
        <v>417</v>
      </c>
      <c r="D66" t="s">
        <v>321</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73">
        <v>1.2E-2</v>
      </c>
    </row>
    <row r="67" spans="1:33" x14ac:dyDescent="0.25">
      <c r="A67" t="s">
        <v>370</v>
      </c>
      <c r="B67" t="s">
        <v>416</v>
      </c>
      <c r="C67" t="s">
        <v>415</v>
      </c>
      <c r="D67" t="s">
        <v>321</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73">
        <v>-3.0000000000000001E-3</v>
      </c>
    </row>
    <row r="68" spans="1:33" x14ac:dyDescent="0.25">
      <c r="A68" t="s">
        <v>367</v>
      </c>
      <c r="B68" t="s">
        <v>414</v>
      </c>
      <c r="C68" t="s">
        <v>413</v>
      </c>
      <c r="D68" t="s">
        <v>321</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73">
        <v>1E-3</v>
      </c>
    </row>
    <row r="69" spans="1:33" x14ac:dyDescent="0.25">
      <c r="A69" t="s">
        <v>364</v>
      </c>
      <c r="B69" t="s">
        <v>412</v>
      </c>
      <c r="C69" t="s">
        <v>411</v>
      </c>
      <c r="D69" t="s">
        <v>321</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73">
        <v>-1.4E-2</v>
      </c>
    </row>
    <row r="70" spans="1:33" x14ac:dyDescent="0.25">
      <c r="A70" t="s">
        <v>361</v>
      </c>
      <c r="B70" t="s">
        <v>410</v>
      </c>
      <c r="C70" t="s">
        <v>409</v>
      </c>
      <c r="D70" t="s">
        <v>321</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73">
        <v>1.0999999999999999E-2</v>
      </c>
    </row>
    <row r="71" spans="1:33" x14ac:dyDescent="0.25">
      <c r="A71" t="s">
        <v>358</v>
      </c>
      <c r="B71" t="s">
        <v>408</v>
      </c>
      <c r="C71" t="s">
        <v>407</v>
      </c>
      <c r="D71" t="s">
        <v>321</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73">
        <v>-8.9999999999999993E-3</v>
      </c>
    </row>
    <row r="72" spans="1:33" x14ac:dyDescent="0.25">
      <c r="A72" t="s">
        <v>355</v>
      </c>
      <c r="B72" t="s">
        <v>406</v>
      </c>
      <c r="C72" t="s">
        <v>405</v>
      </c>
      <c r="D72" t="s">
        <v>321</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73">
        <v>-1.6E-2</v>
      </c>
    </row>
    <row r="73" spans="1:33" x14ac:dyDescent="0.25">
      <c r="A73" t="s">
        <v>352</v>
      </c>
      <c r="B73" t="s">
        <v>404</v>
      </c>
      <c r="C73" t="s">
        <v>403</v>
      </c>
      <c r="D73" t="s">
        <v>321</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73">
        <v>0</v>
      </c>
    </row>
    <row r="74" spans="1:33" x14ac:dyDescent="0.25">
      <c r="A74" t="s">
        <v>349</v>
      </c>
      <c r="B74" t="s">
        <v>402</v>
      </c>
      <c r="C74" t="s">
        <v>401</v>
      </c>
      <c r="D74" t="s">
        <v>321</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73">
        <v>1.2E-2</v>
      </c>
    </row>
    <row r="75" spans="1:33" x14ac:dyDescent="0.25">
      <c r="A75" t="s">
        <v>400</v>
      </c>
      <c r="B75" t="s">
        <v>399</v>
      </c>
      <c r="C75" t="s">
        <v>398</v>
      </c>
      <c r="D75" t="s">
        <v>321</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73">
        <v>2E-3</v>
      </c>
    </row>
    <row r="76" spans="1:33" x14ac:dyDescent="0.25">
      <c r="A76" t="s">
        <v>343</v>
      </c>
      <c r="B76" t="s">
        <v>397</v>
      </c>
      <c r="C76" t="s">
        <v>396</v>
      </c>
      <c r="D76" t="s">
        <v>321</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73">
        <v>0.14699999999999999</v>
      </c>
    </row>
    <row r="77" spans="1:33" x14ac:dyDescent="0.25">
      <c r="A77" t="s">
        <v>340</v>
      </c>
      <c r="B77" t="s">
        <v>395</v>
      </c>
      <c r="C77" t="s">
        <v>394</v>
      </c>
      <c r="D77" t="s">
        <v>321</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73">
        <v>6.0999999999999999E-2</v>
      </c>
    </row>
    <row r="78" spans="1:33" x14ac:dyDescent="0.25">
      <c r="A78" t="s">
        <v>393</v>
      </c>
      <c r="B78" t="s">
        <v>392</v>
      </c>
      <c r="C78" t="s">
        <v>391</v>
      </c>
      <c r="D78" t="s">
        <v>321</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73">
        <v>5.0000000000000001E-3</v>
      </c>
    </row>
    <row r="79" spans="1:33" x14ac:dyDescent="0.25">
      <c r="A79" t="s">
        <v>3</v>
      </c>
      <c r="B79" t="s">
        <v>390</v>
      </c>
      <c r="C79" t="s">
        <v>389</v>
      </c>
      <c r="D79" t="s">
        <v>321</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73">
        <v>-1.4999999999999999E-2</v>
      </c>
    </row>
    <row r="80" spans="1:33" x14ac:dyDescent="0.25">
      <c r="A80" t="s">
        <v>4</v>
      </c>
    </row>
    <row r="81" spans="1:33" x14ac:dyDescent="0.25">
      <c r="A81" t="s">
        <v>388</v>
      </c>
      <c r="B81" t="s">
        <v>387</v>
      </c>
      <c r="C81" t="s">
        <v>386</v>
      </c>
      <c r="D81" t="s">
        <v>321</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73">
        <v>-8.0000000000000002E-3</v>
      </c>
    </row>
    <row r="82" spans="1:33" x14ac:dyDescent="0.25">
      <c r="A82" t="s">
        <v>385</v>
      </c>
      <c r="B82" t="s">
        <v>384</v>
      </c>
      <c r="C82" t="s">
        <v>383</v>
      </c>
      <c r="D82" t="s">
        <v>321</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73">
        <v>-4.0000000000000001E-3</v>
      </c>
    </row>
    <row r="83" spans="1:33" x14ac:dyDescent="0.25">
      <c r="A83" t="s">
        <v>382</v>
      </c>
      <c r="B83" t="s">
        <v>381</v>
      </c>
      <c r="C83" t="s">
        <v>380</v>
      </c>
      <c r="D83" t="s">
        <v>321</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73">
        <v>-1.6E-2</v>
      </c>
    </row>
    <row r="84" spans="1:33" x14ac:dyDescent="0.25">
      <c r="A84" t="s">
        <v>379</v>
      </c>
      <c r="B84" t="s">
        <v>378</v>
      </c>
      <c r="C84" t="s">
        <v>377</v>
      </c>
      <c r="D84" t="s">
        <v>321</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73">
        <v>-1.4999999999999999E-2</v>
      </c>
    </row>
    <row r="85" spans="1:33" x14ac:dyDescent="0.25">
      <c r="A85" t="s">
        <v>376</v>
      </c>
      <c r="B85" t="s">
        <v>375</v>
      </c>
      <c r="C85" t="s">
        <v>374</v>
      </c>
      <c r="D85" t="s">
        <v>321</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73">
        <v>-3.0000000000000001E-3</v>
      </c>
    </row>
    <row r="86" spans="1:33" x14ac:dyDescent="0.25">
      <c r="A86" t="s">
        <v>373</v>
      </c>
      <c r="B86" t="s">
        <v>372</v>
      </c>
      <c r="C86" t="s">
        <v>371</v>
      </c>
      <c r="D86" t="s">
        <v>321</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73">
        <v>-2E-3</v>
      </c>
    </row>
    <row r="87" spans="1:33" x14ac:dyDescent="0.25">
      <c r="A87" t="s">
        <v>370</v>
      </c>
      <c r="B87" t="s">
        <v>369</v>
      </c>
      <c r="C87" t="s">
        <v>368</v>
      </c>
      <c r="D87" t="s">
        <v>321</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73">
        <v>-1.7999999999999999E-2</v>
      </c>
    </row>
    <row r="88" spans="1:33" x14ac:dyDescent="0.25">
      <c r="A88" t="s">
        <v>367</v>
      </c>
      <c r="B88" t="s">
        <v>366</v>
      </c>
      <c r="C88" t="s">
        <v>365</v>
      </c>
      <c r="D88" t="s">
        <v>321</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73">
        <v>-1.2999999999999999E-2</v>
      </c>
    </row>
    <row r="89" spans="1:33" x14ac:dyDescent="0.25">
      <c r="A89" t="s">
        <v>364</v>
      </c>
      <c r="B89" t="s">
        <v>363</v>
      </c>
      <c r="C89" t="s">
        <v>362</v>
      </c>
      <c r="D89" t="s">
        <v>321</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73">
        <v>-2.9000000000000001E-2</v>
      </c>
    </row>
    <row r="90" spans="1:33" x14ac:dyDescent="0.25">
      <c r="A90" t="s">
        <v>361</v>
      </c>
      <c r="B90" t="s">
        <v>360</v>
      </c>
      <c r="C90" t="s">
        <v>359</v>
      </c>
      <c r="D90" t="s">
        <v>321</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73">
        <v>-4.0000000000000001E-3</v>
      </c>
    </row>
    <row r="91" spans="1:33" x14ac:dyDescent="0.25">
      <c r="A91" t="s">
        <v>358</v>
      </c>
      <c r="B91" t="s">
        <v>357</v>
      </c>
      <c r="C91" t="s">
        <v>356</v>
      </c>
      <c r="D91" t="s">
        <v>321</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73">
        <v>-2.3E-2</v>
      </c>
    </row>
    <row r="92" spans="1:33" x14ac:dyDescent="0.25">
      <c r="A92" t="s">
        <v>355</v>
      </c>
      <c r="B92" t="s">
        <v>354</v>
      </c>
      <c r="C92" t="s">
        <v>353</v>
      </c>
      <c r="D92" t="s">
        <v>321</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73">
        <v>-0.03</v>
      </c>
    </row>
    <row r="93" spans="1:33" x14ac:dyDescent="0.25">
      <c r="A93" t="s">
        <v>352</v>
      </c>
      <c r="B93" t="s">
        <v>351</v>
      </c>
      <c r="C93" t="s">
        <v>350</v>
      </c>
      <c r="D93" t="s">
        <v>321</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73">
        <v>-1.4999999999999999E-2</v>
      </c>
    </row>
    <row r="94" spans="1:33" x14ac:dyDescent="0.25">
      <c r="A94" t="s">
        <v>349</v>
      </c>
      <c r="B94" t="s">
        <v>348</v>
      </c>
      <c r="C94" t="s">
        <v>347</v>
      </c>
      <c r="D94" t="s">
        <v>321</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73">
        <v>0</v>
      </c>
    </row>
    <row r="95" spans="1:33" x14ac:dyDescent="0.25">
      <c r="A95" t="s">
        <v>346</v>
      </c>
      <c r="B95" t="s">
        <v>345</v>
      </c>
      <c r="C95" t="s">
        <v>344</v>
      </c>
      <c r="D95" t="s">
        <v>321</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73">
        <v>-7.0000000000000001E-3</v>
      </c>
    </row>
    <row r="96" spans="1:33" x14ac:dyDescent="0.25">
      <c r="A96" t="s">
        <v>343</v>
      </c>
      <c r="B96" t="s">
        <v>342</v>
      </c>
      <c r="C96" t="s">
        <v>341</v>
      </c>
      <c r="D96" t="s">
        <v>321</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73">
        <v>0.13200000000000001</v>
      </c>
    </row>
    <row r="97" spans="1:33" x14ac:dyDescent="0.25">
      <c r="A97" t="s">
        <v>340</v>
      </c>
      <c r="B97" t="s">
        <v>339</v>
      </c>
      <c r="C97" t="s">
        <v>338</v>
      </c>
      <c r="D97" t="s">
        <v>321</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73">
        <v>6.0999999999999999E-2</v>
      </c>
    </row>
    <row r="98" spans="1:33" x14ac:dyDescent="0.25">
      <c r="A98" t="s">
        <v>337</v>
      </c>
      <c r="B98" t="s">
        <v>336</v>
      </c>
      <c r="C98" t="s">
        <v>335</v>
      </c>
      <c r="D98" t="s">
        <v>321</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73">
        <v>-2E-3</v>
      </c>
    </row>
    <row r="99" spans="1:33" x14ac:dyDescent="0.25">
      <c r="A99" t="s">
        <v>334</v>
      </c>
    </row>
    <row r="100" spans="1:33" x14ac:dyDescent="0.25">
      <c r="A100" t="s">
        <v>333</v>
      </c>
      <c r="B100" t="s">
        <v>332</v>
      </c>
      <c r="C100" t="s">
        <v>331</v>
      </c>
      <c r="D100" t="s">
        <v>321</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73">
        <v>2.7E-2</v>
      </c>
    </row>
    <row r="101" spans="1:33" x14ac:dyDescent="0.25">
      <c r="A101" t="s">
        <v>330</v>
      </c>
      <c r="B101" t="s">
        <v>329</v>
      </c>
      <c r="C101" t="s">
        <v>328</v>
      </c>
      <c r="D101" t="s">
        <v>321</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73">
        <v>6.2E-2</v>
      </c>
    </row>
    <row r="102" spans="1:33" x14ac:dyDescent="0.25">
      <c r="A102" t="s">
        <v>327</v>
      </c>
      <c r="B102" t="s">
        <v>326</v>
      </c>
      <c r="C102" t="s">
        <v>325</v>
      </c>
      <c r="D102" t="s">
        <v>321</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73">
        <v>7.5999999999999998E-2</v>
      </c>
    </row>
    <row r="103" spans="1:33" x14ac:dyDescent="0.25">
      <c r="A103" t="s">
        <v>324</v>
      </c>
      <c r="B103" t="s">
        <v>323</v>
      </c>
      <c r="C103" t="s">
        <v>322</v>
      </c>
      <c r="D103" t="s">
        <v>321</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73">
        <v>5.8000000000000003E-2</v>
      </c>
    </row>
    <row r="104" spans="1:33" x14ac:dyDescent="0.25">
      <c r="A104" t="s">
        <v>5</v>
      </c>
    </row>
    <row r="105" spans="1:33" x14ac:dyDescent="0.25">
      <c r="A105" t="s">
        <v>34</v>
      </c>
      <c r="B105" t="s">
        <v>320</v>
      </c>
      <c r="C105" t="s">
        <v>319</v>
      </c>
      <c r="D105" t="s">
        <v>300</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73">
        <v>-2E-3</v>
      </c>
    </row>
    <row r="106" spans="1:33" x14ac:dyDescent="0.25">
      <c r="A106" t="s">
        <v>35</v>
      </c>
      <c r="B106" t="s">
        <v>318</v>
      </c>
      <c r="C106" t="s">
        <v>317</v>
      </c>
      <c r="D106" t="s">
        <v>300</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73">
        <v>-1E-3</v>
      </c>
    </row>
    <row r="107" spans="1:33" x14ac:dyDescent="0.25">
      <c r="A107" t="s">
        <v>37</v>
      </c>
      <c r="B107" t="s">
        <v>316</v>
      </c>
      <c r="C107" t="s">
        <v>315</v>
      </c>
      <c r="D107" t="s">
        <v>300</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73">
        <v>2E-3</v>
      </c>
    </row>
    <row r="108" spans="1:33" x14ac:dyDescent="0.25">
      <c r="A108" t="s">
        <v>38</v>
      </c>
      <c r="B108" t="s">
        <v>314</v>
      </c>
      <c r="C108" t="s">
        <v>313</v>
      </c>
      <c r="D108" t="s">
        <v>300</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73">
        <v>3.0000000000000001E-3</v>
      </c>
    </row>
    <row r="109" spans="1:33" x14ac:dyDescent="0.25">
      <c r="A109" t="s">
        <v>40</v>
      </c>
      <c r="B109" t="s">
        <v>312</v>
      </c>
      <c r="C109" t="s">
        <v>311</v>
      </c>
      <c r="D109" t="s">
        <v>300</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73">
        <v>-6.0000000000000001E-3</v>
      </c>
    </row>
    <row r="110" spans="1:33" x14ac:dyDescent="0.25">
      <c r="A110" t="s">
        <v>41</v>
      </c>
      <c r="B110" t="s">
        <v>310</v>
      </c>
      <c r="C110" t="s">
        <v>309</v>
      </c>
      <c r="D110" t="s">
        <v>300</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73">
        <v>-2E-3</v>
      </c>
    </row>
    <row r="111" spans="1:33" x14ac:dyDescent="0.25">
      <c r="A111" t="s">
        <v>42</v>
      </c>
      <c r="B111" t="s">
        <v>308</v>
      </c>
      <c r="C111" t="s">
        <v>307</v>
      </c>
      <c r="D111" t="s">
        <v>300</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73">
        <v>-1E-3</v>
      </c>
    </row>
    <row r="112" spans="1:33" x14ac:dyDescent="0.25">
      <c r="A112" t="s">
        <v>44</v>
      </c>
      <c r="B112" t="s">
        <v>306</v>
      </c>
      <c r="C112" t="s">
        <v>305</v>
      </c>
      <c r="D112" t="s">
        <v>300</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73">
        <v>0</v>
      </c>
    </row>
    <row r="113" spans="1:33" x14ac:dyDescent="0.25">
      <c r="A113" t="s">
        <v>47</v>
      </c>
      <c r="B113" t="s">
        <v>304</v>
      </c>
      <c r="C113" t="s">
        <v>303</v>
      </c>
      <c r="D113" t="s">
        <v>300</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73">
        <v>-3.0000000000000001E-3</v>
      </c>
    </row>
    <row r="114" spans="1:33" x14ac:dyDescent="0.25">
      <c r="A114" t="s">
        <v>281</v>
      </c>
      <c r="B114" t="s">
        <v>302</v>
      </c>
      <c r="C114" t="s">
        <v>301</v>
      </c>
      <c r="D114" t="s">
        <v>300</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73">
        <v>-2E-3</v>
      </c>
    </row>
    <row r="115" spans="1:33" x14ac:dyDescent="0.25">
      <c r="A115" t="s">
        <v>6</v>
      </c>
    </row>
    <row r="116" spans="1:33" x14ac:dyDescent="0.25">
      <c r="A116" t="s">
        <v>34</v>
      </c>
      <c r="B116" t="s">
        <v>299</v>
      </c>
      <c r="C116" t="s">
        <v>298</v>
      </c>
      <c r="D116" t="s">
        <v>278</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73">
        <v>8.0000000000000002E-3</v>
      </c>
    </row>
    <row r="117" spans="1:33" x14ac:dyDescent="0.25">
      <c r="A117" t="s">
        <v>35</v>
      </c>
      <c r="B117" t="s">
        <v>297</v>
      </c>
      <c r="C117" t="s">
        <v>296</v>
      </c>
      <c r="D117" t="s">
        <v>278</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73">
        <v>7.0000000000000001E-3</v>
      </c>
    </row>
    <row r="118" spans="1:33" x14ac:dyDescent="0.25">
      <c r="A118" t="s">
        <v>37</v>
      </c>
      <c r="B118" t="s">
        <v>295</v>
      </c>
      <c r="C118" t="s">
        <v>294</v>
      </c>
      <c r="D118" t="s">
        <v>278</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73">
        <v>3.0000000000000001E-3</v>
      </c>
    </row>
    <row r="119" spans="1:33" x14ac:dyDescent="0.25">
      <c r="A119" t="s">
        <v>38</v>
      </c>
      <c r="B119" t="s">
        <v>293</v>
      </c>
      <c r="C119" t="s">
        <v>292</v>
      </c>
      <c r="D119" t="s">
        <v>278</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73">
        <v>4.0000000000000001E-3</v>
      </c>
    </row>
    <row r="120" spans="1:33" x14ac:dyDescent="0.25">
      <c r="A120" t="s">
        <v>40</v>
      </c>
      <c r="B120" t="s">
        <v>291</v>
      </c>
      <c r="C120" t="s">
        <v>290</v>
      </c>
      <c r="D120" t="s">
        <v>278</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73">
        <v>6.0000000000000001E-3</v>
      </c>
    </row>
    <row r="121" spans="1:33" x14ac:dyDescent="0.25">
      <c r="A121" t="s">
        <v>41</v>
      </c>
      <c r="B121" t="s">
        <v>289</v>
      </c>
      <c r="C121" t="s">
        <v>288</v>
      </c>
      <c r="D121" t="s">
        <v>278</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73">
        <v>2E-3</v>
      </c>
    </row>
    <row r="122" spans="1:33" x14ac:dyDescent="0.25">
      <c r="A122" t="s">
        <v>42</v>
      </c>
      <c r="B122" t="s">
        <v>287</v>
      </c>
      <c r="C122" t="s">
        <v>286</v>
      </c>
      <c r="D122" t="s">
        <v>278</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73">
        <v>2E-3</v>
      </c>
    </row>
    <row r="123" spans="1:33" x14ac:dyDescent="0.25">
      <c r="A123" t="s">
        <v>44</v>
      </c>
      <c r="B123" t="s">
        <v>285</v>
      </c>
      <c r="C123" t="s">
        <v>284</v>
      </c>
      <c r="D123" t="s">
        <v>278</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73">
        <v>1E-3</v>
      </c>
    </row>
    <row r="124" spans="1:33" x14ac:dyDescent="0.25">
      <c r="A124" t="s">
        <v>47</v>
      </c>
      <c r="B124" t="s">
        <v>283</v>
      </c>
      <c r="C124" t="s">
        <v>282</v>
      </c>
      <c r="D124" t="s">
        <v>278</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73">
        <v>6.0000000000000001E-3</v>
      </c>
    </row>
    <row r="125" spans="1:33" x14ac:dyDescent="0.25">
      <c r="A125" t="s">
        <v>281</v>
      </c>
      <c r="B125" t="s">
        <v>280</v>
      </c>
      <c r="C125" t="s">
        <v>279</v>
      </c>
      <c r="D125" t="s">
        <v>278</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73">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FDCEC-FF98-48A1-B749-B7187B8E0E18}">
  <dimension ref="A1:AG102"/>
  <sheetViews>
    <sheetView workbookViewId="0"/>
  </sheetViews>
  <sheetFormatPr defaultRowHeight="15" x14ac:dyDescent="0.25"/>
  <cols>
    <col min="1" max="1" width="55" customWidth="1"/>
    <col min="2" max="2" width="108.7109375" bestFit="1" customWidth="1"/>
  </cols>
  <sheetData>
    <row r="1" spans="1:33" x14ac:dyDescent="0.25">
      <c r="A1" t="s">
        <v>726</v>
      </c>
    </row>
    <row r="2" spans="1:33" x14ac:dyDescent="0.25">
      <c r="A2" t="s">
        <v>725</v>
      </c>
    </row>
    <row r="3" spans="1:33" x14ac:dyDescent="0.25">
      <c r="A3" t="s">
        <v>724</v>
      </c>
    </row>
    <row r="4" spans="1:33" x14ac:dyDescent="0.25">
      <c r="A4" t="s">
        <v>540</v>
      </c>
    </row>
    <row r="5" spans="1:33" x14ac:dyDescent="0.25">
      <c r="B5" t="s">
        <v>539</v>
      </c>
      <c r="C5" t="s">
        <v>538</v>
      </c>
      <c r="D5" t="s">
        <v>537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536</v>
      </c>
    </row>
    <row r="6" spans="1:33" x14ac:dyDescent="0.25">
      <c r="A6" t="s">
        <v>2</v>
      </c>
    </row>
    <row r="7" spans="1:33" x14ac:dyDescent="0.25">
      <c r="A7" t="s">
        <v>723</v>
      </c>
    </row>
    <row r="8" spans="1:33" x14ac:dyDescent="0.25">
      <c r="A8" t="s">
        <v>722</v>
      </c>
      <c r="B8" t="s">
        <v>721</v>
      </c>
      <c r="C8" t="s">
        <v>720</v>
      </c>
      <c r="D8" t="s">
        <v>714</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73">
        <v>1.2999999999999999E-2</v>
      </c>
    </row>
    <row r="9" spans="1:33" x14ac:dyDescent="0.25">
      <c r="A9" t="s">
        <v>719</v>
      </c>
      <c r="B9" t="s">
        <v>718</v>
      </c>
      <c r="C9" t="s">
        <v>717</v>
      </c>
      <c r="D9" t="s">
        <v>714</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73">
        <v>0.01</v>
      </c>
    </row>
    <row r="10" spans="1:33" x14ac:dyDescent="0.25">
      <c r="A10" t="s">
        <v>324</v>
      </c>
      <c r="B10" t="s">
        <v>716</v>
      </c>
      <c r="C10" t="s">
        <v>715</v>
      </c>
      <c r="D10" t="s">
        <v>714</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73">
        <v>1.2999999999999999E-2</v>
      </c>
    </row>
    <row r="11" spans="1:33" x14ac:dyDescent="0.25">
      <c r="A11" t="s">
        <v>713</v>
      </c>
    </row>
    <row r="12" spans="1:33" x14ac:dyDescent="0.25">
      <c r="A12" t="s">
        <v>511</v>
      </c>
    </row>
    <row r="13" spans="1:33" x14ac:dyDescent="0.25">
      <c r="A13" t="s">
        <v>510</v>
      </c>
      <c r="B13" t="s">
        <v>712</v>
      </c>
      <c r="C13" t="s">
        <v>711</v>
      </c>
      <c r="D13" t="s">
        <v>504</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73">
        <v>-3.0000000000000001E-3</v>
      </c>
    </row>
    <row r="14" spans="1:33" x14ac:dyDescent="0.25">
      <c r="A14" t="s">
        <v>507</v>
      </c>
      <c r="B14" t="s">
        <v>710</v>
      </c>
      <c r="C14" t="s">
        <v>709</v>
      </c>
      <c r="D14" t="s">
        <v>504</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73">
        <v>-4.0000000000000001E-3</v>
      </c>
    </row>
    <row r="15" spans="1:33" x14ac:dyDescent="0.25">
      <c r="A15" t="s">
        <v>199</v>
      </c>
    </row>
    <row r="16" spans="1:33" x14ac:dyDescent="0.25">
      <c r="A16" t="s">
        <v>160</v>
      </c>
    </row>
    <row r="17" spans="1:33" x14ac:dyDescent="0.25">
      <c r="A17" t="s">
        <v>388</v>
      </c>
      <c r="B17" t="s">
        <v>708</v>
      </c>
      <c r="C17" t="s">
        <v>707</v>
      </c>
      <c r="D17" t="s">
        <v>321</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73">
        <v>-5.0000000000000001E-3</v>
      </c>
    </row>
    <row r="18" spans="1:33" x14ac:dyDescent="0.25">
      <c r="A18" t="s">
        <v>706</v>
      </c>
      <c r="B18" t="s">
        <v>705</v>
      </c>
      <c r="C18" t="s">
        <v>704</v>
      </c>
      <c r="D18" t="s">
        <v>321</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73">
        <v>1.2E-2</v>
      </c>
    </row>
    <row r="19" spans="1:33" x14ac:dyDescent="0.25">
      <c r="A19" t="s">
        <v>382</v>
      </c>
      <c r="B19" t="s">
        <v>703</v>
      </c>
      <c r="C19" t="s">
        <v>702</v>
      </c>
      <c r="D19" t="s">
        <v>321</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73">
        <v>-8.0000000000000002E-3</v>
      </c>
    </row>
    <row r="20" spans="1:33" x14ac:dyDescent="0.25">
      <c r="A20" t="s">
        <v>617</v>
      </c>
      <c r="B20" t="s">
        <v>701</v>
      </c>
      <c r="C20" t="s">
        <v>700</v>
      </c>
      <c r="D20" t="s">
        <v>321</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73">
        <v>1.2999999999999999E-2</v>
      </c>
    </row>
    <row r="21" spans="1:33" x14ac:dyDescent="0.25">
      <c r="A21" t="s">
        <v>376</v>
      </c>
      <c r="B21" t="s">
        <v>699</v>
      </c>
      <c r="C21" t="s">
        <v>698</v>
      </c>
      <c r="D21" t="s">
        <v>321</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73">
        <v>-3.0000000000000001E-3</v>
      </c>
    </row>
    <row r="22" spans="1:33" x14ac:dyDescent="0.25">
      <c r="A22" t="s">
        <v>367</v>
      </c>
      <c r="B22" t="s">
        <v>697</v>
      </c>
      <c r="C22" t="s">
        <v>696</v>
      </c>
      <c r="D22" t="s">
        <v>321</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73">
        <v>-6.0000000000000001E-3</v>
      </c>
    </row>
    <row r="23" spans="1:33" x14ac:dyDescent="0.25">
      <c r="A23" t="s">
        <v>379</v>
      </c>
      <c r="B23" t="s">
        <v>695</v>
      </c>
      <c r="C23" t="s">
        <v>694</v>
      </c>
      <c r="D23" t="s">
        <v>321</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73">
        <v>6.0000000000000001E-3</v>
      </c>
    </row>
    <row r="24" spans="1:33" x14ac:dyDescent="0.25">
      <c r="A24" t="s">
        <v>608</v>
      </c>
      <c r="B24" t="s">
        <v>693</v>
      </c>
      <c r="C24" t="s">
        <v>692</v>
      </c>
      <c r="D24" t="s">
        <v>321</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73">
        <v>4.8000000000000001E-2</v>
      </c>
    </row>
    <row r="25" spans="1:33" x14ac:dyDescent="0.25">
      <c r="A25" t="s">
        <v>605</v>
      </c>
      <c r="B25" t="s">
        <v>691</v>
      </c>
      <c r="C25" t="s">
        <v>690</v>
      </c>
      <c r="D25" t="s">
        <v>321</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73">
        <v>1E-3</v>
      </c>
    </row>
    <row r="26" spans="1:33" x14ac:dyDescent="0.25">
      <c r="A26" t="s">
        <v>349</v>
      </c>
      <c r="B26" t="s">
        <v>689</v>
      </c>
      <c r="C26" t="s">
        <v>688</v>
      </c>
      <c r="D26" t="s">
        <v>321</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73">
        <v>1.4E-2</v>
      </c>
    </row>
    <row r="27" spans="1:33" x14ac:dyDescent="0.25">
      <c r="A27" t="s">
        <v>400</v>
      </c>
      <c r="B27" t="s">
        <v>687</v>
      </c>
      <c r="C27" t="s">
        <v>686</v>
      </c>
      <c r="D27" t="s">
        <v>321</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73">
        <v>1.4E-2</v>
      </c>
    </row>
    <row r="28" spans="1:33" x14ac:dyDescent="0.25">
      <c r="A28" t="s">
        <v>343</v>
      </c>
      <c r="B28" t="s">
        <v>685</v>
      </c>
      <c r="C28" t="s">
        <v>684</v>
      </c>
      <c r="D28" t="s">
        <v>321</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73">
        <v>0.17</v>
      </c>
    </row>
    <row r="29" spans="1:33" x14ac:dyDescent="0.25">
      <c r="A29" t="s">
        <v>340</v>
      </c>
      <c r="B29" t="s">
        <v>683</v>
      </c>
      <c r="C29" t="s">
        <v>682</v>
      </c>
      <c r="D29" t="s">
        <v>321</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73">
        <v>0.04</v>
      </c>
    </row>
    <row r="30" spans="1:33" x14ac:dyDescent="0.25">
      <c r="A30" t="s">
        <v>681</v>
      </c>
      <c r="B30" t="s">
        <v>680</v>
      </c>
      <c r="C30" t="s">
        <v>679</v>
      </c>
      <c r="D30" t="s">
        <v>321</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73">
        <v>1.7999999999999999E-2</v>
      </c>
    </row>
    <row r="31" spans="1:33" x14ac:dyDescent="0.25">
      <c r="A31" t="s">
        <v>466</v>
      </c>
    </row>
    <row r="32" spans="1:33" x14ac:dyDescent="0.25">
      <c r="A32" t="s">
        <v>388</v>
      </c>
      <c r="B32" t="s">
        <v>678</v>
      </c>
      <c r="C32" t="s">
        <v>677</v>
      </c>
      <c r="D32" t="s">
        <v>321</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73">
        <v>1E-3</v>
      </c>
    </row>
    <row r="33" spans="1:33" x14ac:dyDescent="0.25">
      <c r="A33" t="s">
        <v>385</v>
      </c>
      <c r="B33" t="s">
        <v>676</v>
      </c>
      <c r="C33" t="s">
        <v>675</v>
      </c>
      <c r="D33" t="s">
        <v>321</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73">
        <v>4.0000000000000001E-3</v>
      </c>
    </row>
    <row r="34" spans="1:33" x14ac:dyDescent="0.25">
      <c r="A34" t="s">
        <v>382</v>
      </c>
      <c r="B34" t="s">
        <v>674</v>
      </c>
      <c r="C34" t="s">
        <v>673</v>
      </c>
      <c r="D34" t="s">
        <v>321</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73">
        <v>1.2E-2</v>
      </c>
    </row>
    <row r="35" spans="1:33" x14ac:dyDescent="0.25">
      <c r="A35" t="s">
        <v>376</v>
      </c>
      <c r="B35" t="s">
        <v>672</v>
      </c>
      <c r="C35" t="s">
        <v>671</v>
      </c>
      <c r="D35" t="s">
        <v>321</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73">
        <v>1.0999999999999999E-2</v>
      </c>
    </row>
    <row r="36" spans="1:33" x14ac:dyDescent="0.25">
      <c r="A36" t="s">
        <v>349</v>
      </c>
      <c r="B36" t="s">
        <v>670</v>
      </c>
      <c r="C36" t="s">
        <v>669</v>
      </c>
      <c r="D36" t="s">
        <v>321</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73">
        <v>0</v>
      </c>
    </row>
    <row r="37" spans="1:33" x14ac:dyDescent="0.25">
      <c r="A37" t="s">
        <v>393</v>
      </c>
      <c r="B37" t="s">
        <v>668</v>
      </c>
      <c r="C37" t="s">
        <v>667</v>
      </c>
      <c r="D37" t="s">
        <v>321</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73">
        <v>3.0000000000000001E-3</v>
      </c>
    </row>
    <row r="38" spans="1:33" x14ac:dyDescent="0.25">
      <c r="A38" t="s">
        <v>451</v>
      </c>
    </row>
    <row r="39" spans="1:33" x14ac:dyDescent="0.25">
      <c r="A39" t="s">
        <v>388</v>
      </c>
      <c r="B39" t="s">
        <v>666</v>
      </c>
      <c r="C39" t="s">
        <v>665</v>
      </c>
      <c r="D39" t="s">
        <v>321</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73">
        <v>-1.2E-2</v>
      </c>
    </row>
    <row r="40" spans="1:33" x14ac:dyDescent="0.25">
      <c r="A40" t="s">
        <v>382</v>
      </c>
      <c r="B40" t="s">
        <v>664</v>
      </c>
      <c r="C40" t="s">
        <v>663</v>
      </c>
      <c r="D40" t="s">
        <v>321</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73">
        <v>-2E-3</v>
      </c>
    </row>
    <row r="41" spans="1:33" x14ac:dyDescent="0.25">
      <c r="A41" t="s">
        <v>349</v>
      </c>
      <c r="B41" t="s">
        <v>662</v>
      </c>
      <c r="C41" t="s">
        <v>661</v>
      </c>
      <c r="D41" t="s">
        <v>321</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73">
        <v>2E-3</v>
      </c>
    </row>
    <row r="42" spans="1:33" x14ac:dyDescent="0.25">
      <c r="A42" t="s">
        <v>393</v>
      </c>
      <c r="B42" t="s">
        <v>660</v>
      </c>
      <c r="C42" t="s">
        <v>659</v>
      </c>
      <c r="D42" t="s">
        <v>321</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73">
        <v>-1E-3</v>
      </c>
    </row>
    <row r="43" spans="1:33" x14ac:dyDescent="0.25">
      <c r="A43" t="s">
        <v>658</v>
      </c>
      <c r="B43" t="s">
        <v>657</v>
      </c>
      <c r="C43" t="s">
        <v>656</v>
      </c>
      <c r="D43" t="s">
        <v>321</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73">
        <v>0</v>
      </c>
    </row>
    <row r="44" spans="1:33" x14ac:dyDescent="0.25">
      <c r="A44" t="s">
        <v>655</v>
      </c>
      <c r="B44" t="s">
        <v>654</v>
      </c>
      <c r="C44" t="s">
        <v>653</v>
      </c>
      <c r="D44" t="s">
        <v>321</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73">
        <v>1.4999999999999999E-2</v>
      </c>
    </row>
    <row r="45" spans="1:33" x14ac:dyDescent="0.25">
      <c r="A45" t="s">
        <v>429</v>
      </c>
    </row>
    <row r="46" spans="1:33" x14ac:dyDescent="0.25">
      <c r="A46" t="s">
        <v>388</v>
      </c>
      <c r="B46" t="s">
        <v>652</v>
      </c>
      <c r="C46" t="s">
        <v>651</v>
      </c>
      <c r="D46" t="s">
        <v>321</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73">
        <v>0</v>
      </c>
    </row>
    <row r="47" spans="1:33" x14ac:dyDescent="0.25">
      <c r="A47" t="s">
        <v>385</v>
      </c>
      <c r="B47" t="s">
        <v>650</v>
      </c>
      <c r="C47" t="s">
        <v>649</v>
      </c>
      <c r="D47" t="s">
        <v>321</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73">
        <v>1.2E-2</v>
      </c>
    </row>
    <row r="48" spans="1:33" x14ac:dyDescent="0.25">
      <c r="A48" t="s">
        <v>382</v>
      </c>
      <c r="B48" t="s">
        <v>648</v>
      </c>
      <c r="C48" t="s">
        <v>647</v>
      </c>
      <c r="D48" t="s">
        <v>321</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73">
        <v>8.9999999999999993E-3</v>
      </c>
    </row>
    <row r="49" spans="1:33" x14ac:dyDescent="0.25">
      <c r="A49" t="s">
        <v>617</v>
      </c>
      <c r="B49" t="s">
        <v>646</v>
      </c>
      <c r="C49" t="s">
        <v>645</v>
      </c>
      <c r="D49" t="s">
        <v>321</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73">
        <v>1.2999999999999999E-2</v>
      </c>
    </row>
    <row r="50" spans="1:33" x14ac:dyDescent="0.25">
      <c r="A50" t="s">
        <v>376</v>
      </c>
      <c r="B50" t="s">
        <v>644</v>
      </c>
      <c r="C50" t="s">
        <v>643</v>
      </c>
      <c r="D50" t="s">
        <v>321</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73">
        <v>8.9999999999999993E-3</v>
      </c>
    </row>
    <row r="51" spans="1:33" x14ac:dyDescent="0.25">
      <c r="A51" t="s">
        <v>367</v>
      </c>
      <c r="B51" t="s">
        <v>642</v>
      </c>
      <c r="C51" t="s">
        <v>641</v>
      </c>
      <c r="D51" t="s">
        <v>321</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73">
        <v>-6.0000000000000001E-3</v>
      </c>
    </row>
    <row r="52" spans="1:33" x14ac:dyDescent="0.25">
      <c r="A52" t="s">
        <v>379</v>
      </c>
      <c r="B52" t="s">
        <v>640</v>
      </c>
      <c r="C52" t="s">
        <v>639</v>
      </c>
      <c r="D52" t="s">
        <v>321</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73">
        <v>6.0000000000000001E-3</v>
      </c>
    </row>
    <row r="53" spans="1:33" x14ac:dyDescent="0.25">
      <c r="A53" t="s">
        <v>608</v>
      </c>
      <c r="B53" t="s">
        <v>638</v>
      </c>
      <c r="C53" t="s">
        <v>637</v>
      </c>
      <c r="D53" t="s">
        <v>321</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73">
        <v>4.8000000000000001E-2</v>
      </c>
    </row>
    <row r="54" spans="1:33" x14ac:dyDescent="0.25">
      <c r="A54" t="s">
        <v>605</v>
      </c>
      <c r="B54" t="s">
        <v>636</v>
      </c>
      <c r="C54" t="s">
        <v>635</v>
      </c>
      <c r="D54" t="s">
        <v>321</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73">
        <v>1E-3</v>
      </c>
    </row>
    <row r="55" spans="1:33" x14ac:dyDescent="0.25">
      <c r="A55" t="s">
        <v>349</v>
      </c>
      <c r="B55" t="s">
        <v>634</v>
      </c>
      <c r="C55" t="s">
        <v>633</v>
      </c>
      <c r="D55" t="s">
        <v>321</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73">
        <v>8.9999999999999993E-3</v>
      </c>
    </row>
    <row r="56" spans="1:33" x14ac:dyDescent="0.25">
      <c r="A56" t="s">
        <v>510</v>
      </c>
      <c r="B56" t="s">
        <v>632</v>
      </c>
      <c r="C56" t="s">
        <v>626</v>
      </c>
      <c r="D56" t="s">
        <v>321</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73">
        <v>0.01</v>
      </c>
    </row>
    <row r="57" spans="1:33" x14ac:dyDescent="0.25">
      <c r="A57" t="s">
        <v>343</v>
      </c>
      <c r="B57" t="s">
        <v>631</v>
      </c>
      <c r="C57" t="s">
        <v>630</v>
      </c>
      <c r="D57" t="s">
        <v>321</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73">
        <v>0.17</v>
      </c>
    </row>
    <row r="58" spans="1:33" x14ac:dyDescent="0.25">
      <c r="A58" t="s">
        <v>340</v>
      </c>
      <c r="B58" t="s">
        <v>629</v>
      </c>
      <c r="C58" t="s">
        <v>628</v>
      </c>
      <c r="D58" t="s">
        <v>321</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73">
        <v>0.04</v>
      </c>
    </row>
    <row r="59" spans="1:33" x14ac:dyDescent="0.25">
      <c r="A59" t="s">
        <v>393</v>
      </c>
      <c r="B59" t="s">
        <v>627</v>
      </c>
      <c r="C59" t="s">
        <v>626</v>
      </c>
      <c r="D59" t="s">
        <v>321</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73">
        <v>1.2E-2</v>
      </c>
    </row>
    <row r="60" spans="1:33" x14ac:dyDescent="0.25">
      <c r="A60" t="s">
        <v>3</v>
      </c>
      <c r="B60" t="s">
        <v>625</v>
      </c>
      <c r="C60" t="s">
        <v>624</v>
      </c>
      <c r="D60" t="s">
        <v>321</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73">
        <v>-8.9999999999999993E-3</v>
      </c>
    </row>
    <row r="61" spans="1:33" x14ac:dyDescent="0.25">
      <c r="A61" t="s">
        <v>4</v>
      </c>
    </row>
    <row r="62" spans="1:33" x14ac:dyDescent="0.25">
      <c r="A62" t="s">
        <v>388</v>
      </c>
      <c r="B62" t="s">
        <v>623</v>
      </c>
      <c r="C62" t="s">
        <v>622</v>
      </c>
      <c r="D62" t="s">
        <v>321</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73">
        <v>-3.0000000000000001E-3</v>
      </c>
    </row>
    <row r="63" spans="1:33" x14ac:dyDescent="0.25">
      <c r="A63" t="s">
        <v>385</v>
      </c>
      <c r="B63" t="s">
        <v>621</v>
      </c>
      <c r="C63" t="s">
        <v>620</v>
      </c>
      <c r="D63" t="s">
        <v>321</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73">
        <v>-2E-3</v>
      </c>
    </row>
    <row r="64" spans="1:33" x14ac:dyDescent="0.25">
      <c r="A64" t="s">
        <v>382</v>
      </c>
      <c r="B64" t="s">
        <v>619</v>
      </c>
      <c r="C64" t="s">
        <v>618</v>
      </c>
      <c r="D64" t="s">
        <v>321</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73">
        <v>2E-3</v>
      </c>
    </row>
    <row r="65" spans="1:33" x14ac:dyDescent="0.25">
      <c r="A65" t="s">
        <v>617</v>
      </c>
      <c r="B65" t="s">
        <v>616</v>
      </c>
      <c r="C65" t="s">
        <v>615</v>
      </c>
      <c r="D65" t="s">
        <v>321</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73">
        <v>-1E-3</v>
      </c>
    </row>
    <row r="66" spans="1:33" x14ac:dyDescent="0.25">
      <c r="A66" t="s">
        <v>376</v>
      </c>
      <c r="B66" t="s">
        <v>614</v>
      </c>
      <c r="C66" t="s">
        <v>613</v>
      </c>
      <c r="D66" t="s">
        <v>321</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73">
        <v>4.0000000000000001E-3</v>
      </c>
    </row>
    <row r="67" spans="1:33" x14ac:dyDescent="0.25">
      <c r="A67" t="s">
        <v>367</v>
      </c>
      <c r="B67" t="s">
        <v>612</v>
      </c>
      <c r="C67" t="s">
        <v>611</v>
      </c>
      <c r="D67" t="s">
        <v>321</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73">
        <v>-1.9E-2</v>
      </c>
    </row>
    <row r="68" spans="1:33" x14ac:dyDescent="0.25">
      <c r="A68" t="s">
        <v>379</v>
      </c>
      <c r="B68" t="s">
        <v>610</v>
      </c>
      <c r="C68" t="s">
        <v>609</v>
      </c>
      <c r="D68" t="s">
        <v>321</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73">
        <v>-8.0000000000000002E-3</v>
      </c>
    </row>
    <row r="69" spans="1:33" x14ac:dyDescent="0.25">
      <c r="A69" t="s">
        <v>608</v>
      </c>
      <c r="B69" t="s">
        <v>607</v>
      </c>
      <c r="C69" t="s">
        <v>606</v>
      </c>
      <c r="D69" t="s">
        <v>321</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73">
        <v>3.4000000000000002E-2</v>
      </c>
    </row>
    <row r="70" spans="1:33" x14ac:dyDescent="0.25">
      <c r="A70" t="s">
        <v>605</v>
      </c>
      <c r="B70" t="s">
        <v>604</v>
      </c>
      <c r="C70" t="s">
        <v>603</v>
      </c>
      <c r="D70" t="s">
        <v>321</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73">
        <v>-1.2999999999999999E-2</v>
      </c>
    </row>
    <row r="71" spans="1:33" x14ac:dyDescent="0.25">
      <c r="A71" t="s">
        <v>349</v>
      </c>
      <c r="B71" t="s">
        <v>602</v>
      </c>
      <c r="C71" t="s">
        <v>601</v>
      </c>
      <c r="D71" t="s">
        <v>321</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73">
        <v>2E-3</v>
      </c>
    </row>
    <row r="72" spans="1:33" x14ac:dyDescent="0.25">
      <c r="A72" t="s">
        <v>346</v>
      </c>
      <c r="B72" t="s">
        <v>600</v>
      </c>
      <c r="C72" t="s">
        <v>599</v>
      </c>
      <c r="D72" t="s">
        <v>321</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73">
        <v>1E-3</v>
      </c>
    </row>
    <row r="73" spans="1:33" x14ac:dyDescent="0.25">
      <c r="A73" t="s">
        <v>343</v>
      </c>
      <c r="B73" t="s">
        <v>598</v>
      </c>
      <c r="C73" t="s">
        <v>596</v>
      </c>
      <c r="D73" t="s">
        <v>321</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73">
        <v>0.154</v>
      </c>
    </row>
    <row r="74" spans="1:33" x14ac:dyDescent="0.25">
      <c r="A74" t="s">
        <v>340</v>
      </c>
      <c r="B74" t="s">
        <v>597</v>
      </c>
      <c r="C74" t="s">
        <v>596</v>
      </c>
      <c r="D74" t="s">
        <v>321</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73">
        <v>0.04</v>
      </c>
    </row>
    <row r="75" spans="1:33" x14ac:dyDescent="0.25">
      <c r="A75" t="s">
        <v>337</v>
      </c>
      <c r="B75" t="s">
        <v>595</v>
      </c>
      <c r="C75" t="s">
        <v>594</v>
      </c>
      <c r="D75" t="s">
        <v>321</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73">
        <v>5.0000000000000001E-3</v>
      </c>
    </row>
    <row r="76" spans="1:33" x14ac:dyDescent="0.25">
      <c r="A76" t="s">
        <v>593</v>
      </c>
    </row>
    <row r="77" spans="1:33" x14ac:dyDescent="0.25">
      <c r="A77" t="s">
        <v>592</v>
      </c>
      <c r="B77" t="s">
        <v>591</v>
      </c>
      <c r="C77" t="s">
        <v>590</v>
      </c>
      <c r="D77" t="s">
        <v>321</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73">
        <v>-7.0000000000000001E-3</v>
      </c>
    </row>
    <row r="78" spans="1:33" x14ac:dyDescent="0.25">
      <c r="A78" t="s">
        <v>330</v>
      </c>
      <c r="B78" t="s">
        <v>589</v>
      </c>
      <c r="C78" t="s">
        <v>588</v>
      </c>
      <c r="D78" t="s">
        <v>321</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73">
        <v>4.1000000000000002E-2</v>
      </c>
    </row>
    <row r="79" spans="1:33" x14ac:dyDescent="0.25">
      <c r="A79" t="s">
        <v>327</v>
      </c>
      <c r="B79" t="s">
        <v>587</v>
      </c>
      <c r="C79" t="s">
        <v>586</v>
      </c>
      <c r="D79" t="s">
        <v>321</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73">
        <v>2E-3</v>
      </c>
    </row>
    <row r="80" spans="1:33" x14ac:dyDescent="0.25">
      <c r="A80" t="s">
        <v>324</v>
      </c>
      <c r="B80" t="s">
        <v>585</v>
      </c>
      <c r="C80" t="s">
        <v>584</v>
      </c>
      <c r="D80" t="s">
        <v>321</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73">
        <v>0.03</v>
      </c>
    </row>
    <row r="81" spans="1:33" x14ac:dyDescent="0.25">
      <c r="A81" t="s">
        <v>5</v>
      </c>
    </row>
    <row r="82" spans="1:33" x14ac:dyDescent="0.25">
      <c r="A82" t="s">
        <v>34</v>
      </c>
      <c r="B82" t="s">
        <v>583</v>
      </c>
      <c r="C82" t="s">
        <v>582</v>
      </c>
      <c r="D82" t="s">
        <v>300</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73">
        <v>-2E-3</v>
      </c>
    </row>
    <row r="83" spans="1:33" x14ac:dyDescent="0.25">
      <c r="A83" t="s">
        <v>35</v>
      </c>
      <c r="B83" t="s">
        <v>581</v>
      </c>
      <c r="C83" t="s">
        <v>580</v>
      </c>
      <c r="D83" t="s">
        <v>300</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73">
        <v>-1E-3</v>
      </c>
    </row>
    <row r="84" spans="1:33" x14ac:dyDescent="0.25">
      <c r="A84" t="s">
        <v>37</v>
      </c>
      <c r="B84" t="s">
        <v>579</v>
      </c>
      <c r="C84" t="s">
        <v>578</v>
      </c>
      <c r="D84" t="s">
        <v>300</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73">
        <v>2E-3</v>
      </c>
    </row>
    <row r="85" spans="1:33" x14ac:dyDescent="0.25">
      <c r="A85" t="s">
        <v>38</v>
      </c>
      <c r="B85" t="s">
        <v>577</v>
      </c>
      <c r="C85" t="s">
        <v>576</v>
      </c>
      <c r="D85" t="s">
        <v>300</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73">
        <v>3.0000000000000001E-3</v>
      </c>
    </row>
    <row r="86" spans="1:33" x14ac:dyDescent="0.25">
      <c r="A86" t="s">
        <v>40</v>
      </c>
      <c r="B86" t="s">
        <v>575</v>
      </c>
      <c r="C86" t="s">
        <v>574</v>
      </c>
      <c r="D86" t="s">
        <v>300</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73">
        <v>-6.0000000000000001E-3</v>
      </c>
    </row>
    <row r="87" spans="1:33" x14ac:dyDescent="0.25">
      <c r="A87" t="s">
        <v>41</v>
      </c>
      <c r="B87" t="s">
        <v>573</v>
      </c>
      <c r="C87" t="s">
        <v>572</v>
      </c>
      <c r="D87" t="s">
        <v>300</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73">
        <v>-2E-3</v>
      </c>
    </row>
    <row r="88" spans="1:33" x14ac:dyDescent="0.25">
      <c r="A88" t="s">
        <v>42</v>
      </c>
      <c r="B88" t="s">
        <v>571</v>
      </c>
      <c r="C88" t="s">
        <v>570</v>
      </c>
      <c r="D88" t="s">
        <v>300</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73">
        <v>-1E-3</v>
      </c>
    </row>
    <row r="89" spans="1:33" x14ac:dyDescent="0.25">
      <c r="A89" t="s">
        <v>44</v>
      </c>
      <c r="B89" t="s">
        <v>569</v>
      </c>
      <c r="C89" t="s">
        <v>568</v>
      </c>
      <c r="D89" t="s">
        <v>300</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73">
        <v>0</v>
      </c>
    </row>
    <row r="90" spans="1:33" x14ac:dyDescent="0.25">
      <c r="A90" t="s">
        <v>47</v>
      </c>
      <c r="B90" t="s">
        <v>567</v>
      </c>
      <c r="C90" t="s">
        <v>566</v>
      </c>
      <c r="D90" t="s">
        <v>300</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73">
        <v>-3.0000000000000001E-3</v>
      </c>
    </row>
    <row r="91" spans="1:33" x14ac:dyDescent="0.25">
      <c r="A91" t="s">
        <v>281</v>
      </c>
      <c r="B91" t="s">
        <v>565</v>
      </c>
      <c r="C91" t="s">
        <v>564</v>
      </c>
      <c r="D91" t="s">
        <v>300</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73">
        <v>-2E-3</v>
      </c>
    </row>
    <row r="92" spans="1:33" x14ac:dyDescent="0.25">
      <c r="A92" t="s">
        <v>6</v>
      </c>
    </row>
    <row r="93" spans="1:33" x14ac:dyDescent="0.25">
      <c r="A93" t="s">
        <v>34</v>
      </c>
      <c r="B93" t="s">
        <v>563</v>
      </c>
      <c r="C93" t="s">
        <v>562</v>
      </c>
      <c r="D93" t="s">
        <v>278</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73">
        <v>8.0000000000000002E-3</v>
      </c>
    </row>
    <row r="94" spans="1:33" x14ac:dyDescent="0.25">
      <c r="A94" t="s">
        <v>35</v>
      </c>
      <c r="B94" t="s">
        <v>561</v>
      </c>
      <c r="C94" t="s">
        <v>560</v>
      </c>
      <c r="D94" t="s">
        <v>278</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73">
        <v>7.0000000000000001E-3</v>
      </c>
    </row>
    <row r="95" spans="1:33" x14ac:dyDescent="0.25">
      <c r="A95" t="s">
        <v>37</v>
      </c>
      <c r="B95" t="s">
        <v>559</v>
      </c>
      <c r="C95" t="s">
        <v>558</v>
      </c>
      <c r="D95" t="s">
        <v>278</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73">
        <v>3.0000000000000001E-3</v>
      </c>
    </row>
    <row r="96" spans="1:33" x14ac:dyDescent="0.25">
      <c r="A96" t="s">
        <v>38</v>
      </c>
      <c r="B96" t="s">
        <v>557</v>
      </c>
      <c r="C96" t="s">
        <v>556</v>
      </c>
      <c r="D96" t="s">
        <v>278</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73">
        <v>4.0000000000000001E-3</v>
      </c>
    </row>
    <row r="97" spans="1:33" x14ac:dyDescent="0.25">
      <c r="A97" t="s">
        <v>40</v>
      </c>
      <c r="B97" t="s">
        <v>555</v>
      </c>
      <c r="C97" t="s">
        <v>554</v>
      </c>
      <c r="D97" t="s">
        <v>278</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73">
        <v>6.0000000000000001E-3</v>
      </c>
    </row>
    <row r="98" spans="1:33" x14ac:dyDescent="0.25">
      <c r="A98" t="s">
        <v>41</v>
      </c>
      <c r="B98" t="s">
        <v>553</v>
      </c>
      <c r="C98" t="s">
        <v>552</v>
      </c>
      <c r="D98" t="s">
        <v>278</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73">
        <v>2E-3</v>
      </c>
    </row>
    <row r="99" spans="1:33" x14ac:dyDescent="0.25">
      <c r="A99" t="s">
        <v>42</v>
      </c>
      <c r="B99" t="s">
        <v>551</v>
      </c>
      <c r="C99" t="s">
        <v>550</v>
      </c>
      <c r="D99" t="s">
        <v>278</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73">
        <v>2E-3</v>
      </c>
    </row>
    <row r="100" spans="1:33" x14ac:dyDescent="0.25">
      <c r="A100" t="s">
        <v>44</v>
      </c>
      <c r="B100" t="s">
        <v>549</v>
      </c>
      <c r="C100" t="s">
        <v>548</v>
      </c>
      <c r="D100" t="s">
        <v>278</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73">
        <v>1E-3</v>
      </c>
    </row>
    <row r="101" spans="1:33" x14ac:dyDescent="0.25">
      <c r="A101" t="s">
        <v>47</v>
      </c>
      <c r="B101" t="s">
        <v>547</v>
      </c>
      <c r="C101" t="s">
        <v>546</v>
      </c>
      <c r="D101" t="s">
        <v>278</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73">
        <v>6.0000000000000001E-3</v>
      </c>
    </row>
    <row r="102" spans="1:33" x14ac:dyDescent="0.25">
      <c r="A102" t="s">
        <v>281</v>
      </c>
      <c r="B102" t="s">
        <v>545</v>
      </c>
      <c r="C102" t="s">
        <v>544</v>
      </c>
      <c r="D102" t="s">
        <v>278</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73">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20" t="s">
        <v>206</v>
      </c>
      <c r="B1" t="s">
        <v>207</v>
      </c>
      <c r="C1" s="6">
        <v>3412000000000</v>
      </c>
    </row>
    <row r="2" spans="1:36" x14ac:dyDescent="0.25">
      <c r="A2" s="1" t="s">
        <v>208</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16" t="s">
        <v>209</v>
      </c>
      <c r="B3">
        <v>31</v>
      </c>
      <c r="C3" s="19">
        <v>31</v>
      </c>
      <c r="D3" s="19">
        <v>31</v>
      </c>
      <c r="E3" s="19">
        <v>32</v>
      </c>
      <c r="F3" s="19">
        <v>33</v>
      </c>
      <c r="G3" s="19">
        <v>34</v>
      </c>
      <c r="H3" s="19">
        <v>35</v>
      </c>
      <c r="I3" s="17"/>
      <c r="J3" s="17"/>
      <c r="K3" s="17"/>
      <c r="L3" s="17"/>
      <c r="M3" s="17"/>
      <c r="N3" s="17"/>
      <c r="O3" s="17"/>
      <c r="P3" s="17"/>
      <c r="Q3" s="17"/>
      <c r="R3" s="17"/>
      <c r="S3" s="17"/>
      <c r="T3" s="17"/>
      <c r="U3" s="17"/>
      <c r="V3" s="17"/>
      <c r="W3" s="17"/>
      <c r="X3" s="17"/>
      <c r="Y3" s="17"/>
      <c r="Z3" s="17"/>
      <c r="AA3" s="17"/>
      <c r="AB3" s="17"/>
      <c r="AC3" s="17"/>
      <c r="AD3" s="17"/>
      <c r="AE3" s="17"/>
      <c r="AF3" s="17"/>
      <c r="AG3" s="17"/>
    </row>
    <row r="4" spans="1:36" x14ac:dyDescent="0.25">
      <c r="A4" s="16" t="s">
        <v>210</v>
      </c>
      <c r="B4">
        <v>29</v>
      </c>
      <c r="C4" s="19">
        <v>29</v>
      </c>
      <c r="D4" s="19">
        <v>28</v>
      </c>
      <c r="E4" s="19">
        <v>28</v>
      </c>
      <c r="F4" s="19">
        <v>29</v>
      </c>
      <c r="G4" s="19">
        <v>30</v>
      </c>
      <c r="H4" s="19">
        <v>31</v>
      </c>
      <c r="I4" s="18"/>
      <c r="J4" s="18"/>
      <c r="K4" s="18"/>
      <c r="L4" s="18"/>
      <c r="M4" s="18"/>
      <c r="N4" s="18"/>
      <c r="O4" s="18"/>
      <c r="P4" s="18"/>
      <c r="Q4" s="18"/>
      <c r="R4" s="18"/>
      <c r="S4" s="18"/>
      <c r="T4" s="18"/>
      <c r="U4" s="18"/>
      <c r="V4" s="18"/>
      <c r="W4" s="18"/>
      <c r="X4" s="18"/>
      <c r="Y4" s="18"/>
      <c r="Z4" s="18"/>
      <c r="AA4" s="18"/>
      <c r="AB4" s="18"/>
      <c r="AC4" s="18"/>
      <c r="AD4" s="18"/>
      <c r="AE4" s="18"/>
      <c r="AF4" s="18"/>
      <c r="AG4" s="18"/>
    </row>
    <row r="5" spans="1:36" x14ac:dyDescent="0.25">
      <c r="A5" s="16"/>
      <c r="I5" s="19"/>
      <c r="J5" s="19"/>
      <c r="K5" s="19"/>
      <c r="L5" s="19"/>
      <c r="M5" s="19"/>
      <c r="N5" s="19"/>
      <c r="O5" s="19"/>
      <c r="P5" s="19"/>
      <c r="Q5" s="19"/>
      <c r="R5" s="19"/>
      <c r="S5" s="19"/>
      <c r="T5" s="19"/>
      <c r="U5" s="19"/>
      <c r="V5" s="19"/>
      <c r="W5" s="19"/>
      <c r="X5" s="19"/>
      <c r="Y5" s="19"/>
      <c r="Z5" s="19"/>
      <c r="AA5" s="18"/>
      <c r="AB5" s="18"/>
      <c r="AC5" s="18"/>
      <c r="AD5" s="18"/>
      <c r="AE5" s="18"/>
      <c r="AF5" s="18"/>
      <c r="AG5" s="18"/>
    </row>
    <row r="6" spans="1:36" x14ac:dyDescent="0.25">
      <c r="A6" s="16" t="s">
        <v>211</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19"/>
      <c r="J6" s="19"/>
      <c r="K6" s="19"/>
      <c r="L6" s="19"/>
      <c r="M6" s="19"/>
      <c r="N6" s="19"/>
      <c r="O6" s="19"/>
      <c r="P6" s="19"/>
      <c r="Q6" s="19"/>
      <c r="R6" s="19"/>
      <c r="S6" s="19"/>
      <c r="T6" s="19"/>
      <c r="U6" s="19"/>
      <c r="V6" s="19"/>
      <c r="W6" s="19"/>
      <c r="X6" s="19"/>
      <c r="Y6" s="19"/>
      <c r="Z6" s="19"/>
      <c r="AA6" s="18"/>
      <c r="AB6" s="18"/>
      <c r="AC6" s="18"/>
      <c r="AD6" s="18"/>
      <c r="AE6" s="18"/>
      <c r="AF6" s="18"/>
      <c r="AG6" s="18"/>
    </row>
    <row r="7" spans="1:36" x14ac:dyDescent="0.25">
      <c r="A7" s="16"/>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row>
    <row r="8" spans="1:36" x14ac:dyDescent="0.25">
      <c r="D8" s="22">
        <v>2018</v>
      </c>
      <c r="E8" s="22">
        <v>2019</v>
      </c>
      <c r="F8" s="22">
        <v>2020</v>
      </c>
      <c r="G8" s="22">
        <v>2021</v>
      </c>
      <c r="H8" s="22">
        <v>2022</v>
      </c>
      <c r="I8" s="22">
        <v>2023</v>
      </c>
      <c r="J8" s="22">
        <v>2024</v>
      </c>
      <c r="K8" s="22">
        <v>2025</v>
      </c>
      <c r="L8" s="22">
        <v>2026</v>
      </c>
      <c r="M8" s="22">
        <v>2027</v>
      </c>
      <c r="N8" s="22">
        <v>2028</v>
      </c>
      <c r="O8" s="22">
        <v>2029</v>
      </c>
      <c r="P8" s="22">
        <v>2030</v>
      </c>
      <c r="Q8" s="22">
        <v>2031</v>
      </c>
      <c r="R8" s="22">
        <v>2032</v>
      </c>
      <c r="S8" s="22">
        <v>2033</v>
      </c>
      <c r="T8" s="22">
        <v>2034</v>
      </c>
      <c r="U8" s="22">
        <v>2035</v>
      </c>
      <c r="V8" s="22">
        <v>2036</v>
      </c>
      <c r="W8" s="22">
        <v>2037</v>
      </c>
      <c r="X8" s="22">
        <v>2038</v>
      </c>
      <c r="Y8" s="22">
        <v>2039</v>
      </c>
      <c r="Z8" s="22">
        <v>2040</v>
      </c>
      <c r="AA8" s="22">
        <v>2041</v>
      </c>
      <c r="AB8" s="22">
        <v>2042</v>
      </c>
      <c r="AC8" s="22">
        <v>2043</v>
      </c>
      <c r="AD8" s="22">
        <v>2044</v>
      </c>
      <c r="AE8" s="22">
        <v>2045</v>
      </c>
      <c r="AF8" s="22">
        <v>2046</v>
      </c>
      <c r="AG8" s="22">
        <v>2047</v>
      </c>
      <c r="AH8" s="22">
        <v>2048</v>
      </c>
      <c r="AI8" s="22">
        <v>2049</v>
      </c>
      <c r="AJ8" s="22">
        <v>2050</v>
      </c>
    </row>
    <row r="9" spans="1:36" x14ac:dyDescent="0.25">
      <c r="C9" t="s">
        <v>211</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23"/>
    </row>
    <row r="11" spans="1:36" x14ac:dyDescent="0.25">
      <c r="B11" s="23"/>
    </row>
    <row r="12" spans="1:36" x14ac:dyDescent="0.25">
      <c r="B12" s="24"/>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8C427-E08D-4AAD-8CD9-385F13837476}">
  <sheetPr>
    <tabColor theme="9"/>
  </sheetPr>
  <dimension ref="A1"/>
  <sheetViews>
    <sheetView workbookViewId="0"/>
  </sheetViews>
  <sheetFormatPr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BEFD-FCBD-4819-983E-6024B48B2F26}">
  <dimension ref="A2:AD35"/>
  <sheetViews>
    <sheetView workbookViewId="0"/>
  </sheetViews>
  <sheetFormatPr defaultRowHeight="15" x14ac:dyDescent="0.25"/>
  <cols>
    <col min="1" max="1" width="52.42578125" customWidth="1"/>
    <col min="2" max="30" width="9" customWidth="1"/>
  </cols>
  <sheetData>
    <row r="2" spans="1:3" x14ac:dyDescent="0.25">
      <c r="A2" s="43" t="s">
        <v>254</v>
      </c>
      <c r="B2" s="12"/>
      <c r="C2" s="12"/>
    </row>
    <row r="3" spans="1:3" x14ac:dyDescent="0.25">
      <c r="A3" t="s">
        <v>244</v>
      </c>
      <c r="B3">
        <f>AVERAGE(6,20)</f>
        <v>13</v>
      </c>
      <c r="C3" s="5" t="s">
        <v>245</v>
      </c>
    </row>
    <row r="4" spans="1:3" x14ac:dyDescent="0.25">
      <c r="A4" t="s">
        <v>246</v>
      </c>
      <c r="B4" s="44">
        <v>0.03</v>
      </c>
      <c r="C4" t="s">
        <v>243</v>
      </c>
    </row>
    <row r="5" spans="1:3" x14ac:dyDescent="0.25">
      <c r="A5" t="s">
        <v>248</v>
      </c>
      <c r="B5">
        <f xml:space="preserve"> 0.9307-(0.0002*AVERAGE(20,55))</f>
        <v>0.92320000000000002</v>
      </c>
      <c r="C5" s="5" t="s">
        <v>247</v>
      </c>
    </row>
    <row r="6" spans="1:3" x14ac:dyDescent="0.25">
      <c r="A6" t="s">
        <v>249</v>
      </c>
      <c r="B6">
        <v>2.2999999999999998</v>
      </c>
      <c r="C6" s="5" t="s">
        <v>247</v>
      </c>
    </row>
    <row r="7" spans="1:3" x14ac:dyDescent="0.25">
      <c r="A7" t="s">
        <v>250</v>
      </c>
      <c r="B7" s="13">
        <f>B6/B5</f>
        <v>2.491334488734835</v>
      </c>
    </row>
    <row r="8" spans="1:3" ht="15.75" x14ac:dyDescent="0.25">
      <c r="A8" t="s">
        <v>273</v>
      </c>
      <c r="B8" s="13">
        <v>0.61</v>
      </c>
      <c r="C8" s="71" t="s">
        <v>272</v>
      </c>
    </row>
    <row r="10" spans="1:3" x14ac:dyDescent="0.25">
      <c r="A10" s="45" t="s">
        <v>255</v>
      </c>
      <c r="B10" s="46"/>
      <c r="C10" s="46"/>
    </row>
    <row r="11" spans="1:3" x14ac:dyDescent="0.25">
      <c r="A11" t="s">
        <v>251</v>
      </c>
      <c r="B11">
        <f>1/13</f>
        <v>7.6923076923076927E-2</v>
      </c>
    </row>
    <row r="12" spans="1:3" x14ac:dyDescent="0.25">
      <c r="A12" t="s">
        <v>252</v>
      </c>
      <c r="B12" s="44">
        <f>1-B4</f>
        <v>0.97</v>
      </c>
    </row>
    <row r="13" spans="1:3" x14ac:dyDescent="0.25">
      <c r="A13" t="s">
        <v>253</v>
      </c>
      <c r="B13" s="44">
        <f>B7</f>
        <v>2.491334488734835</v>
      </c>
    </row>
    <row r="14" spans="1:3" x14ac:dyDescent="0.25">
      <c r="B14" s="44"/>
    </row>
    <row r="17" spans="1:30" s="12" customFormat="1" ht="15.75" thickBot="1" x14ac:dyDescent="0.3">
      <c r="A17" s="43" t="s">
        <v>260</v>
      </c>
      <c r="V17" s="67" t="s">
        <v>274</v>
      </c>
    </row>
    <row r="18" spans="1:30" x14ac:dyDescent="0.25">
      <c r="A18" t="s">
        <v>259</v>
      </c>
      <c r="B18" s="1">
        <v>2022</v>
      </c>
      <c r="C18" s="1">
        <v>2023</v>
      </c>
      <c r="D18" s="1">
        <v>2024</v>
      </c>
      <c r="E18" s="1">
        <v>2025</v>
      </c>
      <c r="F18" s="1">
        <v>2026</v>
      </c>
      <c r="G18" s="1">
        <v>2027</v>
      </c>
      <c r="H18" s="1">
        <v>2028</v>
      </c>
      <c r="I18" s="49">
        <v>2029</v>
      </c>
      <c r="J18" s="1">
        <v>2030</v>
      </c>
      <c r="K18" s="1">
        <v>2031</v>
      </c>
      <c r="L18" s="1">
        <v>2032</v>
      </c>
      <c r="M18" s="1">
        <v>2033</v>
      </c>
      <c r="N18" s="1">
        <v>2034</v>
      </c>
      <c r="O18" s="1">
        <v>2035</v>
      </c>
      <c r="P18" s="1">
        <v>2036</v>
      </c>
      <c r="Q18" s="1">
        <v>2037</v>
      </c>
      <c r="R18" s="1">
        <v>2038</v>
      </c>
      <c r="S18" s="1">
        <v>2039</v>
      </c>
      <c r="T18" s="1">
        <v>2040</v>
      </c>
      <c r="U18" s="1">
        <v>2041</v>
      </c>
      <c r="V18" s="1">
        <v>2042</v>
      </c>
      <c r="W18" s="1">
        <v>2043</v>
      </c>
      <c r="X18" s="1">
        <v>2044</v>
      </c>
      <c r="Y18" s="1">
        <v>2045</v>
      </c>
      <c r="Z18" s="1">
        <v>2046</v>
      </c>
      <c r="AA18" s="1">
        <v>2047</v>
      </c>
      <c r="AB18" s="1">
        <v>2048</v>
      </c>
      <c r="AC18" s="1">
        <v>2049</v>
      </c>
      <c r="AD18" s="1">
        <v>2050</v>
      </c>
    </row>
    <row r="19" spans="1:30" x14ac:dyDescent="0.25">
      <c r="A19" t="s">
        <v>256</v>
      </c>
      <c r="B19">
        <v>0</v>
      </c>
      <c r="C19">
        <v>0</v>
      </c>
      <c r="D19">
        <f>Table_4._Residential_Sector_Key!F24*quadrillion</f>
        <v>472693000000000</v>
      </c>
      <c r="E19">
        <f>Table_4._Residential_Sector_Key!G24*quadrillion</f>
        <v>459259000000000</v>
      </c>
      <c r="F19">
        <f>Table_4._Residential_Sector_Key!H24*quadrillion</f>
        <v>449699000000000</v>
      </c>
      <c r="G19">
        <f>Table_4._Residential_Sector_Key!I24*quadrillion</f>
        <v>440442000000000</v>
      </c>
      <c r="H19">
        <f>Table_4._Residential_Sector_Key!J24*quadrillion</f>
        <v>428544000000000</v>
      </c>
      <c r="I19">
        <f>Table_4._Residential_Sector_Key!K24*quadrillion</f>
        <v>408148000000000</v>
      </c>
      <c r="J19">
        <f>Table_4._Residential_Sector_Key!L24*quadrillion</f>
        <v>384946000000000</v>
      </c>
      <c r="K19">
        <f>Table_4._Residential_Sector_Key!M24*quadrillion</f>
        <v>360722000000000</v>
      </c>
      <c r="L19">
        <f>Table_4._Residential_Sector_Key!N24*quadrillion</f>
        <v>338420000000000</v>
      </c>
      <c r="M19">
        <f>Table_4._Residential_Sector_Key!O24*quadrillion</f>
        <v>318282000000000</v>
      </c>
      <c r="N19">
        <f>Table_4._Residential_Sector_Key!P24*quadrillion</f>
        <v>300561000000000</v>
      </c>
      <c r="O19">
        <f>Table_4._Residential_Sector_Key!Q24*quadrillion</f>
        <v>285426000000000</v>
      </c>
      <c r="P19">
        <f>Table_4._Residential_Sector_Key!R24*quadrillion</f>
        <v>272802000000000</v>
      </c>
      <c r="Q19">
        <f>Table_4._Residential_Sector_Key!S24*quadrillion</f>
        <v>262211000000000.03</v>
      </c>
      <c r="R19">
        <f>Table_4._Residential_Sector_Key!T24*quadrillion</f>
        <v>253048000000000</v>
      </c>
      <c r="S19">
        <f>Table_4._Residential_Sector_Key!U24*quadrillion</f>
        <v>245594000000000</v>
      </c>
      <c r="T19">
        <f>Table_4._Residential_Sector_Key!V24*quadrillion</f>
        <v>239892000000000</v>
      </c>
      <c r="U19">
        <f>Table_4._Residential_Sector_Key!W24*quadrillion</f>
        <v>235750000000000</v>
      </c>
      <c r="V19">
        <f>Table_4._Residential_Sector_Key!X24*quadrillion</f>
        <v>233312000000000</v>
      </c>
      <c r="W19">
        <f>Table_4._Residential_Sector_Key!Y24*quadrillion</f>
        <v>232560000000000</v>
      </c>
      <c r="X19">
        <f>Table_4._Residential_Sector_Key!Z24*quadrillion</f>
        <v>231527000000000</v>
      </c>
      <c r="Y19">
        <f>Table_4._Residential_Sector_Key!AA24*quadrillion</f>
        <v>230325000000000</v>
      </c>
      <c r="Z19">
        <f>Table_4._Residential_Sector_Key!AB24*quadrillion</f>
        <v>228973000000000</v>
      </c>
      <c r="AA19">
        <f>Table_4._Residential_Sector_Key!AC24*quadrillion</f>
        <v>227549000000000</v>
      </c>
      <c r="AB19">
        <f>Table_4._Residential_Sector_Key!AD24*quadrillion</f>
        <v>226177000000000</v>
      </c>
      <c r="AC19">
        <f>Table_4._Residential_Sector_Key!AE24*quadrillion</f>
        <v>224938000000000</v>
      </c>
      <c r="AD19">
        <f>Table_4._Residential_Sector_Key!AF24*quadrillion</f>
        <v>223821000000000</v>
      </c>
    </row>
    <row r="20" spans="1:30" x14ac:dyDescent="0.25">
      <c r="A20" t="s">
        <v>258</v>
      </c>
      <c r="B20">
        <v>0</v>
      </c>
      <c r="C20">
        <v>0</v>
      </c>
      <c r="D20">
        <v>0</v>
      </c>
      <c r="E20">
        <v>0</v>
      </c>
      <c r="F20">
        <v>0</v>
      </c>
      <c r="G20">
        <v>0</v>
      </c>
      <c r="H20">
        <v>0</v>
      </c>
      <c r="I20" s="50">
        <f t="shared" ref="I20:AC20" si="0">MAX(I19-H19,0)</f>
        <v>0</v>
      </c>
      <c r="J20">
        <f t="shared" si="0"/>
        <v>0</v>
      </c>
      <c r="K20">
        <f t="shared" si="0"/>
        <v>0</v>
      </c>
      <c r="L20">
        <f t="shared" si="0"/>
        <v>0</v>
      </c>
      <c r="M20">
        <f t="shared" si="0"/>
        <v>0</v>
      </c>
      <c r="N20">
        <f t="shared" si="0"/>
        <v>0</v>
      </c>
      <c r="O20">
        <f t="shared" si="0"/>
        <v>0</v>
      </c>
      <c r="P20">
        <f t="shared" si="0"/>
        <v>0</v>
      </c>
      <c r="Q20">
        <f t="shared" si="0"/>
        <v>0</v>
      </c>
      <c r="R20">
        <f t="shared" si="0"/>
        <v>0</v>
      </c>
      <c r="S20">
        <f t="shared" si="0"/>
        <v>0</v>
      </c>
      <c r="T20">
        <f t="shared" si="0"/>
        <v>0</v>
      </c>
      <c r="U20">
        <f t="shared" si="0"/>
        <v>0</v>
      </c>
      <c r="V20">
        <f t="shared" si="0"/>
        <v>0</v>
      </c>
      <c r="W20">
        <f t="shared" si="0"/>
        <v>0</v>
      </c>
      <c r="X20">
        <f t="shared" si="0"/>
        <v>0</v>
      </c>
      <c r="Y20">
        <f t="shared" si="0"/>
        <v>0</v>
      </c>
      <c r="Z20">
        <f t="shared" si="0"/>
        <v>0</v>
      </c>
      <c r="AA20">
        <f t="shared" si="0"/>
        <v>0</v>
      </c>
      <c r="AB20">
        <f t="shared" si="0"/>
        <v>0</v>
      </c>
      <c r="AC20">
        <f t="shared" si="0"/>
        <v>0</v>
      </c>
      <c r="AD20">
        <f>MAX(AD19-AC19,0)</f>
        <v>0</v>
      </c>
    </row>
    <row r="21" spans="1:30" x14ac:dyDescent="0.25">
      <c r="I21" s="50"/>
    </row>
    <row r="22" spans="1:30" s="58" customFormat="1" x14ac:dyDescent="0.25">
      <c r="A22" s="57" t="s">
        <v>261</v>
      </c>
      <c r="I22" s="59"/>
    </row>
    <row r="23" spans="1:30" s="13" customFormat="1" ht="45" x14ac:dyDescent="0.25">
      <c r="A23" s="72" t="s">
        <v>275</v>
      </c>
      <c r="B23" s="13">
        <v>0</v>
      </c>
      <c r="C23" s="13">
        <v>0</v>
      </c>
      <c r="D23" s="13">
        <v>0</v>
      </c>
      <c r="E23" s="13">
        <v>0</v>
      </c>
      <c r="F23" s="13">
        <v>0</v>
      </c>
      <c r="G23" s="13">
        <v>0</v>
      </c>
      <c r="H23" s="13">
        <v>0</v>
      </c>
      <c r="I23" s="51">
        <f>$B$12*$B$11*$B$8</f>
        <v>4.551538461538461E-2</v>
      </c>
      <c r="J23" s="13">
        <f t="shared" ref="J23:AD23" si="1">$B$12*$B$11*$B$8</f>
        <v>4.551538461538461E-2</v>
      </c>
      <c r="K23" s="13">
        <f t="shared" si="1"/>
        <v>4.551538461538461E-2</v>
      </c>
      <c r="L23" s="13">
        <f t="shared" si="1"/>
        <v>4.551538461538461E-2</v>
      </c>
      <c r="M23" s="13">
        <f>$B$12*$B$11*$B$8</f>
        <v>4.551538461538461E-2</v>
      </c>
      <c r="N23" s="13">
        <f t="shared" si="1"/>
        <v>4.551538461538461E-2</v>
      </c>
      <c r="O23" s="13">
        <f t="shared" si="1"/>
        <v>4.551538461538461E-2</v>
      </c>
      <c r="P23" s="13">
        <f t="shared" si="1"/>
        <v>4.551538461538461E-2</v>
      </c>
      <c r="Q23" s="13">
        <f t="shared" si="1"/>
        <v>4.551538461538461E-2</v>
      </c>
      <c r="R23" s="13">
        <f t="shared" si="1"/>
        <v>4.551538461538461E-2</v>
      </c>
      <c r="S23" s="13">
        <f t="shared" si="1"/>
        <v>4.551538461538461E-2</v>
      </c>
      <c r="T23" s="13">
        <f t="shared" si="1"/>
        <v>4.551538461538461E-2</v>
      </c>
      <c r="U23" s="13">
        <f t="shared" si="1"/>
        <v>4.551538461538461E-2</v>
      </c>
      <c r="V23" s="13">
        <f t="shared" si="1"/>
        <v>4.551538461538461E-2</v>
      </c>
      <c r="W23" s="13">
        <f t="shared" si="1"/>
        <v>4.551538461538461E-2</v>
      </c>
      <c r="X23" s="13">
        <f t="shared" si="1"/>
        <v>4.551538461538461E-2</v>
      </c>
      <c r="Y23" s="13">
        <f t="shared" si="1"/>
        <v>4.551538461538461E-2</v>
      </c>
      <c r="Z23" s="13">
        <f t="shared" si="1"/>
        <v>4.551538461538461E-2</v>
      </c>
      <c r="AA23" s="13">
        <f t="shared" si="1"/>
        <v>4.551538461538461E-2</v>
      </c>
      <c r="AB23" s="13">
        <f t="shared" si="1"/>
        <v>4.551538461538461E-2</v>
      </c>
      <c r="AC23" s="13">
        <f t="shared" si="1"/>
        <v>4.551538461538461E-2</v>
      </c>
      <c r="AD23" s="13">
        <f t="shared" si="1"/>
        <v>4.551538461538461E-2</v>
      </c>
    </row>
    <row r="24" spans="1:30" s="13" customFormat="1" x14ac:dyDescent="0.25">
      <c r="A24" s="13" t="s">
        <v>257</v>
      </c>
      <c r="B24" s="13">
        <f>0.03*$B$11</f>
        <v>2.3076923076923079E-3</v>
      </c>
      <c r="C24" s="13">
        <f t="shared" ref="C24:H24" si="2">0.03*$B$11</f>
        <v>2.3076923076923079E-3</v>
      </c>
      <c r="D24" s="13">
        <f t="shared" si="2"/>
        <v>2.3076923076923079E-3</v>
      </c>
      <c r="E24" s="13">
        <f t="shared" si="2"/>
        <v>2.3076923076923079E-3</v>
      </c>
      <c r="F24" s="13">
        <f t="shared" si="2"/>
        <v>2.3076923076923079E-3</v>
      </c>
      <c r="G24" s="13">
        <f t="shared" si="2"/>
        <v>2.3076923076923079E-3</v>
      </c>
      <c r="H24" s="13">
        <f t="shared" si="2"/>
        <v>2.3076923076923079E-3</v>
      </c>
      <c r="I24" s="51">
        <f>0.03*$B$11</f>
        <v>2.3076923076923079E-3</v>
      </c>
      <c r="J24" s="13">
        <f t="shared" ref="J24:AD24" si="3">0.03*$B$11</f>
        <v>2.3076923076923079E-3</v>
      </c>
      <c r="K24" s="13">
        <f t="shared" si="3"/>
        <v>2.3076923076923079E-3</v>
      </c>
      <c r="L24" s="13">
        <f t="shared" si="3"/>
        <v>2.3076923076923079E-3</v>
      </c>
      <c r="M24" s="13">
        <f t="shared" si="3"/>
        <v>2.3076923076923079E-3</v>
      </c>
      <c r="N24" s="13">
        <f t="shared" si="3"/>
        <v>2.3076923076923079E-3</v>
      </c>
      <c r="O24" s="13">
        <f t="shared" si="3"/>
        <v>2.3076923076923079E-3</v>
      </c>
      <c r="P24" s="13">
        <f t="shared" si="3"/>
        <v>2.3076923076923079E-3</v>
      </c>
      <c r="Q24" s="13">
        <f t="shared" si="3"/>
        <v>2.3076923076923079E-3</v>
      </c>
      <c r="R24" s="13">
        <f t="shared" si="3"/>
        <v>2.3076923076923079E-3</v>
      </c>
      <c r="S24" s="13">
        <f t="shared" si="3"/>
        <v>2.3076923076923079E-3</v>
      </c>
      <c r="T24" s="13">
        <f t="shared" si="3"/>
        <v>2.3076923076923079E-3</v>
      </c>
      <c r="U24" s="13">
        <f t="shared" si="3"/>
        <v>2.3076923076923079E-3</v>
      </c>
      <c r="V24" s="13">
        <f t="shared" si="3"/>
        <v>2.3076923076923079E-3</v>
      </c>
      <c r="W24" s="13">
        <f t="shared" si="3"/>
        <v>2.3076923076923079E-3</v>
      </c>
      <c r="X24" s="13">
        <f t="shared" si="3"/>
        <v>2.3076923076923079E-3</v>
      </c>
      <c r="Y24" s="13">
        <f t="shared" si="3"/>
        <v>2.3076923076923079E-3</v>
      </c>
      <c r="Z24" s="13">
        <f t="shared" si="3"/>
        <v>2.3076923076923079E-3</v>
      </c>
      <c r="AA24" s="13">
        <f t="shared" si="3"/>
        <v>2.3076923076923079E-3</v>
      </c>
      <c r="AB24" s="13">
        <f t="shared" si="3"/>
        <v>2.3076923076923079E-3</v>
      </c>
      <c r="AC24" s="13">
        <f t="shared" si="3"/>
        <v>2.3076923076923079E-3</v>
      </c>
      <c r="AD24" s="13">
        <f t="shared" si="3"/>
        <v>2.3076923076923079E-3</v>
      </c>
    </row>
    <row r="25" spans="1:30" s="13" customFormat="1" x14ac:dyDescent="0.25">
      <c r="A25" s="54" t="s">
        <v>269</v>
      </c>
      <c r="B25" s="13">
        <v>0</v>
      </c>
      <c r="C25" s="13">
        <f>SUM($B23:C23)</f>
        <v>0</v>
      </c>
      <c r="D25" s="13">
        <f>SUM($B23:D23)</f>
        <v>0</v>
      </c>
      <c r="E25" s="13">
        <f>SUM($B23:E23)</f>
        <v>0</v>
      </c>
      <c r="F25" s="13">
        <f>SUM($B23:F23)</f>
        <v>0</v>
      </c>
      <c r="G25" s="13">
        <f>SUM($B23:G23)</f>
        <v>0</v>
      </c>
      <c r="H25" s="13">
        <f>SUM($B23:H23)</f>
        <v>0</v>
      </c>
      <c r="I25" s="51">
        <f>SUM($B23:I23)</f>
        <v>4.551538461538461E-2</v>
      </c>
      <c r="J25" s="13">
        <f>SUM($B23:J23)</f>
        <v>9.1030769230769221E-2</v>
      </c>
      <c r="K25" s="13">
        <f>SUM($B23:K23)</f>
        <v>0.13654615384615382</v>
      </c>
      <c r="L25" s="13">
        <f>SUM($B23:L23)</f>
        <v>0.18206153846153844</v>
      </c>
      <c r="M25" s="13">
        <f>SUM($B23:M23)</f>
        <v>0.22757692307692307</v>
      </c>
      <c r="N25" s="13">
        <f>SUM($B23:N23)</f>
        <v>0.27309230769230769</v>
      </c>
      <c r="O25" s="13">
        <f>SUM($B23:O23)</f>
        <v>0.31860769230769231</v>
      </c>
      <c r="P25" s="13">
        <f>SUM($B23:P23)</f>
        <v>0.36412307692307694</v>
      </c>
      <c r="Q25" s="13">
        <f>SUM($B23:Q23)</f>
        <v>0.40963846153846156</v>
      </c>
      <c r="R25" s="13">
        <f>SUM($B23:R23)</f>
        <v>0.45515384615384619</v>
      </c>
      <c r="S25" s="13">
        <f>SUM($B23:S23)</f>
        <v>0.50066923076923076</v>
      </c>
      <c r="T25" s="13">
        <f>SUM($B23:T23)</f>
        <v>0.54618461538461538</v>
      </c>
      <c r="U25" s="13">
        <f>SUM($B23:U23)</f>
        <v>0.5917</v>
      </c>
      <c r="V25" s="13">
        <f>SUM($B23:V23)</f>
        <v>0.63721538461538463</v>
      </c>
      <c r="W25" s="13">
        <f>SUM($B23:W23)</f>
        <v>0.68273076923076925</v>
      </c>
      <c r="X25" s="13">
        <f>SUM($B23:X23)</f>
        <v>0.72824615384615388</v>
      </c>
      <c r="Y25" s="13">
        <f>SUM($B23:Y23)</f>
        <v>0.7737615384615385</v>
      </c>
      <c r="Z25" s="13">
        <f>SUM($B23:Z23)</f>
        <v>0.81927692307692312</v>
      </c>
      <c r="AA25" s="13">
        <f>SUM($B23:AA23)</f>
        <v>0.86479230769230775</v>
      </c>
      <c r="AB25" s="13">
        <f>SUM($B23:AB23)</f>
        <v>0.91030769230769237</v>
      </c>
      <c r="AC25" s="13">
        <f>SUM($B23:AC23)</f>
        <v>0.955823076923077</v>
      </c>
      <c r="AD25" s="13">
        <f>SUM($B23:AD23)</f>
        <v>1.0013384615384615</v>
      </c>
    </row>
    <row r="26" spans="1:30" s="13" customFormat="1" x14ac:dyDescent="0.25">
      <c r="A26" s="47"/>
      <c r="I26" s="51"/>
    </row>
    <row r="27" spans="1:30" s="13" customFormat="1" x14ac:dyDescent="0.25">
      <c r="A27" s="54" t="s">
        <v>266</v>
      </c>
      <c r="B27" s="56">
        <v>0</v>
      </c>
      <c r="C27" s="56">
        <v>0</v>
      </c>
      <c r="D27" s="56">
        <v>0</v>
      </c>
      <c r="E27" s="56">
        <v>0</v>
      </c>
      <c r="F27" s="56">
        <v>0</v>
      </c>
      <c r="G27" s="56">
        <v>0</v>
      </c>
      <c r="H27" s="56">
        <v>0</v>
      </c>
      <c r="I27" s="64">
        <f>I19</f>
        <v>408148000000000</v>
      </c>
      <c r="J27" s="55">
        <f>I27</f>
        <v>408148000000000</v>
      </c>
      <c r="K27" s="55">
        <f>J27</f>
        <v>408148000000000</v>
      </c>
      <c r="L27" s="55">
        <f t="shared" ref="L27:AD27" si="4">K27</f>
        <v>408148000000000</v>
      </c>
      <c r="M27" s="55">
        <f t="shared" si="4"/>
        <v>408148000000000</v>
      </c>
      <c r="N27" s="55">
        <f t="shared" si="4"/>
        <v>408148000000000</v>
      </c>
      <c r="O27" s="55">
        <f t="shared" si="4"/>
        <v>408148000000000</v>
      </c>
      <c r="P27" s="55">
        <f t="shared" si="4"/>
        <v>408148000000000</v>
      </c>
      <c r="Q27" s="55">
        <f t="shared" si="4"/>
        <v>408148000000000</v>
      </c>
      <c r="R27" s="55">
        <f t="shared" si="4"/>
        <v>408148000000000</v>
      </c>
      <c r="S27" s="55">
        <f t="shared" si="4"/>
        <v>408148000000000</v>
      </c>
      <c r="T27" s="55">
        <f t="shared" si="4"/>
        <v>408148000000000</v>
      </c>
      <c r="U27" s="55">
        <f t="shared" si="4"/>
        <v>408148000000000</v>
      </c>
      <c r="V27" s="55">
        <f t="shared" si="4"/>
        <v>408148000000000</v>
      </c>
      <c r="W27" s="55">
        <f t="shared" si="4"/>
        <v>408148000000000</v>
      </c>
      <c r="X27" s="55">
        <f t="shared" si="4"/>
        <v>408148000000000</v>
      </c>
      <c r="Y27" s="55">
        <f t="shared" si="4"/>
        <v>408148000000000</v>
      </c>
      <c r="Z27" s="55">
        <f t="shared" si="4"/>
        <v>408148000000000</v>
      </c>
      <c r="AA27" s="55">
        <f t="shared" si="4"/>
        <v>408148000000000</v>
      </c>
      <c r="AB27" s="55">
        <f t="shared" si="4"/>
        <v>408148000000000</v>
      </c>
      <c r="AC27" s="55">
        <f t="shared" si="4"/>
        <v>408148000000000</v>
      </c>
      <c r="AD27" s="55">
        <f t="shared" si="4"/>
        <v>408148000000000</v>
      </c>
    </row>
    <row r="28" spans="1:30" s="13" customFormat="1" x14ac:dyDescent="0.25">
      <c r="A28" s="54" t="s">
        <v>265</v>
      </c>
      <c r="B28" s="56">
        <v>0</v>
      </c>
      <c r="C28" s="56">
        <v>0</v>
      </c>
      <c r="D28" s="56">
        <v>0</v>
      </c>
      <c r="E28" s="56">
        <v>0</v>
      </c>
      <c r="F28" s="56">
        <v>0</v>
      </c>
      <c r="G28" s="56">
        <v>0</v>
      </c>
      <c r="H28" s="56">
        <v>0</v>
      </c>
      <c r="I28" s="64">
        <f>I27*I25</f>
        <v>18577013199999.996</v>
      </c>
      <c r="J28" s="55">
        <f>J27*J25</f>
        <v>37154026399999.992</v>
      </c>
      <c r="K28" s="55">
        <f>K27*K25</f>
        <v>55731039599999.984</v>
      </c>
      <c r="L28" s="55">
        <f t="shared" ref="L28:U28" si="5">L27*L25</f>
        <v>74308052799999.984</v>
      </c>
      <c r="M28" s="55">
        <f t="shared" si="5"/>
        <v>92885066000000</v>
      </c>
      <c r="N28" s="55">
        <f t="shared" si="5"/>
        <v>111462079200000</v>
      </c>
      <c r="O28" s="55">
        <f t="shared" si="5"/>
        <v>130039092400000</v>
      </c>
      <c r="P28" s="55">
        <f t="shared" si="5"/>
        <v>148616105600000</v>
      </c>
      <c r="Q28" s="55">
        <f t="shared" si="5"/>
        <v>167193118800000</v>
      </c>
      <c r="R28" s="55">
        <f t="shared" si="5"/>
        <v>185770132000000</v>
      </c>
      <c r="S28" s="55">
        <f t="shared" si="5"/>
        <v>204347145200000</v>
      </c>
      <c r="T28" s="55">
        <f t="shared" si="5"/>
        <v>222924158400000</v>
      </c>
      <c r="U28" s="55">
        <f t="shared" si="5"/>
        <v>241501171600000</v>
      </c>
      <c r="V28" s="48">
        <v>0</v>
      </c>
      <c r="W28" s="48">
        <v>0</v>
      </c>
      <c r="X28" s="48">
        <v>0</v>
      </c>
      <c r="Y28" s="48">
        <v>0</v>
      </c>
      <c r="Z28" s="48">
        <v>0</v>
      </c>
      <c r="AA28" s="48">
        <v>0</v>
      </c>
      <c r="AB28" s="48">
        <v>0</v>
      </c>
      <c r="AC28" s="48">
        <v>0</v>
      </c>
      <c r="AD28" s="48">
        <v>0</v>
      </c>
    </row>
    <row r="29" spans="1:30" x14ac:dyDescent="0.25">
      <c r="A29" t="s">
        <v>268</v>
      </c>
      <c r="B29">
        <v>0</v>
      </c>
      <c r="C29">
        <v>0</v>
      </c>
      <c r="D29">
        <v>0</v>
      </c>
      <c r="E29">
        <v>0</v>
      </c>
      <c r="F29">
        <v>0</v>
      </c>
      <c r="G29">
        <v>0</v>
      </c>
      <c r="H29">
        <v>0</v>
      </c>
      <c r="I29" s="66">
        <f t="shared" ref="I29:U29" si="6">I27*I25/$B13</f>
        <v>7456651559234.7822</v>
      </c>
      <c r="J29">
        <f t="shared" si="6"/>
        <v>14913303118469.564</v>
      </c>
      <c r="K29" s="6">
        <f t="shared" si="6"/>
        <v>22369954677704.344</v>
      </c>
      <c r="L29">
        <f t="shared" si="6"/>
        <v>29826606236939.129</v>
      </c>
      <c r="M29">
        <f t="shared" si="6"/>
        <v>37283257796173.922</v>
      </c>
      <c r="N29">
        <f t="shared" si="6"/>
        <v>44739909355408.703</v>
      </c>
      <c r="O29">
        <f t="shared" si="6"/>
        <v>52196560914643.484</v>
      </c>
      <c r="P29">
        <f t="shared" si="6"/>
        <v>59653212473878.273</v>
      </c>
      <c r="Q29">
        <f t="shared" si="6"/>
        <v>67109864033113.055</v>
      </c>
      <c r="R29">
        <f t="shared" si="6"/>
        <v>74566515592347.844</v>
      </c>
      <c r="S29">
        <f t="shared" si="6"/>
        <v>82023167151582.625</v>
      </c>
      <c r="T29">
        <f t="shared" si="6"/>
        <v>89479818710817.406</v>
      </c>
      <c r="U29">
        <f t="shared" si="6"/>
        <v>96936470270052.188</v>
      </c>
      <c r="V29" s="48">
        <v>0</v>
      </c>
      <c r="W29" s="48">
        <v>0</v>
      </c>
      <c r="X29" s="48">
        <v>0</v>
      </c>
      <c r="Y29" s="48">
        <v>0</v>
      </c>
      <c r="Z29" s="48">
        <v>0</v>
      </c>
      <c r="AA29" s="48">
        <v>0</v>
      </c>
      <c r="AB29" s="48">
        <v>0</v>
      </c>
      <c r="AC29" s="48">
        <v>0</v>
      </c>
      <c r="AD29" s="48">
        <v>0</v>
      </c>
    </row>
    <row r="30" spans="1:30" ht="15.75" thickBot="1" x14ac:dyDescent="0.3">
      <c r="A30" s="54" t="s">
        <v>270</v>
      </c>
      <c r="B30">
        <f>B29-B28</f>
        <v>0</v>
      </c>
      <c r="C30">
        <f t="shared" ref="C30:H30" si="7">C29-C28</f>
        <v>0</v>
      </c>
      <c r="D30">
        <f t="shared" si="7"/>
        <v>0</v>
      </c>
      <c r="E30">
        <f t="shared" si="7"/>
        <v>0</v>
      </c>
      <c r="F30">
        <f t="shared" si="7"/>
        <v>0</v>
      </c>
      <c r="G30">
        <f t="shared" si="7"/>
        <v>0</v>
      </c>
      <c r="H30">
        <f t="shared" si="7"/>
        <v>0</v>
      </c>
      <c r="I30" s="65">
        <f>I29-I28</f>
        <v>-11120361640765.215</v>
      </c>
      <c r="J30" s="6">
        <f>J29-J28</f>
        <v>-22240723281530.43</v>
      </c>
      <c r="K30" s="6">
        <f>K29-K28</f>
        <v>-33361084922295.641</v>
      </c>
      <c r="L30" s="6">
        <f>L29-L28</f>
        <v>-44481446563060.859</v>
      </c>
      <c r="M30" s="6">
        <f t="shared" ref="M30:U30" si="8">M29-M28</f>
        <v>-55601808203826.078</v>
      </c>
      <c r="N30" s="6">
        <f t="shared" si="8"/>
        <v>-66722169844591.297</v>
      </c>
      <c r="O30" s="6">
        <f t="shared" si="8"/>
        <v>-77842531485356.516</v>
      </c>
      <c r="P30" s="6">
        <f t="shared" si="8"/>
        <v>-88962893126121.719</v>
      </c>
      <c r="Q30" s="6">
        <f t="shared" si="8"/>
        <v>-100083254766886.94</v>
      </c>
      <c r="R30" s="6">
        <f t="shared" si="8"/>
        <v>-111203616407652.16</v>
      </c>
      <c r="S30" s="6">
        <f t="shared" si="8"/>
        <v>-122323978048417.38</v>
      </c>
      <c r="T30" s="6">
        <f t="shared" si="8"/>
        <v>-133444339689182.59</v>
      </c>
      <c r="U30" s="6">
        <f t="shared" si="8"/>
        <v>-144564701329947.81</v>
      </c>
      <c r="V30" s="48">
        <v>0</v>
      </c>
      <c r="W30" s="48">
        <v>0</v>
      </c>
      <c r="X30" s="48">
        <v>0</v>
      </c>
      <c r="Y30" s="48">
        <v>0</v>
      </c>
      <c r="Z30" s="48">
        <v>0</v>
      </c>
      <c r="AA30" s="48">
        <v>0</v>
      </c>
      <c r="AB30" s="48">
        <v>0</v>
      </c>
      <c r="AC30" s="48">
        <v>0</v>
      </c>
      <c r="AD30" s="48">
        <v>0</v>
      </c>
    </row>
    <row r="31" spans="1:30" s="52" customFormat="1" x14ac:dyDescent="0.25">
      <c r="A31" s="68" t="s">
        <v>264</v>
      </c>
      <c r="B31" s="53">
        <v>0</v>
      </c>
      <c r="C31" s="53">
        <v>0</v>
      </c>
      <c r="D31" s="53">
        <v>0</v>
      </c>
      <c r="E31" s="53">
        <v>0</v>
      </c>
      <c r="F31" s="53">
        <v>0</v>
      </c>
      <c r="G31" s="53">
        <v>0</v>
      </c>
      <c r="H31" s="53">
        <v>0</v>
      </c>
      <c r="I31" s="69">
        <f>I27+I30</f>
        <v>397027638359234.81</v>
      </c>
      <c r="J31" s="69">
        <f>J27+J30</f>
        <v>385907276718469.56</v>
      </c>
      <c r="K31" s="69">
        <f>K27+K30</f>
        <v>374786915077704.38</v>
      </c>
      <c r="L31" s="69">
        <f>L27+L30</f>
        <v>363666553436939.13</v>
      </c>
      <c r="M31" s="53">
        <f t="shared" ref="M31:T31" si="9">M27+M30</f>
        <v>352546191796173.94</v>
      </c>
      <c r="N31" s="53">
        <f t="shared" si="9"/>
        <v>341425830155408.69</v>
      </c>
      <c r="O31" s="53">
        <f t="shared" si="9"/>
        <v>330305468514643.5</v>
      </c>
      <c r="P31" s="53">
        <f t="shared" si="9"/>
        <v>319185106873878.25</v>
      </c>
      <c r="Q31" s="53">
        <f t="shared" si="9"/>
        <v>308064745233113.06</v>
      </c>
      <c r="R31" s="53">
        <f t="shared" si="9"/>
        <v>296944383592347.88</v>
      </c>
      <c r="S31" s="53">
        <f t="shared" si="9"/>
        <v>285824021951582.63</v>
      </c>
      <c r="T31" s="53">
        <f t="shared" si="9"/>
        <v>274703660310817.41</v>
      </c>
      <c r="U31" s="69">
        <f>U27+U30</f>
        <v>263583298670052.19</v>
      </c>
      <c r="V31" s="70">
        <f>U31</f>
        <v>263583298670052.19</v>
      </c>
      <c r="W31" s="48">
        <f t="shared" ref="W31:AD31" si="10">V31</f>
        <v>263583298670052.19</v>
      </c>
      <c r="X31" s="48">
        <f t="shared" si="10"/>
        <v>263583298670052.19</v>
      </c>
      <c r="Y31" s="48">
        <f t="shared" si="10"/>
        <v>263583298670052.19</v>
      </c>
      <c r="Z31" s="48">
        <f t="shared" si="10"/>
        <v>263583298670052.19</v>
      </c>
      <c r="AA31" s="48">
        <f t="shared" si="10"/>
        <v>263583298670052.19</v>
      </c>
      <c r="AB31" s="48">
        <f t="shared" si="10"/>
        <v>263583298670052.19</v>
      </c>
      <c r="AC31" s="48">
        <f t="shared" si="10"/>
        <v>263583298670052.19</v>
      </c>
      <c r="AD31" s="48">
        <f t="shared" si="10"/>
        <v>263583298670052.19</v>
      </c>
    </row>
    <row r="32" spans="1:30" s="53" customFormat="1" x14ac:dyDescent="0.25">
      <c r="A32" s="53" t="s">
        <v>271</v>
      </c>
      <c r="N32" s="69">
        <f>N20*$B$8*$B$12/$B$13</f>
        <v>0</v>
      </c>
      <c r="O32" s="69">
        <f t="shared" ref="O32:AD32" si="11">O20*$B$8*$B$12/$B$13</f>
        <v>0</v>
      </c>
      <c r="P32" s="69">
        <f t="shared" si="11"/>
        <v>0</v>
      </c>
      <c r="Q32" s="69">
        <f t="shared" si="11"/>
        <v>0</v>
      </c>
      <c r="R32" s="69">
        <f t="shared" si="11"/>
        <v>0</v>
      </c>
      <c r="S32" s="69">
        <f t="shared" si="11"/>
        <v>0</v>
      </c>
      <c r="T32" s="69">
        <f t="shared" si="11"/>
        <v>0</v>
      </c>
      <c r="U32" s="69">
        <f t="shared" si="11"/>
        <v>0</v>
      </c>
      <c r="V32" s="69">
        <f t="shared" si="11"/>
        <v>0</v>
      </c>
      <c r="W32" s="69">
        <f t="shared" si="11"/>
        <v>0</v>
      </c>
      <c r="X32" s="69">
        <f t="shared" si="11"/>
        <v>0</v>
      </c>
      <c r="Y32" s="69">
        <f t="shared" si="11"/>
        <v>0</v>
      </c>
      <c r="Z32" s="69">
        <f t="shared" si="11"/>
        <v>0</v>
      </c>
      <c r="AA32" s="69">
        <f t="shared" si="11"/>
        <v>0</v>
      </c>
      <c r="AB32" s="69">
        <f t="shared" si="11"/>
        <v>0</v>
      </c>
      <c r="AC32" s="69">
        <f t="shared" si="11"/>
        <v>0</v>
      </c>
      <c r="AD32" s="69">
        <f t="shared" si="11"/>
        <v>0</v>
      </c>
    </row>
    <row r="33" spans="1:30" s="15" customFormat="1" x14ac:dyDescent="0.25">
      <c r="A33" s="15" t="s">
        <v>263</v>
      </c>
      <c r="B33" s="15">
        <f t="shared" ref="B33:H33" si="12">B19</f>
        <v>0</v>
      </c>
      <c r="C33" s="15">
        <f t="shared" si="12"/>
        <v>0</v>
      </c>
      <c r="D33" s="15">
        <f t="shared" si="12"/>
        <v>472693000000000</v>
      </c>
      <c r="E33" s="15">
        <f t="shared" si="12"/>
        <v>459259000000000</v>
      </c>
      <c r="F33" s="15">
        <f t="shared" si="12"/>
        <v>449699000000000</v>
      </c>
      <c r="G33" s="15">
        <f t="shared" si="12"/>
        <v>440442000000000</v>
      </c>
      <c r="H33" s="15">
        <f t="shared" si="12"/>
        <v>428544000000000</v>
      </c>
      <c r="I33" s="61">
        <f>SUM(I31:I32)</f>
        <v>397027638359234.81</v>
      </c>
      <c r="J33" s="61">
        <f t="shared" ref="J33:AC33" si="13">SUM(J31:J32)</f>
        <v>385907276718469.56</v>
      </c>
      <c r="K33" s="61">
        <f t="shared" si="13"/>
        <v>374786915077704.38</v>
      </c>
      <c r="L33" s="61">
        <f t="shared" si="13"/>
        <v>363666553436939.13</v>
      </c>
      <c r="M33" s="61">
        <f t="shared" si="13"/>
        <v>352546191796173.94</v>
      </c>
      <c r="N33" s="61">
        <f t="shared" si="13"/>
        <v>341425830155408.69</v>
      </c>
      <c r="O33" s="61">
        <f t="shared" si="13"/>
        <v>330305468514643.5</v>
      </c>
      <c r="P33" s="61">
        <f t="shared" si="13"/>
        <v>319185106873878.25</v>
      </c>
      <c r="Q33" s="61">
        <f t="shared" si="13"/>
        <v>308064745233113.06</v>
      </c>
      <c r="R33" s="61">
        <f t="shared" si="13"/>
        <v>296944383592347.88</v>
      </c>
      <c r="S33" s="61">
        <f t="shared" si="13"/>
        <v>285824021951582.63</v>
      </c>
      <c r="T33" s="61">
        <f t="shared" si="13"/>
        <v>274703660310817.41</v>
      </c>
      <c r="U33" s="61">
        <f t="shared" si="13"/>
        <v>263583298670052.19</v>
      </c>
      <c r="V33" s="61">
        <f t="shared" si="13"/>
        <v>263583298670052.19</v>
      </c>
      <c r="W33" s="61">
        <f t="shared" si="13"/>
        <v>263583298670052.19</v>
      </c>
      <c r="X33" s="61">
        <f t="shared" si="13"/>
        <v>263583298670052.19</v>
      </c>
      <c r="Y33" s="61">
        <f t="shared" si="13"/>
        <v>263583298670052.19</v>
      </c>
      <c r="Z33" s="61">
        <f t="shared" si="13"/>
        <v>263583298670052.19</v>
      </c>
      <c r="AA33" s="61">
        <f t="shared" si="13"/>
        <v>263583298670052.19</v>
      </c>
      <c r="AB33" s="61">
        <f t="shared" si="13"/>
        <v>263583298670052.19</v>
      </c>
      <c r="AC33" s="61">
        <f t="shared" si="13"/>
        <v>263583298670052.19</v>
      </c>
      <c r="AD33" s="61">
        <f>SUM(AD31:AD32)</f>
        <v>263583298670052.19</v>
      </c>
    </row>
    <row r="34" spans="1:30" s="15" customFormat="1" x14ac:dyDescent="0.25">
      <c r="A34" s="60" t="s">
        <v>267</v>
      </c>
      <c r="B34" s="60">
        <f>B33/10^15</f>
        <v>0</v>
      </c>
      <c r="C34" s="60">
        <f t="shared" ref="C34:AD34" si="14">C33/10^15</f>
        <v>0</v>
      </c>
      <c r="D34" s="60">
        <f t="shared" si="14"/>
        <v>0.47269299999999997</v>
      </c>
      <c r="E34" s="60">
        <f t="shared" si="14"/>
        <v>0.45925899999999997</v>
      </c>
      <c r="F34" s="60">
        <f t="shared" si="14"/>
        <v>0.44969900000000002</v>
      </c>
      <c r="G34" s="60">
        <f t="shared" si="14"/>
        <v>0.440442</v>
      </c>
      <c r="H34" s="60">
        <f t="shared" si="14"/>
        <v>0.42854399999999998</v>
      </c>
      <c r="I34" s="60">
        <f t="shared" si="14"/>
        <v>0.39702763835923482</v>
      </c>
      <c r="J34" s="60">
        <f t="shared" si="14"/>
        <v>0.38590727671846958</v>
      </c>
      <c r="K34" s="60">
        <f t="shared" si="14"/>
        <v>0.3747869150777044</v>
      </c>
      <c r="L34" s="60">
        <f t="shared" si="14"/>
        <v>0.3636665534369391</v>
      </c>
      <c r="M34" s="60">
        <f t="shared" si="14"/>
        <v>0.35254619179617391</v>
      </c>
      <c r="N34" s="60">
        <f t="shared" si="14"/>
        <v>0.34142583015540867</v>
      </c>
      <c r="O34" s="60">
        <f t="shared" si="14"/>
        <v>0.33030546851464349</v>
      </c>
      <c r="P34" s="60">
        <f t="shared" si="14"/>
        <v>0.31918510687387824</v>
      </c>
      <c r="Q34" s="60">
        <f t="shared" si="14"/>
        <v>0.30806474523311306</v>
      </c>
      <c r="R34" s="60">
        <f t="shared" si="14"/>
        <v>0.29694438359234787</v>
      </c>
      <c r="S34" s="60">
        <f t="shared" si="14"/>
        <v>0.28582402195158263</v>
      </c>
      <c r="T34" s="60">
        <f t="shared" si="14"/>
        <v>0.27470366031081739</v>
      </c>
      <c r="U34" s="60">
        <f t="shared" si="14"/>
        <v>0.2635832986700522</v>
      </c>
      <c r="V34" s="60">
        <f t="shared" si="14"/>
        <v>0.2635832986700522</v>
      </c>
      <c r="W34" s="60">
        <f t="shared" si="14"/>
        <v>0.2635832986700522</v>
      </c>
      <c r="X34" s="60">
        <f t="shared" si="14"/>
        <v>0.2635832986700522</v>
      </c>
      <c r="Y34" s="60">
        <f t="shared" si="14"/>
        <v>0.2635832986700522</v>
      </c>
      <c r="Z34" s="60">
        <f t="shared" si="14"/>
        <v>0.2635832986700522</v>
      </c>
      <c r="AA34" s="60">
        <f t="shared" si="14"/>
        <v>0.2635832986700522</v>
      </c>
      <c r="AB34" s="60">
        <f t="shared" si="14"/>
        <v>0.2635832986700522</v>
      </c>
      <c r="AC34" s="60">
        <f t="shared" si="14"/>
        <v>0.2635832986700522</v>
      </c>
      <c r="AD34" s="60">
        <f t="shared" si="14"/>
        <v>0.2635832986700522</v>
      </c>
    </row>
    <row r="35" spans="1:30" s="62" customFormat="1" x14ac:dyDescent="0.25">
      <c r="A35" s="62" t="s">
        <v>262</v>
      </c>
      <c r="B35" s="63" t="e">
        <f t="shared" ref="B35:AD35" si="15">B33/B19</f>
        <v>#DIV/0!</v>
      </c>
      <c r="C35" s="63" t="e">
        <f t="shared" si="15"/>
        <v>#DIV/0!</v>
      </c>
      <c r="D35" s="63">
        <f t="shared" si="15"/>
        <v>1</v>
      </c>
      <c r="E35" s="63">
        <f t="shared" si="15"/>
        <v>1</v>
      </c>
      <c r="F35" s="63">
        <f t="shared" si="15"/>
        <v>1</v>
      </c>
      <c r="G35" s="63">
        <f t="shared" si="15"/>
        <v>1</v>
      </c>
      <c r="H35" s="63">
        <f t="shared" si="15"/>
        <v>1</v>
      </c>
      <c r="I35" s="63">
        <f t="shared" si="15"/>
        <v>0.9727540949832777</v>
      </c>
      <c r="J35" s="63">
        <f t="shared" si="15"/>
        <v>1.0024971728981975</v>
      </c>
      <c r="K35" s="63">
        <f t="shared" si="15"/>
        <v>1.0389910099126318</v>
      </c>
      <c r="L35" s="63">
        <f t="shared" si="15"/>
        <v>1.0746012453074261</v>
      </c>
      <c r="M35" s="63">
        <f t="shared" si="15"/>
        <v>1.1076535644371153</v>
      </c>
      <c r="N35" s="63">
        <f t="shared" si="15"/>
        <v>1.13596185185506</v>
      </c>
      <c r="O35" s="63">
        <f t="shared" si="15"/>
        <v>1.1572367917241018</v>
      </c>
      <c r="P35" s="63">
        <f t="shared" si="15"/>
        <v>1.1700248050742965</v>
      </c>
      <c r="Q35" s="63">
        <f t="shared" si="15"/>
        <v>1.1748734615752696</v>
      </c>
      <c r="R35" s="63">
        <f t="shared" si="15"/>
        <v>1.1734705810452875</v>
      </c>
      <c r="S35" s="63">
        <f t="shared" si="15"/>
        <v>1.16380702277573</v>
      </c>
      <c r="T35" s="63">
        <f t="shared" si="15"/>
        <v>1.1451138858770504</v>
      </c>
      <c r="U35" s="63">
        <f t="shared" si="15"/>
        <v>1.1180627727255661</v>
      </c>
      <c r="V35" s="63">
        <f t="shared" si="15"/>
        <v>1.1297459996487629</v>
      </c>
      <c r="W35" s="63">
        <f t="shared" si="15"/>
        <v>1.1333991170882878</v>
      </c>
      <c r="X35" s="63">
        <f t="shared" si="15"/>
        <v>1.1384559842698787</v>
      </c>
      <c r="Y35" s="63">
        <f t="shared" si="15"/>
        <v>1.1443972589603915</v>
      </c>
      <c r="Z35" s="63">
        <f t="shared" si="15"/>
        <v>1.151154497124343</v>
      </c>
      <c r="AA35" s="63">
        <f t="shared" si="15"/>
        <v>1.1583584136605838</v>
      </c>
      <c r="AB35" s="63">
        <f t="shared" si="15"/>
        <v>1.1653850686411624</v>
      </c>
      <c r="AC35" s="63">
        <f t="shared" si="15"/>
        <v>1.1718042245865625</v>
      </c>
      <c r="AD35" s="63">
        <f t="shared" si="15"/>
        <v>1.1776522250818833</v>
      </c>
    </row>
  </sheetData>
  <hyperlinks>
    <hyperlink ref="C3" r:id="rId1" xr:uid="{D12EA2AF-BE7D-4569-B92E-A7B8181D312B}"/>
    <hyperlink ref="C5" r:id="rId2" xr:uid="{4718F096-12F3-4408-93AA-AF30FA492C83}"/>
    <hyperlink ref="C6" r:id="rId3" xr:uid="{35336A89-1F52-4083-90DE-A3E09AC1BA5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90261-DA7D-487A-85AF-396FE7CF729D}">
  <dimension ref="A1:AF67"/>
  <sheetViews>
    <sheetView topLeftCell="A34" zoomScale="85" zoomScaleNormal="85" workbookViewId="0">
      <selection activeCell="B72" sqref="B72"/>
    </sheetView>
  </sheetViews>
  <sheetFormatPr defaultRowHeight="15" x14ac:dyDescent="0.25"/>
  <cols>
    <col min="1" max="1" width="75.7109375" customWidth="1"/>
    <col min="2" max="2" width="48.140625" bestFit="1" customWidth="1"/>
    <col min="3" max="3" width="11.5703125" hidden="1" customWidth="1"/>
    <col min="4" max="4" width="19.140625" style="93" hidden="1" customWidth="1"/>
    <col min="5" max="5" width="27.28515625" hidden="1" customWidth="1"/>
    <col min="6" max="6" width="10.85546875" style="75" customWidth="1"/>
    <col min="7" max="32" width="10.85546875" customWidth="1"/>
  </cols>
  <sheetData>
    <row r="1" spans="1:32" x14ac:dyDescent="0.25">
      <c r="A1" s="102" t="s">
        <v>727</v>
      </c>
      <c r="B1" s="102" t="s">
        <v>750</v>
      </c>
      <c r="C1" s="102" t="s">
        <v>727</v>
      </c>
      <c r="D1" s="102" t="s">
        <v>728</v>
      </c>
      <c r="E1" s="102" t="s">
        <v>729</v>
      </c>
      <c r="F1" s="103">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76" t="s">
        <v>751</v>
      </c>
      <c r="B2" s="76"/>
      <c r="C2" s="76"/>
      <c r="D2" s="76"/>
      <c r="E2" s="76"/>
      <c r="F2" s="77"/>
      <c r="G2" s="76"/>
      <c r="H2" s="76"/>
      <c r="I2" s="76"/>
      <c r="J2" s="76"/>
      <c r="K2" s="76"/>
      <c r="L2" s="76"/>
      <c r="M2" s="76"/>
      <c r="N2" s="76"/>
      <c r="O2" s="76"/>
      <c r="P2" s="76"/>
      <c r="Q2" s="76"/>
      <c r="R2" s="76"/>
      <c r="S2" s="76"/>
      <c r="T2" s="76"/>
      <c r="U2" s="76"/>
      <c r="V2" s="76"/>
      <c r="W2" s="76"/>
      <c r="X2" s="76"/>
      <c r="Y2" s="76"/>
      <c r="Z2" s="76"/>
      <c r="AA2" s="76"/>
      <c r="AB2" s="76"/>
      <c r="AC2" s="76"/>
      <c r="AD2" s="76"/>
      <c r="AE2" s="76"/>
      <c r="AF2" s="76"/>
    </row>
    <row r="3" spans="1:32" x14ac:dyDescent="0.25">
      <c r="A3" t="s">
        <v>503</v>
      </c>
      <c r="B3" t="str">
        <f>C3&amp;"-"&amp;D3&amp;"-"&amp;E3</f>
        <v>residential-heating-electricity (BTU)</v>
      </c>
      <c r="C3" t="s">
        <v>736</v>
      </c>
      <c r="D3" s="93" t="s">
        <v>730</v>
      </c>
      <c r="E3" s="1" t="s">
        <v>11</v>
      </c>
      <c r="F3" s="75">
        <f>INDEX(Table_4._Residential_Sector_Key!$F$8:$AG$125,MATCH($A3,Table_4._Residential_Sector_Key!$B$8:$B$125,0),MATCH(F$1,Table_4._Residential_Sector_Key!$F$5:$AG$5,0))</f>
        <v>0.528061</v>
      </c>
      <c r="G3">
        <f>INDEX(Table_4._Residential_Sector_Key!$F$8:$AG$125,MATCH($A3,Table_4._Residential_Sector_Key!$B$8:$B$125,0),MATCH(G$1,Table_4._Residential_Sector_Key!$F$5:$AG$5,0))</f>
        <v>0.58256200000000002</v>
      </c>
      <c r="H3">
        <f>INDEX(Table_4._Residential_Sector_Key!$F$8:$AG$125,MATCH($A3,Table_4._Residential_Sector_Key!$B$8:$B$125,0),MATCH(H$1,Table_4._Residential_Sector_Key!$F$5:$AG$5,0))</f>
        <v>0.58554499999999998</v>
      </c>
      <c r="I3">
        <f>INDEX(Table_4._Residential_Sector_Key!$F$8:$AG$125,MATCH($A3,Table_4._Residential_Sector_Key!$B$8:$B$125,0),MATCH(I$1,Table_4._Residential_Sector_Key!$F$5:$AG$5,0))</f>
        <v>0.58918800000000005</v>
      </c>
      <c r="J3">
        <f>INDEX(Table_4._Residential_Sector_Key!$F$8:$AG$125,MATCH($A3,Table_4._Residential_Sector_Key!$B$8:$B$125,0),MATCH(J$1,Table_4._Residential_Sector_Key!$F$5:$AG$5,0))</f>
        <v>0.58990399999999998</v>
      </c>
      <c r="K3">
        <f>INDEX(Table_4._Residential_Sector_Key!$F$8:$AG$125,MATCH($A3,Table_4._Residential_Sector_Key!$B$8:$B$125,0),MATCH(K$1,Table_4._Residential_Sector_Key!$F$5:$AG$5,0))</f>
        <v>0.58641200000000004</v>
      </c>
      <c r="L3">
        <f>INDEX(Table_4._Residential_Sector_Key!$F$8:$AG$125,MATCH($A3,Table_4._Residential_Sector_Key!$B$8:$B$125,0),MATCH(L$1,Table_4._Residential_Sector_Key!$F$5:$AG$5,0))</f>
        <v>0.58055100000000004</v>
      </c>
      <c r="M3">
        <f>INDEX(Table_4._Residential_Sector_Key!$F$8:$AG$125,MATCH($A3,Table_4._Residential_Sector_Key!$B$8:$B$125,0),MATCH(M$1,Table_4._Residential_Sector_Key!$F$5:$AG$5,0))</f>
        <v>0.57359499999999997</v>
      </c>
      <c r="N3">
        <f>INDEX(Table_4._Residential_Sector_Key!$F$8:$AG$125,MATCH($A3,Table_4._Residential_Sector_Key!$B$8:$B$125,0),MATCH(N$1,Table_4._Residential_Sector_Key!$F$5:$AG$5,0))</f>
        <v>0.56673899999999999</v>
      </c>
      <c r="O3">
        <f>INDEX(Table_4._Residential_Sector_Key!$F$8:$AG$125,MATCH($A3,Table_4._Residential_Sector_Key!$B$8:$B$125,0),MATCH(O$1,Table_4._Residential_Sector_Key!$F$5:$AG$5,0))</f>
        <v>0.56072599999999995</v>
      </c>
      <c r="P3">
        <f>INDEX(Table_4._Residential_Sector_Key!$F$8:$AG$125,MATCH($A3,Table_4._Residential_Sector_Key!$B$8:$B$125,0),MATCH(P$1,Table_4._Residential_Sector_Key!$F$5:$AG$5,0))</f>
        <v>0.55457199999999995</v>
      </c>
      <c r="Q3">
        <f>INDEX(Table_4._Residential_Sector_Key!$F$8:$AG$125,MATCH($A3,Table_4._Residential_Sector_Key!$B$8:$B$125,0),MATCH(Q$1,Table_4._Residential_Sector_Key!$F$5:$AG$5,0))</f>
        <v>0.55030900000000005</v>
      </c>
      <c r="R3">
        <f>INDEX(Table_4._Residential_Sector_Key!$F$8:$AG$125,MATCH($A3,Table_4._Residential_Sector_Key!$B$8:$B$125,0),MATCH(R$1,Table_4._Residential_Sector_Key!$F$5:$AG$5,0))</f>
        <v>0.54765699999999995</v>
      </c>
      <c r="S3">
        <f>INDEX(Table_4._Residential_Sector_Key!$F$8:$AG$125,MATCH($A3,Table_4._Residential_Sector_Key!$B$8:$B$125,0),MATCH(S$1,Table_4._Residential_Sector_Key!$F$5:$AG$5,0))</f>
        <v>0.54529499999999997</v>
      </c>
      <c r="T3">
        <f>INDEX(Table_4._Residential_Sector_Key!$F$8:$AG$125,MATCH($A3,Table_4._Residential_Sector_Key!$B$8:$B$125,0),MATCH(T$1,Table_4._Residential_Sector_Key!$F$5:$AG$5,0))</f>
        <v>0.542041</v>
      </c>
      <c r="U3">
        <f>INDEX(Table_4._Residential_Sector_Key!$F$8:$AG$125,MATCH($A3,Table_4._Residential_Sector_Key!$B$8:$B$125,0),MATCH(U$1,Table_4._Residential_Sector_Key!$F$5:$AG$5,0))</f>
        <v>0.53859100000000004</v>
      </c>
      <c r="V3">
        <f>INDEX(Table_4._Residential_Sector_Key!$F$8:$AG$125,MATCH($A3,Table_4._Residential_Sector_Key!$B$8:$B$125,0),MATCH(V$1,Table_4._Residential_Sector_Key!$F$5:$AG$5,0))</f>
        <v>0.53495199999999998</v>
      </c>
      <c r="W3">
        <f>INDEX(Table_4._Residential_Sector_Key!$F$8:$AG$125,MATCH($A3,Table_4._Residential_Sector_Key!$B$8:$B$125,0),MATCH(W$1,Table_4._Residential_Sector_Key!$F$5:$AG$5,0))</f>
        <v>0.53082799999999997</v>
      </c>
      <c r="X3">
        <f>INDEX(Table_4._Residential_Sector_Key!$F$8:$AG$125,MATCH($A3,Table_4._Residential_Sector_Key!$B$8:$B$125,0),MATCH(X$1,Table_4._Residential_Sector_Key!$F$5:$AG$5,0))</f>
        <v>0.52682799999999996</v>
      </c>
      <c r="Y3">
        <f>INDEX(Table_4._Residential_Sector_Key!$F$8:$AG$125,MATCH($A3,Table_4._Residential_Sector_Key!$B$8:$B$125,0),MATCH(Y$1,Table_4._Residential_Sector_Key!$F$5:$AG$5,0))</f>
        <v>0.52286699999999997</v>
      </c>
      <c r="Z3">
        <f>INDEX(Table_4._Residential_Sector_Key!$F$8:$AG$125,MATCH($A3,Table_4._Residential_Sector_Key!$B$8:$B$125,0),MATCH(Z$1,Table_4._Residential_Sector_Key!$F$5:$AG$5,0))</f>
        <v>0.51832800000000001</v>
      </c>
      <c r="AA3">
        <f>INDEX(Table_4._Residential_Sector_Key!$F$8:$AG$125,MATCH($A3,Table_4._Residential_Sector_Key!$B$8:$B$125,0),MATCH(AA$1,Table_4._Residential_Sector_Key!$F$5:$AG$5,0))</f>
        <v>0.51352500000000001</v>
      </c>
      <c r="AB3">
        <f>INDEX(Table_4._Residential_Sector_Key!$F$8:$AG$125,MATCH($A3,Table_4._Residential_Sector_Key!$B$8:$B$125,0),MATCH(AB$1,Table_4._Residential_Sector_Key!$F$5:$AG$5,0))</f>
        <v>0.50834800000000002</v>
      </c>
      <c r="AC3">
        <f>INDEX(Table_4._Residential_Sector_Key!$F$8:$AG$125,MATCH($A3,Table_4._Residential_Sector_Key!$B$8:$B$125,0),MATCH(AC$1,Table_4._Residential_Sector_Key!$F$5:$AG$5,0))</f>
        <v>0.50292800000000004</v>
      </c>
      <c r="AD3">
        <f>INDEX(Table_4._Residential_Sector_Key!$F$8:$AG$125,MATCH($A3,Table_4._Residential_Sector_Key!$B$8:$B$125,0),MATCH(AD$1,Table_4._Residential_Sector_Key!$F$5:$AG$5,0))</f>
        <v>0.49740299999999998</v>
      </c>
      <c r="AE3">
        <f>INDEX(Table_4._Residential_Sector_Key!$F$8:$AG$125,MATCH($A3,Table_4._Residential_Sector_Key!$B$8:$B$125,0),MATCH(AE$1,Table_4._Residential_Sector_Key!$F$5:$AG$5,0))</f>
        <v>0.49220799999999998</v>
      </c>
      <c r="AF3">
        <f>INDEX(Table_4._Residential_Sector_Key!$F$8:$AG$125,MATCH($A3,Table_4._Residential_Sector_Key!$B$8:$B$125,0),MATCH(AF$1,Table_4._Residential_Sector_Key!$F$5:$AG$5,0))</f>
        <v>0.48680000000000001</v>
      </c>
    </row>
    <row r="4" spans="1:32" x14ac:dyDescent="0.25">
      <c r="A4" t="s">
        <v>501</v>
      </c>
      <c r="B4" t="str">
        <f t="shared" ref="B4:B64" si="0">C4&amp;"-"&amp;D4&amp;"-"&amp;E4</f>
        <v>residential-cooling-electricity (BTU)</v>
      </c>
      <c r="C4" t="s">
        <v>736</v>
      </c>
      <c r="D4" s="93" t="s">
        <v>731</v>
      </c>
      <c r="E4" s="1" t="s">
        <v>11</v>
      </c>
      <c r="F4" s="75">
        <f>INDEX(Table_4._Residential_Sector_Key!$F$8:$AG$125,MATCH($A4,Table_4._Residential_Sector_Key!$B$8:$B$125,0),MATCH(F$1,Table_4._Residential_Sector_Key!$F$5:$AG$5,0))</f>
        <v>0.997081</v>
      </c>
      <c r="G4">
        <f>INDEX(Table_4._Residential_Sector_Key!$F$8:$AG$125,MATCH($A4,Table_4._Residential_Sector_Key!$B$8:$B$125,0),MATCH(G$1,Table_4._Residential_Sector_Key!$F$5:$AG$5,0))</f>
        <v>0.95247300000000001</v>
      </c>
      <c r="H4">
        <f>INDEX(Table_4._Residential_Sector_Key!$F$8:$AG$125,MATCH($A4,Table_4._Residential_Sector_Key!$B$8:$B$125,0),MATCH(H$1,Table_4._Residential_Sector_Key!$F$5:$AG$5,0))</f>
        <v>0.97135400000000005</v>
      </c>
      <c r="I4">
        <f>INDEX(Table_4._Residential_Sector_Key!$F$8:$AG$125,MATCH($A4,Table_4._Residential_Sector_Key!$B$8:$B$125,0),MATCH(I$1,Table_4._Residential_Sector_Key!$F$5:$AG$5,0))</f>
        <v>0.98970999999999998</v>
      </c>
      <c r="J4">
        <f>INDEX(Table_4._Residential_Sector_Key!$F$8:$AG$125,MATCH($A4,Table_4._Residential_Sector_Key!$B$8:$B$125,0),MATCH(J$1,Table_4._Residential_Sector_Key!$F$5:$AG$5,0))</f>
        <v>1.0020089999999999</v>
      </c>
      <c r="K4">
        <f>INDEX(Table_4._Residential_Sector_Key!$F$8:$AG$125,MATCH($A4,Table_4._Residential_Sector_Key!$B$8:$B$125,0),MATCH(K$1,Table_4._Residential_Sector_Key!$F$5:$AG$5,0))</f>
        <v>1.0070300000000001</v>
      </c>
      <c r="L4">
        <f>INDEX(Table_4._Residential_Sector_Key!$F$8:$AG$125,MATCH($A4,Table_4._Residential_Sector_Key!$B$8:$B$125,0),MATCH(L$1,Table_4._Residential_Sector_Key!$F$5:$AG$5,0))</f>
        <v>1.009506</v>
      </c>
      <c r="M4">
        <f>INDEX(Table_4._Residential_Sector_Key!$F$8:$AG$125,MATCH($A4,Table_4._Residential_Sector_Key!$B$8:$B$125,0),MATCH(M$1,Table_4._Residential_Sector_Key!$F$5:$AG$5,0))</f>
        <v>1.0103930000000001</v>
      </c>
      <c r="N4">
        <f>INDEX(Table_4._Residential_Sector_Key!$F$8:$AG$125,MATCH($A4,Table_4._Residential_Sector_Key!$B$8:$B$125,0),MATCH(N$1,Table_4._Residential_Sector_Key!$F$5:$AG$5,0))</f>
        <v>1.012497</v>
      </c>
      <c r="O4">
        <f>INDEX(Table_4._Residential_Sector_Key!$F$8:$AG$125,MATCH($A4,Table_4._Residential_Sector_Key!$B$8:$B$125,0),MATCH(O$1,Table_4._Residential_Sector_Key!$F$5:$AG$5,0))</f>
        <v>1.0194939999999999</v>
      </c>
      <c r="P4">
        <f>INDEX(Table_4._Residential_Sector_Key!$F$8:$AG$125,MATCH($A4,Table_4._Residential_Sector_Key!$B$8:$B$125,0),MATCH(P$1,Table_4._Residential_Sector_Key!$F$5:$AG$5,0))</f>
        <v>1.0285329999999999</v>
      </c>
      <c r="Q4">
        <f>INDEX(Table_4._Residential_Sector_Key!$F$8:$AG$125,MATCH($A4,Table_4._Residential_Sector_Key!$B$8:$B$125,0),MATCH(Q$1,Table_4._Residential_Sector_Key!$F$5:$AG$5,0))</f>
        <v>1.0416970000000001</v>
      </c>
      <c r="R4">
        <f>INDEX(Table_4._Residential_Sector_Key!$F$8:$AG$125,MATCH($A4,Table_4._Residential_Sector_Key!$B$8:$B$125,0),MATCH(R$1,Table_4._Residential_Sector_Key!$F$5:$AG$5,0))</f>
        <v>1.058786</v>
      </c>
      <c r="S4">
        <f>INDEX(Table_4._Residential_Sector_Key!$F$8:$AG$125,MATCH($A4,Table_4._Residential_Sector_Key!$B$8:$B$125,0),MATCH(S$1,Table_4._Residential_Sector_Key!$F$5:$AG$5,0))</f>
        <v>1.0781130000000001</v>
      </c>
      <c r="T4">
        <f>INDEX(Table_4._Residential_Sector_Key!$F$8:$AG$125,MATCH($A4,Table_4._Residential_Sector_Key!$B$8:$B$125,0),MATCH(T$1,Table_4._Residential_Sector_Key!$F$5:$AG$5,0))</f>
        <v>1.0965370000000001</v>
      </c>
      <c r="U4">
        <f>INDEX(Table_4._Residential_Sector_Key!$F$8:$AG$125,MATCH($A4,Table_4._Residential_Sector_Key!$B$8:$B$125,0),MATCH(U$1,Table_4._Residential_Sector_Key!$F$5:$AG$5,0))</f>
        <v>1.1159330000000001</v>
      </c>
      <c r="V4">
        <f>INDEX(Table_4._Residential_Sector_Key!$F$8:$AG$125,MATCH($A4,Table_4._Residential_Sector_Key!$B$8:$B$125,0),MATCH(V$1,Table_4._Residential_Sector_Key!$F$5:$AG$5,0))</f>
        <v>1.1355759999999999</v>
      </c>
      <c r="W4">
        <f>INDEX(Table_4._Residential_Sector_Key!$F$8:$AG$125,MATCH($A4,Table_4._Residential_Sector_Key!$B$8:$B$125,0),MATCH(W$1,Table_4._Residential_Sector_Key!$F$5:$AG$5,0))</f>
        <v>1.1556649999999999</v>
      </c>
      <c r="X4">
        <f>INDEX(Table_4._Residential_Sector_Key!$F$8:$AG$125,MATCH($A4,Table_4._Residential_Sector_Key!$B$8:$B$125,0),MATCH(X$1,Table_4._Residential_Sector_Key!$F$5:$AG$5,0))</f>
        <v>1.175584</v>
      </c>
      <c r="Y4">
        <f>INDEX(Table_4._Residential_Sector_Key!$F$8:$AG$125,MATCH($A4,Table_4._Residential_Sector_Key!$B$8:$B$125,0),MATCH(Y$1,Table_4._Residential_Sector_Key!$F$5:$AG$5,0))</f>
        <v>1.1958679999999999</v>
      </c>
      <c r="Z4">
        <f>INDEX(Table_4._Residential_Sector_Key!$F$8:$AG$125,MATCH($A4,Table_4._Residential_Sector_Key!$B$8:$B$125,0),MATCH(Z$1,Table_4._Residential_Sector_Key!$F$5:$AG$5,0))</f>
        <v>1.215889</v>
      </c>
      <c r="AA4">
        <f>INDEX(Table_4._Residential_Sector_Key!$F$8:$AG$125,MATCH($A4,Table_4._Residential_Sector_Key!$B$8:$B$125,0),MATCH(AA$1,Table_4._Residential_Sector_Key!$F$5:$AG$5,0))</f>
        <v>1.2354339999999999</v>
      </c>
      <c r="AB4">
        <f>INDEX(Table_4._Residential_Sector_Key!$F$8:$AG$125,MATCH($A4,Table_4._Residential_Sector_Key!$B$8:$B$125,0),MATCH(AB$1,Table_4._Residential_Sector_Key!$F$5:$AG$5,0))</f>
        <v>1.2545770000000001</v>
      </c>
      <c r="AC4">
        <f>INDEX(Table_4._Residential_Sector_Key!$F$8:$AG$125,MATCH($A4,Table_4._Residential_Sector_Key!$B$8:$B$125,0),MATCH(AC$1,Table_4._Residential_Sector_Key!$F$5:$AG$5,0))</f>
        <v>1.273539</v>
      </c>
      <c r="AD4">
        <f>INDEX(Table_4._Residential_Sector_Key!$F$8:$AG$125,MATCH($A4,Table_4._Residential_Sector_Key!$B$8:$B$125,0),MATCH(AD$1,Table_4._Residential_Sector_Key!$F$5:$AG$5,0))</f>
        <v>1.292448</v>
      </c>
      <c r="AE4">
        <f>INDEX(Table_4._Residential_Sector_Key!$F$8:$AG$125,MATCH($A4,Table_4._Residential_Sector_Key!$B$8:$B$125,0),MATCH(AE$1,Table_4._Residential_Sector_Key!$F$5:$AG$5,0))</f>
        <v>1.3116209999999999</v>
      </c>
      <c r="AF4">
        <f>INDEX(Table_4._Residential_Sector_Key!$F$8:$AG$125,MATCH($A4,Table_4._Residential_Sector_Key!$B$8:$B$125,0),MATCH(AF$1,Table_4._Residential_Sector_Key!$F$5:$AG$5,0))</f>
        <v>1.3306359999999999</v>
      </c>
    </row>
    <row r="5" spans="1:32" x14ac:dyDescent="0.25">
      <c r="A5" t="s">
        <v>499</v>
      </c>
      <c r="B5" t="str">
        <f t="shared" si="0"/>
        <v>residential-appliances-electricity (BTU)</v>
      </c>
      <c r="C5" t="s">
        <v>736</v>
      </c>
      <c r="D5" s="93" t="s">
        <v>732</v>
      </c>
      <c r="E5" s="1" t="s">
        <v>11</v>
      </c>
      <c r="F5" s="75">
        <f>INDEX(Table_4._Residential_Sector_Key!$F$8:$AG$125,MATCH($A5,Table_4._Residential_Sector_Key!$B$8:$B$125,0),MATCH(F$1,Table_4._Residential_Sector_Key!$F$5:$AG$5,0))</f>
        <v>0.47269299999999997</v>
      </c>
      <c r="G5">
        <f>INDEX(Table_4._Residential_Sector_Key!$F$8:$AG$125,MATCH($A5,Table_4._Residential_Sector_Key!$B$8:$B$125,0),MATCH(G$1,Table_4._Residential_Sector_Key!$F$5:$AG$5,0))</f>
        <v>0.45925899999999997</v>
      </c>
      <c r="H5">
        <f>INDEX(Table_4._Residential_Sector_Key!$F$8:$AG$125,MATCH($A5,Table_4._Residential_Sector_Key!$B$8:$B$125,0),MATCH(H$1,Table_4._Residential_Sector_Key!$F$5:$AG$5,0))</f>
        <v>0.44969900000000002</v>
      </c>
      <c r="I5">
        <f>INDEX(Table_4._Residential_Sector_Key!$F$8:$AG$125,MATCH($A5,Table_4._Residential_Sector_Key!$B$8:$B$125,0),MATCH(I$1,Table_4._Residential_Sector_Key!$F$5:$AG$5,0))</f>
        <v>0.440442</v>
      </c>
      <c r="J5">
        <f>INDEX(Table_4._Residential_Sector_Key!$F$8:$AG$125,MATCH($A5,Table_4._Residential_Sector_Key!$B$8:$B$125,0),MATCH(J$1,Table_4._Residential_Sector_Key!$F$5:$AG$5,0))</f>
        <v>0.42854399999999998</v>
      </c>
      <c r="K5">
        <f>INDEX(Table_4._Residential_Sector_Key!$F$8:$AG$125,MATCH($A5,Table_4._Residential_Sector_Key!$B$8:$B$125,0),MATCH(K$1,Table_4._Residential_Sector_Key!$F$5:$AG$5,0))</f>
        <v>0.40814800000000001</v>
      </c>
      <c r="L5">
        <f>INDEX(Table_4._Residential_Sector_Key!$F$8:$AG$125,MATCH($A5,Table_4._Residential_Sector_Key!$B$8:$B$125,0),MATCH(L$1,Table_4._Residential_Sector_Key!$F$5:$AG$5,0))</f>
        <v>0.38494600000000001</v>
      </c>
      <c r="M5">
        <f>INDEX(Table_4._Residential_Sector_Key!$F$8:$AG$125,MATCH($A5,Table_4._Residential_Sector_Key!$B$8:$B$125,0),MATCH(M$1,Table_4._Residential_Sector_Key!$F$5:$AG$5,0))</f>
        <v>0.36072199999999999</v>
      </c>
      <c r="N5">
        <f>INDEX(Table_4._Residential_Sector_Key!$F$8:$AG$125,MATCH($A5,Table_4._Residential_Sector_Key!$B$8:$B$125,0),MATCH(N$1,Table_4._Residential_Sector_Key!$F$5:$AG$5,0))</f>
        <v>0.33842</v>
      </c>
      <c r="O5">
        <f>INDEX(Table_4._Residential_Sector_Key!$F$8:$AG$125,MATCH($A5,Table_4._Residential_Sector_Key!$B$8:$B$125,0),MATCH(O$1,Table_4._Residential_Sector_Key!$F$5:$AG$5,0))</f>
        <v>0.31828200000000001</v>
      </c>
      <c r="P5">
        <f>INDEX(Table_4._Residential_Sector_Key!$F$8:$AG$125,MATCH($A5,Table_4._Residential_Sector_Key!$B$8:$B$125,0),MATCH(P$1,Table_4._Residential_Sector_Key!$F$5:$AG$5,0))</f>
        <v>0.30056100000000002</v>
      </c>
      <c r="Q5">
        <f>INDEX(Table_4._Residential_Sector_Key!$F$8:$AG$125,MATCH($A5,Table_4._Residential_Sector_Key!$B$8:$B$125,0),MATCH(Q$1,Table_4._Residential_Sector_Key!$F$5:$AG$5,0))</f>
        <v>0.28542600000000001</v>
      </c>
      <c r="R5">
        <f>INDEX(Table_4._Residential_Sector_Key!$F$8:$AG$125,MATCH($A5,Table_4._Residential_Sector_Key!$B$8:$B$125,0),MATCH(R$1,Table_4._Residential_Sector_Key!$F$5:$AG$5,0))</f>
        <v>0.27280199999999999</v>
      </c>
      <c r="S5">
        <f>INDEX(Table_4._Residential_Sector_Key!$F$8:$AG$125,MATCH($A5,Table_4._Residential_Sector_Key!$B$8:$B$125,0),MATCH(S$1,Table_4._Residential_Sector_Key!$F$5:$AG$5,0))</f>
        <v>0.26221100000000003</v>
      </c>
      <c r="T5">
        <f>INDEX(Table_4._Residential_Sector_Key!$F$8:$AG$125,MATCH($A5,Table_4._Residential_Sector_Key!$B$8:$B$125,0),MATCH(T$1,Table_4._Residential_Sector_Key!$F$5:$AG$5,0))</f>
        <v>0.253048</v>
      </c>
      <c r="U5">
        <f>INDEX(Table_4._Residential_Sector_Key!$F$8:$AG$125,MATCH($A5,Table_4._Residential_Sector_Key!$B$8:$B$125,0),MATCH(U$1,Table_4._Residential_Sector_Key!$F$5:$AG$5,0))</f>
        <v>0.24559400000000001</v>
      </c>
      <c r="V5">
        <f>INDEX(Table_4._Residential_Sector_Key!$F$8:$AG$125,MATCH($A5,Table_4._Residential_Sector_Key!$B$8:$B$125,0),MATCH(V$1,Table_4._Residential_Sector_Key!$F$5:$AG$5,0))</f>
        <v>0.23989199999999999</v>
      </c>
      <c r="W5">
        <f>INDEX(Table_4._Residential_Sector_Key!$F$8:$AG$125,MATCH($A5,Table_4._Residential_Sector_Key!$B$8:$B$125,0),MATCH(W$1,Table_4._Residential_Sector_Key!$F$5:$AG$5,0))</f>
        <v>0.23574999999999999</v>
      </c>
      <c r="X5">
        <f>INDEX(Table_4._Residential_Sector_Key!$F$8:$AG$125,MATCH($A5,Table_4._Residential_Sector_Key!$B$8:$B$125,0),MATCH(X$1,Table_4._Residential_Sector_Key!$F$5:$AG$5,0))</f>
        <v>0.23331199999999999</v>
      </c>
      <c r="Y5">
        <f>INDEX(Table_4._Residential_Sector_Key!$F$8:$AG$125,MATCH($A5,Table_4._Residential_Sector_Key!$B$8:$B$125,0),MATCH(Y$1,Table_4._Residential_Sector_Key!$F$5:$AG$5,0))</f>
        <v>0.23255999999999999</v>
      </c>
      <c r="Z5">
        <f>INDEX(Table_4._Residential_Sector_Key!$F$8:$AG$125,MATCH($A5,Table_4._Residential_Sector_Key!$B$8:$B$125,0),MATCH(Z$1,Table_4._Residential_Sector_Key!$F$5:$AG$5,0))</f>
        <v>0.23152700000000001</v>
      </c>
      <c r="AA5">
        <f>INDEX(Table_4._Residential_Sector_Key!$F$8:$AG$125,MATCH($A5,Table_4._Residential_Sector_Key!$B$8:$B$125,0),MATCH(AA$1,Table_4._Residential_Sector_Key!$F$5:$AG$5,0))</f>
        <v>0.230325</v>
      </c>
      <c r="AB5">
        <f>INDEX(Table_4._Residential_Sector_Key!$F$8:$AG$125,MATCH($A5,Table_4._Residential_Sector_Key!$B$8:$B$125,0),MATCH(AB$1,Table_4._Residential_Sector_Key!$F$5:$AG$5,0))</f>
        <v>0.22897300000000001</v>
      </c>
      <c r="AC5">
        <f>INDEX(Table_4._Residential_Sector_Key!$F$8:$AG$125,MATCH($A5,Table_4._Residential_Sector_Key!$B$8:$B$125,0),MATCH(AC$1,Table_4._Residential_Sector_Key!$F$5:$AG$5,0))</f>
        <v>0.227549</v>
      </c>
      <c r="AD5">
        <f>INDEX(Table_4._Residential_Sector_Key!$F$8:$AG$125,MATCH($A5,Table_4._Residential_Sector_Key!$B$8:$B$125,0),MATCH(AD$1,Table_4._Residential_Sector_Key!$F$5:$AG$5,0))</f>
        <v>0.22617699999999999</v>
      </c>
      <c r="AE5">
        <f>INDEX(Table_4._Residential_Sector_Key!$F$8:$AG$125,MATCH($A5,Table_4._Residential_Sector_Key!$B$8:$B$125,0),MATCH(AE$1,Table_4._Residential_Sector_Key!$F$5:$AG$5,0))</f>
        <v>0.224938</v>
      </c>
      <c r="AF5">
        <f>INDEX(Table_4._Residential_Sector_Key!$F$8:$AG$125,MATCH($A5,Table_4._Residential_Sector_Key!$B$8:$B$125,0),MATCH(AF$1,Table_4._Residential_Sector_Key!$F$5:$AG$5,0))</f>
        <v>0.22382099999999999</v>
      </c>
    </row>
    <row r="6" spans="1:32" x14ac:dyDescent="0.25">
      <c r="A6" t="s">
        <v>497</v>
      </c>
      <c r="B6" t="str">
        <f t="shared" si="0"/>
        <v>residential-appliances-electricity (BTU)</v>
      </c>
      <c r="C6" t="s">
        <v>736</v>
      </c>
      <c r="D6" s="93" t="s">
        <v>732</v>
      </c>
      <c r="E6" s="1" t="s">
        <v>11</v>
      </c>
      <c r="F6" s="75">
        <f>INDEX(Table_4._Residential_Sector_Key!$F$8:$AG$125,MATCH($A6,Table_4._Residential_Sector_Key!$B$8:$B$125,0),MATCH(F$1,Table_4._Residential_Sector_Key!$F$5:$AG$5,0))</f>
        <v>0.35147899999999999</v>
      </c>
      <c r="G6">
        <f>INDEX(Table_4._Residential_Sector_Key!$F$8:$AG$125,MATCH($A6,Table_4._Residential_Sector_Key!$B$8:$B$125,0),MATCH(G$1,Table_4._Residential_Sector_Key!$F$5:$AG$5,0))</f>
        <v>0.34973700000000002</v>
      </c>
      <c r="H6">
        <f>INDEX(Table_4._Residential_Sector_Key!$F$8:$AG$125,MATCH($A6,Table_4._Residential_Sector_Key!$B$8:$B$125,0),MATCH(H$1,Table_4._Residential_Sector_Key!$F$5:$AG$5,0))</f>
        <v>0.34897</v>
      </c>
      <c r="I6">
        <f>INDEX(Table_4._Residential_Sector_Key!$F$8:$AG$125,MATCH($A6,Table_4._Residential_Sector_Key!$B$8:$B$125,0),MATCH(I$1,Table_4._Residential_Sector_Key!$F$5:$AG$5,0))</f>
        <v>0.34811799999999998</v>
      </c>
      <c r="J6">
        <f>INDEX(Table_4._Residential_Sector_Key!$F$8:$AG$125,MATCH($A6,Table_4._Residential_Sector_Key!$B$8:$B$125,0),MATCH(J$1,Table_4._Residential_Sector_Key!$F$5:$AG$5,0))</f>
        <v>0.34716799999999998</v>
      </c>
      <c r="K6">
        <f>INDEX(Table_4._Residential_Sector_Key!$F$8:$AG$125,MATCH($A6,Table_4._Residential_Sector_Key!$B$8:$B$125,0),MATCH(K$1,Table_4._Residential_Sector_Key!$F$5:$AG$5,0))</f>
        <v>0.34654499999999999</v>
      </c>
      <c r="L6">
        <f>INDEX(Table_4._Residential_Sector_Key!$F$8:$AG$125,MATCH($A6,Table_4._Residential_Sector_Key!$B$8:$B$125,0),MATCH(L$1,Table_4._Residential_Sector_Key!$F$5:$AG$5,0))</f>
        <v>0.34371699999999999</v>
      </c>
      <c r="M6">
        <f>INDEX(Table_4._Residential_Sector_Key!$F$8:$AG$125,MATCH($A6,Table_4._Residential_Sector_Key!$B$8:$B$125,0),MATCH(M$1,Table_4._Residential_Sector_Key!$F$5:$AG$5,0))</f>
        <v>0.34114699999999998</v>
      </c>
      <c r="N6">
        <f>INDEX(Table_4._Residential_Sector_Key!$F$8:$AG$125,MATCH($A6,Table_4._Residential_Sector_Key!$B$8:$B$125,0),MATCH(N$1,Table_4._Residential_Sector_Key!$F$5:$AG$5,0))</f>
        <v>0.33881600000000001</v>
      </c>
      <c r="O6">
        <f>INDEX(Table_4._Residential_Sector_Key!$F$8:$AG$125,MATCH($A6,Table_4._Residential_Sector_Key!$B$8:$B$125,0),MATCH(O$1,Table_4._Residential_Sector_Key!$F$5:$AG$5,0))</f>
        <v>0.33663500000000002</v>
      </c>
      <c r="P6">
        <f>INDEX(Table_4._Residential_Sector_Key!$F$8:$AG$125,MATCH($A6,Table_4._Residential_Sector_Key!$B$8:$B$125,0),MATCH(P$1,Table_4._Residential_Sector_Key!$F$5:$AG$5,0))</f>
        <v>0.33458100000000002</v>
      </c>
      <c r="Q6">
        <f>INDEX(Table_4._Residential_Sector_Key!$F$8:$AG$125,MATCH($A6,Table_4._Residential_Sector_Key!$B$8:$B$125,0),MATCH(Q$1,Table_4._Residential_Sector_Key!$F$5:$AG$5,0))</f>
        <v>0.33278200000000002</v>
      </c>
      <c r="R6">
        <f>INDEX(Table_4._Residential_Sector_Key!$F$8:$AG$125,MATCH($A6,Table_4._Residential_Sector_Key!$B$8:$B$125,0),MATCH(R$1,Table_4._Residential_Sector_Key!$F$5:$AG$5,0))</f>
        <v>0.33139600000000002</v>
      </c>
      <c r="S6">
        <f>INDEX(Table_4._Residential_Sector_Key!$F$8:$AG$125,MATCH($A6,Table_4._Residential_Sector_Key!$B$8:$B$125,0),MATCH(S$1,Table_4._Residential_Sector_Key!$F$5:$AG$5,0))</f>
        <v>0.33041399999999999</v>
      </c>
      <c r="T6">
        <f>INDEX(Table_4._Residential_Sector_Key!$F$8:$AG$125,MATCH($A6,Table_4._Residential_Sector_Key!$B$8:$B$125,0),MATCH(T$1,Table_4._Residential_Sector_Key!$F$5:$AG$5,0))</f>
        <v>0.32984999999999998</v>
      </c>
      <c r="U6">
        <f>INDEX(Table_4._Residential_Sector_Key!$F$8:$AG$125,MATCH($A6,Table_4._Residential_Sector_Key!$B$8:$B$125,0),MATCH(U$1,Table_4._Residential_Sector_Key!$F$5:$AG$5,0))</f>
        <v>0.32970100000000002</v>
      </c>
      <c r="V6">
        <f>INDEX(Table_4._Residential_Sector_Key!$F$8:$AG$125,MATCH($A6,Table_4._Residential_Sector_Key!$B$8:$B$125,0),MATCH(V$1,Table_4._Residential_Sector_Key!$F$5:$AG$5,0))</f>
        <v>0.32997199999999999</v>
      </c>
      <c r="W6">
        <f>INDEX(Table_4._Residential_Sector_Key!$F$8:$AG$125,MATCH($A6,Table_4._Residential_Sector_Key!$B$8:$B$125,0),MATCH(W$1,Table_4._Residential_Sector_Key!$F$5:$AG$5,0))</f>
        <v>0.33063999999999999</v>
      </c>
      <c r="X6">
        <f>INDEX(Table_4._Residential_Sector_Key!$F$8:$AG$125,MATCH($A6,Table_4._Residential_Sector_Key!$B$8:$B$125,0),MATCH(X$1,Table_4._Residential_Sector_Key!$F$5:$AG$5,0))</f>
        <v>0.331706</v>
      </c>
      <c r="Y6">
        <f>INDEX(Table_4._Residential_Sector_Key!$F$8:$AG$125,MATCH($A6,Table_4._Residential_Sector_Key!$B$8:$B$125,0),MATCH(Y$1,Table_4._Residential_Sector_Key!$F$5:$AG$5,0))</f>
        <v>0.33316699999999999</v>
      </c>
      <c r="Z6">
        <f>INDEX(Table_4._Residential_Sector_Key!$F$8:$AG$125,MATCH($A6,Table_4._Residential_Sector_Key!$B$8:$B$125,0),MATCH(Z$1,Table_4._Residential_Sector_Key!$F$5:$AG$5,0))</f>
        <v>0.335038</v>
      </c>
      <c r="AA6">
        <f>INDEX(Table_4._Residential_Sector_Key!$F$8:$AG$125,MATCH($A6,Table_4._Residential_Sector_Key!$B$8:$B$125,0),MATCH(AA$1,Table_4._Residential_Sector_Key!$F$5:$AG$5,0))</f>
        <v>0.33738899999999999</v>
      </c>
      <c r="AB6">
        <f>INDEX(Table_4._Residential_Sector_Key!$F$8:$AG$125,MATCH($A6,Table_4._Residential_Sector_Key!$B$8:$B$125,0),MATCH(AB$1,Table_4._Residential_Sector_Key!$F$5:$AG$5,0))</f>
        <v>0.34022799999999997</v>
      </c>
      <c r="AC6">
        <f>INDEX(Table_4._Residential_Sector_Key!$F$8:$AG$125,MATCH($A6,Table_4._Residential_Sector_Key!$B$8:$B$125,0),MATCH(AC$1,Table_4._Residential_Sector_Key!$F$5:$AG$5,0))</f>
        <v>0.34354400000000002</v>
      </c>
      <c r="AD6">
        <f>INDEX(Table_4._Residential_Sector_Key!$F$8:$AG$125,MATCH($A6,Table_4._Residential_Sector_Key!$B$8:$B$125,0),MATCH(AD$1,Table_4._Residential_Sector_Key!$F$5:$AG$5,0))</f>
        <v>0.34684700000000002</v>
      </c>
      <c r="AE6">
        <f>INDEX(Table_4._Residential_Sector_Key!$F$8:$AG$125,MATCH($A6,Table_4._Residential_Sector_Key!$B$8:$B$125,0),MATCH(AE$1,Table_4._Residential_Sector_Key!$F$5:$AG$5,0))</f>
        <v>0.35012599999999999</v>
      </c>
      <c r="AF6">
        <f>INDEX(Table_4._Residential_Sector_Key!$F$8:$AG$125,MATCH($A6,Table_4._Residential_Sector_Key!$B$8:$B$125,0),MATCH(AF$1,Table_4._Residential_Sector_Key!$F$5:$AG$5,0))</f>
        <v>0.35335800000000001</v>
      </c>
    </row>
    <row r="7" spans="1:32" x14ac:dyDescent="0.25">
      <c r="A7" t="s">
        <v>495</v>
      </c>
      <c r="B7" t="str">
        <f t="shared" si="0"/>
        <v>residential-appliances-electricity (BTU)</v>
      </c>
      <c r="C7" t="s">
        <v>736</v>
      </c>
      <c r="D7" s="93" t="s">
        <v>732</v>
      </c>
      <c r="E7" s="1" t="s">
        <v>11</v>
      </c>
      <c r="F7" s="75">
        <f>INDEX(Table_4._Residential_Sector_Key!$F$8:$AG$125,MATCH($A7,Table_4._Residential_Sector_Key!$B$8:$B$125,0),MATCH(F$1,Table_4._Residential_Sector_Key!$F$5:$AG$5,0))</f>
        <v>6.7363999999999993E-2</v>
      </c>
      <c r="G7">
        <f>INDEX(Table_4._Residential_Sector_Key!$F$8:$AG$125,MATCH($A7,Table_4._Residential_Sector_Key!$B$8:$B$125,0),MATCH(G$1,Table_4._Residential_Sector_Key!$F$5:$AG$5,0))</f>
        <v>6.7850999999999995E-2</v>
      </c>
      <c r="H7">
        <f>INDEX(Table_4._Residential_Sector_Key!$F$8:$AG$125,MATCH($A7,Table_4._Residential_Sector_Key!$B$8:$B$125,0),MATCH(H$1,Table_4._Residential_Sector_Key!$F$5:$AG$5,0))</f>
        <v>6.8570999999999993E-2</v>
      </c>
      <c r="I7">
        <f>INDEX(Table_4._Residential_Sector_Key!$F$8:$AG$125,MATCH($A7,Table_4._Residential_Sector_Key!$B$8:$B$125,0),MATCH(I$1,Table_4._Residential_Sector_Key!$F$5:$AG$5,0))</f>
        <v>6.9303000000000003E-2</v>
      </c>
      <c r="J7">
        <f>INDEX(Table_4._Residential_Sector_Key!$F$8:$AG$125,MATCH($A7,Table_4._Residential_Sector_Key!$B$8:$B$125,0),MATCH(J$1,Table_4._Residential_Sector_Key!$F$5:$AG$5,0))</f>
        <v>7.0040000000000005E-2</v>
      </c>
      <c r="K7">
        <f>INDEX(Table_4._Residential_Sector_Key!$F$8:$AG$125,MATCH($A7,Table_4._Residential_Sector_Key!$B$8:$B$125,0),MATCH(K$1,Table_4._Residential_Sector_Key!$F$5:$AG$5,0))</f>
        <v>7.0796999999999999E-2</v>
      </c>
      <c r="L7">
        <f>INDEX(Table_4._Residential_Sector_Key!$F$8:$AG$125,MATCH($A7,Table_4._Residential_Sector_Key!$B$8:$B$125,0),MATCH(L$1,Table_4._Residential_Sector_Key!$F$5:$AG$5,0))</f>
        <v>7.1554000000000006E-2</v>
      </c>
      <c r="M7">
        <f>INDEX(Table_4._Residential_Sector_Key!$F$8:$AG$125,MATCH($A7,Table_4._Residential_Sector_Key!$B$8:$B$125,0),MATCH(M$1,Table_4._Residential_Sector_Key!$F$5:$AG$5,0))</f>
        <v>7.2311E-2</v>
      </c>
      <c r="N7">
        <f>INDEX(Table_4._Residential_Sector_Key!$F$8:$AG$125,MATCH($A7,Table_4._Residential_Sector_Key!$B$8:$B$125,0),MATCH(N$1,Table_4._Residential_Sector_Key!$F$5:$AG$5,0))</f>
        <v>7.306E-2</v>
      </c>
      <c r="O7">
        <f>INDEX(Table_4._Residential_Sector_Key!$F$8:$AG$125,MATCH($A7,Table_4._Residential_Sector_Key!$B$8:$B$125,0),MATCH(O$1,Table_4._Residential_Sector_Key!$F$5:$AG$5,0))</f>
        <v>7.3777999999999996E-2</v>
      </c>
      <c r="P7">
        <f>INDEX(Table_4._Residential_Sector_Key!$F$8:$AG$125,MATCH($A7,Table_4._Residential_Sector_Key!$B$8:$B$125,0),MATCH(P$1,Table_4._Residential_Sector_Key!$F$5:$AG$5,0))</f>
        <v>7.4458999999999997E-2</v>
      </c>
      <c r="Q7">
        <f>INDEX(Table_4._Residential_Sector_Key!$F$8:$AG$125,MATCH($A7,Table_4._Residential_Sector_Key!$B$8:$B$125,0),MATCH(Q$1,Table_4._Residential_Sector_Key!$F$5:$AG$5,0))</f>
        <v>7.5122999999999995E-2</v>
      </c>
      <c r="R7">
        <f>INDEX(Table_4._Residential_Sector_Key!$F$8:$AG$125,MATCH($A7,Table_4._Residential_Sector_Key!$B$8:$B$125,0),MATCH(R$1,Table_4._Residential_Sector_Key!$F$5:$AG$5,0))</f>
        <v>7.5763999999999998E-2</v>
      </c>
      <c r="S7">
        <f>INDEX(Table_4._Residential_Sector_Key!$F$8:$AG$125,MATCH($A7,Table_4._Residential_Sector_Key!$B$8:$B$125,0),MATCH(S$1,Table_4._Residential_Sector_Key!$F$5:$AG$5,0))</f>
        <v>7.6366000000000003E-2</v>
      </c>
      <c r="T7">
        <f>INDEX(Table_4._Residential_Sector_Key!$F$8:$AG$125,MATCH($A7,Table_4._Residential_Sector_Key!$B$8:$B$125,0),MATCH(T$1,Table_4._Residential_Sector_Key!$F$5:$AG$5,0))</f>
        <v>7.6925999999999994E-2</v>
      </c>
      <c r="U7">
        <f>INDEX(Table_4._Residential_Sector_Key!$F$8:$AG$125,MATCH($A7,Table_4._Residential_Sector_Key!$B$8:$B$125,0),MATCH(U$1,Table_4._Residential_Sector_Key!$F$5:$AG$5,0))</f>
        <v>7.7442999999999998E-2</v>
      </c>
      <c r="V7">
        <f>INDEX(Table_4._Residential_Sector_Key!$F$8:$AG$125,MATCH($A7,Table_4._Residential_Sector_Key!$B$8:$B$125,0),MATCH(V$1,Table_4._Residential_Sector_Key!$F$5:$AG$5,0))</f>
        <v>7.7924999999999994E-2</v>
      </c>
      <c r="W7">
        <f>INDEX(Table_4._Residential_Sector_Key!$F$8:$AG$125,MATCH($A7,Table_4._Residential_Sector_Key!$B$8:$B$125,0),MATCH(W$1,Table_4._Residential_Sector_Key!$F$5:$AG$5,0))</f>
        <v>7.8368999999999994E-2</v>
      </c>
      <c r="X7">
        <f>INDEX(Table_4._Residential_Sector_Key!$F$8:$AG$125,MATCH($A7,Table_4._Residential_Sector_Key!$B$8:$B$125,0),MATCH(X$1,Table_4._Residential_Sector_Key!$F$5:$AG$5,0))</f>
        <v>7.8784999999999994E-2</v>
      </c>
      <c r="Y7">
        <f>INDEX(Table_4._Residential_Sector_Key!$F$8:$AG$125,MATCH($A7,Table_4._Residential_Sector_Key!$B$8:$B$125,0),MATCH(Y$1,Table_4._Residential_Sector_Key!$F$5:$AG$5,0))</f>
        <v>7.9175999999999996E-2</v>
      </c>
      <c r="Z7">
        <f>INDEX(Table_4._Residential_Sector_Key!$F$8:$AG$125,MATCH($A7,Table_4._Residential_Sector_Key!$B$8:$B$125,0),MATCH(Z$1,Table_4._Residential_Sector_Key!$F$5:$AG$5,0))</f>
        <v>7.9552999999999999E-2</v>
      </c>
      <c r="AA7">
        <f>INDEX(Table_4._Residential_Sector_Key!$F$8:$AG$125,MATCH($A7,Table_4._Residential_Sector_Key!$B$8:$B$125,0),MATCH(AA$1,Table_4._Residential_Sector_Key!$F$5:$AG$5,0))</f>
        <v>7.9922999999999994E-2</v>
      </c>
      <c r="AB7">
        <f>INDEX(Table_4._Residential_Sector_Key!$F$8:$AG$125,MATCH($A7,Table_4._Residential_Sector_Key!$B$8:$B$125,0),MATCH(AB$1,Table_4._Residential_Sector_Key!$F$5:$AG$5,0))</f>
        <v>8.0283999999999994E-2</v>
      </c>
      <c r="AC7">
        <f>INDEX(Table_4._Residential_Sector_Key!$F$8:$AG$125,MATCH($A7,Table_4._Residential_Sector_Key!$B$8:$B$125,0),MATCH(AC$1,Table_4._Residential_Sector_Key!$F$5:$AG$5,0))</f>
        <v>8.0637E-2</v>
      </c>
      <c r="AD7">
        <f>INDEX(Table_4._Residential_Sector_Key!$F$8:$AG$125,MATCH($A7,Table_4._Residential_Sector_Key!$B$8:$B$125,0),MATCH(AD$1,Table_4._Residential_Sector_Key!$F$5:$AG$5,0))</f>
        <v>8.0981999999999998E-2</v>
      </c>
      <c r="AE7">
        <f>INDEX(Table_4._Residential_Sector_Key!$F$8:$AG$125,MATCH($A7,Table_4._Residential_Sector_Key!$B$8:$B$125,0),MATCH(AE$1,Table_4._Residential_Sector_Key!$F$5:$AG$5,0))</f>
        <v>8.1315999999999999E-2</v>
      </c>
      <c r="AF7">
        <f>INDEX(Table_4._Residential_Sector_Key!$F$8:$AG$125,MATCH($A7,Table_4._Residential_Sector_Key!$B$8:$B$125,0),MATCH(AF$1,Table_4._Residential_Sector_Key!$F$5:$AG$5,0))</f>
        <v>8.1638000000000002E-2</v>
      </c>
    </row>
    <row r="8" spans="1:32" x14ac:dyDescent="0.25">
      <c r="A8" t="s">
        <v>493</v>
      </c>
      <c r="B8" t="str">
        <f t="shared" si="0"/>
        <v>residential-appliances-electricity (BTU)</v>
      </c>
      <c r="C8" t="s">
        <v>736</v>
      </c>
      <c r="D8" s="93" t="s">
        <v>732</v>
      </c>
      <c r="E8" s="1" t="s">
        <v>11</v>
      </c>
      <c r="F8" s="75">
        <f>INDEX(Table_4._Residential_Sector_Key!$F$8:$AG$125,MATCH($A8,Table_4._Residential_Sector_Key!$B$8:$B$125,0),MATCH(F$1,Table_4._Residential_Sector_Key!$F$5:$AG$5,0))</f>
        <v>0.19181200000000001</v>
      </c>
      <c r="G8">
        <f>INDEX(Table_4._Residential_Sector_Key!$F$8:$AG$125,MATCH($A8,Table_4._Residential_Sector_Key!$B$8:$B$125,0),MATCH(G$1,Table_4._Residential_Sector_Key!$F$5:$AG$5,0))</f>
        <v>0.193075</v>
      </c>
      <c r="H8">
        <f>INDEX(Table_4._Residential_Sector_Key!$F$8:$AG$125,MATCH($A8,Table_4._Residential_Sector_Key!$B$8:$B$125,0),MATCH(H$1,Table_4._Residential_Sector_Key!$F$5:$AG$5,0))</f>
        <v>0.196545</v>
      </c>
      <c r="I8">
        <f>INDEX(Table_4._Residential_Sector_Key!$F$8:$AG$125,MATCH($A8,Table_4._Residential_Sector_Key!$B$8:$B$125,0),MATCH(I$1,Table_4._Residential_Sector_Key!$F$5:$AG$5,0))</f>
        <v>0.20085500000000001</v>
      </c>
      <c r="J8">
        <f>INDEX(Table_4._Residential_Sector_Key!$F$8:$AG$125,MATCH($A8,Table_4._Residential_Sector_Key!$B$8:$B$125,0),MATCH(J$1,Table_4._Residential_Sector_Key!$F$5:$AG$5,0))</f>
        <v>0.20406099999999999</v>
      </c>
      <c r="K8">
        <f>INDEX(Table_4._Residential_Sector_Key!$F$8:$AG$125,MATCH($A8,Table_4._Residential_Sector_Key!$B$8:$B$125,0),MATCH(K$1,Table_4._Residential_Sector_Key!$F$5:$AG$5,0))</f>
        <v>0.20566999999999999</v>
      </c>
      <c r="L8">
        <f>INDEX(Table_4._Residential_Sector_Key!$F$8:$AG$125,MATCH($A8,Table_4._Residential_Sector_Key!$B$8:$B$125,0),MATCH(L$1,Table_4._Residential_Sector_Key!$F$5:$AG$5,0))</f>
        <v>0.206345</v>
      </c>
      <c r="M8">
        <f>INDEX(Table_4._Residential_Sector_Key!$F$8:$AG$125,MATCH($A8,Table_4._Residential_Sector_Key!$B$8:$B$125,0),MATCH(M$1,Table_4._Residential_Sector_Key!$F$5:$AG$5,0))</f>
        <v>0.20625499999999999</v>
      </c>
      <c r="N8">
        <f>INDEX(Table_4._Residential_Sector_Key!$F$8:$AG$125,MATCH($A8,Table_4._Residential_Sector_Key!$B$8:$B$125,0),MATCH(N$1,Table_4._Residential_Sector_Key!$F$5:$AG$5,0))</f>
        <v>0.20580799999999999</v>
      </c>
      <c r="O8">
        <f>INDEX(Table_4._Residential_Sector_Key!$F$8:$AG$125,MATCH($A8,Table_4._Residential_Sector_Key!$B$8:$B$125,0),MATCH(O$1,Table_4._Residential_Sector_Key!$F$5:$AG$5,0))</f>
        <v>0.20528399999999999</v>
      </c>
      <c r="P8">
        <f>INDEX(Table_4._Residential_Sector_Key!$F$8:$AG$125,MATCH($A8,Table_4._Residential_Sector_Key!$B$8:$B$125,0),MATCH(P$1,Table_4._Residential_Sector_Key!$F$5:$AG$5,0))</f>
        <v>0.20527599999999999</v>
      </c>
      <c r="Q8">
        <f>INDEX(Table_4._Residential_Sector_Key!$F$8:$AG$125,MATCH($A8,Table_4._Residential_Sector_Key!$B$8:$B$125,0),MATCH(Q$1,Table_4._Residential_Sector_Key!$F$5:$AG$5,0))</f>
        <v>0.206284</v>
      </c>
      <c r="R8">
        <f>INDEX(Table_4._Residential_Sector_Key!$F$8:$AG$125,MATCH($A8,Table_4._Residential_Sector_Key!$B$8:$B$125,0),MATCH(R$1,Table_4._Residential_Sector_Key!$F$5:$AG$5,0))</f>
        <v>0.20827799999999999</v>
      </c>
      <c r="S8">
        <f>INDEX(Table_4._Residential_Sector_Key!$F$8:$AG$125,MATCH($A8,Table_4._Residential_Sector_Key!$B$8:$B$125,0),MATCH(S$1,Table_4._Residential_Sector_Key!$F$5:$AG$5,0))</f>
        <v>0.210919</v>
      </c>
      <c r="T8">
        <f>INDEX(Table_4._Residential_Sector_Key!$F$8:$AG$125,MATCH($A8,Table_4._Residential_Sector_Key!$B$8:$B$125,0),MATCH(T$1,Table_4._Residential_Sector_Key!$F$5:$AG$5,0))</f>
        <v>0.213722</v>
      </c>
      <c r="U8">
        <f>INDEX(Table_4._Residential_Sector_Key!$F$8:$AG$125,MATCH($A8,Table_4._Residential_Sector_Key!$B$8:$B$125,0),MATCH(U$1,Table_4._Residential_Sector_Key!$F$5:$AG$5,0))</f>
        <v>0.21692400000000001</v>
      </c>
      <c r="V8">
        <f>INDEX(Table_4._Residential_Sector_Key!$F$8:$AG$125,MATCH($A8,Table_4._Residential_Sector_Key!$B$8:$B$125,0),MATCH(V$1,Table_4._Residential_Sector_Key!$F$5:$AG$5,0))</f>
        <v>0.220611</v>
      </c>
      <c r="W8">
        <f>INDEX(Table_4._Residential_Sector_Key!$F$8:$AG$125,MATCH($A8,Table_4._Residential_Sector_Key!$B$8:$B$125,0),MATCH(W$1,Table_4._Residential_Sector_Key!$F$5:$AG$5,0))</f>
        <v>0.22467400000000001</v>
      </c>
      <c r="X8">
        <f>INDEX(Table_4._Residential_Sector_Key!$F$8:$AG$125,MATCH($A8,Table_4._Residential_Sector_Key!$B$8:$B$125,0),MATCH(X$1,Table_4._Residential_Sector_Key!$F$5:$AG$5,0))</f>
        <v>0.228576</v>
      </c>
      <c r="Y8">
        <f>INDEX(Table_4._Residential_Sector_Key!$F$8:$AG$125,MATCH($A8,Table_4._Residential_Sector_Key!$B$8:$B$125,0),MATCH(Y$1,Table_4._Residential_Sector_Key!$F$5:$AG$5,0))</f>
        <v>0.23238600000000001</v>
      </c>
      <c r="Z8">
        <f>INDEX(Table_4._Residential_Sector_Key!$F$8:$AG$125,MATCH($A8,Table_4._Residential_Sector_Key!$B$8:$B$125,0),MATCH(Z$1,Table_4._Residential_Sector_Key!$F$5:$AG$5,0))</f>
        <v>0.23596700000000001</v>
      </c>
      <c r="AA8">
        <f>INDEX(Table_4._Residential_Sector_Key!$F$8:$AG$125,MATCH($A8,Table_4._Residential_Sector_Key!$B$8:$B$125,0),MATCH(AA$1,Table_4._Residential_Sector_Key!$F$5:$AG$5,0))</f>
        <v>0.23933199999999999</v>
      </c>
      <c r="AB8">
        <f>INDEX(Table_4._Residential_Sector_Key!$F$8:$AG$125,MATCH($A8,Table_4._Residential_Sector_Key!$B$8:$B$125,0),MATCH(AB$1,Table_4._Residential_Sector_Key!$F$5:$AG$5,0))</f>
        <v>0.242476</v>
      </c>
      <c r="AC8">
        <f>INDEX(Table_4._Residential_Sector_Key!$F$8:$AG$125,MATCH($A8,Table_4._Residential_Sector_Key!$B$8:$B$125,0),MATCH(AC$1,Table_4._Residential_Sector_Key!$F$5:$AG$5,0))</f>
        <v>0.24541399999999999</v>
      </c>
      <c r="AD8">
        <f>INDEX(Table_4._Residential_Sector_Key!$F$8:$AG$125,MATCH($A8,Table_4._Residential_Sector_Key!$B$8:$B$125,0),MATCH(AD$1,Table_4._Residential_Sector_Key!$F$5:$AG$5,0))</f>
        <v>0.24823500000000001</v>
      </c>
      <c r="AE8">
        <f>INDEX(Table_4._Residential_Sector_Key!$F$8:$AG$125,MATCH($A8,Table_4._Residential_Sector_Key!$B$8:$B$125,0),MATCH(AE$1,Table_4._Residential_Sector_Key!$F$5:$AG$5,0))</f>
        <v>0.25097700000000001</v>
      </c>
      <c r="AF8">
        <f>INDEX(Table_4._Residential_Sector_Key!$F$8:$AG$125,MATCH($A8,Table_4._Residential_Sector_Key!$B$8:$B$125,0),MATCH(AF$1,Table_4._Residential_Sector_Key!$F$5:$AG$5,0))</f>
        <v>0.25355899999999998</v>
      </c>
    </row>
    <row r="9" spans="1:32" x14ac:dyDescent="0.25">
      <c r="A9" t="s">
        <v>491</v>
      </c>
      <c r="B9" t="str">
        <f t="shared" si="0"/>
        <v>residential-appliances-electricity (BTU)</v>
      </c>
      <c r="C9" t="s">
        <v>736</v>
      </c>
      <c r="D9" s="93" t="s">
        <v>732</v>
      </c>
      <c r="E9" s="1" t="s">
        <v>11</v>
      </c>
      <c r="F9" s="75">
        <f>INDEX(Table_4._Residential_Sector_Key!$F$8:$AG$125,MATCH($A9,Table_4._Residential_Sector_Key!$B$8:$B$125,0),MATCH(F$1,Table_4._Residential_Sector_Key!$F$5:$AG$5,0))</f>
        <v>7.9547999999999994E-2</v>
      </c>
      <c r="G9">
        <f>INDEX(Table_4._Residential_Sector_Key!$F$8:$AG$125,MATCH($A9,Table_4._Residential_Sector_Key!$B$8:$B$125,0),MATCH(G$1,Table_4._Residential_Sector_Key!$F$5:$AG$5,0))</f>
        <v>7.9316999999999999E-2</v>
      </c>
      <c r="H9">
        <f>INDEX(Table_4._Residential_Sector_Key!$F$8:$AG$125,MATCH($A9,Table_4._Residential_Sector_Key!$B$8:$B$125,0),MATCH(H$1,Table_4._Residential_Sector_Key!$F$5:$AG$5,0))</f>
        <v>7.9323000000000005E-2</v>
      </c>
      <c r="I9">
        <f>INDEX(Table_4._Residential_Sector_Key!$F$8:$AG$125,MATCH($A9,Table_4._Residential_Sector_Key!$B$8:$B$125,0),MATCH(I$1,Table_4._Residential_Sector_Key!$F$5:$AG$5,0))</f>
        <v>7.9324000000000006E-2</v>
      </c>
      <c r="J9">
        <f>INDEX(Table_4._Residential_Sector_Key!$F$8:$AG$125,MATCH($A9,Table_4._Residential_Sector_Key!$B$8:$B$125,0),MATCH(J$1,Table_4._Residential_Sector_Key!$F$5:$AG$5,0))</f>
        <v>7.9286999999999996E-2</v>
      </c>
      <c r="K9">
        <f>INDEX(Table_4._Residential_Sector_Key!$F$8:$AG$125,MATCH($A9,Table_4._Residential_Sector_Key!$B$8:$B$125,0),MATCH(K$1,Table_4._Residential_Sector_Key!$F$5:$AG$5,0))</f>
        <v>7.9225000000000004E-2</v>
      </c>
      <c r="L9">
        <f>INDEX(Table_4._Residential_Sector_Key!$F$8:$AG$125,MATCH($A9,Table_4._Residential_Sector_Key!$B$8:$B$125,0),MATCH(L$1,Table_4._Residential_Sector_Key!$F$5:$AG$5,0))</f>
        <v>7.8759999999999997E-2</v>
      </c>
      <c r="M9">
        <f>INDEX(Table_4._Residential_Sector_Key!$F$8:$AG$125,MATCH($A9,Table_4._Residential_Sector_Key!$B$8:$B$125,0),MATCH(M$1,Table_4._Residential_Sector_Key!$F$5:$AG$5,0))</f>
        <v>7.8244999999999995E-2</v>
      </c>
      <c r="N9">
        <f>INDEX(Table_4._Residential_Sector_Key!$F$8:$AG$125,MATCH($A9,Table_4._Residential_Sector_Key!$B$8:$B$125,0),MATCH(N$1,Table_4._Residential_Sector_Key!$F$5:$AG$5,0))</f>
        <v>7.7689999999999995E-2</v>
      </c>
      <c r="O9">
        <f>INDEX(Table_4._Residential_Sector_Key!$F$8:$AG$125,MATCH($A9,Table_4._Residential_Sector_Key!$B$8:$B$125,0),MATCH(O$1,Table_4._Residential_Sector_Key!$F$5:$AG$5,0))</f>
        <v>7.7148999999999995E-2</v>
      </c>
      <c r="P9">
        <f>INDEX(Table_4._Residential_Sector_Key!$F$8:$AG$125,MATCH($A9,Table_4._Residential_Sector_Key!$B$8:$B$125,0),MATCH(P$1,Table_4._Residential_Sector_Key!$F$5:$AG$5,0))</f>
        <v>7.6617000000000005E-2</v>
      </c>
      <c r="Q9">
        <f>INDEX(Table_4._Residential_Sector_Key!$F$8:$AG$125,MATCH($A9,Table_4._Residential_Sector_Key!$B$8:$B$125,0),MATCH(Q$1,Table_4._Residential_Sector_Key!$F$5:$AG$5,0))</f>
        <v>7.6115000000000002E-2</v>
      </c>
      <c r="R9">
        <f>INDEX(Table_4._Residential_Sector_Key!$F$8:$AG$125,MATCH($A9,Table_4._Residential_Sector_Key!$B$8:$B$125,0),MATCH(R$1,Table_4._Residential_Sector_Key!$F$5:$AG$5,0))</f>
        <v>7.5637999999999997E-2</v>
      </c>
      <c r="S9">
        <f>INDEX(Table_4._Residential_Sector_Key!$F$8:$AG$125,MATCH($A9,Table_4._Residential_Sector_Key!$B$8:$B$125,0),MATCH(S$1,Table_4._Residential_Sector_Key!$F$5:$AG$5,0))</f>
        <v>7.5175000000000006E-2</v>
      </c>
      <c r="T9">
        <f>INDEX(Table_4._Residential_Sector_Key!$F$8:$AG$125,MATCH($A9,Table_4._Residential_Sector_Key!$B$8:$B$125,0),MATCH(T$1,Table_4._Residential_Sector_Key!$F$5:$AG$5,0))</f>
        <v>7.4735999999999997E-2</v>
      </c>
      <c r="U9">
        <f>INDEX(Table_4._Residential_Sector_Key!$F$8:$AG$125,MATCH($A9,Table_4._Residential_Sector_Key!$B$8:$B$125,0),MATCH(U$1,Table_4._Residential_Sector_Key!$F$5:$AG$5,0))</f>
        <v>7.4319999999999997E-2</v>
      </c>
      <c r="V9">
        <f>INDEX(Table_4._Residential_Sector_Key!$F$8:$AG$125,MATCH($A9,Table_4._Residential_Sector_Key!$B$8:$B$125,0),MATCH(V$1,Table_4._Residential_Sector_Key!$F$5:$AG$5,0))</f>
        <v>7.3931999999999998E-2</v>
      </c>
      <c r="W9">
        <f>INDEX(Table_4._Residential_Sector_Key!$F$8:$AG$125,MATCH($A9,Table_4._Residential_Sector_Key!$B$8:$B$125,0),MATCH(W$1,Table_4._Residential_Sector_Key!$F$5:$AG$5,0))</f>
        <v>7.3580999999999994E-2</v>
      </c>
      <c r="X9">
        <f>INDEX(Table_4._Residential_Sector_Key!$F$8:$AG$125,MATCH($A9,Table_4._Residential_Sector_Key!$B$8:$B$125,0),MATCH(X$1,Table_4._Residential_Sector_Key!$F$5:$AG$5,0))</f>
        <v>7.3268E-2</v>
      </c>
      <c r="Y9">
        <f>INDEX(Table_4._Residential_Sector_Key!$F$8:$AG$125,MATCH($A9,Table_4._Residential_Sector_Key!$B$8:$B$125,0),MATCH(Y$1,Table_4._Residential_Sector_Key!$F$5:$AG$5,0))</f>
        <v>7.2993000000000002E-2</v>
      </c>
      <c r="Z9">
        <f>INDEX(Table_4._Residential_Sector_Key!$F$8:$AG$125,MATCH($A9,Table_4._Residential_Sector_Key!$B$8:$B$125,0),MATCH(Z$1,Table_4._Residential_Sector_Key!$F$5:$AG$5,0))</f>
        <v>7.2761000000000006E-2</v>
      </c>
      <c r="AA9">
        <f>INDEX(Table_4._Residential_Sector_Key!$F$8:$AG$125,MATCH($A9,Table_4._Residential_Sector_Key!$B$8:$B$125,0),MATCH(AA$1,Table_4._Residential_Sector_Key!$F$5:$AG$5,0))</f>
        <v>7.2581999999999994E-2</v>
      </c>
      <c r="AB9">
        <f>INDEX(Table_4._Residential_Sector_Key!$F$8:$AG$125,MATCH($A9,Table_4._Residential_Sector_Key!$B$8:$B$125,0),MATCH(AB$1,Table_4._Residential_Sector_Key!$F$5:$AG$5,0))</f>
        <v>7.2468000000000005E-2</v>
      </c>
      <c r="AC9">
        <f>INDEX(Table_4._Residential_Sector_Key!$F$8:$AG$125,MATCH($A9,Table_4._Residential_Sector_Key!$B$8:$B$125,0),MATCH(AC$1,Table_4._Residential_Sector_Key!$F$5:$AG$5,0))</f>
        <v>7.2414999999999993E-2</v>
      </c>
      <c r="AD9">
        <f>INDEX(Table_4._Residential_Sector_Key!$F$8:$AG$125,MATCH($A9,Table_4._Residential_Sector_Key!$B$8:$B$125,0),MATCH(AD$1,Table_4._Residential_Sector_Key!$F$5:$AG$5,0))</f>
        <v>7.2434999999999999E-2</v>
      </c>
      <c r="AE9">
        <f>INDEX(Table_4._Residential_Sector_Key!$F$8:$AG$125,MATCH($A9,Table_4._Residential_Sector_Key!$B$8:$B$125,0),MATCH(AE$1,Table_4._Residential_Sector_Key!$F$5:$AG$5,0))</f>
        <v>7.2536000000000003E-2</v>
      </c>
      <c r="AF9">
        <f>INDEX(Table_4._Residential_Sector_Key!$F$8:$AG$125,MATCH($A9,Table_4._Residential_Sector_Key!$B$8:$B$125,0),MATCH(AF$1,Table_4._Residential_Sector_Key!$F$5:$AG$5,0))</f>
        <v>7.2717000000000004E-2</v>
      </c>
    </row>
    <row r="10" spans="1:32" x14ac:dyDescent="0.25">
      <c r="A10" t="s">
        <v>489</v>
      </c>
      <c r="B10" t="str">
        <f t="shared" si="0"/>
        <v>residential-lighting-electricity (BTU)</v>
      </c>
      <c r="C10" t="s">
        <v>736</v>
      </c>
      <c r="D10" s="93" t="s">
        <v>733</v>
      </c>
      <c r="E10" s="1" t="s">
        <v>11</v>
      </c>
      <c r="F10" s="75">
        <f>INDEX(Table_4._Residential_Sector_Key!$F$8:$AG$125,MATCH($A10,Table_4._Residential_Sector_Key!$B$8:$B$125,0),MATCH(F$1,Table_4._Residential_Sector_Key!$F$5:$AG$5,0))</f>
        <v>0.18737100000000001</v>
      </c>
      <c r="G10">
        <f>INDEX(Table_4._Residential_Sector_Key!$F$8:$AG$125,MATCH($A10,Table_4._Residential_Sector_Key!$B$8:$B$125,0),MATCH(G$1,Table_4._Residential_Sector_Key!$F$5:$AG$5,0))</f>
        <v>0.18539</v>
      </c>
      <c r="H10">
        <f>INDEX(Table_4._Residential_Sector_Key!$F$8:$AG$125,MATCH($A10,Table_4._Residential_Sector_Key!$B$8:$B$125,0),MATCH(H$1,Table_4._Residential_Sector_Key!$F$5:$AG$5,0))</f>
        <v>0.18696399999999999</v>
      </c>
      <c r="I10">
        <f>INDEX(Table_4._Residential_Sector_Key!$F$8:$AG$125,MATCH($A10,Table_4._Residential_Sector_Key!$B$8:$B$125,0),MATCH(I$1,Table_4._Residential_Sector_Key!$F$5:$AG$5,0))</f>
        <v>0.190632</v>
      </c>
      <c r="J10">
        <f>INDEX(Table_4._Residential_Sector_Key!$F$8:$AG$125,MATCH($A10,Table_4._Residential_Sector_Key!$B$8:$B$125,0),MATCH(J$1,Table_4._Residential_Sector_Key!$F$5:$AG$5,0))</f>
        <v>0.19372700000000001</v>
      </c>
      <c r="K10">
        <f>INDEX(Table_4._Residential_Sector_Key!$F$8:$AG$125,MATCH($A10,Table_4._Residential_Sector_Key!$B$8:$B$125,0),MATCH(K$1,Table_4._Residential_Sector_Key!$F$5:$AG$5,0))</f>
        <v>0.195604</v>
      </c>
      <c r="L10">
        <f>INDEX(Table_4._Residential_Sector_Key!$F$8:$AG$125,MATCH($A10,Table_4._Residential_Sector_Key!$B$8:$B$125,0),MATCH(L$1,Table_4._Residential_Sector_Key!$F$5:$AG$5,0))</f>
        <v>0.19516600000000001</v>
      </c>
      <c r="M10">
        <f>INDEX(Table_4._Residential_Sector_Key!$F$8:$AG$125,MATCH($A10,Table_4._Residential_Sector_Key!$B$8:$B$125,0),MATCH(M$1,Table_4._Residential_Sector_Key!$F$5:$AG$5,0))</f>
        <v>0.19453100000000001</v>
      </c>
      <c r="N10">
        <f>INDEX(Table_4._Residential_Sector_Key!$F$8:$AG$125,MATCH($A10,Table_4._Residential_Sector_Key!$B$8:$B$125,0),MATCH(N$1,Table_4._Residential_Sector_Key!$F$5:$AG$5,0))</f>
        <v>0.19431999999999999</v>
      </c>
      <c r="O10">
        <f>INDEX(Table_4._Residential_Sector_Key!$F$8:$AG$125,MATCH($A10,Table_4._Residential_Sector_Key!$B$8:$B$125,0),MATCH(O$1,Table_4._Residential_Sector_Key!$F$5:$AG$5,0))</f>
        <v>0.19414899999999999</v>
      </c>
      <c r="P10">
        <f>INDEX(Table_4._Residential_Sector_Key!$F$8:$AG$125,MATCH($A10,Table_4._Residential_Sector_Key!$B$8:$B$125,0),MATCH(P$1,Table_4._Residential_Sector_Key!$F$5:$AG$5,0))</f>
        <v>0.19440399999999999</v>
      </c>
      <c r="Q10">
        <f>INDEX(Table_4._Residential_Sector_Key!$F$8:$AG$125,MATCH($A10,Table_4._Residential_Sector_Key!$B$8:$B$125,0),MATCH(Q$1,Table_4._Residential_Sector_Key!$F$5:$AG$5,0))</f>
        <v>0.19527800000000001</v>
      </c>
      <c r="R10">
        <f>INDEX(Table_4._Residential_Sector_Key!$F$8:$AG$125,MATCH($A10,Table_4._Residential_Sector_Key!$B$8:$B$125,0),MATCH(R$1,Table_4._Residential_Sector_Key!$F$5:$AG$5,0))</f>
        <v>0.196599</v>
      </c>
      <c r="S10">
        <f>INDEX(Table_4._Residential_Sector_Key!$F$8:$AG$125,MATCH($A10,Table_4._Residential_Sector_Key!$B$8:$B$125,0),MATCH(S$1,Table_4._Residential_Sector_Key!$F$5:$AG$5,0))</f>
        <v>0.19806699999999999</v>
      </c>
      <c r="T10">
        <f>INDEX(Table_4._Residential_Sector_Key!$F$8:$AG$125,MATCH($A10,Table_4._Residential_Sector_Key!$B$8:$B$125,0),MATCH(T$1,Table_4._Residential_Sector_Key!$F$5:$AG$5,0))</f>
        <v>0.199294</v>
      </c>
      <c r="U10">
        <f>INDEX(Table_4._Residential_Sector_Key!$F$8:$AG$125,MATCH($A10,Table_4._Residential_Sector_Key!$B$8:$B$125,0),MATCH(U$1,Table_4._Residential_Sector_Key!$F$5:$AG$5,0))</f>
        <v>0.200681</v>
      </c>
      <c r="V10">
        <f>INDEX(Table_4._Residential_Sector_Key!$F$8:$AG$125,MATCH($A10,Table_4._Residential_Sector_Key!$B$8:$B$125,0),MATCH(V$1,Table_4._Residential_Sector_Key!$F$5:$AG$5,0))</f>
        <v>0.198798</v>
      </c>
      <c r="W10">
        <f>INDEX(Table_4._Residential_Sector_Key!$F$8:$AG$125,MATCH($A10,Table_4._Residential_Sector_Key!$B$8:$B$125,0),MATCH(W$1,Table_4._Residential_Sector_Key!$F$5:$AG$5,0))</f>
        <v>0.19717199999999999</v>
      </c>
      <c r="X10">
        <f>INDEX(Table_4._Residential_Sector_Key!$F$8:$AG$125,MATCH($A10,Table_4._Residential_Sector_Key!$B$8:$B$125,0),MATCH(X$1,Table_4._Residential_Sector_Key!$F$5:$AG$5,0))</f>
        <v>0.195941</v>
      </c>
      <c r="Y10">
        <f>INDEX(Table_4._Residential_Sector_Key!$F$8:$AG$125,MATCH($A10,Table_4._Residential_Sector_Key!$B$8:$B$125,0),MATCH(Y$1,Table_4._Residential_Sector_Key!$F$5:$AG$5,0))</f>
        <v>0.19514000000000001</v>
      </c>
      <c r="Z10">
        <f>INDEX(Table_4._Residential_Sector_Key!$F$8:$AG$125,MATCH($A10,Table_4._Residential_Sector_Key!$B$8:$B$125,0),MATCH(Z$1,Table_4._Residential_Sector_Key!$F$5:$AG$5,0))</f>
        <v>0.19470599999999999</v>
      </c>
      <c r="AA10">
        <f>INDEX(Table_4._Residential_Sector_Key!$F$8:$AG$125,MATCH($A10,Table_4._Residential_Sector_Key!$B$8:$B$125,0),MATCH(AA$1,Table_4._Residential_Sector_Key!$F$5:$AG$5,0))</f>
        <v>0.194468</v>
      </c>
      <c r="AB10">
        <f>INDEX(Table_4._Residential_Sector_Key!$F$8:$AG$125,MATCH($A10,Table_4._Residential_Sector_Key!$B$8:$B$125,0),MATCH(AB$1,Table_4._Residential_Sector_Key!$F$5:$AG$5,0))</f>
        <v>0.19427800000000001</v>
      </c>
      <c r="AC10">
        <f>INDEX(Table_4._Residential_Sector_Key!$F$8:$AG$125,MATCH($A10,Table_4._Residential_Sector_Key!$B$8:$B$125,0),MATCH(AC$1,Table_4._Residential_Sector_Key!$F$5:$AG$5,0))</f>
        <v>0.194106</v>
      </c>
      <c r="AD10">
        <f>INDEX(Table_4._Residential_Sector_Key!$F$8:$AG$125,MATCH($A10,Table_4._Residential_Sector_Key!$B$8:$B$125,0),MATCH(AD$1,Table_4._Residential_Sector_Key!$F$5:$AG$5,0))</f>
        <v>0.194081</v>
      </c>
      <c r="AE10">
        <f>INDEX(Table_4._Residential_Sector_Key!$F$8:$AG$125,MATCH($A10,Table_4._Residential_Sector_Key!$B$8:$B$125,0),MATCH(AE$1,Table_4._Residential_Sector_Key!$F$5:$AG$5,0))</f>
        <v>0.19420699999999999</v>
      </c>
      <c r="AF10">
        <f>INDEX(Table_4._Residential_Sector_Key!$F$8:$AG$125,MATCH($A10,Table_4._Residential_Sector_Key!$B$8:$B$125,0),MATCH(AF$1,Table_4._Residential_Sector_Key!$F$5:$AG$5,0))</f>
        <v>0.19436300000000001</v>
      </c>
    </row>
    <row r="11" spans="1:32" x14ac:dyDescent="0.25">
      <c r="A11" t="s">
        <v>487</v>
      </c>
      <c r="B11" t="str">
        <f t="shared" si="0"/>
        <v>residential-appliances-electricity (BTU)</v>
      </c>
      <c r="C11" t="s">
        <v>736</v>
      </c>
      <c r="D11" s="93" t="s">
        <v>732</v>
      </c>
      <c r="E11" s="1" t="s">
        <v>11</v>
      </c>
      <c r="F11" s="75">
        <f>INDEX(Table_4._Residential_Sector_Key!$F$8:$AG$125,MATCH($A11,Table_4._Residential_Sector_Key!$B$8:$B$125,0),MATCH(F$1,Table_4._Residential_Sector_Key!$F$5:$AG$5,0))</f>
        <v>4.1806999999999997E-2</v>
      </c>
      <c r="G11">
        <f>INDEX(Table_4._Residential_Sector_Key!$F$8:$AG$125,MATCH($A11,Table_4._Residential_Sector_Key!$B$8:$B$125,0),MATCH(G$1,Table_4._Residential_Sector_Key!$F$5:$AG$5,0))</f>
        <v>4.0731000000000003E-2</v>
      </c>
      <c r="H11">
        <f>INDEX(Table_4._Residential_Sector_Key!$F$8:$AG$125,MATCH($A11,Table_4._Residential_Sector_Key!$B$8:$B$125,0),MATCH(H$1,Table_4._Residential_Sector_Key!$F$5:$AG$5,0))</f>
        <v>3.9766000000000003E-2</v>
      </c>
      <c r="I11">
        <f>INDEX(Table_4._Residential_Sector_Key!$F$8:$AG$125,MATCH($A11,Table_4._Residential_Sector_Key!$B$8:$B$125,0),MATCH(I$1,Table_4._Residential_Sector_Key!$F$5:$AG$5,0))</f>
        <v>3.8787000000000002E-2</v>
      </c>
      <c r="J11">
        <f>INDEX(Table_4._Residential_Sector_Key!$F$8:$AG$125,MATCH($A11,Table_4._Residential_Sector_Key!$B$8:$B$125,0),MATCH(J$1,Table_4._Residential_Sector_Key!$F$5:$AG$5,0))</f>
        <v>3.7633E-2</v>
      </c>
      <c r="K11">
        <f>INDEX(Table_4._Residential_Sector_Key!$F$8:$AG$125,MATCH($A11,Table_4._Residential_Sector_Key!$B$8:$B$125,0),MATCH(K$1,Table_4._Residential_Sector_Key!$F$5:$AG$5,0))</f>
        <v>3.6454E-2</v>
      </c>
      <c r="L11">
        <f>INDEX(Table_4._Residential_Sector_Key!$F$8:$AG$125,MATCH($A11,Table_4._Residential_Sector_Key!$B$8:$B$125,0),MATCH(L$1,Table_4._Residential_Sector_Key!$F$5:$AG$5,0))</f>
        <v>3.5085999999999999E-2</v>
      </c>
      <c r="M11">
        <f>INDEX(Table_4._Residential_Sector_Key!$F$8:$AG$125,MATCH($A11,Table_4._Residential_Sector_Key!$B$8:$B$125,0),MATCH(M$1,Table_4._Residential_Sector_Key!$F$5:$AG$5,0))</f>
        <v>3.3659000000000001E-2</v>
      </c>
      <c r="N11">
        <f>INDEX(Table_4._Residential_Sector_Key!$F$8:$AG$125,MATCH($A11,Table_4._Residential_Sector_Key!$B$8:$B$125,0),MATCH(N$1,Table_4._Residential_Sector_Key!$F$5:$AG$5,0))</f>
        <v>3.2142999999999998E-2</v>
      </c>
      <c r="O11">
        <f>INDEX(Table_4._Residential_Sector_Key!$F$8:$AG$125,MATCH($A11,Table_4._Residential_Sector_Key!$B$8:$B$125,0),MATCH(O$1,Table_4._Residential_Sector_Key!$F$5:$AG$5,0))</f>
        <v>3.0825999999999999E-2</v>
      </c>
      <c r="P11">
        <f>INDEX(Table_4._Residential_Sector_Key!$F$8:$AG$125,MATCH($A11,Table_4._Residential_Sector_Key!$B$8:$B$125,0),MATCH(P$1,Table_4._Residential_Sector_Key!$F$5:$AG$5,0))</f>
        <v>2.971E-2</v>
      </c>
      <c r="Q11">
        <f>INDEX(Table_4._Residential_Sector_Key!$F$8:$AG$125,MATCH($A11,Table_4._Residential_Sector_Key!$B$8:$B$125,0),MATCH(Q$1,Table_4._Residential_Sector_Key!$F$5:$AG$5,0))</f>
        <v>2.8801E-2</v>
      </c>
      <c r="R11">
        <f>INDEX(Table_4._Residential_Sector_Key!$F$8:$AG$125,MATCH($A11,Table_4._Residential_Sector_Key!$B$8:$B$125,0),MATCH(R$1,Table_4._Residential_Sector_Key!$F$5:$AG$5,0))</f>
        <v>2.8112000000000002E-2</v>
      </c>
      <c r="S11">
        <f>INDEX(Table_4._Residential_Sector_Key!$F$8:$AG$125,MATCH($A11,Table_4._Residential_Sector_Key!$B$8:$B$125,0),MATCH(S$1,Table_4._Residential_Sector_Key!$F$5:$AG$5,0))</f>
        <v>2.7654999999999999E-2</v>
      </c>
      <c r="T11">
        <f>INDEX(Table_4._Residential_Sector_Key!$F$8:$AG$125,MATCH($A11,Table_4._Residential_Sector_Key!$B$8:$B$125,0),MATCH(T$1,Table_4._Residential_Sector_Key!$F$5:$AG$5,0))</f>
        <v>2.7453000000000002E-2</v>
      </c>
      <c r="U11">
        <f>INDEX(Table_4._Residential_Sector_Key!$F$8:$AG$125,MATCH($A11,Table_4._Residential_Sector_Key!$B$8:$B$125,0),MATCH(U$1,Table_4._Residential_Sector_Key!$F$5:$AG$5,0))</f>
        <v>2.7522000000000001E-2</v>
      </c>
      <c r="V11">
        <f>INDEX(Table_4._Residential_Sector_Key!$F$8:$AG$125,MATCH($A11,Table_4._Residential_Sector_Key!$B$8:$B$125,0),MATCH(V$1,Table_4._Residential_Sector_Key!$F$5:$AG$5,0))</f>
        <v>2.759E-2</v>
      </c>
      <c r="W11">
        <f>INDEX(Table_4._Residential_Sector_Key!$F$8:$AG$125,MATCH($A11,Table_4._Residential_Sector_Key!$B$8:$B$125,0),MATCH(W$1,Table_4._Residential_Sector_Key!$F$5:$AG$5,0))</f>
        <v>2.7657999999999999E-2</v>
      </c>
      <c r="X11">
        <f>INDEX(Table_4._Residential_Sector_Key!$F$8:$AG$125,MATCH($A11,Table_4._Residential_Sector_Key!$B$8:$B$125,0),MATCH(X$1,Table_4._Residential_Sector_Key!$F$5:$AG$5,0))</f>
        <v>2.7733000000000001E-2</v>
      </c>
      <c r="Y11">
        <f>INDEX(Table_4._Residential_Sector_Key!$F$8:$AG$125,MATCH($A11,Table_4._Residential_Sector_Key!$B$8:$B$125,0),MATCH(Y$1,Table_4._Residential_Sector_Key!$F$5:$AG$5,0))</f>
        <v>2.7814999999999999E-2</v>
      </c>
      <c r="Z11">
        <f>INDEX(Table_4._Residential_Sector_Key!$F$8:$AG$125,MATCH($A11,Table_4._Residential_Sector_Key!$B$8:$B$125,0),MATCH(Z$1,Table_4._Residential_Sector_Key!$F$5:$AG$5,0))</f>
        <v>2.7907999999999999E-2</v>
      </c>
      <c r="AA11">
        <f>INDEX(Table_4._Residential_Sector_Key!$F$8:$AG$125,MATCH($A11,Table_4._Residential_Sector_Key!$B$8:$B$125,0),MATCH(AA$1,Table_4._Residential_Sector_Key!$F$5:$AG$5,0))</f>
        <v>2.8015999999999999E-2</v>
      </c>
      <c r="AB11">
        <f>INDEX(Table_4._Residential_Sector_Key!$F$8:$AG$125,MATCH($A11,Table_4._Residential_Sector_Key!$B$8:$B$125,0),MATCH(AB$1,Table_4._Residential_Sector_Key!$F$5:$AG$5,0))</f>
        <v>2.8138E-2</v>
      </c>
      <c r="AC11">
        <f>INDEX(Table_4._Residential_Sector_Key!$F$8:$AG$125,MATCH($A11,Table_4._Residential_Sector_Key!$B$8:$B$125,0),MATCH(AC$1,Table_4._Residential_Sector_Key!$F$5:$AG$5,0))</f>
        <v>2.8273E-2</v>
      </c>
      <c r="AD11">
        <f>INDEX(Table_4._Residential_Sector_Key!$F$8:$AG$125,MATCH($A11,Table_4._Residential_Sector_Key!$B$8:$B$125,0),MATCH(AD$1,Table_4._Residential_Sector_Key!$F$5:$AG$5,0))</f>
        <v>2.8420000000000001E-2</v>
      </c>
      <c r="AE11">
        <f>INDEX(Table_4._Residential_Sector_Key!$F$8:$AG$125,MATCH($A11,Table_4._Residential_Sector_Key!$B$8:$B$125,0),MATCH(AE$1,Table_4._Residential_Sector_Key!$F$5:$AG$5,0))</f>
        <v>2.8576000000000001E-2</v>
      </c>
      <c r="AF11">
        <f>INDEX(Table_4._Residential_Sector_Key!$F$8:$AG$125,MATCH($A11,Table_4._Residential_Sector_Key!$B$8:$B$125,0),MATCH(AF$1,Table_4._Residential_Sector_Key!$F$5:$AG$5,0))</f>
        <v>2.8739000000000001E-2</v>
      </c>
    </row>
    <row r="12" spans="1:32" x14ac:dyDescent="0.25">
      <c r="A12" t="s">
        <v>485</v>
      </c>
      <c r="B12" t="str">
        <f t="shared" si="0"/>
        <v>residential-appliances-electricity (BTU)</v>
      </c>
      <c r="C12" t="s">
        <v>736</v>
      </c>
      <c r="D12" s="93" t="s">
        <v>732</v>
      </c>
      <c r="E12" s="1" t="s">
        <v>11</v>
      </c>
      <c r="F12" s="75">
        <f>INDEX(Table_4._Residential_Sector_Key!$F$8:$AG$125,MATCH($A12,Table_4._Residential_Sector_Key!$B$8:$B$125,0),MATCH(F$1,Table_4._Residential_Sector_Key!$F$5:$AG$5,0))</f>
        <v>3.6366999999999997E-2</v>
      </c>
      <c r="G12">
        <f>INDEX(Table_4._Residential_Sector_Key!$F$8:$AG$125,MATCH($A12,Table_4._Residential_Sector_Key!$B$8:$B$125,0),MATCH(G$1,Table_4._Residential_Sector_Key!$F$5:$AG$5,0))</f>
        <v>3.7219000000000002E-2</v>
      </c>
      <c r="H12">
        <f>INDEX(Table_4._Residential_Sector_Key!$F$8:$AG$125,MATCH($A12,Table_4._Residential_Sector_Key!$B$8:$B$125,0),MATCH(H$1,Table_4._Residential_Sector_Key!$F$5:$AG$5,0))</f>
        <v>3.8216E-2</v>
      </c>
      <c r="I12">
        <f>INDEX(Table_4._Residential_Sector_Key!$F$8:$AG$125,MATCH($A12,Table_4._Residential_Sector_Key!$B$8:$B$125,0),MATCH(I$1,Table_4._Residential_Sector_Key!$F$5:$AG$5,0))</f>
        <v>3.8545999999999997E-2</v>
      </c>
      <c r="J12">
        <f>INDEX(Table_4._Residential_Sector_Key!$F$8:$AG$125,MATCH($A12,Table_4._Residential_Sector_Key!$B$8:$B$125,0),MATCH(J$1,Table_4._Residential_Sector_Key!$F$5:$AG$5,0))</f>
        <v>3.8751000000000001E-2</v>
      </c>
      <c r="K12">
        <f>INDEX(Table_4._Residential_Sector_Key!$F$8:$AG$125,MATCH($A12,Table_4._Residential_Sector_Key!$B$8:$B$125,0),MATCH(K$1,Table_4._Residential_Sector_Key!$F$5:$AG$5,0))</f>
        <v>3.8914999999999998E-2</v>
      </c>
      <c r="L12">
        <f>INDEX(Table_4._Residential_Sector_Key!$F$8:$AG$125,MATCH($A12,Table_4._Residential_Sector_Key!$B$8:$B$125,0),MATCH(L$1,Table_4._Residential_Sector_Key!$F$5:$AG$5,0))</f>
        <v>3.9031999999999997E-2</v>
      </c>
      <c r="M12">
        <f>INDEX(Table_4._Residential_Sector_Key!$F$8:$AG$125,MATCH($A12,Table_4._Residential_Sector_Key!$B$8:$B$125,0),MATCH(M$1,Table_4._Residential_Sector_Key!$F$5:$AG$5,0))</f>
        <v>3.9100999999999997E-2</v>
      </c>
      <c r="N12">
        <f>INDEX(Table_4._Residential_Sector_Key!$F$8:$AG$125,MATCH($A12,Table_4._Residential_Sector_Key!$B$8:$B$125,0),MATCH(N$1,Table_4._Residential_Sector_Key!$F$5:$AG$5,0))</f>
        <v>3.9118E-2</v>
      </c>
      <c r="O12">
        <f>INDEX(Table_4._Residential_Sector_Key!$F$8:$AG$125,MATCH($A12,Table_4._Residential_Sector_Key!$B$8:$B$125,0),MATCH(O$1,Table_4._Residential_Sector_Key!$F$5:$AG$5,0))</f>
        <v>3.9202000000000001E-2</v>
      </c>
      <c r="P12">
        <f>INDEX(Table_4._Residential_Sector_Key!$F$8:$AG$125,MATCH($A12,Table_4._Residential_Sector_Key!$B$8:$B$125,0),MATCH(P$1,Table_4._Residential_Sector_Key!$F$5:$AG$5,0))</f>
        <v>3.9358999999999998E-2</v>
      </c>
      <c r="Q12">
        <f>INDEX(Table_4._Residential_Sector_Key!$F$8:$AG$125,MATCH($A12,Table_4._Residential_Sector_Key!$B$8:$B$125,0),MATCH(Q$1,Table_4._Residential_Sector_Key!$F$5:$AG$5,0))</f>
        <v>3.9600999999999997E-2</v>
      </c>
      <c r="R12">
        <f>INDEX(Table_4._Residential_Sector_Key!$F$8:$AG$125,MATCH($A12,Table_4._Residential_Sector_Key!$B$8:$B$125,0),MATCH(R$1,Table_4._Residential_Sector_Key!$F$5:$AG$5,0))</f>
        <v>3.9935999999999999E-2</v>
      </c>
      <c r="S12">
        <f>INDEX(Table_4._Residential_Sector_Key!$F$8:$AG$125,MATCH($A12,Table_4._Residential_Sector_Key!$B$8:$B$125,0),MATCH(S$1,Table_4._Residential_Sector_Key!$F$5:$AG$5,0))</f>
        <v>4.0363999999999997E-2</v>
      </c>
      <c r="T12">
        <f>INDEX(Table_4._Residential_Sector_Key!$F$8:$AG$125,MATCH($A12,Table_4._Residential_Sector_Key!$B$8:$B$125,0),MATCH(T$1,Table_4._Residential_Sector_Key!$F$5:$AG$5,0))</f>
        <v>4.0896000000000002E-2</v>
      </c>
      <c r="U12">
        <f>INDEX(Table_4._Residential_Sector_Key!$F$8:$AG$125,MATCH($A12,Table_4._Residential_Sector_Key!$B$8:$B$125,0),MATCH(U$1,Table_4._Residential_Sector_Key!$F$5:$AG$5,0))</f>
        <v>4.1537999999999999E-2</v>
      </c>
      <c r="V12">
        <f>INDEX(Table_4._Residential_Sector_Key!$F$8:$AG$125,MATCH($A12,Table_4._Residential_Sector_Key!$B$8:$B$125,0),MATCH(V$1,Table_4._Residential_Sector_Key!$F$5:$AG$5,0))</f>
        <v>4.2178E-2</v>
      </c>
      <c r="W12">
        <f>INDEX(Table_4._Residential_Sector_Key!$F$8:$AG$125,MATCH($A12,Table_4._Residential_Sector_Key!$B$8:$B$125,0),MATCH(W$1,Table_4._Residential_Sector_Key!$F$5:$AG$5,0))</f>
        <v>4.2812000000000003E-2</v>
      </c>
      <c r="X12">
        <f>INDEX(Table_4._Residential_Sector_Key!$F$8:$AG$125,MATCH($A12,Table_4._Residential_Sector_Key!$B$8:$B$125,0),MATCH(X$1,Table_4._Residential_Sector_Key!$F$5:$AG$5,0))</f>
        <v>4.3444000000000003E-2</v>
      </c>
      <c r="Y12">
        <f>INDEX(Table_4._Residential_Sector_Key!$F$8:$AG$125,MATCH($A12,Table_4._Residential_Sector_Key!$B$8:$B$125,0),MATCH(Y$1,Table_4._Residential_Sector_Key!$F$5:$AG$5,0))</f>
        <v>4.4074000000000002E-2</v>
      </c>
      <c r="Z12">
        <f>INDEX(Table_4._Residential_Sector_Key!$F$8:$AG$125,MATCH($A12,Table_4._Residential_Sector_Key!$B$8:$B$125,0),MATCH(Z$1,Table_4._Residential_Sector_Key!$F$5:$AG$5,0))</f>
        <v>4.4707999999999998E-2</v>
      </c>
      <c r="AA12">
        <f>INDEX(Table_4._Residential_Sector_Key!$F$8:$AG$125,MATCH($A12,Table_4._Residential_Sector_Key!$B$8:$B$125,0),MATCH(AA$1,Table_4._Residential_Sector_Key!$F$5:$AG$5,0))</f>
        <v>4.5349E-2</v>
      </c>
      <c r="AB12">
        <f>INDEX(Table_4._Residential_Sector_Key!$F$8:$AG$125,MATCH($A12,Table_4._Residential_Sector_Key!$B$8:$B$125,0),MATCH(AB$1,Table_4._Residential_Sector_Key!$F$5:$AG$5,0))</f>
        <v>4.5997999999999997E-2</v>
      </c>
      <c r="AC12">
        <f>INDEX(Table_4._Residential_Sector_Key!$F$8:$AG$125,MATCH($A12,Table_4._Residential_Sector_Key!$B$8:$B$125,0),MATCH(AC$1,Table_4._Residential_Sector_Key!$F$5:$AG$5,0))</f>
        <v>4.6655000000000002E-2</v>
      </c>
      <c r="AD12">
        <f>INDEX(Table_4._Residential_Sector_Key!$F$8:$AG$125,MATCH($A12,Table_4._Residential_Sector_Key!$B$8:$B$125,0),MATCH(AD$1,Table_4._Residential_Sector_Key!$F$5:$AG$5,0))</f>
        <v>4.7317999999999999E-2</v>
      </c>
      <c r="AE12">
        <f>INDEX(Table_4._Residential_Sector_Key!$F$8:$AG$125,MATCH($A12,Table_4._Residential_Sector_Key!$B$8:$B$125,0),MATCH(AE$1,Table_4._Residential_Sector_Key!$F$5:$AG$5,0))</f>
        <v>4.7988000000000003E-2</v>
      </c>
      <c r="AF12">
        <f>INDEX(Table_4._Residential_Sector_Key!$F$8:$AG$125,MATCH($A12,Table_4._Residential_Sector_Key!$B$8:$B$125,0),MATCH(AF$1,Table_4._Residential_Sector_Key!$F$5:$AG$5,0))</f>
        <v>4.8662999999999998E-2</v>
      </c>
    </row>
    <row r="13" spans="1:32" x14ac:dyDescent="0.25">
      <c r="A13" t="s">
        <v>483</v>
      </c>
      <c r="B13" t="str">
        <f t="shared" si="0"/>
        <v>residential-other-electricity (BTU)</v>
      </c>
      <c r="C13" t="s">
        <v>736</v>
      </c>
      <c r="D13" s="93" t="s">
        <v>734</v>
      </c>
      <c r="E13" s="1" t="s">
        <v>11</v>
      </c>
      <c r="F13" s="75">
        <f>INDEX(Table_4._Residential_Sector_Key!$F$8:$AG$125,MATCH($A13,Table_4._Residential_Sector_Key!$B$8:$B$125,0),MATCH(F$1,Table_4._Residential_Sector_Key!$F$5:$AG$5,0))</f>
        <v>0.12937399999999999</v>
      </c>
      <c r="G13">
        <f>INDEX(Table_4._Residential_Sector_Key!$F$8:$AG$125,MATCH($A13,Table_4._Residential_Sector_Key!$B$8:$B$125,0),MATCH(G$1,Table_4._Residential_Sector_Key!$F$5:$AG$5,0))</f>
        <v>0.12654399999999999</v>
      </c>
      <c r="H13">
        <f>INDEX(Table_4._Residential_Sector_Key!$F$8:$AG$125,MATCH($A13,Table_4._Residential_Sector_Key!$B$8:$B$125,0),MATCH(H$1,Table_4._Residential_Sector_Key!$F$5:$AG$5,0))</f>
        <v>0.12521499999999999</v>
      </c>
      <c r="I13">
        <f>INDEX(Table_4._Residential_Sector_Key!$F$8:$AG$125,MATCH($A13,Table_4._Residential_Sector_Key!$B$8:$B$125,0),MATCH(I$1,Table_4._Residential_Sector_Key!$F$5:$AG$5,0))</f>
        <v>0.124316</v>
      </c>
      <c r="J13">
        <f>INDEX(Table_4._Residential_Sector_Key!$F$8:$AG$125,MATCH($A13,Table_4._Residential_Sector_Key!$B$8:$B$125,0),MATCH(J$1,Table_4._Residential_Sector_Key!$F$5:$AG$5,0))</f>
        <v>0.122902</v>
      </c>
      <c r="K13">
        <f>INDEX(Table_4._Residential_Sector_Key!$F$8:$AG$125,MATCH($A13,Table_4._Residential_Sector_Key!$B$8:$B$125,0),MATCH(K$1,Table_4._Residential_Sector_Key!$F$5:$AG$5,0))</f>
        <v>0.120777</v>
      </c>
      <c r="L13">
        <f>INDEX(Table_4._Residential_Sector_Key!$F$8:$AG$125,MATCH($A13,Table_4._Residential_Sector_Key!$B$8:$B$125,0),MATCH(L$1,Table_4._Residential_Sector_Key!$F$5:$AG$5,0))</f>
        <v>0.11837499999999999</v>
      </c>
      <c r="M13">
        <f>INDEX(Table_4._Residential_Sector_Key!$F$8:$AG$125,MATCH($A13,Table_4._Residential_Sector_Key!$B$8:$B$125,0),MATCH(M$1,Table_4._Residential_Sector_Key!$F$5:$AG$5,0))</f>
        <v>0.115926</v>
      </c>
      <c r="N13">
        <f>INDEX(Table_4._Residential_Sector_Key!$F$8:$AG$125,MATCH($A13,Table_4._Residential_Sector_Key!$B$8:$B$125,0),MATCH(N$1,Table_4._Residential_Sector_Key!$F$5:$AG$5,0))</f>
        <v>0.113659</v>
      </c>
      <c r="O13">
        <f>INDEX(Table_4._Residential_Sector_Key!$F$8:$AG$125,MATCH($A13,Table_4._Residential_Sector_Key!$B$8:$B$125,0),MATCH(O$1,Table_4._Residential_Sector_Key!$F$5:$AG$5,0))</f>
        <v>0.11144</v>
      </c>
      <c r="P13">
        <f>INDEX(Table_4._Residential_Sector_Key!$F$8:$AG$125,MATCH($A13,Table_4._Residential_Sector_Key!$B$8:$B$125,0),MATCH(P$1,Table_4._Residential_Sector_Key!$F$5:$AG$5,0))</f>
        <v>0.1095</v>
      </c>
      <c r="Q13">
        <f>INDEX(Table_4._Residential_Sector_Key!$F$8:$AG$125,MATCH($A13,Table_4._Residential_Sector_Key!$B$8:$B$125,0),MATCH(Q$1,Table_4._Residential_Sector_Key!$F$5:$AG$5,0))</f>
        <v>0.10799</v>
      </c>
      <c r="R13">
        <f>INDEX(Table_4._Residential_Sector_Key!$F$8:$AG$125,MATCH($A13,Table_4._Residential_Sector_Key!$B$8:$B$125,0),MATCH(R$1,Table_4._Residential_Sector_Key!$F$5:$AG$5,0))</f>
        <v>0.106861</v>
      </c>
      <c r="S13">
        <f>INDEX(Table_4._Residential_Sector_Key!$F$8:$AG$125,MATCH($A13,Table_4._Residential_Sector_Key!$B$8:$B$125,0),MATCH(S$1,Table_4._Residential_Sector_Key!$F$5:$AG$5,0))</f>
        <v>0.10595400000000001</v>
      </c>
      <c r="T13">
        <f>INDEX(Table_4._Residential_Sector_Key!$F$8:$AG$125,MATCH($A13,Table_4._Residential_Sector_Key!$B$8:$B$125,0),MATCH(T$1,Table_4._Residential_Sector_Key!$F$5:$AG$5,0))</f>
        <v>0.10506600000000001</v>
      </c>
      <c r="U13">
        <f>INDEX(Table_4._Residential_Sector_Key!$F$8:$AG$125,MATCH($A13,Table_4._Residential_Sector_Key!$B$8:$B$125,0),MATCH(U$1,Table_4._Residential_Sector_Key!$F$5:$AG$5,0))</f>
        <v>0.104306</v>
      </c>
      <c r="V13">
        <f>INDEX(Table_4._Residential_Sector_Key!$F$8:$AG$125,MATCH($A13,Table_4._Residential_Sector_Key!$B$8:$B$125,0),MATCH(V$1,Table_4._Residential_Sector_Key!$F$5:$AG$5,0))</f>
        <v>0.10369100000000001</v>
      </c>
      <c r="W13">
        <f>INDEX(Table_4._Residential_Sector_Key!$F$8:$AG$125,MATCH($A13,Table_4._Residential_Sector_Key!$B$8:$B$125,0),MATCH(W$1,Table_4._Residential_Sector_Key!$F$5:$AG$5,0))</f>
        <v>0.103142</v>
      </c>
      <c r="X13">
        <f>INDEX(Table_4._Residential_Sector_Key!$F$8:$AG$125,MATCH($A13,Table_4._Residential_Sector_Key!$B$8:$B$125,0),MATCH(X$1,Table_4._Residential_Sector_Key!$F$5:$AG$5,0))</f>
        <v>0.102677</v>
      </c>
      <c r="Y13">
        <f>INDEX(Table_4._Residential_Sector_Key!$F$8:$AG$125,MATCH($A13,Table_4._Residential_Sector_Key!$B$8:$B$125,0),MATCH(Y$1,Table_4._Residential_Sector_Key!$F$5:$AG$5,0))</f>
        <v>0.10234500000000001</v>
      </c>
      <c r="Z13">
        <f>INDEX(Table_4._Residential_Sector_Key!$F$8:$AG$125,MATCH($A13,Table_4._Residential_Sector_Key!$B$8:$B$125,0),MATCH(Z$1,Table_4._Residential_Sector_Key!$F$5:$AG$5,0))</f>
        <v>0.102119</v>
      </c>
      <c r="AA13">
        <f>INDEX(Table_4._Residential_Sector_Key!$F$8:$AG$125,MATCH($A13,Table_4._Residential_Sector_Key!$B$8:$B$125,0),MATCH(AA$1,Table_4._Residential_Sector_Key!$F$5:$AG$5,0))</f>
        <v>0.102036</v>
      </c>
      <c r="AB13">
        <f>INDEX(Table_4._Residential_Sector_Key!$F$8:$AG$125,MATCH($A13,Table_4._Residential_Sector_Key!$B$8:$B$125,0),MATCH(AB$1,Table_4._Residential_Sector_Key!$F$5:$AG$5,0))</f>
        <v>0.10208200000000001</v>
      </c>
      <c r="AC13">
        <f>INDEX(Table_4._Residential_Sector_Key!$F$8:$AG$125,MATCH($A13,Table_4._Residential_Sector_Key!$B$8:$B$125,0),MATCH(AC$1,Table_4._Residential_Sector_Key!$F$5:$AG$5,0))</f>
        <v>0.102176</v>
      </c>
      <c r="AD13">
        <f>INDEX(Table_4._Residential_Sector_Key!$F$8:$AG$125,MATCH($A13,Table_4._Residential_Sector_Key!$B$8:$B$125,0),MATCH(AD$1,Table_4._Residential_Sector_Key!$F$5:$AG$5,0))</f>
        <v>0.10236000000000001</v>
      </c>
      <c r="AE13">
        <f>INDEX(Table_4._Residential_Sector_Key!$F$8:$AG$125,MATCH($A13,Table_4._Residential_Sector_Key!$B$8:$B$125,0),MATCH(AE$1,Table_4._Residential_Sector_Key!$F$5:$AG$5,0))</f>
        <v>0.102613</v>
      </c>
      <c r="AF13">
        <f>INDEX(Table_4._Residential_Sector_Key!$F$8:$AG$125,MATCH($A13,Table_4._Residential_Sector_Key!$B$8:$B$125,0),MATCH(AF$1,Table_4._Residential_Sector_Key!$F$5:$AG$5,0))</f>
        <v>0.102926</v>
      </c>
    </row>
    <row r="14" spans="1:32" x14ac:dyDescent="0.25">
      <c r="A14" t="s">
        <v>481</v>
      </c>
      <c r="B14" t="str">
        <f t="shared" si="0"/>
        <v>residential-other-electricity (BTU)</v>
      </c>
      <c r="C14" t="s">
        <v>736</v>
      </c>
      <c r="D14" s="93" t="s">
        <v>734</v>
      </c>
      <c r="E14" s="1" t="s">
        <v>11</v>
      </c>
      <c r="F14" s="75">
        <f>INDEX(Table_4._Residential_Sector_Key!$F$8:$AG$125,MATCH($A14,Table_4._Residential_Sector_Key!$B$8:$B$125,0),MATCH(F$1,Table_4._Residential_Sector_Key!$F$5:$AG$5,0))</f>
        <v>0.100147</v>
      </c>
      <c r="G14">
        <f>INDEX(Table_4._Residential_Sector_Key!$F$8:$AG$125,MATCH($A14,Table_4._Residential_Sector_Key!$B$8:$B$125,0),MATCH(G$1,Table_4._Residential_Sector_Key!$F$5:$AG$5,0))</f>
        <v>9.8311999999999997E-2</v>
      </c>
      <c r="H14">
        <f>INDEX(Table_4._Residential_Sector_Key!$F$8:$AG$125,MATCH($A14,Table_4._Residential_Sector_Key!$B$8:$B$125,0),MATCH(H$1,Table_4._Residential_Sector_Key!$F$5:$AG$5,0))</f>
        <v>9.7711999999999993E-2</v>
      </c>
      <c r="I14">
        <f>INDEX(Table_4._Residential_Sector_Key!$F$8:$AG$125,MATCH($A14,Table_4._Residential_Sector_Key!$B$8:$B$125,0),MATCH(I$1,Table_4._Residential_Sector_Key!$F$5:$AG$5,0))</f>
        <v>9.7344E-2</v>
      </c>
      <c r="J14">
        <f>INDEX(Table_4._Residential_Sector_Key!$F$8:$AG$125,MATCH($A14,Table_4._Residential_Sector_Key!$B$8:$B$125,0),MATCH(J$1,Table_4._Residential_Sector_Key!$F$5:$AG$5,0))</f>
        <v>9.6392000000000005E-2</v>
      </c>
      <c r="K14">
        <f>INDEX(Table_4._Residential_Sector_Key!$F$8:$AG$125,MATCH($A14,Table_4._Residential_Sector_Key!$B$8:$B$125,0),MATCH(K$1,Table_4._Residential_Sector_Key!$F$5:$AG$5,0))</f>
        <v>9.4705999999999999E-2</v>
      </c>
      <c r="L14">
        <f>INDEX(Table_4._Residential_Sector_Key!$F$8:$AG$125,MATCH($A14,Table_4._Residential_Sector_Key!$B$8:$B$125,0),MATCH(L$1,Table_4._Residential_Sector_Key!$F$5:$AG$5,0))</f>
        <v>9.2652999999999999E-2</v>
      </c>
      <c r="M14">
        <f>INDEX(Table_4._Residential_Sector_Key!$F$8:$AG$125,MATCH($A14,Table_4._Residential_Sector_Key!$B$8:$B$125,0),MATCH(M$1,Table_4._Residential_Sector_Key!$F$5:$AG$5,0))</f>
        <v>9.0438000000000004E-2</v>
      </c>
      <c r="N14">
        <f>INDEX(Table_4._Residential_Sector_Key!$F$8:$AG$125,MATCH($A14,Table_4._Residential_Sector_Key!$B$8:$B$125,0),MATCH(N$1,Table_4._Residential_Sector_Key!$F$5:$AG$5,0))</f>
        <v>8.8259000000000004E-2</v>
      </c>
      <c r="O14">
        <f>INDEX(Table_4._Residential_Sector_Key!$F$8:$AG$125,MATCH($A14,Table_4._Residential_Sector_Key!$B$8:$B$125,0),MATCH(O$1,Table_4._Residential_Sector_Key!$F$5:$AG$5,0))</f>
        <v>8.6025000000000004E-2</v>
      </c>
      <c r="P14">
        <f>INDEX(Table_4._Residential_Sector_Key!$F$8:$AG$125,MATCH($A14,Table_4._Residential_Sector_Key!$B$8:$B$125,0),MATCH(P$1,Table_4._Residential_Sector_Key!$F$5:$AG$5,0))</f>
        <v>8.3927000000000002E-2</v>
      </c>
      <c r="Q14">
        <f>INDEX(Table_4._Residential_Sector_Key!$F$8:$AG$125,MATCH($A14,Table_4._Residential_Sector_Key!$B$8:$B$125,0),MATCH(Q$1,Table_4._Residential_Sector_Key!$F$5:$AG$5,0))</f>
        <v>8.2076999999999997E-2</v>
      </c>
      <c r="R14">
        <f>INDEX(Table_4._Residential_Sector_Key!$F$8:$AG$125,MATCH($A14,Table_4._Residential_Sector_Key!$B$8:$B$125,0),MATCH(R$1,Table_4._Residential_Sector_Key!$F$5:$AG$5,0))</f>
        <v>8.0450999999999995E-2</v>
      </c>
      <c r="S14">
        <f>INDEX(Table_4._Residential_Sector_Key!$F$8:$AG$125,MATCH($A14,Table_4._Residential_Sector_Key!$B$8:$B$125,0),MATCH(S$1,Table_4._Residential_Sector_Key!$F$5:$AG$5,0))</f>
        <v>7.8944E-2</v>
      </c>
      <c r="T14">
        <f>INDEX(Table_4._Residential_Sector_Key!$F$8:$AG$125,MATCH($A14,Table_4._Residential_Sector_Key!$B$8:$B$125,0),MATCH(T$1,Table_4._Residential_Sector_Key!$F$5:$AG$5,0))</f>
        <v>7.7403E-2</v>
      </c>
      <c r="U14">
        <f>INDEX(Table_4._Residential_Sector_Key!$F$8:$AG$125,MATCH($A14,Table_4._Residential_Sector_Key!$B$8:$B$125,0),MATCH(U$1,Table_4._Residential_Sector_Key!$F$5:$AG$5,0))</f>
        <v>7.5929999999999997E-2</v>
      </c>
      <c r="V14">
        <f>INDEX(Table_4._Residential_Sector_Key!$F$8:$AG$125,MATCH($A14,Table_4._Residential_Sector_Key!$B$8:$B$125,0),MATCH(V$1,Table_4._Residential_Sector_Key!$F$5:$AG$5,0))</f>
        <v>7.4545E-2</v>
      </c>
      <c r="W14">
        <f>INDEX(Table_4._Residential_Sector_Key!$F$8:$AG$125,MATCH($A14,Table_4._Residential_Sector_Key!$B$8:$B$125,0),MATCH(W$1,Table_4._Residential_Sector_Key!$F$5:$AG$5,0))</f>
        <v>7.3195999999999997E-2</v>
      </c>
      <c r="X14">
        <f>INDEX(Table_4._Residential_Sector_Key!$F$8:$AG$125,MATCH($A14,Table_4._Residential_Sector_Key!$B$8:$B$125,0),MATCH(X$1,Table_4._Residential_Sector_Key!$F$5:$AG$5,0))</f>
        <v>7.1926000000000004E-2</v>
      </c>
      <c r="Y14">
        <f>INDEX(Table_4._Residential_Sector_Key!$F$8:$AG$125,MATCH($A14,Table_4._Residential_Sector_Key!$B$8:$B$125,0),MATCH(Y$1,Table_4._Residential_Sector_Key!$F$5:$AG$5,0))</f>
        <v>7.0762000000000005E-2</v>
      </c>
      <c r="Z14">
        <f>INDEX(Table_4._Residential_Sector_Key!$F$8:$AG$125,MATCH($A14,Table_4._Residential_Sector_Key!$B$8:$B$125,0),MATCH(Z$1,Table_4._Residential_Sector_Key!$F$5:$AG$5,0))</f>
        <v>6.9711999999999996E-2</v>
      </c>
      <c r="AA14">
        <f>INDEX(Table_4._Residential_Sector_Key!$F$8:$AG$125,MATCH($A14,Table_4._Residential_Sector_Key!$B$8:$B$125,0),MATCH(AA$1,Table_4._Residential_Sector_Key!$F$5:$AG$5,0))</f>
        <v>6.8805000000000005E-2</v>
      </c>
      <c r="AB14">
        <f>INDEX(Table_4._Residential_Sector_Key!$F$8:$AG$125,MATCH($A14,Table_4._Residential_Sector_Key!$B$8:$B$125,0),MATCH(AB$1,Table_4._Residential_Sector_Key!$F$5:$AG$5,0))</f>
        <v>6.8054000000000003E-2</v>
      </c>
      <c r="AC14">
        <f>INDEX(Table_4._Residential_Sector_Key!$F$8:$AG$125,MATCH($A14,Table_4._Residential_Sector_Key!$B$8:$B$125,0),MATCH(AC$1,Table_4._Residential_Sector_Key!$F$5:$AG$5,0))</f>
        <v>6.7420999999999995E-2</v>
      </c>
      <c r="AD14">
        <f>INDEX(Table_4._Residential_Sector_Key!$F$8:$AG$125,MATCH($A14,Table_4._Residential_Sector_Key!$B$8:$B$125,0),MATCH(AD$1,Table_4._Residential_Sector_Key!$F$5:$AG$5,0))</f>
        <v>6.6941000000000001E-2</v>
      </c>
      <c r="AE14">
        <f>INDEX(Table_4._Residential_Sector_Key!$F$8:$AG$125,MATCH($A14,Table_4._Residential_Sector_Key!$B$8:$B$125,0),MATCH(AE$1,Table_4._Residential_Sector_Key!$F$5:$AG$5,0))</f>
        <v>6.6635E-2</v>
      </c>
      <c r="AF14">
        <f>INDEX(Table_4._Residential_Sector_Key!$F$8:$AG$125,MATCH($A14,Table_4._Residential_Sector_Key!$B$8:$B$125,0),MATCH(AF$1,Table_4._Residential_Sector_Key!$F$5:$AG$5,0))</f>
        <v>6.6464999999999996E-2</v>
      </c>
    </row>
    <row r="15" spans="1:32" x14ac:dyDescent="0.25">
      <c r="A15" t="s">
        <v>479</v>
      </c>
      <c r="B15" t="str">
        <f t="shared" si="0"/>
        <v>residential-cooling-electricity (BTU)</v>
      </c>
      <c r="C15" t="s">
        <v>736</v>
      </c>
      <c r="D15" s="93" t="s">
        <v>731</v>
      </c>
      <c r="E15" s="1" t="s">
        <v>11</v>
      </c>
      <c r="F15" s="75">
        <f>INDEX(Table_4._Residential_Sector_Key!$F$8:$AG$125,MATCH($A15,Table_4._Residential_Sector_Key!$B$8:$B$125,0),MATCH(F$1,Table_4._Residential_Sector_Key!$F$5:$AG$5,0))</f>
        <v>0.137569</v>
      </c>
      <c r="G15">
        <f>INDEX(Table_4._Residential_Sector_Key!$F$8:$AG$125,MATCH($A15,Table_4._Residential_Sector_Key!$B$8:$B$125,0),MATCH(G$1,Table_4._Residential_Sector_Key!$F$5:$AG$5,0))</f>
        <v>0.158502</v>
      </c>
      <c r="H15">
        <f>INDEX(Table_4._Residential_Sector_Key!$F$8:$AG$125,MATCH($A15,Table_4._Residential_Sector_Key!$B$8:$B$125,0),MATCH(H$1,Table_4._Residential_Sector_Key!$F$5:$AG$5,0))</f>
        <v>0.16062100000000001</v>
      </c>
      <c r="I15">
        <f>INDEX(Table_4._Residential_Sector_Key!$F$8:$AG$125,MATCH($A15,Table_4._Residential_Sector_Key!$B$8:$B$125,0),MATCH(I$1,Table_4._Residential_Sector_Key!$F$5:$AG$5,0))</f>
        <v>0.16225000000000001</v>
      </c>
      <c r="J15">
        <f>INDEX(Table_4._Residential_Sector_Key!$F$8:$AG$125,MATCH($A15,Table_4._Residential_Sector_Key!$B$8:$B$125,0),MATCH(J$1,Table_4._Residential_Sector_Key!$F$5:$AG$5,0))</f>
        <v>0.16347</v>
      </c>
      <c r="K15">
        <f>INDEX(Table_4._Residential_Sector_Key!$F$8:$AG$125,MATCH($A15,Table_4._Residential_Sector_Key!$B$8:$B$125,0),MATCH(K$1,Table_4._Residential_Sector_Key!$F$5:$AG$5,0))</f>
        <v>0.164468</v>
      </c>
      <c r="L15">
        <f>INDEX(Table_4._Residential_Sector_Key!$F$8:$AG$125,MATCH($A15,Table_4._Residential_Sector_Key!$B$8:$B$125,0),MATCH(L$1,Table_4._Residential_Sector_Key!$F$5:$AG$5,0))</f>
        <v>0.165238</v>
      </c>
      <c r="M15">
        <f>INDEX(Table_4._Residential_Sector_Key!$F$8:$AG$125,MATCH($A15,Table_4._Residential_Sector_Key!$B$8:$B$125,0),MATCH(M$1,Table_4._Residential_Sector_Key!$F$5:$AG$5,0))</f>
        <v>0.16567499999999999</v>
      </c>
      <c r="N15">
        <f>INDEX(Table_4._Residential_Sector_Key!$F$8:$AG$125,MATCH($A15,Table_4._Residential_Sector_Key!$B$8:$B$125,0),MATCH(N$1,Table_4._Residential_Sector_Key!$F$5:$AG$5,0))</f>
        <v>0.16580900000000001</v>
      </c>
      <c r="O15">
        <f>INDEX(Table_4._Residential_Sector_Key!$F$8:$AG$125,MATCH($A15,Table_4._Residential_Sector_Key!$B$8:$B$125,0),MATCH(O$1,Table_4._Residential_Sector_Key!$F$5:$AG$5,0))</f>
        <v>0.165878</v>
      </c>
      <c r="P15">
        <f>INDEX(Table_4._Residential_Sector_Key!$F$8:$AG$125,MATCH($A15,Table_4._Residential_Sector_Key!$B$8:$B$125,0),MATCH(P$1,Table_4._Residential_Sector_Key!$F$5:$AG$5,0))</f>
        <v>0.165686</v>
      </c>
      <c r="Q15">
        <f>INDEX(Table_4._Residential_Sector_Key!$F$8:$AG$125,MATCH($A15,Table_4._Residential_Sector_Key!$B$8:$B$125,0),MATCH(Q$1,Table_4._Residential_Sector_Key!$F$5:$AG$5,0))</f>
        <v>0.16552700000000001</v>
      </c>
      <c r="R15">
        <f>INDEX(Table_4._Residential_Sector_Key!$F$8:$AG$125,MATCH($A15,Table_4._Residential_Sector_Key!$B$8:$B$125,0),MATCH(R$1,Table_4._Residential_Sector_Key!$F$5:$AG$5,0))</f>
        <v>0.16533999999999999</v>
      </c>
      <c r="S15">
        <f>INDEX(Table_4._Residential_Sector_Key!$F$8:$AG$125,MATCH($A15,Table_4._Residential_Sector_Key!$B$8:$B$125,0),MATCH(S$1,Table_4._Residential_Sector_Key!$F$5:$AG$5,0))</f>
        <v>0.164941</v>
      </c>
      <c r="T15">
        <f>INDEX(Table_4._Residential_Sector_Key!$F$8:$AG$125,MATCH($A15,Table_4._Residential_Sector_Key!$B$8:$B$125,0),MATCH(T$1,Table_4._Residential_Sector_Key!$F$5:$AG$5,0))</f>
        <v>0.16417499999999999</v>
      </c>
      <c r="U15">
        <f>INDEX(Table_4._Residential_Sector_Key!$F$8:$AG$125,MATCH($A15,Table_4._Residential_Sector_Key!$B$8:$B$125,0),MATCH(U$1,Table_4._Residential_Sector_Key!$F$5:$AG$5,0))</f>
        <v>0.16303300000000001</v>
      </c>
      <c r="V15">
        <f>INDEX(Table_4._Residential_Sector_Key!$F$8:$AG$125,MATCH($A15,Table_4._Residential_Sector_Key!$B$8:$B$125,0),MATCH(V$1,Table_4._Residential_Sector_Key!$F$5:$AG$5,0))</f>
        <v>0.16142300000000001</v>
      </c>
      <c r="W15">
        <f>INDEX(Table_4._Residential_Sector_Key!$F$8:$AG$125,MATCH($A15,Table_4._Residential_Sector_Key!$B$8:$B$125,0),MATCH(W$1,Table_4._Residential_Sector_Key!$F$5:$AG$5,0))</f>
        <v>0.159333</v>
      </c>
      <c r="X15">
        <f>INDEX(Table_4._Residential_Sector_Key!$F$8:$AG$125,MATCH($A15,Table_4._Residential_Sector_Key!$B$8:$B$125,0),MATCH(X$1,Table_4._Residential_Sector_Key!$F$5:$AG$5,0))</f>
        <v>0.156941</v>
      </c>
      <c r="Y15">
        <f>INDEX(Table_4._Residential_Sector_Key!$F$8:$AG$125,MATCH($A15,Table_4._Residential_Sector_Key!$B$8:$B$125,0),MATCH(Y$1,Table_4._Residential_Sector_Key!$F$5:$AG$5,0))</f>
        <v>0.15426799999999999</v>
      </c>
      <c r="Z15">
        <f>INDEX(Table_4._Residential_Sector_Key!$F$8:$AG$125,MATCH($A15,Table_4._Residential_Sector_Key!$B$8:$B$125,0),MATCH(Z$1,Table_4._Residential_Sector_Key!$F$5:$AG$5,0))</f>
        <v>0.15151400000000001</v>
      </c>
      <c r="AA15">
        <f>INDEX(Table_4._Residential_Sector_Key!$F$8:$AG$125,MATCH($A15,Table_4._Residential_Sector_Key!$B$8:$B$125,0),MATCH(AA$1,Table_4._Residential_Sector_Key!$F$5:$AG$5,0))</f>
        <v>0.14884</v>
      </c>
      <c r="AB15">
        <f>INDEX(Table_4._Residential_Sector_Key!$F$8:$AG$125,MATCH($A15,Table_4._Residential_Sector_Key!$B$8:$B$125,0),MATCH(AB$1,Table_4._Residential_Sector_Key!$F$5:$AG$5,0))</f>
        <v>0.146261</v>
      </c>
      <c r="AC15">
        <f>INDEX(Table_4._Residential_Sector_Key!$F$8:$AG$125,MATCH($A15,Table_4._Residential_Sector_Key!$B$8:$B$125,0),MATCH(AC$1,Table_4._Residential_Sector_Key!$F$5:$AG$5,0))</f>
        <v>0.143757</v>
      </c>
      <c r="AD15">
        <f>INDEX(Table_4._Residential_Sector_Key!$F$8:$AG$125,MATCH($A15,Table_4._Residential_Sector_Key!$B$8:$B$125,0),MATCH(AD$1,Table_4._Residential_Sector_Key!$F$5:$AG$5,0))</f>
        <v>0.14143700000000001</v>
      </c>
      <c r="AE15">
        <f>INDEX(Table_4._Residential_Sector_Key!$F$8:$AG$125,MATCH($A15,Table_4._Residential_Sector_Key!$B$8:$B$125,0),MATCH(AE$1,Table_4._Residential_Sector_Key!$F$5:$AG$5,0))</f>
        <v>0.13933499999999999</v>
      </c>
      <c r="AF15">
        <f>INDEX(Table_4._Residential_Sector_Key!$F$8:$AG$125,MATCH($A15,Table_4._Residential_Sector_Key!$B$8:$B$125,0),MATCH(AF$1,Table_4._Residential_Sector_Key!$F$5:$AG$5,0))</f>
        <v>0.137382</v>
      </c>
    </row>
    <row r="16" spans="1:32" x14ac:dyDescent="0.25">
      <c r="A16" t="s">
        <v>477</v>
      </c>
      <c r="B16" t="str">
        <f t="shared" si="0"/>
        <v>residential-other-electricity (BTU)</v>
      </c>
      <c r="C16" t="s">
        <v>736</v>
      </c>
      <c r="D16" s="93" t="s">
        <v>734</v>
      </c>
      <c r="E16" s="1" t="s">
        <v>11</v>
      </c>
      <c r="F16" s="75">
        <f>INDEX(Table_4._Residential_Sector_Key!$F$8:$AG$125,MATCH($A16,Table_4._Residential_Sector_Key!$B$8:$B$125,0),MATCH(F$1,Table_4._Residential_Sector_Key!$F$5:$AG$5,0))</f>
        <v>1.9528239999999999</v>
      </c>
      <c r="G16">
        <f>INDEX(Table_4._Residential_Sector_Key!$F$8:$AG$125,MATCH($A16,Table_4._Residential_Sector_Key!$B$8:$B$125,0),MATCH(G$1,Table_4._Residential_Sector_Key!$F$5:$AG$5,0))</f>
        <v>1.884647</v>
      </c>
      <c r="H16">
        <f>INDEX(Table_4._Residential_Sector_Key!$F$8:$AG$125,MATCH($A16,Table_4._Residential_Sector_Key!$B$8:$B$125,0),MATCH(H$1,Table_4._Residential_Sector_Key!$F$5:$AG$5,0))</f>
        <v>1.932471</v>
      </c>
      <c r="I16">
        <f>INDEX(Table_4._Residential_Sector_Key!$F$8:$AG$125,MATCH($A16,Table_4._Residential_Sector_Key!$B$8:$B$125,0),MATCH(I$1,Table_4._Residential_Sector_Key!$F$5:$AG$5,0))</f>
        <v>1.982553</v>
      </c>
      <c r="J16">
        <f>INDEX(Table_4._Residential_Sector_Key!$F$8:$AG$125,MATCH($A16,Table_4._Residential_Sector_Key!$B$8:$B$125,0),MATCH(J$1,Table_4._Residential_Sector_Key!$F$5:$AG$5,0))</f>
        <v>2.0260020000000001</v>
      </c>
      <c r="K16">
        <f>INDEX(Table_4._Residential_Sector_Key!$F$8:$AG$125,MATCH($A16,Table_4._Residential_Sector_Key!$B$8:$B$125,0),MATCH(K$1,Table_4._Residential_Sector_Key!$F$5:$AG$5,0))</f>
        <v>2.060349</v>
      </c>
      <c r="L16">
        <f>INDEX(Table_4._Residential_Sector_Key!$F$8:$AG$125,MATCH($A16,Table_4._Residential_Sector_Key!$B$8:$B$125,0),MATCH(L$1,Table_4._Residential_Sector_Key!$F$5:$AG$5,0))</f>
        <v>2.0898330000000001</v>
      </c>
      <c r="M16">
        <f>INDEX(Table_4._Residential_Sector_Key!$F$8:$AG$125,MATCH($A16,Table_4._Residential_Sector_Key!$B$8:$B$125,0),MATCH(M$1,Table_4._Residential_Sector_Key!$F$5:$AG$5,0))</f>
        <v>2.1161310000000002</v>
      </c>
      <c r="N16">
        <f>INDEX(Table_4._Residential_Sector_Key!$F$8:$AG$125,MATCH($A16,Table_4._Residential_Sector_Key!$B$8:$B$125,0),MATCH(N$1,Table_4._Residential_Sector_Key!$F$5:$AG$5,0))</f>
        <v>2.143497</v>
      </c>
      <c r="O16">
        <f>INDEX(Table_4._Residential_Sector_Key!$F$8:$AG$125,MATCH($A16,Table_4._Residential_Sector_Key!$B$8:$B$125,0),MATCH(O$1,Table_4._Residential_Sector_Key!$F$5:$AG$5,0))</f>
        <v>2.169753</v>
      </c>
      <c r="P16">
        <f>INDEX(Table_4._Residential_Sector_Key!$F$8:$AG$125,MATCH($A16,Table_4._Residential_Sector_Key!$B$8:$B$125,0),MATCH(P$1,Table_4._Residential_Sector_Key!$F$5:$AG$5,0))</f>
        <v>2.1987999999999999</v>
      </c>
      <c r="Q16">
        <f>INDEX(Table_4._Residential_Sector_Key!$F$8:$AG$125,MATCH($A16,Table_4._Residential_Sector_Key!$B$8:$B$125,0),MATCH(Q$1,Table_4._Residential_Sector_Key!$F$5:$AG$5,0))</f>
        <v>2.2309679999999998</v>
      </c>
      <c r="R16">
        <f>INDEX(Table_4._Residential_Sector_Key!$F$8:$AG$125,MATCH($A16,Table_4._Residential_Sector_Key!$B$8:$B$125,0),MATCH(R$1,Table_4._Residential_Sector_Key!$F$5:$AG$5,0))</f>
        <v>2.2675719999999999</v>
      </c>
      <c r="S16">
        <f>INDEX(Table_4._Residential_Sector_Key!$F$8:$AG$125,MATCH($A16,Table_4._Residential_Sector_Key!$B$8:$B$125,0),MATCH(S$1,Table_4._Residential_Sector_Key!$F$5:$AG$5,0))</f>
        <v>2.3066080000000002</v>
      </c>
      <c r="T16">
        <f>INDEX(Table_4._Residential_Sector_Key!$F$8:$AG$125,MATCH($A16,Table_4._Residential_Sector_Key!$B$8:$B$125,0),MATCH(T$1,Table_4._Residential_Sector_Key!$F$5:$AG$5,0))</f>
        <v>2.3441360000000002</v>
      </c>
      <c r="U16">
        <f>INDEX(Table_4._Residential_Sector_Key!$F$8:$AG$125,MATCH($A16,Table_4._Residential_Sector_Key!$B$8:$B$125,0),MATCH(U$1,Table_4._Residential_Sector_Key!$F$5:$AG$5,0))</f>
        <v>2.3830230000000001</v>
      </c>
      <c r="V16">
        <f>INDEX(Table_4._Residential_Sector_Key!$F$8:$AG$125,MATCH($A16,Table_4._Residential_Sector_Key!$B$8:$B$125,0),MATCH(V$1,Table_4._Residential_Sector_Key!$F$5:$AG$5,0))</f>
        <v>2.4229310000000002</v>
      </c>
      <c r="W16">
        <f>INDEX(Table_4._Residential_Sector_Key!$F$8:$AG$125,MATCH($A16,Table_4._Residential_Sector_Key!$B$8:$B$125,0),MATCH(W$1,Table_4._Residential_Sector_Key!$F$5:$AG$5,0))</f>
        <v>2.4609220000000001</v>
      </c>
      <c r="X16">
        <f>INDEX(Table_4._Residential_Sector_Key!$F$8:$AG$125,MATCH($A16,Table_4._Residential_Sector_Key!$B$8:$B$125,0),MATCH(X$1,Table_4._Residential_Sector_Key!$F$5:$AG$5,0))</f>
        <v>2.4994070000000002</v>
      </c>
      <c r="Y16">
        <f>INDEX(Table_4._Residential_Sector_Key!$F$8:$AG$125,MATCH($A16,Table_4._Residential_Sector_Key!$B$8:$B$125,0),MATCH(Y$1,Table_4._Residential_Sector_Key!$F$5:$AG$5,0))</f>
        <v>2.538354</v>
      </c>
      <c r="Z16">
        <f>INDEX(Table_4._Residential_Sector_Key!$F$8:$AG$125,MATCH($A16,Table_4._Residential_Sector_Key!$B$8:$B$125,0),MATCH(Z$1,Table_4._Residential_Sector_Key!$F$5:$AG$5,0))</f>
        <v>2.577242</v>
      </c>
      <c r="AA16">
        <f>INDEX(Table_4._Residential_Sector_Key!$F$8:$AG$125,MATCH($A16,Table_4._Residential_Sector_Key!$B$8:$B$125,0),MATCH(AA$1,Table_4._Residential_Sector_Key!$F$5:$AG$5,0))</f>
        <v>2.6159680000000001</v>
      </c>
      <c r="AB16">
        <f>INDEX(Table_4._Residential_Sector_Key!$F$8:$AG$125,MATCH($A16,Table_4._Residential_Sector_Key!$B$8:$B$125,0),MATCH(AB$1,Table_4._Residential_Sector_Key!$F$5:$AG$5,0))</f>
        <v>2.6549830000000001</v>
      </c>
      <c r="AC16">
        <f>INDEX(Table_4._Residential_Sector_Key!$F$8:$AG$125,MATCH($A16,Table_4._Residential_Sector_Key!$B$8:$B$125,0),MATCH(AC$1,Table_4._Residential_Sector_Key!$F$5:$AG$5,0))</f>
        <v>2.693921</v>
      </c>
      <c r="AD16">
        <f>INDEX(Table_4._Residential_Sector_Key!$F$8:$AG$125,MATCH($A16,Table_4._Residential_Sector_Key!$B$8:$B$125,0),MATCH(AD$1,Table_4._Residential_Sector_Key!$F$5:$AG$5,0))</f>
        <v>2.7329750000000002</v>
      </c>
      <c r="AE16">
        <f>INDEX(Table_4._Residential_Sector_Key!$F$8:$AG$125,MATCH($A16,Table_4._Residential_Sector_Key!$B$8:$B$125,0),MATCH(AE$1,Table_4._Residential_Sector_Key!$F$5:$AG$5,0))</f>
        <v>2.7728069999999998</v>
      </c>
      <c r="AF16">
        <f>INDEX(Table_4._Residential_Sector_Key!$F$8:$AG$125,MATCH($A16,Table_4._Residential_Sector_Key!$B$8:$B$125,0),MATCH(AF$1,Table_4._Residential_Sector_Key!$F$5:$AG$5,0))</f>
        <v>2.812916</v>
      </c>
    </row>
    <row r="17" spans="1:32" x14ac:dyDescent="0.25">
      <c r="A17" t="s">
        <v>475</v>
      </c>
      <c r="B17" t="str">
        <f t="shared" si="0"/>
        <v>residential-total-electricity (BTU)</v>
      </c>
      <c r="C17" t="s">
        <v>736</v>
      </c>
      <c r="D17" s="93" t="s">
        <v>735</v>
      </c>
      <c r="E17" s="1" t="s">
        <v>11</v>
      </c>
      <c r="F17" s="75">
        <f>INDEX(Table_4._Residential_Sector_Key!$F$8:$AG$125,MATCH($A17,Table_4._Residential_Sector_Key!$B$8:$B$125,0),MATCH(F$1,Table_4._Residential_Sector_Key!$F$5:$AG$5,0))</f>
        <v>5.273498</v>
      </c>
      <c r="G17">
        <f>INDEX(Table_4._Residential_Sector_Key!$F$8:$AG$125,MATCH($A17,Table_4._Residential_Sector_Key!$B$8:$B$125,0),MATCH(G$1,Table_4._Residential_Sector_Key!$F$5:$AG$5,0))</f>
        <v>5.2156180000000001</v>
      </c>
      <c r="H17">
        <f>INDEX(Table_4._Residential_Sector_Key!$F$8:$AG$125,MATCH($A17,Table_4._Residential_Sector_Key!$B$8:$B$125,0),MATCH(H$1,Table_4._Residential_Sector_Key!$F$5:$AG$5,0))</f>
        <v>5.2809720000000002</v>
      </c>
      <c r="I17">
        <f>INDEX(Table_4._Residential_Sector_Key!$F$8:$AG$125,MATCH($A17,Table_4._Residential_Sector_Key!$B$8:$B$125,0),MATCH(I$1,Table_4._Residential_Sector_Key!$F$5:$AG$5,0))</f>
        <v>5.3513669999999998</v>
      </c>
      <c r="J17">
        <f>INDEX(Table_4._Residential_Sector_Key!$F$8:$AG$125,MATCH($A17,Table_4._Residential_Sector_Key!$B$8:$B$125,0),MATCH(J$1,Table_4._Residential_Sector_Key!$F$5:$AG$5,0))</f>
        <v>5.3998900000000001</v>
      </c>
      <c r="K17">
        <f>INDEX(Table_4._Residential_Sector_Key!$F$8:$AG$125,MATCH($A17,Table_4._Residential_Sector_Key!$B$8:$B$125,0),MATCH(K$1,Table_4._Residential_Sector_Key!$F$5:$AG$5,0))</f>
        <v>5.4151009999999999</v>
      </c>
      <c r="L17">
        <f>INDEX(Table_4._Residential_Sector_Key!$F$8:$AG$125,MATCH($A17,Table_4._Residential_Sector_Key!$B$8:$B$125,0),MATCH(L$1,Table_4._Residential_Sector_Key!$F$5:$AG$5,0))</f>
        <v>5.4107599999999998</v>
      </c>
      <c r="M17">
        <f>INDEX(Table_4._Residential_Sector_Key!$F$8:$AG$125,MATCH($A17,Table_4._Residential_Sector_Key!$B$8:$B$125,0),MATCH(M$1,Table_4._Residential_Sector_Key!$F$5:$AG$5,0))</f>
        <v>5.3981300000000001</v>
      </c>
      <c r="N17">
        <f>INDEX(Table_4._Residential_Sector_Key!$F$8:$AG$125,MATCH($A17,Table_4._Residential_Sector_Key!$B$8:$B$125,0),MATCH(N$1,Table_4._Residential_Sector_Key!$F$5:$AG$5,0))</f>
        <v>5.3898359999999998</v>
      </c>
      <c r="O17">
        <f>INDEX(Table_4._Residential_Sector_Key!$F$8:$AG$125,MATCH($A17,Table_4._Residential_Sector_Key!$B$8:$B$125,0),MATCH(O$1,Table_4._Residential_Sector_Key!$F$5:$AG$5,0))</f>
        <v>5.3886209999999997</v>
      </c>
      <c r="P17">
        <f>INDEX(Table_4._Residential_Sector_Key!$F$8:$AG$125,MATCH($A17,Table_4._Residential_Sector_Key!$B$8:$B$125,0),MATCH(P$1,Table_4._Residential_Sector_Key!$F$5:$AG$5,0))</f>
        <v>5.3959859999999997</v>
      </c>
      <c r="Q17">
        <f>INDEX(Table_4._Residential_Sector_Key!$F$8:$AG$125,MATCH($A17,Table_4._Residential_Sector_Key!$B$8:$B$125,0),MATCH(Q$1,Table_4._Residential_Sector_Key!$F$5:$AG$5,0))</f>
        <v>5.4179789999999999</v>
      </c>
      <c r="R17">
        <f>INDEX(Table_4._Residential_Sector_Key!$F$8:$AG$125,MATCH($A17,Table_4._Residential_Sector_Key!$B$8:$B$125,0),MATCH(R$1,Table_4._Residential_Sector_Key!$F$5:$AG$5,0))</f>
        <v>5.4551920000000003</v>
      </c>
      <c r="S17">
        <f>INDEX(Table_4._Residential_Sector_Key!$F$8:$AG$125,MATCH($A17,Table_4._Residential_Sector_Key!$B$8:$B$125,0),MATCH(S$1,Table_4._Residential_Sector_Key!$F$5:$AG$5,0))</f>
        <v>5.5010260000000004</v>
      </c>
      <c r="T17">
        <f>INDEX(Table_4._Residential_Sector_Key!$F$8:$AG$125,MATCH($A17,Table_4._Residential_Sector_Key!$B$8:$B$125,0),MATCH(T$1,Table_4._Residential_Sector_Key!$F$5:$AG$5,0))</f>
        <v>5.5452810000000001</v>
      </c>
      <c r="U17">
        <f>INDEX(Table_4._Residential_Sector_Key!$F$8:$AG$125,MATCH($A17,Table_4._Residential_Sector_Key!$B$8:$B$125,0),MATCH(U$1,Table_4._Residential_Sector_Key!$F$5:$AG$5,0))</f>
        <v>5.5945390000000002</v>
      </c>
      <c r="V17">
        <f>INDEX(Table_4._Residential_Sector_Key!$F$8:$AG$125,MATCH($A17,Table_4._Residential_Sector_Key!$B$8:$B$125,0),MATCH(V$1,Table_4._Residential_Sector_Key!$F$5:$AG$5,0))</f>
        <v>5.6440149999999996</v>
      </c>
      <c r="W17">
        <f>INDEX(Table_4._Residential_Sector_Key!$F$8:$AG$125,MATCH($A17,Table_4._Residential_Sector_Key!$B$8:$B$125,0),MATCH(W$1,Table_4._Residential_Sector_Key!$F$5:$AG$5,0))</f>
        <v>5.6937410000000002</v>
      </c>
      <c r="X17">
        <f>INDEX(Table_4._Residential_Sector_Key!$F$8:$AG$125,MATCH($A17,Table_4._Residential_Sector_Key!$B$8:$B$125,0),MATCH(X$1,Table_4._Residential_Sector_Key!$F$5:$AG$5,0))</f>
        <v>5.7461279999999997</v>
      </c>
      <c r="Y17">
        <f>INDEX(Table_4._Residential_Sector_Key!$F$8:$AG$125,MATCH($A17,Table_4._Residential_Sector_Key!$B$8:$B$125,0),MATCH(Y$1,Table_4._Residential_Sector_Key!$F$5:$AG$5,0))</f>
        <v>5.8017750000000001</v>
      </c>
      <c r="Z17">
        <f>INDEX(Table_4._Residential_Sector_Key!$F$8:$AG$125,MATCH($A17,Table_4._Residential_Sector_Key!$B$8:$B$125,0),MATCH(Z$1,Table_4._Residential_Sector_Key!$F$5:$AG$5,0))</f>
        <v>5.8569699999999996</v>
      </c>
      <c r="AA17">
        <f>INDEX(Table_4._Residential_Sector_Key!$F$8:$AG$125,MATCH($A17,Table_4._Residential_Sector_Key!$B$8:$B$125,0),MATCH(AA$1,Table_4._Residential_Sector_Key!$F$5:$AG$5,0))</f>
        <v>5.9119910000000004</v>
      </c>
      <c r="AB17">
        <f>INDEX(Table_4._Residential_Sector_Key!$F$8:$AG$125,MATCH($A17,Table_4._Residential_Sector_Key!$B$8:$B$125,0),MATCH(AB$1,Table_4._Residential_Sector_Key!$F$5:$AG$5,0))</f>
        <v>5.9671469999999998</v>
      </c>
      <c r="AC17">
        <f>INDEX(Table_4._Residential_Sector_Key!$F$8:$AG$125,MATCH($A17,Table_4._Residential_Sector_Key!$B$8:$B$125,0),MATCH(AC$1,Table_4._Residential_Sector_Key!$F$5:$AG$5,0))</f>
        <v>6.022335</v>
      </c>
      <c r="AD17">
        <f>INDEX(Table_4._Residential_Sector_Key!$F$8:$AG$125,MATCH($A17,Table_4._Residential_Sector_Key!$B$8:$B$125,0),MATCH(AD$1,Table_4._Residential_Sector_Key!$F$5:$AG$5,0))</f>
        <v>6.0780580000000004</v>
      </c>
      <c r="AE17">
        <f>INDEX(Table_4._Residential_Sector_Key!$F$8:$AG$125,MATCH($A17,Table_4._Residential_Sector_Key!$B$8:$B$125,0),MATCH(AE$1,Table_4._Residential_Sector_Key!$F$5:$AG$5,0))</f>
        <v>6.1358829999999998</v>
      </c>
      <c r="AF17">
        <f>INDEX(Table_4._Residential_Sector_Key!$F$8:$AG$125,MATCH($A17,Table_4._Residential_Sector_Key!$B$8:$B$125,0),MATCH(AF$1,Table_4._Residential_Sector_Key!$F$5:$AG$5,0))</f>
        <v>6.1939830000000002</v>
      </c>
    </row>
    <row r="18" spans="1:32" x14ac:dyDescent="0.25">
      <c r="A18" t="s">
        <v>473</v>
      </c>
      <c r="B18" t="str">
        <f t="shared" si="0"/>
        <v>residential-NA-electricity (BTU)</v>
      </c>
      <c r="C18" t="s">
        <v>736</v>
      </c>
      <c r="D18" s="93" t="s">
        <v>738</v>
      </c>
      <c r="E18" s="1" t="s">
        <v>11</v>
      </c>
      <c r="F18" s="75">
        <f>INDEX(Table_4._Residential_Sector_Key!$F$8:$AG$125,MATCH($A18,Table_4._Residential_Sector_Key!$B$8:$B$125,0),MATCH(F$1,Table_4._Residential_Sector_Key!$F$5:$AG$5,0))</f>
        <v>4.4337000000000001E-2</v>
      </c>
      <c r="G18">
        <f>INDEX(Table_4._Residential_Sector_Key!$F$8:$AG$125,MATCH($A18,Table_4._Residential_Sector_Key!$B$8:$B$125,0),MATCH(G$1,Table_4._Residential_Sector_Key!$F$5:$AG$5,0))</f>
        <v>6.6201999999999997E-2</v>
      </c>
      <c r="H18">
        <f>INDEX(Table_4._Residential_Sector_Key!$F$8:$AG$125,MATCH($A18,Table_4._Residential_Sector_Key!$B$8:$B$125,0),MATCH(H$1,Table_4._Residential_Sector_Key!$F$5:$AG$5,0))</f>
        <v>9.8492999999999997E-2</v>
      </c>
      <c r="I18">
        <f>INDEX(Table_4._Residential_Sector_Key!$F$8:$AG$125,MATCH($A18,Table_4._Residential_Sector_Key!$B$8:$B$125,0),MATCH(I$1,Table_4._Residential_Sector_Key!$F$5:$AG$5,0))</f>
        <v>0.14113400000000001</v>
      </c>
      <c r="J18">
        <f>INDEX(Table_4._Residential_Sector_Key!$F$8:$AG$125,MATCH($A18,Table_4._Residential_Sector_Key!$B$8:$B$125,0),MATCH(J$1,Table_4._Residential_Sector_Key!$F$5:$AG$5,0))</f>
        <v>0.19359399999999999</v>
      </c>
      <c r="K18">
        <f>INDEX(Table_4._Residential_Sector_Key!$F$8:$AG$125,MATCH($A18,Table_4._Residential_Sector_Key!$B$8:$B$125,0),MATCH(K$1,Table_4._Residential_Sector_Key!$F$5:$AG$5,0))</f>
        <v>0.25625700000000001</v>
      </c>
      <c r="L18">
        <f>INDEX(Table_4._Residential_Sector_Key!$F$8:$AG$125,MATCH($A18,Table_4._Residential_Sector_Key!$B$8:$B$125,0),MATCH(L$1,Table_4._Residential_Sector_Key!$F$5:$AG$5,0))</f>
        <v>0.33226899999999998</v>
      </c>
      <c r="M18">
        <f>INDEX(Table_4._Residential_Sector_Key!$F$8:$AG$125,MATCH($A18,Table_4._Residential_Sector_Key!$B$8:$B$125,0),MATCH(M$1,Table_4._Residential_Sector_Key!$F$5:$AG$5,0))</f>
        <v>0.40964400000000001</v>
      </c>
      <c r="N18">
        <f>INDEX(Table_4._Residential_Sector_Key!$F$8:$AG$125,MATCH($A18,Table_4._Residential_Sector_Key!$B$8:$B$125,0),MATCH(N$1,Table_4._Residential_Sector_Key!$F$5:$AG$5,0))</f>
        <v>0.49610599999999999</v>
      </c>
      <c r="O18">
        <f>INDEX(Table_4._Residential_Sector_Key!$F$8:$AG$125,MATCH($A18,Table_4._Residential_Sector_Key!$B$8:$B$125,0),MATCH(O$1,Table_4._Residential_Sector_Key!$F$5:$AG$5,0))</f>
        <v>0.58273399999999997</v>
      </c>
      <c r="P18">
        <f>INDEX(Table_4._Residential_Sector_Key!$F$8:$AG$125,MATCH($A18,Table_4._Residential_Sector_Key!$B$8:$B$125,0),MATCH(P$1,Table_4._Residential_Sector_Key!$F$5:$AG$5,0))</f>
        <v>0.67127199999999998</v>
      </c>
      <c r="Q18">
        <f>INDEX(Table_4._Residential_Sector_Key!$F$8:$AG$125,MATCH($A18,Table_4._Residential_Sector_Key!$B$8:$B$125,0),MATCH(Q$1,Table_4._Residential_Sector_Key!$F$5:$AG$5,0))</f>
        <v>0.75774600000000003</v>
      </c>
      <c r="R18">
        <f>INDEX(Table_4._Residential_Sector_Key!$F$8:$AG$125,MATCH($A18,Table_4._Residential_Sector_Key!$B$8:$B$125,0),MATCH(R$1,Table_4._Residential_Sector_Key!$F$5:$AG$5,0))</f>
        <v>0.84255199999999997</v>
      </c>
      <c r="S18">
        <f>INDEX(Table_4._Residential_Sector_Key!$F$8:$AG$125,MATCH($A18,Table_4._Residential_Sector_Key!$B$8:$B$125,0),MATCH(S$1,Table_4._Residential_Sector_Key!$F$5:$AG$5,0))</f>
        <v>0.92561800000000005</v>
      </c>
      <c r="T18">
        <f>INDEX(Table_4._Residential_Sector_Key!$F$8:$AG$125,MATCH($A18,Table_4._Residential_Sector_Key!$B$8:$B$125,0),MATCH(T$1,Table_4._Residential_Sector_Key!$F$5:$AG$5,0))</f>
        <v>1.0052989999999999</v>
      </c>
      <c r="U18">
        <f>INDEX(Table_4._Residential_Sector_Key!$F$8:$AG$125,MATCH($A18,Table_4._Residential_Sector_Key!$B$8:$B$125,0),MATCH(U$1,Table_4._Residential_Sector_Key!$F$5:$AG$5,0))</f>
        <v>1.0807180000000001</v>
      </c>
      <c r="V18">
        <f>INDEX(Table_4._Residential_Sector_Key!$F$8:$AG$125,MATCH($A18,Table_4._Residential_Sector_Key!$B$8:$B$125,0),MATCH(V$1,Table_4._Residential_Sector_Key!$F$5:$AG$5,0))</f>
        <v>1.151586</v>
      </c>
      <c r="W18">
        <f>INDEX(Table_4._Residential_Sector_Key!$F$8:$AG$125,MATCH($A18,Table_4._Residential_Sector_Key!$B$8:$B$125,0),MATCH(W$1,Table_4._Residential_Sector_Key!$F$5:$AG$5,0))</f>
        <v>1.2174419999999999</v>
      </c>
      <c r="X18">
        <f>INDEX(Table_4._Residential_Sector_Key!$F$8:$AG$125,MATCH($A18,Table_4._Residential_Sector_Key!$B$8:$B$125,0),MATCH(X$1,Table_4._Residential_Sector_Key!$F$5:$AG$5,0))</f>
        <v>1.277585</v>
      </c>
      <c r="Y18">
        <f>INDEX(Table_4._Residential_Sector_Key!$F$8:$AG$125,MATCH($A18,Table_4._Residential_Sector_Key!$B$8:$B$125,0),MATCH(Y$1,Table_4._Residential_Sector_Key!$F$5:$AG$5,0))</f>
        <v>1.331949</v>
      </c>
      <c r="Z18">
        <f>INDEX(Table_4._Residential_Sector_Key!$F$8:$AG$125,MATCH($A18,Table_4._Residential_Sector_Key!$B$8:$B$125,0),MATCH(Z$1,Table_4._Residential_Sector_Key!$F$5:$AG$5,0))</f>
        <v>1.380314</v>
      </c>
      <c r="AA18">
        <f>INDEX(Table_4._Residential_Sector_Key!$F$8:$AG$125,MATCH($A18,Table_4._Residential_Sector_Key!$B$8:$B$125,0),MATCH(AA$1,Table_4._Residential_Sector_Key!$F$5:$AG$5,0))</f>
        <v>1.4238759999999999</v>
      </c>
      <c r="AB18">
        <f>INDEX(Table_4._Residential_Sector_Key!$F$8:$AG$125,MATCH($A18,Table_4._Residential_Sector_Key!$B$8:$B$125,0),MATCH(AB$1,Table_4._Residential_Sector_Key!$F$5:$AG$5,0))</f>
        <v>1.4637</v>
      </c>
      <c r="AC18">
        <f>INDEX(Table_4._Residential_Sector_Key!$F$8:$AG$125,MATCH($A18,Table_4._Residential_Sector_Key!$B$8:$B$125,0),MATCH(AC$1,Table_4._Residential_Sector_Key!$F$5:$AG$5,0))</f>
        <v>1.499768</v>
      </c>
      <c r="AD18">
        <f>INDEX(Table_4._Residential_Sector_Key!$F$8:$AG$125,MATCH($A18,Table_4._Residential_Sector_Key!$B$8:$B$125,0),MATCH(AD$1,Table_4._Residential_Sector_Key!$F$5:$AG$5,0))</f>
        <v>1.5314890000000001</v>
      </c>
      <c r="AE18">
        <f>INDEX(Table_4._Residential_Sector_Key!$F$8:$AG$125,MATCH($A18,Table_4._Residential_Sector_Key!$B$8:$B$125,0),MATCH(AE$1,Table_4._Residential_Sector_Key!$F$5:$AG$5,0))</f>
        <v>1.559817</v>
      </c>
      <c r="AF18">
        <f>INDEX(Table_4._Residential_Sector_Key!$F$8:$AG$125,MATCH($A18,Table_4._Residential_Sector_Key!$B$8:$B$125,0),MATCH(AF$1,Table_4._Residential_Sector_Key!$F$5:$AG$5,0))</f>
        <v>1.58514</v>
      </c>
    </row>
    <row r="19" spans="1:32" x14ac:dyDescent="0.25">
      <c r="A19" t="s">
        <v>471</v>
      </c>
      <c r="B19" t="str">
        <f t="shared" si="0"/>
        <v>residential-NA-electricity (BTU)</v>
      </c>
      <c r="C19" t="s">
        <v>736</v>
      </c>
      <c r="D19" s="93" t="s">
        <v>738</v>
      </c>
      <c r="E19" s="1" t="s">
        <v>11</v>
      </c>
      <c r="F19" s="75">
        <f>INDEX(Table_4._Residential_Sector_Key!$F$8:$AG$125,MATCH($A19,Table_4._Residential_Sector_Key!$B$8:$B$125,0),MATCH(F$1,Table_4._Residential_Sector_Key!$F$5:$AG$5,0))</f>
        <v>0.175875</v>
      </c>
      <c r="G19">
        <f>INDEX(Table_4._Residential_Sector_Key!$F$8:$AG$125,MATCH($A19,Table_4._Residential_Sector_Key!$B$8:$B$125,0),MATCH(G$1,Table_4._Residential_Sector_Key!$F$5:$AG$5,0))</f>
        <v>0.199964</v>
      </c>
      <c r="H19">
        <f>INDEX(Table_4._Residential_Sector_Key!$F$8:$AG$125,MATCH($A19,Table_4._Residential_Sector_Key!$B$8:$B$125,0),MATCH(H$1,Table_4._Residential_Sector_Key!$F$5:$AG$5,0))</f>
        <v>0.22440399999999999</v>
      </c>
      <c r="I19">
        <f>INDEX(Table_4._Residential_Sector_Key!$F$8:$AG$125,MATCH($A19,Table_4._Residential_Sector_Key!$B$8:$B$125,0),MATCH(I$1,Table_4._Residential_Sector_Key!$F$5:$AG$5,0))</f>
        <v>0.24728700000000001</v>
      </c>
      <c r="J19">
        <f>INDEX(Table_4._Residential_Sector_Key!$F$8:$AG$125,MATCH($A19,Table_4._Residential_Sector_Key!$B$8:$B$125,0),MATCH(J$1,Table_4._Residential_Sector_Key!$F$5:$AG$5,0))</f>
        <v>0.27066400000000002</v>
      </c>
      <c r="K19">
        <f>INDEX(Table_4._Residential_Sector_Key!$F$8:$AG$125,MATCH($A19,Table_4._Residential_Sector_Key!$B$8:$B$125,0),MATCH(K$1,Table_4._Residential_Sector_Key!$F$5:$AG$5,0))</f>
        <v>0.29440899999999998</v>
      </c>
      <c r="L19">
        <f>INDEX(Table_4._Residential_Sector_Key!$F$8:$AG$125,MATCH($A19,Table_4._Residential_Sector_Key!$B$8:$B$125,0),MATCH(L$1,Table_4._Residential_Sector_Key!$F$5:$AG$5,0))</f>
        <v>0.31969599999999998</v>
      </c>
      <c r="M19">
        <f>INDEX(Table_4._Residential_Sector_Key!$F$8:$AG$125,MATCH($A19,Table_4._Residential_Sector_Key!$B$8:$B$125,0),MATCH(M$1,Table_4._Residential_Sector_Key!$F$5:$AG$5,0))</f>
        <v>0.34664099999999998</v>
      </c>
      <c r="N19">
        <f>INDEX(Table_4._Residential_Sector_Key!$F$8:$AG$125,MATCH($A19,Table_4._Residential_Sector_Key!$B$8:$B$125,0),MATCH(N$1,Table_4._Residential_Sector_Key!$F$5:$AG$5,0))</f>
        <v>0.37347900000000001</v>
      </c>
      <c r="O19">
        <f>INDEX(Table_4._Residential_Sector_Key!$F$8:$AG$125,MATCH($A19,Table_4._Residential_Sector_Key!$B$8:$B$125,0),MATCH(O$1,Table_4._Residential_Sector_Key!$F$5:$AG$5,0))</f>
        <v>0.400223</v>
      </c>
      <c r="P19">
        <f>INDEX(Table_4._Residential_Sector_Key!$F$8:$AG$125,MATCH($A19,Table_4._Residential_Sector_Key!$B$8:$B$125,0),MATCH(P$1,Table_4._Residential_Sector_Key!$F$5:$AG$5,0))</f>
        <v>0.42644399999999999</v>
      </c>
      <c r="Q19">
        <f>INDEX(Table_4._Residential_Sector_Key!$F$8:$AG$125,MATCH($A19,Table_4._Residential_Sector_Key!$B$8:$B$125,0),MATCH(Q$1,Table_4._Residential_Sector_Key!$F$5:$AG$5,0))</f>
        <v>0.44691599999999998</v>
      </c>
      <c r="R19">
        <f>INDEX(Table_4._Residential_Sector_Key!$F$8:$AG$125,MATCH($A19,Table_4._Residential_Sector_Key!$B$8:$B$125,0),MATCH(R$1,Table_4._Residential_Sector_Key!$F$5:$AG$5,0))</f>
        <v>0.467945</v>
      </c>
      <c r="S19">
        <f>INDEX(Table_4._Residential_Sector_Key!$F$8:$AG$125,MATCH($A19,Table_4._Residential_Sector_Key!$B$8:$B$125,0),MATCH(S$1,Table_4._Residential_Sector_Key!$F$5:$AG$5,0))</f>
        <v>0.48925999999999997</v>
      </c>
      <c r="T19">
        <f>INDEX(Table_4._Residential_Sector_Key!$F$8:$AG$125,MATCH($A19,Table_4._Residential_Sector_Key!$B$8:$B$125,0),MATCH(T$1,Table_4._Residential_Sector_Key!$F$5:$AG$5,0))</f>
        <v>0.51142299999999996</v>
      </c>
      <c r="U19">
        <f>INDEX(Table_4._Residential_Sector_Key!$F$8:$AG$125,MATCH($A19,Table_4._Residential_Sector_Key!$B$8:$B$125,0),MATCH(U$1,Table_4._Residential_Sector_Key!$F$5:$AG$5,0))</f>
        <v>0.53387399999999996</v>
      </c>
      <c r="V19">
        <f>INDEX(Table_4._Residential_Sector_Key!$F$8:$AG$125,MATCH($A19,Table_4._Residential_Sector_Key!$B$8:$B$125,0),MATCH(V$1,Table_4._Residential_Sector_Key!$F$5:$AG$5,0))</f>
        <v>0.556782</v>
      </c>
      <c r="W19">
        <f>INDEX(Table_4._Residential_Sector_Key!$F$8:$AG$125,MATCH($A19,Table_4._Residential_Sector_Key!$B$8:$B$125,0),MATCH(W$1,Table_4._Residential_Sector_Key!$F$5:$AG$5,0))</f>
        <v>0.58001000000000003</v>
      </c>
      <c r="X19">
        <f>INDEX(Table_4._Residential_Sector_Key!$F$8:$AG$125,MATCH($A19,Table_4._Residential_Sector_Key!$B$8:$B$125,0),MATCH(X$1,Table_4._Residential_Sector_Key!$F$5:$AG$5,0))</f>
        <v>0.60384800000000005</v>
      </c>
      <c r="Y19">
        <f>INDEX(Table_4._Residential_Sector_Key!$F$8:$AG$125,MATCH($A19,Table_4._Residential_Sector_Key!$B$8:$B$125,0),MATCH(Y$1,Table_4._Residential_Sector_Key!$F$5:$AG$5,0))</f>
        <v>0.62805299999999997</v>
      </c>
      <c r="Z19">
        <f>INDEX(Table_4._Residential_Sector_Key!$F$8:$AG$125,MATCH($A19,Table_4._Residential_Sector_Key!$B$8:$B$125,0),MATCH(Z$1,Table_4._Residential_Sector_Key!$F$5:$AG$5,0))</f>
        <v>0.65273000000000003</v>
      </c>
      <c r="AA19">
        <f>INDEX(Table_4._Residential_Sector_Key!$F$8:$AG$125,MATCH($A19,Table_4._Residential_Sector_Key!$B$8:$B$125,0),MATCH(AA$1,Table_4._Residential_Sector_Key!$F$5:$AG$5,0))</f>
        <v>0.67815700000000001</v>
      </c>
      <c r="AB19">
        <f>INDEX(Table_4._Residential_Sector_Key!$F$8:$AG$125,MATCH($A19,Table_4._Residential_Sector_Key!$B$8:$B$125,0),MATCH(AB$1,Table_4._Residential_Sector_Key!$F$5:$AG$5,0))</f>
        <v>0.70421100000000003</v>
      </c>
      <c r="AC19">
        <f>INDEX(Table_4._Residential_Sector_Key!$F$8:$AG$125,MATCH($A19,Table_4._Residential_Sector_Key!$B$8:$B$125,0),MATCH(AC$1,Table_4._Residential_Sector_Key!$F$5:$AG$5,0))</f>
        <v>0.73085999999999995</v>
      </c>
      <c r="AD19">
        <f>INDEX(Table_4._Residential_Sector_Key!$F$8:$AG$125,MATCH($A19,Table_4._Residential_Sector_Key!$B$8:$B$125,0),MATCH(AD$1,Table_4._Residential_Sector_Key!$F$5:$AG$5,0))</f>
        <v>0.75824999999999998</v>
      </c>
      <c r="AE19">
        <f>INDEX(Table_4._Residential_Sector_Key!$F$8:$AG$125,MATCH($A19,Table_4._Residential_Sector_Key!$B$8:$B$125,0),MATCH(AE$1,Table_4._Residential_Sector_Key!$F$5:$AG$5,0))</f>
        <v>0.78616600000000003</v>
      </c>
      <c r="AF19">
        <f>INDEX(Table_4._Residential_Sector_Key!$F$8:$AG$125,MATCH($A19,Table_4._Residential_Sector_Key!$B$8:$B$125,0),MATCH(AF$1,Table_4._Residential_Sector_Key!$F$5:$AG$5,0))</f>
        <v>0.81450900000000004</v>
      </c>
    </row>
    <row r="20" spans="1:32" x14ac:dyDescent="0.25">
      <c r="A20" t="s">
        <v>468</v>
      </c>
      <c r="B20" t="str">
        <f t="shared" si="0"/>
        <v>residential-total-electricity (BTU)</v>
      </c>
      <c r="C20" t="s">
        <v>736</v>
      </c>
      <c r="D20" s="93" t="s">
        <v>735</v>
      </c>
      <c r="E20" s="1" t="s">
        <v>11</v>
      </c>
      <c r="F20" s="75">
        <f>INDEX(Table_4._Residential_Sector_Key!$F$8:$AG$125,MATCH($A20,Table_4._Residential_Sector_Key!$B$8:$B$125,0),MATCH(F$1,Table_4._Residential_Sector_Key!$F$5:$AG$5,0))</f>
        <v>5.1419589999999999</v>
      </c>
      <c r="G20">
        <f>INDEX(Table_4._Residential_Sector_Key!$F$8:$AG$125,MATCH($A20,Table_4._Residential_Sector_Key!$B$8:$B$125,0),MATCH(G$1,Table_4._Residential_Sector_Key!$F$5:$AG$5,0))</f>
        <v>5.0818560000000002</v>
      </c>
      <c r="H20">
        <f>INDEX(Table_4._Residential_Sector_Key!$F$8:$AG$125,MATCH($A20,Table_4._Residential_Sector_Key!$B$8:$B$125,0),MATCH(H$1,Table_4._Residential_Sector_Key!$F$5:$AG$5,0))</f>
        <v>5.1550609999999999</v>
      </c>
      <c r="I20">
        <f>INDEX(Table_4._Residential_Sector_Key!$F$8:$AG$125,MATCH($A20,Table_4._Residential_Sector_Key!$B$8:$B$125,0),MATCH(I$1,Table_4._Residential_Sector_Key!$F$5:$AG$5,0))</f>
        <v>5.2452139999999998</v>
      </c>
      <c r="J20">
        <f>INDEX(Table_4._Residential_Sector_Key!$F$8:$AG$125,MATCH($A20,Table_4._Residential_Sector_Key!$B$8:$B$125,0),MATCH(J$1,Table_4._Residential_Sector_Key!$F$5:$AG$5,0))</f>
        <v>5.322819</v>
      </c>
      <c r="K20">
        <f>INDEX(Table_4._Residential_Sector_Key!$F$8:$AG$125,MATCH($A20,Table_4._Residential_Sector_Key!$B$8:$B$125,0),MATCH(K$1,Table_4._Residential_Sector_Key!$F$5:$AG$5,0))</f>
        <v>5.3769489999999998</v>
      </c>
      <c r="L20">
        <f>INDEX(Table_4._Residential_Sector_Key!$F$8:$AG$125,MATCH($A20,Table_4._Residential_Sector_Key!$B$8:$B$125,0),MATCH(L$1,Table_4._Residential_Sector_Key!$F$5:$AG$5,0))</f>
        <v>5.4233330000000004</v>
      </c>
      <c r="M20">
        <f>INDEX(Table_4._Residential_Sector_Key!$F$8:$AG$125,MATCH($A20,Table_4._Residential_Sector_Key!$B$8:$B$125,0),MATCH(M$1,Table_4._Residential_Sector_Key!$F$5:$AG$5,0))</f>
        <v>5.4611330000000002</v>
      </c>
      <c r="N20">
        <f>INDEX(Table_4._Residential_Sector_Key!$F$8:$AG$125,MATCH($A20,Table_4._Residential_Sector_Key!$B$8:$B$125,0),MATCH(N$1,Table_4._Residential_Sector_Key!$F$5:$AG$5,0))</f>
        <v>5.5124630000000003</v>
      </c>
      <c r="O20">
        <f>INDEX(Table_4._Residential_Sector_Key!$F$8:$AG$125,MATCH($A20,Table_4._Residential_Sector_Key!$B$8:$B$125,0),MATCH(O$1,Table_4._Residential_Sector_Key!$F$5:$AG$5,0))</f>
        <v>5.5711320000000004</v>
      </c>
      <c r="P20">
        <f>INDEX(Table_4._Residential_Sector_Key!$F$8:$AG$125,MATCH($A20,Table_4._Residential_Sector_Key!$B$8:$B$125,0),MATCH(P$1,Table_4._Residential_Sector_Key!$F$5:$AG$5,0))</f>
        <v>5.6408139999999998</v>
      </c>
      <c r="Q20">
        <f>INDEX(Table_4._Residential_Sector_Key!$F$8:$AG$125,MATCH($A20,Table_4._Residential_Sector_Key!$B$8:$B$125,0),MATCH(Q$1,Table_4._Residential_Sector_Key!$F$5:$AG$5,0))</f>
        <v>5.7288100000000002</v>
      </c>
      <c r="R20">
        <f>INDEX(Table_4._Residential_Sector_Key!$F$8:$AG$125,MATCH($A20,Table_4._Residential_Sector_Key!$B$8:$B$125,0),MATCH(R$1,Table_4._Residential_Sector_Key!$F$5:$AG$5,0))</f>
        <v>5.8297990000000004</v>
      </c>
      <c r="S20">
        <f>INDEX(Table_4._Residential_Sector_Key!$F$8:$AG$125,MATCH($A20,Table_4._Residential_Sector_Key!$B$8:$B$125,0),MATCH(S$1,Table_4._Residential_Sector_Key!$F$5:$AG$5,0))</f>
        <v>5.9373849999999999</v>
      </c>
      <c r="T20">
        <f>INDEX(Table_4._Residential_Sector_Key!$F$8:$AG$125,MATCH($A20,Table_4._Residential_Sector_Key!$B$8:$B$125,0),MATCH(T$1,Table_4._Residential_Sector_Key!$F$5:$AG$5,0))</f>
        <v>6.0391579999999996</v>
      </c>
      <c r="U20">
        <f>INDEX(Table_4._Residential_Sector_Key!$F$8:$AG$125,MATCH($A20,Table_4._Residential_Sector_Key!$B$8:$B$125,0),MATCH(U$1,Table_4._Residential_Sector_Key!$F$5:$AG$5,0))</f>
        <v>6.1413840000000004</v>
      </c>
      <c r="V20">
        <f>INDEX(Table_4._Residential_Sector_Key!$F$8:$AG$125,MATCH($A20,Table_4._Residential_Sector_Key!$B$8:$B$125,0),MATCH(V$1,Table_4._Residential_Sector_Key!$F$5:$AG$5,0))</f>
        <v>6.2388180000000002</v>
      </c>
      <c r="W20">
        <f>INDEX(Table_4._Residential_Sector_Key!$F$8:$AG$125,MATCH($A20,Table_4._Residential_Sector_Key!$B$8:$B$125,0),MATCH(W$1,Table_4._Residential_Sector_Key!$F$5:$AG$5,0))</f>
        <v>6.3311729999999997</v>
      </c>
      <c r="X20">
        <f>INDEX(Table_4._Residential_Sector_Key!$F$8:$AG$125,MATCH($A20,Table_4._Residential_Sector_Key!$B$8:$B$125,0),MATCH(X$1,Table_4._Residential_Sector_Key!$F$5:$AG$5,0))</f>
        <v>6.4198649999999997</v>
      </c>
      <c r="Y20">
        <f>INDEX(Table_4._Residential_Sector_Key!$F$8:$AG$125,MATCH($A20,Table_4._Residential_Sector_Key!$B$8:$B$125,0),MATCH(Y$1,Table_4._Residential_Sector_Key!$F$5:$AG$5,0))</f>
        <v>6.5056719999999997</v>
      </c>
      <c r="Z20">
        <f>INDEX(Table_4._Residential_Sector_Key!$F$8:$AG$125,MATCH($A20,Table_4._Residential_Sector_Key!$B$8:$B$125,0),MATCH(Z$1,Table_4._Residential_Sector_Key!$F$5:$AG$5,0))</f>
        <v>6.5845539999999998</v>
      </c>
      <c r="AA20">
        <f>INDEX(Table_4._Residential_Sector_Key!$F$8:$AG$125,MATCH($A20,Table_4._Residential_Sector_Key!$B$8:$B$125,0),MATCH(AA$1,Table_4._Residential_Sector_Key!$F$5:$AG$5,0))</f>
        <v>6.6577099999999998</v>
      </c>
      <c r="AB20">
        <f>INDEX(Table_4._Residential_Sector_Key!$F$8:$AG$125,MATCH($A20,Table_4._Residential_Sector_Key!$B$8:$B$125,0),MATCH(AB$1,Table_4._Residential_Sector_Key!$F$5:$AG$5,0))</f>
        <v>6.7266360000000001</v>
      </c>
      <c r="AC20">
        <f>INDEX(Table_4._Residential_Sector_Key!$F$8:$AG$125,MATCH($A20,Table_4._Residential_Sector_Key!$B$8:$B$125,0),MATCH(AC$1,Table_4._Residential_Sector_Key!$F$5:$AG$5,0))</f>
        <v>6.7912429999999997</v>
      </c>
      <c r="AD20">
        <f>INDEX(Table_4._Residential_Sector_Key!$F$8:$AG$125,MATCH($A20,Table_4._Residential_Sector_Key!$B$8:$B$125,0),MATCH(AD$1,Table_4._Residential_Sector_Key!$F$5:$AG$5,0))</f>
        <v>6.8512969999999997</v>
      </c>
      <c r="AE20">
        <f>INDEX(Table_4._Residential_Sector_Key!$F$8:$AG$125,MATCH($A20,Table_4._Residential_Sector_Key!$B$8:$B$125,0),MATCH(AE$1,Table_4._Residential_Sector_Key!$F$5:$AG$5,0))</f>
        <v>6.9095329999999997</v>
      </c>
      <c r="AF20">
        <f>INDEX(Table_4._Residential_Sector_Key!$F$8:$AG$125,MATCH($A20,Table_4._Residential_Sector_Key!$B$8:$B$125,0),MATCH(AF$1,Table_4._Residential_Sector_Key!$F$5:$AG$5,0))</f>
        <v>6.9646140000000001</v>
      </c>
    </row>
    <row r="21" spans="1:32" x14ac:dyDescent="0.25">
      <c r="A21" t="s">
        <v>465</v>
      </c>
      <c r="B21" t="str">
        <f t="shared" si="0"/>
        <v>residential-heating-natural gas (BTU)</v>
      </c>
      <c r="C21" t="s">
        <v>736</v>
      </c>
      <c r="D21" s="93" t="s">
        <v>730</v>
      </c>
      <c r="E21" s="1" t="s">
        <v>13</v>
      </c>
      <c r="F21" s="75">
        <f>INDEX(Table_4._Residential_Sector_Key!$F$8:$AG$125,MATCH($A21,Table_4._Residential_Sector_Key!$B$8:$B$125,0),MATCH(F$1,Table_4._Residential_Sector_Key!$F$5:$AG$5,0))</f>
        <v>2.7779120000000002</v>
      </c>
      <c r="G21">
        <f>INDEX(Table_4._Residential_Sector_Key!$F$8:$AG$125,MATCH($A21,Table_4._Residential_Sector_Key!$B$8:$B$125,0),MATCH(G$1,Table_4._Residential_Sector_Key!$F$5:$AG$5,0))</f>
        <v>3.1266400000000001</v>
      </c>
      <c r="H21">
        <f>INDEX(Table_4._Residential_Sector_Key!$F$8:$AG$125,MATCH($A21,Table_4._Residential_Sector_Key!$B$8:$B$125,0),MATCH(H$1,Table_4._Residential_Sector_Key!$F$5:$AG$5,0))</f>
        <v>3.1416040000000001</v>
      </c>
      <c r="I21">
        <f>INDEX(Table_4._Residential_Sector_Key!$F$8:$AG$125,MATCH($A21,Table_4._Residential_Sector_Key!$B$8:$B$125,0),MATCH(I$1,Table_4._Residential_Sector_Key!$F$5:$AG$5,0))</f>
        <v>3.1467909999999999</v>
      </c>
      <c r="J21">
        <f>INDEX(Table_4._Residential_Sector_Key!$F$8:$AG$125,MATCH($A21,Table_4._Residential_Sector_Key!$B$8:$B$125,0),MATCH(J$1,Table_4._Residential_Sector_Key!$F$5:$AG$5,0))</f>
        <v>3.143392</v>
      </c>
      <c r="K21">
        <f>INDEX(Table_4._Residential_Sector_Key!$F$8:$AG$125,MATCH($A21,Table_4._Residential_Sector_Key!$B$8:$B$125,0),MATCH(K$1,Table_4._Residential_Sector_Key!$F$5:$AG$5,0))</f>
        <v>3.126671</v>
      </c>
      <c r="L21">
        <f>INDEX(Table_4._Residential_Sector_Key!$F$8:$AG$125,MATCH($A21,Table_4._Residential_Sector_Key!$B$8:$B$125,0),MATCH(L$1,Table_4._Residential_Sector_Key!$F$5:$AG$5,0))</f>
        <v>3.103113</v>
      </c>
      <c r="M21">
        <f>INDEX(Table_4._Residential_Sector_Key!$F$8:$AG$125,MATCH($A21,Table_4._Residential_Sector_Key!$B$8:$B$125,0),MATCH(M$1,Table_4._Residential_Sector_Key!$F$5:$AG$5,0))</f>
        <v>3.0698919999999998</v>
      </c>
      <c r="N21">
        <f>INDEX(Table_4._Residential_Sector_Key!$F$8:$AG$125,MATCH($A21,Table_4._Residential_Sector_Key!$B$8:$B$125,0),MATCH(N$1,Table_4._Residential_Sector_Key!$F$5:$AG$5,0))</f>
        <v>3.0261269999999998</v>
      </c>
      <c r="O21">
        <f>INDEX(Table_4._Residential_Sector_Key!$F$8:$AG$125,MATCH($A21,Table_4._Residential_Sector_Key!$B$8:$B$125,0),MATCH(O$1,Table_4._Residential_Sector_Key!$F$5:$AG$5,0))</f>
        <v>2.9876309999999999</v>
      </c>
      <c r="P21">
        <f>INDEX(Table_4._Residential_Sector_Key!$F$8:$AG$125,MATCH($A21,Table_4._Residential_Sector_Key!$B$8:$B$125,0),MATCH(P$1,Table_4._Residential_Sector_Key!$F$5:$AG$5,0))</f>
        <v>2.9467919999999999</v>
      </c>
      <c r="Q21">
        <f>INDEX(Table_4._Residential_Sector_Key!$F$8:$AG$125,MATCH($A21,Table_4._Residential_Sector_Key!$B$8:$B$125,0),MATCH(Q$1,Table_4._Residential_Sector_Key!$F$5:$AG$5,0))</f>
        <v>2.9121990000000002</v>
      </c>
      <c r="R21">
        <f>INDEX(Table_4._Residential_Sector_Key!$F$8:$AG$125,MATCH($A21,Table_4._Residential_Sector_Key!$B$8:$B$125,0),MATCH(R$1,Table_4._Residential_Sector_Key!$F$5:$AG$5,0))</f>
        <v>2.8835510000000002</v>
      </c>
      <c r="S21">
        <f>INDEX(Table_4._Residential_Sector_Key!$F$8:$AG$125,MATCH($A21,Table_4._Residential_Sector_Key!$B$8:$B$125,0),MATCH(S$1,Table_4._Residential_Sector_Key!$F$5:$AG$5,0))</f>
        <v>2.858295</v>
      </c>
      <c r="T21">
        <f>INDEX(Table_4._Residential_Sector_Key!$F$8:$AG$125,MATCH($A21,Table_4._Residential_Sector_Key!$B$8:$B$125,0),MATCH(T$1,Table_4._Residential_Sector_Key!$F$5:$AG$5,0))</f>
        <v>2.8342960000000001</v>
      </c>
      <c r="U21">
        <f>INDEX(Table_4._Residential_Sector_Key!$F$8:$AG$125,MATCH($A21,Table_4._Residential_Sector_Key!$B$8:$B$125,0),MATCH(U$1,Table_4._Residential_Sector_Key!$F$5:$AG$5,0))</f>
        <v>2.8115399999999999</v>
      </c>
      <c r="V21">
        <f>INDEX(Table_4._Residential_Sector_Key!$F$8:$AG$125,MATCH($A21,Table_4._Residential_Sector_Key!$B$8:$B$125,0),MATCH(V$1,Table_4._Residential_Sector_Key!$F$5:$AG$5,0))</f>
        <v>2.787776</v>
      </c>
      <c r="W21">
        <f>INDEX(Table_4._Residential_Sector_Key!$F$8:$AG$125,MATCH($A21,Table_4._Residential_Sector_Key!$B$8:$B$125,0),MATCH(W$1,Table_4._Residential_Sector_Key!$F$5:$AG$5,0))</f>
        <v>2.761015</v>
      </c>
      <c r="X21">
        <f>INDEX(Table_4._Residential_Sector_Key!$F$8:$AG$125,MATCH($A21,Table_4._Residential_Sector_Key!$B$8:$B$125,0),MATCH(X$1,Table_4._Residential_Sector_Key!$F$5:$AG$5,0))</f>
        <v>2.733698</v>
      </c>
      <c r="Y21">
        <f>INDEX(Table_4._Residential_Sector_Key!$F$8:$AG$125,MATCH($A21,Table_4._Residential_Sector_Key!$B$8:$B$125,0),MATCH(Y$1,Table_4._Residential_Sector_Key!$F$5:$AG$5,0))</f>
        <v>2.7065130000000002</v>
      </c>
      <c r="Z21">
        <f>INDEX(Table_4._Residential_Sector_Key!$F$8:$AG$125,MATCH($A21,Table_4._Residential_Sector_Key!$B$8:$B$125,0),MATCH(Z$1,Table_4._Residential_Sector_Key!$F$5:$AG$5,0))</f>
        <v>2.6808649999999998</v>
      </c>
      <c r="AA21">
        <f>INDEX(Table_4._Residential_Sector_Key!$F$8:$AG$125,MATCH($A21,Table_4._Residential_Sector_Key!$B$8:$B$125,0),MATCH(AA$1,Table_4._Residential_Sector_Key!$F$5:$AG$5,0))</f>
        <v>2.6572309999999999</v>
      </c>
      <c r="AB21">
        <f>INDEX(Table_4._Residential_Sector_Key!$F$8:$AG$125,MATCH($A21,Table_4._Residential_Sector_Key!$B$8:$B$125,0),MATCH(AB$1,Table_4._Residential_Sector_Key!$F$5:$AG$5,0))</f>
        <v>2.634207</v>
      </c>
      <c r="AC21">
        <f>INDEX(Table_4._Residential_Sector_Key!$F$8:$AG$125,MATCH($A21,Table_4._Residential_Sector_Key!$B$8:$B$125,0),MATCH(AC$1,Table_4._Residential_Sector_Key!$F$5:$AG$5,0))</f>
        <v>2.6119029999999999</v>
      </c>
      <c r="AD21">
        <f>INDEX(Table_4._Residential_Sector_Key!$F$8:$AG$125,MATCH($A21,Table_4._Residential_Sector_Key!$B$8:$B$125,0),MATCH(AD$1,Table_4._Residential_Sector_Key!$F$5:$AG$5,0))</f>
        <v>2.5905279999999999</v>
      </c>
      <c r="AE21">
        <f>INDEX(Table_4._Residential_Sector_Key!$F$8:$AG$125,MATCH($A21,Table_4._Residential_Sector_Key!$B$8:$B$125,0),MATCH(AE$1,Table_4._Residential_Sector_Key!$F$5:$AG$5,0))</f>
        <v>2.5696650000000001</v>
      </c>
      <c r="AF21">
        <f>INDEX(Table_4._Residential_Sector_Key!$F$8:$AG$125,MATCH($A21,Table_4._Residential_Sector_Key!$B$8:$B$125,0),MATCH(AF$1,Table_4._Residential_Sector_Key!$F$5:$AG$5,0))</f>
        <v>2.548368</v>
      </c>
    </row>
    <row r="22" spans="1:32" x14ac:dyDescent="0.25">
      <c r="A22" t="s">
        <v>463</v>
      </c>
      <c r="B22" t="str">
        <f t="shared" si="0"/>
        <v>residential-cooling-natural gas (BTU)</v>
      </c>
      <c r="C22" t="s">
        <v>736</v>
      </c>
      <c r="D22" s="93" t="s">
        <v>731</v>
      </c>
      <c r="E22" s="1" t="s">
        <v>13</v>
      </c>
      <c r="F22" s="75">
        <f>INDEX(Table_4._Residential_Sector_Key!$F$8:$AG$125,MATCH($A22,Table_4._Residential_Sector_Key!$B$8:$B$125,0),MATCH(F$1,Table_4._Residential_Sector_Key!$F$5:$AG$5,0))</f>
        <v>6.3499E-2</v>
      </c>
      <c r="G22">
        <f>INDEX(Table_4._Residential_Sector_Key!$F$8:$AG$125,MATCH($A22,Table_4._Residential_Sector_Key!$B$8:$B$125,0),MATCH(G$1,Table_4._Residential_Sector_Key!$F$5:$AG$5,0))</f>
        <v>6.1038000000000002E-2</v>
      </c>
      <c r="H22">
        <f>INDEX(Table_4._Residential_Sector_Key!$F$8:$AG$125,MATCH($A22,Table_4._Residential_Sector_Key!$B$8:$B$125,0),MATCH(H$1,Table_4._Residential_Sector_Key!$F$5:$AG$5,0))</f>
        <v>6.1463999999999998E-2</v>
      </c>
      <c r="I22">
        <f>INDEX(Table_4._Residential_Sector_Key!$F$8:$AG$125,MATCH($A22,Table_4._Residential_Sector_Key!$B$8:$B$125,0),MATCH(I$1,Table_4._Residential_Sector_Key!$F$5:$AG$5,0))</f>
        <v>6.1531000000000002E-2</v>
      </c>
      <c r="J22">
        <f>INDEX(Table_4._Residential_Sector_Key!$F$8:$AG$125,MATCH($A22,Table_4._Residential_Sector_Key!$B$8:$B$125,0),MATCH(J$1,Table_4._Residential_Sector_Key!$F$5:$AG$5,0))</f>
        <v>6.1383E-2</v>
      </c>
      <c r="K22">
        <f>INDEX(Table_4._Residential_Sector_Key!$F$8:$AG$125,MATCH($A22,Table_4._Residential_Sector_Key!$B$8:$B$125,0),MATCH(K$1,Table_4._Residential_Sector_Key!$F$5:$AG$5,0))</f>
        <v>6.1147E-2</v>
      </c>
      <c r="L22">
        <f>INDEX(Table_4._Residential_Sector_Key!$F$8:$AG$125,MATCH($A22,Table_4._Residential_Sector_Key!$B$8:$B$125,0),MATCH(L$1,Table_4._Residential_Sector_Key!$F$5:$AG$5,0))</f>
        <v>6.0918E-2</v>
      </c>
      <c r="M22">
        <f>INDEX(Table_4._Residential_Sector_Key!$F$8:$AG$125,MATCH($A22,Table_4._Residential_Sector_Key!$B$8:$B$125,0),MATCH(M$1,Table_4._Residential_Sector_Key!$F$5:$AG$5,0))</f>
        <v>6.0664999999999997E-2</v>
      </c>
      <c r="N22">
        <f>INDEX(Table_4._Residential_Sector_Key!$F$8:$AG$125,MATCH($A22,Table_4._Residential_Sector_Key!$B$8:$B$125,0),MATCH(N$1,Table_4._Residential_Sector_Key!$F$5:$AG$5,0))</f>
        <v>6.0394999999999997E-2</v>
      </c>
      <c r="O22">
        <f>INDEX(Table_4._Residential_Sector_Key!$F$8:$AG$125,MATCH($A22,Table_4._Residential_Sector_Key!$B$8:$B$125,0),MATCH(O$1,Table_4._Residential_Sector_Key!$F$5:$AG$5,0))</f>
        <v>6.0146999999999999E-2</v>
      </c>
      <c r="P22">
        <f>INDEX(Table_4._Residential_Sector_Key!$F$8:$AG$125,MATCH($A22,Table_4._Residential_Sector_Key!$B$8:$B$125,0),MATCH(P$1,Table_4._Residential_Sector_Key!$F$5:$AG$5,0))</f>
        <v>5.9927000000000001E-2</v>
      </c>
      <c r="Q22">
        <f>INDEX(Table_4._Residential_Sector_Key!$F$8:$AG$125,MATCH($A22,Table_4._Residential_Sector_Key!$B$8:$B$125,0),MATCH(Q$1,Table_4._Residential_Sector_Key!$F$5:$AG$5,0))</f>
        <v>5.9806999999999999E-2</v>
      </c>
      <c r="R22">
        <f>INDEX(Table_4._Residential_Sector_Key!$F$8:$AG$125,MATCH($A22,Table_4._Residential_Sector_Key!$B$8:$B$125,0),MATCH(R$1,Table_4._Residential_Sector_Key!$F$5:$AG$5,0))</f>
        <v>5.9798999999999998E-2</v>
      </c>
      <c r="S22">
        <f>INDEX(Table_4._Residential_Sector_Key!$F$8:$AG$125,MATCH($A22,Table_4._Residential_Sector_Key!$B$8:$B$125,0),MATCH(S$1,Table_4._Residential_Sector_Key!$F$5:$AG$5,0))</f>
        <v>5.9867999999999998E-2</v>
      </c>
      <c r="T22">
        <f>INDEX(Table_4._Residential_Sector_Key!$F$8:$AG$125,MATCH($A22,Table_4._Residential_Sector_Key!$B$8:$B$125,0),MATCH(T$1,Table_4._Residential_Sector_Key!$F$5:$AG$5,0))</f>
        <v>5.9964999999999997E-2</v>
      </c>
      <c r="U22">
        <f>INDEX(Table_4._Residential_Sector_Key!$F$8:$AG$125,MATCH($A22,Table_4._Residential_Sector_Key!$B$8:$B$125,0),MATCH(U$1,Table_4._Residential_Sector_Key!$F$5:$AG$5,0))</f>
        <v>6.0137000000000003E-2</v>
      </c>
      <c r="V22">
        <f>INDEX(Table_4._Residential_Sector_Key!$F$8:$AG$125,MATCH($A22,Table_4._Residential_Sector_Key!$B$8:$B$125,0),MATCH(V$1,Table_4._Residential_Sector_Key!$F$5:$AG$5,0))</f>
        <v>6.0331000000000003E-2</v>
      </c>
      <c r="W22">
        <f>INDEX(Table_4._Residential_Sector_Key!$F$8:$AG$125,MATCH($A22,Table_4._Residential_Sector_Key!$B$8:$B$125,0),MATCH(W$1,Table_4._Residential_Sector_Key!$F$5:$AG$5,0))</f>
        <v>6.0539000000000003E-2</v>
      </c>
      <c r="X22">
        <f>INDEX(Table_4._Residential_Sector_Key!$F$8:$AG$125,MATCH($A22,Table_4._Residential_Sector_Key!$B$8:$B$125,0),MATCH(X$1,Table_4._Residential_Sector_Key!$F$5:$AG$5,0))</f>
        <v>6.0750999999999999E-2</v>
      </c>
      <c r="Y22">
        <f>INDEX(Table_4._Residential_Sector_Key!$F$8:$AG$125,MATCH($A22,Table_4._Residential_Sector_Key!$B$8:$B$125,0),MATCH(Y$1,Table_4._Residential_Sector_Key!$F$5:$AG$5,0))</f>
        <v>6.0975000000000001E-2</v>
      </c>
      <c r="Z22">
        <f>INDEX(Table_4._Residential_Sector_Key!$F$8:$AG$125,MATCH($A22,Table_4._Residential_Sector_Key!$B$8:$B$125,0),MATCH(Z$1,Table_4._Residential_Sector_Key!$F$5:$AG$5,0))</f>
        <v>6.1196E-2</v>
      </c>
      <c r="AA22">
        <f>INDEX(Table_4._Residential_Sector_Key!$F$8:$AG$125,MATCH($A22,Table_4._Residential_Sector_Key!$B$8:$B$125,0),MATCH(AA$1,Table_4._Residential_Sector_Key!$F$5:$AG$5,0))</f>
        <v>6.1400999999999997E-2</v>
      </c>
      <c r="AB22">
        <f>INDEX(Table_4._Residential_Sector_Key!$F$8:$AG$125,MATCH($A22,Table_4._Residential_Sector_Key!$B$8:$B$125,0),MATCH(AB$1,Table_4._Residential_Sector_Key!$F$5:$AG$5,0))</f>
        <v>6.1601999999999997E-2</v>
      </c>
      <c r="AC22">
        <f>INDEX(Table_4._Residential_Sector_Key!$F$8:$AG$125,MATCH($A22,Table_4._Residential_Sector_Key!$B$8:$B$125,0),MATCH(AC$1,Table_4._Residential_Sector_Key!$F$5:$AG$5,0))</f>
        <v>6.1793000000000001E-2</v>
      </c>
      <c r="AD22">
        <f>INDEX(Table_4._Residential_Sector_Key!$F$8:$AG$125,MATCH($A22,Table_4._Residential_Sector_Key!$B$8:$B$125,0),MATCH(AD$1,Table_4._Residential_Sector_Key!$F$5:$AG$5,0))</f>
        <v>6.1996999999999997E-2</v>
      </c>
      <c r="AE22">
        <f>INDEX(Table_4._Residential_Sector_Key!$F$8:$AG$125,MATCH($A22,Table_4._Residential_Sector_Key!$B$8:$B$125,0),MATCH(AE$1,Table_4._Residential_Sector_Key!$F$5:$AG$5,0))</f>
        <v>6.2198999999999997E-2</v>
      </c>
      <c r="AF22">
        <f>INDEX(Table_4._Residential_Sector_Key!$F$8:$AG$125,MATCH($A22,Table_4._Residential_Sector_Key!$B$8:$B$125,0),MATCH(AF$1,Table_4._Residential_Sector_Key!$F$5:$AG$5,0))</f>
        <v>6.2392000000000003E-2</v>
      </c>
    </row>
    <row r="23" spans="1:32" x14ac:dyDescent="0.25">
      <c r="A23" t="s">
        <v>461</v>
      </c>
      <c r="B23" t="str">
        <f t="shared" si="0"/>
        <v>residential-appliances-natural gas (BTU)</v>
      </c>
      <c r="C23" t="s">
        <v>736</v>
      </c>
      <c r="D23" s="93" t="s">
        <v>732</v>
      </c>
      <c r="E23" s="1" t="s">
        <v>13</v>
      </c>
      <c r="F23" s="75">
        <f>INDEX(Table_4._Residential_Sector_Key!$F$8:$AG$125,MATCH($A23,Table_4._Residential_Sector_Key!$B$8:$B$125,0),MATCH(F$1,Table_4._Residential_Sector_Key!$F$5:$AG$5,0))</f>
        <v>1.035874</v>
      </c>
      <c r="G23">
        <f>INDEX(Table_4._Residential_Sector_Key!$F$8:$AG$125,MATCH($A23,Table_4._Residential_Sector_Key!$B$8:$B$125,0),MATCH(G$1,Table_4._Residential_Sector_Key!$F$5:$AG$5,0))</f>
        <v>1.0464979999999999</v>
      </c>
      <c r="H23">
        <f>INDEX(Table_4._Residential_Sector_Key!$F$8:$AG$125,MATCH($A23,Table_4._Residential_Sector_Key!$B$8:$B$125,0),MATCH(H$1,Table_4._Residential_Sector_Key!$F$5:$AG$5,0))</f>
        <v>1.058767</v>
      </c>
      <c r="I23">
        <f>INDEX(Table_4._Residential_Sector_Key!$F$8:$AG$125,MATCH($A23,Table_4._Residential_Sector_Key!$B$8:$B$125,0),MATCH(I$1,Table_4._Residential_Sector_Key!$F$5:$AG$5,0))</f>
        <v>1.0693509999999999</v>
      </c>
      <c r="J23">
        <f>INDEX(Table_4._Residential_Sector_Key!$F$8:$AG$125,MATCH($A23,Table_4._Residential_Sector_Key!$B$8:$B$125,0),MATCH(J$1,Table_4._Residential_Sector_Key!$F$5:$AG$5,0))</f>
        <v>1.0798179999999999</v>
      </c>
      <c r="K23">
        <f>INDEX(Table_4._Residential_Sector_Key!$F$8:$AG$125,MATCH($A23,Table_4._Residential_Sector_Key!$B$8:$B$125,0),MATCH(K$1,Table_4._Residential_Sector_Key!$F$5:$AG$5,0))</f>
        <v>1.080751</v>
      </c>
      <c r="L23">
        <f>INDEX(Table_4._Residential_Sector_Key!$F$8:$AG$125,MATCH($A23,Table_4._Residential_Sector_Key!$B$8:$B$125,0),MATCH(L$1,Table_4._Residential_Sector_Key!$F$5:$AG$5,0))</f>
        <v>1.081037</v>
      </c>
      <c r="M23">
        <f>INDEX(Table_4._Residential_Sector_Key!$F$8:$AG$125,MATCH($A23,Table_4._Residential_Sector_Key!$B$8:$B$125,0),MATCH(M$1,Table_4._Residential_Sector_Key!$F$5:$AG$5,0))</f>
        <v>1.0804959999999999</v>
      </c>
      <c r="N23">
        <f>INDEX(Table_4._Residential_Sector_Key!$F$8:$AG$125,MATCH($A23,Table_4._Residential_Sector_Key!$B$8:$B$125,0),MATCH(N$1,Table_4._Residential_Sector_Key!$F$5:$AG$5,0))</f>
        <v>1.0781130000000001</v>
      </c>
      <c r="O23">
        <f>INDEX(Table_4._Residential_Sector_Key!$F$8:$AG$125,MATCH($A23,Table_4._Residential_Sector_Key!$B$8:$B$125,0),MATCH(O$1,Table_4._Residential_Sector_Key!$F$5:$AG$5,0))</f>
        <v>1.077774</v>
      </c>
      <c r="P23">
        <f>INDEX(Table_4._Residential_Sector_Key!$F$8:$AG$125,MATCH($A23,Table_4._Residential_Sector_Key!$B$8:$B$125,0),MATCH(P$1,Table_4._Residential_Sector_Key!$F$5:$AG$5,0))</f>
        <v>1.0797000000000001</v>
      </c>
      <c r="Q23">
        <f>INDEX(Table_4._Residential_Sector_Key!$F$8:$AG$125,MATCH($A23,Table_4._Residential_Sector_Key!$B$8:$B$125,0),MATCH(Q$1,Table_4._Residential_Sector_Key!$F$5:$AG$5,0))</f>
        <v>1.084282</v>
      </c>
      <c r="R23">
        <f>INDEX(Table_4._Residential_Sector_Key!$F$8:$AG$125,MATCH($A23,Table_4._Residential_Sector_Key!$B$8:$B$125,0),MATCH(R$1,Table_4._Residential_Sector_Key!$F$5:$AG$5,0))</f>
        <v>1.0888530000000001</v>
      </c>
      <c r="S23">
        <f>INDEX(Table_4._Residential_Sector_Key!$F$8:$AG$125,MATCH($A23,Table_4._Residential_Sector_Key!$B$8:$B$125,0),MATCH(S$1,Table_4._Residential_Sector_Key!$F$5:$AG$5,0))</f>
        <v>1.0934919999999999</v>
      </c>
      <c r="T23">
        <f>INDEX(Table_4._Residential_Sector_Key!$F$8:$AG$125,MATCH($A23,Table_4._Residential_Sector_Key!$B$8:$B$125,0),MATCH(T$1,Table_4._Residential_Sector_Key!$F$5:$AG$5,0))</f>
        <v>1.09762</v>
      </c>
      <c r="U23">
        <f>INDEX(Table_4._Residential_Sector_Key!$F$8:$AG$125,MATCH($A23,Table_4._Residential_Sector_Key!$B$8:$B$125,0),MATCH(U$1,Table_4._Residential_Sector_Key!$F$5:$AG$5,0))</f>
        <v>1.1012189999999999</v>
      </c>
      <c r="V23">
        <f>INDEX(Table_4._Residential_Sector_Key!$F$8:$AG$125,MATCH($A23,Table_4._Residential_Sector_Key!$B$8:$B$125,0),MATCH(V$1,Table_4._Residential_Sector_Key!$F$5:$AG$5,0))</f>
        <v>1.10365</v>
      </c>
      <c r="W23">
        <f>INDEX(Table_4._Residential_Sector_Key!$F$8:$AG$125,MATCH($A23,Table_4._Residential_Sector_Key!$B$8:$B$125,0),MATCH(W$1,Table_4._Residential_Sector_Key!$F$5:$AG$5,0))</f>
        <v>1.1040369999999999</v>
      </c>
      <c r="X23">
        <f>INDEX(Table_4._Residential_Sector_Key!$F$8:$AG$125,MATCH($A23,Table_4._Residential_Sector_Key!$B$8:$B$125,0),MATCH(X$1,Table_4._Residential_Sector_Key!$F$5:$AG$5,0))</f>
        <v>1.102943</v>
      </c>
      <c r="Y23">
        <f>INDEX(Table_4._Residential_Sector_Key!$F$8:$AG$125,MATCH($A23,Table_4._Residential_Sector_Key!$B$8:$B$125,0),MATCH(Y$1,Table_4._Residential_Sector_Key!$F$5:$AG$5,0))</f>
        <v>1.1006469999999999</v>
      </c>
      <c r="Z23">
        <f>INDEX(Table_4._Residential_Sector_Key!$F$8:$AG$125,MATCH($A23,Table_4._Residential_Sector_Key!$B$8:$B$125,0),MATCH(Z$1,Table_4._Residential_Sector_Key!$F$5:$AG$5,0))</f>
        <v>1.097807</v>
      </c>
      <c r="AA23">
        <f>INDEX(Table_4._Residential_Sector_Key!$F$8:$AG$125,MATCH($A23,Table_4._Residential_Sector_Key!$B$8:$B$125,0),MATCH(AA$1,Table_4._Residential_Sector_Key!$F$5:$AG$5,0))</f>
        <v>1.0944370000000001</v>
      </c>
      <c r="AB23">
        <f>INDEX(Table_4._Residential_Sector_Key!$F$8:$AG$125,MATCH($A23,Table_4._Residential_Sector_Key!$B$8:$B$125,0),MATCH(AB$1,Table_4._Residential_Sector_Key!$F$5:$AG$5,0))</f>
        <v>1.09026</v>
      </c>
      <c r="AC23">
        <f>INDEX(Table_4._Residential_Sector_Key!$F$8:$AG$125,MATCH($A23,Table_4._Residential_Sector_Key!$B$8:$B$125,0),MATCH(AC$1,Table_4._Residential_Sector_Key!$F$5:$AG$5,0))</f>
        <v>1.0859510000000001</v>
      </c>
      <c r="AD23">
        <f>INDEX(Table_4._Residential_Sector_Key!$F$8:$AG$125,MATCH($A23,Table_4._Residential_Sector_Key!$B$8:$B$125,0),MATCH(AD$1,Table_4._Residential_Sector_Key!$F$5:$AG$5,0))</f>
        <v>1.081866</v>
      </c>
      <c r="AE23">
        <f>INDEX(Table_4._Residential_Sector_Key!$F$8:$AG$125,MATCH($A23,Table_4._Residential_Sector_Key!$B$8:$B$125,0),MATCH(AE$1,Table_4._Residential_Sector_Key!$F$5:$AG$5,0))</f>
        <v>1.077826</v>
      </c>
      <c r="AF23">
        <f>INDEX(Table_4._Residential_Sector_Key!$F$8:$AG$125,MATCH($A23,Table_4._Residential_Sector_Key!$B$8:$B$125,0),MATCH(AF$1,Table_4._Residential_Sector_Key!$F$5:$AG$5,0))</f>
        <v>1.0741050000000001</v>
      </c>
    </row>
    <row r="24" spans="1:32" x14ac:dyDescent="0.25">
      <c r="A24" t="s">
        <v>459</v>
      </c>
      <c r="B24" t="str">
        <f t="shared" si="0"/>
        <v>residential-appliances-natural gas (BTU)</v>
      </c>
      <c r="C24" t="s">
        <v>736</v>
      </c>
      <c r="D24" s="93" t="s">
        <v>732</v>
      </c>
      <c r="E24" s="1" t="s">
        <v>13</v>
      </c>
      <c r="F24" s="75">
        <f>INDEX(Table_4._Residential_Sector_Key!$F$8:$AG$125,MATCH($A24,Table_4._Residential_Sector_Key!$B$8:$B$125,0),MATCH(F$1,Table_4._Residential_Sector_Key!$F$5:$AG$5,0))</f>
        <v>7.7838000000000004E-2</v>
      </c>
      <c r="G24">
        <f>INDEX(Table_4._Residential_Sector_Key!$F$8:$AG$125,MATCH($A24,Table_4._Residential_Sector_Key!$B$8:$B$125,0),MATCH(G$1,Table_4._Residential_Sector_Key!$F$5:$AG$5,0))</f>
        <v>7.7798999999999993E-2</v>
      </c>
      <c r="H24">
        <f>INDEX(Table_4._Residential_Sector_Key!$F$8:$AG$125,MATCH($A24,Table_4._Residential_Sector_Key!$B$8:$B$125,0),MATCH(H$1,Table_4._Residential_Sector_Key!$F$5:$AG$5,0))</f>
        <v>7.7991000000000005E-2</v>
      </c>
      <c r="I24">
        <f>INDEX(Table_4._Residential_Sector_Key!$F$8:$AG$125,MATCH($A24,Table_4._Residential_Sector_Key!$B$8:$B$125,0),MATCH(I$1,Table_4._Residential_Sector_Key!$F$5:$AG$5,0))</f>
        <v>7.8186000000000005E-2</v>
      </c>
      <c r="J24">
        <f>INDEX(Table_4._Residential_Sector_Key!$F$8:$AG$125,MATCH($A24,Table_4._Residential_Sector_Key!$B$8:$B$125,0),MATCH(J$1,Table_4._Residential_Sector_Key!$F$5:$AG$5,0))</f>
        <v>7.8378000000000003E-2</v>
      </c>
      <c r="K24">
        <f>INDEX(Table_4._Residential_Sector_Key!$F$8:$AG$125,MATCH($A24,Table_4._Residential_Sector_Key!$B$8:$B$125,0),MATCH(K$1,Table_4._Residential_Sector_Key!$F$5:$AG$5,0))</f>
        <v>7.8578999999999996E-2</v>
      </c>
      <c r="L24">
        <f>INDEX(Table_4._Residential_Sector_Key!$F$8:$AG$125,MATCH($A24,Table_4._Residential_Sector_Key!$B$8:$B$125,0),MATCH(L$1,Table_4._Residential_Sector_Key!$F$5:$AG$5,0))</f>
        <v>7.8781000000000004E-2</v>
      </c>
      <c r="M24">
        <f>INDEX(Table_4._Residential_Sector_Key!$F$8:$AG$125,MATCH($A24,Table_4._Residential_Sector_Key!$B$8:$B$125,0),MATCH(M$1,Table_4._Residential_Sector_Key!$F$5:$AG$5,0))</f>
        <v>7.8972000000000001E-2</v>
      </c>
      <c r="N24">
        <f>INDEX(Table_4._Residential_Sector_Key!$F$8:$AG$125,MATCH($A24,Table_4._Residential_Sector_Key!$B$8:$B$125,0),MATCH(N$1,Table_4._Residential_Sector_Key!$F$5:$AG$5,0))</f>
        <v>7.9144999999999993E-2</v>
      </c>
      <c r="O24">
        <f>INDEX(Table_4._Residential_Sector_Key!$F$8:$AG$125,MATCH($A24,Table_4._Residential_Sector_Key!$B$8:$B$125,0),MATCH(O$1,Table_4._Residential_Sector_Key!$F$5:$AG$5,0))</f>
        <v>7.9309000000000004E-2</v>
      </c>
      <c r="P24">
        <f>INDEX(Table_4._Residential_Sector_Key!$F$8:$AG$125,MATCH($A24,Table_4._Residential_Sector_Key!$B$8:$B$125,0),MATCH(P$1,Table_4._Residential_Sector_Key!$F$5:$AG$5,0))</f>
        <v>7.9495999999999997E-2</v>
      </c>
      <c r="Q24">
        <f>INDEX(Table_4._Residential_Sector_Key!$F$8:$AG$125,MATCH($A24,Table_4._Residential_Sector_Key!$B$8:$B$125,0),MATCH(Q$1,Table_4._Residential_Sector_Key!$F$5:$AG$5,0))</f>
        <v>7.9723000000000002E-2</v>
      </c>
      <c r="R24">
        <f>INDEX(Table_4._Residential_Sector_Key!$F$8:$AG$125,MATCH($A24,Table_4._Residential_Sector_Key!$B$8:$B$125,0),MATCH(R$1,Table_4._Residential_Sector_Key!$F$5:$AG$5,0))</f>
        <v>7.9999000000000001E-2</v>
      </c>
      <c r="S24">
        <f>INDEX(Table_4._Residential_Sector_Key!$F$8:$AG$125,MATCH($A24,Table_4._Residential_Sector_Key!$B$8:$B$125,0),MATCH(S$1,Table_4._Residential_Sector_Key!$F$5:$AG$5,0))</f>
        <v>8.0325999999999995E-2</v>
      </c>
      <c r="T24">
        <f>INDEX(Table_4._Residential_Sector_Key!$F$8:$AG$125,MATCH($A24,Table_4._Residential_Sector_Key!$B$8:$B$125,0),MATCH(T$1,Table_4._Residential_Sector_Key!$F$5:$AG$5,0))</f>
        <v>8.0726000000000006E-2</v>
      </c>
      <c r="U24">
        <f>INDEX(Table_4._Residential_Sector_Key!$F$8:$AG$125,MATCH($A24,Table_4._Residential_Sector_Key!$B$8:$B$125,0),MATCH(U$1,Table_4._Residential_Sector_Key!$F$5:$AG$5,0))</f>
        <v>8.1166000000000002E-2</v>
      </c>
      <c r="V24">
        <f>INDEX(Table_4._Residential_Sector_Key!$F$8:$AG$125,MATCH($A24,Table_4._Residential_Sector_Key!$B$8:$B$125,0),MATCH(V$1,Table_4._Residential_Sector_Key!$F$5:$AG$5,0))</f>
        <v>8.1647999999999998E-2</v>
      </c>
      <c r="W24">
        <f>INDEX(Table_4._Residential_Sector_Key!$F$8:$AG$125,MATCH($A24,Table_4._Residential_Sector_Key!$B$8:$B$125,0),MATCH(W$1,Table_4._Residential_Sector_Key!$F$5:$AG$5,0))</f>
        <v>8.2161999999999999E-2</v>
      </c>
      <c r="X24">
        <f>INDEX(Table_4._Residential_Sector_Key!$F$8:$AG$125,MATCH($A24,Table_4._Residential_Sector_Key!$B$8:$B$125,0),MATCH(X$1,Table_4._Residential_Sector_Key!$F$5:$AG$5,0))</f>
        <v>8.2699999999999996E-2</v>
      </c>
      <c r="Y24">
        <f>INDEX(Table_4._Residential_Sector_Key!$F$8:$AG$125,MATCH($A24,Table_4._Residential_Sector_Key!$B$8:$B$125,0),MATCH(Y$1,Table_4._Residential_Sector_Key!$F$5:$AG$5,0))</f>
        <v>8.3236000000000004E-2</v>
      </c>
      <c r="Z24">
        <f>INDEX(Table_4._Residential_Sector_Key!$F$8:$AG$125,MATCH($A24,Table_4._Residential_Sector_Key!$B$8:$B$125,0),MATCH(Z$1,Table_4._Residential_Sector_Key!$F$5:$AG$5,0))</f>
        <v>8.3776000000000003E-2</v>
      </c>
      <c r="AA24">
        <f>INDEX(Table_4._Residential_Sector_Key!$F$8:$AG$125,MATCH($A24,Table_4._Residential_Sector_Key!$B$8:$B$125,0),MATCH(AA$1,Table_4._Residential_Sector_Key!$F$5:$AG$5,0))</f>
        <v>8.4326999999999999E-2</v>
      </c>
      <c r="AB24">
        <f>INDEX(Table_4._Residential_Sector_Key!$F$8:$AG$125,MATCH($A24,Table_4._Residential_Sector_Key!$B$8:$B$125,0),MATCH(AB$1,Table_4._Residential_Sector_Key!$F$5:$AG$5,0))</f>
        <v>8.4889999999999993E-2</v>
      </c>
      <c r="AC24">
        <f>INDEX(Table_4._Residential_Sector_Key!$F$8:$AG$125,MATCH($A24,Table_4._Residential_Sector_Key!$B$8:$B$125,0),MATCH(AC$1,Table_4._Residential_Sector_Key!$F$5:$AG$5,0))</f>
        <v>8.5467000000000001E-2</v>
      </c>
      <c r="AD24">
        <f>INDEX(Table_4._Residential_Sector_Key!$F$8:$AG$125,MATCH($A24,Table_4._Residential_Sector_Key!$B$8:$B$125,0),MATCH(AD$1,Table_4._Residential_Sector_Key!$F$5:$AG$5,0))</f>
        <v>8.6058999999999997E-2</v>
      </c>
      <c r="AE24">
        <f>INDEX(Table_4._Residential_Sector_Key!$F$8:$AG$125,MATCH($A24,Table_4._Residential_Sector_Key!$B$8:$B$125,0),MATCH(AE$1,Table_4._Residential_Sector_Key!$F$5:$AG$5,0))</f>
        <v>8.6669999999999997E-2</v>
      </c>
      <c r="AF24">
        <f>INDEX(Table_4._Residential_Sector_Key!$F$8:$AG$125,MATCH($A24,Table_4._Residential_Sector_Key!$B$8:$B$125,0),MATCH(AF$1,Table_4._Residential_Sector_Key!$F$5:$AG$5,0))</f>
        <v>8.7302000000000005E-2</v>
      </c>
    </row>
    <row r="25" spans="1:32" x14ac:dyDescent="0.25">
      <c r="A25" t="s">
        <v>457</v>
      </c>
      <c r="B25" t="str">
        <f t="shared" si="0"/>
        <v>residential-appliances-natural gas (BTU)</v>
      </c>
      <c r="C25" t="s">
        <v>736</v>
      </c>
      <c r="D25" s="93" t="s">
        <v>732</v>
      </c>
      <c r="E25" s="1" t="s">
        <v>13</v>
      </c>
      <c r="F25" s="75">
        <f>INDEX(Table_4._Residential_Sector_Key!$F$8:$AG$125,MATCH($A25,Table_4._Residential_Sector_Key!$B$8:$B$125,0),MATCH(F$1,Table_4._Residential_Sector_Key!$F$5:$AG$5,0))</f>
        <v>3.9583E-2</v>
      </c>
      <c r="G25">
        <f>INDEX(Table_4._Residential_Sector_Key!$F$8:$AG$125,MATCH($A25,Table_4._Residential_Sector_Key!$B$8:$B$125,0),MATCH(G$1,Table_4._Residential_Sector_Key!$F$5:$AG$5,0))</f>
        <v>4.0486000000000001E-2</v>
      </c>
      <c r="H25">
        <f>INDEX(Table_4._Residential_Sector_Key!$F$8:$AG$125,MATCH($A25,Table_4._Residential_Sector_Key!$B$8:$B$125,0),MATCH(H$1,Table_4._Residential_Sector_Key!$F$5:$AG$5,0))</f>
        <v>4.1404999999999997E-2</v>
      </c>
      <c r="I25">
        <f>INDEX(Table_4._Residential_Sector_Key!$F$8:$AG$125,MATCH($A25,Table_4._Residential_Sector_Key!$B$8:$B$125,0),MATCH(I$1,Table_4._Residential_Sector_Key!$F$5:$AG$5,0))</f>
        <v>4.2257000000000003E-2</v>
      </c>
      <c r="J25">
        <f>INDEX(Table_4._Residential_Sector_Key!$F$8:$AG$125,MATCH($A25,Table_4._Residential_Sector_Key!$B$8:$B$125,0),MATCH(J$1,Table_4._Residential_Sector_Key!$F$5:$AG$5,0))</f>
        <v>4.3110000000000002E-2</v>
      </c>
      <c r="K25">
        <f>INDEX(Table_4._Residential_Sector_Key!$F$8:$AG$125,MATCH($A25,Table_4._Residential_Sector_Key!$B$8:$B$125,0),MATCH(K$1,Table_4._Residential_Sector_Key!$F$5:$AG$5,0))</f>
        <v>4.3956000000000002E-2</v>
      </c>
      <c r="L25">
        <f>INDEX(Table_4._Residential_Sector_Key!$F$8:$AG$125,MATCH($A25,Table_4._Residential_Sector_Key!$B$8:$B$125,0),MATCH(L$1,Table_4._Residential_Sector_Key!$F$5:$AG$5,0))</f>
        <v>4.4796999999999997E-2</v>
      </c>
      <c r="M25">
        <f>INDEX(Table_4._Residential_Sector_Key!$F$8:$AG$125,MATCH($A25,Table_4._Residential_Sector_Key!$B$8:$B$125,0),MATCH(M$1,Table_4._Residential_Sector_Key!$F$5:$AG$5,0))</f>
        <v>4.5565000000000001E-2</v>
      </c>
      <c r="N25">
        <f>INDEX(Table_4._Residential_Sector_Key!$F$8:$AG$125,MATCH($A25,Table_4._Residential_Sector_Key!$B$8:$B$125,0),MATCH(N$1,Table_4._Residential_Sector_Key!$F$5:$AG$5,0))</f>
        <v>4.6228999999999999E-2</v>
      </c>
      <c r="O25">
        <f>INDEX(Table_4._Residential_Sector_Key!$F$8:$AG$125,MATCH($A25,Table_4._Residential_Sector_Key!$B$8:$B$125,0),MATCH(O$1,Table_4._Residential_Sector_Key!$F$5:$AG$5,0))</f>
        <v>4.6833E-2</v>
      </c>
      <c r="P25">
        <f>INDEX(Table_4._Residential_Sector_Key!$F$8:$AG$125,MATCH($A25,Table_4._Residential_Sector_Key!$B$8:$B$125,0),MATCH(P$1,Table_4._Residential_Sector_Key!$F$5:$AG$5,0))</f>
        <v>4.7463999999999999E-2</v>
      </c>
      <c r="Q25">
        <f>INDEX(Table_4._Residential_Sector_Key!$F$8:$AG$125,MATCH($A25,Table_4._Residential_Sector_Key!$B$8:$B$125,0),MATCH(Q$1,Table_4._Residential_Sector_Key!$F$5:$AG$5,0))</f>
        <v>4.8156999999999998E-2</v>
      </c>
      <c r="R25">
        <f>INDEX(Table_4._Residential_Sector_Key!$F$8:$AG$125,MATCH($A25,Table_4._Residential_Sector_Key!$B$8:$B$125,0),MATCH(R$1,Table_4._Residential_Sector_Key!$F$5:$AG$5,0))</f>
        <v>4.8919999999999998E-2</v>
      </c>
      <c r="S25">
        <f>INDEX(Table_4._Residential_Sector_Key!$F$8:$AG$125,MATCH($A25,Table_4._Residential_Sector_Key!$B$8:$B$125,0),MATCH(S$1,Table_4._Residential_Sector_Key!$F$5:$AG$5,0))</f>
        <v>4.9718999999999999E-2</v>
      </c>
      <c r="T25">
        <f>INDEX(Table_4._Residential_Sector_Key!$F$8:$AG$125,MATCH($A25,Table_4._Residential_Sector_Key!$B$8:$B$125,0),MATCH(T$1,Table_4._Residential_Sector_Key!$F$5:$AG$5,0))</f>
        <v>5.0528000000000003E-2</v>
      </c>
      <c r="U25">
        <f>INDEX(Table_4._Residential_Sector_Key!$F$8:$AG$125,MATCH($A25,Table_4._Residential_Sector_Key!$B$8:$B$125,0),MATCH(U$1,Table_4._Residential_Sector_Key!$F$5:$AG$5,0))</f>
        <v>5.1341999999999999E-2</v>
      </c>
      <c r="V25">
        <f>INDEX(Table_4._Residential_Sector_Key!$F$8:$AG$125,MATCH($A25,Table_4._Residential_Sector_Key!$B$8:$B$125,0),MATCH(V$1,Table_4._Residential_Sector_Key!$F$5:$AG$5,0))</f>
        <v>5.2121000000000001E-2</v>
      </c>
      <c r="W25">
        <f>INDEX(Table_4._Residential_Sector_Key!$F$8:$AG$125,MATCH($A25,Table_4._Residential_Sector_Key!$B$8:$B$125,0),MATCH(W$1,Table_4._Residential_Sector_Key!$F$5:$AG$5,0))</f>
        <v>5.2833999999999999E-2</v>
      </c>
      <c r="X25">
        <f>INDEX(Table_4._Residential_Sector_Key!$F$8:$AG$125,MATCH($A25,Table_4._Residential_Sector_Key!$B$8:$B$125,0),MATCH(X$1,Table_4._Residential_Sector_Key!$F$5:$AG$5,0))</f>
        <v>5.3545000000000002E-2</v>
      </c>
      <c r="Y25">
        <f>INDEX(Table_4._Residential_Sector_Key!$F$8:$AG$125,MATCH($A25,Table_4._Residential_Sector_Key!$B$8:$B$125,0),MATCH(Y$1,Table_4._Residential_Sector_Key!$F$5:$AG$5,0))</f>
        <v>5.4265000000000001E-2</v>
      </c>
      <c r="Z25">
        <f>INDEX(Table_4._Residential_Sector_Key!$F$8:$AG$125,MATCH($A25,Table_4._Residential_Sector_Key!$B$8:$B$125,0),MATCH(Z$1,Table_4._Residential_Sector_Key!$F$5:$AG$5,0))</f>
        <v>5.5017000000000003E-2</v>
      </c>
      <c r="AA25">
        <f>INDEX(Table_4._Residential_Sector_Key!$F$8:$AG$125,MATCH($A25,Table_4._Residential_Sector_Key!$B$8:$B$125,0),MATCH(AA$1,Table_4._Residential_Sector_Key!$F$5:$AG$5,0))</f>
        <v>5.5794000000000003E-2</v>
      </c>
      <c r="AB25">
        <f>INDEX(Table_4._Residential_Sector_Key!$F$8:$AG$125,MATCH($A25,Table_4._Residential_Sector_Key!$B$8:$B$125,0),MATCH(AB$1,Table_4._Residential_Sector_Key!$F$5:$AG$5,0))</f>
        <v>5.6573999999999999E-2</v>
      </c>
      <c r="AC25">
        <f>INDEX(Table_4._Residential_Sector_Key!$F$8:$AG$125,MATCH($A25,Table_4._Residential_Sector_Key!$B$8:$B$125,0),MATCH(AC$1,Table_4._Residential_Sector_Key!$F$5:$AG$5,0))</f>
        <v>5.7376999999999997E-2</v>
      </c>
      <c r="AD25">
        <f>INDEX(Table_4._Residential_Sector_Key!$F$8:$AG$125,MATCH($A25,Table_4._Residential_Sector_Key!$B$8:$B$125,0),MATCH(AD$1,Table_4._Residential_Sector_Key!$F$5:$AG$5,0))</f>
        <v>5.8208000000000003E-2</v>
      </c>
      <c r="AE25">
        <f>INDEX(Table_4._Residential_Sector_Key!$F$8:$AG$125,MATCH($A25,Table_4._Residential_Sector_Key!$B$8:$B$125,0),MATCH(AE$1,Table_4._Residential_Sector_Key!$F$5:$AG$5,0))</f>
        <v>5.9040000000000002E-2</v>
      </c>
      <c r="AF25">
        <f>INDEX(Table_4._Residential_Sector_Key!$F$8:$AG$125,MATCH($A25,Table_4._Residential_Sector_Key!$B$8:$B$125,0),MATCH(AF$1,Table_4._Residential_Sector_Key!$F$5:$AG$5,0))</f>
        <v>5.9868999999999999E-2</v>
      </c>
    </row>
    <row r="26" spans="1:32" x14ac:dyDescent="0.25">
      <c r="A26" t="s">
        <v>455</v>
      </c>
      <c r="B26" t="str">
        <f t="shared" si="0"/>
        <v>residential-other-natural gas (BTU)</v>
      </c>
      <c r="C26" t="s">
        <v>736</v>
      </c>
      <c r="D26" s="93" t="s">
        <v>734</v>
      </c>
      <c r="E26" s="1" t="s">
        <v>13</v>
      </c>
      <c r="F26" s="75">
        <f>INDEX(Table_4._Residential_Sector_Key!$F$8:$AG$125,MATCH($A26,Table_4._Residential_Sector_Key!$B$8:$B$125,0),MATCH(F$1,Table_4._Residential_Sector_Key!$F$5:$AG$5,0))</f>
        <v>0.608734</v>
      </c>
      <c r="G26">
        <f>INDEX(Table_4._Residential_Sector_Key!$F$8:$AG$125,MATCH($A26,Table_4._Residential_Sector_Key!$B$8:$B$125,0),MATCH(G$1,Table_4._Residential_Sector_Key!$F$5:$AG$5,0))</f>
        <v>0.61374700000000004</v>
      </c>
      <c r="H26">
        <f>INDEX(Table_4._Residential_Sector_Key!$F$8:$AG$125,MATCH($A26,Table_4._Residential_Sector_Key!$B$8:$B$125,0),MATCH(H$1,Table_4._Residential_Sector_Key!$F$5:$AG$5,0))</f>
        <v>0.61829100000000004</v>
      </c>
      <c r="I26">
        <f>INDEX(Table_4._Residential_Sector_Key!$F$8:$AG$125,MATCH($A26,Table_4._Residential_Sector_Key!$B$8:$B$125,0),MATCH(I$1,Table_4._Residential_Sector_Key!$F$5:$AG$5,0))</f>
        <v>0.62139999999999995</v>
      </c>
      <c r="J26">
        <f>INDEX(Table_4._Residential_Sector_Key!$F$8:$AG$125,MATCH($A26,Table_4._Residential_Sector_Key!$B$8:$B$125,0),MATCH(J$1,Table_4._Residential_Sector_Key!$F$5:$AG$5,0))</f>
        <v>0.62352600000000002</v>
      </c>
      <c r="K26">
        <f>INDEX(Table_4._Residential_Sector_Key!$F$8:$AG$125,MATCH($A26,Table_4._Residential_Sector_Key!$B$8:$B$125,0),MATCH(K$1,Table_4._Residential_Sector_Key!$F$5:$AG$5,0))</f>
        <v>0.625004</v>
      </c>
      <c r="L26">
        <f>INDEX(Table_4._Residential_Sector_Key!$F$8:$AG$125,MATCH($A26,Table_4._Residential_Sector_Key!$B$8:$B$125,0),MATCH(L$1,Table_4._Residential_Sector_Key!$F$5:$AG$5,0))</f>
        <v>0.62587300000000001</v>
      </c>
      <c r="M26">
        <f>INDEX(Table_4._Residential_Sector_Key!$F$8:$AG$125,MATCH($A26,Table_4._Residential_Sector_Key!$B$8:$B$125,0),MATCH(M$1,Table_4._Residential_Sector_Key!$F$5:$AG$5,0))</f>
        <v>0.62536099999999994</v>
      </c>
      <c r="N26">
        <f>INDEX(Table_4._Residential_Sector_Key!$F$8:$AG$125,MATCH($A26,Table_4._Residential_Sector_Key!$B$8:$B$125,0),MATCH(N$1,Table_4._Residential_Sector_Key!$F$5:$AG$5,0))</f>
        <v>0.62306399999999995</v>
      </c>
      <c r="O26">
        <f>INDEX(Table_4._Residential_Sector_Key!$F$8:$AG$125,MATCH($A26,Table_4._Residential_Sector_Key!$B$8:$B$125,0),MATCH(O$1,Table_4._Residential_Sector_Key!$F$5:$AG$5,0))</f>
        <v>0.62010399999999999</v>
      </c>
      <c r="P26">
        <f>INDEX(Table_4._Residential_Sector_Key!$F$8:$AG$125,MATCH($A26,Table_4._Residential_Sector_Key!$B$8:$B$125,0),MATCH(P$1,Table_4._Residential_Sector_Key!$F$5:$AG$5,0))</f>
        <v>0.61758599999999997</v>
      </c>
      <c r="Q26">
        <f>INDEX(Table_4._Residential_Sector_Key!$F$8:$AG$125,MATCH($A26,Table_4._Residential_Sector_Key!$B$8:$B$125,0),MATCH(Q$1,Table_4._Residential_Sector_Key!$F$5:$AG$5,0))</f>
        <v>0.61591799999999997</v>
      </c>
      <c r="R26">
        <f>INDEX(Table_4._Residential_Sector_Key!$F$8:$AG$125,MATCH($A26,Table_4._Residential_Sector_Key!$B$8:$B$125,0),MATCH(R$1,Table_4._Residential_Sector_Key!$F$5:$AG$5,0))</f>
        <v>0.61514500000000005</v>
      </c>
      <c r="S26">
        <f>INDEX(Table_4._Residential_Sector_Key!$F$8:$AG$125,MATCH($A26,Table_4._Residential_Sector_Key!$B$8:$B$125,0),MATCH(S$1,Table_4._Residential_Sector_Key!$F$5:$AG$5,0))</f>
        <v>0.61492000000000002</v>
      </c>
      <c r="T26">
        <f>INDEX(Table_4._Residential_Sector_Key!$F$8:$AG$125,MATCH($A26,Table_4._Residential_Sector_Key!$B$8:$B$125,0),MATCH(T$1,Table_4._Residential_Sector_Key!$F$5:$AG$5,0))</f>
        <v>0.61489300000000002</v>
      </c>
      <c r="U26">
        <f>INDEX(Table_4._Residential_Sector_Key!$F$8:$AG$125,MATCH($A26,Table_4._Residential_Sector_Key!$B$8:$B$125,0),MATCH(U$1,Table_4._Residential_Sector_Key!$F$5:$AG$5,0))</f>
        <v>0.61509499999999995</v>
      </c>
      <c r="V26">
        <f>INDEX(Table_4._Residential_Sector_Key!$F$8:$AG$125,MATCH($A26,Table_4._Residential_Sector_Key!$B$8:$B$125,0),MATCH(V$1,Table_4._Residential_Sector_Key!$F$5:$AG$5,0))</f>
        <v>0.61511800000000005</v>
      </c>
      <c r="W26">
        <f>INDEX(Table_4._Residential_Sector_Key!$F$8:$AG$125,MATCH($A26,Table_4._Residential_Sector_Key!$B$8:$B$125,0),MATCH(W$1,Table_4._Residential_Sector_Key!$F$5:$AG$5,0))</f>
        <v>0.61462099999999997</v>
      </c>
      <c r="X26">
        <f>INDEX(Table_4._Residential_Sector_Key!$F$8:$AG$125,MATCH($A26,Table_4._Residential_Sector_Key!$B$8:$B$125,0),MATCH(X$1,Table_4._Residential_Sector_Key!$F$5:$AG$5,0))</f>
        <v>0.61387800000000003</v>
      </c>
      <c r="Y26">
        <f>INDEX(Table_4._Residential_Sector_Key!$F$8:$AG$125,MATCH($A26,Table_4._Residential_Sector_Key!$B$8:$B$125,0),MATCH(Y$1,Table_4._Residential_Sector_Key!$F$5:$AG$5,0))</f>
        <v>0.61306300000000002</v>
      </c>
      <c r="Z26">
        <f>INDEX(Table_4._Residential_Sector_Key!$F$8:$AG$125,MATCH($A26,Table_4._Residential_Sector_Key!$B$8:$B$125,0),MATCH(Z$1,Table_4._Residential_Sector_Key!$F$5:$AG$5,0))</f>
        <v>0.61244100000000001</v>
      </c>
      <c r="AA26">
        <f>INDEX(Table_4._Residential_Sector_Key!$F$8:$AG$125,MATCH($A26,Table_4._Residential_Sector_Key!$B$8:$B$125,0),MATCH(AA$1,Table_4._Residential_Sector_Key!$F$5:$AG$5,0))</f>
        <v>0.61188200000000004</v>
      </c>
      <c r="AB26">
        <f>INDEX(Table_4._Residential_Sector_Key!$F$8:$AG$125,MATCH($A26,Table_4._Residential_Sector_Key!$B$8:$B$125,0),MATCH(AB$1,Table_4._Residential_Sector_Key!$F$5:$AG$5,0))</f>
        <v>0.61119699999999999</v>
      </c>
      <c r="AC26">
        <f>INDEX(Table_4._Residential_Sector_Key!$F$8:$AG$125,MATCH($A26,Table_4._Residential_Sector_Key!$B$8:$B$125,0),MATCH(AC$1,Table_4._Residential_Sector_Key!$F$5:$AG$5,0))</f>
        <v>0.61064799999999997</v>
      </c>
      <c r="AD26">
        <f>INDEX(Table_4._Residential_Sector_Key!$F$8:$AG$125,MATCH($A26,Table_4._Residential_Sector_Key!$B$8:$B$125,0),MATCH(AD$1,Table_4._Residential_Sector_Key!$F$5:$AG$5,0))</f>
        <v>0.61027100000000001</v>
      </c>
      <c r="AE26">
        <f>INDEX(Table_4._Residential_Sector_Key!$F$8:$AG$125,MATCH($A26,Table_4._Residential_Sector_Key!$B$8:$B$125,0),MATCH(AE$1,Table_4._Residential_Sector_Key!$F$5:$AG$5,0))</f>
        <v>0.60981300000000005</v>
      </c>
      <c r="AF26">
        <f>INDEX(Table_4._Residential_Sector_Key!$F$8:$AG$125,MATCH($A26,Table_4._Residential_Sector_Key!$B$8:$B$125,0),MATCH(AF$1,Table_4._Residential_Sector_Key!$F$5:$AG$5,0))</f>
        <v>0.60926899999999995</v>
      </c>
    </row>
    <row r="27" spans="1:32" x14ac:dyDescent="0.25">
      <c r="A27" t="s">
        <v>453</v>
      </c>
      <c r="B27" t="str">
        <f t="shared" si="0"/>
        <v>residential-total-natural gas (BTU)</v>
      </c>
      <c r="C27" t="s">
        <v>736</v>
      </c>
      <c r="D27" s="93" t="s">
        <v>735</v>
      </c>
      <c r="E27" s="1" t="s">
        <v>13</v>
      </c>
      <c r="F27" s="75">
        <f>INDEX(Table_4._Residential_Sector_Key!$F$8:$AG$125,MATCH($A27,Table_4._Residential_Sector_Key!$B$8:$B$125,0),MATCH(F$1,Table_4._Residential_Sector_Key!$F$5:$AG$5,0))</f>
        <v>4.60344</v>
      </c>
      <c r="G27">
        <f>INDEX(Table_4._Residential_Sector_Key!$F$8:$AG$125,MATCH($A27,Table_4._Residential_Sector_Key!$B$8:$B$125,0),MATCH(G$1,Table_4._Residential_Sector_Key!$F$5:$AG$5,0))</f>
        <v>4.966208</v>
      </c>
      <c r="H27">
        <f>INDEX(Table_4._Residential_Sector_Key!$F$8:$AG$125,MATCH($A27,Table_4._Residential_Sector_Key!$B$8:$B$125,0),MATCH(H$1,Table_4._Residential_Sector_Key!$F$5:$AG$5,0))</f>
        <v>4.9995219999999998</v>
      </c>
      <c r="I27">
        <f>INDEX(Table_4._Residential_Sector_Key!$F$8:$AG$125,MATCH($A27,Table_4._Residential_Sector_Key!$B$8:$B$125,0),MATCH(I$1,Table_4._Residential_Sector_Key!$F$5:$AG$5,0))</f>
        <v>5.0195169999999996</v>
      </c>
      <c r="J27">
        <f>INDEX(Table_4._Residential_Sector_Key!$F$8:$AG$125,MATCH($A27,Table_4._Residential_Sector_Key!$B$8:$B$125,0),MATCH(J$1,Table_4._Residential_Sector_Key!$F$5:$AG$5,0))</f>
        <v>5.0296079999999996</v>
      </c>
      <c r="K27">
        <f>INDEX(Table_4._Residential_Sector_Key!$F$8:$AG$125,MATCH($A27,Table_4._Residential_Sector_Key!$B$8:$B$125,0),MATCH(K$1,Table_4._Residential_Sector_Key!$F$5:$AG$5,0))</f>
        <v>5.016108</v>
      </c>
      <c r="L27">
        <f>INDEX(Table_4._Residential_Sector_Key!$F$8:$AG$125,MATCH($A27,Table_4._Residential_Sector_Key!$B$8:$B$125,0),MATCH(L$1,Table_4._Residential_Sector_Key!$F$5:$AG$5,0))</f>
        <v>4.9945209999999998</v>
      </c>
      <c r="M27">
        <f>INDEX(Table_4._Residential_Sector_Key!$F$8:$AG$125,MATCH($A27,Table_4._Residential_Sector_Key!$B$8:$B$125,0),MATCH(M$1,Table_4._Residential_Sector_Key!$F$5:$AG$5,0))</f>
        <v>4.9609519999999998</v>
      </c>
      <c r="N27">
        <f>INDEX(Table_4._Residential_Sector_Key!$F$8:$AG$125,MATCH($A27,Table_4._Residential_Sector_Key!$B$8:$B$125,0),MATCH(N$1,Table_4._Residential_Sector_Key!$F$5:$AG$5,0))</f>
        <v>4.9130729999999998</v>
      </c>
      <c r="O27">
        <f>INDEX(Table_4._Residential_Sector_Key!$F$8:$AG$125,MATCH($A27,Table_4._Residential_Sector_Key!$B$8:$B$125,0),MATCH(O$1,Table_4._Residential_Sector_Key!$F$5:$AG$5,0))</f>
        <v>4.8717969999999999</v>
      </c>
      <c r="P27">
        <f>INDEX(Table_4._Residential_Sector_Key!$F$8:$AG$125,MATCH($A27,Table_4._Residential_Sector_Key!$B$8:$B$125,0),MATCH(P$1,Table_4._Residential_Sector_Key!$F$5:$AG$5,0))</f>
        <v>4.830965</v>
      </c>
      <c r="Q27">
        <f>INDEX(Table_4._Residential_Sector_Key!$F$8:$AG$125,MATCH($A27,Table_4._Residential_Sector_Key!$B$8:$B$125,0),MATCH(Q$1,Table_4._Residential_Sector_Key!$F$5:$AG$5,0))</f>
        <v>4.8000860000000003</v>
      </c>
      <c r="R27">
        <f>INDEX(Table_4._Residential_Sector_Key!$F$8:$AG$125,MATCH($A27,Table_4._Residential_Sector_Key!$B$8:$B$125,0),MATCH(R$1,Table_4._Residential_Sector_Key!$F$5:$AG$5,0))</f>
        <v>4.7762690000000001</v>
      </c>
      <c r="S27">
        <f>INDEX(Table_4._Residential_Sector_Key!$F$8:$AG$125,MATCH($A27,Table_4._Residential_Sector_Key!$B$8:$B$125,0),MATCH(S$1,Table_4._Residential_Sector_Key!$F$5:$AG$5,0))</f>
        <v>4.7566199999999998</v>
      </c>
      <c r="T27">
        <f>INDEX(Table_4._Residential_Sector_Key!$F$8:$AG$125,MATCH($A27,Table_4._Residential_Sector_Key!$B$8:$B$125,0),MATCH(T$1,Table_4._Residential_Sector_Key!$F$5:$AG$5,0))</f>
        <v>4.738029</v>
      </c>
      <c r="U27">
        <f>INDEX(Table_4._Residential_Sector_Key!$F$8:$AG$125,MATCH($A27,Table_4._Residential_Sector_Key!$B$8:$B$125,0),MATCH(U$1,Table_4._Residential_Sector_Key!$F$5:$AG$5,0))</f>
        <v>4.7204990000000002</v>
      </c>
      <c r="V27">
        <f>INDEX(Table_4._Residential_Sector_Key!$F$8:$AG$125,MATCH($A27,Table_4._Residential_Sector_Key!$B$8:$B$125,0),MATCH(V$1,Table_4._Residential_Sector_Key!$F$5:$AG$5,0))</f>
        <v>4.7006449999999997</v>
      </c>
      <c r="W27">
        <f>INDEX(Table_4._Residential_Sector_Key!$F$8:$AG$125,MATCH($A27,Table_4._Residential_Sector_Key!$B$8:$B$125,0),MATCH(W$1,Table_4._Residential_Sector_Key!$F$5:$AG$5,0))</f>
        <v>4.6752089999999997</v>
      </c>
      <c r="X27">
        <f>INDEX(Table_4._Residential_Sector_Key!$F$8:$AG$125,MATCH($A27,Table_4._Residential_Sector_Key!$B$8:$B$125,0),MATCH(X$1,Table_4._Residential_Sector_Key!$F$5:$AG$5,0))</f>
        <v>4.6475150000000003</v>
      </c>
      <c r="Y27">
        <f>INDEX(Table_4._Residential_Sector_Key!$F$8:$AG$125,MATCH($A27,Table_4._Residential_Sector_Key!$B$8:$B$125,0),MATCH(Y$1,Table_4._Residential_Sector_Key!$F$5:$AG$5,0))</f>
        <v>4.6186999999999996</v>
      </c>
      <c r="Z27">
        <f>INDEX(Table_4._Residential_Sector_Key!$F$8:$AG$125,MATCH($A27,Table_4._Residential_Sector_Key!$B$8:$B$125,0),MATCH(Z$1,Table_4._Residential_Sector_Key!$F$5:$AG$5,0))</f>
        <v>4.5911010000000001</v>
      </c>
      <c r="AA27">
        <f>INDEX(Table_4._Residential_Sector_Key!$F$8:$AG$125,MATCH($A27,Table_4._Residential_Sector_Key!$B$8:$B$125,0),MATCH(AA$1,Table_4._Residential_Sector_Key!$F$5:$AG$5,0))</f>
        <v>4.5650729999999999</v>
      </c>
      <c r="AB27">
        <f>INDEX(Table_4._Residential_Sector_Key!$F$8:$AG$125,MATCH($A27,Table_4._Residential_Sector_Key!$B$8:$B$125,0),MATCH(AB$1,Table_4._Residential_Sector_Key!$F$5:$AG$5,0))</f>
        <v>4.5387300000000002</v>
      </c>
      <c r="AC27">
        <f>INDEX(Table_4._Residential_Sector_Key!$F$8:$AG$125,MATCH($A27,Table_4._Residential_Sector_Key!$B$8:$B$125,0),MATCH(AC$1,Table_4._Residential_Sector_Key!$F$5:$AG$5,0))</f>
        <v>4.5131389999999998</v>
      </c>
      <c r="AD27">
        <f>INDEX(Table_4._Residential_Sector_Key!$F$8:$AG$125,MATCH($A27,Table_4._Residential_Sector_Key!$B$8:$B$125,0),MATCH(AD$1,Table_4._Residential_Sector_Key!$F$5:$AG$5,0))</f>
        <v>4.4889289999999997</v>
      </c>
      <c r="AE27">
        <f>INDEX(Table_4._Residential_Sector_Key!$F$8:$AG$125,MATCH($A27,Table_4._Residential_Sector_Key!$B$8:$B$125,0),MATCH(AE$1,Table_4._Residential_Sector_Key!$F$5:$AG$5,0))</f>
        <v>4.4652130000000003</v>
      </c>
      <c r="AF27">
        <f>INDEX(Table_4._Residential_Sector_Key!$F$8:$AG$125,MATCH($A27,Table_4._Residential_Sector_Key!$B$8:$B$125,0),MATCH(AF$1,Table_4._Residential_Sector_Key!$F$5:$AG$5,0))</f>
        <v>4.4413049999999998</v>
      </c>
    </row>
    <row r="28" spans="1:32" x14ac:dyDescent="0.25">
      <c r="A28" t="s">
        <v>450</v>
      </c>
      <c r="B28" t="str">
        <f t="shared" si="0"/>
        <v>residential-heating-petroleum diesel (BTU)</v>
      </c>
      <c r="C28" t="s">
        <v>736</v>
      </c>
      <c r="D28" s="93" t="s">
        <v>730</v>
      </c>
      <c r="E28" s="1" t="s">
        <v>14</v>
      </c>
      <c r="F28" s="75">
        <f>INDEX(Table_4._Residential_Sector_Key!$F$8:$AG$125,MATCH($A28,Table_4._Residential_Sector_Key!$B$8:$B$125,0),MATCH(F$1,Table_4._Residential_Sector_Key!$F$5:$AG$5,0))</f>
        <v>0.37978200000000001</v>
      </c>
      <c r="G28">
        <f>INDEX(Table_4._Residential_Sector_Key!$F$8:$AG$125,MATCH($A28,Table_4._Residential_Sector_Key!$B$8:$B$125,0),MATCH(G$1,Table_4._Residential_Sector_Key!$F$5:$AG$5,0))</f>
        <v>0.41094700000000001</v>
      </c>
      <c r="H28">
        <f>INDEX(Table_4._Residential_Sector_Key!$F$8:$AG$125,MATCH($A28,Table_4._Residential_Sector_Key!$B$8:$B$125,0),MATCH(H$1,Table_4._Residential_Sector_Key!$F$5:$AG$5,0))</f>
        <v>0.40628999999999998</v>
      </c>
      <c r="I28">
        <f>INDEX(Table_4._Residential_Sector_Key!$F$8:$AG$125,MATCH($A28,Table_4._Residential_Sector_Key!$B$8:$B$125,0),MATCH(I$1,Table_4._Residential_Sector_Key!$F$5:$AG$5,0))</f>
        <v>0.39952599999999999</v>
      </c>
      <c r="J28">
        <f>INDEX(Table_4._Residential_Sector_Key!$F$8:$AG$125,MATCH($A28,Table_4._Residential_Sector_Key!$B$8:$B$125,0),MATCH(J$1,Table_4._Residential_Sector_Key!$F$5:$AG$5,0))</f>
        <v>0.39166800000000002</v>
      </c>
      <c r="K28">
        <f>INDEX(Table_4._Residential_Sector_Key!$F$8:$AG$125,MATCH($A28,Table_4._Residential_Sector_Key!$B$8:$B$125,0),MATCH(K$1,Table_4._Residential_Sector_Key!$F$5:$AG$5,0))</f>
        <v>0.38360499999999997</v>
      </c>
      <c r="L28">
        <f>INDEX(Table_4._Residential_Sector_Key!$F$8:$AG$125,MATCH($A28,Table_4._Residential_Sector_Key!$B$8:$B$125,0),MATCH(L$1,Table_4._Residential_Sector_Key!$F$5:$AG$5,0))</f>
        <v>0.37567499999999998</v>
      </c>
      <c r="M28">
        <f>INDEX(Table_4._Residential_Sector_Key!$F$8:$AG$125,MATCH($A28,Table_4._Residential_Sector_Key!$B$8:$B$125,0),MATCH(M$1,Table_4._Residential_Sector_Key!$F$5:$AG$5,0))</f>
        <v>0.36870599999999998</v>
      </c>
      <c r="N28">
        <f>INDEX(Table_4._Residential_Sector_Key!$F$8:$AG$125,MATCH($A28,Table_4._Residential_Sector_Key!$B$8:$B$125,0),MATCH(N$1,Table_4._Residential_Sector_Key!$F$5:$AG$5,0))</f>
        <v>0.36258000000000001</v>
      </c>
      <c r="O28">
        <f>INDEX(Table_4._Residential_Sector_Key!$F$8:$AG$125,MATCH($A28,Table_4._Residential_Sector_Key!$B$8:$B$125,0),MATCH(O$1,Table_4._Residential_Sector_Key!$F$5:$AG$5,0))</f>
        <v>0.35711599999999999</v>
      </c>
      <c r="P28">
        <f>INDEX(Table_4._Residential_Sector_Key!$F$8:$AG$125,MATCH($A28,Table_4._Residential_Sector_Key!$B$8:$B$125,0),MATCH(P$1,Table_4._Residential_Sector_Key!$F$5:$AG$5,0))</f>
        <v>0.35137699999999999</v>
      </c>
      <c r="Q28">
        <f>INDEX(Table_4._Residential_Sector_Key!$F$8:$AG$125,MATCH($A28,Table_4._Residential_Sector_Key!$B$8:$B$125,0),MATCH(Q$1,Table_4._Residential_Sector_Key!$F$5:$AG$5,0))</f>
        <v>0.34575699999999998</v>
      </c>
      <c r="R28">
        <f>INDEX(Table_4._Residential_Sector_Key!$F$8:$AG$125,MATCH($A28,Table_4._Residential_Sector_Key!$B$8:$B$125,0),MATCH(R$1,Table_4._Residential_Sector_Key!$F$5:$AG$5,0))</f>
        <v>0.34038200000000002</v>
      </c>
      <c r="S28">
        <f>INDEX(Table_4._Residential_Sector_Key!$F$8:$AG$125,MATCH($A28,Table_4._Residential_Sector_Key!$B$8:$B$125,0),MATCH(S$1,Table_4._Residential_Sector_Key!$F$5:$AG$5,0))</f>
        <v>0.33507999999999999</v>
      </c>
      <c r="T28">
        <f>INDEX(Table_4._Residential_Sector_Key!$F$8:$AG$125,MATCH($A28,Table_4._Residential_Sector_Key!$B$8:$B$125,0),MATCH(T$1,Table_4._Residential_Sector_Key!$F$5:$AG$5,0))</f>
        <v>0.32994400000000002</v>
      </c>
      <c r="U28">
        <f>INDEX(Table_4._Residential_Sector_Key!$F$8:$AG$125,MATCH($A28,Table_4._Residential_Sector_Key!$B$8:$B$125,0),MATCH(U$1,Table_4._Residential_Sector_Key!$F$5:$AG$5,0))</f>
        <v>0.32495400000000002</v>
      </c>
      <c r="V28">
        <f>INDEX(Table_4._Residential_Sector_Key!$F$8:$AG$125,MATCH($A28,Table_4._Residential_Sector_Key!$B$8:$B$125,0),MATCH(V$1,Table_4._Residential_Sector_Key!$F$5:$AG$5,0))</f>
        <v>0.32000299999999998</v>
      </c>
      <c r="W28">
        <f>INDEX(Table_4._Residential_Sector_Key!$F$8:$AG$125,MATCH($A28,Table_4._Residential_Sector_Key!$B$8:$B$125,0),MATCH(W$1,Table_4._Residential_Sector_Key!$F$5:$AG$5,0))</f>
        <v>0.31509399999999999</v>
      </c>
      <c r="X28">
        <f>INDEX(Table_4._Residential_Sector_Key!$F$8:$AG$125,MATCH($A28,Table_4._Residential_Sector_Key!$B$8:$B$125,0),MATCH(X$1,Table_4._Residential_Sector_Key!$F$5:$AG$5,0))</f>
        <v>0.31032399999999999</v>
      </c>
      <c r="Y28">
        <f>INDEX(Table_4._Residential_Sector_Key!$F$8:$AG$125,MATCH($A28,Table_4._Residential_Sector_Key!$B$8:$B$125,0),MATCH(Y$1,Table_4._Residential_Sector_Key!$F$5:$AG$5,0))</f>
        <v>0.30570700000000001</v>
      </c>
      <c r="Z28">
        <f>INDEX(Table_4._Residential_Sector_Key!$F$8:$AG$125,MATCH($A28,Table_4._Residential_Sector_Key!$B$8:$B$125,0),MATCH(Z$1,Table_4._Residential_Sector_Key!$F$5:$AG$5,0))</f>
        <v>0.30099999999999999</v>
      </c>
      <c r="AA28">
        <f>INDEX(Table_4._Residential_Sector_Key!$F$8:$AG$125,MATCH($A28,Table_4._Residential_Sector_Key!$B$8:$B$125,0),MATCH(AA$1,Table_4._Residential_Sector_Key!$F$5:$AG$5,0))</f>
        <v>0.29680299999999998</v>
      </c>
      <c r="AB28">
        <f>INDEX(Table_4._Residential_Sector_Key!$F$8:$AG$125,MATCH($A28,Table_4._Residential_Sector_Key!$B$8:$B$125,0),MATCH(AB$1,Table_4._Residential_Sector_Key!$F$5:$AG$5,0))</f>
        <v>0.29274600000000001</v>
      </c>
      <c r="AC28">
        <f>INDEX(Table_4._Residential_Sector_Key!$F$8:$AG$125,MATCH($A28,Table_4._Residential_Sector_Key!$B$8:$B$125,0),MATCH(AC$1,Table_4._Residential_Sector_Key!$F$5:$AG$5,0))</f>
        <v>0.28885499999999997</v>
      </c>
      <c r="AD28">
        <f>INDEX(Table_4._Residential_Sector_Key!$F$8:$AG$125,MATCH($A28,Table_4._Residential_Sector_Key!$B$8:$B$125,0),MATCH(AD$1,Table_4._Residential_Sector_Key!$F$5:$AG$5,0))</f>
        <v>0.28507300000000002</v>
      </c>
      <c r="AE28">
        <f>INDEX(Table_4._Residential_Sector_Key!$F$8:$AG$125,MATCH($A28,Table_4._Residential_Sector_Key!$B$8:$B$125,0),MATCH(AE$1,Table_4._Residential_Sector_Key!$F$5:$AG$5,0))</f>
        <v>0.281366</v>
      </c>
      <c r="AF28">
        <f>INDEX(Table_4._Residential_Sector_Key!$F$8:$AG$125,MATCH($A28,Table_4._Residential_Sector_Key!$B$8:$B$125,0),MATCH(AF$1,Table_4._Residential_Sector_Key!$F$5:$AG$5,0))</f>
        <v>0.27757900000000002</v>
      </c>
    </row>
    <row r="29" spans="1:32" x14ac:dyDescent="0.25">
      <c r="A29" t="s">
        <v>448</v>
      </c>
      <c r="B29" t="str">
        <f t="shared" si="0"/>
        <v>residential-appliances-petroleum diesel (BTU)</v>
      </c>
      <c r="C29" t="s">
        <v>736</v>
      </c>
      <c r="D29" s="93" t="s">
        <v>732</v>
      </c>
      <c r="E29" s="1" t="s">
        <v>14</v>
      </c>
      <c r="F29" s="75">
        <f>INDEX(Table_4._Residential_Sector_Key!$F$8:$AG$125,MATCH($A29,Table_4._Residential_Sector_Key!$B$8:$B$125,0),MATCH(F$1,Table_4._Residential_Sector_Key!$F$5:$AG$5,0))</f>
        <v>4.0280000000000003E-2</v>
      </c>
      <c r="G29">
        <f>INDEX(Table_4._Residential_Sector_Key!$F$8:$AG$125,MATCH($A29,Table_4._Residential_Sector_Key!$B$8:$B$125,0),MATCH(G$1,Table_4._Residential_Sector_Key!$F$5:$AG$5,0))</f>
        <v>3.8163000000000002E-2</v>
      </c>
      <c r="H29">
        <f>INDEX(Table_4._Residential_Sector_Key!$F$8:$AG$125,MATCH($A29,Table_4._Residential_Sector_Key!$B$8:$B$125,0),MATCH(H$1,Table_4._Residential_Sector_Key!$F$5:$AG$5,0))</f>
        <v>3.5938999999999999E-2</v>
      </c>
      <c r="I29">
        <f>INDEX(Table_4._Residential_Sector_Key!$F$8:$AG$125,MATCH($A29,Table_4._Residential_Sector_Key!$B$8:$B$125,0),MATCH(I$1,Table_4._Residential_Sector_Key!$F$5:$AG$5,0))</f>
        <v>3.3678E-2</v>
      </c>
      <c r="J29">
        <f>INDEX(Table_4._Residential_Sector_Key!$F$8:$AG$125,MATCH($A29,Table_4._Residential_Sector_Key!$B$8:$B$125,0),MATCH(J$1,Table_4._Residential_Sector_Key!$F$5:$AG$5,0))</f>
        <v>3.1549000000000001E-2</v>
      </c>
      <c r="K29">
        <f>INDEX(Table_4._Residential_Sector_Key!$F$8:$AG$125,MATCH($A29,Table_4._Residential_Sector_Key!$B$8:$B$125,0),MATCH(K$1,Table_4._Residential_Sector_Key!$F$5:$AG$5,0))</f>
        <v>2.9547E-2</v>
      </c>
      <c r="L29">
        <f>INDEX(Table_4._Residential_Sector_Key!$F$8:$AG$125,MATCH($A29,Table_4._Residential_Sector_Key!$B$8:$B$125,0),MATCH(L$1,Table_4._Residential_Sector_Key!$F$5:$AG$5,0))</f>
        <v>2.7810999999999999E-2</v>
      </c>
      <c r="M29">
        <f>INDEX(Table_4._Residential_Sector_Key!$F$8:$AG$125,MATCH($A29,Table_4._Residential_Sector_Key!$B$8:$B$125,0),MATCH(M$1,Table_4._Residential_Sector_Key!$F$5:$AG$5,0))</f>
        <v>2.6394000000000001E-2</v>
      </c>
      <c r="N29">
        <f>INDEX(Table_4._Residential_Sector_Key!$F$8:$AG$125,MATCH($A29,Table_4._Residential_Sector_Key!$B$8:$B$125,0),MATCH(N$1,Table_4._Residential_Sector_Key!$F$5:$AG$5,0))</f>
        <v>2.5277000000000001E-2</v>
      </c>
      <c r="O29">
        <f>INDEX(Table_4._Residential_Sector_Key!$F$8:$AG$125,MATCH($A29,Table_4._Residential_Sector_Key!$B$8:$B$125,0),MATCH(O$1,Table_4._Residential_Sector_Key!$F$5:$AG$5,0))</f>
        <v>2.4400000000000002E-2</v>
      </c>
      <c r="P29">
        <f>INDEX(Table_4._Residential_Sector_Key!$F$8:$AG$125,MATCH($A29,Table_4._Residential_Sector_Key!$B$8:$B$125,0),MATCH(P$1,Table_4._Residential_Sector_Key!$F$5:$AG$5,0))</f>
        <v>2.3768000000000001E-2</v>
      </c>
      <c r="Q29">
        <f>INDEX(Table_4._Residential_Sector_Key!$F$8:$AG$125,MATCH($A29,Table_4._Residential_Sector_Key!$B$8:$B$125,0),MATCH(Q$1,Table_4._Residential_Sector_Key!$F$5:$AG$5,0))</f>
        <v>2.3373999999999999E-2</v>
      </c>
      <c r="R29">
        <f>INDEX(Table_4._Residential_Sector_Key!$F$8:$AG$125,MATCH($A29,Table_4._Residential_Sector_Key!$B$8:$B$125,0),MATCH(R$1,Table_4._Residential_Sector_Key!$F$5:$AG$5,0))</f>
        <v>2.2939000000000001E-2</v>
      </c>
      <c r="S29">
        <f>INDEX(Table_4._Residential_Sector_Key!$F$8:$AG$125,MATCH($A29,Table_4._Residential_Sector_Key!$B$8:$B$125,0),MATCH(S$1,Table_4._Residential_Sector_Key!$F$5:$AG$5,0))</f>
        <v>2.2478999999999999E-2</v>
      </c>
      <c r="T29">
        <f>INDEX(Table_4._Residential_Sector_Key!$F$8:$AG$125,MATCH($A29,Table_4._Residential_Sector_Key!$B$8:$B$125,0),MATCH(T$1,Table_4._Residential_Sector_Key!$F$5:$AG$5,0))</f>
        <v>2.2013000000000001E-2</v>
      </c>
      <c r="U29">
        <f>INDEX(Table_4._Residential_Sector_Key!$F$8:$AG$125,MATCH($A29,Table_4._Residential_Sector_Key!$B$8:$B$125,0),MATCH(U$1,Table_4._Residential_Sector_Key!$F$5:$AG$5,0))</f>
        <v>2.154E-2</v>
      </c>
      <c r="V29">
        <f>INDEX(Table_4._Residential_Sector_Key!$F$8:$AG$125,MATCH($A29,Table_4._Residential_Sector_Key!$B$8:$B$125,0),MATCH(V$1,Table_4._Residential_Sector_Key!$F$5:$AG$5,0))</f>
        <v>2.1059000000000001E-2</v>
      </c>
      <c r="W29">
        <f>INDEX(Table_4._Residential_Sector_Key!$F$8:$AG$125,MATCH($A29,Table_4._Residential_Sector_Key!$B$8:$B$125,0),MATCH(W$1,Table_4._Residential_Sector_Key!$F$5:$AG$5,0))</f>
        <v>2.0565E-2</v>
      </c>
      <c r="X29">
        <f>INDEX(Table_4._Residential_Sector_Key!$F$8:$AG$125,MATCH($A29,Table_4._Residential_Sector_Key!$B$8:$B$125,0),MATCH(X$1,Table_4._Residential_Sector_Key!$F$5:$AG$5,0))</f>
        <v>2.0063000000000001E-2</v>
      </c>
      <c r="Y29">
        <f>INDEX(Table_4._Residential_Sector_Key!$F$8:$AG$125,MATCH($A29,Table_4._Residential_Sector_Key!$B$8:$B$125,0),MATCH(Y$1,Table_4._Residential_Sector_Key!$F$5:$AG$5,0))</f>
        <v>1.9557000000000001E-2</v>
      </c>
      <c r="Z29">
        <f>INDEX(Table_4._Residential_Sector_Key!$F$8:$AG$125,MATCH($A29,Table_4._Residential_Sector_Key!$B$8:$B$125,0),MATCH(Z$1,Table_4._Residential_Sector_Key!$F$5:$AG$5,0))</f>
        <v>1.9033999999999999E-2</v>
      </c>
      <c r="AA29">
        <f>INDEX(Table_4._Residential_Sector_Key!$F$8:$AG$125,MATCH($A29,Table_4._Residential_Sector_Key!$B$8:$B$125,0),MATCH(AA$1,Table_4._Residential_Sector_Key!$F$5:$AG$5,0))</f>
        <v>1.8539E-2</v>
      </c>
      <c r="AB29">
        <f>INDEX(Table_4._Residential_Sector_Key!$F$8:$AG$125,MATCH($A29,Table_4._Residential_Sector_Key!$B$8:$B$125,0),MATCH(AB$1,Table_4._Residential_Sector_Key!$F$5:$AG$5,0))</f>
        <v>1.8051000000000001E-2</v>
      </c>
      <c r="AC29">
        <f>INDEX(Table_4._Residential_Sector_Key!$F$8:$AG$125,MATCH($A29,Table_4._Residential_Sector_Key!$B$8:$B$125,0),MATCH(AC$1,Table_4._Residential_Sector_Key!$F$5:$AG$5,0))</f>
        <v>1.7579000000000001E-2</v>
      </c>
      <c r="AD29">
        <f>INDEX(Table_4._Residential_Sector_Key!$F$8:$AG$125,MATCH($A29,Table_4._Residential_Sector_Key!$B$8:$B$125,0),MATCH(AD$1,Table_4._Residential_Sector_Key!$F$5:$AG$5,0))</f>
        <v>1.7124E-2</v>
      </c>
      <c r="AE29">
        <f>INDEX(Table_4._Residential_Sector_Key!$F$8:$AG$125,MATCH($A29,Table_4._Residential_Sector_Key!$B$8:$B$125,0),MATCH(AE$1,Table_4._Residential_Sector_Key!$F$5:$AG$5,0))</f>
        <v>1.6685999999999999E-2</v>
      </c>
      <c r="AF29">
        <f>INDEX(Table_4._Residential_Sector_Key!$F$8:$AG$125,MATCH($A29,Table_4._Residential_Sector_Key!$B$8:$B$125,0),MATCH(AF$1,Table_4._Residential_Sector_Key!$F$5:$AG$5,0))</f>
        <v>1.6261000000000001E-2</v>
      </c>
    </row>
    <row r="30" spans="1:32" x14ac:dyDescent="0.25">
      <c r="A30" t="s">
        <v>446</v>
      </c>
      <c r="B30" t="str">
        <f t="shared" si="0"/>
        <v>residential-other-petroleum diesel (BTU)</v>
      </c>
      <c r="C30" t="s">
        <v>736</v>
      </c>
      <c r="D30" s="93" t="s">
        <v>734</v>
      </c>
      <c r="E30" s="1" t="s">
        <v>14</v>
      </c>
      <c r="F30" s="75">
        <f>INDEX(Table_4._Residential_Sector_Key!$F$8:$AG$125,MATCH($A30,Table_4._Residential_Sector_Key!$B$8:$B$125,0),MATCH(F$1,Table_4._Residential_Sector_Key!$F$5:$AG$5,0))</f>
        <v>2.5815000000000001E-2</v>
      </c>
      <c r="G30">
        <f>INDEX(Table_4._Residential_Sector_Key!$F$8:$AG$125,MATCH($A30,Table_4._Residential_Sector_Key!$B$8:$B$125,0),MATCH(G$1,Table_4._Residential_Sector_Key!$F$5:$AG$5,0))</f>
        <v>2.6124999999999999E-2</v>
      </c>
      <c r="H30">
        <f>INDEX(Table_4._Residential_Sector_Key!$F$8:$AG$125,MATCH($A30,Table_4._Residential_Sector_Key!$B$8:$B$125,0),MATCH(H$1,Table_4._Residential_Sector_Key!$F$5:$AG$5,0))</f>
        <v>2.6246999999999999E-2</v>
      </c>
      <c r="I30">
        <f>INDEX(Table_4._Residential_Sector_Key!$F$8:$AG$125,MATCH($A30,Table_4._Residential_Sector_Key!$B$8:$B$125,0),MATCH(I$1,Table_4._Residential_Sector_Key!$F$5:$AG$5,0))</f>
        <v>2.6216E-2</v>
      </c>
      <c r="J30">
        <f>INDEX(Table_4._Residential_Sector_Key!$F$8:$AG$125,MATCH($A30,Table_4._Residential_Sector_Key!$B$8:$B$125,0),MATCH(J$1,Table_4._Residential_Sector_Key!$F$5:$AG$5,0))</f>
        <v>2.6099000000000001E-2</v>
      </c>
      <c r="K30">
        <f>INDEX(Table_4._Residential_Sector_Key!$F$8:$AG$125,MATCH($A30,Table_4._Residential_Sector_Key!$B$8:$B$125,0),MATCH(K$1,Table_4._Residential_Sector_Key!$F$5:$AG$5,0))</f>
        <v>2.5951999999999999E-2</v>
      </c>
      <c r="L30">
        <f>INDEX(Table_4._Residential_Sector_Key!$F$8:$AG$125,MATCH($A30,Table_4._Residential_Sector_Key!$B$8:$B$125,0),MATCH(L$1,Table_4._Residential_Sector_Key!$F$5:$AG$5,0))</f>
        <v>2.5805000000000002E-2</v>
      </c>
      <c r="M30">
        <f>INDEX(Table_4._Residential_Sector_Key!$F$8:$AG$125,MATCH($A30,Table_4._Residential_Sector_Key!$B$8:$B$125,0),MATCH(M$1,Table_4._Residential_Sector_Key!$F$5:$AG$5,0))</f>
        <v>2.5721999999999998E-2</v>
      </c>
      <c r="N30">
        <f>INDEX(Table_4._Residential_Sector_Key!$F$8:$AG$125,MATCH($A30,Table_4._Residential_Sector_Key!$B$8:$B$125,0),MATCH(N$1,Table_4._Residential_Sector_Key!$F$5:$AG$5,0))</f>
        <v>2.5690999999999999E-2</v>
      </c>
      <c r="O30">
        <f>INDEX(Table_4._Residential_Sector_Key!$F$8:$AG$125,MATCH($A30,Table_4._Residential_Sector_Key!$B$8:$B$125,0),MATCH(O$1,Table_4._Residential_Sector_Key!$F$5:$AG$5,0))</f>
        <v>2.5659000000000001E-2</v>
      </c>
      <c r="P30">
        <f>INDEX(Table_4._Residential_Sector_Key!$F$8:$AG$125,MATCH($A30,Table_4._Residential_Sector_Key!$B$8:$B$125,0),MATCH(P$1,Table_4._Residential_Sector_Key!$F$5:$AG$5,0))</f>
        <v>2.5625999999999999E-2</v>
      </c>
      <c r="Q30">
        <f>INDEX(Table_4._Residential_Sector_Key!$F$8:$AG$125,MATCH($A30,Table_4._Residential_Sector_Key!$B$8:$B$125,0),MATCH(Q$1,Table_4._Residential_Sector_Key!$F$5:$AG$5,0))</f>
        <v>2.5586000000000001E-2</v>
      </c>
      <c r="R30">
        <f>INDEX(Table_4._Residential_Sector_Key!$F$8:$AG$125,MATCH($A30,Table_4._Residential_Sector_Key!$B$8:$B$125,0),MATCH(R$1,Table_4._Residential_Sector_Key!$F$5:$AG$5,0))</f>
        <v>2.5554E-2</v>
      </c>
      <c r="S30">
        <f>INDEX(Table_4._Residential_Sector_Key!$F$8:$AG$125,MATCH($A30,Table_4._Residential_Sector_Key!$B$8:$B$125,0),MATCH(S$1,Table_4._Residential_Sector_Key!$F$5:$AG$5,0))</f>
        <v>2.5513999999999998E-2</v>
      </c>
      <c r="T30">
        <f>INDEX(Table_4._Residential_Sector_Key!$F$8:$AG$125,MATCH($A30,Table_4._Residential_Sector_Key!$B$8:$B$125,0),MATCH(T$1,Table_4._Residential_Sector_Key!$F$5:$AG$5,0))</f>
        <v>2.5482000000000001E-2</v>
      </c>
      <c r="U30">
        <f>INDEX(Table_4._Residential_Sector_Key!$F$8:$AG$125,MATCH($A30,Table_4._Residential_Sector_Key!$B$8:$B$125,0),MATCH(U$1,Table_4._Residential_Sector_Key!$F$5:$AG$5,0))</f>
        <v>2.5454000000000001E-2</v>
      </c>
      <c r="V30">
        <f>INDEX(Table_4._Residential_Sector_Key!$F$8:$AG$125,MATCH($A30,Table_4._Residential_Sector_Key!$B$8:$B$125,0),MATCH(V$1,Table_4._Residential_Sector_Key!$F$5:$AG$5,0))</f>
        <v>2.5422E-2</v>
      </c>
      <c r="W30">
        <f>INDEX(Table_4._Residential_Sector_Key!$F$8:$AG$125,MATCH($A30,Table_4._Residential_Sector_Key!$B$8:$B$125,0),MATCH(W$1,Table_4._Residential_Sector_Key!$F$5:$AG$5,0))</f>
        <v>2.5382999999999999E-2</v>
      </c>
      <c r="X30">
        <f>INDEX(Table_4._Residential_Sector_Key!$F$8:$AG$125,MATCH($A30,Table_4._Residential_Sector_Key!$B$8:$B$125,0),MATCH(X$1,Table_4._Residential_Sector_Key!$F$5:$AG$5,0))</f>
        <v>2.5340999999999999E-2</v>
      </c>
      <c r="Y30">
        <f>INDEX(Table_4._Residential_Sector_Key!$F$8:$AG$125,MATCH($A30,Table_4._Residential_Sector_Key!$B$8:$B$125,0),MATCH(Y$1,Table_4._Residential_Sector_Key!$F$5:$AG$5,0))</f>
        <v>2.5298000000000001E-2</v>
      </c>
      <c r="Z30">
        <f>INDEX(Table_4._Residential_Sector_Key!$F$8:$AG$125,MATCH($A30,Table_4._Residential_Sector_Key!$B$8:$B$125,0),MATCH(Z$1,Table_4._Residential_Sector_Key!$F$5:$AG$5,0))</f>
        <v>2.5232999999999998E-2</v>
      </c>
      <c r="AA30">
        <f>INDEX(Table_4._Residential_Sector_Key!$F$8:$AG$125,MATCH($A30,Table_4._Residential_Sector_Key!$B$8:$B$125,0),MATCH(AA$1,Table_4._Residential_Sector_Key!$F$5:$AG$5,0))</f>
        <v>2.5201999999999999E-2</v>
      </c>
      <c r="AB30">
        <f>INDEX(Table_4._Residential_Sector_Key!$F$8:$AG$125,MATCH($A30,Table_4._Residential_Sector_Key!$B$8:$B$125,0),MATCH(AB$1,Table_4._Residential_Sector_Key!$F$5:$AG$5,0))</f>
        <v>2.5176E-2</v>
      </c>
      <c r="AC30">
        <f>INDEX(Table_4._Residential_Sector_Key!$F$8:$AG$125,MATCH($A30,Table_4._Residential_Sector_Key!$B$8:$B$125,0),MATCH(AC$1,Table_4._Residential_Sector_Key!$F$5:$AG$5,0))</f>
        <v>2.5159000000000001E-2</v>
      </c>
      <c r="AD30">
        <f>INDEX(Table_4._Residential_Sector_Key!$F$8:$AG$125,MATCH($A30,Table_4._Residential_Sector_Key!$B$8:$B$125,0),MATCH(AD$1,Table_4._Residential_Sector_Key!$F$5:$AG$5,0))</f>
        <v>2.5149000000000001E-2</v>
      </c>
      <c r="AE30">
        <f>INDEX(Table_4._Residential_Sector_Key!$F$8:$AG$125,MATCH($A30,Table_4._Residential_Sector_Key!$B$8:$B$125,0),MATCH(AE$1,Table_4._Residential_Sector_Key!$F$5:$AG$5,0))</f>
        <v>2.5135000000000001E-2</v>
      </c>
      <c r="AF30">
        <f>INDEX(Table_4._Residential_Sector_Key!$F$8:$AG$125,MATCH($A30,Table_4._Residential_Sector_Key!$B$8:$B$125,0),MATCH(AF$1,Table_4._Residential_Sector_Key!$F$5:$AG$5,0))</f>
        <v>2.5107000000000001E-2</v>
      </c>
    </row>
    <row r="31" spans="1:32" x14ac:dyDescent="0.25">
      <c r="A31" t="s">
        <v>444</v>
      </c>
      <c r="B31" t="str">
        <f t="shared" si="0"/>
        <v>residential-total-petroleum diesel (BTU)</v>
      </c>
      <c r="C31" t="s">
        <v>736</v>
      </c>
      <c r="D31" s="93" t="s">
        <v>735</v>
      </c>
      <c r="E31" s="1" t="s">
        <v>14</v>
      </c>
      <c r="F31" s="75">
        <f>INDEX(Table_4._Residential_Sector_Key!$F$8:$AG$125,MATCH($A31,Table_4._Residential_Sector_Key!$B$8:$B$125,0),MATCH(F$1,Table_4._Residential_Sector_Key!$F$5:$AG$5,0))</f>
        <v>0.44587700000000002</v>
      </c>
      <c r="G31">
        <f>INDEX(Table_4._Residential_Sector_Key!$F$8:$AG$125,MATCH($A31,Table_4._Residential_Sector_Key!$B$8:$B$125,0),MATCH(G$1,Table_4._Residential_Sector_Key!$F$5:$AG$5,0))</f>
        <v>0.47523500000000002</v>
      </c>
      <c r="H31">
        <f>INDEX(Table_4._Residential_Sector_Key!$F$8:$AG$125,MATCH($A31,Table_4._Residential_Sector_Key!$B$8:$B$125,0),MATCH(H$1,Table_4._Residential_Sector_Key!$F$5:$AG$5,0))</f>
        <v>0.468476</v>
      </c>
      <c r="I31">
        <f>INDEX(Table_4._Residential_Sector_Key!$F$8:$AG$125,MATCH($A31,Table_4._Residential_Sector_Key!$B$8:$B$125,0),MATCH(I$1,Table_4._Residential_Sector_Key!$F$5:$AG$5,0))</f>
        <v>0.45941900000000002</v>
      </c>
      <c r="J31">
        <f>INDEX(Table_4._Residential_Sector_Key!$F$8:$AG$125,MATCH($A31,Table_4._Residential_Sector_Key!$B$8:$B$125,0),MATCH(J$1,Table_4._Residential_Sector_Key!$F$5:$AG$5,0))</f>
        <v>0.44931599999999999</v>
      </c>
      <c r="K31">
        <f>INDEX(Table_4._Residential_Sector_Key!$F$8:$AG$125,MATCH($A31,Table_4._Residential_Sector_Key!$B$8:$B$125,0),MATCH(K$1,Table_4._Residential_Sector_Key!$F$5:$AG$5,0))</f>
        <v>0.43910399999999999</v>
      </c>
      <c r="L31">
        <f>INDEX(Table_4._Residential_Sector_Key!$F$8:$AG$125,MATCH($A31,Table_4._Residential_Sector_Key!$B$8:$B$125,0),MATCH(L$1,Table_4._Residential_Sector_Key!$F$5:$AG$5,0))</f>
        <v>0.42929099999999998</v>
      </c>
      <c r="M31">
        <f>INDEX(Table_4._Residential_Sector_Key!$F$8:$AG$125,MATCH($A31,Table_4._Residential_Sector_Key!$B$8:$B$125,0),MATCH(M$1,Table_4._Residential_Sector_Key!$F$5:$AG$5,0))</f>
        <v>0.42082199999999997</v>
      </c>
      <c r="N31">
        <f>INDEX(Table_4._Residential_Sector_Key!$F$8:$AG$125,MATCH($A31,Table_4._Residential_Sector_Key!$B$8:$B$125,0),MATCH(N$1,Table_4._Residential_Sector_Key!$F$5:$AG$5,0))</f>
        <v>0.413547</v>
      </c>
      <c r="O31">
        <f>INDEX(Table_4._Residential_Sector_Key!$F$8:$AG$125,MATCH($A31,Table_4._Residential_Sector_Key!$B$8:$B$125,0),MATCH(O$1,Table_4._Residential_Sector_Key!$F$5:$AG$5,0))</f>
        <v>0.40717500000000001</v>
      </c>
      <c r="P31">
        <f>INDEX(Table_4._Residential_Sector_Key!$F$8:$AG$125,MATCH($A31,Table_4._Residential_Sector_Key!$B$8:$B$125,0),MATCH(P$1,Table_4._Residential_Sector_Key!$F$5:$AG$5,0))</f>
        <v>0.40077099999999999</v>
      </c>
      <c r="Q31">
        <f>INDEX(Table_4._Residential_Sector_Key!$F$8:$AG$125,MATCH($A31,Table_4._Residential_Sector_Key!$B$8:$B$125,0),MATCH(Q$1,Table_4._Residential_Sector_Key!$F$5:$AG$5,0))</f>
        <v>0.39471600000000001</v>
      </c>
      <c r="R31">
        <f>INDEX(Table_4._Residential_Sector_Key!$F$8:$AG$125,MATCH($A31,Table_4._Residential_Sector_Key!$B$8:$B$125,0),MATCH(R$1,Table_4._Residential_Sector_Key!$F$5:$AG$5,0))</f>
        <v>0.388874</v>
      </c>
      <c r="S31">
        <f>INDEX(Table_4._Residential_Sector_Key!$F$8:$AG$125,MATCH($A31,Table_4._Residential_Sector_Key!$B$8:$B$125,0),MATCH(S$1,Table_4._Residential_Sector_Key!$F$5:$AG$5,0))</f>
        <v>0.38307400000000003</v>
      </c>
      <c r="T31">
        <f>INDEX(Table_4._Residential_Sector_Key!$F$8:$AG$125,MATCH($A31,Table_4._Residential_Sector_Key!$B$8:$B$125,0),MATCH(T$1,Table_4._Residential_Sector_Key!$F$5:$AG$5,0))</f>
        <v>0.37743900000000002</v>
      </c>
      <c r="U31">
        <f>INDEX(Table_4._Residential_Sector_Key!$F$8:$AG$125,MATCH($A31,Table_4._Residential_Sector_Key!$B$8:$B$125,0),MATCH(U$1,Table_4._Residential_Sector_Key!$F$5:$AG$5,0))</f>
        <v>0.37194899999999997</v>
      </c>
      <c r="V31">
        <f>INDEX(Table_4._Residential_Sector_Key!$F$8:$AG$125,MATCH($A31,Table_4._Residential_Sector_Key!$B$8:$B$125,0),MATCH(V$1,Table_4._Residential_Sector_Key!$F$5:$AG$5,0))</f>
        <v>0.366483</v>
      </c>
      <c r="W31">
        <f>INDEX(Table_4._Residential_Sector_Key!$F$8:$AG$125,MATCH($A31,Table_4._Residential_Sector_Key!$B$8:$B$125,0),MATCH(W$1,Table_4._Residential_Sector_Key!$F$5:$AG$5,0))</f>
        <v>0.36104199999999997</v>
      </c>
      <c r="X31">
        <f>INDEX(Table_4._Residential_Sector_Key!$F$8:$AG$125,MATCH($A31,Table_4._Residential_Sector_Key!$B$8:$B$125,0),MATCH(X$1,Table_4._Residential_Sector_Key!$F$5:$AG$5,0))</f>
        <v>0.35572900000000002</v>
      </c>
      <c r="Y31">
        <f>INDEX(Table_4._Residential_Sector_Key!$F$8:$AG$125,MATCH($A31,Table_4._Residential_Sector_Key!$B$8:$B$125,0),MATCH(Y$1,Table_4._Residential_Sector_Key!$F$5:$AG$5,0))</f>
        <v>0.35056199999999998</v>
      </c>
      <c r="Z31">
        <f>INDEX(Table_4._Residential_Sector_Key!$F$8:$AG$125,MATCH($A31,Table_4._Residential_Sector_Key!$B$8:$B$125,0),MATCH(Z$1,Table_4._Residential_Sector_Key!$F$5:$AG$5,0))</f>
        <v>0.34526699999999999</v>
      </c>
      <c r="AA31">
        <f>INDEX(Table_4._Residential_Sector_Key!$F$8:$AG$125,MATCH($A31,Table_4._Residential_Sector_Key!$B$8:$B$125,0),MATCH(AA$1,Table_4._Residential_Sector_Key!$F$5:$AG$5,0))</f>
        <v>0.34054400000000001</v>
      </c>
      <c r="AB31">
        <f>INDEX(Table_4._Residential_Sector_Key!$F$8:$AG$125,MATCH($A31,Table_4._Residential_Sector_Key!$B$8:$B$125,0),MATCH(AB$1,Table_4._Residential_Sector_Key!$F$5:$AG$5,0))</f>
        <v>0.33597300000000002</v>
      </c>
      <c r="AC31">
        <f>INDEX(Table_4._Residential_Sector_Key!$F$8:$AG$125,MATCH($A31,Table_4._Residential_Sector_Key!$B$8:$B$125,0),MATCH(AC$1,Table_4._Residential_Sector_Key!$F$5:$AG$5,0))</f>
        <v>0.331592</v>
      </c>
      <c r="AD31">
        <f>INDEX(Table_4._Residential_Sector_Key!$F$8:$AG$125,MATCH($A31,Table_4._Residential_Sector_Key!$B$8:$B$125,0),MATCH(AD$1,Table_4._Residential_Sector_Key!$F$5:$AG$5,0))</f>
        <v>0.32734600000000003</v>
      </c>
      <c r="AE31">
        <f>INDEX(Table_4._Residential_Sector_Key!$F$8:$AG$125,MATCH($A31,Table_4._Residential_Sector_Key!$B$8:$B$125,0),MATCH(AE$1,Table_4._Residential_Sector_Key!$F$5:$AG$5,0))</f>
        <v>0.32318799999999998</v>
      </c>
      <c r="AF31">
        <f>INDEX(Table_4._Residential_Sector_Key!$F$8:$AG$125,MATCH($A31,Table_4._Residential_Sector_Key!$B$8:$B$125,0),MATCH(AF$1,Table_4._Residential_Sector_Key!$F$5:$AG$5,0))</f>
        <v>0.31897500000000001</v>
      </c>
    </row>
    <row r="32" spans="1:32" x14ac:dyDescent="0.25">
      <c r="A32" t="s">
        <v>442</v>
      </c>
      <c r="B32" t="str">
        <f t="shared" si="0"/>
        <v>residential-heating-LPG propane or butane (BTU)</v>
      </c>
      <c r="C32" t="s">
        <v>736</v>
      </c>
      <c r="D32" s="93" t="s">
        <v>730</v>
      </c>
      <c r="E32" s="1" t="s">
        <v>172</v>
      </c>
      <c r="F32" s="75">
        <f>INDEX(Table_4._Residential_Sector_Key!$F$8:$AG$125,MATCH($A32,Table_4._Residential_Sector_Key!$B$8:$B$125,0),MATCH(F$1,Table_4._Residential_Sector_Key!$F$5:$AG$5,0))</f>
        <v>0.30324699999999999</v>
      </c>
      <c r="G32">
        <f>INDEX(Table_4._Residential_Sector_Key!$F$8:$AG$125,MATCH($A32,Table_4._Residential_Sector_Key!$B$8:$B$125,0),MATCH(G$1,Table_4._Residential_Sector_Key!$F$5:$AG$5,0))</f>
        <v>0.33763799999999999</v>
      </c>
      <c r="H32">
        <f>INDEX(Table_4._Residential_Sector_Key!$F$8:$AG$125,MATCH($A32,Table_4._Residential_Sector_Key!$B$8:$B$125,0),MATCH(H$1,Table_4._Residential_Sector_Key!$F$5:$AG$5,0))</f>
        <v>0.33391599999999999</v>
      </c>
      <c r="I32">
        <f>INDEX(Table_4._Residential_Sector_Key!$F$8:$AG$125,MATCH($A32,Table_4._Residential_Sector_Key!$B$8:$B$125,0),MATCH(I$1,Table_4._Residential_Sector_Key!$F$5:$AG$5,0))</f>
        <v>0.32942300000000002</v>
      </c>
      <c r="J32">
        <f>INDEX(Table_4._Residential_Sector_Key!$F$8:$AG$125,MATCH($A32,Table_4._Residential_Sector_Key!$B$8:$B$125,0),MATCH(J$1,Table_4._Residential_Sector_Key!$F$5:$AG$5,0))</f>
        <v>0.324515</v>
      </c>
      <c r="K32">
        <f>INDEX(Table_4._Residential_Sector_Key!$F$8:$AG$125,MATCH($A32,Table_4._Residential_Sector_Key!$B$8:$B$125,0),MATCH(K$1,Table_4._Residential_Sector_Key!$F$5:$AG$5,0))</f>
        <v>0.318994</v>
      </c>
      <c r="L32">
        <f>INDEX(Table_4._Residential_Sector_Key!$F$8:$AG$125,MATCH($A32,Table_4._Residential_Sector_Key!$B$8:$B$125,0),MATCH(L$1,Table_4._Residential_Sector_Key!$F$5:$AG$5,0))</f>
        <v>0.31281999999999999</v>
      </c>
      <c r="M32">
        <f>INDEX(Table_4._Residential_Sector_Key!$F$8:$AG$125,MATCH($A32,Table_4._Residential_Sector_Key!$B$8:$B$125,0),MATCH(M$1,Table_4._Residential_Sector_Key!$F$5:$AG$5,0))</f>
        <v>0.30642200000000003</v>
      </c>
      <c r="N32">
        <f>INDEX(Table_4._Residential_Sector_Key!$F$8:$AG$125,MATCH($A32,Table_4._Residential_Sector_Key!$B$8:$B$125,0),MATCH(N$1,Table_4._Residential_Sector_Key!$F$5:$AG$5,0))</f>
        <v>0.29993300000000001</v>
      </c>
      <c r="O32">
        <f>INDEX(Table_4._Residential_Sector_Key!$F$8:$AG$125,MATCH($A32,Table_4._Residential_Sector_Key!$B$8:$B$125,0),MATCH(O$1,Table_4._Residential_Sector_Key!$F$5:$AG$5,0))</f>
        <v>0.29379100000000002</v>
      </c>
      <c r="P32">
        <f>INDEX(Table_4._Residential_Sector_Key!$F$8:$AG$125,MATCH($A32,Table_4._Residential_Sector_Key!$B$8:$B$125,0),MATCH(P$1,Table_4._Residential_Sector_Key!$F$5:$AG$5,0))</f>
        <v>0.28748099999999999</v>
      </c>
      <c r="Q32">
        <f>INDEX(Table_4._Residential_Sector_Key!$F$8:$AG$125,MATCH($A32,Table_4._Residential_Sector_Key!$B$8:$B$125,0),MATCH(Q$1,Table_4._Residential_Sector_Key!$F$5:$AG$5,0))</f>
        <v>0.281694</v>
      </c>
      <c r="R32">
        <f>INDEX(Table_4._Residential_Sector_Key!$F$8:$AG$125,MATCH($A32,Table_4._Residential_Sector_Key!$B$8:$B$125,0),MATCH(R$1,Table_4._Residential_Sector_Key!$F$5:$AG$5,0))</f>
        <v>0.27654000000000001</v>
      </c>
      <c r="S32">
        <f>INDEX(Table_4._Residential_Sector_Key!$F$8:$AG$125,MATCH($A32,Table_4._Residential_Sector_Key!$B$8:$B$125,0),MATCH(S$1,Table_4._Residential_Sector_Key!$F$5:$AG$5,0))</f>
        <v>0.27193099999999998</v>
      </c>
      <c r="T32">
        <f>INDEX(Table_4._Residential_Sector_Key!$F$8:$AG$125,MATCH($A32,Table_4._Residential_Sector_Key!$B$8:$B$125,0),MATCH(T$1,Table_4._Residential_Sector_Key!$F$5:$AG$5,0))</f>
        <v>0.26767600000000003</v>
      </c>
      <c r="U32">
        <f>INDEX(Table_4._Residential_Sector_Key!$F$8:$AG$125,MATCH($A32,Table_4._Residential_Sector_Key!$B$8:$B$125,0),MATCH(U$1,Table_4._Residential_Sector_Key!$F$5:$AG$5,0))</f>
        <v>0.26374500000000001</v>
      </c>
      <c r="V32">
        <f>INDEX(Table_4._Residential_Sector_Key!$F$8:$AG$125,MATCH($A32,Table_4._Residential_Sector_Key!$B$8:$B$125,0),MATCH(V$1,Table_4._Residential_Sector_Key!$F$5:$AG$5,0))</f>
        <v>0.26008100000000001</v>
      </c>
      <c r="W32">
        <f>INDEX(Table_4._Residential_Sector_Key!$F$8:$AG$125,MATCH($A32,Table_4._Residential_Sector_Key!$B$8:$B$125,0),MATCH(W$1,Table_4._Residential_Sector_Key!$F$5:$AG$5,0))</f>
        <v>0.25654700000000003</v>
      </c>
      <c r="X32">
        <f>INDEX(Table_4._Residential_Sector_Key!$F$8:$AG$125,MATCH($A32,Table_4._Residential_Sector_Key!$B$8:$B$125,0),MATCH(X$1,Table_4._Residential_Sector_Key!$F$5:$AG$5,0))</f>
        <v>0.25313799999999997</v>
      </c>
      <c r="Y32">
        <f>INDEX(Table_4._Residential_Sector_Key!$F$8:$AG$125,MATCH($A32,Table_4._Residential_Sector_Key!$B$8:$B$125,0),MATCH(Y$1,Table_4._Residential_Sector_Key!$F$5:$AG$5,0))</f>
        <v>0.24981600000000001</v>
      </c>
      <c r="Z32">
        <f>INDEX(Table_4._Residential_Sector_Key!$F$8:$AG$125,MATCH($A32,Table_4._Residential_Sector_Key!$B$8:$B$125,0),MATCH(Z$1,Table_4._Residential_Sector_Key!$F$5:$AG$5,0))</f>
        <v>0.24665500000000001</v>
      </c>
      <c r="AA32">
        <f>INDEX(Table_4._Residential_Sector_Key!$F$8:$AG$125,MATCH($A32,Table_4._Residential_Sector_Key!$B$8:$B$125,0),MATCH(AA$1,Table_4._Residential_Sector_Key!$F$5:$AG$5,0))</f>
        <v>0.24367</v>
      </c>
      <c r="AB32">
        <f>INDEX(Table_4._Residential_Sector_Key!$F$8:$AG$125,MATCH($A32,Table_4._Residential_Sector_Key!$B$8:$B$125,0),MATCH(AB$1,Table_4._Residential_Sector_Key!$F$5:$AG$5,0))</f>
        <v>0.240954</v>
      </c>
      <c r="AC32">
        <f>INDEX(Table_4._Residential_Sector_Key!$F$8:$AG$125,MATCH($A32,Table_4._Residential_Sector_Key!$B$8:$B$125,0),MATCH(AC$1,Table_4._Residential_Sector_Key!$F$5:$AG$5,0))</f>
        <v>0.23830699999999999</v>
      </c>
      <c r="AD32">
        <f>INDEX(Table_4._Residential_Sector_Key!$F$8:$AG$125,MATCH($A32,Table_4._Residential_Sector_Key!$B$8:$B$125,0),MATCH(AD$1,Table_4._Residential_Sector_Key!$F$5:$AG$5,0))</f>
        <v>0.23568900000000001</v>
      </c>
      <c r="AE32">
        <f>INDEX(Table_4._Residential_Sector_Key!$F$8:$AG$125,MATCH($A32,Table_4._Residential_Sector_Key!$B$8:$B$125,0),MATCH(AE$1,Table_4._Residential_Sector_Key!$F$5:$AG$5,0))</f>
        <v>0.23302400000000001</v>
      </c>
      <c r="AF32">
        <f>INDEX(Table_4._Residential_Sector_Key!$F$8:$AG$125,MATCH($A32,Table_4._Residential_Sector_Key!$B$8:$B$125,0),MATCH(AF$1,Table_4._Residential_Sector_Key!$F$5:$AG$5,0))</f>
        <v>0.23016200000000001</v>
      </c>
    </row>
    <row r="33" spans="1:32" x14ac:dyDescent="0.25">
      <c r="A33" t="s">
        <v>440</v>
      </c>
      <c r="B33" t="str">
        <f t="shared" si="0"/>
        <v>residential-appliances-LPG propane or butane (BTU)</v>
      </c>
      <c r="C33" t="s">
        <v>736</v>
      </c>
      <c r="D33" s="93" t="s">
        <v>732</v>
      </c>
      <c r="E33" s="1" t="s">
        <v>172</v>
      </c>
      <c r="F33" s="75">
        <f>INDEX(Table_4._Residential_Sector_Key!$F$8:$AG$125,MATCH($A33,Table_4._Residential_Sector_Key!$B$8:$B$125,0),MATCH(F$1,Table_4._Residential_Sector_Key!$F$5:$AG$5,0))</f>
        <v>5.6641999999999998E-2</v>
      </c>
      <c r="G33">
        <f>INDEX(Table_4._Residential_Sector_Key!$F$8:$AG$125,MATCH($A33,Table_4._Residential_Sector_Key!$B$8:$B$125,0),MATCH(G$1,Table_4._Residential_Sector_Key!$F$5:$AG$5,0))</f>
        <v>5.4625E-2</v>
      </c>
      <c r="H33">
        <f>INDEX(Table_4._Residential_Sector_Key!$F$8:$AG$125,MATCH($A33,Table_4._Residential_Sector_Key!$B$8:$B$125,0),MATCH(H$1,Table_4._Residential_Sector_Key!$F$5:$AG$5,0))</f>
        <v>5.2684000000000002E-2</v>
      </c>
      <c r="I33">
        <f>INDEX(Table_4._Residential_Sector_Key!$F$8:$AG$125,MATCH($A33,Table_4._Residential_Sector_Key!$B$8:$B$125,0),MATCH(I$1,Table_4._Residential_Sector_Key!$F$5:$AG$5,0))</f>
        <v>5.0775000000000001E-2</v>
      </c>
      <c r="J33">
        <f>INDEX(Table_4._Residential_Sector_Key!$F$8:$AG$125,MATCH($A33,Table_4._Residential_Sector_Key!$B$8:$B$125,0),MATCH(J$1,Table_4._Residential_Sector_Key!$F$5:$AG$5,0))</f>
        <v>4.9030999999999998E-2</v>
      </c>
      <c r="K33">
        <f>INDEX(Table_4._Residential_Sector_Key!$F$8:$AG$125,MATCH($A33,Table_4._Residential_Sector_Key!$B$8:$B$125,0),MATCH(K$1,Table_4._Residential_Sector_Key!$F$5:$AG$5,0))</f>
        <v>4.7142999999999997E-2</v>
      </c>
      <c r="L33">
        <f>INDEX(Table_4._Residential_Sector_Key!$F$8:$AG$125,MATCH($A33,Table_4._Residential_Sector_Key!$B$8:$B$125,0),MATCH(L$1,Table_4._Residential_Sector_Key!$F$5:$AG$5,0))</f>
        <v>4.5398000000000001E-2</v>
      </c>
      <c r="M33">
        <f>INDEX(Table_4._Residential_Sector_Key!$F$8:$AG$125,MATCH($A33,Table_4._Residential_Sector_Key!$B$8:$B$125,0),MATCH(M$1,Table_4._Residential_Sector_Key!$F$5:$AG$5,0))</f>
        <v>4.3867999999999997E-2</v>
      </c>
      <c r="N33">
        <f>INDEX(Table_4._Residential_Sector_Key!$F$8:$AG$125,MATCH($A33,Table_4._Residential_Sector_Key!$B$8:$B$125,0),MATCH(N$1,Table_4._Residential_Sector_Key!$F$5:$AG$5,0))</f>
        <v>4.2520000000000002E-2</v>
      </c>
      <c r="O33">
        <f>INDEX(Table_4._Residential_Sector_Key!$F$8:$AG$125,MATCH($A33,Table_4._Residential_Sector_Key!$B$8:$B$125,0),MATCH(O$1,Table_4._Residential_Sector_Key!$F$5:$AG$5,0))</f>
        <v>4.1422E-2</v>
      </c>
      <c r="P33">
        <f>INDEX(Table_4._Residential_Sector_Key!$F$8:$AG$125,MATCH($A33,Table_4._Residential_Sector_Key!$B$8:$B$125,0),MATCH(P$1,Table_4._Residential_Sector_Key!$F$5:$AG$5,0))</f>
        <v>4.0549000000000002E-2</v>
      </c>
      <c r="Q33">
        <f>INDEX(Table_4._Residential_Sector_Key!$F$8:$AG$125,MATCH($A33,Table_4._Residential_Sector_Key!$B$8:$B$125,0),MATCH(Q$1,Table_4._Residential_Sector_Key!$F$5:$AG$5,0))</f>
        <v>3.9944E-2</v>
      </c>
      <c r="R33">
        <f>INDEX(Table_4._Residential_Sector_Key!$F$8:$AG$125,MATCH($A33,Table_4._Residential_Sector_Key!$B$8:$B$125,0),MATCH(R$1,Table_4._Residential_Sector_Key!$F$5:$AG$5,0))</f>
        <v>3.9315000000000003E-2</v>
      </c>
      <c r="S33">
        <f>INDEX(Table_4._Residential_Sector_Key!$F$8:$AG$125,MATCH($A33,Table_4._Residential_Sector_Key!$B$8:$B$125,0),MATCH(S$1,Table_4._Residential_Sector_Key!$F$5:$AG$5,0))</f>
        <v>3.8685999999999998E-2</v>
      </c>
      <c r="T33">
        <f>INDEX(Table_4._Residential_Sector_Key!$F$8:$AG$125,MATCH($A33,Table_4._Residential_Sector_Key!$B$8:$B$125,0),MATCH(T$1,Table_4._Residential_Sector_Key!$F$5:$AG$5,0))</f>
        <v>3.8047999999999998E-2</v>
      </c>
      <c r="U33">
        <f>INDEX(Table_4._Residential_Sector_Key!$F$8:$AG$125,MATCH($A33,Table_4._Residential_Sector_Key!$B$8:$B$125,0),MATCH(U$1,Table_4._Residential_Sector_Key!$F$5:$AG$5,0))</f>
        <v>3.7400999999999997E-2</v>
      </c>
      <c r="V33">
        <f>INDEX(Table_4._Residential_Sector_Key!$F$8:$AG$125,MATCH($A33,Table_4._Residential_Sector_Key!$B$8:$B$125,0),MATCH(V$1,Table_4._Residential_Sector_Key!$F$5:$AG$5,0))</f>
        <v>3.6749999999999998E-2</v>
      </c>
      <c r="W33">
        <f>INDEX(Table_4._Residential_Sector_Key!$F$8:$AG$125,MATCH($A33,Table_4._Residential_Sector_Key!$B$8:$B$125,0),MATCH(W$1,Table_4._Residential_Sector_Key!$F$5:$AG$5,0))</f>
        <v>3.6075000000000003E-2</v>
      </c>
      <c r="X33">
        <f>INDEX(Table_4._Residential_Sector_Key!$F$8:$AG$125,MATCH($A33,Table_4._Residential_Sector_Key!$B$8:$B$125,0),MATCH(X$1,Table_4._Residential_Sector_Key!$F$5:$AG$5,0))</f>
        <v>3.5376999999999999E-2</v>
      </c>
      <c r="Y33">
        <f>INDEX(Table_4._Residential_Sector_Key!$F$8:$AG$125,MATCH($A33,Table_4._Residential_Sector_Key!$B$8:$B$125,0),MATCH(Y$1,Table_4._Residential_Sector_Key!$F$5:$AG$5,0))</f>
        <v>3.4657E-2</v>
      </c>
      <c r="Z33">
        <f>INDEX(Table_4._Residential_Sector_Key!$F$8:$AG$125,MATCH($A33,Table_4._Residential_Sector_Key!$B$8:$B$125,0),MATCH(Z$1,Table_4._Residential_Sector_Key!$F$5:$AG$5,0))</f>
        <v>3.3936000000000001E-2</v>
      </c>
      <c r="AA33">
        <f>INDEX(Table_4._Residential_Sector_Key!$F$8:$AG$125,MATCH($A33,Table_4._Residential_Sector_Key!$B$8:$B$125,0),MATCH(AA$1,Table_4._Residential_Sector_Key!$F$5:$AG$5,0))</f>
        <v>3.3212999999999999E-2</v>
      </c>
      <c r="AB33">
        <f>INDEX(Table_4._Residential_Sector_Key!$F$8:$AG$125,MATCH($A33,Table_4._Residential_Sector_Key!$B$8:$B$125,0),MATCH(AB$1,Table_4._Residential_Sector_Key!$F$5:$AG$5,0))</f>
        <v>3.2506E-2</v>
      </c>
      <c r="AC33">
        <f>INDEX(Table_4._Residential_Sector_Key!$F$8:$AG$125,MATCH($A33,Table_4._Residential_Sector_Key!$B$8:$B$125,0),MATCH(AC$1,Table_4._Residential_Sector_Key!$F$5:$AG$5,0))</f>
        <v>3.1829000000000003E-2</v>
      </c>
      <c r="AD33">
        <f>INDEX(Table_4._Residential_Sector_Key!$F$8:$AG$125,MATCH($A33,Table_4._Residential_Sector_Key!$B$8:$B$125,0),MATCH(AD$1,Table_4._Residential_Sector_Key!$F$5:$AG$5,0))</f>
        <v>3.1182999999999999E-2</v>
      </c>
      <c r="AE33">
        <f>INDEX(Table_4._Residential_Sector_Key!$F$8:$AG$125,MATCH($A33,Table_4._Residential_Sector_Key!$B$8:$B$125,0),MATCH(AE$1,Table_4._Residential_Sector_Key!$F$5:$AG$5,0))</f>
        <v>3.0557000000000001E-2</v>
      </c>
      <c r="AF33">
        <f>INDEX(Table_4._Residential_Sector_Key!$F$8:$AG$125,MATCH($A33,Table_4._Residential_Sector_Key!$B$8:$B$125,0),MATCH(AF$1,Table_4._Residential_Sector_Key!$F$5:$AG$5,0))</f>
        <v>2.9940999999999999E-2</v>
      </c>
    </row>
    <row r="34" spans="1:32" x14ac:dyDescent="0.25">
      <c r="A34" t="s">
        <v>438</v>
      </c>
      <c r="B34" t="str">
        <f t="shared" si="0"/>
        <v>residential-appliances-LPG propane or butane (BTU)</v>
      </c>
      <c r="C34" t="s">
        <v>736</v>
      </c>
      <c r="D34" s="93" t="s">
        <v>732</v>
      </c>
      <c r="E34" s="1" t="s">
        <v>172</v>
      </c>
      <c r="F34" s="75">
        <f>INDEX(Table_4._Residential_Sector_Key!$F$8:$AG$125,MATCH($A34,Table_4._Residential_Sector_Key!$B$8:$B$125,0),MATCH(F$1,Table_4._Residential_Sector_Key!$F$5:$AG$5,0))</f>
        <v>1.0414E-2</v>
      </c>
      <c r="G34">
        <f>INDEX(Table_4._Residential_Sector_Key!$F$8:$AG$125,MATCH($A34,Table_4._Residential_Sector_Key!$B$8:$B$125,0),MATCH(G$1,Table_4._Residential_Sector_Key!$F$5:$AG$5,0))</f>
        <v>1.0315E-2</v>
      </c>
      <c r="H34">
        <f>INDEX(Table_4._Residential_Sector_Key!$F$8:$AG$125,MATCH($A34,Table_4._Residential_Sector_Key!$B$8:$B$125,0),MATCH(H$1,Table_4._Residential_Sector_Key!$F$5:$AG$5,0))</f>
        <v>1.0248999999999999E-2</v>
      </c>
      <c r="I34">
        <f>INDEX(Table_4._Residential_Sector_Key!$F$8:$AG$125,MATCH($A34,Table_4._Residential_Sector_Key!$B$8:$B$125,0),MATCH(I$1,Table_4._Residential_Sector_Key!$F$5:$AG$5,0))</f>
        <v>1.0179000000000001E-2</v>
      </c>
      <c r="J34">
        <f>INDEX(Table_4._Residential_Sector_Key!$F$8:$AG$125,MATCH($A34,Table_4._Residential_Sector_Key!$B$8:$B$125,0),MATCH(J$1,Table_4._Residential_Sector_Key!$F$5:$AG$5,0))</f>
        <v>1.0102999999999999E-2</v>
      </c>
      <c r="K34">
        <f>INDEX(Table_4._Residential_Sector_Key!$F$8:$AG$125,MATCH($A34,Table_4._Residential_Sector_Key!$B$8:$B$125,0),MATCH(K$1,Table_4._Residential_Sector_Key!$F$5:$AG$5,0))</f>
        <v>1.0024999999999999E-2</v>
      </c>
      <c r="L34">
        <f>INDEX(Table_4._Residential_Sector_Key!$F$8:$AG$125,MATCH($A34,Table_4._Residential_Sector_Key!$B$8:$B$125,0),MATCH(L$1,Table_4._Residential_Sector_Key!$F$5:$AG$5,0))</f>
        <v>9.9439999999999997E-3</v>
      </c>
      <c r="M34">
        <f>INDEX(Table_4._Residential_Sector_Key!$F$8:$AG$125,MATCH($A34,Table_4._Residential_Sector_Key!$B$8:$B$125,0),MATCH(M$1,Table_4._Residential_Sector_Key!$F$5:$AG$5,0))</f>
        <v>9.8589999999999997E-3</v>
      </c>
      <c r="N34">
        <f>INDEX(Table_4._Residential_Sector_Key!$F$8:$AG$125,MATCH($A34,Table_4._Residential_Sector_Key!$B$8:$B$125,0),MATCH(N$1,Table_4._Residential_Sector_Key!$F$5:$AG$5,0))</f>
        <v>9.7669999999999996E-3</v>
      </c>
      <c r="O34">
        <f>INDEX(Table_4._Residential_Sector_Key!$F$8:$AG$125,MATCH($A34,Table_4._Residential_Sector_Key!$B$8:$B$125,0),MATCH(O$1,Table_4._Residential_Sector_Key!$F$5:$AG$5,0))</f>
        <v>9.6710000000000008E-3</v>
      </c>
      <c r="P34">
        <f>INDEX(Table_4._Residential_Sector_Key!$F$8:$AG$125,MATCH($A34,Table_4._Residential_Sector_Key!$B$8:$B$125,0),MATCH(P$1,Table_4._Residential_Sector_Key!$F$5:$AG$5,0))</f>
        <v>9.5709999999999996E-3</v>
      </c>
      <c r="Q34">
        <f>INDEX(Table_4._Residential_Sector_Key!$F$8:$AG$125,MATCH($A34,Table_4._Residential_Sector_Key!$B$8:$B$125,0),MATCH(Q$1,Table_4._Residential_Sector_Key!$F$5:$AG$5,0))</f>
        <v>9.4649999999999995E-3</v>
      </c>
      <c r="R34">
        <f>INDEX(Table_4._Residential_Sector_Key!$F$8:$AG$125,MATCH($A34,Table_4._Residential_Sector_Key!$B$8:$B$125,0),MATCH(R$1,Table_4._Residential_Sector_Key!$F$5:$AG$5,0))</f>
        <v>9.3539999999999995E-3</v>
      </c>
      <c r="S34">
        <f>INDEX(Table_4._Residential_Sector_Key!$F$8:$AG$125,MATCH($A34,Table_4._Residential_Sector_Key!$B$8:$B$125,0),MATCH(S$1,Table_4._Residential_Sector_Key!$F$5:$AG$5,0))</f>
        <v>9.2370000000000004E-3</v>
      </c>
      <c r="T34">
        <f>INDEX(Table_4._Residential_Sector_Key!$F$8:$AG$125,MATCH($A34,Table_4._Residential_Sector_Key!$B$8:$B$125,0),MATCH(T$1,Table_4._Residential_Sector_Key!$F$5:$AG$5,0))</f>
        <v>9.1389999999999996E-3</v>
      </c>
      <c r="U34">
        <f>INDEX(Table_4._Residential_Sector_Key!$F$8:$AG$125,MATCH($A34,Table_4._Residential_Sector_Key!$B$8:$B$125,0),MATCH(U$1,Table_4._Residential_Sector_Key!$F$5:$AG$5,0))</f>
        <v>9.0609999999999996E-3</v>
      </c>
      <c r="V34">
        <f>INDEX(Table_4._Residential_Sector_Key!$F$8:$AG$125,MATCH($A34,Table_4._Residential_Sector_Key!$B$8:$B$125,0),MATCH(V$1,Table_4._Residential_Sector_Key!$F$5:$AG$5,0))</f>
        <v>9.0060000000000001E-3</v>
      </c>
      <c r="W34">
        <f>INDEX(Table_4._Residential_Sector_Key!$F$8:$AG$125,MATCH($A34,Table_4._Residential_Sector_Key!$B$8:$B$125,0),MATCH(W$1,Table_4._Residential_Sector_Key!$F$5:$AG$5,0))</f>
        <v>8.9739999999999993E-3</v>
      </c>
      <c r="X34">
        <f>INDEX(Table_4._Residential_Sector_Key!$F$8:$AG$125,MATCH($A34,Table_4._Residential_Sector_Key!$B$8:$B$125,0),MATCH(X$1,Table_4._Residential_Sector_Key!$F$5:$AG$5,0))</f>
        <v>8.966E-3</v>
      </c>
      <c r="Y34">
        <f>INDEX(Table_4._Residential_Sector_Key!$F$8:$AG$125,MATCH($A34,Table_4._Residential_Sector_Key!$B$8:$B$125,0),MATCH(Y$1,Table_4._Residential_Sector_Key!$F$5:$AG$5,0))</f>
        <v>8.9560000000000004E-3</v>
      </c>
      <c r="Z34">
        <f>INDEX(Table_4._Residential_Sector_Key!$F$8:$AG$125,MATCH($A34,Table_4._Residential_Sector_Key!$B$8:$B$125,0),MATCH(Z$1,Table_4._Residential_Sector_Key!$F$5:$AG$5,0))</f>
        <v>8.9429999999999996E-3</v>
      </c>
      <c r="AA34">
        <f>INDEX(Table_4._Residential_Sector_Key!$F$8:$AG$125,MATCH($A34,Table_4._Residential_Sector_Key!$B$8:$B$125,0),MATCH(AA$1,Table_4._Residential_Sector_Key!$F$5:$AG$5,0))</f>
        <v>8.9289999999999994E-3</v>
      </c>
      <c r="AB34">
        <f>INDEX(Table_4._Residential_Sector_Key!$F$8:$AG$125,MATCH($A34,Table_4._Residential_Sector_Key!$B$8:$B$125,0),MATCH(AB$1,Table_4._Residential_Sector_Key!$F$5:$AG$5,0))</f>
        <v>8.9119999999999998E-3</v>
      </c>
      <c r="AC34">
        <f>INDEX(Table_4._Residential_Sector_Key!$F$8:$AG$125,MATCH($A34,Table_4._Residential_Sector_Key!$B$8:$B$125,0),MATCH(AC$1,Table_4._Residential_Sector_Key!$F$5:$AG$5,0))</f>
        <v>8.8940000000000009E-3</v>
      </c>
      <c r="AD34">
        <f>INDEX(Table_4._Residential_Sector_Key!$F$8:$AG$125,MATCH($A34,Table_4._Residential_Sector_Key!$B$8:$B$125,0),MATCH(AD$1,Table_4._Residential_Sector_Key!$F$5:$AG$5,0))</f>
        <v>8.8719999999999997E-3</v>
      </c>
      <c r="AE34">
        <f>INDEX(Table_4._Residential_Sector_Key!$F$8:$AG$125,MATCH($A34,Table_4._Residential_Sector_Key!$B$8:$B$125,0),MATCH(AE$1,Table_4._Residential_Sector_Key!$F$5:$AG$5,0))</f>
        <v>8.848E-3</v>
      </c>
      <c r="AF34">
        <f>INDEX(Table_4._Residential_Sector_Key!$F$8:$AG$125,MATCH($A34,Table_4._Residential_Sector_Key!$B$8:$B$125,0),MATCH(AF$1,Table_4._Residential_Sector_Key!$F$5:$AG$5,0))</f>
        <v>8.8229999999999992E-3</v>
      </c>
    </row>
    <row r="35" spans="1:32" x14ac:dyDescent="0.25">
      <c r="A35" t="s">
        <v>436</v>
      </c>
      <c r="B35" t="str">
        <f t="shared" si="0"/>
        <v>residential-other-LPG propane or butane (BTU)</v>
      </c>
      <c r="C35" t="s">
        <v>736</v>
      </c>
      <c r="D35" s="93" t="s">
        <v>734</v>
      </c>
      <c r="E35" s="1" t="s">
        <v>172</v>
      </c>
      <c r="F35" s="75">
        <f>INDEX(Table_4._Residential_Sector_Key!$F$8:$AG$125,MATCH($A35,Table_4._Residential_Sector_Key!$B$8:$B$125,0),MATCH(F$1,Table_4._Residential_Sector_Key!$F$5:$AG$5,0))</f>
        <v>7.5281000000000001E-2</v>
      </c>
      <c r="G35">
        <f>INDEX(Table_4._Residential_Sector_Key!$F$8:$AG$125,MATCH($A35,Table_4._Residential_Sector_Key!$B$8:$B$125,0),MATCH(G$1,Table_4._Residential_Sector_Key!$F$5:$AG$5,0))</f>
        <v>7.8131999999999993E-2</v>
      </c>
      <c r="H35">
        <f>INDEX(Table_4._Residential_Sector_Key!$F$8:$AG$125,MATCH($A35,Table_4._Residential_Sector_Key!$B$8:$B$125,0),MATCH(H$1,Table_4._Residential_Sector_Key!$F$5:$AG$5,0))</f>
        <v>8.0817E-2</v>
      </c>
      <c r="I35">
        <f>INDEX(Table_4._Residential_Sector_Key!$F$8:$AG$125,MATCH($A35,Table_4._Residential_Sector_Key!$B$8:$B$125,0),MATCH(I$1,Table_4._Residential_Sector_Key!$F$5:$AG$5,0))</f>
        <v>8.3364999999999995E-2</v>
      </c>
      <c r="J35">
        <f>INDEX(Table_4._Residential_Sector_Key!$F$8:$AG$125,MATCH($A35,Table_4._Residential_Sector_Key!$B$8:$B$125,0),MATCH(J$1,Table_4._Residential_Sector_Key!$F$5:$AG$5,0))</f>
        <v>8.5863999999999996E-2</v>
      </c>
      <c r="K35">
        <f>INDEX(Table_4._Residential_Sector_Key!$F$8:$AG$125,MATCH($A35,Table_4._Residential_Sector_Key!$B$8:$B$125,0),MATCH(K$1,Table_4._Residential_Sector_Key!$F$5:$AG$5,0))</f>
        <v>8.8322999999999999E-2</v>
      </c>
      <c r="L35">
        <f>INDEX(Table_4._Residential_Sector_Key!$F$8:$AG$125,MATCH($A35,Table_4._Residential_Sector_Key!$B$8:$B$125,0),MATCH(L$1,Table_4._Residential_Sector_Key!$F$5:$AG$5,0))</f>
        <v>9.0687000000000004E-2</v>
      </c>
      <c r="M35">
        <f>INDEX(Table_4._Residential_Sector_Key!$F$8:$AG$125,MATCH($A35,Table_4._Residential_Sector_Key!$B$8:$B$125,0),MATCH(M$1,Table_4._Residential_Sector_Key!$F$5:$AG$5,0))</f>
        <v>9.3015E-2</v>
      </c>
      <c r="N35">
        <f>INDEX(Table_4._Residential_Sector_Key!$F$8:$AG$125,MATCH($A35,Table_4._Residential_Sector_Key!$B$8:$B$125,0),MATCH(N$1,Table_4._Residential_Sector_Key!$F$5:$AG$5,0))</f>
        <v>9.5245999999999997E-2</v>
      </c>
      <c r="O35">
        <f>INDEX(Table_4._Residential_Sector_Key!$F$8:$AG$125,MATCH($A35,Table_4._Residential_Sector_Key!$B$8:$B$125,0),MATCH(O$1,Table_4._Residential_Sector_Key!$F$5:$AG$5,0))</f>
        <v>9.7373000000000001E-2</v>
      </c>
      <c r="P35">
        <f>INDEX(Table_4._Residential_Sector_Key!$F$8:$AG$125,MATCH($A35,Table_4._Residential_Sector_Key!$B$8:$B$125,0),MATCH(P$1,Table_4._Residential_Sector_Key!$F$5:$AG$5,0))</f>
        <v>9.9442000000000003E-2</v>
      </c>
      <c r="Q35">
        <f>INDEX(Table_4._Residential_Sector_Key!$F$8:$AG$125,MATCH($A35,Table_4._Residential_Sector_Key!$B$8:$B$125,0),MATCH(Q$1,Table_4._Residential_Sector_Key!$F$5:$AG$5,0))</f>
        <v>0.10158300000000001</v>
      </c>
      <c r="R35">
        <f>INDEX(Table_4._Residential_Sector_Key!$F$8:$AG$125,MATCH($A35,Table_4._Residential_Sector_Key!$B$8:$B$125,0),MATCH(R$1,Table_4._Residential_Sector_Key!$F$5:$AG$5,0))</f>
        <v>0.103856</v>
      </c>
      <c r="S35">
        <f>INDEX(Table_4._Residential_Sector_Key!$F$8:$AG$125,MATCH($A35,Table_4._Residential_Sector_Key!$B$8:$B$125,0),MATCH(S$1,Table_4._Residential_Sector_Key!$F$5:$AG$5,0))</f>
        <v>0.10623</v>
      </c>
      <c r="T35">
        <f>INDEX(Table_4._Residential_Sector_Key!$F$8:$AG$125,MATCH($A35,Table_4._Residential_Sector_Key!$B$8:$B$125,0),MATCH(T$1,Table_4._Residential_Sector_Key!$F$5:$AG$5,0))</f>
        <v>0.108665</v>
      </c>
      <c r="U35">
        <f>INDEX(Table_4._Residential_Sector_Key!$F$8:$AG$125,MATCH($A35,Table_4._Residential_Sector_Key!$B$8:$B$125,0),MATCH(U$1,Table_4._Residential_Sector_Key!$F$5:$AG$5,0))</f>
        <v>0.111141</v>
      </c>
      <c r="V35">
        <f>INDEX(Table_4._Residential_Sector_Key!$F$8:$AG$125,MATCH($A35,Table_4._Residential_Sector_Key!$B$8:$B$125,0),MATCH(V$1,Table_4._Residential_Sector_Key!$F$5:$AG$5,0))</f>
        <v>0.113638</v>
      </c>
      <c r="W35">
        <f>INDEX(Table_4._Residential_Sector_Key!$F$8:$AG$125,MATCH($A35,Table_4._Residential_Sector_Key!$B$8:$B$125,0),MATCH(W$1,Table_4._Residential_Sector_Key!$F$5:$AG$5,0))</f>
        <v>0.116105</v>
      </c>
      <c r="X35">
        <f>INDEX(Table_4._Residential_Sector_Key!$F$8:$AG$125,MATCH($A35,Table_4._Residential_Sector_Key!$B$8:$B$125,0),MATCH(X$1,Table_4._Residential_Sector_Key!$F$5:$AG$5,0))</f>
        <v>0.118547</v>
      </c>
      <c r="Y35">
        <f>INDEX(Table_4._Residential_Sector_Key!$F$8:$AG$125,MATCH($A35,Table_4._Residential_Sector_Key!$B$8:$B$125,0),MATCH(Y$1,Table_4._Residential_Sector_Key!$F$5:$AG$5,0))</f>
        <v>0.120947</v>
      </c>
      <c r="Z35">
        <f>INDEX(Table_4._Residential_Sector_Key!$F$8:$AG$125,MATCH($A35,Table_4._Residential_Sector_Key!$B$8:$B$125,0),MATCH(Z$1,Table_4._Residential_Sector_Key!$F$5:$AG$5,0))</f>
        <v>0.123361</v>
      </c>
      <c r="AA35">
        <f>INDEX(Table_4._Residential_Sector_Key!$F$8:$AG$125,MATCH($A35,Table_4._Residential_Sector_Key!$B$8:$B$125,0),MATCH(AA$1,Table_4._Residential_Sector_Key!$F$5:$AG$5,0))</f>
        <v>0.125781</v>
      </c>
      <c r="AB35">
        <f>INDEX(Table_4._Residential_Sector_Key!$F$8:$AG$125,MATCH($A35,Table_4._Residential_Sector_Key!$B$8:$B$125,0),MATCH(AB$1,Table_4._Residential_Sector_Key!$F$5:$AG$5,0))</f>
        <v>0.128248</v>
      </c>
      <c r="AC35">
        <f>INDEX(Table_4._Residential_Sector_Key!$F$8:$AG$125,MATCH($A35,Table_4._Residential_Sector_Key!$B$8:$B$125,0),MATCH(AC$1,Table_4._Residential_Sector_Key!$F$5:$AG$5,0))</f>
        <v>0.13078500000000001</v>
      </c>
      <c r="AD35">
        <f>INDEX(Table_4._Residential_Sector_Key!$F$8:$AG$125,MATCH($A35,Table_4._Residential_Sector_Key!$B$8:$B$125,0),MATCH(AD$1,Table_4._Residential_Sector_Key!$F$5:$AG$5,0))</f>
        <v>0.13336899999999999</v>
      </c>
      <c r="AE35">
        <f>INDEX(Table_4._Residential_Sector_Key!$F$8:$AG$125,MATCH($A35,Table_4._Residential_Sector_Key!$B$8:$B$125,0),MATCH(AE$1,Table_4._Residential_Sector_Key!$F$5:$AG$5,0))</f>
        <v>0.13592000000000001</v>
      </c>
      <c r="AF35">
        <f>INDEX(Table_4._Residential_Sector_Key!$F$8:$AG$125,MATCH($A35,Table_4._Residential_Sector_Key!$B$8:$B$125,0),MATCH(AF$1,Table_4._Residential_Sector_Key!$F$5:$AG$5,0))</f>
        <v>0.13836200000000001</v>
      </c>
    </row>
    <row r="36" spans="1:32" x14ac:dyDescent="0.25">
      <c r="A36" t="s">
        <v>434</v>
      </c>
      <c r="B36" t="str">
        <f t="shared" si="0"/>
        <v>residential-total-LPG propane or butane (BTU)</v>
      </c>
      <c r="C36" t="s">
        <v>736</v>
      </c>
      <c r="D36" s="93" t="s">
        <v>735</v>
      </c>
      <c r="E36" s="1" t="s">
        <v>172</v>
      </c>
      <c r="F36" s="75">
        <f>INDEX(Table_4._Residential_Sector_Key!$F$8:$AG$125,MATCH($A36,Table_4._Residential_Sector_Key!$B$8:$B$125,0),MATCH(F$1,Table_4._Residential_Sector_Key!$F$5:$AG$5,0))</f>
        <v>0.44558500000000001</v>
      </c>
      <c r="G36">
        <f>INDEX(Table_4._Residential_Sector_Key!$F$8:$AG$125,MATCH($A36,Table_4._Residential_Sector_Key!$B$8:$B$125,0),MATCH(G$1,Table_4._Residential_Sector_Key!$F$5:$AG$5,0))</f>
        <v>0.480711</v>
      </c>
      <c r="H36">
        <f>INDEX(Table_4._Residential_Sector_Key!$F$8:$AG$125,MATCH($A36,Table_4._Residential_Sector_Key!$B$8:$B$125,0),MATCH(H$1,Table_4._Residential_Sector_Key!$F$5:$AG$5,0))</f>
        <v>0.47766599999999998</v>
      </c>
      <c r="I36">
        <f>INDEX(Table_4._Residential_Sector_Key!$F$8:$AG$125,MATCH($A36,Table_4._Residential_Sector_Key!$B$8:$B$125,0),MATCH(I$1,Table_4._Residential_Sector_Key!$F$5:$AG$5,0))</f>
        <v>0.47374300000000003</v>
      </c>
      <c r="J36">
        <f>INDEX(Table_4._Residential_Sector_Key!$F$8:$AG$125,MATCH($A36,Table_4._Residential_Sector_Key!$B$8:$B$125,0),MATCH(J$1,Table_4._Residential_Sector_Key!$F$5:$AG$5,0))</f>
        <v>0.46951399999999999</v>
      </c>
      <c r="K36">
        <f>INDEX(Table_4._Residential_Sector_Key!$F$8:$AG$125,MATCH($A36,Table_4._Residential_Sector_Key!$B$8:$B$125,0),MATCH(K$1,Table_4._Residential_Sector_Key!$F$5:$AG$5,0))</f>
        <v>0.46448600000000001</v>
      </c>
      <c r="L36">
        <f>INDEX(Table_4._Residential_Sector_Key!$F$8:$AG$125,MATCH($A36,Table_4._Residential_Sector_Key!$B$8:$B$125,0),MATCH(L$1,Table_4._Residential_Sector_Key!$F$5:$AG$5,0))</f>
        <v>0.45884900000000001</v>
      </c>
      <c r="M36">
        <f>INDEX(Table_4._Residential_Sector_Key!$F$8:$AG$125,MATCH($A36,Table_4._Residential_Sector_Key!$B$8:$B$125,0),MATCH(M$1,Table_4._Residential_Sector_Key!$F$5:$AG$5,0))</f>
        <v>0.45316299999999998</v>
      </c>
      <c r="N36">
        <f>INDEX(Table_4._Residential_Sector_Key!$F$8:$AG$125,MATCH($A36,Table_4._Residential_Sector_Key!$B$8:$B$125,0),MATCH(N$1,Table_4._Residential_Sector_Key!$F$5:$AG$5,0))</f>
        <v>0.44746599999999997</v>
      </c>
      <c r="O36">
        <f>INDEX(Table_4._Residential_Sector_Key!$F$8:$AG$125,MATCH($A36,Table_4._Residential_Sector_Key!$B$8:$B$125,0),MATCH(O$1,Table_4._Residential_Sector_Key!$F$5:$AG$5,0))</f>
        <v>0.44225799999999998</v>
      </c>
      <c r="P36">
        <f>INDEX(Table_4._Residential_Sector_Key!$F$8:$AG$125,MATCH($A36,Table_4._Residential_Sector_Key!$B$8:$B$125,0),MATCH(P$1,Table_4._Residential_Sector_Key!$F$5:$AG$5,0))</f>
        <v>0.43704300000000001</v>
      </c>
      <c r="Q36">
        <f>INDEX(Table_4._Residential_Sector_Key!$F$8:$AG$125,MATCH($A36,Table_4._Residential_Sector_Key!$B$8:$B$125,0),MATCH(Q$1,Table_4._Residential_Sector_Key!$F$5:$AG$5,0))</f>
        <v>0.43268699999999999</v>
      </c>
      <c r="R36">
        <f>INDEX(Table_4._Residential_Sector_Key!$F$8:$AG$125,MATCH($A36,Table_4._Residential_Sector_Key!$B$8:$B$125,0),MATCH(R$1,Table_4._Residential_Sector_Key!$F$5:$AG$5,0))</f>
        <v>0.42906499999999997</v>
      </c>
      <c r="S36">
        <f>INDEX(Table_4._Residential_Sector_Key!$F$8:$AG$125,MATCH($A36,Table_4._Residential_Sector_Key!$B$8:$B$125,0),MATCH(S$1,Table_4._Residential_Sector_Key!$F$5:$AG$5,0))</f>
        <v>0.42608400000000002</v>
      </c>
      <c r="T36">
        <f>INDEX(Table_4._Residential_Sector_Key!$F$8:$AG$125,MATCH($A36,Table_4._Residential_Sector_Key!$B$8:$B$125,0),MATCH(T$1,Table_4._Residential_Sector_Key!$F$5:$AG$5,0))</f>
        <v>0.42352899999999999</v>
      </c>
      <c r="U36">
        <f>INDEX(Table_4._Residential_Sector_Key!$F$8:$AG$125,MATCH($A36,Table_4._Residential_Sector_Key!$B$8:$B$125,0),MATCH(U$1,Table_4._Residential_Sector_Key!$F$5:$AG$5,0))</f>
        <v>0.42134700000000003</v>
      </c>
      <c r="V36">
        <f>INDEX(Table_4._Residential_Sector_Key!$F$8:$AG$125,MATCH($A36,Table_4._Residential_Sector_Key!$B$8:$B$125,0),MATCH(V$1,Table_4._Residential_Sector_Key!$F$5:$AG$5,0))</f>
        <v>0.41947600000000002</v>
      </c>
      <c r="W36">
        <f>INDEX(Table_4._Residential_Sector_Key!$F$8:$AG$125,MATCH($A36,Table_4._Residential_Sector_Key!$B$8:$B$125,0),MATCH(W$1,Table_4._Residential_Sector_Key!$F$5:$AG$5,0))</f>
        <v>0.41770099999999999</v>
      </c>
      <c r="X36">
        <f>INDEX(Table_4._Residential_Sector_Key!$F$8:$AG$125,MATCH($A36,Table_4._Residential_Sector_Key!$B$8:$B$125,0),MATCH(X$1,Table_4._Residential_Sector_Key!$F$5:$AG$5,0))</f>
        <v>0.41602899999999998</v>
      </c>
      <c r="Y36">
        <f>INDEX(Table_4._Residential_Sector_Key!$F$8:$AG$125,MATCH($A36,Table_4._Residential_Sector_Key!$B$8:$B$125,0),MATCH(Y$1,Table_4._Residential_Sector_Key!$F$5:$AG$5,0))</f>
        <v>0.41437600000000002</v>
      </c>
      <c r="Z36">
        <f>INDEX(Table_4._Residential_Sector_Key!$F$8:$AG$125,MATCH($A36,Table_4._Residential_Sector_Key!$B$8:$B$125,0),MATCH(Z$1,Table_4._Residential_Sector_Key!$F$5:$AG$5,0))</f>
        <v>0.41289599999999999</v>
      </c>
      <c r="AA36">
        <f>INDEX(Table_4._Residential_Sector_Key!$F$8:$AG$125,MATCH($A36,Table_4._Residential_Sector_Key!$B$8:$B$125,0),MATCH(AA$1,Table_4._Residential_Sector_Key!$F$5:$AG$5,0))</f>
        <v>0.41159299999999999</v>
      </c>
      <c r="AB36">
        <f>INDEX(Table_4._Residential_Sector_Key!$F$8:$AG$125,MATCH($A36,Table_4._Residential_Sector_Key!$B$8:$B$125,0),MATCH(AB$1,Table_4._Residential_Sector_Key!$F$5:$AG$5,0))</f>
        <v>0.41061999999999999</v>
      </c>
      <c r="AC36">
        <f>INDEX(Table_4._Residential_Sector_Key!$F$8:$AG$125,MATCH($A36,Table_4._Residential_Sector_Key!$B$8:$B$125,0),MATCH(AC$1,Table_4._Residential_Sector_Key!$F$5:$AG$5,0))</f>
        <v>0.40981499999999998</v>
      </c>
      <c r="AD36">
        <f>INDEX(Table_4._Residential_Sector_Key!$F$8:$AG$125,MATCH($A36,Table_4._Residential_Sector_Key!$B$8:$B$125,0),MATCH(AD$1,Table_4._Residential_Sector_Key!$F$5:$AG$5,0))</f>
        <v>0.40911399999999998</v>
      </c>
      <c r="AE36">
        <f>INDEX(Table_4._Residential_Sector_Key!$F$8:$AG$125,MATCH($A36,Table_4._Residential_Sector_Key!$B$8:$B$125,0),MATCH(AE$1,Table_4._Residential_Sector_Key!$F$5:$AG$5,0))</f>
        <v>0.40834900000000002</v>
      </c>
      <c r="AF36">
        <f>INDEX(Table_4._Residential_Sector_Key!$F$8:$AG$125,MATCH($A36,Table_4._Residential_Sector_Key!$B$8:$B$125,0),MATCH(AF$1,Table_4._Residential_Sector_Key!$F$5:$AG$5,0))</f>
        <v>0.40728799999999998</v>
      </c>
    </row>
    <row r="37" spans="1:32" x14ac:dyDescent="0.25">
      <c r="A37" t="s">
        <v>431</v>
      </c>
      <c r="B37" t="str">
        <f t="shared" si="0"/>
        <v>residential-heating-biomass (BTU)</v>
      </c>
      <c r="C37" t="s">
        <v>736</v>
      </c>
      <c r="D37" s="93" t="s">
        <v>730</v>
      </c>
      <c r="E37" s="1" t="s">
        <v>73</v>
      </c>
      <c r="F37" s="75">
        <f>INDEX(Table_4._Residential_Sector_Key!$F$8:$AG$125,MATCH($A37,Table_4._Residential_Sector_Key!$B$8:$B$125,0),MATCH(F$1,Table_4._Residential_Sector_Key!$F$5:$AG$5,0))</f>
        <v>0.35758299999999998</v>
      </c>
      <c r="G37">
        <f>INDEX(Table_4._Residential_Sector_Key!$F$8:$AG$125,MATCH($A37,Table_4._Residential_Sector_Key!$B$8:$B$125,0),MATCH(G$1,Table_4._Residential_Sector_Key!$F$5:$AG$5,0))</f>
        <v>0.36509399999999997</v>
      </c>
      <c r="H37">
        <f>INDEX(Table_4._Residential_Sector_Key!$F$8:$AG$125,MATCH($A37,Table_4._Residential_Sector_Key!$B$8:$B$125,0),MATCH(H$1,Table_4._Residential_Sector_Key!$F$5:$AG$5,0))</f>
        <v>0.35265400000000002</v>
      </c>
      <c r="I37">
        <f>INDEX(Table_4._Residential_Sector_Key!$F$8:$AG$125,MATCH($A37,Table_4._Residential_Sector_Key!$B$8:$B$125,0),MATCH(I$1,Table_4._Residential_Sector_Key!$F$5:$AG$5,0))</f>
        <v>0.34729500000000002</v>
      </c>
      <c r="J37">
        <f>INDEX(Table_4._Residential_Sector_Key!$F$8:$AG$125,MATCH($A37,Table_4._Residential_Sector_Key!$B$8:$B$125,0),MATCH(J$1,Table_4._Residential_Sector_Key!$F$5:$AG$5,0))</f>
        <v>0.34571800000000003</v>
      </c>
      <c r="K37">
        <f>INDEX(Table_4._Residential_Sector_Key!$F$8:$AG$125,MATCH($A37,Table_4._Residential_Sector_Key!$B$8:$B$125,0),MATCH(K$1,Table_4._Residential_Sector_Key!$F$5:$AG$5,0))</f>
        <v>0.345503</v>
      </c>
      <c r="L37">
        <f>INDEX(Table_4._Residential_Sector_Key!$F$8:$AG$125,MATCH($A37,Table_4._Residential_Sector_Key!$B$8:$B$125,0),MATCH(L$1,Table_4._Residential_Sector_Key!$F$5:$AG$5,0))</f>
        <v>0.34528999999999999</v>
      </c>
      <c r="M37">
        <f>INDEX(Table_4._Residential_Sector_Key!$F$8:$AG$125,MATCH($A37,Table_4._Residential_Sector_Key!$B$8:$B$125,0),MATCH(M$1,Table_4._Residential_Sector_Key!$F$5:$AG$5,0))</f>
        <v>0.342499</v>
      </c>
      <c r="N37">
        <f>INDEX(Table_4._Residential_Sector_Key!$F$8:$AG$125,MATCH($A37,Table_4._Residential_Sector_Key!$B$8:$B$125,0),MATCH(N$1,Table_4._Residential_Sector_Key!$F$5:$AG$5,0))</f>
        <v>0.33729500000000001</v>
      </c>
      <c r="O37">
        <f>INDEX(Table_4._Residential_Sector_Key!$F$8:$AG$125,MATCH($A37,Table_4._Residential_Sector_Key!$B$8:$B$125,0),MATCH(O$1,Table_4._Residential_Sector_Key!$F$5:$AG$5,0))</f>
        <v>0.33283800000000002</v>
      </c>
      <c r="P37">
        <f>INDEX(Table_4._Residential_Sector_Key!$F$8:$AG$125,MATCH($A37,Table_4._Residential_Sector_Key!$B$8:$B$125,0),MATCH(P$1,Table_4._Residential_Sector_Key!$F$5:$AG$5,0))</f>
        <v>0.32823400000000003</v>
      </c>
      <c r="Q37">
        <f>INDEX(Table_4._Residential_Sector_Key!$F$8:$AG$125,MATCH($A37,Table_4._Residential_Sector_Key!$B$8:$B$125,0),MATCH(Q$1,Table_4._Residential_Sector_Key!$F$5:$AG$5,0))</f>
        <v>0.323965</v>
      </c>
      <c r="R37">
        <f>INDEX(Table_4._Residential_Sector_Key!$F$8:$AG$125,MATCH($A37,Table_4._Residential_Sector_Key!$B$8:$B$125,0),MATCH(R$1,Table_4._Residential_Sector_Key!$F$5:$AG$5,0))</f>
        <v>0.31938100000000003</v>
      </c>
      <c r="S37">
        <f>INDEX(Table_4._Residential_Sector_Key!$F$8:$AG$125,MATCH($A37,Table_4._Residential_Sector_Key!$B$8:$B$125,0),MATCH(S$1,Table_4._Residential_Sector_Key!$F$5:$AG$5,0))</f>
        <v>0.31522099999999997</v>
      </c>
      <c r="T37">
        <f>INDEX(Table_4._Residential_Sector_Key!$F$8:$AG$125,MATCH($A37,Table_4._Residential_Sector_Key!$B$8:$B$125,0),MATCH(T$1,Table_4._Residential_Sector_Key!$F$5:$AG$5,0))</f>
        <v>0.31101800000000002</v>
      </c>
      <c r="U37">
        <f>INDEX(Table_4._Residential_Sector_Key!$F$8:$AG$125,MATCH($A37,Table_4._Residential_Sector_Key!$B$8:$B$125,0),MATCH(U$1,Table_4._Residential_Sector_Key!$F$5:$AG$5,0))</f>
        <v>0.306564</v>
      </c>
      <c r="V37">
        <f>INDEX(Table_4._Residential_Sector_Key!$F$8:$AG$125,MATCH($A37,Table_4._Residential_Sector_Key!$B$8:$B$125,0),MATCH(V$1,Table_4._Residential_Sector_Key!$F$5:$AG$5,0))</f>
        <v>0.30218200000000001</v>
      </c>
      <c r="W37">
        <f>INDEX(Table_4._Residential_Sector_Key!$F$8:$AG$125,MATCH($A37,Table_4._Residential_Sector_Key!$B$8:$B$125,0),MATCH(W$1,Table_4._Residential_Sector_Key!$F$5:$AG$5,0))</f>
        <v>0.29809999999999998</v>
      </c>
      <c r="X37">
        <f>INDEX(Table_4._Residential_Sector_Key!$F$8:$AG$125,MATCH($A37,Table_4._Residential_Sector_Key!$B$8:$B$125,0),MATCH(X$1,Table_4._Residential_Sector_Key!$F$5:$AG$5,0))</f>
        <v>0.294377</v>
      </c>
      <c r="Y37">
        <f>INDEX(Table_4._Residential_Sector_Key!$F$8:$AG$125,MATCH($A37,Table_4._Residential_Sector_Key!$B$8:$B$125,0),MATCH(Y$1,Table_4._Residential_Sector_Key!$F$5:$AG$5,0))</f>
        <v>0.29094999999999999</v>
      </c>
      <c r="Z37">
        <f>INDEX(Table_4._Residential_Sector_Key!$F$8:$AG$125,MATCH($A37,Table_4._Residential_Sector_Key!$B$8:$B$125,0),MATCH(Z$1,Table_4._Residential_Sector_Key!$F$5:$AG$5,0))</f>
        <v>0.28853600000000001</v>
      </c>
      <c r="AA37">
        <f>INDEX(Table_4._Residential_Sector_Key!$F$8:$AG$125,MATCH($A37,Table_4._Residential_Sector_Key!$B$8:$B$125,0),MATCH(AA$1,Table_4._Residential_Sector_Key!$F$5:$AG$5,0))</f>
        <v>0.28493499999999999</v>
      </c>
      <c r="AB37">
        <f>INDEX(Table_4._Residential_Sector_Key!$F$8:$AG$125,MATCH($A37,Table_4._Residential_Sector_Key!$B$8:$B$125,0),MATCH(AB$1,Table_4._Residential_Sector_Key!$F$5:$AG$5,0))</f>
        <v>0.28137699999999999</v>
      </c>
      <c r="AC37">
        <f>INDEX(Table_4._Residential_Sector_Key!$F$8:$AG$125,MATCH($A37,Table_4._Residential_Sector_Key!$B$8:$B$125,0),MATCH(AC$1,Table_4._Residential_Sector_Key!$F$5:$AG$5,0))</f>
        <v>0.27769199999999999</v>
      </c>
      <c r="AD37">
        <f>INDEX(Table_4._Residential_Sector_Key!$F$8:$AG$125,MATCH($A37,Table_4._Residential_Sector_Key!$B$8:$B$125,0),MATCH(AD$1,Table_4._Residential_Sector_Key!$F$5:$AG$5,0))</f>
        <v>0.273872</v>
      </c>
      <c r="AE37">
        <f>INDEX(Table_4._Residential_Sector_Key!$F$8:$AG$125,MATCH($A37,Table_4._Residential_Sector_Key!$B$8:$B$125,0),MATCH(AE$1,Table_4._Residential_Sector_Key!$F$5:$AG$5,0))</f>
        <v>0.27057199999999998</v>
      </c>
      <c r="AF37">
        <f>INDEX(Table_4._Residential_Sector_Key!$F$8:$AG$125,MATCH($A37,Table_4._Residential_Sector_Key!$B$8:$B$125,0),MATCH(AF$1,Table_4._Residential_Sector_Key!$F$5:$AG$5,0))</f>
        <v>0.26805000000000001</v>
      </c>
    </row>
    <row r="38" spans="1:32" x14ac:dyDescent="0.25">
      <c r="A38" s="76" t="s">
        <v>752</v>
      </c>
      <c r="B38" s="76"/>
      <c r="C38" s="76"/>
      <c r="D38" s="76"/>
      <c r="E38" s="76"/>
      <c r="F38" s="77"/>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row>
    <row r="39" spans="1:32" x14ac:dyDescent="0.25">
      <c r="A39" t="s">
        <v>708</v>
      </c>
      <c r="B39" t="str">
        <f t="shared" si="0"/>
        <v>commercial-heating-electricity (BTU)</v>
      </c>
      <c r="C39" t="s">
        <v>737</v>
      </c>
      <c r="D39" s="93" t="s">
        <v>730</v>
      </c>
      <c r="E39" s="1" t="s">
        <v>11</v>
      </c>
      <c r="F39" s="75">
        <f>INDEX(Table_5._Commercial_Sector_Key_!$F$8:$AG$102,MATCH('Crosswalk AEO to EPS Summary'!$A39,Table_5._Commercial_Sector_Key_!$B$8:$B$102,0),MATCH(F$1,Table_5._Commercial_Sector_Key_!$F$5:$AG$5,0))</f>
        <v>0.18654100000000001</v>
      </c>
      <c r="G39">
        <f>INDEX(Table_5._Commercial_Sector_Key_!$F$8:$AG$102,MATCH('Crosswalk AEO to EPS Summary'!$A39,Table_5._Commercial_Sector_Key_!$B$8:$B$102,0),MATCH(G$1,Table_5._Commercial_Sector_Key_!$F$5:$AG$5,0))</f>
        <v>0.19798499999999999</v>
      </c>
      <c r="H39">
        <f>INDEX(Table_5._Commercial_Sector_Key_!$F$8:$AG$102,MATCH('Crosswalk AEO to EPS Summary'!$A39,Table_5._Commercial_Sector_Key_!$B$8:$B$102,0),MATCH(H$1,Table_5._Commercial_Sector_Key_!$F$5:$AG$5,0))</f>
        <v>0.198076</v>
      </c>
      <c r="I39">
        <f>INDEX(Table_5._Commercial_Sector_Key_!$F$8:$AG$102,MATCH('Crosswalk AEO to EPS Summary'!$A39,Table_5._Commercial_Sector_Key_!$B$8:$B$102,0),MATCH(I$1,Table_5._Commercial_Sector_Key_!$F$5:$AG$5,0))</f>
        <v>0.19905400000000001</v>
      </c>
      <c r="J39">
        <f>INDEX(Table_5._Commercial_Sector_Key_!$F$8:$AG$102,MATCH('Crosswalk AEO to EPS Summary'!$A39,Table_5._Commercial_Sector_Key_!$B$8:$B$102,0),MATCH(J$1,Table_5._Commercial_Sector_Key_!$F$5:$AG$5,0))</f>
        <v>0.199048</v>
      </c>
      <c r="K39">
        <f>INDEX(Table_5._Commercial_Sector_Key_!$F$8:$AG$102,MATCH('Crosswalk AEO to EPS Summary'!$A39,Table_5._Commercial_Sector_Key_!$B$8:$B$102,0),MATCH(K$1,Table_5._Commercial_Sector_Key_!$F$5:$AG$5,0))</f>
        <v>0.19789100000000001</v>
      </c>
      <c r="L39">
        <f>INDEX(Table_5._Commercial_Sector_Key_!$F$8:$AG$102,MATCH('Crosswalk AEO to EPS Summary'!$A39,Table_5._Commercial_Sector_Key_!$B$8:$B$102,0),MATCH(L$1,Table_5._Commercial_Sector_Key_!$F$5:$AG$5,0))</f>
        <v>0.196351</v>
      </c>
      <c r="M39">
        <f>INDEX(Table_5._Commercial_Sector_Key_!$F$8:$AG$102,MATCH('Crosswalk AEO to EPS Summary'!$A39,Table_5._Commercial_Sector_Key_!$B$8:$B$102,0),MATCH(M$1,Table_5._Commercial_Sector_Key_!$F$5:$AG$5,0))</f>
        <v>0.19459000000000001</v>
      </c>
      <c r="N39">
        <f>INDEX(Table_5._Commercial_Sector_Key_!$F$8:$AG$102,MATCH('Crosswalk AEO to EPS Summary'!$A39,Table_5._Commercial_Sector_Key_!$B$8:$B$102,0),MATCH(N$1,Table_5._Commercial_Sector_Key_!$F$5:$AG$5,0))</f>
        <v>0.192773</v>
      </c>
      <c r="O39">
        <f>INDEX(Table_5._Commercial_Sector_Key_!$F$8:$AG$102,MATCH('Crosswalk AEO to EPS Summary'!$A39,Table_5._Commercial_Sector_Key_!$B$8:$B$102,0),MATCH(O$1,Table_5._Commercial_Sector_Key_!$F$5:$AG$5,0))</f>
        <v>0.19006600000000001</v>
      </c>
      <c r="P39">
        <f>INDEX(Table_5._Commercial_Sector_Key_!$F$8:$AG$102,MATCH('Crosswalk AEO to EPS Summary'!$A39,Table_5._Commercial_Sector_Key_!$B$8:$B$102,0),MATCH(P$1,Table_5._Commercial_Sector_Key_!$F$5:$AG$5,0))</f>
        <v>0.18767900000000001</v>
      </c>
      <c r="Q39">
        <f>INDEX(Table_5._Commercial_Sector_Key_!$F$8:$AG$102,MATCH('Crosswalk AEO to EPS Summary'!$A39,Table_5._Commercial_Sector_Key_!$B$8:$B$102,0),MATCH(Q$1,Table_5._Commercial_Sector_Key_!$F$5:$AG$5,0))</f>
        <v>0.18654599999999999</v>
      </c>
      <c r="R39">
        <f>INDEX(Table_5._Commercial_Sector_Key_!$F$8:$AG$102,MATCH('Crosswalk AEO to EPS Summary'!$A39,Table_5._Commercial_Sector_Key_!$B$8:$B$102,0),MATCH(R$1,Table_5._Commercial_Sector_Key_!$F$5:$AG$5,0))</f>
        <v>0.18571199999999999</v>
      </c>
      <c r="S39">
        <f>INDEX(Table_5._Commercial_Sector_Key_!$F$8:$AG$102,MATCH('Crosswalk AEO to EPS Summary'!$A39,Table_5._Commercial_Sector_Key_!$B$8:$B$102,0),MATCH(S$1,Table_5._Commercial_Sector_Key_!$F$5:$AG$5,0))</f>
        <v>0.18491099999999999</v>
      </c>
      <c r="T39">
        <f>INDEX(Table_5._Commercial_Sector_Key_!$F$8:$AG$102,MATCH('Crosswalk AEO to EPS Summary'!$A39,Table_5._Commercial_Sector_Key_!$B$8:$B$102,0),MATCH(T$1,Table_5._Commercial_Sector_Key_!$F$5:$AG$5,0))</f>
        <v>0.18373300000000001</v>
      </c>
      <c r="U39">
        <f>INDEX(Table_5._Commercial_Sector_Key_!$F$8:$AG$102,MATCH('Crosswalk AEO to EPS Summary'!$A39,Table_5._Commercial_Sector_Key_!$B$8:$B$102,0),MATCH(U$1,Table_5._Commercial_Sector_Key_!$F$5:$AG$5,0))</f>
        <v>0.18249699999999999</v>
      </c>
      <c r="V39">
        <f>INDEX(Table_5._Commercial_Sector_Key_!$F$8:$AG$102,MATCH('Crosswalk AEO to EPS Summary'!$A39,Table_5._Commercial_Sector_Key_!$B$8:$B$102,0),MATCH(V$1,Table_5._Commercial_Sector_Key_!$F$5:$AG$5,0))</f>
        <v>0.18119099999999999</v>
      </c>
      <c r="W39">
        <f>INDEX(Table_5._Commercial_Sector_Key_!$F$8:$AG$102,MATCH('Crosswalk AEO to EPS Summary'!$A39,Table_5._Commercial_Sector_Key_!$B$8:$B$102,0),MATCH(W$1,Table_5._Commercial_Sector_Key_!$F$5:$AG$5,0))</f>
        <v>0.179785</v>
      </c>
      <c r="X39">
        <f>INDEX(Table_5._Commercial_Sector_Key_!$F$8:$AG$102,MATCH('Crosswalk AEO to EPS Summary'!$A39,Table_5._Commercial_Sector_Key_!$B$8:$B$102,0),MATCH(X$1,Table_5._Commercial_Sector_Key_!$F$5:$AG$5,0))</f>
        <v>0.17821200000000001</v>
      </c>
      <c r="Y39">
        <f>INDEX(Table_5._Commercial_Sector_Key_!$F$8:$AG$102,MATCH('Crosswalk AEO to EPS Summary'!$A39,Table_5._Commercial_Sector_Key_!$B$8:$B$102,0),MATCH(Y$1,Table_5._Commercial_Sector_Key_!$F$5:$AG$5,0))</f>
        <v>0.176566</v>
      </c>
      <c r="Z39">
        <f>INDEX(Table_5._Commercial_Sector_Key_!$F$8:$AG$102,MATCH('Crosswalk AEO to EPS Summary'!$A39,Table_5._Commercial_Sector_Key_!$B$8:$B$102,0),MATCH(Z$1,Table_5._Commercial_Sector_Key_!$F$5:$AG$5,0))</f>
        <v>0.17479700000000001</v>
      </c>
      <c r="AA39">
        <f>INDEX(Table_5._Commercial_Sector_Key_!$F$8:$AG$102,MATCH('Crosswalk AEO to EPS Summary'!$A39,Table_5._Commercial_Sector_Key_!$B$8:$B$102,0),MATCH(AA$1,Table_5._Commercial_Sector_Key_!$F$5:$AG$5,0))</f>
        <v>0.17294899999999999</v>
      </c>
      <c r="AB39">
        <f>INDEX(Table_5._Commercial_Sector_Key_!$F$8:$AG$102,MATCH('Crosswalk AEO to EPS Summary'!$A39,Table_5._Commercial_Sector_Key_!$B$8:$B$102,0),MATCH(AB$1,Table_5._Commercial_Sector_Key_!$F$5:$AG$5,0))</f>
        <v>0.171014</v>
      </c>
      <c r="AC39">
        <f>INDEX(Table_5._Commercial_Sector_Key_!$F$8:$AG$102,MATCH('Crosswalk AEO to EPS Summary'!$A39,Table_5._Commercial_Sector_Key_!$B$8:$B$102,0),MATCH(AC$1,Table_5._Commercial_Sector_Key_!$F$5:$AG$5,0))</f>
        <v>0.16902200000000001</v>
      </c>
      <c r="AD39">
        <f>INDEX(Table_5._Commercial_Sector_Key_!$F$8:$AG$102,MATCH('Crosswalk AEO to EPS Summary'!$A39,Table_5._Commercial_Sector_Key_!$B$8:$B$102,0),MATCH(AD$1,Table_5._Commercial_Sector_Key_!$F$5:$AG$5,0))</f>
        <v>0.166995</v>
      </c>
      <c r="AE39">
        <f>INDEX(Table_5._Commercial_Sector_Key_!$F$8:$AG$102,MATCH('Crosswalk AEO to EPS Summary'!$A39,Table_5._Commercial_Sector_Key_!$B$8:$B$102,0),MATCH(AE$1,Table_5._Commercial_Sector_Key_!$F$5:$AG$5,0))</f>
        <v>0.165017</v>
      </c>
      <c r="AF39">
        <f>INDEX(Table_5._Commercial_Sector_Key_!$F$8:$AG$102,MATCH('Crosswalk AEO to EPS Summary'!$A39,Table_5._Commercial_Sector_Key_!$B$8:$B$102,0),MATCH(AF$1,Table_5._Commercial_Sector_Key_!$F$5:$AG$5,0))</f>
        <v>0.163026</v>
      </c>
    </row>
    <row r="40" spans="1:32" x14ac:dyDescent="0.25">
      <c r="A40" t="s">
        <v>705</v>
      </c>
      <c r="B40" t="str">
        <f t="shared" si="0"/>
        <v>commercial-cooling-electricity (BTU)</v>
      </c>
      <c r="C40" t="s">
        <v>737</v>
      </c>
      <c r="D40" s="93" t="s">
        <v>731</v>
      </c>
      <c r="E40" s="1" t="s">
        <v>11</v>
      </c>
      <c r="F40" s="75">
        <f>INDEX(Table_5._Commercial_Sector_Key_!$F$8:$AG$102,MATCH('Crosswalk AEO to EPS Summary'!$A40,Table_5._Commercial_Sector_Key_!$B$8:$B$102,0),MATCH(F$1,Table_5._Commercial_Sector_Key_!$F$5:$AG$5,0))</f>
        <v>0.57286300000000001</v>
      </c>
      <c r="G40">
        <f>INDEX(Table_5._Commercial_Sector_Key_!$F$8:$AG$102,MATCH('Crosswalk AEO to EPS Summary'!$A40,Table_5._Commercial_Sector_Key_!$B$8:$B$102,0),MATCH(G$1,Table_5._Commercial_Sector_Key_!$F$5:$AG$5,0))</f>
        <v>0.555504</v>
      </c>
      <c r="H40">
        <f>INDEX(Table_5._Commercial_Sector_Key_!$F$8:$AG$102,MATCH('Crosswalk AEO to EPS Summary'!$A40,Table_5._Commercial_Sector_Key_!$B$8:$B$102,0),MATCH(H$1,Table_5._Commercial_Sector_Key_!$F$5:$AG$5,0))</f>
        <v>0.56710099999999997</v>
      </c>
      <c r="I40">
        <f>INDEX(Table_5._Commercial_Sector_Key_!$F$8:$AG$102,MATCH('Crosswalk AEO to EPS Summary'!$A40,Table_5._Commercial_Sector_Key_!$B$8:$B$102,0),MATCH(I$1,Table_5._Commercial_Sector_Key_!$F$5:$AG$5,0))</f>
        <v>0.58141699999999996</v>
      </c>
      <c r="J40">
        <f>INDEX(Table_5._Commercial_Sector_Key_!$F$8:$AG$102,MATCH('Crosswalk AEO to EPS Summary'!$A40,Table_5._Commercial_Sector_Key_!$B$8:$B$102,0),MATCH(J$1,Table_5._Commercial_Sector_Key_!$F$5:$AG$5,0))</f>
        <v>0.59301899999999996</v>
      </c>
      <c r="K40">
        <f>INDEX(Table_5._Commercial_Sector_Key_!$F$8:$AG$102,MATCH('Crosswalk AEO to EPS Summary'!$A40,Table_5._Commercial_Sector_Key_!$B$8:$B$102,0),MATCH(K$1,Table_5._Commercial_Sector_Key_!$F$5:$AG$5,0))</f>
        <v>0.600526</v>
      </c>
      <c r="L40">
        <f>INDEX(Table_5._Commercial_Sector_Key_!$F$8:$AG$102,MATCH('Crosswalk AEO to EPS Summary'!$A40,Table_5._Commercial_Sector_Key_!$B$8:$B$102,0),MATCH(L$1,Table_5._Commercial_Sector_Key_!$F$5:$AG$5,0))</f>
        <v>0.60565599999999997</v>
      </c>
      <c r="M40">
        <f>INDEX(Table_5._Commercial_Sector_Key_!$F$8:$AG$102,MATCH('Crosswalk AEO to EPS Summary'!$A40,Table_5._Commercial_Sector_Key_!$B$8:$B$102,0),MATCH(M$1,Table_5._Commercial_Sector_Key_!$F$5:$AG$5,0))</f>
        <v>0.61051100000000003</v>
      </c>
      <c r="N40">
        <f>INDEX(Table_5._Commercial_Sector_Key_!$F$8:$AG$102,MATCH('Crosswalk AEO to EPS Summary'!$A40,Table_5._Commercial_Sector_Key_!$B$8:$B$102,0),MATCH(N$1,Table_5._Commercial_Sector_Key_!$F$5:$AG$5,0))</f>
        <v>0.61591600000000002</v>
      </c>
      <c r="O40">
        <f>INDEX(Table_5._Commercial_Sector_Key_!$F$8:$AG$102,MATCH('Crosswalk AEO to EPS Summary'!$A40,Table_5._Commercial_Sector_Key_!$B$8:$B$102,0),MATCH(O$1,Table_5._Commercial_Sector_Key_!$F$5:$AG$5,0))</f>
        <v>0.62055099999999996</v>
      </c>
      <c r="P40">
        <f>INDEX(Table_5._Commercial_Sector_Key_!$F$8:$AG$102,MATCH('Crosswalk AEO to EPS Summary'!$A40,Table_5._Commercial_Sector_Key_!$B$8:$B$102,0),MATCH(P$1,Table_5._Commercial_Sector_Key_!$F$5:$AG$5,0))</f>
        <v>0.62640499999999999</v>
      </c>
      <c r="Q40">
        <f>INDEX(Table_5._Commercial_Sector_Key_!$F$8:$AG$102,MATCH('Crosswalk AEO to EPS Summary'!$A40,Table_5._Commercial_Sector_Key_!$B$8:$B$102,0),MATCH(Q$1,Table_5._Commercial_Sector_Key_!$F$5:$AG$5,0))</f>
        <v>0.63423700000000005</v>
      </c>
      <c r="R40">
        <f>INDEX(Table_5._Commercial_Sector_Key_!$F$8:$AG$102,MATCH('Crosswalk AEO to EPS Summary'!$A40,Table_5._Commercial_Sector_Key_!$B$8:$B$102,0),MATCH(R$1,Table_5._Commercial_Sector_Key_!$F$5:$AG$5,0))</f>
        <v>0.64381999999999995</v>
      </c>
      <c r="S40">
        <f>INDEX(Table_5._Commercial_Sector_Key_!$F$8:$AG$102,MATCH('Crosswalk AEO to EPS Summary'!$A40,Table_5._Commercial_Sector_Key_!$B$8:$B$102,0),MATCH(S$1,Table_5._Commercial_Sector_Key_!$F$5:$AG$5,0))</f>
        <v>0.65397899999999998</v>
      </c>
      <c r="T40">
        <f>INDEX(Table_5._Commercial_Sector_Key_!$F$8:$AG$102,MATCH('Crosswalk AEO to EPS Summary'!$A40,Table_5._Commercial_Sector_Key_!$B$8:$B$102,0),MATCH(T$1,Table_5._Commercial_Sector_Key_!$F$5:$AG$5,0))</f>
        <v>0.66307199999999999</v>
      </c>
      <c r="U40">
        <f>INDEX(Table_5._Commercial_Sector_Key_!$F$8:$AG$102,MATCH('Crosswalk AEO to EPS Summary'!$A40,Table_5._Commercial_Sector_Key_!$B$8:$B$102,0),MATCH(U$1,Table_5._Commercial_Sector_Key_!$F$5:$AG$5,0))</f>
        <v>0.67238900000000001</v>
      </c>
      <c r="V40">
        <f>INDEX(Table_5._Commercial_Sector_Key_!$F$8:$AG$102,MATCH('Crosswalk AEO to EPS Summary'!$A40,Table_5._Commercial_Sector_Key_!$B$8:$B$102,0),MATCH(V$1,Table_5._Commercial_Sector_Key_!$F$5:$AG$5,0))</f>
        <v>0.68169299999999999</v>
      </c>
      <c r="W40">
        <f>INDEX(Table_5._Commercial_Sector_Key_!$F$8:$AG$102,MATCH('Crosswalk AEO to EPS Summary'!$A40,Table_5._Commercial_Sector_Key_!$B$8:$B$102,0),MATCH(W$1,Table_5._Commercial_Sector_Key_!$F$5:$AG$5,0))</f>
        <v>0.69142400000000004</v>
      </c>
      <c r="X40">
        <f>INDEX(Table_5._Commercial_Sector_Key_!$F$8:$AG$102,MATCH('Crosswalk AEO to EPS Summary'!$A40,Table_5._Commercial_Sector_Key_!$B$8:$B$102,0),MATCH(X$1,Table_5._Commercial_Sector_Key_!$F$5:$AG$5,0))</f>
        <v>0.70088799999999996</v>
      </c>
      <c r="Y40">
        <f>INDEX(Table_5._Commercial_Sector_Key_!$F$8:$AG$102,MATCH('Crosswalk AEO to EPS Summary'!$A40,Table_5._Commercial_Sector_Key_!$B$8:$B$102,0),MATCH(Y$1,Table_5._Commercial_Sector_Key_!$F$5:$AG$5,0))</f>
        <v>0.71087299999999998</v>
      </c>
      <c r="Z40">
        <f>INDEX(Table_5._Commercial_Sector_Key_!$F$8:$AG$102,MATCH('Crosswalk AEO to EPS Summary'!$A40,Table_5._Commercial_Sector_Key_!$B$8:$B$102,0),MATCH(Z$1,Table_5._Commercial_Sector_Key_!$F$5:$AG$5,0))</f>
        <v>0.72087900000000005</v>
      </c>
      <c r="AA40">
        <f>INDEX(Table_5._Commercial_Sector_Key_!$F$8:$AG$102,MATCH('Crosswalk AEO to EPS Summary'!$A40,Table_5._Commercial_Sector_Key_!$B$8:$B$102,0),MATCH(AA$1,Table_5._Commercial_Sector_Key_!$F$5:$AG$5,0))</f>
        <v>0.73082199999999997</v>
      </c>
      <c r="AB40">
        <f>INDEX(Table_5._Commercial_Sector_Key_!$F$8:$AG$102,MATCH('Crosswalk AEO to EPS Summary'!$A40,Table_5._Commercial_Sector_Key_!$B$8:$B$102,0),MATCH(AB$1,Table_5._Commercial_Sector_Key_!$F$5:$AG$5,0))</f>
        <v>0.74072300000000002</v>
      </c>
      <c r="AC40">
        <f>INDEX(Table_5._Commercial_Sector_Key_!$F$8:$AG$102,MATCH('Crosswalk AEO to EPS Summary'!$A40,Table_5._Commercial_Sector_Key_!$B$8:$B$102,0),MATCH(AC$1,Table_5._Commercial_Sector_Key_!$F$5:$AG$5,0))</f>
        <v>0.75073699999999999</v>
      </c>
      <c r="AD40">
        <f>INDEX(Table_5._Commercial_Sector_Key_!$F$8:$AG$102,MATCH('Crosswalk AEO to EPS Summary'!$A40,Table_5._Commercial_Sector_Key_!$B$8:$B$102,0),MATCH(AD$1,Table_5._Commercial_Sector_Key_!$F$5:$AG$5,0))</f>
        <v>0.76097599999999999</v>
      </c>
      <c r="AE40">
        <f>INDEX(Table_5._Commercial_Sector_Key_!$F$8:$AG$102,MATCH('Crosswalk AEO to EPS Summary'!$A40,Table_5._Commercial_Sector_Key_!$B$8:$B$102,0),MATCH(AE$1,Table_5._Commercial_Sector_Key_!$F$5:$AG$5,0))</f>
        <v>0.77153000000000005</v>
      </c>
      <c r="AF40">
        <f>INDEX(Table_5._Commercial_Sector_Key_!$F$8:$AG$102,MATCH('Crosswalk AEO to EPS Summary'!$A40,Table_5._Commercial_Sector_Key_!$B$8:$B$102,0),MATCH(AF$1,Table_5._Commercial_Sector_Key_!$F$5:$AG$5,0))</f>
        <v>0.78222499999999995</v>
      </c>
    </row>
    <row r="41" spans="1:32" x14ac:dyDescent="0.25">
      <c r="A41" t="s">
        <v>703</v>
      </c>
      <c r="B41" t="str">
        <f t="shared" si="0"/>
        <v>commercial-appliances-electricity (BTU)</v>
      </c>
      <c r="C41" t="s">
        <v>737</v>
      </c>
      <c r="D41" s="93" t="s">
        <v>732</v>
      </c>
      <c r="E41" s="1" t="s">
        <v>11</v>
      </c>
      <c r="F41" s="75">
        <f>INDEX(Table_5._Commercial_Sector_Key_!$F$8:$AG$102,MATCH('Crosswalk AEO to EPS Summary'!$A41,Table_5._Commercial_Sector_Key_!$B$8:$B$102,0),MATCH(F$1,Table_5._Commercial_Sector_Key_!$F$5:$AG$5,0))</f>
        <v>7.4497999999999995E-2</v>
      </c>
      <c r="G41">
        <f>INDEX(Table_5._Commercial_Sector_Key_!$F$8:$AG$102,MATCH('Crosswalk AEO to EPS Summary'!$A41,Table_5._Commercial_Sector_Key_!$B$8:$B$102,0),MATCH(G$1,Table_5._Commercial_Sector_Key_!$F$5:$AG$5,0))</f>
        <v>7.4070999999999998E-2</v>
      </c>
      <c r="H41">
        <f>INDEX(Table_5._Commercial_Sector_Key_!$F$8:$AG$102,MATCH('Crosswalk AEO to EPS Summary'!$A41,Table_5._Commercial_Sector_Key_!$B$8:$B$102,0),MATCH(H$1,Table_5._Commercial_Sector_Key_!$F$5:$AG$5,0))</f>
        <v>7.4181999999999998E-2</v>
      </c>
      <c r="I41">
        <f>INDEX(Table_5._Commercial_Sector_Key_!$F$8:$AG$102,MATCH('Crosswalk AEO to EPS Summary'!$A41,Table_5._Commercial_Sector_Key_!$B$8:$B$102,0),MATCH(I$1,Table_5._Commercial_Sector_Key_!$F$5:$AG$5,0))</f>
        <v>7.4693999999999997E-2</v>
      </c>
      <c r="J41">
        <f>INDEX(Table_5._Commercial_Sector_Key_!$F$8:$AG$102,MATCH('Crosswalk AEO to EPS Summary'!$A41,Table_5._Commercial_Sector_Key_!$B$8:$B$102,0),MATCH(J$1,Table_5._Commercial_Sector_Key_!$F$5:$AG$5,0))</f>
        <v>7.4824000000000002E-2</v>
      </c>
      <c r="K41">
        <f>INDEX(Table_5._Commercial_Sector_Key_!$F$8:$AG$102,MATCH('Crosswalk AEO to EPS Summary'!$A41,Table_5._Commercial_Sector_Key_!$B$8:$B$102,0),MATCH(K$1,Table_5._Commercial_Sector_Key_!$F$5:$AG$5,0))</f>
        <v>7.4441999999999994E-2</v>
      </c>
      <c r="L41">
        <f>INDEX(Table_5._Commercial_Sector_Key_!$F$8:$AG$102,MATCH('Crosswalk AEO to EPS Summary'!$A41,Table_5._Commercial_Sector_Key_!$B$8:$B$102,0),MATCH(L$1,Table_5._Commercial_Sector_Key_!$F$5:$AG$5,0))</f>
        <v>7.3762999999999995E-2</v>
      </c>
      <c r="M41">
        <f>INDEX(Table_5._Commercial_Sector_Key_!$F$8:$AG$102,MATCH('Crosswalk AEO to EPS Summary'!$A41,Table_5._Commercial_Sector_Key_!$B$8:$B$102,0),MATCH(M$1,Table_5._Commercial_Sector_Key_!$F$5:$AG$5,0))</f>
        <v>7.2946999999999998E-2</v>
      </c>
      <c r="N41">
        <f>INDEX(Table_5._Commercial_Sector_Key_!$F$8:$AG$102,MATCH('Crosswalk AEO to EPS Summary'!$A41,Table_5._Commercial_Sector_Key_!$B$8:$B$102,0),MATCH(N$1,Table_5._Commercial_Sector_Key_!$F$5:$AG$5,0))</f>
        <v>7.2144E-2</v>
      </c>
      <c r="O41">
        <f>INDEX(Table_5._Commercial_Sector_Key_!$F$8:$AG$102,MATCH('Crosswalk AEO to EPS Summary'!$A41,Table_5._Commercial_Sector_Key_!$B$8:$B$102,0),MATCH(O$1,Table_5._Commercial_Sector_Key_!$F$5:$AG$5,0))</f>
        <v>7.1230000000000002E-2</v>
      </c>
      <c r="P41">
        <f>INDEX(Table_5._Commercial_Sector_Key_!$F$8:$AG$102,MATCH('Crosswalk AEO to EPS Summary'!$A41,Table_5._Commercial_Sector_Key_!$B$8:$B$102,0),MATCH(P$1,Table_5._Commercial_Sector_Key_!$F$5:$AG$5,0))</f>
        <v>7.0422999999999999E-2</v>
      </c>
      <c r="Q41">
        <f>INDEX(Table_5._Commercial_Sector_Key_!$F$8:$AG$102,MATCH('Crosswalk AEO to EPS Summary'!$A41,Table_5._Commercial_Sector_Key_!$B$8:$B$102,0),MATCH(Q$1,Table_5._Commercial_Sector_Key_!$F$5:$AG$5,0))</f>
        <v>6.9794999999999996E-2</v>
      </c>
      <c r="R41">
        <f>INDEX(Table_5._Commercial_Sector_Key_!$F$8:$AG$102,MATCH('Crosswalk AEO to EPS Summary'!$A41,Table_5._Commercial_Sector_Key_!$B$8:$B$102,0),MATCH(R$1,Table_5._Commercial_Sector_Key_!$F$5:$AG$5,0))</f>
        <v>6.9306000000000006E-2</v>
      </c>
      <c r="S41">
        <f>INDEX(Table_5._Commercial_Sector_Key_!$F$8:$AG$102,MATCH('Crosswalk AEO to EPS Summary'!$A41,Table_5._Commercial_Sector_Key_!$B$8:$B$102,0),MATCH(S$1,Table_5._Commercial_Sector_Key_!$F$5:$AG$5,0))</f>
        <v>6.8849999999999995E-2</v>
      </c>
      <c r="T41">
        <f>INDEX(Table_5._Commercial_Sector_Key_!$F$8:$AG$102,MATCH('Crosswalk AEO to EPS Summary'!$A41,Table_5._Commercial_Sector_Key_!$B$8:$B$102,0),MATCH(T$1,Table_5._Commercial_Sector_Key_!$F$5:$AG$5,0))</f>
        <v>6.8282999999999996E-2</v>
      </c>
      <c r="U41">
        <f>INDEX(Table_5._Commercial_Sector_Key_!$F$8:$AG$102,MATCH('Crosswalk AEO to EPS Summary'!$A41,Table_5._Commercial_Sector_Key_!$B$8:$B$102,0),MATCH(U$1,Table_5._Commercial_Sector_Key_!$F$5:$AG$5,0))</f>
        <v>6.7698999999999995E-2</v>
      </c>
      <c r="V41">
        <f>INDEX(Table_5._Commercial_Sector_Key_!$F$8:$AG$102,MATCH('Crosswalk AEO to EPS Summary'!$A41,Table_5._Commercial_Sector_Key_!$B$8:$B$102,0),MATCH(V$1,Table_5._Commercial_Sector_Key_!$F$5:$AG$5,0))</f>
        <v>6.7104999999999998E-2</v>
      </c>
      <c r="W41">
        <f>INDEX(Table_5._Commercial_Sector_Key_!$F$8:$AG$102,MATCH('Crosswalk AEO to EPS Summary'!$A41,Table_5._Commercial_Sector_Key_!$B$8:$B$102,0),MATCH(W$1,Table_5._Commercial_Sector_Key_!$F$5:$AG$5,0))</f>
        <v>6.6491999999999996E-2</v>
      </c>
      <c r="X41">
        <f>INDEX(Table_5._Commercial_Sector_Key_!$F$8:$AG$102,MATCH('Crosswalk AEO to EPS Summary'!$A41,Table_5._Commercial_Sector_Key_!$B$8:$B$102,0),MATCH(X$1,Table_5._Commercial_Sector_Key_!$F$5:$AG$5,0))</f>
        <v>6.5851999999999994E-2</v>
      </c>
      <c r="Y41">
        <f>INDEX(Table_5._Commercial_Sector_Key_!$F$8:$AG$102,MATCH('Crosswalk AEO to EPS Summary'!$A41,Table_5._Commercial_Sector_Key_!$B$8:$B$102,0),MATCH(Y$1,Table_5._Commercial_Sector_Key_!$F$5:$AG$5,0))</f>
        <v>6.5211000000000005E-2</v>
      </c>
      <c r="Z41">
        <f>INDEX(Table_5._Commercial_Sector_Key_!$F$8:$AG$102,MATCH('Crosswalk AEO to EPS Summary'!$A41,Table_5._Commercial_Sector_Key_!$B$8:$B$102,0),MATCH(Z$1,Table_5._Commercial_Sector_Key_!$F$5:$AG$5,0))</f>
        <v>6.4549999999999996E-2</v>
      </c>
      <c r="AA41">
        <f>INDEX(Table_5._Commercial_Sector_Key_!$F$8:$AG$102,MATCH('Crosswalk AEO to EPS Summary'!$A41,Table_5._Commercial_Sector_Key_!$B$8:$B$102,0),MATCH(AA$1,Table_5._Commercial_Sector_Key_!$F$5:$AG$5,0))</f>
        <v>6.3868999999999995E-2</v>
      </c>
      <c r="AB41">
        <f>INDEX(Table_5._Commercial_Sector_Key_!$F$8:$AG$102,MATCH('Crosswalk AEO to EPS Summary'!$A41,Table_5._Commercial_Sector_Key_!$B$8:$B$102,0),MATCH(AB$1,Table_5._Commercial_Sector_Key_!$F$5:$AG$5,0))</f>
        <v>6.3171000000000005E-2</v>
      </c>
      <c r="AC41">
        <f>INDEX(Table_5._Commercial_Sector_Key_!$F$8:$AG$102,MATCH('Crosswalk AEO to EPS Summary'!$A41,Table_5._Commercial_Sector_Key_!$B$8:$B$102,0),MATCH(AC$1,Table_5._Commercial_Sector_Key_!$F$5:$AG$5,0))</f>
        <v>6.2462999999999998E-2</v>
      </c>
      <c r="AD41">
        <f>INDEX(Table_5._Commercial_Sector_Key_!$F$8:$AG$102,MATCH('Crosswalk AEO to EPS Summary'!$A41,Table_5._Commercial_Sector_Key_!$B$8:$B$102,0),MATCH(AD$1,Table_5._Commercial_Sector_Key_!$F$5:$AG$5,0))</f>
        <v>6.1751E-2</v>
      </c>
      <c r="AE41">
        <f>INDEX(Table_5._Commercial_Sector_Key_!$F$8:$AG$102,MATCH('Crosswalk AEO to EPS Summary'!$A41,Table_5._Commercial_Sector_Key_!$B$8:$B$102,0),MATCH(AE$1,Table_5._Commercial_Sector_Key_!$F$5:$AG$5,0))</f>
        <v>6.1051000000000001E-2</v>
      </c>
      <c r="AF41">
        <f>INDEX(Table_5._Commercial_Sector_Key_!$F$8:$AG$102,MATCH('Crosswalk AEO to EPS Summary'!$A41,Table_5._Commercial_Sector_Key_!$B$8:$B$102,0),MATCH(AF$1,Table_5._Commercial_Sector_Key_!$F$5:$AG$5,0))</f>
        <v>6.0345000000000003E-2</v>
      </c>
    </row>
    <row r="42" spans="1:32" x14ac:dyDescent="0.25">
      <c r="A42" t="s">
        <v>701</v>
      </c>
      <c r="B42" t="str">
        <f t="shared" si="0"/>
        <v>commercial-cooling-electricity (BTU)</v>
      </c>
      <c r="C42" t="s">
        <v>737</v>
      </c>
      <c r="D42" s="93" t="s">
        <v>731</v>
      </c>
      <c r="E42" s="1" t="s">
        <v>11</v>
      </c>
      <c r="F42" s="75">
        <f>INDEX(Table_5._Commercial_Sector_Key_!$F$8:$AG$102,MATCH('Crosswalk AEO to EPS Summary'!$A42,Table_5._Commercial_Sector_Key_!$B$8:$B$102,0),MATCH(F$1,Table_5._Commercial_Sector_Key_!$F$5:$AG$5,0))</f>
        <v>0.74466100000000002</v>
      </c>
      <c r="G42">
        <f>INDEX(Table_5._Commercial_Sector_Key_!$F$8:$AG$102,MATCH('Crosswalk AEO to EPS Summary'!$A42,Table_5._Commercial_Sector_Key_!$B$8:$B$102,0),MATCH(G$1,Table_5._Commercial_Sector_Key_!$F$5:$AG$5,0))</f>
        <v>0.75660300000000003</v>
      </c>
      <c r="H42">
        <f>INDEX(Table_5._Commercial_Sector_Key_!$F$8:$AG$102,MATCH('Crosswalk AEO to EPS Summary'!$A42,Table_5._Commercial_Sector_Key_!$B$8:$B$102,0),MATCH(H$1,Table_5._Commercial_Sector_Key_!$F$5:$AG$5,0))</f>
        <v>0.77322599999999997</v>
      </c>
      <c r="I42">
        <f>INDEX(Table_5._Commercial_Sector_Key_!$F$8:$AG$102,MATCH('Crosswalk AEO to EPS Summary'!$A42,Table_5._Commercial_Sector_Key_!$B$8:$B$102,0),MATCH(I$1,Table_5._Commercial_Sector_Key_!$F$5:$AG$5,0))</f>
        <v>0.794686</v>
      </c>
      <c r="J42">
        <f>INDEX(Table_5._Commercial_Sector_Key_!$F$8:$AG$102,MATCH('Crosswalk AEO to EPS Summary'!$A42,Table_5._Commercial_Sector_Key_!$B$8:$B$102,0),MATCH(J$1,Table_5._Commercial_Sector_Key_!$F$5:$AG$5,0))</f>
        <v>0.81265399999999999</v>
      </c>
      <c r="K42">
        <f>INDEX(Table_5._Commercial_Sector_Key_!$F$8:$AG$102,MATCH('Crosswalk AEO to EPS Summary'!$A42,Table_5._Commercial_Sector_Key_!$B$8:$B$102,0),MATCH(K$1,Table_5._Commercial_Sector_Key_!$F$5:$AG$5,0))</f>
        <v>0.82538800000000001</v>
      </c>
      <c r="L42">
        <f>INDEX(Table_5._Commercial_Sector_Key_!$F$8:$AG$102,MATCH('Crosswalk AEO to EPS Summary'!$A42,Table_5._Commercial_Sector_Key_!$B$8:$B$102,0),MATCH(L$1,Table_5._Commercial_Sector_Key_!$F$5:$AG$5,0))</f>
        <v>0.83255599999999996</v>
      </c>
      <c r="M42">
        <f>INDEX(Table_5._Commercial_Sector_Key_!$F$8:$AG$102,MATCH('Crosswalk AEO to EPS Summary'!$A42,Table_5._Commercial_Sector_Key_!$B$8:$B$102,0),MATCH(M$1,Table_5._Commercial_Sector_Key_!$F$5:$AG$5,0))</f>
        <v>0.83918999999999999</v>
      </c>
      <c r="N42">
        <f>INDEX(Table_5._Commercial_Sector_Key_!$F$8:$AG$102,MATCH('Crosswalk AEO to EPS Summary'!$A42,Table_5._Commercial_Sector_Key_!$B$8:$B$102,0),MATCH(N$1,Table_5._Commercial_Sector_Key_!$F$5:$AG$5,0))</f>
        <v>0.84623800000000005</v>
      </c>
      <c r="O42">
        <f>INDEX(Table_5._Commercial_Sector_Key_!$F$8:$AG$102,MATCH('Crosswalk AEO to EPS Summary'!$A42,Table_5._Commercial_Sector_Key_!$B$8:$B$102,0),MATCH(O$1,Table_5._Commercial_Sector_Key_!$F$5:$AG$5,0))</f>
        <v>0.85270299999999999</v>
      </c>
      <c r="P42">
        <f>INDEX(Table_5._Commercial_Sector_Key_!$F$8:$AG$102,MATCH('Crosswalk AEO to EPS Summary'!$A42,Table_5._Commercial_Sector_Key_!$B$8:$B$102,0),MATCH(P$1,Table_5._Commercial_Sector_Key_!$F$5:$AG$5,0))</f>
        <v>0.86054200000000003</v>
      </c>
      <c r="Q42">
        <f>INDEX(Table_5._Commercial_Sector_Key_!$F$8:$AG$102,MATCH('Crosswalk AEO to EPS Summary'!$A42,Table_5._Commercial_Sector_Key_!$B$8:$B$102,0),MATCH(Q$1,Table_5._Commercial_Sector_Key_!$F$5:$AG$5,0))</f>
        <v>0.87058199999999997</v>
      </c>
      <c r="R42">
        <f>INDEX(Table_5._Commercial_Sector_Key_!$F$8:$AG$102,MATCH('Crosswalk AEO to EPS Summary'!$A42,Table_5._Commercial_Sector_Key_!$B$8:$B$102,0),MATCH(R$1,Table_5._Commercial_Sector_Key_!$F$5:$AG$5,0))</f>
        <v>0.88244599999999995</v>
      </c>
      <c r="S42">
        <f>INDEX(Table_5._Commercial_Sector_Key_!$F$8:$AG$102,MATCH('Crosswalk AEO to EPS Summary'!$A42,Table_5._Commercial_Sector_Key_!$B$8:$B$102,0),MATCH(S$1,Table_5._Commercial_Sector_Key_!$F$5:$AG$5,0))</f>
        <v>0.89490700000000001</v>
      </c>
      <c r="T42">
        <f>INDEX(Table_5._Commercial_Sector_Key_!$F$8:$AG$102,MATCH('Crosswalk AEO to EPS Summary'!$A42,Table_5._Commercial_Sector_Key_!$B$8:$B$102,0),MATCH(T$1,Table_5._Commercial_Sector_Key_!$F$5:$AG$5,0))</f>
        <v>0.90612800000000004</v>
      </c>
      <c r="U42">
        <f>INDEX(Table_5._Commercial_Sector_Key_!$F$8:$AG$102,MATCH('Crosswalk AEO to EPS Summary'!$A42,Table_5._Commercial_Sector_Key_!$B$8:$B$102,0),MATCH(U$1,Table_5._Commercial_Sector_Key_!$F$5:$AG$5,0))</f>
        <v>0.91749000000000003</v>
      </c>
      <c r="V42">
        <f>INDEX(Table_5._Commercial_Sector_Key_!$F$8:$AG$102,MATCH('Crosswalk AEO to EPS Summary'!$A42,Table_5._Commercial_Sector_Key_!$B$8:$B$102,0),MATCH(V$1,Table_5._Commercial_Sector_Key_!$F$5:$AG$5,0))</f>
        <v>0.92891400000000002</v>
      </c>
      <c r="W42">
        <f>INDEX(Table_5._Commercial_Sector_Key_!$F$8:$AG$102,MATCH('Crosswalk AEO to EPS Summary'!$A42,Table_5._Commercial_Sector_Key_!$B$8:$B$102,0),MATCH(W$1,Table_5._Commercial_Sector_Key_!$F$5:$AG$5,0))</f>
        <v>0.94040800000000002</v>
      </c>
      <c r="X42">
        <f>INDEX(Table_5._Commercial_Sector_Key_!$F$8:$AG$102,MATCH('Crosswalk AEO to EPS Summary'!$A42,Table_5._Commercial_Sector_Key_!$B$8:$B$102,0),MATCH(X$1,Table_5._Commercial_Sector_Key_!$F$5:$AG$5,0))</f>
        <v>0.95150500000000005</v>
      </c>
      <c r="Y42">
        <f>INDEX(Table_5._Commercial_Sector_Key_!$F$8:$AG$102,MATCH('Crosswalk AEO to EPS Summary'!$A42,Table_5._Commercial_Sector_Key_!$B$8:$B$102,0),MATCH(Y$1,Table_5._Commercial_Sector_Key_!$F$5:$AG$5,0))</f>
        <v>0.96264499999999997</v>
      </c>
      <c r="Z42">
        <f>INDEX(Table_5._Commercial_Sector_Key_!$F$8:$AG$102,MATCH('Crosswalk AEO to EPS Summary'!$A42,Table_5._Commercial_Sector_Key_!$B$8:$B$102,0),MATCH(Z$1,Table_5._Commercial_Sector_Key_!$F$5:$AG$5,0))</f>
        <v>0.97362300000000002</v>
      </c>
      <c r="AA42">
        <f>INDEX(Table_5._Commercial_Sector_Key_!$F$8:$AG$102,MATCH('Crosswalk AEO to EPS Summary'!$A42,Table_5._Commercial_Sector_Key_!$B$8:$B$102,0),MATCH(AA$1,Table_5._Commercial_Sector_Key_!$F$5:$AG$5,0))</f>
        <v>0.98445099999999996</v>
      </c>
      <c r="AB42">
        <f>INDEX(Table_5._Commercial_Sector_Key_!$F$8:$AG$102,MATCH('Crosswalk AEO to EPS Summary'!$A42,Table_5._Commercial_Sector_Key_!$B$8:$B$102,0),MATCH(AB$1,Table_5._Commercial_Sector_Key_!$F$5:$AG$5,0))</f>
        <v>0.99525200000000003</v>
      </c>
      <c r="AC42">
        <f>INDEX(Table_5._Commercial_Sector_Key_!$F$8:$AG$102,MATCH('Crosswalk AEO to EPS Summary'!$A42,Table_5._Commercial_Sector_Key_!$B$8:$B$102,0),MATCH(AC$1,Table_5._Commercial_Sector_Key_!$F$5:$AG$5,0))</f>
        <v>1.006035</v>
      </c>
      <c r="AD42">
        <f>INDEX(Table_5._Commercial_Sector_Key_!$F$8:$AG$102,MATCH('Crosswalk AEO to EPS Summary'!$A42,Table_5._Commercial_Sector_Key_!$B$8:$B$102,0),MATCH(AD$1,Table_5._Commercial_Sector_Key_!$F$5:$AG$5,0))</f>
        <v>1.016947</v>
      </c>
      <c r="AE42">
        <f>INDEX(Table_5._Commercial_Sector_Key_!$F$8:$AG$102,MATCH('Crosswalk AEO to EPS Summary'!$A42,Table_5._Commercial_Sector_Key_!$B$8:$B$102,0),MATCH(AE$1,Table_5._Commercial_Sector_Key_!$F$5:$AG$5,0))</f>
        <v>1.0281290000000001</v>
      </c>
      <c r="AF42">
        <f>INDEX(Table_5._Commercial_Sector_Key_!$F$8:$AG$102,MATCH('Crosswalk AEO to EPS Summary'!$A42,Table_5._Commercial_Sector_Key_!$B$8:$B$102,0),MATCH(AF$1,Table_5._Commercial_Sector_Key_!$F$5:$AG$5,0))</f>
        <v>1.0394589999999999</v>
      </c>
    </row>
    <row r="43" spans="1:32" x14ac:dyDescent="0.25">
      <c r="A43" t="s">
        <v>699</v>
      </c>
      <c r="B43" t="str">
        <f t="shared" si="0"/>
        <v>commercial-appliances-electricity (BTU)</v>
      </c>
      <c r="C43" t="s">
        <v>737</v>
      </c>
      <c r="D43" s="93" t="s">
        <v>732</v>
      </c>
      <c r="E43" s="1" t="s">
        <v>11</v>
      </c>
      <c r="F43" s="75">
        <f>INDEX(Table_5._Commercial_Sector_Key_!$F$8:$AG$102,MATCH('Crosswalk AEO to EPS Summary'!$A43,Table_5._Commercial_Sector_Key_!$B$8:$B$102,0),MATCH(F$1,Table_5._Commercial_Sector_Key_!$F$5:$AG$5,0))</f>
        <v>8.4362999999999994E-2</v>
      </c>
      <c r="G43">
        <f>INDEX(Table_5._Commercial_Sector_Key_!$F$8:$AG$102,MATCH('Crosswalk AEO to EPS Summary'!$A43,Table_5._Commercial_Sector_Key_!$B$8:$B$102,0),MATCH(G$1,Table_5._Commercial_Sector_Key_!$F$5:$AG$5,0))</f>
        <v>8.4583000000000005E-2</v>
      </c>
      <c r="H43">
        <f>INDEX(Table_5._Commercial_Sector_Key_!$F$8:$AG$102,MATCH('Crosswalk AEO to EPS Summary'!$A43,Table_5._Commercial_Sector_Key_!$B$8:$B$102,0),MATCH(H$1,Table_5._Commercial_Sector_Key_!$F$5:$AG$5,0))</f>
        <v>8.5052000000000003E-2</v>
      </c>
      <c r="I43">
        <f>INDEX(Table_5._Commercial_Sector_Key_!$F$8:$AG$102,MATCH('Crosswalk AEO to EPS Summary'!$A43,Table_5._Commercial_Sector_Key_!$B$8:$B$102,0),MATCH(I$1,Table_5._Commercial_Sector_Key_!$F$5:$AG$5,0))</f>
        <v>8.5953000000000002E-2</v>
      </c>
      <c r="J43">
        <f>INDEX(Table_5._Commercial_Sector_Key_!$F$8:$AG$102,MATCH('Crosswalk AEO to EPS Summary'!$A43,Table_5._Commercial_Sector_Key_!$B$8:$B$102,0),MATCH(J$1,Table_5._Commercial_Sector_Key_!$F$5:$AG$5,0))</f>
        <v>8.6428000000000005E-2</v>
      </c>
      <c r="K43">
        <f>INDEX(Table_5._Commercial_Sector_Key_!$F$8:$AG$102,MATCH('Crosswalk AEO to EPS Summary'!$A43,Table_5._Commercial_Sector_Key_!$B$8:$B$102,0),MATCH(K$1,Table_5._Commercial_Sector_Key_!$F$5:$AG$5,0))</f>
        <v>8.6317000000000005E-2</v>
      </c>
      <c r="L43">
        <f>INDEX(Table_5._Commercial_Sector_Key_!$F$8:$AG$102,MATCH('Crosswalk AEO to EPS Summary'!$A43,Table_5._Commercial_Sector_Key_!$B$8:$B$102,0),MATCH(L$1,Table_5._Commercial_Sector_Key_!$F$5:$AG$5,0))</f>
        <v>8.5872000000000004E-2</v>
      </c>
      <c r="M43">
        <f>INDEX(Table_5._Commercial_Sector_Key_!$F$8:$AG$102,MATCH('Crosswalk AEO to EPS Summary'!$A43,Table_5._Commercial_Sector_Key_!$B$8:$B$102,0),MATCH(M$1,Table_5._Commercial_Sector_Key_!$F$5:$AG$5,0))</f>
        <v>8.5313E-2</v>
      </c>
      <c r="N43">
        <f>INDEX(Table_5._Commercial_Sector_Key_!$F$8:$AG$102,MATCH('Crosswalk AEO to EPS Summary'!$A43,Table_5._Commercial_Sector_Key_!$B$8:$B$102,0),MATCH(N$1,Table_5._Commercial_Sector_Key_!$F$5:$AG$5,0))</f>
        <v>8.4775000000000003E-2</v>
      </c>
      <c r="O43">
        <f>INDEX(Table_5._Commercial_Sector_Key_!$F$8:$AG$102,MATCH('Crosswalk AEO to EPS Summary'!$A43,Table_5._Commercial_Sector_Key_!$B$8:$B$102,0),MATCH(O$1,Table_5._Commercial_Sector_Key_!$F$5:$AG$5,0))</f>
        <v>8.4150000000000003E-2</v>
      </c>
      <c r="P43">
        <f>INDEX(Table_5._Commercial_Sector_Key_!$F$8:$AG$102,MATCH('Crosswalk AEO to EPS Summary'!$A43,Table_5._Commercial_Sector_Key_!$B$8:$B$102,0),MATCH(P$1,Table_5._Commercial_Sector_Key_!$F$5:$AG$5,0))</f>
        <v>8.3640999999999993E-2</v>
      </c>
      <c r="Q43">
        <f>INDEX(Table_5._Commercial_Sector_Key_!$F$8:$AG$102,MATCH('Crosswalk AEO to EPS Summary'!$A43,Table_5._Commercial_Sector_Key_!$B$8:$B$102,0),MATCH(Q$1,Table_5._Commercial_Sector_Key_!$F$5:$AG$5,0))</f>
        <v>8.3323999999999995E-2</v>
      </c>
      <c r="R43">
        <f>INDEX(Table_5._Commercial_Sector_Key_!$F$8:$AG$102,MATCH('Crosswalk AEO to EPS Summary'!$A43,Table_5._Commercial_Sector_Key_!$B$8:$B$102,0),MATCH(R$1,Table_5._Commercial_Sector_Key_!$F$5:$AG$5,0))</f>
        <v>8.3155000000000007E-2</v>
      </c>
      <c r="S43">
        <f>INDEX(Table_5._Commercial_Sector_Key_!$F$8:$AG$102,MATCH('Crosswalk AEO to EPS Summary'!$A43,Table_5._Commercial_Sector_Key_!$B$8:$B$102,0),MATCH(S$1,Table_5._Commercial_Sector_Key_!$F$5:$AG$5,0))</f>
        <v>8.3003999999999994E-2</v>
      </c>
      <c r="T43">
        <f>INDEX(Table_5._Commercial_Sector_Key_!$F$8:$AG$102,MATCH('Crosswalk AEO to EPS Summary'!$A43,Table_5._Commercial_Sector_Key_!$B$8:$B$102,0),MATCH(T$1,Table_5._Commercial_Sector_Key_!$F$5:$AG$5,0))</f>
        <v>8.2700999999999997E-2</v>
      </c>
      <c r="U43">
        <f>INDEX(Table_5._Commercial_Sector_Key_!$F$8:$AG$102,MATCH('Crosswalk AEO to EPS Summary'!$A43,Table_5._Commercial_Sector_Key_!$B$8:$B$102,0),MATCH(U$1,Table_5._Commercial_Sector_Key_!$F$5:$AG$5,0))</f>
        <v>8.2369999999999999E-2</v>
      </c>
      <c r="V43">
        <f>INDEX(Table_5._Commercial_Sector_Key_!$F$8:$AG$102,MATCH('Crosswalk AEO to EPS Summary'!$A43,Table_5._Commercial_Sector_Key_!$B$8:$B$102,0),MATCH(V$1,Table_5._Commercial_Sector_Key_!$F$5:$AG$5,0))</f>
        <v>8.201E-2</v>
      </c>
      <c r="W43">
        <f>INDEX(Table_5._Commercial_Sector_Key_!$F$8:$AG$102,MATCH('Crosswalk AEO to EPS Summary'!$A43,Table_5._Commercial_Sector_Key_!$B$8:$B$102,0),MATCH(W$1,Table_5._Commercial_Sector_Key_!$F$5:$AG$5,0))</f>
        <v>8.1651000000000001E-2</v>
      </c>
      <c r="X43">
        <f>INDEX(Table_5._Commercial_Sector_Key_!$F$8:$AG$102,MATCH('Crosswalk AEO to EPS Summary'!$A43,Table_5._Commercial_Sector_Key_!$B$8:$B$102,0),MATCH(X$1,Table_5._Commercial_Sector_Key_!$F$5:$AG$5,0))</f>
        <v>8.1244999999999998E-2</v>
      </c>
      <c r="Y43">
        <f>INDEX(Table_5._Commercial_Sector_Key_!$F$8:$AG$102,MATCH('Crosswalk AEO to EPS Summary'!$A43,Table_5._Commercial_Sector_Key_!$B$8:$B$102,0),MATCH(Y$1,Table_5._Commercial_Sector_Key_!$F$5:$AG$5,0))</f>
        <v>8.0828999999999998E-2</v>
      </c>
      <c r="Z43">
        <f>INDEX(Table_5._Commercial_Sector_Key_!$F$8:$AG$102,MATCH('Crosswalk AEO to EPS Summary'!$A43,Table_5._Commercial_Sector_Key_!$B$8:$B$102,0),MATCH(Z$1,Table_5._Commercial_Sector_Key_!$F$5:$AG$5,0))</f>
        <v>8.0369999999999997E-2</v>
      </c>
      <c r="AA43">
        <f>INDEX(Table_5._Commercial_Sector_Key_!$F$8:$AG$102,MATCH('Crosswalk AEO to EPS Summary'!$A43,Table_5._Commercial_Sector_Key_!$B$8:$B$102,0),MATCH(AA$1,Table_5._Commercial_Sector_Key_!$F$5:$AG$5,0))</f>
        <v>7.9868999999999996E-2</v>
      </c>
      <c r="AB43">
        <f>INDEX(Table_5._Commercial_Sector_Key_!$F$8:$AG$102,MATCH('Crosswalk AEO to EPS Summary'!$A43,Table_5._Commercial_Sector_Key_!$B$8:$B$102,0),MATCH(AB$1,Table_5._Commercial_Sector_Key_!$F$5:$AG$5,0))</f>
        <v>7.9338000000000006E-2</v>
      </c>
      <c r="AC43">
        <f>INDEX(Table_5._Commercial_Sector_Key_!$F$8:$AG$102,MATCH('Crosswalk AEO to EPS Summary'!$A43,Table_5._Commercial_Sector_Key_!$B$8:$B$102,0),MATCH(AC$1,Table_5._Commercial_Sector_Key_!$F$5:$AG$5,0))</f>
        <v>7.8785999999999995E-2</v>
      </c>
      <c r="AD43">
        <f>INDEX(Table_5._Commercial_Sector_Key_!$F$8:$AG$102,MATCH('Crosswalk AEO to EPS Summary'!$A43,Table_5._Commercial_Sector_Key_!$B$8:$B$102,0),MATCH(AD$1,Table_5._Commercial_Sector_Key_!$F$5:$AG$5,0))</f>
        <v>7.8226000000000004E-2</v>
      </c>
      <c r="AE43">
        <f>INDEX(Table_5._Commercial_Sector_Key_!$F$8:$AG$102,MATCH('Crosswalk AEO to EPS Summary'!$A43,Table_5._Commercial_Sector_Key_!$B$8:$B$102,0),MATCH(AE$1,Table_5._Commercial_Sector_Key_!$F$5:$AG$5,0))</f>
        <v>7.7667E-2</v>
      </c>
      <c r="AF43">
        <f>INDEX(Table_5._Commercial_Sector_Key_!$F$8:$AG$102,MATCH('Crosswalk AEO to EPS Summary'!$A43,Table_5._Commercial_Sector_Key_!$B$8:$B$102,0),MATCH(AF$1,Table_5._Commercial_Sector_Key_!$F$5:$AG$5,0))</f>
        <v>7.7102000000000004E-2</v>
      </c>
    </row>
    <row r="44" spans="1:32" x14ac:dyDescent="0.25">
      <c r="A44" t="s">
        <v>697</v>
      </c>
      <c r="B44" t="str">
        <f t="shared" si="0"/>
        <v>commercial-lighting-electricity (BTU)</v>
      </c>
      <c r="C44" t="s">
        <v>737</v>
      </c>
      <c r="D44" s="93" t="s">
        <v>733</v>
      </c>
      <c r="E44" s="1" t="s">
        <v>11</v>
      </c>
      <c r="F44" s="75">
        <f>INDEX(Table_5._Commercial_Sector_Key_!$F$8:$AG$102,MATCH('Crosswalk AEO to EPS Summary'!$A44,Table_5._Commercial_Sector_Key_!$B$8:$B$102,0),MATCH(F$1,Table_5._Commercial_Sector_Key_!$F$5:$AG$5,0))</f>
        <v>0.57562899999999995</v>
      </c>
      <c r="G44">
        <f>INDEX(Table_5._Commercial_Sector_Key_!$F$8:$AG$102,MATCH('Crosswalk AEO to EPS Summary'!$A44,Table_5._Commercial_Sector_Key_!$B$8:$B$102,0),MATCH(G$1,Table_5._Commercial_Sector_Key_!$F$5:$AG$5,0))</f>
        <v>0.56407300000000005</v>
      </c>
      <c r="H44">
        <f>INDEX(Table_5._Commercial_Sector_Key_!$F$8:$AG$102,MATCH('Crosswalk AEO to EPS Summary'!$A44,Table_5._Commercial_Sector_Key_!$B$8:$B$102,0),MATCH(H$1,Table_5._Commercial_Sector_Key_!$F$5:$AG$5,0))</f>
        <v>0.561419</v>
      </c>
      <c r="I44">
        <f>INDEX(Table_5._Commercial_Sector_Key_!$F$8:$AG$102,MATCH('Crosswalk AEO to EPS Summary'!$A44,Table_5._Commercial_Sector_Key_!$B$8:$B$102,0),MATCH(I$1,Table_5._Commercial_Sector_Key_!$F$5:$AG$5,0))</f>
        <v>0.564836</v>
      </c>
      <c r="J44">
        <f>INDEX(Table_5._Commercial_Sector_Key_!$F$8:$AG$102,MATCH('Crosswalk AEO to EPS Summary'!$A44,Table_5._Commercial_Sector_Key_!$B$8:$B$102,0),MATCH(J$1,Table_5._Commercial_Sector_Key_!$F$5:$AG$5,0))</f>
        <v>0.56773899999999999</v>
      </c>
      <c r="K44">
        <f>INDEX(Table_5._Commercial_Sector_Key_!$F$8:$AG$102,MATCH('Crosswalk AEO to EPS Summary'!$A44,Table_5._Commercial_Sector_Key_!$B$8:$B$102,0),MATCH(K$1,Table_5._Commercial_Sector_Key_!$F$5:$AG$5,0))</f>
        <v>0.56803800000000004</v>
      </c>
      <c r="L44">
        <f>INDEX(Table_5._Commercial_Sector_Key_!$F$8:$AG$102,MATCH('Crosswalk AEO to EPS Summary'!$A44,Table_5._Commercial_Sector_Key_!$B$8:$B$102,0),MATCH(L$1,Table_5._Commercial_Sector_Key_!$F$5:$AG$5,0))</f>
        <v>0.55779599999999996</v>
      </c>
      <c r="M44">
        <f>INDEX(Table_5._Commercial_Sector_Key_!$F$8:$AG$102,MATCH('Crosswalk AEO to EPS Summary'!$A44,Table_5._Commercial_Sector_Key_!$B$8:$B$102,0),MATCH(M$1,Table_5._Commercial_Sector_Key_!$F$5:$AG$5,0))</f>
        <v>0.54866800000000004</v>
      </c>
      <c r="N44">
        <f>INDEX(Table_5._Commercial_Sector_Key_!$F$8:$AG$102,MATCH('Crosswalk AEO to EPS Summary'!$A44,Table_5._Commercial_Sector_Key_!$B$8:$B$102,0),MATCH(N$1,Table_5._Commercial_Sector_Key_!$F$5:$AG$5,0))</f>
        <v>0.54072299999999995</v>
      </c>
      <c r="O44">
        <f>INDEX(Table_5._Commercial_Sector_Key_!$F$8:$AG$102,MATCH('Crosswalk AEO to EPS Summary'!$A44,Table_5._Commercial_Sector_Key_!$B$8:$B$102,0),MATCH(O$1,Table_5._Commercial_Sector_Key_!$F$5:$AG$5,0))</f>
        <v>0.53283599999999998</v>
      </c>
      <c r="P44">
        <f>INDEX(Table_5._Commercial_Sector_Key_!$F$8:$AG$102,MATCH('Crosswalk AEO to EPS Summary'!$A44,Table_5._Commercial_Sector_Key_!$B$8:$B$102,0),MATCH(P$1,Table_5._Commercial_Sector_Key_!$F$5:$AG$5,0))</f>
        <v>0.525787</v>
      </c>
      <c r="Q44">
        <f>INDEX(Table_5._Commercial_Sector_Key_!$F$8:$AG$102,MATCH('Crosswalk AEO to EPS Summary'!$A44,Table_5._Commercial_Sector_Key_!$B$8:$B$102,0),MATCH(Q$1,Table_5._Commercial_Sector_Key_!$F$5:$AG$5,0))</f>
        <v>0.52025200000000005</v>
      </c>
      <c r="R44">
        <f>INDEX(Table_5._Commercial_Sector_Key_!$F$8:$AG$102,MATCH('Crosswalk AEO to EPS Summary'!$A44,Table_5._Commercial_Sector_Key_!$B$8:$B$102,0),MATCH(R$1,Table_5._Commercial_Sector_Key_!$F$5:$AG$5,0))</f>
        <v>0.51639699999999999</v>
      </c>
      <c r="S44">
        <f>INDEX(Table_5._Commercial_Sector_Key_!$F$8:$AG$102,MATCH('Crosswalk AEO to EPS Summary'!$A44,Table_5._Commercial_Sector_Key_!$B$8:$B$102,0),MATCH(S$1,Table_5._Commercial_Sector_Key_!$F$5:$AG$5,0))</f>
        <v>0.513764</v>
      </c>
      <c r="T44">
        <f>INDEX(Table_5._Commercial_Sector_Key_!$F$8:$AG$102,MATCH('Crosswalk AEO to EPS Summary'!$A44,Table_5._Commercial_Sector_Key_!$B$8:$B$102,0),MATCH(T$1,Table_5._Commercial_Sector_Key_!$F$5:$AG$5,0))</f>
        <v>0.51109800000000005</v>
      </c>
      <c r="U44">
        <f>INDEX(Table_5._Commercial_Sector_Key_!$F$8:$AG$102,MATCH('Crosswalk AEO to EPS Summary'!$A44,Table_5._Commercial_Sector_Key_!$B$8:$B$102,0),MATCH(U$1,Table_5._Commercial_Sector_Key_!$F$5:$AG$5,0))</f>
        <v>0.50913900000000001</v>
      </c>
      <c r="V44">
        <f>INDEX(Table_5._Commercial_Sector_Key_!$F$8:$AG$102,MATCH('Crosswalk AEO to EPS Summary'!$A44,Table_5._Commercial_Sector_Key_!$B$8:$B$102,0),MATCH(V$1,Table_5._Commercial_Sector_Key_!$F$5:$AG$5,0))</f>
        <v>0.50622100000000003</v>
      </c>
      <c r="W44">
        <f>INDEX(Table_5._Commercial_Sector_Key_!$F$8:$AG$102,MATCH('Crosswalk AEO to EPS Summary'!$A44,Table_5._Commercial_Sector_Key_!$B$8:$B$102,0),MATCH(W$1,Table_5._Commercial_Sector_Key_!$F$5:$AG$5,0))</f>
        <v>0.50424800000000003</v>
      </c>
      <c r="X44">
        <f>INDEX(Table_5._Commercial_Sector_Key_!$F$8:$AG$102,MATCH('Crosswalk AEO to EPS Summary'!$A44,Table_5._Commercial_Sector_Key_!$B$8:$B$102,0),MATCH(X$1,Table_5._Commercial_Sector_Key_!$F$5:$AG$5,0))</f>
        <v>0.50266299999999997</v>
      </c>
      <c r="Y44">
        <f>INDEX(Table_5._Commercial_Sector_Key_!$F$8:$AG$102,MATCH('Crosswalk AEO to EPS Summary'!$A44,Table_5._Commercial_Sector_Key_!$B$8:$B$102,0),MATCH(Y$1,Table_5._Commercial_Sector_Key_!$F$5:$AG$5,0))</f>
        <v>0.501633</v>
      </c>
      <c r="Z44">
        <f>INDEX(Table_5._Commercial_Sector_Key_!$F$8:$AG$102,MATCH('Crosswalk AEO to EPS Summary'!$A44,Table_5._Commercial_Sector_Key_!$B$8:$B$102,0),MATCH(Z$1,Table_5._Commercial_Sector_Key_!$F$5:$AG$5,0))</f>
        <v>0.50087099999999996</v>
      </c>
      <c r="AA44">
        <f>INDEX(Table_5._Commercial_Sector_Key_!$F$8:$AG$102,MATCH('Crosswalk AEO to EPS Summary'!$A44,Table_5._Commercial_Sector_Key_!$B$8:$B$102,0),MATCH(AA$1,Table_5._Commercial_Sector_Key_!$F$5:$AG$5,0))</f>
        <v>0.50036999999999998</v>
      </c>
      <c r="AB44">
        <f>INDEX(Table_5._Commercial_Sector_Key_!$F$8:$AG$102,MATCH('Crosswalk AEO to EPS Summary'!$A44,Table_5._Commercial_Sector_Key_!$B$8:$B$102,0),MATCH(AB$1,Table_5._Commercial_Sector_Key_!$F$5:$AG$5,0))</f>
        <v>0.50009899999999996</v>
      </c>
      <c r="AC44">
        <f>INDEX(Table_5._Commercial_Sector_Key_!$F$8:$AG$102,MATCH('Crosswalk AEO to EPS Summary'!$A44,Table_5._Commercial_Sector_Key_!$B$8:$B$102,0),MATCH(AC$1,Table_5._Commercial_Sector_Key_!$F$5:$AG$5,0))</f>
        <v>0.49930799999999997</v>
      </c>
      <c r="AD44">
        <f>INDEX(Table_5._Commercial_Sector_Key_!$F$8:$AG$102,MATCH('Crosswalk AEO to EPS Summary'!$A44,Table_5._Commercial_Sector_Key_!$B$8:$B$102,0),MATCH(AD$1,Table_5._Commercial_Sector_Key_!$F$5:$AG$5,0))</f>
        <v>0.49875599999999998</v>
      </c>
      <c r="AE44">
        <f>INDEX(Table_5._Commercial_Sector_Key_!$F$8:$AG$102,MATCH('Crosswalk AEO to EPS Summary'!$A44,Table_5._Commercial_Sector_Key_!$B$8:$B$102,0),MATCH(AE$1,Table_5._Commercial_Sector_Key_!$F$5:$AG$5,0))</f>
        <v>0.49849900000000003</v>
      </c>
      <c r="AF44">
        <f>INDEX(Table_5._Commercial_Sector_Key_!$F$8:$AG$102,MATCH('Crosswalk AEO to EPS Summary'!$A44,Table_5._Commercial_Sector_Key_!$B$8:$B$102,0),MATCH(AF$1,Table_5._Commercial_Sector_Key_!$F$5:$AG$5,0))</f>
        <v>0.498199</v>
      </c>
    </row>
    <row r="45" spans="1:32" x14ac:dyDescent="0.25">
      <c r="A45" t="s">
        <v>695</v>
      </c>
      <c r="B45" t="str">
        <f t="shared" si="0"/>
        <v>commercial-appliances-electricity (BTU)</v>
      </c>
      <c r="C45" t="s">
        <v>737</v>
      </c>
      <c r="D45" s="93" t="s">
        <v>732</v>
      </c>
      <c r="E45" s="1" t="s">
        <v>11</v>
      </c>
      <c r="F45" s="75">
        <f>INDEX(Table_5._Commercial_Sector_Key_!$F$8:$AG$102,MATCH('Crosswalk AEO to EPS Summary'!$A45,Table_5._Commercial_Sector_Key_!$B$8:$B$102,0),MATCH(F$1,Table_5._Commercial_Sector_Key_!$F$5:$AG$5,0))</f>
        <v>0.367309</v>
      </c>
      <c r="G45">
        <f>INDEX(Table_5._Commercial_Sector_Key_!$F$8:$AG$102,MATCH('Crosswalk AEO to EPS Summary'!$A45,Table_5._Commercial_Sector_Key_!$B$8:$B$102,0),MATCH(G$1,Table_5._Commercial_Sector_Key_!$F$5:$AG$5,0))</f>
        <v>0.36862400000000001</v>
      </c>
      <c r="H45">
        <f>INDEX(Table_5._Commercial_Sector_Key_!$F$8:$AG$102,MATCH('Crosswalk AEO to EPS Summary'!$A45,Table_5._Commercial_Sector_Key_!$B$8:$B$102,0),MATCH(H$1,Table_5._Commercial_Sector_Key_!$F$5:$AG$5,0))</f>
        <v>0.37076599999999998</v>
      </c>
      <c r="I45">
        <f>INDEX(Table_5._Commercial_Sector_Key_!$F$8:$AG$102,MATCH('Crosswalk AEO to EPS Summary'!$A45,Table_5._Commercial_Sector_Key_!$B$8:$B$102,0),MATCH(I$1,Table_5._Commercial_Sector_Key_!$F$5:$AG$5,0))</f>
        <v>0.374365</v>
      </c>
      <c r="J45">
        <f>INDEX(Table_5._Commercial_Sector_Key_!$F$8:$AG$102,MATCH('Crosswalk AEO to EPS Summary'!$A45,Table_5._Commercial_Sector_Key_!$B$8:$B$102,0),MATCH(J$1,Table_5._Commercial_Sector_Key_!$F$5:$AG$5,0))</f>
        <v>0.37762099999999998</v>
      </c>
      <c r="K45">
        <f>INDEX(Table_5._Commercial_Sector_Key_!$F$8:$AG$102,MATCH('Crosswalk AEO to EPS Summary'!$A45,Table_5._Commercial_Sector_Key_!$B$8:$B$102,0),MATCH(K$1,Table_5._Commercial_Sector_Key_!$F$5:$AG$5,0))</f>
        <v>0.38000099999999998</v>
      </c>
      <c r="L45">
        <f>INDEX(Table_5._Commercial_Sector_Key_!$F$8:$AG$102,MATCH('Crosswalk AEO to EPS Summary'!$A45,Table_5._Commercial_Sector_Key_!$B$8:$B$102,0),MATCH(L$1,Table_5._Commercial_Sector_Key_!$F$5:$AG$5,0))</f>
        <v>0.380716</v>
      </c>
      <c r="M45">
        <f>INDEX(Table_5._Commercial_Sector_Key_!$F$8:$AG$102,MATCH('Crosswalk AEO to EPS Summary'!$A45,Table_5._Commercial_Sector_Key_!$B$8:$B$102,0),MATCH(M$1,Table_5._Commercial_Sector_Key_!$F$5:$AG$5,0))</f>
        <v>0.38166699999999998</v>
      </c>
      <c r="N45">
        <f>INDEX(Table_5._Commercial_Sector_Key_!$F$8:$AG$102,MATCH('Crosswalk AEO to EPS Summary'!$A45,Table_5._Commercial_Sector_Key_!$B$8:$B$102,0),MATCH(N$1,Table_5._Commercial_Sector_Key_!$F$5:$AG$5,0))</f>
        <v>0.38290400000000002</v>
      </c>
      <c r="O45">
        <f>INDEX(Table_5._Commercial_Sector_Key_!$F$8:$AG$102,MATCH('Crosswalk AEO to EPS Summary'!$A45,Table_5._Commercial_Sector_Key_!$B$8:$B$102,0),MATCH(O$1,Table_5._Commercial_Sector_Key_!$F$5:$AG$5,0))</f>
        <v>0.38422499999999998</v>
      </c>
      <c r="P45">
        <f>INDEX(Table_5._Commercial_Sector_Key_!$F$8:$AG$102,MATCH('Crosswalk AEO to EPS Summary'!$A45,Table_5._Commercial_Sector_Key_!$B$8:$B$102,0),MATCH(P$1,Table_5._Commercial_Sector_Key_!$F$5:$AG$5,0))</f>
        <v>0.38594099999999998</v>
      </c>
      <c r="Q45">
        <f>INDEX(Table_5._Commercial_Sector_Key_!$F$8:$AG$102,MATCH('Crosswalk AEO to EPS Summary'!$A45,Table_5._Commercial_Sector_Key_!$B$8:$B$102,0),MATCH(Q$1,Table_5._Commercial_Sector_Key_!$F$5:$AG$5,0))</f>
        <v>0.38813999999999999</v>
      </c>
      <c r="R45">
        <f>INDEX(Table_5._Commercial_Sector_Key_!$F$8:$AG$102,MATCH('Crosswalk AEO to EPS Summary'!$A45,Table_5._Commercial_Sector_Key_!$B$8:$B$102,0),MATCH(R$1,Table_5._Commercial_Sector_Key_!$F$5:$AG$5,0))</f>
        <v>0.39068999999999998</v>
      </c>
      <c r="S45">
        <f>INDEX(Table_5._Commercial_Sector_Key_!$F$8:$AG$102,MATCH('Crosswalk AEO to EPS Summary'!$A45,Table_5._Commercial_Sector_Key_!$B$8:$B$102,0),MATCH(S$1,Table_5._Commercial_Sector_Key_!$F$5:$AG$5,0))</f>
        <v>0.39332699999999998</v>
      </c>
      <c r="T45">
        <f>INDEX(Table_5._Commercial_Sector_Key_!$F$8:$AG$102,MATCH('Crosswalk AEO to EPS Summary'!$A45,Table_5._Commercial_Sector_Key_!$B$8:$B$102,0),MATCH(T$1,Table_5._Commercial_Sector_Key_!$F$5:$AG$5,0))</f>
        <v>0.39572299999999999</v>
      </c>
      <c r="U45">
        <f>INDEX(Table_5._Commercial_Sector_Key_!$F$8:$AG$102,MATCH('Crosswalk AEO to EPS Summary'!$A45,Table_5._Commercial_Sector_Key_!$B$8:$B$102,0),MATCH(U$1,Table_5._Commercial_Sector_Key_!$F$5:$AG$5,0))</f>
        <v>0.39809899999999998</v>
      </c>
      <c r="V45">
        <f>INDEX(Table_5._Commercial_Sector_Key_!$F$8:$AG$102,MATCH('Crosswalk AEO to EPS Summary'!$A45,Table_5._Commercial_Sector_Key_!$B$8:$B$102,0),MATCH(V$1,Table_5._Commercial_Sector_Key_!$F$5:$AG$5,0))</f>
        <v>0.40043800000000002</v>
      </c>
      <c r="W45">
        <f>INDEX(Table_5._Commercial_Sector_Key_!$F$8:$AG$102,MATCH('Crosswalk AEO to EPS Summary'!$A45,Table_5._Commercial_Sector_Key_!$B$8:$B$102,0),MATCH(W$1,Table_5._Commercial_Sector_Key_!$F$5:$AG$5,0))</f>
        <v>0.40304499999999999</v>
      </c>
      <c r="X45">
        <f>INDEX(Table_5._Commercial_Sector_Key_!$F$8:$AG$102,MATCH('Crosswalk AEO to EPS Summary'!$A45,Table_5._Commercial_Sector_Key_!$B$8:$B$102,0),MATCH(X$1,Table_5._Commercial_Sector_Key_!$F$5:$AG$5,0))</f>
        <v>0.40557700000000002</v>
      </c>
      <c r="Y45">
        <f>INDEX(Table_5._Commercial_Sector_Key_!$F$8:$AG$102,MATCH('Crosswalk AEO to EPS Summary'!$A45,Table_5._Commercial_Sector_Key_!$B$8:$B$102,0),MATCH(Y$1,Table_5._Commercial_Sector_Key_!$F$5:$AG$5,0))</f>
        <v>0.40810299999999999</v>
      </c>
      <c r="Z45">
        <f>INDEX(Table_5._Commercial_Sector_Key_!$F$8:$AG$102,MATCH('Crosswalk AEO to EPS Summary'!$A45,Table_5._Commercial_Sector_Key_!$B$8:$B$102,0),MATCH(Z$1,Table_5._Commercial_Sector_Key_!$F$5:$AG$5,0))</f>
        <v>0.41056599999999999</v>
      </c>
      <c r="AA45">
        <f>INDEX(Table_5._Commercial_Sector_Key_!$F$8:$AG$102,MATCH('Crosswalk AEO to EPS Summary'!$A45,Table_5._Commercial_Sector_Key_!$B$8:$B$102,0),MATCH(AA$1,Table_5._Commercial_Sector_Key_!$F$5:$AG$5,0))</f>
        <v>0.41296699999999997</v>
      </c>
      <c r="AB45">
        <f>INDEX(Table_5._Commercial_Sector_Key_!$F$8:$AG$102,MATCH('Crosswalk AEO to EPS Summary'!$A45,Table_5._Commercial_Sector_Key_!$B$8:$B$102,0),MATCH(AB$1,Table_5._Commercial_Sector_Key_!$F$5:$AG$5,0))</f>
        <v>0.41533300000000001</v>
      </c>
      <c r="AC45">
        <f>INDEX(Table_5._Commercial_Sector_Key_!$F$8:$AG$102,MATCH('Crosswalk AEO to EPS Summary'!$A45,Table_5._Commercial_Sector_Key_!$B$8:$B$102,0),MATCH(AC$1,Table_5._Commercial_Sector_Key_!$F$5:$AG$5,0))</f>
        <v>0.417661</v>
      </c>
      <c r="AD45">
        <f>INDEX(Table_5._Commercial_Sector_Key_!$F$8:$AG$102,MATCH('Crosswalk AEO to EPS Summary'!$A45,Table_5._Commercial_Sector_Key_!$B$8:$B$102,0),MATCH(AD$1,Table_5._Commercial_Sector_Key_!$F$5:$AG$5,0))</f>
        <v>0.41996899999999998</v>
      </c>
      <c r="AE45">
        <f>INDEX(Table_5._Commercial_Sector_Key_!$F$8:$AG$102,MATCH('Crosswalk AEO to EPS Summary'!$A45,Table_5._Commercial_Sector_Key_!$B$8:$B$102,0),MATCH(AE$1,Table_5._Commercial_Sector_Key_!$F$5:$AG$5,0))</f>
        <v>0.42227500000000001</v>
      </c>
      <c r="AF45">
        <f>INDEX(Table_5._Commercial_Sector_Key_!$F$8:$AG$102,MATCH('Crosswalk AEO to EPS Summary'!$A45,Table_5._Commercial_Sector_Key_!$B$8:$B$102,0),MATCH(AF$1,Table_5._Commercial_Sector_Key_!$F$5:$AG$5,0))</f>
        <v>0.42455399999999999</v>
      </c>
    </row>
    <row r="46" spans="1:32" x14ac:dyDescent="0.25">
      <c r="A46" t="s">
        <v>693</v>
      </c>
      <c r="B46" t="str">
        <f t="shared" si="0"/>
        <v>commercial-other-electricity (BTU)</v>
      </c>
      <c r="C46" t="s">
        <v>737</v>
      </c>
      <c r="D46" s="93" t="s">
        <v>734</v>
      </c>
      <c r="E46" s="1" t="s">
        <v>11</v>
      </c>
      <c r="F46" s="75">
        <f>INDEX(Table_5._Commercial_Sector_Key_!$F$8:$AG$102,MATCH('Crosswalk AEO to EPS Summary'!$A46,Table_5._Commercial_Sector_Key_!$B$8:$B$102,0),MATCH(F$1,Table_5._Commercial_Sector_Key_!$F$5:$AG$5,0))</f>
        <v>0.341028</v>
      </c>
      <c r="G46">
        <f>INDEX(Table_5._Commercial_Sector_Key_!$F$8:$AG$102,MATCH('Crosswalk AEO to EPS Summary'!$A46,Table_5._Commercial_Sector_Key_!$B$8:$B$102,0),MATCH(G$1,Table_5._Commercial_Sector_Key_!$F$5:$AG$5,0))</f>
        <v>0.35735299999999998</v>
      </c>
      <c r="H46">
        <f>INDEX(Table_5._Commercial_Sector_Key_!$F$8:$AG$102,MATCH('Crosswalk AEO to EPS Summary'!$A46,Table_5._Commercial_Sector_Key_!$B$8:$B$102,0),MATCH(H$1,Table_5._Commercial_Sector_Key_!$F$5:$AG$5,0))</f>
        <v>0.37537300000000001</v>
      </c>
      <c r="I46">
        <f>INDEX(Table_5._Commercial_Sector_Key_!$F$8:$AG$102,MATCH('Crosswalk AEO to EPS Summary'!$A46,Table_5._Commercial_Sector_Key_!$B$8:$B$102,0),MATCH(I$1,Table_5._Commercial_Sector_Key_!$F$5:$AG$5,0))</f>
        <v>0.394874</v>
      </c>
      <c r="J46">
        <f>INDEX(Table_5._Commercial_Sector_Key_!$F$8:$AG$102,MATCH('Crosswalk AEO to EPS Summary'!$A46,Table_5._Commercial_Sector_Key_!$B$8:$B$102,0),MATCH(J$1,Table_5._Commercial_Sector_Key_!$F$5:$AG$5,0))</f>
        <v>0.41530699999999998</v>
      </c>
      <c r="K46">
        <f>INDEX(Table_5._Commercial_Sector_Key_!$F$8:$AG$102,MATCH('Crosswalk AEO to EPS Summary'!$A46,Table_5._Commercial_Sector_Key_!$B$8:$B$102,0),MATCH(K$1,Table_5._Commercial_Sector_Key_!$F$5:$AG$5,0))</f>
        <v>0.43539699999999998</v>
      </c>
      <c r="L46">
        <f>INDEX(Table_5._Commercial_Sector_Key_!$F$8:$AG$102,MATCH('Crosswalk AEO to EPS Summary'!$A46,Table_5._Commercial_Sector_Key_!$B$8:$B$102,0),MATCH(L$1,Table_5._Commercial_Sector_Key_!$F$5:$AG$5,0))</f>
        <v>0.45558999999999999</v>
      </c>
      <c r="M46">
        <f>INDEX(Table_5._Commercial_Sector_Key_!$F$8:$AG$102,MATCH('Crosswalk AEO to EPS Summary'!$A46,Table_5._Commercial_Sector_Key_!$B$8:$B$102,0),MATCH(M$1,Table_5._Commercial_Sector_Key_!$F$5:$AG$5,0))</f>
        <v>0.47651500000000002</v>
      </c>
      <c r="N46">
        <f>INDEX(Table_5._Commercial_Sector_Key_!$F$8:$AG$102,MATCH('Crosswalk AEO to EPS Summary'!$A46,Table_5._Commercial_Sector_Key_!$B$8:$B$102,0),MATCH(N$1,Table_5._Commercial_Sector_Key_!$F$5:$AG$5,0))</f>
        <v>0.49855899999999997</v>
      </c>
      <c r="O46">
        <f>INDEX(Table_5._Commercial_Sector_Key_!$F$8:$AG$102,MATCH('Crosswalk AEO to EPS Summary'!$A46,Table_5._Commercial_Sector_Key_!$B$8:$B$102,0),MATCH(O$1,Table_5._Commercial_Sector_Key_!$F$5:$AG$5,0))</f>
        <v>0.52174200000000004</v>
      </c>
      <c r="P46">
        <f>INDEX(Table_5._Commercial_Sector_Key_!$F$8:$AG$102,MATCH('Crosswalk AEO to EPS Summary'!$A46,Table_5._Commercial_Sector_Key_!$B$8:$B$102,0),MATCH(P$1,Table_5._Commercial_Sector_Key_!$F$5:$AG$5,0))</f>
        <v>0.54635599999999995</v>
      </c>
      <c r="Q46">
        <f>INDEX(Table_5._Commercial_Sector_Key_!$F$8:$AG$102,MATCH('Crosswalk AEO to EPS Summary'!$A46,Table_5._Commercial_Sector_Key_!$B$8:$B$102,0),MATCH(Q$1,Table_5._Commercial_Sector_Key_!$F$5:$AG$5,0))</f>
        <v>0.57254700000000003</v>
      </c>
      <c r="R46">
        <f>INDEX(Table_5._Commercial_Sector_Key_!$F$8:$AG$102,MATCH('Crosswalk AEO to EPS Summary'!$A46,Table_5._Commercial_Sector_Key_!$B$8:$B$102,0),MATCH(R$1,Table_5._Commercial_Sector_Key_!$F$5:$AG$5,0))</f>
        <v>0.60029699999999997</v>
      </c>
      <c r="S46">
        <f>INDEX(Table_5._Commercial_Sector_Key_!$F$8:$AG$102,MATCH('Crosswalk AEO to EPS Summary'!$A46,Table_5._Commercial_Sector_Key_!$B$8:$B$102,0),MATCH(S$1,Table_5._Commercial_Sector_Key_!$F$5:$AG$5,0))</f>
        <v>0.63007800000000003</v>
      </c>
      <c r="T46">
        <f>INDEX(Table_5._Commercial_Sector_Key_!$F$8:$AG$102,MATCH('Crosswalk AEO to EPS Summary'!$A46,Table_5._Commercial_Sector_Key_!$B$8:$B$102,0),MATCH(T$1,Table_5._Commercial_Sector_Key_!$F$5:$AG$5,0))</f>
        <v>0.66060300000000005</v>
      </c>
      <c r="U46">
        <f>INDEX(Table_5._Commercial_Sector_Key_!$F$8:$AG$102,MATCH('Crosswalk AEO to EPS Summary'!$A46,Table_5._Commercial_Sector_Key_!$B$8:$B$102,0),MATCH(U$1,Table_5._Commercial_Sector_Key_!$F$5:$AG$5,0))</f>
        <v>0.69272100000000003</v>
      </c>
      <c r="V46">
        <f>INDEX(Table_5._Commercial_Sector_Key_!$F$8:$AG$102,MATCH('Crosswalk AEO to EPS Summary'!$A46,Table_5._Commercial_Sector_Key_!$B$8:$B$102,0),MATCH(V$1,Table_5._Commercial_Sector_Key_!$F$5:$AG$5,0))</f>
        <v>0.72653599999999996</v>
      </c>
      <c r="W46">
        <f>INDEX(Table_5._Commercial_Sector_Key_!$F$8:$AG$102,MATCH('Crosswalk AEO to EPS Summary'!$A46,Table_5._Commercial_Sector_Key_!$B$8:$B$102,0),MATCH(W$1,Table_5._Commercial_Sector_Key_!$F$5:$AG$5,0))</f>
        <v>0.76207000000000003</v>
      </c>
      <c r="X46">
        <f>INDEX(Table_5._Commercial_Sector_Key_!$F$8:$AG$102,MATCH('Crosswalk AEO to EPS Summary'!$A46,Table_5._Commercial_Sector_Key_!$B$8:$B$102,0),MATCH(X$1,Table_5._Commercial_Sector_Key_!$F$5:$AG$5,0))</f>
        <v>0.79877200000000004</v>
      </c>
      <c r="Y46">
        <f>INDEX(Table_5._Commercial_Sector_Key_!$F$8:$AG$102,MATCH('Crosswalk AEO to EPS Summary'!$A46,Table_5._Commercial_Sector_Key_!$B$8:$B$102,0),MATCH(Y$1,Table_5._Commercial_Sector_Key_!$F$5:$AG$5,0))</f>
        <v>0.83676200000000001</v>
      </c>
      <c r="Z46">
        <f>INDEX(Table_5._Commercial_Sector_Key_!$F$8:$AG$102,MATCH('Crosswalk AEO to EPS Summary'!$A46,Table_5._Commercial_Sector_Key_!$B$8:$B$102,0),MATCH(Z$1,Table_5._Commercial_Sector_Key_!$F$5:$AG$5,0))</f>
        <v>0.87679600000000002</v>
      </c>
      <c r="AA46">
        <f>INDEX(Table_5._Commercial_Sector_Key_!$F$8:$AG$102,MATCH('Crosswalk AEO to EPS Summary'!$A46,Table_5._Commercial_Sector_Key_!$B$8:$B$102,0),MATCH(AA$1,Table_5._Commercial_Sector_Key_!$F$5:$AG$5,0))</f>
        <v>0.91822599999999999</v>
      </c>
      <c r="AB46">
        <f>INDEX(Table_5._Commercial_Sector_Key_!$F$8:$AG$102,MATCH('Crosswalk AEO to EPS Summary'!$A46,Table_5._Commercial_Sector_Key_!$B$8:$B$102,0),MATCH(AB$1,Table_5._Commercial_Sector_Key_!$F$5:$AG$5,0))</f>
        <v>0.96115600000000001</v>
      </c>
      <c r="AC46">
        <f>INDEX(Table_5._Commercial_Sector_Key_!$F$8:$AG$102,MATCH('Crosswalk AEO to EPS Summary'!$A46,Table_5._Commercial_Sector_Key_!$B$8:$B$102,0),MATCH(AC$1,Table_5._Commercial_Sector_Key_!$F$5:$AG$5,0))</f>
        <v>1.0064660000000001</v>
      </c>
      <c r="AD46">
        <f>INDEX(Table_5._Commercial_Sector_Key_!$F$8:$AG$102,MATCH('Crosswalk AEO to EPS Summary'!$A46,Table_5._Commercial_Sector_Key_!$B$8:$B$102,0),MATCH(AD$1,Table_5._Commercial_Sector_Key_!$F$5:$AG$5,0))</f>
        <v>1.0534829999999999</v>
      </c>
      <c r="AE46">
        <f>INDEX(Table_5._Commercial_Sector_Key_!$F$8:$AG$102,MATCH('Crosswalk AEO to EPS Summary'!$A46,Table_5._Commercial_Sector_Key_!$B$8:$B$102,0),MATCH(AE$1,Table_5._Commercial_Sector_Key_!$F$5:$AG$5,0))</f>
        <v>1.1014429999999999</v>
      </c>
      <c r="AF46">
        <f>INDEX(Table_5._Commercial_Sector_Key_!$F$8:$AG$102,MATCH('Crosswalk AEO to EPS Summary'!$A46,Table_5._Commercial_Sector_Key_!$B$8:$B$102,0),MATCH(AF$1,Table_5._Commercial_Sector_Key_!$F$5:$AG$5,0))</f>
        <v>1.1521049999999999</v>
      </c>
    </row>
    <row r="47" spans="1:32" x14ac:dyDescent="0.25">
      <c r="A47" t="s">
        <v>691</v>
      </c>
      <c r="B47" t="str">
        <f t="shared" si="0"/>
        <v>commercial-other-electricity (BTU)</v>
      </c>
      <c r="C47" t="s">
        <v>737</v>
      </c>
      <c r="D47" s="93" t="s">
        <v>734</v>
      </c>
      <c r="E47" s="1" t="s">
        <v>11</v>
      </c>
      <c r="F47" s="75">
        <f>INDEX(Table_5._Commercial_Sector_Key_!$F$8:$AG$102,MATCH('Crosswalk AEO to EPS Summary'!$A47,Table_5._Commercial_Sector_Key_!$B$8:$B$102,0),MATCH(F$1,Table_5._Commercial_Sector_Key_!$F$5:$AG$5,0))</f>
        <v>4.3232E-2</v>
      </c>
      <c r="G47">
        <f>INDEX(Table_5._Commercial_Sector_Key_!$F$8:$AG$102,MATCH('Crosswalk AEO to EPS Summary'!$A47,Table_5._Commercial_Sector_Key_!$B$8:$B$102,0),MATCH(G$1,Table_5._Commercial_Sector_Key_!$F$5:$AG$5,0))</f>
        <v>4.3304000000000002E-2</v>
      </c>
      <c r="H47">
        <f>INDEX(Table_5._Commercial_Sector_Key_!$F$8:$AG$102,MATCH('Crosswalk AEO to EPS Summary'!$A47,Table_5._Commercial_Sector_Key_!$B$8:$B$102,0),MATCH(H$1,Table_5._Commercial_Sector_Key_!$F$5:$AG$5,0))</f>
        <v>4.3521999999999998E-2</v>
      </c>
      <c r="I47">
        <f>INDEX(Table_5._Commercial_Sector_Key_!$F$8:$AG$102,MATCH('Crosswalk AEO to EPS Summary'!$A47,Table_5._Commercial_Sector_Key_!$B$8:$B$102,0),MATCH(I$1,Table_5._Commercial_Sector_Key_!$F$5:$AG$5,0))</f>
        <v>4.3887000000000002E-2</v>
      </c>
      <c r="J47">
        <f>INDEX(Table_5._Commercial_Sector_Key_!$F$8:$AG$102,MATCH('Crosswalk AEO to EPS Summary'!$A47,Table_5._Commercial_Sector_Key_!$B$8:$B$102,0),MATCH(J$1,Table_5._Commercial_Sector_Key_!$F$5:$AG$5,0))</f>
        <v>4.4332000000000003E-2</v>
      </c>
      <c r="K47">
        <f>INDEX(Table_5._Commercial_Sector_Key_!$F$8:$AG$102,MATCH('Crosswalk AEO to EPS Summary'!$A47,Table_5._Commercial_Sector_Key_!$B$8:$B$102,0),MATCH(K$1,Table_5._Commercial_Sector_Key_!$F$5:$AG$5,0))</f>
        <v>4.4706999999999997E-2</v>
      </c>
      <c r="L47">
        <f>INDEX(Table_5._Commercial_Sector_Key_!$F$8:$AG$102,MATCH('Crosswalk AEO to EPS Summary'!$A47,Table_5._Commercial_Sector_Key_!$B$8:$B$102,0),MATCH(L$1,Table_5._Commercial_Sector_Key_!$F$5:$AG$5,0))</f>
        <v>4.5025999999999997E-2</v>
      </c>
      <c r="M47">
        <f>INDEX(Table_5._Commercial_Sector_Key_!$F$8:$AG$102,MATCH('Crosswalk AEO to EPS Summary'!$A47,Table_5._Commercial_Sector_Key_!$B$8:$B$102,0),MATCH(M$1,Table_5._Commercial_Sector_Key_!$F$5:$AG$5,0))</f>
        <v>4.5362E-2</v>
      </c>
      <c r="N47">
        <f>INDEX(Table_5._Commercial_Sector_Key_!$F$8:$AG$102,MATCH('Crosswalk AEO to EPS Summary'!$A47,Table_5._Commercial_Sector_Key_!$B$8:$B$102,0),MATCH(N$1,Table_5._Commercial_Sector_Key_!$F$5:$AG$5,0))</f>
        <v>4.5696000000000001E-2</v>
      </c>
      <c r="O47">
        <f>INDEX(Table_5._Commercial_Sector_Key_!$F$8:$AG$102,MATCH('Crosswalk AEO to EPS Summary'!$A47,Table_5._Commercial_Sector_Key_!$B$8:$B$102,0),MATCH(O$1,Table_5._Commercial_Sector_Key_!$F$5:$AG$5,0))</f>
        <v>4.6077E-2</v>
      </c>
      <c r="P47">
        <f>INDEX(Table_5._Commercial_Sector_Key_!$F$8:$AG$102,MATCH('Crosswalk AEO to EPS Summary'!$A47,Table_5._Commercial_Sector_Key_!$B$8:$B$102,0),MATCH(P$1,Table_5._Commercial_Sector_Key_!$F$5:$AG$5,0))</f>
        <v>4.6523000000000002E-2</v>
      </c>
      <c r="Q47">
        <f>INDEX(Table_5._Commercial_Sector_Key_!$F$8:$AG$102,MATCH('Crosswalk AEO to EPS Summary'!$A47,Table_5._Commercial_Sector_Key_!$B$8:$B$102,0),MATCH(Q$1,Table_5._Commercial_Sector_Key_!$F$5:$AG$5,0))</f>
        <v>4.6986E-2</v>
      </c>
      <c r="R47">
        <f>INDEX(Table_5._Commercial_Sector_Key_!$F$8:$AG$102,MATCH('Crosswalk AEO to EPS Summary'!$A47,Table_5._Commercial_Sector_Key_!$B$8:$B$102,0),MATCH(R$1,Table_5._Commercial_Sector_Key_!$F$5:$AG$5,0))</f>
        <v>4.7454999999999997E-2</v>
      </c>
      <c r="S47">
        <f>INDEX(Table_5._Commercial_Sector_Key_!$F$8:$AG$102,MATCH('Crosswalk AEO to EPS Summary'!$A47,Table_5._Commercial_Sector_Key_!$B$8:$B$102,0),MATCH(S$1,Table_5._Commercial_Sector_Key_!$F$5:$AG$5,0))</f>
        <v>4.7914999999999999E-2</v>
      </c>
      <c r="T47">
        <f>INDEX(Table_5._Commercial_Sector_Key_!$F$8:$AG$102,MATCH('Crosswalk AEO to EPS Summary'!$A47,Table_5._Commercial_Sector_Key_!$B$8:$B$102,0),MATCH(T$1,Table_5._Commercial_Sector_Key_!$F$5:$AG$5,0))</f>
        <v>4.8287999999999998E-2</v>
      </c>
      <c r="U47">
        <f>INDEX(Table_5._Commercial_Sector_Key_!$F$8:$AG$102,MATCH('Crosswalk AEO to EPS Summary'!$A47,Table_5._Commercial_Sector_Key_!$B$8:$B$102,0),MATCH(U$1,Table_5._Commercial_Sector_Key_!$F$5:$AG$5,0))</f>
        <v>4.8647000000000003E-2</v>
      </c>
      <c r="V47">
        <f>INDEX(Table_5._Commercial_Sector_Key_!$F$8:$AG$102,MATCH('Crosswalk AEO to EPS Summary'!$A47,Table_5._Commercial_Sector_Key_!$B$8:$B$102,0),MATCH(V$1,Table_5._Commercial_Sector_Key_!$F$5:$AG$5,0))</f>
        <v>4.8932999999999997E-2</v>
      </c>
      <c r="W47">
        <f>INDEX(Table_5._Commercial_Sector_Key_!$F$8:$AG$102,MATCH('Crosswalk AEO to EPS Summary'!$A47,Table_5._Commercial_Sector_Key_!$B$8:$B$102,0),MATCH(W$1,Table_5._Commercial_Sector_Key_!$F$5:$AG$5,0))</f>
        <v>4.9079999999999999E-2</v>
      </c>
      <c r="X47">
        <f>INDEX(Table_5._Commercial_Sector_Key_!$F$8:$AG$102,MATCH('Crosswalk AEO to EPS Summary'!$A47,Table_5._Commercial_Sector_Key_!$B$8:$B$102,0),MATCH(X$1,Table_5._Commercial_Sector_Key_!$F$5:$AG$5,0))</f>
        <v>4.9147000000000003E-2</v>
      </c>
      <c r="Y47">
        <f>INDEX(Table_5._Commercial_Sector_Key_!$F$8:$AG$102,MATCH('Crosswalk AEO to EPS Summary'!$A47,Table_5._Commercial_Sector_Key_!$B$8:$B$102,0),MATCH(Y$1,Table_5._Commercial_Sector_Key_!$F$5:$AG$5,0))</f>
        <v>4.9140000000000003E-2</v>
      </c>
      <c r="Z47">
        <f>INDEX(Table_5._Commercial_Sector_Key_!$F$8:$AG$102,MATCH('Crosswalk AEO to EPS Summary'!$A47,Table_5._Commercial_Sector_Key_!$B$8:$B$102,0),MATCH(Z$1,Table_5._Commercial_Sector_Key_!$F$5:$AG$5,0))</f>
        <v>4.8991E-2</v>
      </c>
      <c r="AA47">
        <f>INDEX(Table_5._Commercial_Sector_Key_!$F$8:$AG$102,MATCH('Crosswalk AEO to EPS Summary'!$A47,Table_5._Commercial_Sector_Key_!$B$8:$B$102,0),MATCH(AA$1,Table_5._Commercial_Sector_Key_!$F$5:$AG$5,0))</f>
        <v>4.8633999999999997E-2</v>
      </c>
      <c r="AB47">
        <f>INDEX(Table_5._Commercial_Sector_Key_!$F$8:$AG$102,MATCH('Crosswalk AEO to EPS Summary'!$A47,Table_5._Commercial_Sector_Key_!$B$8:$B$102,0),MATCH(AB$1,Table_5._Commercial_Sector_Key_!$F$5:$AG$5,0))</f>
        <v>4.8195000000000002E-2</v>
      </c>
      <c r="AC47">
        <f>INDEX(Table_5._Commercial_Sector_Key_!$F$8:$AG$102,MATCH('Crosswalk AEO to EPS Summary'!$A47,Table_5._Commercial_Sector_Key_!$B$8:$B$102,0),MATCH(AC$1,Table_5._Commercial_Sector_Key_!$F$5:$AG$5,0))</f>
        <v>4.7543000000000002E-2</v>
      </c>
      <c r="AD47">
        <f>INDEX(Table_5._Commercial_Sector_Key_!$F$8:$AG$102,MATCH('Crosswalk AEO to EPS Summary'!$A47,Table_5._Commercial_Sector_Key_!$B$8:$B$102,0),MATCH(AD$1,Table_5._Commercial_Sector_Key_!$F$5:$AG$5,0))</f>
        <v>4.6675000000000001E-2</v>
      </c>
      <c r="AE47">
        <f>INDEX(Table_5._Commercial_Sector_Key_!$F$8:$AG$102,MATCH('Crosswalk AEO to EPS Summary'!$A47,Table_5._Commercial_Sector_Key_!$B$8:$B$102,0),MATCH(AE$1,Table_5._Commercial_Sector_Key_!$F$5:$AG$5,0))</f>
        <v>4.5652999999999999E-2</v>
      </c>
      <c r="AF47">
        <f>INDEX(Table_5._Commercial_Sector_Key_!$F$8:$AG$102,MATCH('Crosswalk AEO to EPS Summary'!$A47,Table_5._Commercial_Sector_Key_!$B$8:$B$102,0),MATCH(AF$1,Table_5._Commercial_Sector_Key_!$F$5:$AG$5,0))</f>
        <v>4.4405E-2</v>
      </c>
    </row>
    <row r="48" spans="1:32" x14ac:dyDescent="0.25">
      <c r="A48" t="s">
        <v>689</v>
      </c>
      <c r="B48" t="str">
        <f t="shared" si="0"/>
        <v>commercial-other-electricity (BTU)</v>
      </c>
      <c r="C48" t="s">
        <v>737</v>
      </c>
      <c r="D48" s="93" t="s">
        <v>734</v>
      </c>
      <c r="E48" s="1" t="s">
        <v>11</v>
      </c>
      <c r="F48" s="75">
        <f>INDEX(Table_5._Commercial_Sector_Key_!$F$8:$AG$102,MATCH('Crosswalk AEO to EPS Summary'!$A48,Table_5._Commercial_Sector_Key_!$B$8:$B$102,0),MATCH(F$1,Table_5._Commercial_Sector_Key_!$F$5:$AG$5,0))</f>
        <v>1.9009560000000001</v>
      </c>
      <c r="G48">
        <f>INDEX(Table_5._Commercial_Sector_Key_!$F$8:$AG$102,MATCH('Crosswalk AEO to EPS Summary'!$A48,Table_5._Commercial_Sector_Key_!$B$8:$B$102,0),MATCH(G$1,Table_5._Commercial_Sector_Key_!$F$5:$AG$5,0))</f>
        <v>1.978316</v>
      </c>
      <c r="H48">
        <f>INDEX(Table_5._Commercial_Sector_Key_!$F$8:$AG$102,MATCH('Crosswalk AEO to EPS Summary'!$A48,Table_5._Commercial_Sector_Key_!$B$8:$B$102,0),MATCH(H$1,Table_5._Commercial_Sector_Key_!$F$5:$AG$5,0))</f>
        <v>1.9087810000000001</v>
      </c>
      <c r="I48">
        <f>INDEX(Table_5._Commercial_Sector_Key_!$F$8:$AG$102,MATCH('Crosswalk AEO to EPS Summary'!$A48,Table_5._Commercial_Sector_Key_!$B$8:$B$102,0),MATCH(I$1,Table_5._Commercial_Sector_Key_!$F$5:$AG$5,0))</f>
        <v>1.8950199999999999</v>
      </c>
      <c r="J48">
        <f>INDEX(Table_5._Commercial_Sector_Key_!$F$8:$AG$102,MATCH('Crosswalk AEO to EPS Summary'!$A48,Table_5._Commercial_Sector_Key_!$B$8:$B$102,0),MATCH(J$1,Table_5._Commercial_Sector_Key_!$F$5:$AG$5,0))</f>
        <v>1.879119</v>
      </c>
      <c r="K48">
        <f>INDEX(Table_5._Commercial_Sector_Key_!$F$8:$AG$102,MATCH('Crosswalk AEO to EPS Summary'!$A48,Table_5._Commercial_Sector_Key_!$B$8:$B$102,0),MATCH(K$1,Table_5._Commercial_Sector_Key_!$F$5:$AG$5,0))</f>
        <v>1.9135180000000001</v>
      </c>
      <c r="L48">
        <f>INDEX(Table_5._Commercial_Sector_Key_!$F$8:$AG$102,MATCH('Crosswalk AEO to EPS Summary'!$A48,Table_5._Commercial_Sector_Key_!$B$8:$B$102,0),MATCH(L$1,Table_5._Commercial_Sector_Key_!$F$5:$AG$5,0))</f>
        <v>1.9444319999999999</v>
      </c>
      <c r="M48">
        <f>INDEX(Table_5._Commercial_Sector_Key_!$F$8:$AG$102,MATCH('Crosswalk AEO to EPS Summary'!$A48,Table_5._Commercial_Sector_Key_!$B$8:$B$102,0),MATCH(M$1,Table_5._Commercial_Sector_Key_!$F$5:$AG$5,0))</f>
        <v>1.974445</v>
      </c>
      <c r="N48">
        <f>INDEX(Table_5._Commercial_Sector_Key_!$F$8:$AG$102,MATCH('Crosswalk AEO to EPS Summary'!$A48,Table_5._Commercial_Sector_Key_!$B$8:$B$102,0),MATCH(N$1,Table_5._Commercial_Sector_Key_!$F$5:$AG$5,0))</f>
        <v>2.004845</v>
      </c>
      <c r="O48">
        <f>INDEX(Table_5._Commercial_Sector_Key_!$F$8:$AG$102,MATCH('Crosswalk AEO to EPS Summary'!$A48,Table_5._Commercial_Sector_Key_!$B$8:$B$102,0),MATCH(O$1,Table_5._Commercial_Sector_Key_!$F$5:$AG$5,0))</f>
        <v>2.0358559999999999</v>
      </c>
      <c r="P48">
        <f>INDEX(Table_5._Commercial_Sector_Key_!$F$8:$AG$102,MATCH('Crosswalk AEO to EPS Summary'!$A48,Table_5._Commercial_Sector_Key_!$B$8:$B$102,0),MATCH(P$1,Table_5._Commercial_Sector_Key_!$F$5:$AG$5,0))</f>
        <v>2.0683220000000002</v>
      </c>
      <c r="Q48">
        <f>INDEX(Table_5._Commercial_Sector_Key_!$F$8:$AG$102,MATCH('Crosswalk AEO to EPS Summary'!$A48,Table_5._Commercial_Sector_Key_!$B$8:$B$102,0),MATCH(Q$1,Table_5._Commercial_Sector_Key_!$F$5:$AG$5,0))</f>
        <v>2.1027650000000002</v>
      </c>
      <c r="R48">
        <f>INDEX(Table_5._Commercial_Sector_Key_!$F$8:$AG$102,MATCH('Crosswalk AEO to EPS Summary'!$A48,Table_5._Commercial_Sector_Key_!$B$8:$B$102,0),MATCH(R$1,Table_5._Commercial_Sector_Key_!$F$5:$AG$5,0))</f>
        <v>2.1393689999999999</v>
      </c>
      <c r="S48">
        <f>INDEX(Table_5._Commercial_Sector_Key_!$F$8:$AG$102,MATCH('Crosswalk AEO to EPS Summary'!$A48,Table_5._Commercial_Sector_Key_!$B$8:$B$102,0),MATCH(S$1,Table_5._Commercial_Sector_Key_!$F$5:$AG$5,0))</f>
        <v>2.1764999999999999</v>
      </c>
      <c r="T48">
        <f>INDEX(Table_5._Commercial_Sector_Key_!$F$8:$AG$102,MATCH('Crosswalk AEO to EPS Summary'!$A48,Table_5._Commercial_Sector_Key_!$B$8:$B$102,0),MATCH(T$1,Table_5._Commercial_Sector_Key_!$F$5:$AG$5,0))</f>
        <v>2.2136990000000001</v>
      </c>
      <c r="U48">
        <f>INDEX(Table_5._Commercial_Sector_Key_!$F$8:$AG$102,MATCH('Crosswalk AEO to EPS Summary'!$A48,Table_5._Commercial_Sector_Key_!$B$8:$B$102,0),MATCH(U$1,Table_5._Commercial_Sector_Key_!$F$5:$AG$5,0))</f>
        <v>2.2514560000000001</v>
      </c>
      <c r="V48">
        <f>INDEX(Table_5._Commercial_Sector_Key_!$F$8:$AG$102,MATCH('Crosswalk AEO to EPS Summary'!$A48,Table_5._Commercial_Sector_Key_!$B$8:$B$102,0),MATCH(V$1,Table_5._Commercial_Sector_Key_!$F$5:$AG$5,0))</f>
        <v>2.2899370000000001</v>
      </c>
      <c r="W48">
        <f>INDEX(Table_5._Commercial_Sector_Key_!$F$8:$AG$102,MATCH('Crosswalk AEO to EPS Summary'!$A48,Table_5._Commercial_Sector_Key_!$B$8:$B$102,0),MATCH(W$1,Table_5._Commercial_Sector_Key_!$F$5:$AG$5,0))</f>
        <v>2.3290630000000001</v>
      </c>
      <c r="X48">
        <f>INDEX(Table_5._Commercial_Sector_Key_!$F$8:$AG$102,MATCH('Crosswalk AEO to EPS Summary'!$A48,Table_5._Commercial_Sector_Key_!$B$8:$B$102,0),MATCH(X$1,Table_5._Commercial_Sector_Key_!$F$5:$AG$5,0))</f>
        <v>2.3688410000000002</v>
      </c>
      <c r="Y48">
        <f>INDEX(Table_5._Commercial_Sector_Key_!$F$8:$AG$102,MATCH('Crosswalk AEO to EPS Summary'!$A48,Table_5._Commercial_Sector_Key_!$B$8:$B$102,0),MATCH(Y$1,Table_5._Commercial_Sector_Key_!$F$5:$AG$5,0))</f>
        <v>2.409592</v>
      </c>
      <c r="Z48">
        <f>INDEX(Table_5._Commercial_Sector_Key_!$F$8:$AG$102,MATCH('Crosswalk AEO to EPS Summary'!$A48,Table_5._Commercial_Sector_Key_!$B$8:$B$102,0),MATCH(Z$1,Table_5._Commercial_Sector_Key_!$F$5:$AG$5,0))</f>
        <v>2.4511859999999999</v>
      </c>
      <c r="AA48">
        <f>INDEX(Table_5._Commercial_Sector_Key_!$F$8:$AG$102,MATCH('Crosswalk AEO to EPS Summary'!$A48,Table_5._Commercial_Sector_Key_!$B$8:$B$102,0),MATCH(AA$1,Table_5._Commercial_Sector_Key_!$F$5:$AG$5,0))</f>
        <v>2.493665</v>
      </c>
      <c r="AB48">
        <f>INDEX(Table_5._Commercial_Sector_Key_!$F$8:$AG$102,MATCH('Crosswalk AEO to EPS Summary'!$A48,Table_5._Commercial_Sector_Key_!$B$8:$B$102,0),MATCH(AB$1,Table_5._Commercial_Sector_Key_!$F$5:$AG$5,0))</f>
        <v>2.536645</v>
      </c>
      <c r="AC48">
        <f>INDEX(Table_5._Commercial_Sector_Key_!$F$8:$AG$102,MATCH('Crosswalk AEO to EPS Summary'!$A48,Table_5._Commercial_Sector_Key_!$B$8:$B$102,0),MATCH(AC$1,Table_5._Commercial_Sector_Key_!$F$5:$AG$5,0))</f>
        <v>2.5805509999999998</v>
      </c>
      <c r="AD48">
        <f>INDEX(Table_5._Commercial_Sector_Key_!$F$8:$AG$102,MATCH('Crosswalk AEO to EPS Summary'!$A48,Table_5._Commercial_Sector_Key_!$B$8:$B$102,0),MATCH(AD$1,Table_5._Commercial_Sector_Key_!$F$5:$AG$5,0))</f>
        <v>2.6257799999999998</v>
      </c>
      <c r="AE48">
        <f>INDEX(Table_5._Commercial_Sector_Key_!$F$8:$AG$102,MATCH('Crosswalk AEO to EPS Summary'!$A48,Table_5._Commercial_Sector_Key_!$B$8:$B$102,0),MATCH(AE$1,Table_5._Commercial_Sector_Key_!$F$5:$AG$5,0))</f>
        <v>2.6718920000000002</v>
      </c>
      <c r="AF48">
        <f>INDEX(Table_5._Commercial_Sector_Key_!$F$8:$AG$102,MATCH('Crosswalk AEO to EPS Summary'!$A48,Table_5._Commercial_Sector_Key_!$B$8:$B$102,0),MATCH(AF$1,Table_5._Commercial_Sector_Key_!$F$5:$AG$5,0))</f>
        <v>2.7192539999999998</v>
      </c>
    </row>
    <row r="49" spans="1:32" x14ac:dyDescent="0.25">
      <c r="A49" t="s">
        <v>687</v>
      </c>
      <c r="B49" t="str">
        <f t="shared" si="0"/>
        <v>commercial-total-electricity (BTU)</v>
      </c>
      <c r="C49" t="s">
        <v>737</v>
      </c>
      <c r="D49" s="93" t="s">
        <v>735</v>
      </c>
      <c r="E49" s="1" t="s">
        <v>11</v>
      </c>
      <c r="F49" s="75">
        <f>INDEX(Table_5._Commercial_Sector_Key_!$F$8:$AG$102,MATCH('Crosswalk AEO to EPS Summary'!$A49,Table_5._Commercial_Sector_Key_!$B$8:$B$102,0),MATCH(F$1,Table_5._Commercial_Sector_Key_!$F$5:$AG$5,0))</f>
        <v>4.8910809999999998</v>
      </c>
      <c r="G49">
        <f>INDEX(Table_5._Commercial_Sector_Key_!$F$8:$AG$102,MATCH('Crosswalk AEO to EPS Summary'!$A49,Table_5._Commercial_Sector_Key_!$B$8:$B$102,0),MATCH(G$1,Table_5._Commercial_Sector_Key_!$F$5:$AG$5,0))</f>
        <v>4.980416</v>
      </c>
      <c r="H49">
        <f>INDEX(Table_5._Commercial_Sector_Key_!$F$8:$AG$102,MATCH('Crosswalk AEO to EPS Summary'!$A49,Table_5._Commercial_Sector_Key_!$B$8:$B$102,0),MATCH(H$1,Table_5._Commercial_Sector_Key_!$F$5:$AG$5,0))</f>
        <v>4.9574980000000002</v>
      </c>
      <c r="I49">
        <f>INDEX(Table_5._Commercial_Sector_Key_!$F$8:$AG$102,MATCH('Crosswalk AEO to EPS Summary'!$A49,Table_5._Commercial_Sector_Key_!$B$8:$B$102,0),MATCH(I$1,Table_5._Commercial_Sector_Key_!$F$5:$AG$5,0))</f>
        <v>5.0087859999999997</v>
      </c>
      <c r="J49">
        <f>INDEX(Table_5._Commercial_Sector_Key_!$F$8:$AG$102,MATCH('Crosswalk AEO to EPS Summary'!$A49,Table_5._Commercial_Sector_Key_!$B$8:$B$102,0),MATCH(J$1,Table_5._Commercial_Sector_Key_!$F$5:$AG$5,0))</f>
        <v>5.0500920000000002</v>
      </c>
      <c r="K49">
        <f>INDEX(Table_5._Commercial_Sector_Key_!$F$8:$AG$102,MATCH('Crosswalk AEO to EPS Summary'!$A49,Table_5._Commercial_Sector_Key_!$B$8:$B$102,0),MATCH(K$1,Table_5._Commercial_Sector_Key_!$F$5:$AG$5,0))</f>
        <v>5.1262249999999998</v>
      </c>
      <c r="L49">
        <f>INDEX(Table_5._Commercial_Sector_Key_!$F$8:$AG$102,MATCH('Crosswalk AEO to EPS Summary'!$A49,Table_5._Commercial_Sector_Key_!$B$8:$B$102,0),MATCH(L$1,Table_5._Commercial_Sector_Key_!$F$5:$AG$5,0))</f>
        <v>5.177759</v>
      </c>
      <c r="M49">
        <f>INDEX(Table_5._Commercial_Sector_Key_!$F$8:$AG$102,MATCH('Crosswalk AEO to EPS Summary'!$A49,Table_5._Commercial_Sector_Key_!$B$8:$B$102,0),MATCH(M$1,Table_5._Commercial_Sector_Key_!$F$5:$AG$5,0))</f>
        <v>5.2292079999999999</v>
      </c>
      <c r="N49">
        <f>INDEX(Table_5._Commercial_Sector_Key_!$F$8:$AG$102,MATCH('Crosswalk AEO to EPS Summary'!$A49,Table_5._Commercial_Sector_Key_!$B$8:$B$102,0),MATCH(N$1,Table_5._Commercial_Sector_Key_!$F$5:$AG$5,0))</f>
        <v>5.2845719999999998</v>
      </c>
      <c r="O49">
        <f>INDEX(Table_5._Commercial_Sector_Key_!$F$8:$AG$102,MATCH('Crosswalk AEO to EPS Summary'!$A49,Table_5._Commercial_Sector_Key_!$B$8:$B$102,0),MATCH(O$1,Table_5._Commercial_Sector_Key_!$F$5:$AG$5,0))</f>
        <v>5.3394349999999999</v>
      </c>
      <c r="P49">
        <f>INDEX(Table_5._Commercial_Sector_Key_!$F$8:$AG$102,MATCH('Crosswalk AEO to EPS Summary'!$A49,Table_5._Commercial_Sector_Key_!$B$8:$B$102,0),MATCH(P$1,Table_5._Commercial_Sector_Key_!$F$5:$AG$5,0))</f>
        <v>5.4016200000000003</v>
      </c>
      <c r="Q49">
        <f>INDEX(Table_5._Commercial_Sector_Key_!$F$8:$AG$102,MATCH('Crosswalk AEO to EPS Summary'!$A49,Table_5._Commercial_Sector_Key_!$B$8:$B$102,0),MATCH(Q$1,Table_5._Commercial_Sector_Key_!$F$5:$AG$5,0))</f>
        <v>5.4751729999999998</v>
      </c>
      <c r="R49">
        <f>INDEX(Table_5._Commercial_Sector_Key_!$F$8:$AG$102,MATCH('Crosswalk AEO to EPS Summary'!$A49,Table_5._Commercial_Sector_Key_!$B$8:$B$102,0),MATCH(R$1,Table_5._Commercial_Sector_Key_!$F$5:$AG$5,0))</f>
        <v>5.5586479999999998</v>
      </c>
      <c r="S49">
        <f>INDEX(Table_5._Commercial_Sector_Key_!$F$8:$AG$102,MATCH('Crosswalk AEO to EPS Summary'!$A49,Table_5._Commercial_Sector_Key_!$B$8:$B$102,0),MATCH(S$1,Table_5._Commercial_Sector_Key_!$F$5:$AG$5,0))</f>
        <v>5.6472350000000002</v>
      </c>
      <c r="T49">
        <f>INDEX(Table_5._Commercial_Sector_Key_!$F$8:$AG$102,MATCH('Crosswalk AEO to EPS Summary'!$A49,Table_5._Commercial_Sector_Key_!$B$8:$B$102,0),MATCH(T$1,Table_5._Commercial_Sector_Key_!$F$5:$AG$5,0))</f>
        <v>5.7333280000000002</v>
      </c>
      <c r="U49">
        <f>INDEX(Table_5._Commercial_Sector_Key_!$F$8:$AG$102,MATCH('Crosswalk AEO to EPS Summary'!$A49,Table_5._Commercial_Sector_Key_!$B$8:$B$102,0),MATCH(U$1,Table_5._Commercial_Sector_Key_!$F$5:$AG$5,0))</f>
        <v>5.8225059999999997</v>
      </c>
      <c r="V49">
        <f>INDEX(Table_5._Commercial_Sector_Key_!$F$8:$AG$102,MATCH('Crosswalk AEO to EPS Summary'!$A49,Table_5._Commercial_Sector_Key_!$B$8:$B$102,0),MATCH(V$1,Table_5._Commercial_Sector_Key_!$F$5:$AG$5,0))</f>
        <v>5.912979</v>
      </c>
      <c r="W49">
        <f>INDEX(Table_5._Commercial_Sector_Key_!$F$8:$AG$102,MATCH('Crosswalk AEO to EPS Summary'!$A49,Table_5._Commercial_Sector_Key_!$B$8:$B$102,0),MATCH(W$1,Table_5._Commercial_Sector_Key_!$F$5:$AG$5,0))</f>
        <v>6.0072669999999997</v>
      </c>
      <c r="X49">
        <f>INDEX(Table_5._Commercial_Sector_Key_!$F$8:$AG$102,MATCH('Crosswalk AEO to EPS Summary'!$A49,Table_5._Commercial_Sector_Key_!$B$8:$B$102,0),MATCH(X$1,Table_5._Commercial_Sector_Key_!$F$5:$AG$5,0))</f>
        <v>6.1027040000000001</v>
      </c>
      <c r="Y49">
        <f>INDEX(Table_5._Commercial_Sector_Key_!$F$8:$AG$102,MATCH('Crosswalk AEO to EPS Summary'!$A49,Table_5._Commercial_Sector_Key_!$B$8:$B$102,0),MATCH(Y$1,Table_5._Commercial_Sector_Key_!$F$5:$AG$5,0))</f>
        <v>6.2013530000000001</v>
      </c>
      <c r="Z49">
        <f>INDEX(Table_5._Commercial_Sector_Key_!$F$8:$AG$102,MATCH('Crosswalk AEO to EPS Summary'!$A49,Table_5._Commercial_Sector_Key_!$B$8:$B$102,0),MATCH(Z$1,Table_5._Commercial_Sector_Key_!$F$5:$AG$5,0))</f>
        <v>6.3026289999999996</v>
      </c>
      <c r="AA49">
        <f>INDEX(Table_5._Commercial_Sector_Key_!$F$8:$AG$102,MATCH('Crosswalk AEO to EPS Summary'!$A49,Table_5._Commercial_Sector_Key_!$B$8:$B$102,0),MATCH(AA$1,Table_5._Commercial_Sector_Key_!$F$5:$AG$5,0))</f>
        <v>6.4058210000000004</v>
      </c>
      <c r="AB49">
        <f>INDEX(Table_5._Commercial_Sector_Key_!$F$8:$AG$102,MATCH('Crosswalk AEO to EPS Summary'!$A49,Table_5._Commercial_Sector_Key_!$B$8:$B$102,0),MATCH(AB$1,Table_5._Commercial_Sector_Key_!$F$5:$AG$5,0))</f>
        <v>6.5109250000000003</v>
      </c>
      <c r="AC49">
        <f>INDEX(Table_5._Commercial_Sector_Key_!$F$8:$AG$102,MATCH('Crosswalk AEO to EPS Summary'!$A49,Table_5._Commercial_Sector_Key_!$B$8:$B$102,0),MATCH(AC$1,Table_5._Commercial_Sector_Key_!$F$5:$AG$5,0))</f>
        <v>6.6185720000000003</v>
      </c>
      <c r="AD49">
        <f>INDEX(Table_5._Commercial_Sector_Key_!$F$8:$AG$102,MATCH('Crosswalk AEO to EPS Summary'!$A49,Table_5._Commercial_Sector_Key_!$B$8:$B$102,0),MATCH(AD$1,Table_5._Commercial_Sector_Key_!$F$5:$AG$5,0))</f>
        <v>6.7295579999999999</v>
      </c>
      <c r="AE49">
        <f>INDEX(Table_5._Commercial_Sector_Key_!$F$8:$AG$102,MATCH('Crosswalk AEO to EPS Summary'!$A49,Table_5._Commercial_Sector_Key_!$B$8:$B$102,0),MATCH(AE$1,Table_5._Commercial_Sector_Key_!$F$5:$AG$5,0))</f>
        <v>6.8431559999999996</v>
      </c>
      <c r="AF49">
        <f>INDEX(Table_5._Commercial_Sector_Key_!$F$8:$AG$102,MATCH('Crosswalk AEO to EPS Summary'!$A49,Table_5._Commercial_Sector_Key_!$B$8:$B$102,0),MATCH(AF$1,Table_5._Commercial_Sector_Key_!$F$5:$AG$5,0))</f>
        <v>6.960674</v>
      </c>
    </row>
    <row r="50" spans="1:32" x14ac:dyDescent="0.25">
      <c r="A50" t="s">
        <v>685</v>
      </c>
      <c r="B50" t="str">
        <f t="shared" si="0"/>
        <v>commercial-NA-electricity (BTU)</v>
      </c>
      <c r="C50" t="s">
        <v>737</v>
      </c>
      <c r="D50" s="93" t="s">
        <v>738</v>
      </c>
      <c r="E50" s="1" t="s">
        <v>11</v>
      </c>
      <c r="F50" s="75">
        <f>INDEX(Table_5._Commercial_Sector_Key_!$F$8:$AG$102,MATCH('Crosswalk AEO to EPS Summary'!$A50,Table_5._Commercial_Sector_Key_!$B$8:$B$102,0),MATCH(F$1,Table_5._Commercial_Sector_Key_!$F$5:$AG$5,0))</f>
        <v>1.8762000000000001E-2</v>
      </c>
      <c r="G50">
        <f>INDEX(Table_5._Commercial_Sector_Key_!$F$8:$AG$102,MATCH('Crosswalk AEO to EPS Summary'!$A50,Table_5._Commercial_Sector_Key_!$B$8:$B$102,0),MATCH(G$1,Table_5._Commercial_Sector_Key_!$F$5:$AG$5,0))</f>
        <v>2.8121E-2</v>
      </c>
      <c r="H50">
        <f>INDEX(Table_5._Commercial_Sector_Key_!$F$8:$AG$102,MATCH('Crosswalk AEO to EPS Summary'!$A50,Table_5._Commercial_Sector_Key_!$B$8:$B$102,0),MATCH(H$1,Table_5._Commercial_Sector_Key_!$F$5:$AG$5,0))</f>
        <v>4.2235000000000002E-2</v>
      </c>
      <c r="I50">
        <f>INDEX(Table_5._Commercial_Sector_Key_!$F$8:$AG$102,MATCH('Crosswalk AEO to EPS Summary'!$A50,Table_5._Commercial_Sector_Key_!$B$8:$B$102,0),MATCH(I$1,Table_5._Commercial_Sector_Key_!$F$5:$AG$5,0))</f>
        <v>6.1641000000000001E-2</v>
      </c>
      <c r="J50">
        <f>INDEX(Table_5._Commercial_Sector_Key_!$F$8:$AG$102,MATCH('Crosswalk AEO to EPS Summary'!$A50,Table_5._Commercial_Sector_Key_!$B$8:$B$102,0),MATCH(J$1,Table_5._Commercial_Sector_Key_!$F$5:$AG$5,0))</f>
        <v>8.6249999999999993E-2</v>
      </c>
      <c r="K50">
        <f>INDEX(Table_5._Commercial_Sector_Key_!$F$8:$AG$102,MATCH('Crosswalk AEO to EPS Summary'!$A50,Table_5._Commercial_Sector_Key_!$B$8:$B$102,0),MATCH(K$1,Table_5._Commercial_Sector_Key_!$F$5:$AG$5,0))</f>
        <v>0.117048</v>
      </c>
      <c r="L50">
        <f>INDEX(Table_5._Commercial_Sector_Key_!$F$8:$AG$102,MATCH('Crosswalk AEO to EPS Summary'!$A50,Table_5._Commercial_Sector_Key_!$B$8:$B$102,0),MATCH(L$1,Table_5._Commercial_Sector_Key_!$F$5:$AG$5,0))</f>
        <v>0.15936900000000001</v>
      </c>
      <c r="M50">
        <f>INDEX(Table_5._Commercial_Sector_Key_!$F$8:$AG$102,MATCH('Crosswalk AEO to EPS Summary'!$A50,Table_5._Commercial_Sector_Key_!$B$8:$B$102,0),MATCH(M$1,Table_5._Commercial_Sector_Key_!$F$5:$AG$5,0))</f>
        <v>0.21291599999999999</v>
      </c>
      <c r="N50">
        <f>INDEX(Table_5._Commercial_Sector_Key_!$F$8:$AG$102,MATCH('Crosswalk AEO to EPS Summary'!$A50,Table_5._Commercial_Sector_Key_!$B$8:$B$102,0),MATCH(N$1,Table_5._Commercial_Sector_Key_!$F$5:$AG$5,0))</f>
        <v>0.28401900000000002</v>
      </c>
      <c r="O50">
        <f>INDEX(Table_5._Commercial_Sector_Key_!$F$8:$AG$102,MATCH('Crosswalk AEO to EPS Summary'!$A50,Table_5._Commercial_Sector_Key_!$B$8:$B$102,0),MATCH(O$1,Table_5._Commercial_Sector_Key_!$F$5:$AG$5,0))</f>
        <v>0.35977700000000001</v>
      </c>
      <c r="P50">
        <f>INDEX(Table_5._Commercial_Sector_Key_!$F$8:$AG$102,MATCH('Crosswalk AEO to EPS Summary'!$A50,Table_5._Commercial_Sector_Key_!$B$8:$B$102,0),MATCH(P$1,Table_5._Commercial_Sector_Key_!$F$5:$AG$5,0))</f>
        <v>0.43437399999999998</v>
      </c>
      <c r="Q50">
        <f>INDEX(Table_5._Commercial_Sector_Key_!$F$8:$AG$102,MATCH('Crosswalk AEO to EPS Summary'!$A50,Table_5._Commercial_Sector_Key_!$B$8:$B$102,0),MATCH(Q$1,Table_5._Commercial_Sector_Key_!$F$5:$AG$5,0))</f>
        <v>0.50603100000000001</v>
      </c>
      <c r="R50">
        <f>INDEX(Table_5._Commercial_Sector_Key_!$F$8:$AG$102,MATCH('Crosswalk AEO to EPS Summary'!$A50,Table_5._Commercial_Sector_Key_!$B$8:$B$102,0),MATCH(R$1,Table_5._Commercial_Sector_Key_!$F$5:$AG$5,0))</f>
        <v>0.57409600000000005</v>
      </c>
      <c r="S50">
        <f>INDEX(Table_5._Commercial_Sector_Key_!$F$8:$AG$102,MATCH('Crosswalk AEO to EPS Summary'!$A50,Table_5._Commercial_Sector_Key_!$B$8:$B$102,0),MATCH(S$1,Table_5._Commercial_Sector_Key_!$F$5:$AG$5,0))</f>
        <v>0.638567</v>
      </c>
      <c r="T50">
        <f>INDEX(Table_5._Commercial_Sector_Key_!$F$8:$AG$102,MATCH('Crosswalk AEO to EPS Summary'!$A50,Table_5._Commercial_Sector_Key_!$B$8:$B$102,0),MATCH(T$1,Table_5._Commercial_Sector_Key_!$F$5:$AG$5,0))</f>
        <v>0.69851600000000003</v>
      </c>
      <c r="U50">
        <f>INDEX(Table_5._Commercial_Sector_Key_!$F$8:$AG$102,MATCH('Crosswalk AEO to EPS Summary'!$A50,Table_5._Commercial_Sector_Key_!$B$8:$B$102,0),MATCH(U$1,Table_5._Commercial_Sector_Key_!$F$5:$AG$5,0))</f>
        <v>0.75433700000000004</v>
      </c>
      <c r="V50">
        <f>INDEX(Table_5._Commercial_Sector_Key_!$F$8:$AG$102,MATCH('Crosswalk AEO to EPS Summary'!$A50,Table_5._Commercial_Sector_Key_!$B$8:$B$102,0),MATCH(V$1,Table_5._Commercial_Sector_Key_!$F$5:$AG$5,0))</f>
        <v>0.80611299999999997</v>
      </c>
      <c r="W50">
        <f>INDEX(Table_5._Commercial_Sector_Key_!$F$8:$AG$102,MATCH('Crosswalk AEO to EPS Summary'!$A50,Table_5._Commercial_Sector_Key_!$B$8:$B$102,0),MATCH(W$1,Table_5._Commercial_Sector_Key_!$F$5:$AG$5,0))</f>
        <v>0.85333000000000003</v>
      </c>
      <c r="X50">
        <f>INDEX(Table_5._Commercial_Sector_Key_!$F$8:$AG$102,MATCH('Crosswalk AEO to EPS Summary'!$A50,Table_5._Commercial_Sector_Key_!$B$8:$B$102,0),MATCH(X$1,Table_5._Commercial_Sector_Key_!$F$5:$AG$5,0))</f>
        <v>0.89590400000000003</v>
      </c>
      <c r="Y50">
        <f>INDEX(Table_5._Commercial_Sector_Key_!$F$8:$AG$102,MATCH('Crosswalk AEO to EPS Summary'!$A50,Table_5._Commercial_Sector_Key_!$B$8:$B$102,0),MATCH(Y$1,Table_5._Commercial_Sector_Key_!$F$5:$AG$5,0))</f>
        <v>0.93331299999999995</v>
      </c>
      <c r="Z50">
        <f>INDEX(Table_5._Commercial_Sector_Key_!$F$8:$AG$102,MATCH('Crosswalk AEO to EPS Summary'!$A50,Table_5._Commercial_Sector_Key_!$B$8:$B$102,0),MATCH(Z$1,Table_5._Commercial_Sector_Key_!$F$5:$AG$5,0))</f>
        <v>0.96634600000000004</v>
      </c>
      <c r="AA50">
        <f>INDEX(Table_5._Commercial_Sector_Key_!$F$8:$AG$102,MATCH('Crosswalk AEO to EPS Summary'!$A50,Table_5._Commercial_Sector_Key_!$B$8:$B$102,0),MATCH(AA$1,Table_5._Commercial_Sector_Key_!$F$5:$AG$5,0))</f>
        <v>0.99562600000000001</v>
      </c>
      <c r="AB50">
        <f>INDEX(Table_5._Commercial_Sector_Key_!$F$8:$AG$102,MATCH('Crosswalk AEO to EPS Summary'!$A50,Table_5._Commercial_Sector_Key_!$B$8:$B$102,0),MATCH(AB$1,Table_5._Commercial_Sector_Key_!$F$5:$AG$5,0))</f>
        <v>1.0219309999999999</v>
      </c>
      <c r="AC50">
        <f>INDEX(Table_5._Commercial_Sector_Key_!$F$8:$AG$102,MATCH('Crosswalk AEO to EPS Summary'!$A50,Table_5._Commercial_Sector_Key_!$B$8:$B$102,0),MATCH(AC$1,Table_5._Commercial_Sector_Key_!$F$5:$AG$5,0))</f>
        <v>1.045841</v>
      </c>
      <c r="AD50">
        <f>INDEX(Table_5._Commercial_Sector_Key_!$F$8:$AG$102,MATCH('Crosswalk AEO to EPS Summary'!$A50,Table_5._Commercial_Sector_Key_!$B$8:$B$102,0),MATCH(AD$1,Table_5._Commercial_Sector_Key_!$F$5:$AG$5,0))</f>
        <v>1.066279</v>
      </c>
      <c r="AE50">
        <f>INDEX(Table_5._Commercial_Sector_Key_!$F$8:$AG$102,MATCH('Crosswalk AEO to EPS Summary'!$A50,Table_5._Commercial_Sector_Key_!$B$8:$B$102,0),MATCH(AE$1,Table_5._Commercial_Sector_Key_!$F$5:$AG$5,0))</f>
        <v>1.084419</v>
      </c>
      <c r="AF50">
        <f>INDEX(Table_5._Commercial_Sector_Key_!$F$8:$AG$102,MATCH('Crosswalk AEO to EPS Summary'!$A50,Table_5._Commercial_Sector_Key_!$B$8:$B$102,0),MATCH(AF$1,Table_5._Commercial_Sector_Key_!$F$5:$AG$5,0))</f>
        <v>1.1006229999999999</v>
      </c>
    </row>
    <row r="51" spans="1:32" x14ac:dyDescent="0.25">
      <c r="A51" t="s">
        <v>683</v>
      </c>
      <c r="B51" t="str">
        <f t="shared" si="0"/>
        <v>commercial-NA-electricity (BTU)</v>
      </c>
      <c r="C51" t="s">
        <v>737</v>
      </c>
      <c r="D51" s="93" t="s">
        <v>738</v>
      </c>
      <c r="E51" s="1" t="s">
        <v>11</v>
      </c>
      <c r="F51" s="75">
        <f>INDEX(Table_5._Commercial_Sector_Key_!$F$8:$AG$102,MATCH('Crosswalk AEO to EPS Summary'!$A51,Table_5._Commercial_Sector_Key_!$B$8:$B$102,0),MATCH(F$1,Table_5._Commercial_Sector_Key_!$F$5:$AG$5,0))</f>
        <v>0.14174300000000001</v>
      </c>
      <c r="G51">
        <f>INDEX(Table_5._Commercial_Sector_Key_!$F$8:$AG$102,MATCH('Crosswalk AEO to EPS Summary'!$A51,Table_5._Commercial_Sector_Key_!$B$8:$B$102,0),MATCH(G$1,Table_5._Commercial_Sector_Key_!$F$5:$AG$5,0))</f>
        <v>0.158667</v>
      </c>
      <c r="H51">
        <f>INDEX(Table_5._Commercial_Sector_Key_!$F$8:$AG$102,MATCH('Crosswalk AEO to EPS Summary'!$A51,Table_5._Commercial_Sector_Key_!$B$8:$B$102,0),MATCH(H$1,Table_5._Commercial_Sector_Key_!$F$5:$AG$5,0))</f>
        <v>0.17515800000000001</v>
      </c>
      <c r="I51">
        <f>INDEX(Table_5._Commercial_Sector_Key_!$F$8:$AG$102,MATCH('Crosswalk AEO to EPS Summary'!$A51,Table_5._Commercial_Sector_Key_!$B$8:$B$102,0),MATCH(I$1,Table_5._Commercial_Sector_Key_!$F$5:$AG$5,0))</f>
        <v>0.182169</v>
      </c>
      <c r="J51">
        <f>INDEX(Table_5._Commercial_Sector_Key_!$F$8:$AG$102,MATCH('Crosswalk AEO to EPS Summary'!$A51,Table_5._Commercial_Sector_Key_!$B$8:$B$102,0),MATCH(J$1,Table_5._Commercial_Sector_Key_!$F$5:$AG$5,0))</f>
        <v>0.188994</v>
      </c>
      <c r="K51">
        <f>INDEX(Table_5._Commercial_Sector_Key_!$F$8:$AG$102,MATCH('Crosswalk AEO to EPS Summary'!$A51,Table_5._Commercial_Sector_Key_!$B$8:$B$102,0),MATCH(K$1,Table_5._Commercial_Sector_Key_!$F$5:$AG$5,0))</f>
        <v>0.19889100000000001</v>
      </c>
      <c r="L51">
        <f>INDEX(Table_5._Commercial_Sector_Key_!$F$8:$AG$102,MATCH('Crosswalk AEO to EPS Summary'!$A51,Table_5._Commercial_Sector_Key_!$B$8:$B$102,0),MATCH(L$1,Table_5._Commercial_Sector_Key_!$F$5:$AG$5,0))</f>
        <v>0.21062400000000001</v>
      </c>
      <c r="M51">
        <f>INDEX(Table_5._Commercial_Sector_Key_!$F$8:$AG$102,MATCH('Crosswalk AEO to EPS Summary'!$A51,Table_5._Commercial_Sector_Key_!$B$8:$B$102,0),MATCH(M$1,Table_5._Commercial_Sector_Key_!$F$5:$AG$5,0))</f>
        <v>0.225521</v>
      </c>
      <c r="N51">
        <f>INDEX(Table_5._Commercial_Sector_Key_!$F$8:$AG$102,MATCH('Crosswalk AEO to EPS Summary'!$A51,Table_5._Commercial_Sector_Key_!$B$8:$B$102,0),MATCH(N$1,Table_5._Commercial_Sector_Key_!$F$5:$AG$5,0))</f>
        <v>0.23910000000000001</v>
      </c>
      <c r="O51">
        <f>INDEX(Table_5._Commercial_Sector_Key_!$F$8:$AG$102,MATCH('Crosswalk AEO to EPS Summary'!$A51,Table_5._Commercial_Sector_Key_!$B$8:$B$102,0),MATCH(O$1,Table_5._Commercial_Sector_Key_!$F$5:$AG$5,0))</f>
        <v>0.25521300000000002</v>
      </c>
      <c r="P51">
        <f>INDEX(Table_5._Commercial_Sector_Key_!$F$8:$AG$102,MATCH('Crosswalk AEO to EPS Summary'!$A51,Table_5._Commercial_Sector_Key_!$B$8:$B$102,0),MATCH(P$1,Table_5._Commercial_Sector_Key_!$F$5:$AG$5,0))</f>
        <v>0.26584400000000002</v>
      </c>
      <c r="Q51">
        <f>INDEX(Table_5._Commercial_Sector_Key_!$F$8:$AG$102,MATCH('Crosswalk AEO to EPS Summary'!$A51,Table_5._Commercial_Sector_Key_!$B$8:$B$102,0),MATCH(Q$1,Table_5._Commercial_Sector_Key_!$F$5:$AG$5,0))</f>
        <v>0.27219700000000002</v>
      </c>
      <c r="R51">
        <f>INDEX(Table_5._Commercial_Sector_Key_!$F$8:$AG$102,MATCH('Crosswalk AEO to EPS Summary'!$A51,Table_5._Commercial_Sector_Key_!$B$8:$B$102,0),MATCH(R$1,Table_5._Commercial_Sector_Key_!$F$5:$AG$5,0))</f>
        <v>0.27763900000000002</v>
      </c>
      <c r="S51">
        <f>INDEX(Table_5._Commercial_Sector_Key_!$F$8:$AG$102,MATCH('Crosswalk AEO to EPS Summary'!$A51,Table_5._Commercial_Sector_Key_!$B$8:$B$102,0),MATCH(S$1,Table_5._Commercial_Sector_Key_!$F$5:$AG$5,0))</f>
        <v>0.28352500000000003</v>
      </c>
      <c r="T51">
        <f>INDEX(Table_5._Commercial_Sector_Key_!$F$8:$AG$102,MATCH('Crosswalk AEO to EPS Summary'!$A51,Table_5._Commercial_Sector_Key_!$B$8:$B$102,0),MATCH(T$1,Table_5._Commercial_Sector_Key_!$F$5:$AG$5,0))</f>
        <v>0.292406</v>
      </c>
      <c r="U51">
        <f>INDEX(Table_5._Commercial_Sector_Key_!$F$8:$AG$102,MATCH('Crosswalk AEO to EPS Summary'!$A51,Table_5._Commercial_Sector_Key_!$B$8:$B$102,0),MATCH(U$1,Table_5._Commercial_Sector_Key_!$F$5:$AG$5,0))</f>
        <v>0.29744199999999998</v>
      </c>
      <c r="V51">
        <f>INDEX(Table_5._Commercial_Sector_Key_!$F$8:$AG$102,MATCH('Crosswalk AEO to EPS Summary'!$A51,Table_5._Commercial_Sector_Key_!$B$8:$B$102,0),MATCH(V$1,Table_5._Commercial_Sector_Key_!$F$5:$AG$5,0))</f>
        <v>0.30313400000000001</v>
      </c>
      <c r="W51">
        <f>INDEX(Table_5._Commercial_Sector_Key_!$F$8:$AG$102,MATCH('Crosswalk AEO to EPS Summary'!$A51,Table_5._Commercial_Sector_Key_!$B$8:$B$102,0),MATCH(W$1,Table_5._Commercial_Sector_Key_!$F$5:$AG$5,0))</f>
        <v>0.31151000000000001</v>
      </c>
      <c r="X51">
        <f>INDEX(Table_5._Commercial_Sector_Key_!$F$8:$AG$102,MATCH('Crosswalk AEO to EPS Summary'!$A51,Table_5._Commercial_Sector_Key_!$B$8:$B$102,0),MATCH(X$1,Table_5._Commercial_Sector_Key_!$F$5:$AG$5,0))</f>
        <v>0.31969399999999998</v>
      </c>
      <c r="Y51">
        <f>INDEX(Table_5._Commercial_Sector_Key_!$F$8:$AG$102,MATCH('Crosswalk AEO to EPS Summary'!$A51,Table_5._Commercial_Sector_Key_!$B$8:$B$102,0),MATCH(Y$1,Table_5._Commercial_Sector_Key_!$F$5:$AG$5,0))</f>
        <v>0.32866200000000001</v>
      </c>
      <c r="Z51">
        <f>INDEX(Table_5._Commercial_Sector_Key_!$F$8:$AG$102,MATCH('Crosswalk AEO to EPS Summary'!$A51,Table_5._Commercial_Sector_Key_!$B$8:$B$102,0),MATCH(Z$1,Table_5._Commercial_Sector_Key_!$F$5:$AG$5,0))</f>
        <v>0.33769300000000002</v>
      </c>
      <c r="AA51">
        <f>INDEX(Table_5._Commercial_Sector_Key_!$F$8:$AG$102,MATCH('Crosswalk AEO to EPS Summary'!$A51,Table_5._Commercial_Sector_Key_!$B$8:$B$102,0),MATCH(AA$1,Table_5._Commercial_Sector_Key_!$F$5:$AG$5,0))</f>
        <v>0.347028</v>
      </c>
      <c r="AB51">
        <f>INDEX(Table_5._Commercial_Sector_Key_!$F$8:$AG$102,MATCH('Crosswalk AEO to EPS Summary'!$A51,Table_5._Commercial_Sector_Key_!$B$8:$B$102,0),MATCH(AB$1,Table_5._Commercial_Sector_Key_!$F$5:$AG$5,0))</f>
        <v>0.35549700000000001</v>
      </c>
      <c r="AC51">
        <f>INDEX(Table_5._Commercial_Sector_Key_!$F$8:$AG$102,MATCH('Crosswalk AEO to EPS Summary'!$A51,Table_5._Commercial_Sector_Key_!$B$8:$B$102,0),MATCH(AC$1,Table_5._Commercial_Sector_Key_!$F$5:$AG$5,0))</f>
        <v>0.36535400000000001</v>
      </c>
      <c r="AD51">
        <f>INDEX(Table_5._Commercial_Sector_Key_!$F$8:$AG$102,MATCH('Crosswalk AEO to EPS Summary'!$A51,Table_5._Commercial_Sector_Key_!$B$8:$B$102,0),MATCH(AD$1,Table_5._Commercial_Sector_Key_!$F$5:$AG$5,0))</f>
        <v>0.37554300000000002</v>
      </c>
      <c r="AE51">
        <f>INDEX(Table_5._Commercial_Sector_Key_!$F$8:$AG$102,MATCH('Crosswalk AEO to EPS Summary'!$A51,Table_5._Commercial_Sector_Key_!$B$8:$B$102,0),MATCH(AE$1,Table_5._Commercial_Sector_Key_!$F$5:$AG$5,0))</f>
        <v>0.385409</v>
      </c>
      <c r="AF51">
        <f>INDEX(Table_5._Commercial_Sector_Key_!$F$8:$AG$102,MATCH('Crosswalk AEO to EPS Summary'!$A51,Table_5._Commercial_Sector_Key_!$B$8:$B$102,0),MATCH(AF$1,Table_5._Commercial_Sector_Key_!$F$5:$AG$5,0))</f>
        <v>0.396175</v>
      </c>
    </row>
    <row r="52" spans="1:32" x14ac:dyDescent="0.25">
      <c r="A52" t="s">
        <v>680</v>
      </c>
      <c r="B52" t="str">
        <f t="shared" si="0"/>
        <v>commercial-total-electricity (BTU)</v>
      </c>
      <c r="C52" t="s">
        <v>737</v>
      </c>
      <c r="D52" s="93" t="s">
        <v>735</v>
      </c>
      <c r="E52" s="1" t="s">
        <v>11</v>
      </c>
      <c r="F52" s="75">
        <f>INDEX(Table_5._Commercial_Sector_Key_!$F$8:$AG$102,MATCH('Crosswalk AEO to EPS Summary'!$A52,Table_5._Commercial_Sector_Key_!$B$8:$B$102,0),MATCH(F$1,Table_5._Commercial_Sector_Key_!$F$5:$AG$5,0))</f>
        <v>4.7680999999999996</v>
      </c>
      <c r="G52">
        <f>INDEX(Table_5._Commercial_Sector_Key_!$F$8:$AG$102,MATCH('Crosswalk AEO to EPS Summary'!$A52,Table_5._Commercial_Sector_Key_!$B$8:$B$102,0),MATCH(G$1,Table_5._Commercial_Sector_Key_!$F$5:$AG$5,0))</f>
        <v>4.8498710000000003</v>
      </c>
      <c r="H52">
        <f>INDEX(Table_5._Commercial_Sector_Key_!$F$8:$AG$102,MATCH('Crosswalk AEO to EPS Summary'!$A52,Table_5._Commercial_Sector_Key_!$B$8:$B$102,0),MATCH(H$1,Table_5._Commercial_Sector_Key_!$F$5:$AG$5,0))</f>
        <v>4.8245750000000003</v>
      </c>
      <c r="I52">
        <f>INDEX(Table_5._Commercial_Sector_Key_!$F$8:$AG$102,MATCH('Crosswalk AEO to EPS Summary'!$A52,Table_5._Commercial_Sector_Key_!$B$8:$B$102,0),MATCH(I$1,Table_5._Commercial_Sector_Key_!$F$5:$AG$5,0))</f>
        <v>4.8882589999999997</v>
      </c>
      <c r="J52">
        <f>INDEX(Table_5._Commercial_Sector_Key_!$F$8:$AG$102,MATCH('Crosswalk AEO to EPS Summary'!$A52,Table_5._Commercial_Sector_Key_!$B$8:$B$102,0),MATCH(J$1,Table_5._Commercial_Sector_Key_!$F$5:$AG$5,0))</f>
        <v>4.947349</v>
      </c>
      <c r="K52">
        <f>INDEX(Table_5._Commercial_Sector_Key_!$F$8:$AG$102,MATCH('Crosswalk AEO to EPS Summary'!$A52,Table_5._Commercial_Sector_Key_!$B$8:$B$102,0),MATCH(K$1,Table_5._Commercial_Sector_Key_!$F$5:$AG$5,0))</f>
        <v>5.0443829999999998</v>
      </c>
      <c r="L52">
        <f>INDEX(Table_5._Commercial_Sector_Key_!$F$8:$AG$102,MATCH('Crosswalk AEO to EPS Summary'!$A52,Table_5._Commercial_Sector_Key_!$B$8:$B$102,0),MATCH(L$1,Table_5._Commercial_Sector_Key_!$F$5:$AG$5,0))</f>
        <v>5.1265029999999996</v>
      </c>
      <c r="M52">
        <f>INDEX(Table_5._Commercial_Sector_Key_!$F$8:$AG$102,MATCH('Crosswalk AEO to EPS Summary'!$A52,Table_5._Commercial_Sector_Key_!$B$8:$B$102,0),MATCH(M$1,Table_5._Commercial_Sector_Key_!$F$5:$AG$5,0))</f>
        <v>5.216602</v>
      </c>
      <c r="N52">
        <f>INDEX(Table_5._Commercial_Sector_Key_!$F$8:$AG$102,MATCH('Crosswalk AEO to EPS Summary'!$A52,Table_5._Commercial_Sector_Key_!$B$8:$B$102,0),MATCH(N$1,Table_5._Commercial_Sector_Key_!$F$5:$AG$5,0))</f>
        <v>5.3294920000000001</v>
      </c>
      <c r="O52">
        <f>INDEX(Table_5._Commercial_Sector_Key_!$F$8:$AG$102,MATCH('Crosswalk AEO to EPS Summary'!$A52,Table_5._Commercial_Sector_Key_!$B$8:$B$102,0),MATCH(O$1,Table_5._Commercial_Sector_Key_!$F$5:$AG$5,0))</f>
        <v>5.444</v>
      </c>
      <c r="P52">
        <f>INDEX(Table_5._Commercial_Sector_Key_!$F$8:$AG$102,MATCH('Crosswalk AEO to EPS Summary'!$A52,Table_5._Commercial_Sector_Key_!$B$8:$B$102,0),MATCH(P$1,Table_5._Commercial_Sector_Key_!$F$5:$AG$5,0))</f>
        <v>5.5701510000000001</v>
      </c>
      <c r="Q52">
        <f>INDEX(Table_5._Commercial_Sector_Key_!$F$8:$AG$102,MATCH('Crosswalk AEO to EPS Summary'!$A52,Table_5._Commercial_Sector_Key_!$B$8:$B$102,0),MATCH(Q$1,Table_5._Commercial_Sector_Key_!$F$5:$AG$5,0))</f>
        <v>5.7090069999999997</v>
      </c>
      <c r="R52">
        <f>INDEX(Table_5._Commercial_Sector_Key_!$F$8:$AG$102,MATCH('Crosswalk AEO to EPS Summary'!$A52,Table_5._Commercial_Sector_Key_!$B$8:$B$102,0),MATCH(R$1,Table_5._Commercial_Sector_Key_!$F$5:$AG$5,0))</f>
        <v>5.855105</v>
      </c>
      <c r="S52">
        <f>INDEX(Table_5._Commercial_Sector_Key_!$F$8:$AG$102,MATCH('Crosswalk AEO to EPS Summary'!$A52,Table_5._Commercial_Sector_Key_!$B$8:$B$102,0),MATCH(S$1,Table_5._Commercial_Sector_Key_!$F$5:$AG$5,0))</f>
        <v>6.0022760000000002</v>
      </c>
      <c r="T52">
        <f>INDEX(Table_5._Commercial_Sector_Key_!$F$8:$AG$102,MATCH('Crosswalk AEO to EPS Summary'!$A52,Table_5._Commercial_Sector_Key_!$B$8:$B$102,0),MATCH(T$1,Table_5._Commercial_Sector_Key_!$F$5:$AG$5,0))</f>
        <v>6.1394380000000002</v>
      </c>
      <c r="U52">
        <f>INDEX(Table_5._Commercial_Sector_Key_!$F$8:$AG$102,MATCH('Crosswalk AEO to EPS Summary'!$A52,Table_5._Commercial_Sector_Key_!$B$8:$B$102,0),MATCH(U$1,Table_5._Commercial_Sector_Key_!$F$5:$AG$5,0))</f>
        <v>6.2794030000000003</v>
      </c>
      <c r="V52">
        <f>INDEX(Table_5._Commercial_Sector_Key_!$F$8:$AG$102,MATCH('Crosswalk AEO to EPS Summary'!$A52,Table_5._Commercial_Sector_Key_!$B$8:$B$102,0),MATCH(V$1,Table_5._Commercial_Sector_Key_!$F$5:$AG$5,0))</f>
        <v>6.4159579999999998</v>
      </c>
      <c r="W52">
        <f>INDEX(Table_5._Commercial_Sector_Key_!$F$8:$AG$102,MATCH('Crosswalk AEO to EPS Summary'!$A52,Table_5._Commercial_Sector_Key_!$B$8:$B$102,0),MATCH(W$1,Table_5._Commercial_Sector_Key_!$F$5:$AG$5,0))</f>
        <v>6.5490870000000001</v>
      </c>
      <c r="X52">
        <f>INDEX(Table_5._Commercial_Sector_Key_!$F$8:$AG$102,MATCH('Crosswalk AEO to EPS Summary'!$A52,Table_5._Commercial_Sector_Key_!$B$8:$B$102,0),MATCH(X$1,Table_5._Commercial_Sector_Key_!$F$5:$AG$5,0))</f>
        <v>6.6789139999999998</v>
      </c>
      <c r="Y52">
        <f>INDEX(Table_5._Commercial_Sector_Key_!$F$8:$AG$102,MATCH('Crosswalk AEO to EPS Summary'!$A52,Table_5._Commercial_Sector_Key_!$B$8:$B$102,0),MATCH(Y$1,Table_5._Commercial_Sector_Key_!$F$5:$AG$5,0))</f>
        <v>6.8060039999999997</v>
      </c>
      <c r="Z52">
        <f>INDEX(Table_5._Commercial_Sector_Key_!$F$8:$AG$102,MATCH('Crosswalk AEO to EPS Summary'!$A52,Table_5._Commercial_Sector_Key_!$B$8:$B$102,0),MATCH(Z$1,Table_5._Commercial_Sector_Key_!$F$5:$AG$5,0))</f>
        <v>6.9312820000000004</v>
      </c>
      <c r="AA52">
        <f>INDEX(Table_5._Commercial_Sector_Key_!$F$8:$AG$102,MATCH('Crosswalk AEO to EPS Summary'!$A52,Table_5._Commercial_Sector_Key_!$B$8:$B$102,0),MATCH(AA$1,Table_5._Commercial_Sector_Key_!$F$5:$AG$5,0))</f>
        <v>7.0544200000000004</v>
      </c>
      <c r="AB52">
        <f>INDEX(Table_5._Commercial_Sector_Key_!$F$8:$AG$102,MATCH('Crosswalk AEO to EPS Summary'!$A52,Table_5._Commercial_Sector_Key_!$B$8:$B$102,0),MATCH(AB$1,Table_5._Commercial_Sector_Key_!$F$5:$AG$5,0))</f>
        <v>7.177359</v>
      </c>
      <c r="AC52">
        <f>INDEX(Table_5._Commercial_Sector_Key_!$F$8:$AG$102,MATCH('Crosswalk AEO to EPS Summary'!$A52,Table_5._Commercial_Sector_Key_!$B$8:$B$102,0),MATCH(AC$1,Table_5._Commercial_Sector_Key_!$F$5:$AG$5,0))</f>
        <v>7.2990589999999997</v>
      </c>
      <c r="AD52">
        <f>INDEX(Table_5._Commercial_Sector_Key_!$F$8:$AG$102,MATCH('Crosswalk AEO to EPS Summary'!$A52,Table_5._Commercial_Sector_Key_!$B$8:$B$102,0),MATCH(AD$1,Table_5._Commercial_Sector_Key_!$F$5:$AG$5,0))</f>
        <v>7.4202950000000003</v>
      </c>
      <c r="AE52">
        <f>INDEX(Table_5._Commercial_Sector_Key_!$F$8:$AG$102,MATCH('Crosswalk AEO to EPS Summary'!$A52,Table_5._Commercial_Sector_Key_!$B$8:$B$102,0),MATCH(AE$1,Table_5._Commercial_Sector_Key_!$F$5:$AG$5,0))</f>
        <v>7.5421649999999998</v>
      </c>
      <c r="AF52">
        <f>INDEX(Table_5._Commercial_Sector_Key_!$F$8:$AG$102,MATCH('Crosswalk AEO to EPS Summary'!$A52,Table_5._Commercial_Sector_Key_!$B$8:$B$102,0),MATCH(AF$1,Table_5._Commercial_Sector_Key_!$F$5:$AG$5,0))</f>
        <v>7.6651220000000002</v>
      </c>
    </row>
    <row r="53" spans="1:32" x14ac:dyDescent="0.25">
      <c r="A53" t="s">
        <v>678</v>
      </c>
      <c r="B53" t="str">
        <f t="shared" si="0"/>
        <v>commercial-heating-natural gas (BTU)</v>
      </c>
      <c r="C53" t="s">
        <v>737</v>
      </c>
      <c r="D53" s="93" t="s">
        <v>730</v>
      </c>
      <c r="E53" s="1" t="s">
        <v>13</v>
      </c>
      <c r="F53" s="75">
        <f>INDEX(Table_5._Commercial_Sector_Key_!$F$8:$AG$102,MATCH('Crosswalk AEO to EPS Summary'!$A53,Table_5._Commercial_Sector_Key_!$B$8:$B$102,0),MATCH(F$1,Table_5._Commercial_Sector_Key_!$F$5:$AG$5,0))</f>
        <v>1.5374129999999999</v>
      </c>
      <c r="G53">
        <f>INDEX(Table_5._Commercial_Sector_Key_!$F$8:$AG$102,MATCH('Crosswalk AEO to EPS Summary'!$A53,Table_5._Commercial_Sector_Key_!$B$8:$B$102,0),MATCH(G$1,Table_5._Commercial_Sector_Key_!$F$5:$AG$5,0))</f>
        <v>1.6974750000000001</v>
      </c>
      <c r="H53">
        <f>INDEX(Table_5._Commercial_Sector_Key_!$F$8:$AG$102,MATCH('Crosswalk AEO to EPS Summary'!$A53,Table_5._Commercial_Sector_Key_!$B$8:$B$102,0),MATCH(H$1,Table_5._Commercial_Sector_Key_!$F$5:$AG$5,0))</f>
        <v>1.7168810000000001</v>
      </c>
      <c r="I53">
        <f>INDEX(Table_5._Commercial_Sector_Key_!$F$8:$AG$102,MATCH('Crosswalk AEO to EPS Summary'!$A53,Table_5._Commercial_Sector_Key_!$B$8:$B$102,0),MATCH(I$1,Table_5._Commercial_Sector_Key_!$F$5:$AG$5,0))</f>
        <v>1.7210589999999999</v>
      </c>
      <c r="J53">
        <f>INDEX(Table_5._Commercial_Sector_Key_!$F$8:$AG$102,MATCH('Crosswalk AEO to EPS Summary'!$A53,Table_5._Commercial_Sector_Key_!$B$8:$B$102,0),MATCH(J$1,Table_5._Commercial_Sector_Key_!$F$5:$AG$5,0))</f>
        <v>1.7170879999999999</v>
      </c>
      <c r="K53">
        <f>INDEX(Table_5._Commercial_Sector_Key_!$F$8:$AG$102,MATCH('Crosswalk AEO to EPS Summary'!$A53,Table_5._Commercial_Sector_Key_!$B$8:$B$102,0),MATCH(K$1,Table_5._Commercial_Sector_Key_!$F$5:$AG$5,0))</f>
        <v>1.7084889999999999</v>
      </c>
      <c r="L53">
        <f>INDEX(Table_5._Commercial_Sector_Key_!$F$8:$AG$102,MATCH('Crosswalk AEO to EPS Summary'!$A53,Table_5._Commercial_Sector_Key_!$B$8:$B$102,0),MATCH(L$1,Table_5._Commercial_Sector_Key_!$F$5:$AG$5,0))</f>
        <v>1.695878</v>
      </c>
      <c r="M53">
        <f>INDEX(Table_5._Commercial_Sector_Key_!$F$8:$AG$102,MATCH('Crosswalk AEO to EPS Summary'!$A53,Table_5._Commercial_Sector_Key_!$B$8:$B$102,0),MATCH(M$1,Table_5._Commercial_Sector_Key_!$F$5:$AG$5,0))</f>
        <v>1.685565</v>
      </c>
      <c r="N53">
        <f>INDEX(Table_5._Commercial_Sector_Key_!$F$8:$AG$102,MATCH('Crosswalk AEO to EPS Summary'!$A53,Table_5._Commercial_Sector_Key_!$B$8:$B$102,0),MATCH(N$1,Table_5._Commercial_Sector_Key_!$F$5:$AG$5,0))</f>
        <v>1.671333</v>
      </c>
      <c r="O53">
        <f>INDEX(Table_5._Commercial_Sector_Key_!$F$8:$AG$102,MATCH('Crosswalk AEO to EPS Summary'!$A53,Table_5._Commercial_Sector_Key_!$B$8:$B$102,0),MATCH(O$1,Table_5._Commercial_Sector_Key_!$F$5:$AG$5,0))</f>
        <v>1.6556390000000001</v>
      </c>
      <c r="P53">
        <f>INDEX(Table_5._Commercial_Sector_Key_!$F$8:$AG$102,MATCH('Crosswalk AEO to EPS Summary'!$A53,Table_5._Commercial_Sector_Key_!$B$8:$B$102,0),MATCH(P$1,Table_5._Commercial_Sector_Key_!$F$5:$AG$5,0))</f>
        <v>1.6419189999999999</v>
      </c>
      <c r="Q53">
        <f>INDEX(Table_5._Commercial_Sector_Key_!$F$8:$AG$102,MATCH('Crosswalk AEO to EPS Summary'!$A53,Table_5._Commercial_Sector_Key_!$B$8:$B$102,0),MATCH(Q$1,Table_5._Commercial_Sector_Key_!$F$5:$AG$5,0))</f>
        <v>1.6330579999999999</v>
      </c>
      <c r="R53">
        <f>INDEX(Table_5._Commercial_Sector_Key_!$F$8:$AG$102,MATCH('Crosswalk AEO to EPS Summary'!$A53,Table_5._Commercial_Sector_Key_!$B$8:$B$102,0),MATCH(R$1,Table_5._Commercial_Sector_Key_!$F$5:$AG$5,0))</f>
        <v>1.628727</v>
      </c>
      <c r="S53">
        <f>INDEX(Table_5._Commercial_Sector_Key_!$F$8:$AG$102,MATCH('Crosswalk AEO to EPS Summary'!$A53,Table_5._Commercial_Sector_Key_!$B$8:$B$102,0),MATCH(S$1,Table_5._Commercial_Sector_Key_!$F$5:$AG$5,0))</f>
        <v>1.6268260000000001</v>
      </c>
      <c r="T53">
        <f>INDEX(Table_5._Commercial_Sector_Key_!$F$8:$AG$102,MATCH('Crosswalk AEO to EPS Summary'!$A53,Table_5._Commercial_Sector_Key_!$B$8:$B$102,0),MATCH(T$1,Table_5._Commercial_Sector_Key_!$F$5:$AG$5,0))</f>
        <v>1.625526</v>
      </c>
      <c r="U53">
        <f>INDEX(Table_5._Commercial_Sector_Key_!$F$8:$AG$102,MATCH('Crosswalk AEO to EPS Summary'!$A53,Table_5._Commercial_Sector_Key_!$B$8:$B$102,0),MATCH(U$1,Table_5._Commercial_Sector_Key_!$F$5:$AG$5,0))</f>
        <v>1.6253299999999999</v>
      </c>
      <c r="V53">
        <f>INDEX(Table_5._Commercial_Sector_Key_!$F$8:$AG$102,MATCH('Crosswalk AEO to EPS Summary'!$A53,Table_5._Commercial_Sector_Key_!$B$8:$B$102,0),MATCH(V$1,Table_5._Commercial_Sector_Key_!$F$5:$AG$5,0))</f>
        <v>1.6236969999999999</v>
      </c>
      <c r="W53">
        <f>INDEX(Table_5._Commercial_Sector_Key_!$F$8:$AG$102,MATCH('Crosswalk AEO to EPS Summary'!$A53,Table_5._Commercial_Sector_Key_!$B$8:$B$102,0),MATCH(W$1,Table_5._Commercial_Sector_Key_!$F$5:$AG$5,0))</f>
        <v>1.619696</v>
      </c>
      <c r="X53">
        <f>INDEX(Table_5._Commercial_Sector_Key_!$F$8:$AG$102,MATCH('Crosswalk AEO to EPS Summary'!$A53,Table_5._Commercial_Sector_Key_!$B$8:$B$102,0),MATCH(X$1,Table_5._Commercial_Sector_Key_!$F$5:$AG$5,0))</f>
        <v>1.6144160000000001</v>
      </c>
      <c r="Y53">
        <f>INDEX(Table_5._Commercial_Sector_Key_!$F$8:$AG$102,MATCH('Crosswalk AEO to EPS Summary'!$A53,Table_5._Commercial_Sector_Key_!$B$8:$B$102,0),MATCH(Y$1,Table_5._Commercial_Sector_Key_!$F$5:$AG$5,0))</f>
        <v>1.608446</v>
      </c>
      <c r="Z53">
        <f>INDEX(Table_5._Commercial_Sector_Key_!$F$8:$AG$102,MATCH('Crosswalk AEO to EPS Summary'!$A53,Table_5._Commercial_Sector_Key_!$B$8:$B$102,0),MATCH(Z$1,Table_5._Commercial_Sector_Key_!$F$5:$AG$5,0))</f>
        <v>1.603702</v>
      </c>
      <c r="AA53">
        <f>INDEX(Table_5._Commercial_Sector_Key_!$F$8:$AG$102,MATCH('Crosswalk AEO to EPS Summary'!$A53,Table_5._Commercial_Sector_Key_!$B$8:$B$102,0),MATCH(AA$1,Table_5._Commercial_Sector_Key_!$F$5:$AG$5,0))</f>
        <v>1.599288</v>
      </c>
      <c r="AB53">
        <f>INDEX(Table_5._Commercial_Sector_Key_!$F$8:$AG$102,MATCH('Crosswalk AEO to EPS Summary'!$A53,Table_5._Commercial_Sector_Key_!$B$8:$B$102,0),MATCH(AB$1,Table_5._Commercial_Sector_Key_!$F$5:$AG$5,0))</f>
        <v>1.5938159999999999</v>
      </c>
      <c r="AC53">
        <f>INDEX(Table_5._Commercial_Sector_Key_!$F$8:$AG$102,MATCH('Crosswalk AEO to EPS Summary'!$A53,Table_5._Commercial_Sector_Key_!$B$8:$B$102,0),MATCH(AC$1,Table_5._Commercial_Sector_Key_!$F$5:$AG$5,0))</f>
        <v>1.5893459999999999</v>
      </c>
      <c r="AD53">
        <f>INDEX(Table_5._Commercial_Sector_Key_!$F$8:$AG$102,MATCH('Crosswalk AEO to EPS Summary'!$A53,Table_5._Commercial_Sector_Key_!$B$8:$B$102,0),MATCH(AD$1,Table_5._Commercial_Sector_Key_!$F$5:$AG$5,0))</f>
        <v>1.585737</v>
      </c>
      <c r="AE53">
        <f>INDEX(Table_5._Commercial_Sector_Key_!$F$8:$AG$102,MATCH('Crosswalk AEO to EPS Summary'!$A53,Table_5._Commercial_Sector_Key_!$B$8:$B$102,0),MATCH(AE$1,Table_5._Commercial_Sector_Key_!$F$5:$AG$5,0))</f>
        <v>1.581855</v>
      </c>
      <c r="AF53">
        <f>INDEX(Table_5._Commercial_Sector_Key_!$F$8:$AG$102,MATCH('Crosswalk AEO to EPS Summary'!$A53,Table_5._Commercial_Sector_Key_!$B$8:$B$102,0),MATCH(AF$1,Table_5._Commercial_Sector_Key_!$F$5:$AG$5,0))</f>
        <v>1.577464</v>
      </c>
    </row>
    <row r="54" spans="1:32" x14ac:dyDescent="0.25">
      <c r="A54" t="s">
        <v>676</v>
      </c>
      <c r="B54" t="str">
        <f t="shared" si="0"/>
        <v>commercial-cooling-natural gas (BTU)</v>
      </c>
      <c r="C54" t="s">
        <v>737</v>
      </c>
      <c r="D54" s="93" t="s">
        <v>731</v>
      </c>
      <c r="E54" s="1" t="s">
        <v>13</v>
      </c>
      <c r="F54" s="75">
        <f>INDEX(Table_5._Commercial_Sector_Key_!$F$8:$AG$102,MATCH('Crosswalk AEO to EPS Summary'!$A54,Table_5._Commercial_Sector_Key_!$B$8:$B$102,0),MATCH(F$1,Table_5._Commercial_Sector_Key_!$F$5:$AG$5,0))</f>
        <v>1.8319999999999999E-2</v>
      </c>
      <c r="G54">
        <f>INDEX(Table_5._Commercial_Sector_Key_!$F$8:$AG$102,MATCH('Crosswalk AEO to EPS Summary'!$A54,Table_5._Commercial_Sector_Key_!$B$8:$B$102,0),MATCH(G$1,Table_5._Commercial_Sector_Key_!$F$5:$AG$5,0))</f>
        <v>1.762E-2</v>
      </c>
      <c r="H54">
        <f>INDEX(Table_5._Commercial_Sector_Key_!$F$8:$AG$102,MATCH('Crosswalk AEO to EPS Summary'!$A54,Table_5._Commercial_Sector_Key_!$B$8:$B$102,0),MATCH(H$1,Table_5._Commercial_Sector_Key_!$F$5:$AG$5,0))</f>
        <v>1.7856E-2</v>
      </c>
      <c r="I54">
        <f>INDEX(Table_5._Commercial_Sector_Key_!$F$8:$AG$102,MATCH('Crosswalk AEO to EPS Summary'!$A54,Table_5._Commercial_Sector_Key_!$B$8:$B$102,0),MATCH(I$1,Table_5._Commercial_Sector_Key_!$F$5:$AG$5,0))</f>
        <v>1.7985000000000001E-2</v>
      </c>
      <c r="J54">
        <f>INDEX(Table_5._Commercial_Sector_Key_!$F$8:$AG$102,MATCH('Crosswalk AEO to EPS Summary'!$A54,Table_5._Commercial_Sector_Key_!$B$8:$B$102,0),MATCH(J$1,Table_5._Commercial_Sector_Key_!$F$5:$AG$5,0))</f>
        <v>1.8026E-2</v>
      </c>
      <c r="K54">
        <f>INDEX(Table_5._Commercial_Sector_Key_!$F$8:$AG$102,MATCH('Crosswalk AEO to EPS Summary'!$A54,Table_5._Commercial_Sector_Key_!$B$8:$B$102,0),MATCH(K$1,Table_5._Commercial_Sector_Key_!$F$5:$AG$5,0))</f>
        <v>1.8041999999999999E-2</v>
      </c>
      <c r="L54">
        <f>INDEX(Table_5._Commercial_Sector_Key_!$F$8:$AG$102,MATCH('Crosswalk AEO to EPS Summary'!$A54,Table_5._Commercial_Sector_Key_!$B$8:$B$102,0),MATCH(L$1,Table_5._Commercial_Sector_Key_!$F$5:$AG$5,0))</f>
        <v>1.8031999999999999E-2</v>
      </c>
      <c r="M54">
        <f>INDEX(Table_5._Commercial_Sector_Key_!$F$8:$AG$102,MATCH('Crosswalk AEO to EPS Summary'!$A54,Table_5._Commercial_Sector_Key_!$B$8:$B$102,0),MATCH(M$1,Table_5._Commercial_Sector_Key_!$F$5:$AG$5,0))</f>
        <v>1.8031999999999999E-2</v>
      </c>
      <c r="N54">
        <f>INDEX(Table_5._Commercial_Sector_Key_!$F$8:$AG$102,MATCH('Crosswalk AEO to EPS Summary'!$A54,Table_5._Commercial_Sector_Key_!$B$8:$B$102,0),MATCH(N$1,Table_5._Commercial_Sector_Key_!$F$5:$AG$5,0))</f>
        <v>1.7987E-2</v>
      </c>
      <c r="O54">
        <f>INDEX(Table_5._Commercial_Sector_Key_!$F$8:$AG$102,MATCH('Crosswalk AEO to EPS Summary'!$A54,Table_5._Commercial_Sector_Key_!$B$8:$B$102,0),MATCH(O$1,Table_5._Commercial_Sector_Key_!$F$5:$AG$5,0))</f>
        <v>1.7929E-2</v>
      </c>
      <c r="P54">
        <f>INDEX(Table_5._Commercial_Sector_Key_!$F$8:$AG$102,MATCH('Crosswalk AEO to EPS Summary'!$A54,Table_5._Commercial_Sector_Key_!$B$8:$B$102,0),MATCH(P$1,Table_5._Commercial_Sector_Key_!$F$5:$AG$5,0))</f>
        <v>1.7895999999999999E-2</v>
      </c>
      <c r="Q54">
        <f>INDEX(Table_5._Commercial_Sector_Key_!$F$8:$AG$102,MATCH('Crosswalk AEO to EPS Summary'!$A54,Table_5._Commercial_Sector_Key_!$B$8:$B$102,0),MATCH(Q$1,Table_5._Commercial_Sector_Key_!$F$5:$AG$5,0))</f>
        <v>1.7929E-2</v>
      </c>
      <c r="R54">
        <f>INDEX(Table_5._Commercial_Sector_Key_!$F$8:$AG$102,MATCH('Crosswalk AEO to EPS Summary'!$A54,Table_5._Commercial_Sector_Key_!$B$8:$B$102,0),MATCH(R$1,Table_5._Commercial_Sector_Key_!$F$5:$AG$5,0))</f>
        <v>1.8023999999999998E-2</v>
      </c>
      <c r="S54">
        <f>INDEX(Table_5._Commercial_Sector_Key_!$F$8:$AG$102,MATCH('Crosswalk AEO to EPS Summary'!$A54,Table_5._Commercial_Sector_Key_!$B$8:$B$102,0),MATCH(S$1,Table_5._Commercial_Sector_Key_!$F$5:$AG$5,0))</f>
        <v>1.8159999999999999E-2</v>
      </c>
      <c r="T54">
        <f>INDEX(Table_5._Commercial_Sector_Key_!$F$8:$AG$102,MATCH('Crosswalk AEO to EPS Summary'!$A54,Table_5._Commercial_Sector_Key_!$B$8:$B$102,0),MATCH(T$1,Table_5._Commercial_Sector_Key_!$F$5:$AG$5,0))</f>
        <v>1.831E-2</v>
      </c>
      <c r="U54">
        <f>INDEX(Table_5._Commercial_Sector_Key_!$F$8:$AG$102,MATCH('Crosswalk AEO to EPS Summary'!$A54,Table_5._Commercial_Sector_Key_!$B$8:$B$102,0),MATCH(U$1,Table_5._Commercial_Sector_Key_!$F$5:$AG$5,0))</f>
        <v>1.8494E-2</v>
      </c>
      <c r="V54">
        <f>INDEX(Table_5._Commercial_Sector_Key_!$F$8:$AG$102,MATCH('Crosswalk AEO to EPS Summary'!$A54,Table_5._Commercial_Sector_Key_!$B$8:$B$102,0),MATCH(V$1,Table_5._Commercial_Sector_Key_!$F$5:$AG$5,0))</f>
        <v>1.8662999999999999E-2</v>
      </c>
      <c r="W54">
        <f>INDEX(Table_5._Commercial_Sector_Key_!$F$8:$AG$102,MATCH('Crosswalk AEO to EPS Summary'!$A54,Table_5._Commercial_Sector_Key_!$B$8:$B$102,0),MATCH(W$1,Table_5._Commercial_Sector_Key_!$F$5:$AG$5,0))</f>
        <v>1.8817E-2</v>
      </c>
      <c r="X54">
        <f>INDEX(Table_5._Commercial_Sector_Key_!$F$8:$AG$102,MATCH('Crosswalk AEO to EPS Summary'!$A54,Table_5._Commercial_Sector_Key_!$B$8:$B$102,0),MATCH(X$1,Table_5._Commercial_Sector_Key_!$F$5:$AG$5,0))</f>
        <v>1.8945E-2</v>
      </c>
      <c r="Y54">
        <f>INDEX(Table_5._Commercial_Sector_Key_!$F$8:$AG$102,MATCH('Crosswalk AEO to EPS Summary'!$A54,Table_5._Commercial_Sector_Key_!$B$8:$B$102,0),MATCH(Y$1,Table_5._Commercial_Sector_Key_!$F$5:$AG$5,0))</f>
        <v>1.9081000000000001E-2</v>
      </c>
      <c r="Z54">
        <f>INDEX(Table_5._Commercial_Sector_Key_!$F$8:$AG$102,MATCH('Crosswalk AEO to EPS Summary'!$A54,Table_5._Commercial_Sector_Key_!$B$8:$B$102,0),MATCH(Z$1,Table_5._Commercial_Sector_Key_!$F$5:$AG$5,0))</f>
        <v>1.9247E-2</v>
      </c>
      <c r="AA54">
        <f>INDEX(Table_5._Commercial_Sector_Key_!$F$8:$AG$102,MATCH('Crosswalk AEO to EPS Summary'!$A54,Table_5._Commercial_Sector_Key_!$B$8:$B$102,0),MATCH(AA$1,Table_5._Commercial_Sector_Key_!$F$5:$AG$5,0))</f>
        <v>1.9418000000000001E-2</v>
      </c>
      <c r="AB54">
        <f>INDEX(Table_5._Commercial_Sector_Key_!$F$8:$AG$102,MATCH('Crosswalk AEO to EPS Summary'!$A54,Table_5._Commercial_Sector_Key_!$B$8:$B$102,0),MATCH(AB$1,Table_5._Commercial_Sector_Key_!$F$5:$AG$5,0))</f>
        <v>1.9581000000000001E-2</v>
      </c>
      <c r="AC54">
        <f>INDEX(Table_5._Commercial_Sector_Key_!$F$8:$AG$102,MATCH('Crosswalk AEO to EPS Summary'!$A54,Table_5._Commercial_Sector_Key_!$B$8:$B$102,0),MATCH(AC$1,Table_5._Commercial_Sector_Key_!$F$5:$AG$5,0))</f>
        <v>1.9762999999999999E-2</v>
      </c>
      <c r="AD54">
        <f>INDEX(Table_5._Commercial_Sector_Key_!$F$8:$AG$102,MATCH('Crosswalk AEO to EPS Summary'!$A54,Table_5._Commercial_Sector_Key_!$B$8:$B$102,0),MATCH(AD$1,Table_5._Commercial_Sector_Key_!$F$5:$AG$5,0))</f>
        <v>1.9966000000000001E-2</v>
      </c>
      <c r="AE54">
        <f>INDEX(Table_5._Commercial_Sector_Key_!$F$8:$AG$102,MATCH('Crosswalk AEO to EPS Summary'!$A54,Table_5._Commercial_Sector_Key_!$B$8:$B$102,0),MATCH(AE$1,Table_5._Commercial_Sector_Key_!$F$5:$AG$5,0))</f>
        <v>2.0156E-2</v>
      </c>
      <c r="AF54">
        <f>INDEX(Table_5._Commercial_Sector_Key_!$F$8:$AG$102,MATCH('Crosswalk AEO to EPS Summary'!$A54,Table_5._Commercial_Sector_Key_!$B$8:$B$102,0),MATCH(AF$1,Table_5._Commercial_Sector_Key_!$F$5:$AG$5,0))</f>
        <v>2.0358000000000001E-2</v>
      </c>
    </row>
    <row r="55" spans="1:32" x14ac:dyDescent="0.25">
      <c r="A55" t="s">
        <v>674</v>
      </c>
      <c r="B55" t="str">
        <f t="shared" si="0"/>
        <v>commercial-appliances-natural gas (BTU)</v>
      </c>
      <c r="C55" t="s">
        <v>737</v>
      </c>
      <c r="D55" s="93" t="s">
        <v>732</v>
      </c>
      <c r="E55" s="1" t="s">
        <v>13</v>
      </c>
      <c r="F55" s="75">
        <f>INDEX(Table_5._Commercial_Sector_Key_!$F$8:$AG$102,MATCH('Crosswalk AEO to EPS Summary'!$A55,Table_5._Commercial_Sector_Key_!$B$8:$B$102,0),MATCH(F$1,Table_5._Commercial_Sector_Key_!$F$5:$AG$5,0))</f>
        <v>0.26994499999999999</v>
      </c>
      <c r="G55">
        <f>INDEX(Table_5._Commercial_Sector_Key_!$F$8:$AG$102,MATCH('Crosswalk AEO to EPS Summary'!$A55,Table_5._Commercial_Sector_Key_!$B$8:$B$102,0),MATCH(G$1,Table_5._Commercial_Sector_Key_!$F$5:$AG$5,0))</f>
        <v>0.28262500000000002</v>
      </c>
      <c r="H55">
        <f>INDEX(Table_5._Commercial_Sector_Key_!$F$8:$AG$102,MATCH('Crosswalk AEO to EPS Summary'!$A55,Table_5._Commercial_Sector_Key_!$B$8:$B$102,0),MATCH(H$1,Table_5._Commercial_Sector_Key_!$F$5:$AG$5,0))</f>
        <v>0.29040300000000002</v>
      </c>
      <c r="I55">
        <f>INDEX(Table_5._Commercial_Sector_Key_!$F$8:$AG$102,MATCH('Crosswalk AEO to EPS Summary'!$A55,Table_5._Commercial_Sector_Key_!$B$8:$B$102,0),MATCH(I$1,Table_5._Commercial_Sector_Key_!$F$5:$AG$5,0))</f>
        <v>0.29480000000000001</v>
      </c>
      <c r="J55">
        <f>INDEX(Table_5._Commercial_Sector_Key_!$F$8:$AG$102,MATCH('Crosswalk AEO to EPS Summary'!$A55,Table_5._Commercial_Sector_Key_!$B$8:$B$102,0),MATCH(J$1,Table_5._Commercial_Sector_Key_!$F$5:$AG$5,0))</f>
        <v>0.298126</v>
      </c>
      <c r="K55">
        <f>INDEX(Table_5._Commercial_Sector_Key_!$F$8:$AG$102,MATCH('Crosswalk AEO to EPS Summary'!$A55,Table_5._Commercial_Sector_Key_!$B$8:$B$102,0),MATCH(K$1,Table_5._Commercial_Sector_Key_!$F$5:$AG$5,0))</f>
        <v>0.30099399999999998</v>
      </c>
      <c r="L55">
        <f>INDEX(Table_5._Commercial_Sector_Key_!$F$8:$AG$102,MATCH('Crosswalk AEO to EPS Summary'!$A55,Table_5._Commercial_Sector_Key_!$B$8:$B$102,0),MATCH(L$1,Table_5._Commercial_Sector_Key_!$F$5:$AG$5,0))</f>
        <v>0.30336600000000002</v>
      </c>
      <c r="M55">
        <f>INDEX(Table_5._Commercial_Sector_Key_!$F$8:$AG$102,MATCH('Crosswalk AEO to EPS Summary'!$A55,Table_5._Commercial_Sector_Key_!$B$8:$B$102,0),MATCH(M$1,Table_5._Commercial_Sector_Key_!$F$5:$AG$5,0))</f>
        <v>0.30588199999999999</v>
      </c>
      <c r="N55">
        <f>INDEX(Table_5._Commercial_Sector_Key_!$F$8:$AG$102,MATCH('Crosswalk AEO to EPS Summary'!$A55,Table_5._Commercial_Sector_Key_!$B$8:$B$102,0),MATCH(N$1,Table_5._Commercial_Sector_Key_!$F$5:$AG$5,0))</f>
        <v>0.30764999999999998</v>
      </c>
      <c r="O55">
        <f>INDEX(Table_5._Commercial_Sector_Key_!$F$8:$AG$102,MATCH('Crosswalk AEO to EPS Summary'!$A55,Table_5._Commercial_Sector_Key_!$B$8:$B$102,0),MATCH(O$1,Table_5._Commercial_Sector_Key_!$F$5:$AG$5,0))</f>
        <v>0.30927300000000002</v>
      </c>
      <c r="P55">
        <f>INDEX(Table_5._Commercial_Sector_Key_!$F$8:$AG$102,MATCH('Crosswalk AEO to EPS Summary'!$A55,Table_5._Commercial_Sector_Key_!$B$8:$B$102,0),MATCH(P$1,Table_5._Commercial_Sector_Key_!$F$5:$AG$5,0))</f>
        <v>0.31131399999999998</v>
      </c>
      <c r="Q55">
        <f>INDEX(Table_5._Commercial_Sector_Key_!$F$8:$AG$102,MATCH('Crosswalk AEO to EPS Summary'!$A55,Table_5._Commercial_Sector_Key_!$B$8:$B$102,0),MATCH(Q$1,Table_5._Commercial_Sector_Key_!$F$5:$AG$5,0))</f>
        <v>0.31416300000000003</v>
      </c>
      <c r="R55">
        <f>INDEX(Table_5._Commercial_Sector_Key_!$F$8:$AG$102,MATCH('Crosswalk AEO to EPS Summary'!$A55,Table_5._Commercial_Sector_Key_!$B$8:$B$102,0),MATCH(R$1,Table_5._Commercial_Sector_Key_!$F$5:$AG$5,0))</f>
        <v>0.31787399999999999</v>
      </c>
      <c r="S55">
        <f>INDEX(Table_5._Commercial_Sector_Key_!$F$8:$AG$102,MATCH('Crosswalk AEO to EPS Summary'!$A55,Table_5._Commercial_Sector_Key_!$B$8:$B$102,0),MATCH(S$1,Table_5._Commercial_Sector_Key_!$F$5:$AG$5,0))</f>
        <v>0.32206499999999999</v>
      </c>
      <c r="T55">
        <f>INDEX(Table_5._Commercial_Sector_Key_!$F$8:$AG$102,MATCH('Crosswalk AEO to EPS Summary'!$A55,Table_5._Commercial_Sector_Key_!$B$8:$B$102,0),MATCH(T$1,Table_5._Commercial_Sector_Key_!$F$5:$AG$5,0))</f>
        <v>0.32638899999999998</v>
      </c>
      <c r="U55">
        <f>INDEX(Table_5._Commercial_Sector_Key_!$F$8:$AG$102,MATCH('Crosswalk AEO to EPS Summary'!$A55,Table_5._Commercial_Sector_Key_!$B$8:$B$102,0),MATCH(U$1,Table_5._Commercial_Sector_Key_!$F$5:$AG$5,0))</f>
        <v>0.33093800000000001</v>
      </c>
      <c r="V55">
        <f>INDEX(Table_5._Commercial_Sector_Key_!$F$8:$AG$102,MATCH('Crosswalk AEO to EPS Summary'!$A55,Table_5._Commercial_Sector_Key_!$B$8:$B$102,0),MATCH(V$1,Table_5._Commercial_Sector_Key_!$F$5:$AG$5,0))</f>
        <v>0.33519700000000002</v>
      </c>
      <c r="W55">
        <f>INDEX(Table_5._Commercial_Sector_Key_!$F$8:$AG$102,MATCH('Crosswalk AEO to EPS Summary'!$A55,Table_5._Commercial_Sector_Key_!$B$8:$B$102,0),MATCH(W$1,Table_5._Commercial_Sector_Key_!$F$5:$AG$5,0))</f>
        <v>0.339036</v>
      </c>
      <c r="X55">
        <f>INDEX(Table_5._Commercial_Sector_Key_!$F$8:$AG$102,MATCH('Crosswalk AEO to EPS Summary'!$A55,Table_5._Commercial_Sector_Key_!$B$8:$B$102,0),MATCH(X$1,Table_5._Commercial_Sector_Key_!$F$5:$AG$5,0))</f>
        <v>0.34259200000000001</v>
      </c>
      <c r="Y55">
        <f>INDEX(Table_5._Commercial_Sector_Key_!$F$8:$AG$102,MATCH('Crosswalk AEO to EPS Summary'!$A55,Table_5._Commercial_Sector_Key_!$B$8:$B$102,0),MATCH(Y$1,Table_5._Commercial_Sector_Key_!$F$5:$AG$5,0))</f>
        <v>0.34600599999999998</v>
      </c>
      <c r="Z55">
        <f>INDEX(Table_5._Commercial_Sector_Key_!$F$8:$AG$102,MATCH('Crosswalk AEO to EPS Summary'!$A55,Table_5._Commercial_Sector_Key_!$B$8:$B$102,0),MATCH(Z$1,Table_5._Commercial_Sector_Key_!$F$5:$AG$5,0))</f>
        <v>0.349657</v>
      </c>
      <c r="AA55">
        <f>INDEX(Table_5._Commercial_Sector_Key_!$F$8:$AG$102,MATCH('Crosswalk AEO to EPS Summary'!$A55,Table_5._Commercial_Sector_Key_!$B$8:$B$102,0),MATCH(AA$1,Table_5._Commercial_Sector_Key_!$F$5:$AG$5,0))</f>
        <v>0.35336099999999998</v>
      </c>
      <c r="AB55">
        <f>INDEX(Table_5._Commercial_Sector_Key_!$F$8:$AG$102,MATCH('Crosswalk AEO to EPS Summary'!$A55,Table_5._Commercial_Sector_Key_!$B$8:$B$102,0),MATCH(AB$1,Table_5._Commercial_Sector_Key_!$F$5:$AG$5,0))</f>
        <v>0.35683900000000002</v>
      </c>
      <c r="AC55">
        <f>INDEX(Table_5._Commercial_Sector_Key_!$F$8:$AG$102,MATCH('Crosswalk AEO to EPS Summary'!$A55,Table_5._Commercial_Sector_Key_!$B$8:$B$102,0),MATCH(AC$1,Table_5._Commercial_Sector_Key_!$F$5:$AG$5,0))</f>
        <v>0.36054700000000001</v>
      </c>
      <c r="AD55">
        <f>INDEX(Table_5._Commercial_Sector_Key_!$F$8:$AG$102,MATCH('Crosswalk AEO to EPS Summary'!$A55,Table_5._Commercial_Sector_Key_!$B$8:$B$102,0),MATCH(AD$1,Table_5._Commercial_Sector_Key_!$F$5:$AG$5,0))</f>
        <v>0.36444399999999999</v>
      </c>
      <c r="AE55">
        <f>INDEX(Table_5._Commercial_Sector_Key_!$F$8:$AG$102,MATCH('Crosswalk AEO to EPS Summary'!$A55,Table_5._Commercial_Sector_Key_!$B$8:$B$102,0),MATCH(AE$1,Table_5._Commercial_Sector_Key_!$F$5:$AG$5,0))</f>
        <v>0.36819400000000002</v>
      </c>
      <c r="AF55">
        <f>INDEX(Table_5._Commercial_Sector_Key_!$F$8:$AG$102,MATCH('Crosswalk AEO to EPS Summary'!$A55,Table_5._Commercial_Sector_Key_!$B$8:$B$102,0),MATCH(AF$1,Table_5._Commercial_Sector_Key_!$F$5:$AG$5,0))</f>
        <v>0.37181199999999998</v>
      </c>
    </row>
    <row r="56" spans="1:32" x14ac:dyDescent="0.25">
      <c r="A56" t="s">
        <v>672</v>
      </c>
      <c r="B56" t="str">
        <f t="shared" si="0"/>
        <v>commercial-appliances-natural gas (BTU)</v>
      </c>
      <c r="C56" t="s">
        <v>737</v>
      </c>
      <c r="D56" s="93" t="s">
        <v>732</v>
      </c>
      <c r="E56" s="1" t="s">
        <v>13</v>
      </c>
      <c r="F56" s="75">
        <f>INDEX(Table_5._Commercial_Sector_Key_!$F$8:$AG$102,MATCH('Crosswalk AEO to EPS Summary'!$A56,Table_5._Commercial_Sector_Key_!$B$8:$B$102,0),MATCH(F$1,Table_5._Commercial_Sector_Key_!$F$5:$AG$5,0))</f>
        <v>0.40088299999999999</v>
      </c>
      <c r="G56">
        <f>INDEX(Table_5._Commercial_Sector_Key_!$F$8:$AG$102,MATCH('Crosswalk AEO to EPS Summary'!$A56,Table_5._Commercial_Sector_Key_!$B$8:$B$102,0),MATCH(G$1,Table_5._Commercial_Sector_Key_!$F$5:$AG$5,0))</f>
        <v>0.41821599999999998</v>
      </c>
      <c r="H56">
        <f>INDEX(Table_5._Commercial_Sector_Key_!$F$8:$AG$102,MATCH('Crosswalk AEO to EPS Summary'!$A56,Table_5._Commercial_Sector_Key_!$B$8:$B$102,0),MATCH(H$1,Table_5._Commercial_Sector_Key_!$F$5:$AG$5,0))</f>
        <v>0.42776700000000001</v>
      </c>
      <c r="I56">
        <f>INDEX(Table_5._Commercial_Sector_Key_!$F$8:$AG$102,MATCH('Crosswalk AEO to EPS Summary'!$A56,Table_5._Commercial_Sector_Key_!$B$8:$B$102,0),MATCH(I$1,Table_5._Commercial_Sector_Key_!$F$5:$AG$5,0))</f>
        <v>0.434062</v>
      </c>
      <c r="J56">
        <f>INDEX(Table_5._Commercial_Sector_Key_!$F$8:$AG$102,MATCH('Crosswalk AEO to EPS Summary'!$A56,Table_5._Commercial_Sector_Key_!$B$8:$B$102,0),MATCH(J$1,Table_5._Commercial_Sector_Key_!$F$5:$AG$5,0))</f>
        <v>0.43857400000000002</v>
      </c>
      <c r="K56">
        <f>INDEX(Table_5._Commercial_Sector_Key_!$F$8:$AG$102,MATCH('Crosswalk AEO to EPS Summary'!$A56,Table_5._Commercial_Sector_Key_!$B$8:$B$102,0),MATCH(K$1,Table_5._Commercial_Sector_Key_!$F$5:$AG$5,0))</f>
        <v>0.44231199999999998</v>
      </c>
      <c r="L56">
        <f>INDEX(Table_5._Commercial_Sector_Key_!$F$8:$AG$102,MATCH('Crosswalk AEO to EPS Summary'!$A56,Table_5._Commercial_Sector_Key_!$B$8:$B$102,0),MATCH(L$1,Table_5._Commercial_Sector_Key_!$F$5:$AG$5,0))</f>
        <v>0.445268</v>
      </c>
      <c r="M56">
        <f>INDEX(Table_5._Commercial_Sector_Key_!$F$8:$AG$102,MATCH('Crosswalk AEO to EPS Summary'!$A56,Table_5._Commercial_Sector_Key_!$B$8:$B$102,0),MATCH(M$1,Table_5._Commercial_Sector_Key_!$F$5:$AG$5,0))</f>
        <v>0.44863399999999998</v>
      </c>
      <c r="N56">
        <f>INDEX(Table_5._Commercial_Sector_Key_!$F$8:$AG$102,MATCH('Crosswalk AEO to EPS Summary'!$A56,Table_5._Commercial_Sector_Key_!$B$8:$B$102,0),MATCH(N$1,Table_5._Commercial_Sector_Key_!$F$5:$AG$5,0))</f>
        <v>0.45101799999999997</v>
      </c>
      <c r="O56">
        <f>INDEX(Table_5._Commercial_Sector_Key_!$F$8:$AG$102,MATCH('Crosswalk AEO to EPS Summary'!$A56,Table_5._Commercial_Sector_Key_!$B$8:$B$102,0),MATCH(O$1,Table_5._Commercial_Sector_Key_!$F$5:$AG$5,0))</f>
        <v>0.45321099999999997</v>
      </c>
      <c r="P56">
        <f>INDEX(Table_5._Commercial_Sector_Key_!$F$8:$AG$102,MATCH('Crosswalk AEO to EPS Summary'!$A56,Table_5._Commercial_Sector_Key_!$B$8:$B$102,0),MATCH(P$1,Table_5._Commercial_Sector_Key_!$F$5:$AG$5,0))</f>
        <v>0.45596700000000001</v>
      </c>
      <c r="Q56">
        <f>INDEX(Table_5._Commercial_Sector_Key_!$F$8:$AG$102,MATCH('Crosswalk AEO to EPS Summary'!$A56,Table_5._Commercial_Sector_Key_!$B$8:$B$102,0),MATCH(Q$1,Table_5._Commercial_Sector_Key_!$F$5:$AG$5,0))</f>
        <v>0.459839</v>
      </c>
      <c r="R56">
        <f>INDEX(Table_5._Commercial_Sector_Key_!$F$8:$AG$102,MATCH('Crosswalk AEO to EPS Summary'!$A56,Table_5._Commercial_Sector_Key_!$B$8:$B$102,0),MATCH(R$1,Table_5._Commercial_Sector_Key_!$F$5:$AG$5,0))</f>
        <v>0.464891</v>
      </c>
      <c r="S56">
        <f>INDEX(Table_5._Commercial_Sector_Key_!$F$8:$AG$102,MATCH('Crosswalk AEO to EPS Summary'!$A56,Table_5._Commercial_Sector_Key_!$B$8:$B$102,0),MATCH(S$1,Table_5._Commercial_Sector_Key_!$F$5:$AG$5,0))</f>
        <v>0.47057500000000002</v>
      </c>
      <c r="T56">
        <f>INDEX(Table_5._Commercial_Sector_Key_!$F$8:$AG$102,MATCH('Crosswalk AEO to EPS Summary'!$A56,Table_5._Commercial_Sector_Key_!$B$8:$B$102,0),MATCH(T$1,Table_5._Commercial_Sector_Key_!$F$5:$AG$5,0))</f>
        <v>0.47639700000000001</v>
      </c>
      <c r="U56">
        <f>INDEX(Table_5._Commercial_Sector_Key_!$F$8:$AG$102,MATCH('Crosswalk AEO to EPS Summary'!$A56,Table_5._Commercial_Sector_Key_!$B$8:$B$102,0),MATCH(U$1,Table_5._Commercial_Sector_Key_!$F$5:$AG$5,0))</f>
        <v>0.48247699999999999</v>
      </c>
      <c r="V56">
        <f>INDEX(Table_5._Commercial_Sector_Key_!$F$8:$AG$102,MATCH('Crosswalk AEO to EPS Summary'!$A56,Table_5._Commercial_Sector_Key_!$B$8:$B$102,0),MATCH(V$1,Table_5._Commercial_Sector_Key_!$F$5:$AG$5,0))</f>
        <v>0.48808499999999999</v>
      </c>
      <c r="W56">
        <f>INDEX(Table_5._Commercial_Sector_Key_!$F$8:$AG$102,MATCH('Crosswalk AEO to EPS Summary'!$A56,Table_5._Commercial_Sector_Key_!$B$8:$B$102,0),MATCH(W$1,Table_5._Commercial_Sector_Key_!$F$5:$AG$5,0))</f>
        <v>0.49318099999999998</v>
      </c>
      <c r="X56">
        <f>INDEX(Table_5._Commercial_Sector_Key_!$F$8:$AG$102,MATCH('Crosswalk AEO to EPS Summary'!$A56,Table_5._Commercial_Sector_Key_!$B$8:$B$102,0),MATCH(X$1,Table_5._Commercial_Sector_Key_!$F$5:$AG$5,0))</f>
        <v>0.497859</v>
      </c>
      <c r="Y56">
        <f>INDEX(Table_5._Commercial_Sector_Key_!$F$8:$AG$102,MATCH('Crosswalk AEO to EPS Summary'!$A56,Table_5._Commercial_Sector_Key_!$B$8:$B$102,0),MATCH(Y$1,Table_5._Commercial_Sector_Key_!$F$5:$AG$5,0))</f>
        <v>0.50232699999999997</v>
      </c>
      <c r="Z56">
        <f>INDEX(Table_5._Commercial_Sector_Key_!$F$8:$AG$102,MATCH('Crosswalk AEO to EPS Summary'!$A56,Table_5._Commercial_Sector_Key_!$B$8:$B$102,0),MATCH(Z$1,Table_5._Commercial_Sector_Key_!$F$5:$AG$5,0))</f>
        <v>0.50709199999999999</v>
      </c>
      <c r="AA56">
        <f>INDEX(Table_5._Commercial_Sector_Key_!$F$8:$AG$102,MATCH('Crosswalk AEO to EPS Summary'!$A56,Table_5._Commercial_Sector_Key_!$B$8:$B$102,0),MATCH(AA$1,Table_5._Commercial_Sector_Key_!$F$5:$AG$5,0))</f>
        <v>0.51191200000000003</v>
      </c>
      <c r="AB56">
        <f>INDEX(Table_5._Commercial_Sector_Key_!$F$8:$AG$102,MATCH('Crosswalk AEO to EPS Summary'!$A56,Table_5._Commercial_Sector_Key_!$B$8:$B$102,0),MATCH(AB$1,Table_5._Commercial_Sector_Key_!$F$5:$AG$5,0))</f>
        <v>0.51639800000000002</v>
      </c>
      <c r="AC56">
        <f>INDEX(Table_5._Commercial_Sector_Key_!$F$8:$AG$102,MATCH('Crosswalk AEO to EPS Summary'!$A56,Table_5._Commercial_Sector_Key_!$B$8:$B$102,0),MATCH(AC$1,Table_5._Commercial_Sector_Key_!$F$5:$AG$5,0))</f>
        <v>0.52119199999999999</v>
      </c>
      <c r="AD56">
        <f>INDEX(Table_5._Commercial_Sector_Key_!$F$8:$AG$102,MATCH('Crosswalk AEO to EPS Summary'!$A56,Table_5._Commercial_Sector_Key_!$B$8:$B$102,0),MATCH(AD$1,Table_5._Commercial_Sector_Key_!$F$5:$AG$5,0))</f>
        <v>0.52622199999999997</v>
      </c>
      <c r="AE56">
        <f>INDEX(Table_5._Commercial_Sector_Key_!$F$8:$AG$102,MATCH('Crosswalk AEO to EPS Summary'!$A56,Table_5._Commercial_Sector_Key_!$B$8:$B$102,0),MATCH(AE$1,Table_5._Commercial_Sector_Key_!$F$5:$AG$5,0))</f>
        <v>0.53102199999999999</v>
      </c>
      <c r="AF56">
        <f>INDEX(Table_5._Commercial_Sector_Key_!$F$8:$AG$102,MATCH('Crosswalk AEO to EPS Summary'!$A56,Table_5._Commercial_Sector_Key_!$B$8:$B$102,0),MATCH(AF$1,Table_5._Commercial_Sector_Key_!$F$5:$AG$5,0))</f>
        <v>0.53561800000000004</v>
      </c>
    </row>
    <row r="57" spans="1:32" x14ac:dyDescent="0.25">
      <c r="A57" t="s">
        <v>670</v>
      </c>
      <c r="B57" t="str">
        <f t="shared" si="0"/>
        <v>commercial-other-natural gas (BTU)</v>
      </c>
      <c r="C57" t="s">
        <v>737</v>
      </c>
      <c r="D57" s="93" t="s">
        <v>734</v>
      </c>
      <c r="E57" s="1" t="s">
        <v>13</v>
      </c>
      <c r="F57" s="75">
        <f>INDEX(Table_5._Commercial_Sector_Key_!$F$8:$AG$102,MATCH('Crosswalk AEO to EPS Summary'!$A57,Table_5._Commercial_Sector_Key_!$B$8:$B$102,0),MATCH(F$1,Table_5._Commercial_Sector_Key_!$F$5:$AG$5,0))</f>
        <v>1.200143</v>
      </c>
      <c r="G57">
        <f>INDEX(Table_5._Commercial_Sector_Key_!$F$8:$AG$102,MATCH('Crosswalk AEO to EPS Summary'!$A57,Table_5._Commercial_Sector_Key_!$B$8:$B$102,0),MATCH(G$1,Table_5._Commercial_Sector_Key_!$F$5:$AG$5,0))</f>
        <v>1.195241</v>
      </c>
      <c r="H57">
        <f>INDEX(Table_5._Commercial_Sector_Key_!$F$8:$AG$102,MATCH('Crosswalk AEO to EPS Summary'!$A57,Table_5._Commercial_Sector_Key_!$B$8:$B$102,0),MATCH(H$1,Table_5._Commercial_Sector_Key_!$F$5:$AG$5,0))</f>
        <v>1.1925410000000001</v>
      </c>
      <c r="I57">
        <f>INDEX(Table_5._Commercial_Sector_Key_!$F$8:$AG$102,MATCH('Crosswalk AEO to EPS Summary'!$A57,Table_5._Commercial_Sector_Key_!$B$8:$B$102,0),MATCH(I$1,Table_5._Commercial_Sector_Key_!$F$5:$AG$5,0))</f>
        <v>1.1845300000000001</v>
      </c>
      <c r="J57">
        <f>INDEX(Table_5._Commercial_Sector_Key_!$F$8:$AG$102,MATCH('Crosswalk AEO to EPS Summary'!$A57,Table_5._Commercial_Sector_Key_!$B$8:$B$102,0),MATCH(J$1,Table_5._Commercial_Sector_Key_!$F$5:$AG$5,0))</f>
        <v>1.1720729999999999</v>
      </c>
      <c r="K57">
        <f>INDEX(Table_5._Commercial_Sector_Key_!$F$8:$AG$102,MATCH('Crosswalk AEO to EPS Summary'!$A57,Table_5._Commercial_Sector_Key_!$B$8:$B$102,0),MATCH(K$1,Table_5._Commercial_Sector_Key_!$F$5:$AG$5,0))</f>
        <v>1.174134</v>
      </c>
      <c r="L57">
        <f>INDEX(Table_5._Commercial_Sector_Key_!$F$8:$AG$102,MATCH('Crosswalk AEO to EPS Summary'!$A57,Table_5._Commercial_Sector_Key_!$B$8:$B$102,0),MATCH(L$1,Table_5._Commercial_Sector_Key_!$F$5:$AG$5,0))</f>
        <v>1.1742140000000001</v>
      </c>
      <c r="M57">
        <f>INDEX(Table_5._Commercial_Sector_Key_!$F$8:$AG$102,MATCH('Crosswalk AEO to EPS Summary'!$A57,Table_5._Commercial_Sector_Key_!$B$8:$B$102,0),MATCH(M$1,Table_5._Commercial_Sector_Key_!$F$5:$AG$5,0))</f>
        <v>1.173943</v>
      </c>
      <c r="N57">
        <f>INDEX(Table_5._Commercial_Sector_Key_!$F$8:$AG$102,MATCH('Crosswalk AEO to EPS Summary'!$A57,Table_5._Commercial_Sector_Key_!$B$8:$B$102,0),MATCH(N$1,Table_5._Commercial_Sector_Key_!$F$5:$AG$5,0))</f>
        <v>1.170539</v>
      </c>
      <c r="O57">
        <f>INDEX(Table_5._Commercial_Sector_Key_!$F$8:$AG$102,MATCH('Crosswalk AEO to EPS Summary'!$A57,Table_5._Commercial_Sector_Key_!$B$8:$B$102,0),MATCH(O$1,Table_5._Commercial_Sector_Key_!$F$5:$AG$5,0))</f>
        <v>1.1664000000000001</v>
      </c>
      <c r="P57">
        <f>INDEX(Table_5._Commercial_Sector_Key_!$F$8:$AG$102,MATCH('Crosswalk AEO to EPS Summary'!$A57,Table_5._Commercial_Sector_Key_!$B$8:$B$102,0),MATCH(P$1,Table_5._Commercial_Sector_Key_!$F$5:$AG$5,0))</f>
        <v>1.1632499999999999</v>
      </c>
      <c r="Q57">
        <f>INDEX(Table_5._Commercial_Sector_Key_!$F$8:$AG$102,MATCH('Crosswalk AEO to EPS Summary'!$A57,Table_5._Commercial_Sector_Key_!$B$8:$B$102,0),MATCH(Q$1,Table_5._Commercial_Sector_Key_!$F$5:$AG$5,0))</f>
        <v>1.1626719999999999</v>
      </c>
      <c r="R57">
        <f>INDEX(Table_5._Commercial_Sector_Key_!$F$8:$AG$102,MATCH('Crosswalk AEO to EPS Summary'!$A57,Table_5._Commercial_Sector_Key_!$B$8:$B$102,0),MATCH(R$1,Table_5._Commercial_Sector_Key_!$F$5:$AG$5,0))</f>
        <v>1.164979</v>
      </c>
      <c r="S57">
        <f>INDEX(Table_5._Commercial_Sector_Key_!$F$8:$AG$102,MATCH('Crosswalk AEO to EPS Summary'!$A57,Table_5._Commercial_Sector_Key_!$B$8:$B$102,0),MATCH(S$1,Table_5._Commercial_Sector_Key_!$F$5:$AG$5,0))</f>
        <v>1.1689799999999999</v>
      </c>
      <c r="T57">
        <f>INDEX(Table_5._Commercial_Sector_Key_!$F$8:$AG$102,MATCH('Crosswalk AEO to EPS Summary'!$A57,Table_5._Commercial_Sector_Key_!$B$8:$B$102,0),MATCH(T$1,Table_5._Commercial_Sector_Key_!$F$5:$AG$5,0))</f>
        <v>1.1736690000000001</v>
      </c>
      <c r="U57">
        <f>INDEX(Table_5._Commercial_Sector_Key_!$F$8:$AG$102,MATCH('Crosswalk AEO to EPS Summary'!$A57,Table_5._Commercial_Sector_Key_!$B$8:$B$102,0),MATCH(U$1,Table_5._Commercial_Sector_Key_!$F$5:$AG$5,0))</f>
        <v>1.1790989999999999</v>
      </c>
      <c r="V57">
        <f>INDEX(Table_5._Commercial_Sector_Key_!$F$8:$AG$102,MATCH('Crosswalk AEO to EPS Summary'!$A57,Table_5._Commercial_Sector_Key_!$B$8:$B$102,0),MATCH(V$1,Table_5._Commercial_Sector_Key_!$F$5:$AG$5,0))</f>
        <v>1.1838280000000001</v>
      </c>
      <c r="W57">
        <f>INDEX(Table_5._Commercial_Sector_Key_!$F$8:$AG$102,MATCH('Crosswalk AEO to EPS Summary'!$A57,Table_5._Commercial_Sector_Key_!$B$8:$B$102,0),MATCH(W$1,Table_5._Commercial_Sector_Key_!$F$5:$AG$5,0))</f>
        <v>1.1866810000000001</v>
      </c>
      <c r="X57">
        <f>INDEX(Table_5._Commercial_Sector_Key_!$F$8:$AG$102,MATCH('Crosswalk AEO to EPS Summary'!$A57,Table_5._Commercial_Sector_Key_!$B$8:$B$102,0),MATCH(X$1,Table_5._Commercial_Sector_Key_!$F$5:$AG$5,0))</f>
        <v>1.1886950000000001</v>
      </c>
      <c r="Y57">
        <f>INDEX(Table_5._Commercial_Sector_Key_!$F$8:$AG$102,MATCH('Crosswalk AEO to EPS Summary'!$A57,Table_5._Commercial_Sector_Key_!$B$8:$B$102,0),MATCH(Y$1,Table_5._Commercial_Sector_Key_!$F$5:$AG$5,0))</f>
        <v>1.1902509999999999</v>
      </c>
      <c r="Z57">
        <f>INDEX(Table_5._Commercial_Sector_Key_!$F$8:$AG$102,MATCH('Crosswalk AEO to EPS Summary'!$A57,Table_5._Commercial_Sector_Key_!$B$8:$B$102,0),MATCH(Z$1,Table_5._Commercial_Sector_Key_!$F$5:$AG$5,0))</f>
        <v>1.192779</v>
      </c>
      <c r="AA57">
        <f>INDEX(Table_5._Commercial_Sector_Key_!$F$8:$AG$102,MATCH('Crosswalk AEO to EPS Summary'!$A57,Table_5._Commercial_Sector_Key_!$B$8:$B$102,0),MATCH(AA$1,Table_5._Commercial_Sector_Key_!$F$5:$AG$5,0))</f>
        <v>1.1953800000000001</v>
      </c>
      <c r="AB57">
        <f>INDEX(Table_5._Commercial_Sector_Key_!$F$8:$AG$102,MATCH('Crosswalk AEO to EPS Summary'!$A57,Table_5._Commercial_Sector_Key_!$B$8:$B$102,0),MATCH(AB$1,Table_5._Commercial_Sector_Key_!$F$5:$AG$5,0))</f>
        <v>1.197174</v>
      </c>
      <c r="AC57">
        <f>INDEX(Table_5._Commercial_Sector_Key_!$F$8:$AG$102,MATCH('Crosswalk AEO to EPS Summary'!$A57,Table_5._Commercial_Sector_Key_!$B$8:$B$102,0),MATCH(AC$1,Table_5._Commercial_Sector_Key_!$F$5:$AG$5,0))</f>
        <v>1.199681</v>
      </c>
      <c r="AD57">
        <f>INDEX(Table_5._Commercial_Sector_Key_!$F$8:$AG$102,MATCH('Crosswalk AEO to EPS Summary'!$A57,Table_5._Commercial_Sector_Key_!$B$8:$B$102,0),MATCH(AD$1,Table_5._Commercial_Sector_Key_!$F$5:$AG$5,0))</f>
        <v>1.2028239999999999</v>
      </c>
      <c r="AE57">
        <f>INDEX(Table_5._Commercial_Sector_Key_!$F$8:$AG$102,MATCH('Crosswalk AEO to EPS Summary'!$A57,Table_5._Commercial_Sector_Key_!$B$8:$B$102,0),MATCH(AE$1,Table_5._Commercial_Sector_Key_!$F$5:$AG$5,0))</f>
        <v>1.2055419999999999</v>
      </c>
      <c r="AF57">
        <f>INDEX(Table_5._Commercial_Sector_Key_!$F$8:$AG$102,MATCH('Crosswalk AEO to EPS Summary'!$A57,Table_5._Commercial_Sector_Key_!$B$8:$B$102,0),MATCH(AF$1,Table_5._Commercial_Sector_Key_!$F$5:$AG$5,0))</f>
        <v>1.207929</v>
      </c>
    </row>
    <row r="58" spans="1:32" x14ac:dyDescent="0.25">
      <c r="A58" t="s">
        <v>668</v>
      </c>
      <c r="B58" t="str">
        <f t="shared" si="0"/>
        <v>commercial-total-natural gas (BTU)</v>
      </c>
      <c r="C58" t="s">
        <v>737</v>
      </c>
      <c r="D58" s="93" t="s">
        <v>735</v>
      </c>
      <c r="E58" s="1" t="s">
        <v>13</v>
      </c>
      <c r="F58" s="75">
        <f>INDEX(Table_5._Commercial_Sector_Key_!$F$8:$AG$102,MATCH('Crosswalk AEO to EPS Summary'!$A58,Table_5._Commercial_Sector_Key_!$B$8:$B$102,0),MATCH(F$1,Table_5._Commercial_Sector_Key_!$F$5:$AG$5,0))</f>
        <v>3.426704</v>
      </c>
      <c r="G58">
        <f>INDEX(Table_5._Commercial_Sector_Key_!$F$8:$AG$102,MATCH('Crosswalk AEO to EPS Summary'!$A58,Table_5._Commercial_Sector_Key_!$B$8:$B$102,0),MATCH(G$1,Table_5._Commercial_Sector_Key_!$F$5:$AG$5,0))</f>
        <v>3.6111780000000002</v>
      </c>
      <c r="H58">
        <f>INDEX(Table_5._Commercial_Sector_Key_!$F$8:$AG$102,MATCH('Crosswalk AEO to EPS Summary'!$A58,Table_5._Commercial_Sector_Key_!$B$8:$B$102,0),MATCH(H$1,Table_5._Commercial_Sector_Key_!$F$5:$AG$5,0))</f>
        <v>3.645448</v>
      </c>
      <c r="I58">
        <f>INDEX(Table_5._Commercial_Sector_Key_!$F$8:$AG$102,MATCH('Crosswalk AEO to EPS Summary'!$A58,Table_5._Commercial_Sector_Key_!$B$8:$B$102,0),MATCH(I$1,Table_5._Commercial_Sector_Key_!$F$5:$AG$5,0))</f>
        <v>3.6524359999999998</v>
      </c>
      <c r="J58">
        <f>INDEX(Table_5._Commercial_Sector_Key_!$F$8:$AG$102,MATCH('Crosswalk AEO to EPS Summary'!$A58,Table_5._Commercial_Sector_Key_!$B$8:$B$102,0),MATCH(J$1,Table_5._Commercial_Sector_Key_!$F$5:$AG$5,0))</f>
        <v>3.6438869999999999</v>
      </c>
      <c r="K58">
        <f>INDEX(Table_5._Commercial_Sector_Key_!$F$8:$AG$102,MATCH('Crosswalk AEO to EPS Summary'!$A58,Table_5._Commercial_Sector_Key_!$B$8:$B$102,0),MATCH(K$1,Table_5._Commercial_Sector_Key_!$F$5:$AG$5,0))</f>
        <v>3.6439720000000002</v>
      </c>
      <c r="L58">
        <f>INDEX(Table_5._Commercial_Sector_Key_!$F$8:$AG$102,MATCH('Crosswalk AEO to EPS Summary'!$A58,Table_5._Commercial_Sector_Key_!$B$8:$B$102,0),MATCH(L$1,Table_5._Commercial_Sector_Key_!$F$5:$AG$5,0))</f>
        <v>3.6367579999999999</v>
      </c>
      <c r="M58">
        <f>INDEX(Table_5._Commercial_Sector_Key_!$F$8:$AG$102,MATCH('Crosswalk AEO to EPS Summary'!$A58,Table_5._Commercial_Sector_Key_!$B$8:$B$102,0),MATCH(M$1,Table_5._Commercial_Sector_Key_!$F$5:$AG$5,0))</f>
        <v>3.632056</v>
      </c>
      <c r="N58">
        <f>INDEX(Table_5._Commercial_Sector_Key_!$F$8:$AG$102,MATCH('Crosswalk AEO to EPS Summary'!$A58,Table_5._Commercial_Sector_Key_!$B$8:$B$102,0),MATCH(N$1,Table_5._Commercial_Sector_Key_!$F$5:$AG$5,0))</f>
        <v>3.6185269999999998</v>
      </c>
      <c r="O58">
        <f>INDEX(Table_5._Commercial_Sector_Key_!$F$8:$AG$102,MATCH('Crosswalk AEO to EPS Summary'!$A58,Table_5._Commercial_Sector_Key_!$B$8:$B$102,0),MATCH(O$1,Table_5._Commercial_Sector_Key_!$F$5:$AG$5,0))</f>
        <v>3.6024530000000001</v>
      </c>
      <c r="P58">
        <f>INDEX(Table_5._Commercial_Sector_Key_!$F$8:$AG$102,MATCH('Crosswalk AEO to EPS Summary'!$A58,Table_5._Commercial_Sector_Key_!$B$8:$B$102,0),MATCH(P$1,Table_5._Commercial_Sector_Key_!$F$5:$AG$5,0))</f>
        <v>3.5903450000000001</v>
      </c>
      <c r="Q58">
        <f>INDEX(Table_5._Commercial_Sector_Key_!$F$8:$AG$102,MATCH('Crosswalk AEO to EPS Summary'!$A58,Table_5._Commercial_Sector_Key_!$B$8:$B$102,0),MATCH(Q$1,Table_5._Commercial_Sector_Key_!$F$5:$AG$5,0))</f>
        <v>3.5876600000000001</v>
      </c>
      <c r="R58">
        <f>INDEX(Table_5._Commercial_Sector_Key_!$F$8:$AG$102,MATCH('Crosswalk AEO to EPS Summary'!$A58,Table_5._Commercial_Sector_Key_!$B$8:$B$102,0),MATCH(R$1,Table_5._Commercial_Sector_Key_!$F$5:$AG$5,0))</f>
        <v>3.5944940000000001</v>
      </c>
      <c r="S58">
        <f>INDEX(Table_5._Commercial_Sector_Key_!$F$8:$AG$102,MATCH('Crosswalk AEO to EPS Summary'!$A58,Table_5._Commercial_Sector_Key_!$B$8:$B$102,0),MATCH(S$1,Table_5._Commercial_Sector_Key_!$F$5:$AG$5,0))</f>
        <v>3.6066060000000002</v>
      </c>
      <c r="T58">
        <f>INDEX(Table_5._Commercial_Sector_Key_!$F$8:$AG$102,MATCH('Crosswalk AEO to EPS Summary'!$A58,Table_5._Commercial_Sector_Key_!$B$8:$B$102,0),MATCH(T$1,Table_5._Commercial_Sector_Key_!$F$5:$AG$5,0))</f>
        <v>3.6202920000000001</v>
      </c>
      <c r="U58">
        <f>INDEX(Table_5._Commercial_Sector_Key_!$F$8:$AG$102,MATCH('Crosswalk AEO to EPS Summary'!$A58,Table_5._Commercial_Sector_Key_!$B$8:$B$102,0),MATCH(U$1,Table_5._Commercial_Sector_Key_!$F$5:$AG$5,0))</f>
        <v>3.6363379999999998</v>
      </c>
      <c r="V58">
        <f>INDEX(Table_5._Commercial_Sector_Key_!$F$8:$AG$102,MATCH('Crosswalk AEO to EPS Summary'!$A58,Table_5._Commercial_Sector_Key_!$B$8:$B$102,0),MATCH(V$1,Table_5._Commercial_Sector_Key_!$F$5:$AG$5,0))</f>
        <v>3.64947</v>
      </c>
      <c r="W58">
        <f>INDEX(Table_5._Commercial_Sector_Key_!$F$8:$AG$102,MATCH('Crosswalk AEO to EPS Summary'!$A58,Table_5._Commercial_Sector_Key_!$B$8:$B$102,0),MATCH(W$1,Table_5._Commercial_Sector_Key_!$F$5:$AG$5,0))</f>
        <v>3.6574110000000002</v>
      </c>
      <c r="X58">
        <f>INDEX(Table_5._Commercial_Sector_Key_!$F$8:$AG$102,MATCH('Crosswalk AEO to EPS Summary'!$A58,Table_5._Commercial_Sector_Key_!$B$8:$B$102,0),MATCH(X$1,Table_5._Commercial_Sector_Key_!$F$5:$AG$5,0))</f>
        <v>3.6625070000000002</v>
      </c>
      <c r="Y58">
        <f>INDEX(Table_5._Commercial_Sector_Key_!$F$8:$AG$102,MATCH('Crosswalk AEO to EPS Summary'!$A58,Table_5._Commercial_Sector_Key_!$B$8:$B$102,0),MATCH(Y$1,Table_5._Commercial_Sector_Key_!$F$5:$AG$5,0))</f>
        <v>3.6661109999999999</v>
      </c>
      <c r="Z58">
        <f>INDEX(Table_5._Commercial_Sector_Key_!$F$8:$AG$102,MATCH('Crosswalk AEO to EPS Summary'!$A58,Table_5._Commercial_Sector_Key_!$B$8:$B$102,0),MATCH(Z$1,Table_5._Commercial_Sector_Key_!$F$5:$AG$5,0))</f>
        <v>3.6724770000000002</v>
      </c>
      <c r="AA58">
        <f>INDEX(Table_5._Commercial_Sector_Key_!$F$8:$AG$102,MATCH('Crosswalk AEO to EPS Summary'!$A58,Table_5._Commercial_Sector_Key_!$B$8:$B$102,0),MATCH(AA$1,Table_5._Commercial_Sector_Key_!$F$5:$AG$5,0))</f>
        <v>3.67936</v>
      </c>
      <c r="AB58">
        <f>INDEX(Table_5._Commercial_Sector_Key_!$F$8:$AG$102,MATCH('Crosswalk AEO to EPS Summary'!$A58,Table_5._Commercial_Sector_Key_!$B$8:$B$102,0),MATCH(AB$1,Table_5._Commercial_Sector_Key_!$F$5:$AG$5,0))</f>
        <v>3.6838069999999998</v>
      </c>
      <c r="AC58">
        <f>INDEX(Table_5._Commercial_Sector_Key_!$F$8:$AG$102,MATCH('Crosswalk AEO to EPS Summary'!$A58,Table_5._Commercial_Sector_Key_!$B$8:$B$102,0),MATCH(AC$1,Table_5._Commercial_Sector_Key_!$F$5:$AG$5,0))</f>
        <v>3.6905290000000002</v>
      </c>
      <c r="AD58">
        <f>INDEX(Table_5._Commercial_Sector_Key_!$F$8:$AG$102,MATCH('Crosswalk AEO to EPS Summary'!$A58,Table_5._Commercial_Sector_Key_!$B$8:$B$102,0),MATCH(AD$1,Table_5._Commercial_Sector_Key_!$F$5:$AG$5,0))</f>
        <v>3.6991930000000002</v>
      </c>
      <c r="AE58">
        <f>INDEX(Table_5._Commercial_Sector_Key_!$F$8:$AG$102,MATCH('Crosswalk AEO to EPS Summary'!$A58,Table_5._Commercial_Sector_Key_!$B$8:$B$102,0),MATCH(AE$1,Table_5._Commercial_Sector_Key_!$F$5:$AG$5,0))</f>
        <v>3.706769</v>
      </c>
      <c r="AF58">
        <f>INDEX(Table_5._Commercial_Sector_Key_!$F$8:$AG$102,MATCH('Crosswalk AEO to EPS Summary'!$A58,Table_5._Commercial_Sector_Key_!$B$8:$B$102,0),MATCH(AF$1,Table_5._Commercial_Sector_Key_!$F$5:$AG$5,0))</f>
        <v>3.7131810000000001</v>
      </c>
    </row>
    <row r="59" spans="1:32" x14ac:dyDescent="0.25">
      <c r="A59" t="s">
        <v>666</v>
      </c>
      <c r="B59" t="str">
        <f t="shared" si="0"/>
        <v>commercial-heating-petroleum diesel (BTU)</v>
      </c>
      <c r="C59" t="s">
        <v>737</v>
      </c>
      <c r="D59" s="93" t="s">
        <v>730</v>
      </c>
      <c r="E59" s="1" t="s">
        <v>14</v>
      </c>
      <c r="F59" s="75">
        <f>INDEX(Table_5._Commercial_Sector_Key_!$F$8:$AG$102,MATCH('Crosswalk AEO to EPS Summary'!$A59,Table_5._Commercial_Sector_Key_!$B$8:$B$102,0),MATCH(F$1,Table_5._Commercial_Sector_Key_!$F$5:$AG$5,0))</f>
        <v>6.9268999999999997E-2</v>
      </c>
      <c r="G59">
        <f>INDEX(Table_5._Commercial_Sector_Key_!$F$8:$AG$102,MATCH('Crosswalk AEO to EPS Summary'!$A59,Table_5._Commercial_Sector_Key_!$B$8:$B$102,0),MATCH(G$1,Table_5._Commercial_Sector_Key_!$F$5:$AG$5,0))</f>
        <v>7.4070999999999998E-2</v>
      </c>
      <c r="H59">
        <f>INDEX(Table_5._Commercial_Sector_Key_!$F$8:$AG$102,MATCH('Crosswalk AEO to EPS Summary'!$A59,Table_5._Commercial_Sector_Key_!$B$8:$B$102,0),MATCH(H$1,Table_5._Commercial_Sector_Key_!$F$5:$AG$5,0))</f>
        <v>7.3986999999999997E-2</v>
      </c>
      <c r="I59">
        <f>INDEX(Table_5._Commercial_Sector_Key_!$F$8:$AG$102,MATCH('Crosswalk AEO to EPS Summary'!$A59,Table_5._Commercial_Sector_Key_!$B$8:$B$102,0),MATCH(I$1,Table_5._Commercial_Sector_Key_!$F$5:$AG$5,0))</f>
        <v>7.3582999999999996E-2</v>
      </c>
      <c r="J59">
        <f>INDEX(Table_5._Commercial_Sector_Key_!$F$8:$AG$102,MATCH('Crosswalk AEO to EPS Summary'!$A59,Table_5._Commercial_Sector_Key_!$B$8:$B$102,0),MATCH(J$1,Table_5._Commercial_Sector_Key_!$F$5:$AG$5,0))</f>
        <v>7.2936000000000001E-2</v>
      </c>
      <c r="K59">
        <f>INDEX(Table_5._Commercial_Sector_Key_!$F$8:$AG$102,MATCH('Crosswalk AEO to EPS Summary'!$A59,Table_5._Commercial_Sector_Key_!$B$8:$B$102,0),MATCH(K$1,Table_5._Commercial_Sector_Key_!$F$5:$AG$5,0))</f>
        <v>7.1974999999999997E-2</v>
      </c>
      <c r="L59">
        <f>INDEX(Table_5._Commercial_Sector_Key_!$F$8:$AG$102,MATCH('Crosswalk AEO to EPS Summary'!$A59,Table_5._Commercial_Sector_Key_!$B$8:$B$102,0),MATCH(L$1,Table_5._Commercial_Sector_Key_!$F$5:$AG$5,0))</f>
        <v>7.0985999999999994E-2</v>
      </c>
      <c r="M59">
        <f>INDEX(Table_5._Commercial_Sector_Key_!$F$8:$AG$102,MATCH('Crosswalk AEO to EPS Summary'!$A59,Table_5._Commercial_Sector_Key_!$B$8:$B$102,0),MATCH(M$1,Table_5._Commercial_Sector_Key_!$F$5:$AG$5,0))</f>
        <v>6.9948999999999997E-2</v>
      </c>
      <c r="N59">
        <f>INDEX(Table_5._Commercial_Sector_Key_!$F$8:$AG$102,MATCH('Crosswalk AEO to EPS Summary'!$A59,Table_5._Commercial_Sector_Key_!$B$8:$B$102,0),MATCH(N$1,Table_5._Commercial_Sector_Key_!$F$5:$AG$5,0))</f>
        <v>6.8907999999999997E-2</v>
      </c>
      <c r="O59">
        <f>INDEX(Table_5._Commercial_Sector_Key_!$F$8:$AG$102,MATCH('Crosswalk AEO to EPS Summary'!$A59,Table_5._Commercial_Sector_Key_!$B$8:$B$102,0),MATCH(O$1,Table_5._Commercial_Sector_Key_!$F$5:$AG$5,0))</f>
        <v>6.7778000000000005E-2</v>
      </c>
      <c r="P59">
        <f>INDEX(Table_5._Commercial_Sector_Key_!$F$8:$AG$102,MATCH('Crosswalk AEO to EPS Summary'!$A59,Table_5._Commercial_Sector_Key_!$B$8:$B$102,0),MATCH(P$1,Table_5._Commercial_Sector_Key_!$F$5:$AG$5,0))</f>
        <v>6.6642000000000007E-2</v>
      </c>
      <c r="Q59">
        <f>INDEX(Table_5._Commercial_Sector_Key_!$F$8:$AG$102,MATCH('Crosswalk AEO to EPS Summary'!$A59,Table_5._Commercial_Sector_Key_!$B$8:$B$102,0),MATCH(Q$1,Table_5._Commercial_Sector_Key_!$F$5:$AG$5,0))</f>
        <v>6.5495999999999999E-2</v>
      </c>
      <c r="R59">
        <f>INDEX(Table_5._Commercial_Sector_Key_!$F$8:$AG$102,MATCH('Crosswalk AEO to EPS Summary'!$A59,Table_5._Commercial_Sector_Key_!$B$8:$B$102,0),MATCH(R$1,Table_5._Commercial_Sector_Key_!$F$5:$AG$5,0))</f>
        <v>6.4415E-2</v>
      </c>
      <c r="S59">
        <f>INDEX(Table_5._Commercial_Sector_Key_!$F$8:$AG$102,MATCH('Crosswalk AEO to EPS Summary'!$A59,Table_5._Commercial_Sector_Key_!$B$8:$B$102,0),MATCH(S$1,Table_5._Commercial_Sector_Key_!$F$5:$AG$5,0))</f>
        <v>6.3297999999999993E-2</v>
      </c>
      <c r="T59">
        <f>INDEX(Table_5._Commercial_Sector_Key_!$F$8:$AG$102,MATCH('Crosswalk AEO to EPS Summary'!$A59,Table_5._Commercial_Sector_Key_!$B$8:$B$102,0),MATCH(T$1,Table_5._Commercial_Sector_Key_!$F$5:$AG$5,0))</f>
        <v>6.2219999999999998E-2</v>
      </c>
      <c r="U59">
        <f>INDEX(Table_5._Commercial_Sector_Key_!$F$8:$AG$102,MATCH('Crosswalk AEO to EPS Summary'!$A59,Table_5._Commercial_Sector_Key_!$B$8:$B$102,0),MATCH(U$1,Table_5._Commercial_Sector_Key_!$F$5:$AG$5,0))</f>
        <v>6.1173999999999999E-2</v>
      </c>
      <c r="V59">
        <f>INDEX(Table_5._Commercial_Sector_Key_!$F$8:$AG$102,MATCH('Crosswalk AEO to EPS Summary'!$A59,Table_5._Commercial_Sector_Key_!$B$8:$B$102,0),MATCH(V$1,Table_5._Commercial_Sector_Key_!$F$5:$AG$5,0))</f>
        <v>6.0118999999999999E-2</v>
      </c>
      <c r="W59">
        <f>INDEX(Table_5._Commercial_Sector_Key_!$F$8:$AG$102,MATCH('Crosswalk AEO to EPS Summary'!$A59,Table_5._Commercial_Sector_Key_!$B$8:$B$102,0),MATCH(W$1,Table_5._Commercial_Sector_Key_!$F$5:$AG$5,0))</f>
        <v>5.9095000000000002E-2</v>
      </c>
      <c r="X59">
        <f>INDEX(Table_5._Commercial_Sector_Key_!$F$8:$AG$102,MATCH('Crosswalk AEO to EPS Summary'!$A59,Table_5._Commercial_Sector_Key_!$B$8:$B$102,0),MATCH(X$1,Table_5._Commercial_Sector_Key_!$F$5:$AG$5,0))</f>
        <v>5.8066E-2</v>
      </c>
      <c r="Y59">
        <f>INDEX(Table_5._Commercial_Sector_Key_!$F$8:$AG$102,MATCH('Crosswalk AEO to EPS Summary'!$A59,Table_5._Commercial_Sector_Key_!$B$8:$B$102,0),MATCH(Y$1,Table_5._Commercial_Sector_Key_!$F$5:$AG$5,0))</f>
        <v>5.7049000000000002E-2</v>
      </c>
      <c r="Z59">
        <f>INDEX(Table_5._Commercial_Sector_Key_!$F$8:$AG$102,MATCH('Crosswalk AEO to EPS Summary'!$A59,Table_5._Commercial_Sector_Key_!$B$8:$B$102,0),MATCH(Z$1,Table_5._Commercial_Sector_Key_!$F$5:$AG$5,0))</f>
        <v>5.5952000000000002E-2</v>
      </c>
      <c r="AA59">
        <f>INDEX(Table_5._Commercial_Sector_Key_!$F$8:$AG$102,MATCH('Crosswalk AEO to EPS Summary'!$A59,Table_5._Commercial_Sector_Key_!$B$8:$B$102,0),MATCH(AA$1,Table_5._Commercial_Sector_Key_!$F$5:$AG$5,0))</f>
        <v>5.5022000000000001E-2</v>
      </c>
      <c r="AB59">
        <f>INDEX(Table_5._Commercial_Sector_Key_!$F$8:$AG$102,MATCH('Crosswalk AEO to EPS Summary'!$A59,Table_5._Commercial_Sector_Key_!$B$8:$B$102,0),MATCH(AB$1,Table_5._Commercial_Sector_Key_!$F$5:$AG$5,0))</f>
        <v>5.4114000000000002E-2</v>
      </c>
      <c r="AC59">
        <f>INDEX(Table_5._Commercial_Sector_Key_!$F$8:$AG$102,MATCH('Crosswalk AEO to EPS Summary'!$A59,Table_5._Commercial_Sector_Key_!$B$8:$B$102,0),MATCH(AC$1,Table_5._Commercial_Sector_Key_!$F$5:$AG$5,0))</f>
        <v>5.3303999999999997E-2</v>
      </c>
      <c r="AD59">
        <f>INDEX(Table_5._Commercial_Sector_Key_!$F$8:$AG$102,MATCH('Crosswalk AEO to EPS Summary'!$A59,Table_5._Commercial_Sector_Key_!$B$8:$B$102,0),MATCH(AD$1,Table_5._Commercial_Sector_Key_!$F$5:$AG$5,0))</f>
        <v>5.2547999999999997E-2</v>
      </c>
      <c r="AE59">
        <f>INDEX(Table_5._Commercial_Sector_Key_!$F$8:$AG$102,MATCH('Crosswalk AEO to EPS Summary'!$A59,Table_5._Commercial_Sector_Key_!$B$8:$B$102,0),MATCH(AE$1,Table_5._Commercial_Sector_Key_!$F$5:$AG$5,0))</f>
        <v>5.1773E-2</v>
      </c>
      <c r="AF59">
        <f>INDEX(Table_5._Commercial_Sector_Key_!$F$8:$AG$102,MATCH('Crosswalk AEO to EPS Summary'!$A59,Table_5._Commercial_Sector_Key_!$B$8:$B$102,0),MATCH(AF$1,Table_5._Commercial_Sector_Key_!$F$5:$AG$5,0))</f>
        <v>5.0965000000000003E-2</v>
      </c>
    </row>
    <row r="60" spans="1:32" x14ac:dyDescent="0.25">
      <c r="A60" t="s">
        <v>664</v>
      </c>
      <c r="B60" t="str">
        <f t="shared" si="0"/>
        <v>commercial-appliances-petroleum diesel (BTU)</v>
      </c>
      <c r="C60" t="s">
        <v>737</v>
      </c>
      <c r="D60" s="93" t="s">
        <v>732</v>
      </c>
      <c r="E60" s="1" t="s">
        <v>14</v>
      </c>
      <c r="F60" s="75">
        <f>INDEX(Table_5._Commercial_Sector_Key_!$F$8:$AG$102,MATCH('Crosswalk AEO to EPS Summary'!$A60,Table_5._Commercial_Sector_Key_!$B$8:$B$102,0),MATCH(F$1,Table_5._Commercial_Sector_Key_!$F$5:$AG$5,0))</f>
        <v>3.7460000000000002E-3</v>
      </c>
      <c r="G60">
        <f>INDEX(Table_5._Commercial_Sector_Key_!$F$8:$AG$102,MATCH('Crosswalk AEO to EPS Summary'!$A60,Table_5._Commercial_Sector_Key_!$B$8:$B$102,0),MATCH(G$1,Table_5._Commercial_Sector_Key_!$F$5:$AG$5,0))</f>
        <v>3.8110000000000002E-3</v>
      </c>
      <c r="H60">
        <f>INDEX(Table_5._Commercial_Sector_Key_!$F$8:$AG$102,MATCH('Crosswalk AEO to EPS Summary'!$A60,Table_5._Commercial_Sector_Key_!$B$8:$B$102,0),MATCH(H$1,Table_5._Commercial_Sector_Key_!$F$5:$AG$5,0))</f>
        <v>3.8279999999999998E-3</v>
      </c>
      <c r="I60">
        <f>INDEX(Table_5._Commercial_Sector_Key_!$F$8:$AG$102,MATCH('Crosswalk AEO to EPS Summary'!$A60,Table_5._Commercial_Sector_Key_!$B$8:$B$102,0),MATCH(I$1,Table_5._Commercial_Sector_Key_!$F$5:$AG$5,0))</f>
        <v>3.833E-3</v>
      </c>
      <c r="J60">
        <f>INDEX(Table_5._Commercial_Sector_Key_!$F$8:$AG$102,MATCH('Crosswalk AEO to EPS Summary'!$A60,Table_5._Commercial_Sector_Key_!$B$8:$B$102,0),MATCH(J$1,Table_5._Commercial_Sector_Key_!$F$5:$AG$5,0))</f>
        <v>3.8289999999999999E-3</v>
      </c>
      <c r="K60">
        <f>INDEX(Table_5._Commercial_Sector_Key_!$F$8:$AG$102,MATCH('Crosswalk AEO to EPS Summary'!$A60,Table_5._Commercial_Sector_Key_!$B$8:$B$102,0),MATCH(K$1,Table_5._Commercial_Sector_Key_!$F$5:$AG$5,0))</f>
        <v>3.8189999999999999E-3</v>
      </c>
      <c r="L60">
        <f>INDEX(Table_5._Commercial_Sector_Key_!$F$8:$AG$102,MATCH('Crosswalk AEO to EPS Summary'!$A60,Table_5._Commercial_Sector_Key_!$B$8:$B$102,0),MATCH(L$1,Table_5._Commercial_Sector_Key_!$F$5:$AG$5,0))</f>
        <v>3.81E-3</v>
      </c>
      <c r="M60">
        <f>INDEX(Table_5._Commercial_Sector_Key_!$F$8:$AG$102,MATCH('Crosswalk AEO to EPS Summary'!$A60,Table_5._Commercial_Sector_Key_!$B$8:$B$102,0),MATCH(M$1,Table_5._Commercial_Sector_Key_!$F$5:$AG$5,0))</f>
        <v>3.7959999999999999E-3</v>
      </c>
      <c r="N60">
        <f>INDEX(Table_5._Commercial_Sector_Key_!$F$8:$AG$102,MATCH('Crosswalk AEO to EPS Summary'!$A60,Table_5._Commercial_Sector_Key_!$B$8:$B$102,0),MATCH(N$1,Table_5._Commercial_Sector_Key_!$F$5:$AG$5,0))</f>
        <v>3.7820000000000002E-3</v>
      </c>
      <c r="O60">
        <f>INDEX(Table_5._Commercial_Sector_Key_!$F$8:$AG$102,MATCH('Crosswalk AEO to EPS Summary'!$A60,Table_5._Commercial_Sector_Key_!$B$8:$B$102,0),MATCH(O$1,Table_5._Commercial_Sector_Key_!$F$5:$AG$5,0))</f>
        <v>3.7650000000000001E-3</v>
      </c>
      <c r="P60">
        <f>INDEX(Table_5._Commercial_Sector_Key_!$F$8:$AG$102,MATCH('Crosswalk AEO to EPS Summary'!$A60,Table_5._Commercial_Sector_Key_!$B$8:$B$102,0),MATCH(P$1,Table_5._Commercial_Sector_Key_!$F$5:$AG$5,0))</f>
        <v>3.7469999999999999E-3</v>
      </c>
      <c r="Q60">
        <f>INDEX(Table_5._Commercial_Sector_Key_!$F$8:$AG$102,MATCH('Crosswalk AEO to EPS Summary'!$A60,Table_5._Commercial_Sector_Key_!$B$8:$B$102,0),MATCH(Q$1,Table_5._Commercial_Sector_Key_!$F$5:$AG$5,0))</f>
        <v>3.7290000000000001E-3</v>
      </c>
      <c r="R60">
        <f>INDEX(Table_5._Commercial_Sector_Key_!$F$8:$AG$102,MATCH('Crosswalk AEO to EPS Summary'!$A60,Table_5._Commercial_Sector_Key_!$B$8:$B$102,0),MATCH(R$1,Table_5._Commercial_Sector_Key_!$F$5:$AG$5,0))</f>
        <v>3.7139999999999999E-3</v>
      </c>
      <c r="S60">
        <f>INDEX(Table_5._Commercial_Sector_Key_!$F$8:$AG$102,MATCH('Crosswalk AEO to EPS Summary'!$A60,Table_5._Commercial_Sector_Key_!$B$8:$B$102,0),MATCH(S$1,Table_5._Commercial_Sector_Key_!$F$5:$AG$5,0))</f>
        <v>3.6970000000000002E-3</v>
      </c>
      <c r="T60">
        <f>INDEX(Table_5._Commercial_Sector_Key_!$F$8:$AG$102,MATCH('Crosswalk AEO to EPS Summary'!$A60,Table_5._Commercial_Sector_Key_!$B$8:$B$102,0),MATCH(T$1,Table_5._Commercial_Sector_Key_!$F$5:$AG$5,0))</f>
        <v>3.6809999999999998E-3</v>
      </c>
      <c r="U60">
        <f>INDEX(Table_5._Commercial_Sector_Key_!$F$8:$AG$102,MATCH('Crosswalk AEO to EPS Summary'!$A60,Table_5._Commercial_Sector_Key_!$B$8:$B$102,0),MATCH(U$1,Table_5._Commercial_Sector_Key_!$F$5:$AG$5,0))</f>
        <v>3.6670000000000001E-3</v>
      </c>
      <c r="V60">
        <f>INDEX(Table_5._Commercial_Sector_Key_!$F$8:$AG$102,MATCH('Crosswalk AEO to EPS Summary'!$A60,Table_5._Commercial_Sector_Key_!$B$8:$B$102,0),MATCH(V$1,Table_5._Commercial_Sector_Key_!$F$5:$AG$5,0))</f>
        <v>3.6519999999999999E-3</v>
      </c>
      <c r="W60">
        <f>INDEX(Table_5._Commercial_Sector_Key_!$F$8:$AG$102,MATCH('Crosswalk AEO to EPS Summary'!$A60,Table_5._Commercial_Sector_Key_!$B$8:$B$102,0),MATCH(W$1,Table_5._Commercial_Sector_Key_!$F$5:$AG$5,0))</f>
        <v>3.637E-3</v>
      </c>
      <c r="X60">
        <f>INDEX(Table_5._Commercial_Sector_Key_!$F$8:$AG$102,MATCH('Crosswalk AEO to EPS Summary'!$A60,Table_5._Commercial_Sector_Key_!$B$8:$B$102,0),MATCH(X$1,Table_5._Commercial_Sector_Key_!$F$5:$AG$5,0))</f>
        <v>3.6210000000000001E-3</v>
      </c>
      <c r="Y60">
        <f>INDEX(Table_5._Commercial_Sector_Key_!$F$8:$AG$102,MATCH('Crosswalk AEO to EPS Summary'!$A60,Table_5._Commercial_Sector_Key_!$B$8:$B$102,0),MATCH(Y$1,Table_5._Commercial_Sector_Key_!$F$5:$AG$5,0))</f>
        <v>3.6059999999999998E-3</v>
      </c>
      <c r="Z60">
        <f>INDEX(Table_5._Commercial_Sector_Key_!$F$8:$AG$102,MATCH('Crosswalk AEO to EPS Summary'!$A60,Table_5._Commercial_Sector_Key_!$B$8:$B$102,0),MATCH(Z$1,Table_5._Commercial_Sector_Key_!$F$5:$AG$5,0))</f>
        <v>3.5839999999999999E-3</v>
      </c>
      <c r="AA60">
        <f>INDEX(Table_5._Commercial_Sector_Key_!$F$8:$AG$102,MATCH('Crosswalk AEO to EPS Summary'!$A60,Table_5._Commercial_Sector_Key_!$B$8:$B$102,0),MATCH(AA$1,Table_5._Commercial_Sector_Key_!$F$5:$AG$5,0))</f>
        <v>3.5720000000000001E-3</v>
      </c>
      <c r="AB60">
        <f>INDEX(Table_5._Commercial_Sector_Key_!$F$8:$AG$102,MATCH('Crosswalk AEO to EPS Summary'!$A60,Table_5._Commercial_Sector_Key_!$B$8:$B$102,0),MATCH(AB$1,Table_5._Commercial_Sector_Key_!$F$5:$AG$5,0))</f>
        <v>3.5609999999999999E-3</v>
      </c>
      <c r="AC60">
        <f>INDEX(Table_5._Commercial_Sector_Key_!$F$8:$AG$102,MATCH('Crosswalk AEO to EPS Summary'!$A60,Table_5._Commercial_Sector_Key_!$B$8:$B$102,0),MATCH(AC$1,Table_5._Commercial_Sector_Key_!$F$5:$AG$5,0))</f>
        <v>3.5560000000000001E-3</v>
      </c>
      <c r="AD60">
        <f>INDEX(Table_5._Commercial_Sector_Key_!$F$8:$AG$102,MATCH('Crosswalk AEO to EPS Summary'!$A60,Table_5._Commercial_Sector_Key_!$B$8:$B$102,0),MATCH(AD$1,Table_5._Commercial_Sector_Key_!$F$5:$AG$5,0))</f>
        <v>3.5530000000000002E-3</v>
      </c>
      <c r="AE60">
        <f>INDEX(Table_5._Commercial_Sector_Key_!$F$8:$AG$102,MATCH('Crosswalk AEO to EPS Summary'!$A60,Table_5._Commercial_Sector_Key_!$B$8:$B$102,0),MATCH(AE$1,Table_5._Commercial_Sector_Key_!$F$5:$AG$5,0))</f>
        <v>3.5479999999999999E-3</v>
      </c>
      <c r="AF60">
        <f>INDEX(Table_5._Commercial_Sector_Key_!$F$8:$AG$102,MATCH('Crosswalk AEO to EPS Summary'!$A60,Table_5._Commercial_Sector_Key_!$B$8:$B$102,0),MATCH(AF$1,Table_5._Commercial_Sector_Key_!$F$5:$AG$5,0))</f>
        <v>3.5400000000000002E-3</v>
      </c>
    </row>
    <row r="61" spans="1:32" x14ac:dyDescent="0.25">
      <c r="A61" t="s">
        <v>662</v>
      </c>
      <c r="B61" t="str">
        <f t="shared" si="0"/>
        <v>commercial-other-petroleum diesel (BTU)</v>
      </c>
      <c r="C61" t="s">
        <v>737</v>
      </c>
      <c r="D61" s="93" t="s">
        <v>734</v>
      </c>
      <c r="E61" s="1" t="s">
        <v>14</v>
      </c>
      <c r="F61" s="75">
        <f>INDEX(Table_5._Commercial_Sector_Key_!$F$8:$AG$102,MATCH('Crosswalk AEO to EPS Summary'!$A61,Table_5._Commercial_Sector_Key_!$B$8:$B$102,0),MATCH(F$1,Table_5._Commercial_Sector_Key_!$F$5:$AG$5,0))</f>
        <v>0.23526900000000001</v>
      </c>
      <c r="G61">
        <f>INDEX(Table_5._Commercial_Sector_Key_!$F$8:$AG$102,MATCH('Crosswalk AEO to EPS Summary'!$A61,Table_5._Commercial_Sector_Key_!$B$8:$B$102,0),MATCH(G$1,Table_5._Commercial_Sector_Key_!$F$5:$AG$5,0))</f>
        <v>0.238648</v>
      </c>
      <c r="H61">
        <f>INDEX(Table_5._Commercial_Sector_Key_!$F$8:$AG$102,MATCH('Crosswalk AEO to EPS Summary'!$A61,Table_5._Commercial_Sector_Key_!$B$8:$B$102,0),MATCH(H$1,Table_5._Commercial_Sector_Key_!$F$5:$AG$5,0))</f>
        <v>0.24227599999999999</v>
      </c>
      <c r="I61">
        <f>INDEX(Table_5._Commercial_Sector_Key_!$F$8:$AG$102,MATCH('Crosswalk AEO to EPS Summary'!$A61,Table_5._Commercial_Sector_Key_!$B$8:$B$102,0),MATCH(I$1,Table_5._Commercial_Sector_Key_!$F$5:$AG$5,0))</f>
        <v>0.24460699999999999</v>
      </c>
      <c r="J61">
        <f>INDEX(Table_5._Commercial_Sector_Key_!$F$8:$AG$102,MATCH('Crosswalk AEO to EPS Summary'!$A61,Table_5._Commercial_Sector_Key_!$B$8:$B$102,0),MATCH(J$1,Table_5._Commercial_Sector_Key_!$F$5:$AG$5,0))</f>
        <v>0.24604799999999999</v>
      </c>
      <c r="K61">
        <f>INDEX(Table_5._Commercial_Sector_Key_!$F$8:$AG$102,MATCH('Crosswalk AEO to EPS Summary'!$A61,Table_5._Commercial_Sector_Key_!$B$8:$B$102,0),MATCH(K$1,Table_5._Commercial_Sector_Key_!$F$5:$AG$5,0))</f>
        <v>0.24707699999999999</v>
      </c>
      <c r="L61">
        <f>INDEX(Table_5._Commercial_Sector_Key_!$F$8:$AG$102,MATCH('Crosswalk AEO to EPS Summary'!$A61,Table_5._Commercial_Sector_Key_!$B$8:$B$102,0),MATCH(L$1,Table_5._Commercial_Sector_Key_!$F$5:$AG$5,0))</f>
        <v>0.248054</v>
      </c>
      <c r="M61">
        <f>INDEX(Table_5._Commercial_Sector_Key_!$F$8:$AG$102,MATCH('Crosswalk AEO to EPS Summary'!$A61,Table_5._Commercial_Sector_Key_!$B$8:$B$102,0),MATCH(M$1,Table_5._Commercial_Sector_Key_!$F$5:$AG$5,0))</f>
        <v>0.24853700000000001</v>
      </c>
      <c r="N61">
        <f>INDEX(Table_5._Commercial_Sector_Key_!$F$8:$AG$102,MATCH('Crosswalk AEO to EPS Summary'!$A61,Table_5._Commercial_Sector_Key_!$B$8:$B$102,0),MATCH(N$1,Table_5._Commercial_Sector_Key_!$F$5:$AG$5,0))</f>
        <v>0.24897</v>
      </c>
      <c r="O61">
        <f>INDEX(Table_5._Commercial_Sector_Key_!$F$8:$AG$102,MATCH('Crosswalk AEO to EPS Summary'!$A61,Table_5._Commercial_Sector_Key_!$B$8:$B$102,0),MATCH(O$1,Table_5._Commercial_Sector_Key_!$F$5:$AG$5,0))</f>
        <v>0.24893699999999999</v>
      </c>
      <c r="P61">
        <f>INDEX(Table_5._Commercial_Sector_Key_!$F$8:$AG$102,MATCH('Crosswalk AEO to EPS Summary'!$A61,Table_5._Commercial_Sector_Key_!$B$8:$B$102,0),MATCH(P$1,Table_5._Commercial_Sector_Key_!$F$5:$AG$5,0))</f>
        <v>0.24878900000000001</v>
      </c>
      <c r="Q61">
        <f>INDEX(Table_5._Commercial_Sector_Key_!$F$8:$AG$102,MATCH('Crosswalk AEO to EPS Summary'!$A61,Table_5._Commercial_Sector_Key_!$B$8:$B$102,0),MATCH(Q$1,Table_5._Commercial_Sector_Key_!$F$5:$AG$5,0))</f>
        <v>0.24849099999999999</v>
      </c>
      <c r="R61">
        <f>INDEX(Table_5._Commercial_Sector_Key_!$F$8:$AG$102,MATCH('Crosswalk AEO to EPS Summary'!$A61,Table_5._Commercial_Sector_Key_!$B$8:$B$102,0),MATCH(R$1,Table_5._Commercial_Sector_Key_!$F$5:$AG$5,0))</f>
        <v>0.24838299999999999</v>
      </c>
      <c r="S61">
        <f>INDEX(Table_5._Commercial_Sector_Key_!$F$8:$AG$102,MATCH('Crosswalk AEO to EPS Summary'!$A61,Table_5._Commercial_Sector_Key_!$B$8:$B$102,0),MATCH(S$1,Table_5._Commercial_Sector_Key_!$F$5:$AG$5,0))</f>
        <v>0.24807999999999999</v>
      </c>
      <c r="T61">
        <f>INDEX(Table_5._Commercial_Sector_Key_!$F$8:$AG$102,MATCH('Crosswalk AEO to EPS Summary'!$A61,Table_5._Commercial_Sector_Key_!$B$8:$B$102,0),MATCH(T$1,Table_5._Commercial_Sector_Key_!$F$5:$AG$5,0))</f>
        <v>0.24790499999999999</v>
      </c>
      <c r="U61">
        <f>INDEX(Table_5._Commercial_Sector_Key_!$F$8:$AG$102,MATCH('Crosswalk AEO to EPS Summary'!$A61,Table_5._Commercial_Sector_Key_!$B$8:$B$102,0),MATCH(U$1,Table_5._Commercial_Sector_Key_!$F$5:$AG$5,0))</f>
        <v>0.247811</v>
      </c>
      <c r="V61">
        <f>INDEX(Table_5._Commercial_Sector_Key_!$F$8:$AG$102,MATCH('Crosswalk AEO to EPS Summary'!$A61,Table_5._Commercial_Sector_Key_!$B$8:$B$102,0),MATCH(V$1,Table_5._Commercial_Sector_Key_!$F$5:$AG$5,0))</f>
        <v>0.24762500000000001</v>
      </c>
      <c r="W61">
        <f>INDEX(Table_5._Commercial_Sector_Key_!$F$8:$AG$102,MATCH('Crosswalk AEO to EPS Summary'!$A61,Table_5._Commercial_Sector_Key_!$B$8:$B$102,0),MATCH(W$1,Table_5._Commercial_Sector_Key_!$F$5:$AG$5,0))</f>
        <v>0.247337</v>
      </c>
      <c r="X61">
        <f>INDEX(Table_5._Commercial_Sector_Key_!$F$8:$AG$102,MATCH('Crosswalk AEO to EPS Summary'!$A61,Table_5._Commercial_Sector_Key_!$B$8:$B$102,0),MATCH(X$1,Table_5._Commercial_Sector_Key_!$F$5:$AG$5,0))</f>
        <v>0.246923</v>
      </c>
      <c r="Y61">
        <f>INDEX(Table_5._Commercial_Sector_Key_!$F$8:$AG$102,MATCH('Crosswalk AEO to EPS Summary'!$A61,Table_5._Commercial_Sector_Key_!$B$8:$B$102,0),MATCH(Y$1,Table_5._Commercial_Sector_Key_!$F$5:$AG$5,0))</f>
        <v>0.246471</v>
      </c>
      <c r="Z61">
        <f>INDEX(Table_5._Commercial_Sector_Key_!$F$8:$AG$102,MATCH('Crosswalk AEO to EPS Summary'!$A61,Table_5._Commercial_Sector_Key_!$B$8:$B$102,0),MATCH(Z$1,Table_5._Commercial_Sector_Key_!$F$5:$AG$5,0))</f>
        <v>0.24557499999999999</v>
      </c>
      <c r="AA61">
        <f>INDEX(Table_5._Commercial_Sector_Key_!$F$8:$AG$102,MATCH('Crosswalk AEO to EPS Summary'!$A61,Table_5._Commercial_Sector_Key_!$B$8:$B$102,0),MATCH(AA$1,Table_5._Commercial_Sector_Key_!$F$5:$AG$5,0))</f>
        <v>0.245337</v>
      </c>
      <c r="AB61">
        <f>INDEX(Table_5._Commercial_Sector_Key_!$F$8:$AG$102,MATCH('Crosswalk AEO to EPS Summary'!$A61,Table_5._Commercial_Sector_Key_!$B$8:$B$102,0),MATCH(AB$1,Table_5._Commercial_Sector_Key_!$F$5:$AG$5,0))</f>
        <v>0.24513699999999999</v>
      </c>
      <c r="AC61">
        <f>INDEX(Table_5._Commercial_Sector_Key_!$F$8:$AG$102,MATCH('Crosswalk AEO to EPS Summary'!$A61,Table_5._Commercial_Sector_Key_!$B$8:$B$102,0),MATCH(AC$1,Table_5._Commercial_Sector_Key_!$F$5:$AG$5,0))</f>
        <v>0.245284</v>
      </c>
      <c r="AD61">
        <f>INDEX(Table_5._Commercial_Sector_Key_!$F$8:$AG$102,MATCH('Crosswalk AEO to EPS Summary'!$A61,Table_5._Commercial_Sector_Key_!$B$8:$B$102,0),MATCH(AD$1,Table_5._Commercial_Sector_Key_!$F$5:$AG$5,0))</f>
        <v>0.245618</v>
      </c>
      <c r="AE61">
        <f>INDEX(Table_5._Commercial_Sector_Key_!$F$8:$AG$102,MATCH('Crosswalk AEO to EPS Summary'!$A61,Table_5._Commercial_Sector_Key_!$B$8:$B$102,0),MATCH(AE$1,Table_5._Commercial_Sector_Key_!$F$5:$AG$5,0))</f>
        <v>0.24573999999999999</v>
      </c>
      <c r="AF61">
        <f>INDEX(Table_5._Commercial_Sector_Key_!$F$8:$AG$102,MATCH('Crosswalk AEO to EPS Summary'!$A61,Table_5._Commercial_Sector_Key_!$B$8:$B$102,0),MATCH(AF$1,Table_5._Commercial_Sector_Key_!$F$5:$AG$5,0))</f>
        <v>0.24562500000000001</v>
      </c>
    </row>
    <row r="62" spans="1:32" x14ac:dyDescent="0.25">
      <c r="A62" t="s">
        <v>660</v>
      </c>
      <c r="B62" t="str">
        <f t="shared" si="0"/>
        <v>commercial-total-petroleum diesel (BTU)</v>
      </c>
      <c r="C62" t="s">
        <v>737</v>
      </c>
      <c r="D62" s="93" t="s">
        <v>735</v>
      </c>
      <c r="E62" s="1" t="s">
        <v>14</v>
      </c>
      <c r="F62" s="75">
        <f>INDEX(Table_5._Commercial_Sector_Key_!$F$8:$AG$102,MATCH('Crosswalk AEO to EPS Summary'!$A62,Table_5._Commercial_Sector_Key_!$B$8:$B$102,0),MATCH(F$1,Table_5._Commercial_Sector_Key_!$F$5:$AG$5,0))</f>
        <v>0.308284</v>
      </c>
      <c r="G62">
        <f>INDEX(Table_5._Commercial_Sector_Key_!$F$8:$AG$102,MATCH('Crosswalk AEO to EPS Summary'!$A62,Table_5._Commercial_Sector_Key_!$B$8:$B$102,0),MATCH(G$1,Table_5._Commercial_Sector_Key_!$F$5:$AG$5,0))</f>
        <v>0.31653100000000001</v>
      </c>
      <c r="H62">
        <f>INDEX(Table_5._Commercial_Sector_Key_!$F$8:$AG$102,MATCH('Crosswalk AEO to EPS Summary'!$A62,Table_5._Commercial_Sector_Key_!$B$8:$B$102,0),MATCH(H$1,Table_5._Commercial_Sector_Key_!$F$5:$AG$5,0))</f>
        <v>0.32009100000000001</v>
      </c>
      <c r="I62">
        <f>INDEX(Table_5._Commercial_Sector_Key_!$F$8:$AG$102,MATCH('Crosswalk AEO to EPS Summary'!$A62,Table_5._Commercial_Sector_Key_!$B$8:$B$102,0),MATCH(I$1,Table_5._Commercial_Sector_Key_!$F$5:$AG$5,0))</f>
        <v>0.322023</v>
      </c>
      <c r="J62">
        <f>INDEX(Table_5._Commercial_Sector_Key_!$F$8:$AG$102,MATCH('Crosswalk AEO to EPS Summary'!$A62,Table_5._Commercial_Sector_Key_!$B$8:$B$102,0),MATCH(J$1,Table_5._Commercial_Sector_Key_!$F$5:$AG$5,0))</f>
        <v>0.32281300000000002</v>
      </c>
      <c r="K62">
        <f>INDEX(Table_5._Commercial_Sector_Key_!$F$8:$AG$102,MATCH('Crosswalk AEO to EPS Summary'!$A62,Table_5._Commercial_Sector_Key_!$B$8:$B$102,0),MATCH(K$1,Table_5._Commercial_Sector_Key_!$F$5:$AG$5,0))</f>
        <v>0.32287100000000002</v>
      </c>
      <c r="L62">
        <f>INDEX(Table_5._Commercial_Sector_Key_!$F$8:$AG$102,MATCH('Crosswalk AEO to EPS Summary'!$A62,Table_5._Commercial_Sector_Key_!$B$8:$B$102,0),MATCH(L$1,Table_5._Commercial_Sector_Key_!$F$5:$AG$5,0))</f>
        <v>0.32285000000000003</v>
      </c>
      <c r="M62">
        <f>INDEX(Table_5._Commercial_Sector_Key_!$F$8:$AG$102,MATCH('Crosswalk AEO to EPS Summary'!$A62,Table_5._Commercial_Sector_Key_!$B$8:$B$102,0),MATCH(M$1,Table_5._Commercial_Sector_Key_!$F$5:$AG$5,0))</f>
        <v>0.32228200000000001</v>
      </c>
      <c r="N62">
        <f>INDEX(Table_5._Commercial_Sector_Key_!$F$8:$AG$102,MATCH('Crosswalk AEO to EPS Summary'!$A62,Table_5._Commercial_Sector_Key_!$B$8:$B$102,0),MATCH(N$1,Table_5._Commercial_Sector_Key_!$F$5:$AG$5,0))</f>
        <v>0.32166</v>
      </c>
      <c r="O62">
        <f>INDEX(Table_5._Commercial_Sector_Key_!$F$8:$AG$102,MATCH('Crosswalk AEO to EPS Summary'!$A62,Table_5._Commercial_Sector_Key_!$B$8:$B$102,0),MATCH(O$1,Table_5._Commercial_Sector_Key_!$F$5:$AG$5,0))</f>
        <v>0.32047900000000001</v>
      </c>
      <c r="P62">
        <f>INDEX(Table_5._Commercial_Sector_Key_!$F$8:$AG$102,MATCH('Crosswalk AEO to EPS Summary'!$A62,Table_5._Commercial_Sector_Key_!$B$8:$B$102,0),MATCH(P$1,Table_5._Commercial_Sector_Key_!$F$5:$AG$5,0))</f>
        <v>0.31917800000000002</v>
      </c>
      <c r="Q62">
        <f>INDEX(Table_5._Commercial_Sector_Key_!$F$8:$AG$102,MATCH('Crosswalk AEO to EPS Summary'!$A62,Table_5._Commercial_Sector_Key_!$B$8:$B$102,0),MATCH(Q$1,Table_5._Commercial_Sector_Key_!$F$5:$AG$5,0))</f>
        <v>0.317716</v>
      </c>
      <c r="R62">
        <f>INDEX(Table_5._Commercial_Sector_Key_!$F$8:$AG$102,MATCH('Crosswalk AEO to EPS Summary'!$A62,Table_5._Commercial_Sector_Key_!$B$8:$B$102,0),MATCH(R$1,Table_5._Commercial_Sector_Key_!$F$5:$AG$5,0))</f>
        <v>0.31651099999999999</v>
      </c>
      <c r="S62">
        <f>INDEX(Table_5._Commercial_Sector_Key_!$F$8:$AG$102,MATCH('Crosswalk AEO to EPS Summary'!$A62,Table_5._Commercial_Sector_Key_!$B$8:$B$102,0),MATCH(S$1,Table_5._Commercial_Sector_Key_!$F$5:$AG$5,0))</f>
        <v>0.31507499999999999</v>
      </c>
      <c r="T62">
        <f>INDEX(Table_5._Commercial_Sector_Key_!$F$8:$AG$102,MATCH('Crosswalk AEO to EPS Summary'!$A62,Table_5._Commercial_Sector_Key_!$B$8:$B$102,0),MATCH(T$1,Table_5._Commercial_Sector_Key_!$F$5:$AG$5,0))</f>
        <v>0.313805</v>
      </c>
      <c r="U62">
        <f>INDEX(Table_5._Commercial_Sector_Key_!$F$8:$AG$102,MATCH('Crosswalk AEO to EPS Summary'!$A62,Table_5._Commercial_Sector_Key_!$B$8:$B$102,0),MATCH(U$1,Table_5._Commercial_Sector_Key_!$F$5:$AG$5,0))</f>
        <v>0.31265199999999999</v>
      </c>
      <c r="V62">
        <f>INDEX(Table_5._Commercial_Sector_Key_!$F$8:$AG$102,MATCH('Crosswalk AEO to EPS Summary'!$A62,Table_5._Commercial_Sector_Key_!$B$8:$B$102,0),MATCH(V$1,Table_5._Commercial_Sector_Key_!$F$5:$AG$5,0))</f>
        <v>0.31139600000000001</v>
      </c>
      <c r="W62">
        <f>INDEX(Table_5._Commercial_Sector_Key_!$F$8:$AG$102,MATCH('Crosswalk AEO to EPS Summary'!$A62,Table_5._Commercial_Sector_Key_!$B$8:$B$102,0),MATCH(W$1,Table_5._Commercial_Sector_Key_!$F$5:$AG$5,0))</f>
        <v>0.31006899999999998</v>
      </c>
      <c r="X62">
        <f>INDEX(Table_5._Commercial_Sector_Key_!$F$8:$AG$102,MATCH('Crosswalk AEO to EPS Summary'!$A62,Table_5._Commercial_Sector_Key_!$B$8:$B$102,0),MATCH(X$1,Table_5._Commercial_Sector_Key_!$F$5:$AG$5,0))</f>
        <v>0.30861</v>
      </c>
      <c r="Y62">
        <f>INDEX(Table_5._Commercial_Sector_Key_!$F$8:$AG$102,MATCH('Crosswalk AEO to EPS Summary'!$A62,Table_5._Commercial_Sector_Key_!$B$8:$B$102,0),MATCH(Y$1,Table_5._Commercial_Sector_Key_!$F$5:$AG$5,0))</f>
        <v>0.30712600000000001</v>
      </c>
      <c r="Z62">
        <f>INDEX(Table_5._Commercial_Sector_Key_!$F$8:$AG$102,MATCH('Crosswalk AEO to EPS Summary'!$A62,Table_5._Commercial_Sector_Key_!$B$8:$B$102,0),MATCH(Z$1,Table_5._Commercial_Sector_Key_!$F$5:$AG$5,0))</f>
        <v>0.30511100000000002</v>
      </c>
      <c r="AA62">
        <f>INDEX(Table_5._Commercial_Sector_Key_!$F$8:$AG$102,MATCH('Crosswalk AEO to EPS Summary'!$A62,Table_5._Commercial_Sector_Key_!$B$8:$B$102,0),MATCH(AA$1,Table_5._Commercial_Sector_Key_!$F$5:$AG$5,0))</f>
        <v>0.30393100000000001</v>
      </c>
      <c r="AB62">
        <f>INDEX(Table_5._Commercial_Sector_Key_!$F$8:$AG$102,MATCH('Crosswalk AEO to EPS Summary'!$A62,Table_5._Commercial_Sector_Key_!$B$8:$B$102,0),MATCH(AB$1,Table_5._Commercial_Sector_Key_!$F$5:$AG$5,0))</f>
        <v>0.30281200000000003</v>
      </c>
      <c r="AC62">
        <f>INDEX(Table_5._Commercial_Sector_Key_!$F$8:$AG$102,MATCH('Crosswalk AEO to EPS Summary'!$A62,Table_5._Commercial_Sector_Key_!$B$8:$B$102,0),MATCH(AC$1,Table_5._Commercial_Sector_Key_!$F$5:$AG$5,0))</f>
        <v>0.30214400000000002</v>
      </c>
      <c r="AD62">
        <f>INDEX(Table_5._Commercial_Sector_Key_!$F$8:$AG$102,MATCH('Crosswalk AEO to EPS Summary'!$A62,Table_5._Commercial_Sector_Key_!$B$8:$B$102,0),MATCH(AD$1,Table_5._Commercial_Sector_Key_!$F$5:$AG$5,0))</f>
        <v>0.30171900000000001</v>
      </c>
      <c r="AE62">
        <f>INDEX(Table_5._Commercial_Sector_Key_!$F$8:$AG$102,MATCH('Crosswalk AEO to EPS Summary'!$A62,Table_5._Commercial_Sector_Key_!$B$8:$B$102,0),MATCH(AE$1,Table_5._Commercial_Sector_Key_!$F$5:$AG$5,0))</f>
        <v>0.30105999999999999</v>
      </c>
      <c r="AF62">
        <f>INDEX(Table_5._Commercial_Sector_Key_!$F$8:$AG$102,MATCH('Crosswalk AEO to EPS Summary'!$A62,Table_5._Commercial_Sector_Key_!$B$8:$B$102,0),MATCH(AF$1,Table_5._Commercial_Sector_Key_!$F$5:$AG$5,0))</f>
        <v>0.30013000000000001</v>
      </c>
    </row>
    <row r="63" spans="1:32" x14ac:dyDescent="0.25">
      <c r="A63" t="s">
        <v>657</v>
      </c>
      <c r="B63" t="str">
        <f t="shared" si="0"/>
        <v>commercial-heating-biomass (BTU)</v>
      </c>
      <c r="C63" t="s">
        <v>737</v>
      </c>
      <c r="D63" s="93" t="s">
        <v>730</v>
      </c>
      <c r="E63" s="86" t="s">
        <v>73</v>
      </c>
      <c r="F63" s="75">
        <f>INDEX(Table_5._Commercial_Sector_Key_!$F$8:$AG$102,MATCH('Crosswalk AEO to EPS Summary'!$A63,Table_5._Commercial_Sector_Key_!$B$8:$B$102,0),MATCH(F$1,Table_5._Commercial_Sector_Key_!$F$5:$AG$5,0))</f>
        <v>0.15810399999999999</v>
      </c>
      <c r="G63">
        <f>INDEX(Table_5._Commercial_Sector_Key_!$F$8:$AG$102,MATCH('Crosswalk AEO to EPS Summary'!$A63,Table_5._Commercial_Sector_Key_!$B$8:$B$102,0),MATCH(G$1,Table_5._Commercial_Sector_Key_!$F$5:$AG$5,0))</f>
        <v>0.15810399999999999</v>
      </c>
      <c r="H63">
        <f>INDEX(Table_5._Commercial_Sector_Key_!$F$8:$AG$102,MATCH('Crosswalk AEO to EPS Summary'!$A63,Table_5._Commercial_Sector_Key_!$B$8:$B$102,0),MATCH(H$1,Table_5._Commercial_Sector_Key_!$F$5:$AG$5,0))</f>
        <v>0.15810399999999999</v>
      </c>
      <c r="I63">
        <f>INDEX(Table_5._Commercial_Sector_Key_!$F$8:$AG$102,MATCH('Crosswalk AEO to EPS Summary'!$A63,Table_5._Commercial_Sector_Key_!$B$8:$B$102,0),MATCH(I$1,Table_5._Commercial_Sector_Key_!$F$5:$AG$5,0))</f>
        <v>0.15810399999999999</v>
      </c>
      <c r="J63">
        <f>INDEX(Table_5._Commercial_Sector_Key_!$F$8:$AG$102,MATCH('Crosswalk AEO to EPS Summary'!$A63,Table_5._Commercial_Sector_Key_!$B$8:$B$102,0),MATCH(J$1,Table_5._Commercial_Sector_Key_!$F$5:$AG$5,0))</f>
        <v>0.15810399999999999</v>
      </c>
      <c r="K63">
        <f>INDEX(Table_5._Commercial_Sector_Key_!$F$8:$AG$102,MATCH('Crosswalk AEO to EPS Summary'!$A63,Table_5._Commercial_Sector_Key_!$B$8:$B$102,0),MATCH(K$1,Table_5._Commercial_Sector_Key_!$F$5:$AG$5,0))</f>
        <v>0.15810399999999999</v>
      </c>
      <c r="L63">
        <f>INDEX(Table_5._Commercial_Sector_Key_!$F$8:$AG$102,MATCH('Crosswalk AEO to EPS Summary'!$A63,Table_5._Commercial_Sector_Key_!$B$8:$B$102,0),MATCH(L$1,Table_5._Commercial_Sector_Key_!$F$5:$AG$5,0))</f>
        <v>0.15810399999999999</v>
      </c>
      <c r="M63">
        <f>INDEX(Table_5._Commercial_Sector_Key_!$F$8:$AG$102,MATCH('Crosswalk AEO to EPS Summary'!$A63,Table_5._Commercial_Sector_Key_!$B$8:$B$102,0),MATCH(M$1,Table_5._Commercial_Sector_Key_!$F$5:$AG$5,0))</f>
        <v>0.15810399999999999</v>
      </c>
      <c r="N63">
        <f>INDEX(Table_5._Commercial_Sector_Key_!$F$8:$AG$102,MATCH('Crosswalk AEO to EPS Summary'!$A63,Table_5._Commercial_Sector_Key_!$B$8:$B$102,0),MATCH(N$1,Table_5._Commercial_Sector_Key_!$F$5:$AG$5,0))</f>
        <v>0.15810399999999999</v>
      </c>
      <c r="O63">
        <f>INDEX(Table_5._Commercial_Sector_Key_!$F$8:$AG$102,MATCH('Crosswalk AEO to EPS Summary'!$A63,Table_5._Commercial_Sector_Key_!$B$8:$B$102,0),MATCH(O$1,Table_5._Commercial_Sector_Key_!$F$5:$AG$5,0))</f>
        <v>0.15810399999999999</v>
      </c>
      <c r="P63">
        <f>INDEX(Table_5._Commercial_Sector_Key_!$F$8:$AG$102,MATCH('Crosswalk AEO to EPS Summary'!$A63,Table_5._Commercial_Sector_Key_!$B$8:$B$102,0),MATCH(P$1,Table_5._Commercial_Sector_Key_!$F$5:$AG$5,0))</f>
        <v>0.15810399999999999</v>
      </c>
      <c r="Q63">
        <f>INDEX(Table_5._Commercial_Sector_Key_!$F$8:$AG$102,MATCH('Crosswalk AEO to EPS Summary'!$A63,Table_5._Commercial_Sector_Key_!$B$8:$B$102,0),MATCH(Q$1,Table_5._Commercial_Sector_Key_!$F$5:$AG$5,0))</f>
        <v>0.15810399999999999</v>
      </c>
      <c r="R63">
        <f>INDEX(Table_5._Commercial_Sector_Key_!$F$8:$AG$102,MATCH('Crosswalk AEO to EPS Summary'!$A63,Table_5._Commercial_Sector_Key_!$B$8:$B$102,0),MATCH(R$1,Table_5._Commercial_Sector_Key_!$F$5:$AG$5,0))</f>
        <v>0.15810399999999999</v>
      </c>
      <c r="S63">
        <f>INDEX(Table_5._Commercial_Sector_Key_!$F$8:$AG$102,MATCH('Crosswalk AEO to EPS Summary'!$A63,Table_5._Commercial_Sector_Key_!$B$8:$B$102,0),MATCH(S$1,Table_5._Commercial_Sector_Key_!$F$5:$AG$5,0))</f>
        <v>0.15810399999999999</v>
      </c>
      <c r="T63">
        <f>INDEX(Table_5._Commercial_Sector_Key_!$F$8:$AG$102,MATCH('Crosswalk AEO to EPS Summary'!$A63,Table_5._Commercial_Sector_Key_!$B$8:$B$102,0),MATCH(T$1,Table_5._Commercial_Sector_Key_!$F$5:$AG$5,0))</f>
        <v>0.15810399999999999</v>
      </c>
      <c r="U63">
        <f>INDEX(Table_5._Commercial_Sector_Key_!$F$8:$AG$102,MATCH('Crosswalk AEO to EPS Summary'!$A63,Table_5._Commercial_Sector_Key_!$B$8:$B$102,0),MATCH(U$1,Table_5._Commercial_Sector_Key_!$F$5:$AG$5,0))</f>
        <v>0.15810399999999999</v>
      </c>
      <c r="V63">
        <f>INDEX(Table_5._Commercial_Sector_Key_!$F$8:$AG$102,MATCH('Crosswalk AEO to EPS Summary'!$A63,Table_5._Commercial_Sector_Key_!$B$8:$B$102,0),MATCH(V$1,Table_5._Commercial_Sector_Key_!$F$5:$AG$5,0))</f>
        <v>0.15810399999999999</v>
      </c>
      <c r="W63">
        <f>INDEX(Table_5._Commercial_Sector_Key_!$F$8:$AG$102,MATCH('Crosswalk AEO to EPS Summary'!$A63,Table_5._Commercial_Sector_Key_!$B$8:$B$102,0),MATCH(W$1,Table_5._Commercial_Sector_Key_!$F$5:$AG$5,0))</f>
        <v>0.15810399999999999</v>
      </c>
      <c r="X63">
        <f>INDEX(Table_5._Commercial_Sector_Key_!$F$8:$AG$102,MATCH('Crosswalk AEO to EPS Summary'!$A63,Table_5._Commercial_Sector_Key_!$B$8:$B$102,0),MATCH(X$1,Table_5._Commercial_Sector_Key_!$F$5:$AG$5,0))</f>
        <v>0.15810399999999999</v>
      </c>
      <c r="Y63">
        <f>INDEX(Table_5._Commercial_Sector_Key_!$F$8:$AG$102,MATCH('Crosswalk AEO to EPS Summary'!$A63,Table_5._Commercial_Sector_Key_!$B$8:$B$102,0),MATCH(Y$1,Table_5._Commercial_Sector_Key_!$F$5:$AG$5,0))</f>
        <v>0.15810399999999999</v>
      </c>
      <c r="Z63">
        <f>INDEX(Table_5._Commercial_Sector_Key_!$F$8:$AG$102,MATCH('Crosswalk AEO to EPS Summary'!$A63,Table_5._Commercial_Sector_Key_!$B$8:$B$102,0),MATCH(Z$1,Table_5._Commercial_Sector_Key_!$F$5:$AG$5,0))</f>
        <v>0.15810399999999999</v>
      </c>
      <c r="AA63">
        <f>INDEX(Table_5._Commercial_Sector_Key_!$F$8:$AG$102,MATCH('Crosswalk AEO to EPS Summary'!$A63,Table_5._Commercial_Sector_Key_!$B$8:$B$102,0),MATCH(AA$1,Table_5._Commercial_Sector_Key_!$F$5:$AG$5,0))</f>
        <v>0.15810399999999999</v>
      </c>
      <c r="AB63">
        <f>INDEX(Table_5._Commercial_Sector_Key_!$F$8:$AG$102,MATCH('Crosswalk AEO to EPS Summary'!$A63,Table_5._Commercial_Sector_Key_!$B$8:$B$102,0),MATCH(AB$1,Table_5._Commercial_Sector_Key_!$F$5:$AG$5,0))</f>
        <v>0.15810399999999999</v>
      </c>
      <c r="AC63">
        <f>INDEX(Table_5._Commercial_Sector_Key_!$F$8:$AG$102,MATCH('Crosswalk AEO to EPS Summary'!$A63,Table_5._Commercial_Sector_Key_!$B$8:$B$102,0),MATCH(AC$1,Table_5._Commercial_Sector_Key_!$F$5:$AG$5,0))</f>
        <v>0.15810399999999999</v>
      </c>
      <c r="AD63">
        <f>INDEX(Table_5._Commercial_Sector_Key_!$F$8:$AG$102,MATCH('Crosswalk AEO to EPS Summary'!$A63,Table_5._Commercial_Sector_Key_!$B$8:$B$102,0),MATCH(AD$1,Table_5._Commercial_Sector_Key_!$F$5:$AG$5,0))</f>
        <v>0.15810399999999999</v>
      </c>
      <c r="AE63">
        <f>INDEX(Table_5._Commercial_Sector_Key_!$F$8:$AG$102,MATCH('Crosswalk AEO to EPS Summary'!$A63,Table_5._Commercial_Sector_Key_!$B$8:$B$102,0),MATCH(AE$1,Table_5._Commercial_Sector_Key_!$F$5:$AG$5,0))</f>
        <v>0.15810399999999999</v>
      </c>
      <c r="AF63">
        <f>INDEX(Table_5._Commercial_Sector_Key_!$F$8:$AG$102,MATCH('Crosswalk AEO to EPS Summary'!$A63,Table_5._Commercial_Sector_Key_!$B$8:$B$102,0),MATCH(AF$1,Table_5._Commercial_Sector_Key_!$F$5:$AG$5,0))</f>
        <v>0.15810399999999999</v>
      </c>
    </row>
    <row r="64" spans="1:32" x14ac:dyDescent="0.25">
      <c r="A64" t="s">
        <v>654</v>
      </c>
      <c r="B64" t="str">
        <f t="shared" si="0"/>
        <v>commercial-other-LPG propane or butane (BTU)</v>
      </c>
      <c r="C64" t="s">
        <v>737</v>
      </c>
      <c r="D64" s="93" t="s">
        <v>734</v>
      </c>
      <c r="E64" s="1" t="s">
        <v>172</v>
      </c>
      <c r="F64" s="75">
        <f>INDEX(Table_5._Commercial_Sector_Key_!$F$8:$AG$102,MATCH('Crosswalk AEO to EPS Summary'!$A64,Table_5._Commercial_Sector_Key_!$B$8:$B$102,0),MATCH(F$1,Table_5._Commercial_Sector_Key_!$F$5:$AG$5,0))</f>
        <v>0.65341099999999996</v>
      </c>
      <c r="G64">
        <f>INDEX(Table_5._Commercial_Sector_Key_!$F$8:$AG$102,MATCH('Crosswalk AEO to EPS Summary'!$A64,Table_5._Commercial_Sector_Key_!$B$8:$B$102,0),MATCH(G$1,Table_5._Commercial_Sector_Key_!$F$5:$AG$5,0))</f>
        <v>0.66121399999999997</v>
      </c>
      <c r="H64">
        <f>INDEX(Table_5._Commercial_Sector_Key_!$F$8:$AG$102,MATCH('Crosswalk AEO to EPS Summary'!$A64,Table_5._Commercial_Sector_Key_!$B$8:$B$102,0),MATCH(H$1,Table_5._Commercial_Sector_Key_!$F$5:$AG$5,0))</f>
        <v>0.67782100000000001</v>
      </c>
      <c r="I64">
        <f>INDEX(Table_5._Commercial_Sector_Key_!$F$8:$AG$102,MATCH('Crosswalk AEO to EPS Summary'!$A64,Table_5._Commercial_Sector_Key_!$B$8:$B$102,0),MATCH(I$1,Table_5._Commercial_Sector_Key_!$F$5:$AG$5,0))</f>
        <v>0.69083600000000001</v>
      </c>
      <c r="J64">
        <f>INDEX(Table_5._Commercial_Sector_Key_!$F$8:$AG$102,MATCH('Crosswalk AEO to EPS Summary'!$A64,Table_5._Commercial_Sector_Key_!$B$8:$B$102,0),MATCH(J$1,Table_5._Commercial_Sector_Key_!$F$5:$AG$5,0))</f>
        <v>0.70509100000000002</v>
      </c>
      <c r="K64">
        <f>INDEX(Table_5._Commercial_Sector_Key_!$F$8:$AG$102,MATCH('Crosswalk AEO to EPS Summary'!$A64,Table_5._Commercial_Sector_Key_!$B$8:$B$102,0),MATCH(K$1,Table_5._Commercial_Sector_Key_!$F$5:$AG$5,0))</f>
        <v>0.71650599999999998</v>
      </c>
      <c r="L64">
        <f>INDEX(Table_5._Commercial_Sector_Key_!$F$8:$AG$102,MATCH('Crosswalk AEO to EPS Summary'!$A64,Table_5._Commercial_Sector_Key_!$B$8:$B$102,0),MATCH(L$1,Table_5._Commercial_Sector_Key_!$F$5:$AG$5,0))</f>
        <v>0.72913099999999997</v>
      </c>
      <c r="M64">
        <f>INDEX(Table_5._Commercial_Sector_Key_!$F$8:$AG$102,MATCH('Crosswalk AEO to EPS Summary'!$A64,Table_5._Commercial_Sector_Key_!$B$8:$B$102,0),MATCH(M$1,Table_5._Commercial_Sector_Key_!$F$5:$AG$5,0))</f>
        <v>0.74183500000000002</v>
      </c>
      <c r="N64">
        <f>INDEX(Table_5._Commercial_Sector_Key_!$F$8:$AG$102,MATCH('Crosswalk AEO to EPS Summary'!$A64,Table_5._Commercial_Sector_Key_!$B$8:$B$102,0),MATCH(N$1,Table_5._Commercial_Sector_Key_!$F$5:$AG$5,0))</f>
        <v>0.75490900000000005</v>
      </c>
      <c r="O64">
        <f>INDEX(Table_5._Commercial_Sector_Key_!$F$8:$AG$102,MATCH('Crosswalk AEO to EPS Summary'!$A64,Table_5._Commercial_Sector_Key_!$B$8:$B$102,0),MATCH(O$1,Table_5._Commercial_Sector_Key_!$F$5:$AG$5,0))</f>
        <v>0.76726000000000005</v>
      </c>
      <c r="P64">
        <f>INDEX(Table_5._Commercial_Sector_Key_!$F$8:$AG$102,MATCH('Crosswalk AEO to EPS Summary'!$A64,Table_5._Commercial_Sector_Key_!$B$8:$B$102,0),MATCH(P$1,Table_5._Commercial_Sector_Key_!$F$5:$AG$5,0))</f>
        <v>0.78028799999999998</v>
      </c>
      <c r="Q64">
        <f>INDEX(Table_5._Commercial_Sector_Key_!$F$8:$AG$102,MATCH('Crosswalk AEO to EPS Summary'!$A64,Table_5._Commercial_Sector_Key_!$B$8:$B$102,0),MATCH(Q$1,Table_5._Commercial_Sector_Key_!$F$5:$AG$5,0))</f>
        <v>0.79308000000000001</v>
      </c>
      <c r="R64">
        <f>INDEX(Table_5._Commercial_Sector_Key_!$F$8:$AG$102,MATCH('Crosswalk AEO to EPS Summary'!$A64,Table_5._Commercial_Sector_Key_!$B$8:$B$102,0),MATCH(R$1,Table_5._Commercial_Sector_Key_!$F$5:$AG$5,0))</f>
        <v>0.80521799999999999</v>
      </c>
      <c r="S64">
        <f>INDEX(Table_5._Commercial_Sector_Key_!$F$8:$AG$102,MATCH('Crosswalk AEO to EPS Summary'!$A64,Table_5._Commercial_Sector_Key_!$B$8:$B$102,0),MATCH(S$1,Table_5._Commercial_Sector_Key_!$F$5:$AG$5,0))</f>
        <v>0.81706699999999999</v>
      </c>
      <c r="T64">
        <f>INDEX(Table_5._Commercial_Sector_Key_!$F$8:$AG$102,MATCH('Crosswalk AEO to EPS Summary'!$A64,Table_5._Commercial_Sector_Key_!$B$8:$B$102,0),MATCH(T$1,Table_5._Commercial_Sector_Key_!$F$5:$AG$5,0))</f>
        <v>0.82823100000000005</v>
      </c>
      <c r="U64">
        <f>INDEX(Table_5._Commercial_Sector_Key_!$F$8:$AG$102,MATCH('Crosswalk AEO to EPS Summary'!$A64,Table_5._Commercial_Sector_Key_!$B$8:$B$102,0),MATCH(U$1,Table_5._Commercial_Sector_Key_!$F$5:$AG$5,0))</f>
        <v>0.84001099999999995</v>
      </c>
      <c r="V64">
        <f>INDEX(Table_5._Commercial_Sector_Key_!$F$8:$AG$102,MATCH('Crosswalk AEO to EPS Summary'!$A64,Table_5._Commercial_Sector_Key_!$B$8:$B$102,0),MATCH(V$1,Table_5._Commercial_Sector_Key_!$F$5:$AG$5,0))</f>
        <v>0.85141500000000003</v>
      </c>
      <c r="W64">
        <f>INDEX(Table_5._Commercial_Sector_Key_!$F$8:$AG$102,MATCH('Crosswalk AEO to EPS Summary'!$A64,Table_5._Commercial_Sector_Key_!$B$8:$B$102,0),MATCH(W$1,Table_5._Commercial_Sector_Key_!$F$5:$AG$5,0))</f>
        <v>0.86225399999999996</v>
      </c>
      <c r="X64">
        <f>INDEX(Table_5._Commercial_Sector_Key_!$F$8:$AG$102,MATCH('Crosswalk AEO to EPS Summary'!$A64,Table_5._Commercial_Sector_Key_!$B$8:$B$102,0),MATCH(X$1,Table_5._Commercial_Sector_Key_!$F$5:$AG$5,0))</f>
        <v>0.87324199999999996</v>
      </c>
      <c r="Y64">
        <f>INDEX(Table_5._Commercial_Sector_Key_!$F$8:$AG$102,MATCH('Crosswalk AEO to EPS Summary'!$A64,Table_5._Commercial_Sector_Key_!$B$8:$B$102,0),MATCH(Y$1,Table_5._Commercial_Sector_Key_!$F$5:$AG$5,0))</f>
        <v>0.88399099999999997</v>
      </c>
      <c r="Z64">
        <f>INDEX(Table_5._Commercial_Sector_Key_!$F$8:$AG$102,MATCH('Crosswalk AEO to EPS Summary'!$A64,Table_5._Commercial_Sector_Key_!$B$8:$B$102,0),MATCH(Z$1,Table_5._Commercial_Sector_Key_!$F$5:$AG$5,0))</f>
        <v>0.89465399999999995</v>
      </c>
      <c r="AA64">
        <f>INDEX(Table_5._Commercial_Sector_Key_!$F$8:$AG$102,MATCH('Crosswalk AEO to EPS Summary'!$A64,Table_5._Commercial_Sector_Key_!$B$8:$B$102,0),MATCH(AA$1,Table_5._Commercial_Sector_Key_!$F$5:$AG$5,0))</f>
        <v>0.90558499999999997</v>
      </c>
      <c r="AB64">
        <f>INDEX(Table_5._Commercial_Sector_Key_!$F$8:$AG$102,MATCH('Crosswalk AEO to EPS Summary'!$A64,Table_5._Commercial_Sector_Key_!$B$8:$B$102,0),MATCH(AB$1,Table_5._Commercial_Sector_Key_!$F$5:$AG$5,0))</f>
        <v>0.91630299999999998</v>
      </c>
      <c r="AC64">
        <f>INDEX(Table_5._Commercial_Sector_Key_!$F$8:$AG$102,MATCH('Crosswalk AEO to EPS Summary'!$A64,Table_5._Commercial_Sector_Key_!$B$8:$B$102,0),MATCH(AC$1,Table_5._Commercial_Sector_Key_!$F$5:$AG$5,0))</f>
        <v>0.92738200000000004</v>
      </c>
      <c r="AD64">
        <f>INDEX(Table_5._Commercial_Sector_Key_!$F$8:$AG$102,MATCH('Crosswalk AEO to EPS Summary'!$A64,Table_5._Commercial_Sector_Key_!$B$8:$B$102,0),MATCH(AD$1,Table_5._Commercial_Sector_Key_!$F$5:$AG$5,0))</f>
        <v>0.93854300000000002</v>
      </c>
      <c r="AE64">
        <f>INDEX(Table_5._Commercial_Sector_Key_!$F$8:$AG$102,MATCH('Crosswalk AEO to EPS Summary'!$A64,Table_5._Commercial_Sector_Key_!$B$8:$B$102,0),MATCH(AE$1,Table_5._Commercial_Sector_Key_!$F$5:$AG$5,0))</f>
        <v>0.94976400000000005</v>
      </c>
      <c r="AF64">
        <f>INDEX(Table_5._Commercial_Sector_Key_!$F$8:$AG$102,MATCH('Crosswalk AEO to EPS Summary'!$A64,Table_5._Commercial_Sector_Key_!$B$8:$B$102,0),MATCH(AF$1,Table_5._Commercial_Sector_Key_!$F$5:$AG$5,0))</f>
        <v>0.96071899999999999</v>
      </c>
    </row>
    <row r="65" spans="5:5" x14ac:dyDescent="0.25">
      <c r="E65" s="1"/>
    </row>
    <row r="66" spans="5:5" x14ac:dyDescent="0.25">
      <c r="E66" s="1"/>
    </row>
    <row r="67" spans="5:5" x14ac:dyDescent="0.25">
      <c r="E67" s="1"/>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71641-E18E-48DC-9421-28925E14FC5C}">
  <dimension ref="A1:AF241"/>
  <sheetViews>
    <sheetView zoomScale="80" zoomScaleNormal="80" workbookViewId="0">
      <selection activeCell="I249" sqref="I249"/>
    </sheetView>
  </sheetViews>
  <sheetFormatPr defaultRowHeight="15" x14ac:dyDescent="0.25"/>
  <cols>
    <col min="1" max="1" width="3.28515625" customWidth="1"/>
    <col min="2" max="2" width="56.28515625" style="94" bestFit="1" customWidth="1"/>
    <col min="3" max="4" width="13.85546875" style="94" customWidth="1"/>
    <col min="5" max="5" width="28.85546875" style="94" bestFit="1" customWidth="1"/>
    <col min="6" max="33" width="11.28515625" customWidth="1"/>
  </cols>
  <sheetData>
    <row r="1" spans="1:32" ht="45" x14ac:dyDescent="0.25">
      <c r="B1" s="101" t="s">
        <v>749</v>
      </c>
    </row>
    <row r="2" spans="1:32" ht="18.75" x14ac:dyDescent="0.3">
      <c r="A2" s="10" t="s">
        <v>8</v>
      </c>
    </row>
    <row r="3" spans="1:32" x14ac:dyDescent="0.25">
      <c r="B3" s="1" t="s">
        <v>176</v>
      </c>
    </row>
    <row r="4" spans="1:32" x14ac:dyDescent="0.25">
      <c r="E4" s="94" t="s">
        <v>10</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93" customFormat="1" x14ac:dyDescent="0.25">
      <c r="B5" s="99" t="str">
        <f>C5&amp;"-"&amp;D5&amp;"-"&amp;E5</f>
        <v>residential-heating-electricity (BTU)</v>
      </c>
      <c r="C5" s="95" t="s">
        <v>736</v>
      </c>
      <c r="D5" s="95" t="s">
        <v>730</v>
      </c>
      <c r="E5" s="95" t="s">
        <v>11</v>
      </c>
      <c r="F5" s="93">
        <f>SUMIFS('Crosswalk AEO to EPS Summary'!F:F,'Crosswalk AEO to EPS Summary'!$B:$B,$B5)*Percent_urban*quadrillion</f>
        <v>429356810815186.56</v>
      </c>
      <c r="G5" s="93">
        <f>SUMIFS('Crosswalk AEO to EPS Summary'!G:G,'Crosswalk AEO to EPS Summary'!$B:$B,$B5)*Percent_urban*quadrillion</f>
        <v>473670584311503.25</v>
      </c>
      <c r="H5" s="93">
        <f>SUMIFS('Crosswalk AEO to EPS Summary'!H:H,'Crosswalk AEO to EPS Summary'!$B:$B,$B5)*Percent_urban*quadrillion</f>
        <v>476096007447583.5</v>
      </c>
      <c r="I5" s="93">
        <f>SUMIFS('Crosswalk AEO to EPS Summary'!I:I,'Crosswalk AEO to EPS Summary'!$B:$B,$B5)*Percent_urban*quadrillion</f>
        <v>479058064599692.44</v>
      </c>
      <c r="J5" s="93">
        <f>SUMIFS('Crosswalk AEO to EPS Summary'!J:J,'Crosswalk AEO to EPS Summary'!$B:$B,$B5)*Percent_urban*quadrillion</f>
        <v>479640231198899.06</v>
      </c>
      <c r="K5" s="93">
        <f>SUMIFS('Crosswalk AEO to EPS Summary'!K:K,'Crosswalk AEO to EPS Summary'!$B:$B,$B5)*Percent_urban*quadrillion</f>
        <v>476800949405002.81</v>
      </c>
      <c r="L5" s="93">
        <f>SUMIFS('Crosswalk AEO to EPS Summary'!L:L,'Crosswalk AEO to EPS Summary'!$B:$B,$B5)*Percent_urban*quadrillion</f>
        <v>472035476726301.31</v>
      </c>
      <c r="M5" s="93">
        <f>SUMIFS('Crosswalk AEO to EPS Summary'!M:M,'Crosswalk AEO to EPS Summary'!$B:$B,$B5)*Percent_urban*quadrillion</f>
        <v>466379679430097.88</v>
      </c>
      <c r="N5" s="93">
        <f>SUMIFS('Crosswalk AEO to EPS Summary'!N:N,'Crosswalk AEO to EPS Summary'!$B:$B,$B5)*Percent_urban*quadrillion</f>
        <v>460805190318141.31</v>
      </c>
      <c r="O5" s="93">
        <f>SUMIFS('Crosswalk AEO to EPS Summary'!O:O,'Crosswalk AEO to EPS Summary'!$B:$B,$B5)*Percent_urban*quadrillion</f>
        <v>455916129199384.69</v>
      </c>
      <c r="P5" s="93">
        <f>SUMIFS('Crosswalk AEO to EPS Summary'!P:P,'Crosswalk AEO to EPS Summary'!$B:$B,$B5)*Percent_urban*quadrillion</f>
        <v>450912423540840.19</v>
      </c>
      <c r="Q5" s="93">
        <f>SUMIFS('Crosswalk AEO to EPS Summary'!Q:Q,'Crosswalk AEO to EPS Summary'!$B:$B,$B5)*Percent_urban*quadrillion</f>
        <v>447446255646401.69</v>
      </c>
      <c r="R5" s="93">
        <f>SUMIFS('Crosswalk AEO to EPS Summary'!R:R,'Crosswalk AEO to EPS Summary'!$B:$B,$B5)*Percent_urban*quadrillion</f>
        <v>445289962600178</v>
      </c>
      <c r="S5" s="93">
        <f>SUMIFS('Crosswalk AEO to EPS Summary'!S:S,'Crosswalk AEO to EPS Summary'!$B:$B,$B5)*Percent_urban*quadrillion</f>
        <v>443369463288270</v>
      </c>
      <c r="T5" s="93">
        <f>SUMIFS('Crosswalk AEO to EPS Summary'!T:T,'Crosswalk AEO to EPS Summary'!$B:$B,$B5)*Percent_urban*quadrillion</f>
        <v>440723694972881.06</v>
      </c>
      <c r="U5" s="93">
        <f>SUMIFS('Crosswalk AEO to EPS Summary'!U:U,'Crosswalk AEO to EPS Summary'!$B:$B,$B5)*Percent_urban*quadrillion</f>
        <v>437918562616368.5</v>
      </c>
      <c r="V5" s="93">
        <f>SUMIFS('Crosswalk AEO to EPS Summary'!V:V,'Crosswalk AEO to EPS Summary'!$B:$B,$B5)*Percent_urban*quadrillion</f>
        <v>434959757791629.56</v>
      </c>
      <c r="W5" s="93">
        <f>SUMIFS('Crosswalk AEO to EPS Summary'!W:W,'Crosswalk AEO to EPS Summary'!$B:$B,$B5)*Percent_urban*quadrillion</f>
        <v>431606608273293.88</v>
      </c>
      <c r="X5" s="93">
        <f>SUMIFS('Crosswalk AEO to EPS Summary'!X:X,'Crosswalk AEO to EPS Summary'!$B:$B,$B5)*Percent_urban*quadrillion</f>
        <v>428354280903424.19</v>
      </c>
      <c r="Y5" s="93">
        <f>SUMIFS('Crosswalk AEO to EPS Summary'!Y:Y,'Crosswalk AEO to EPS Summary'!$B:$B,$B5)*Percent_urban*quadrillion</f>
        <v>425133663725410.81</v>
      </c>
      <c r="Z5" s="93">
        <f>SUMIFS('Crosswalk AEO to EPS Summary'!Z:Z,'Crosswalk AEO to EPS Summary'!$B:$B,$B5)*Percent_urban*quadrillion</f>
        <v>421443085242451.25</v>
      </c>
      <c r="AA5" s="93">
        <f>SUMIFS('Crosswalk AEO to EPS Summary'!AA:AA,'Crosswalk AEO to EPS Summary'!$B:$B,$B5)*Percent_urban*quadrillion</f>
        <v>417537853153080.25</v>
      </c>
      <c r="AB5" s="93">
        <f>SUMIFS('Crosswalk AEO to EPS Summary'!AB:AB,'Crosswalk AEO to EPS Summary'!$B:$B,$B5)*Percent_urban*quadrillion</f>
        <v>413328528454626.44</v>
      </c>
      <c r="AC5" s="93">
        <f>SUMIFS('Crosswalk AEO to EPS Summary'!AC:AC,'Crosswalk AEO to EPS Summary'!$B:$B,$B5)*Percent_urban*quadrillion</f>
        <v>408921624868453</v>
      </c>
      <c r="AD5" s="93">
        <f>SUMIFS('Crosswalk AEO to EPS Summary'!AD:AD,'Crosswalk AEO to EPS Summary'!$B:$B,$B5)*Percent_urban*quadrillion</f>
        <v>404429347688820.5</v>
      </c>
      <c r="AE5" s="93">
        <f>SUMIFS('Crosswalk AEO to EPS Summary'!AE:AE,'Crosswalk AEO to EPS Summary'!$B:$B,$B5)*Percent_urban*quadrillion</f>
        <v>400205387517202.25</v>
      </c>
      <c r="AF5" s="93">
        <f>SUMIFS('Crosswalk AEO to EPS Summary'!AF:AF,'Crosswalk AEO to EPS Summary'!$B:$B,$B5)*Percent_urban*quadrillion</f>
        <v>395808240913138.5</v>
      </c>
    </row>
    <row r="6" spans="1:32" s="93" customFormat="1" x14ac:dyDescent="0.25">
      <c r="B6" s="99" t="str">
        <f t="shared" ref="B6:B14" si="0">C6&amp;"-"&amp;D6&amp;"-"&amp;E6</f>
        <v>residential-heating-coal (BTU)</v>
      </c>
      <c r="C6" s="95" t="s">
        <v>736</v>
      </c>
      <c r="D6" s="95" t="s">
        <v>730</v>
      </c>
      <c r="E6" s="95" t="s">
        <v>12</v>
      </c>
      <c r="F6" s="93">
        <v>0</v>
      </c>
      <c r="G6" s="93">
        <v>0</v>
      </c>
      <c r="H6" s="93">
        <v>0</v>
      </c>
      <c r="I6" s="93">
        <v>0</v>
      </c>
      <c r="J6" s="93">
        <v>0</v>
      </c>
      <c r="K6" s="93">
        <v>0</v>
      </c>
      <c r="L6" s="93">
        <v>0</v>
      </c>
      <c r="M6" s="93">
        <v>0</v>
      </c>
      <c r="N6" s="93">
        <v>0</v>
      </c>
      <c r="O6" s="93">
        <v>0</v>
      </c>
      <c r="P6" s="93">
        <v>0</v>
      </c>
      <c r="Q6" s="93">
        <v>0</v>
      </c>
      <c r="R6" s="93">
        <v>0</v>
      </c>
      <c r="S6" s="93">
        <v>0</v>
      </c>
      <c r="T6" s="93">
        <v>0</v>
      </c>
      <c r="U6" s="93">
        <v>0</v>
      </c>
      <c r="V6" s="93">
        <v>0</v>
      </c>
      <c r="W6" s="93">
        <v>0</v>
      </c>
      <c r="X6" s="93">
        <v>0</v>
      </c>
      <c r="Y6" s="93">
        <v>0</v>
      </c>
      <c r="Z6" s="93">
        <v>0</v>
      </c>
      <c r="AA6" s="93">
        <v>0</v>
      </c>
      <c r="AB6" s="93">
        <v>0</v>
      </c>
      <c r="AC6" s="93">
        <v>0</v>
      </c>
      <c r="AD6" s="93">
        <v>0</v>
      </c>
      <c r="AE6" s="93">
        <v>0</v>
      </c>
      <c r="AF6" s="93">
        <v>0</v>
      </c>
    </row>
    <row r="7" spans="1:32" s="93" customFormat="1" x14ac:dyDescent="0.25">
      <c r="B7" s="99" t="str">
        <f t="shared" si="0"/>
        <v>residential-heating-natural gas (BTU)</v>
      </c>
      <c r="C7" s="95" t="s">
        <v>736</v>
      </c>
      <c r="D7" s="95" t="s">
        <v>730</v>
      </c>
      <c r="E7" s="95" t="s">
        <v>13</v>
      </c>
      <c r="F7" s="93">
        <f>SUMIFS('Crosswalk AEO to EPS Summary'!F:F,'Crosswalk AEO to EPS Summary'!$B:$B,$B7)*Percent_urban*quadrillion</f>
        <v>2258669807172347</v>
      </c>
      <c r="G7" s="93">
        <f>SUMIFS('Crosswalk AEO to EPS Summary'!G:G,'Crosswalk AEO to EPS Summary'!$B:$B,$B7)*Percent_urban*quadrillion</f>
        <v>2542214211932324</v>
      </c>
      <c r="H7" s="93">
        <f>SUMIFS('Crosswalk AEO to EPS Summary'!H:H,'Crosswalk AEO to EPS Summary'!$B:$B,$B7)*Percent_urban*quadrillion</f>
        <v>2554381168623006.5</v>
      </c>
      <c r="I7" s="93">
        <f>SUMIFS('Crosswalk AEO to EPS Summary'!I:I,'Crosswalk AEO to EPS Summary'!$B:$B,$B7)*Percent_urban*quadrillion</f>
        <v>2558598624139884.5</v>
      </c>
      <c r="J7" s="93">
        <f>SUMIFS('Crosswalk AEO to EPS Summary'!J:J,'Crosswalk AEO to EPS Summary'!$B:$B,$B7)*Percent_urban*quadrillion</f>
        <v>2555834958957338</v>
      </c>
      <c r="K7" s="93">
        <f>SUMIFS('Crosswalk AEO to EPS Summary'!K:K,'Crosswalk AEO to EPS Summary'!$B:$B,$B7)*Percent_urban*quadrillion</f>
        <v>2542239417469440.5</v>
      </c>
      <c r="L7" s="93">
        <f>SUMIFS('Crosswalk AEO to EPS Summary'!L:L,'Crosswalk AEO to EPS Summary'!$B:$B,$B7)*Percent_urban*quadrillion</f>
        <v>2523084835424593</v>
      </c>
      <c r="M7" s="93">
        <f>SUMIFS('Crosswalk AEO to EPS Summary'!M:M,'Crosswalk AEO to EPS Summary'!$B:$B,$B7)*Percent_urban*quadrillion</f>
        <v>2496073443535983</v>
      </c>
      <c r="N7" s="93">
        <f>SUMIFS('Crosswalk AEO to EPS Summary'!N:N,'Crosswalk AEO to EPS Summary'!$B:$B,$B7)*Percent_urban*quadrillion</f>
        <v>2460488916700396.5</v>
      </c>
      <c r="O7" s="93">
        <f>SUMIFS('Crosswalk AEO to EPS Summary'!O:O,'Crosswalk AEO to EPS Summary'!$B:$B,$B7)*Percent_urban*quadrillion</f>
        <v>2429188518092771</v>
      </c>
      <c r="P7" s="93">
        <f>SUMIFS('Crosswalk AEO to EPS Summary'!P:P,'Crosswalk AEO to EPS Summary'!$B:$B,$B7)*Percent_urban*quadrillion</f>
        <v>2395983068728243.5</v>
      </c>
      <c r="Q7" s="93">
        <f>SUMIFS('Crosswalk AEO to EPS Summary'!Q:Q,'Crosswalk AEO to EPS Summary'!$B:$B,$B7)*Percent_urban*quadrillion</f>
        <v>2367856128551769</v>
      </c>
      <c r="R7" s="93">
        <f>SUMIFS('Crosswalk AEO to EPS Summary'!R:R,'Crosswalk AEO to EPS Summary'!$B:$B,$B7)*Percent_urban*quadrillion</f>
        <v>2344562959928762</v>
      </c>
      <c r="S7" s="93">
        <f>SUMIFS('Crosswalk AEO to EPS Summary'!S:S,'Crosswalk AEO to EPS Summary'!$B:$B,$B7)*Percent_urban*quadrillion</f>
        <v>2324027764915405</v>
      </c>
      <c r="T7" s="93">
        <f>SUMIFS('Crosswalk AEO to EPS Summary'!T:T,'Crosswalk AEO to EPS Summary'!$B:$B,$B7)*Percent_urban*quadrillion</f>
        <v>2304514613778029.5</v>
      </c>
      <c r="U7" s="93">
        <f>SUMIFS('Crosswalk AEO to EPS Summary'!U:U,'Crosswalk AEO to EPS Summary'!$B:$B,$B7)*Percent_urban*quadrillion</f>
        <v>2286012123370841</v>
      </c>
      <c r="V7" s="93">
        <f>SUMIFS('Crosswalk AEO to EPS Summary'!V:V,'Crosswalk AEO to EPS Summary'!$B:$B,$B7)*Percent_urban*quadrillion</f>
        <v>2266690046466445.5</v>
      </c>
      <c r="W7" s="93">
        <f>SUMIFS('Crosswalk AEO to EPS Summary'!W:W,'Crosswalk AEO to EPS Summary'!$B:$B,$B7)*Percent_urban*quadrillion</f>
        <v>2244931163280174.5</v>
      </c>
      <c r="X7" s="93">
        <f>SUMIFS('Crosswalk AEO to EPS Summary'!X:X,'Crosswalk AEO to EPS Summary'!$B:$B,$B7)*Percent_urban*quadrillion</f>
        <v>2222720206589492.5</v>
      </c>
      <c r="Y7" s="93">
        <f>SUMIFS('Crosswalk AEO to EPS Summary'!Y:Y,'Crosswalk AEO to EPS Summary'!$B:$B,$B7)*Percent_urban*quadrillion</f>
        <v>2200616576702015.5</v>
      </c>
      <c r="Z7" s="93">
        <f>SUMIFS('Crosswalk AEO to EPS Summary'!Z:Z,'Crosswalk AEO to EPS Summary'!$B:$B,$B7)*Percent_urban*quadrillion</f>
        <v>2179762653606411</v>
      </c>
      <c r="AA7" s="93">
        <f>SUMIFS('Crosswalk AEO to EPS Summary'!AA:AA,'Crosswalk AEO to EPS Summary'!$B:$B,$B7)*Percent_urban*quadrillion</f>
        <v>2160546277341536</v>
      </c>
      <c r="AB7" s="93">
        <f>SUMIFS('Crosswalk AEO to EPS Summary'!AB:AB,'Crosswalk AEO to EPS Summary'!$B:$B,$B7)*Percent_urban*quadrillion</f>
        <v>2141825881000566.5</v>
      </c>
      <c r="AC7" s="93">
        <f>SUMIFS('Crosswalk AEO to EPS Summary'!AC:AC,'Crosswalk AEO to EPS Summary'!$B:$B,$B7)*Percent_urban*quadrillion</f>
        <v>2123690903586173.3</v>
      </c>
      <c r="AD7" s="93">
        <f>SUMIFS('Crosswalk AEO to EPS Summary'!AD:AD,'Crosswalk AEO to EPS Summary'!$B:$B,$B7)*Percent_urban*quadrillion</f>
        <v>2106311279203432.3</v>
      </c>
      <c r="AE7" s="93">
        <f>SUMIFS('Crosswalk AEO to EPS Summary'!AE:AE,'Crosswalk AEO to EPS Summary'!$B:$B,$B7)*Percent_urban*quadrillion</f>
        <v>2089347952724034.5</v>
      </c>
      <c r="AF7" s="93">
        <f>SUMIFS('Crosswalk AEO to EPS Summary'!AF:AF,'Crosswalk AEO to EPS Summary'!$B:$B,$B7)*Percent_urban*quadrillion</f>
        <v>2072031748725006</v>
      </c>
    </row>
    <row r="8" spans="1:32" s="93" customFormat="1" x14ac:dyDescent="0.25">
      <c r="B8" s="99" t="str">
        <f t="shared" si="0"/>
        <v>residential-heating-petroleum diesel (BTU)</v>
      </c>
      <c r="C8" s="95" t="s">
        <v>736</v>
      </c>
      <c r="D8" s="95" t="s">
        <v>730</v>
      </c>
      <c r="E8" s="95" t="s">
        <v>14</v>
      </c>
      <c r="F8" s="93">
        <f>SUMIFS('Crosswalk AEO to EPS Summary'!F:F,'Crosswalk AEO to EPS Summary'!$B:$B,$B8)*Percent_urban*quadrillion</f>
        <v>308793848295960.44</v>
      </c>
      <c r="G8" s="93">
        <f>SUMIFS('Crosswalk AEO to EPS Summary'!G:G,'Crosswalk AEO to EPS Summary'!$B:$B,$B8)*Percent_urban*quadrillion</f>
        <v>334133543916457.5</v>
      </c>
      <c r="H8" s="93">
        <f>SUMIFS('Crosswalk AEO to EPS Summary'!H:H,'Crosswalk AEO to EPS Summary'!$B:$B,$B8)*Percent_urban*quadrillion</f>
        <v>330347021776086.75</v>
      </c>
      <c r="I8" s="93">
        <f>SUMIFS('Crosswalk AEO to EPS Summary'!I:I,'Crosswalk AEO to EPS Summary'!$B:$B,$B8)*Percent_urban*quadrillion</f>
        <v>324847336193637.13</v>
      </c>
      <c r="J8" s="93">
        <f>SUMIFS('Crosswalk AEO to EPS Summary'!J:J,'Crosswalk AEO to EPS Summary'!$B:$B,$B8)*Percent_urban*quadrillion</f>
        <v>318458139075528.25</v>
      </c>
      <c r="K8" s="93">
        <f>SUMIFS('Crosswalk AEO to EPS Summary'!K:K,'Crosswalk AEO to EPS Summary'!$B:$B,$B8)*Percent_urban*quadrillion</f>
        <v>311902260179713.38</v>
      </c>
      <c r="L8" s="93">
        <f>SUMIFS('Crosswalk AEO to EPS Summary'!L:L,'Crosswalk AEO to EPS Summary'!$B:$B,$B8)*Percent_urban*quadrillion</f>
        <v>305454521168946.75</v>
      </c>
      <c r="M8" s="93">
        <f>SUMIFS('Crosswalk AEO to EPS Summary'!M:M,'Crosswalk AEO to EPS Summary'!$B:$B,$B8)*Percent_urban*quadrillion</f>
        <v>299788153808791.38</v>
      </c>
      <c r="N8" s="93">
        <f>SUMIFS('Crosswalk AEO to EPS Summary'!N:N,'Crosswalk AEO to EPS Summary'!$B:$B,$B8)*Percent_urban*quadrillion</f>
        <v>294807214441836</v>
      </c>
      <c r="O8" s="93">
        <f>SUMIFS('Crosswalk AEO to EPS Summary'!O:O,'Crosswalk AEO to EPS Summary'!$B:$B,$B8)*Percent_urban*quadrillion</f>
        <v>290364535254594</v>
      </c>
      <c r="P8" s="93">
        <f>SUMIFS('Crosswalk AEO to EPS Summary'!P:P,'Crosswalk AEO to EPS Summary'!$B:$B,$B8)*Percent_urban*quadrillion</f>
        <v>285698258560673.5</v>
      </c>
      <c r="Q8" s="93">
        <f>SUMIFS('Crosswalk AEO to EPS Summary'!Q:Q,'Crosswalk AEO to EPS Summary'!$B:$B,$B8)*Percent_urban*quadrillion</f>
        <v>281128738606006.63</v>
      </c>
      <c r="R8" s="93">
        <f>SUMIFS('Crosswalk AEO to EPS Summary'!R:R,'Crosswalk AEO to EPS Summary'!$B:$B,$B8)*Percent_urban*quadrillion</f>
        <v>276758423702744.28</v>
      </c>
      <c r="S8" s="93">
        <f>SUMIFS('Crosswalk AEO to EPS Summary'!S:S,'Crosswalk AEO to EPS Summary'!$B:$B,$B8)*Percent_urban*quadrillion</f>
        <v>272447463773982</v>
      </c>
      <c r="T8" s="93">
        <f>SUMIFS('Crosswalk AEO to EPS Summary'!T:T,'Crosswalk AEO to EPS Summary'!$B:$B,$B8)*Percent_urban*quadrillion</f>
        <v>268271475431069.38</v>
      </c>
      <c r="U8" s="93">
        <f>SUMIFS('Crosswalk AEO to EPS Summary'!U:U,'Crosswalk AEO to EPS Summary'!$B:$B,$B8)*Percent_urban*quadrillion</f>
        <v>264214197037156.97</v>
      </c>
      <c r="V8" s="93">
        <f>SUMIFS('Crosswalk AEO to EPS Summary'!V:V,'Crosswalk AEO to EPS Summary'!$B:$B,$B8)*Percent_urban*quadrillion</f>
        <v>260188628835100.75</v>
      </c>
      <c r="W8" s="93">
        <f>SUMIFS('Crosswalk AEO to EPS Summary'!W:W,'Crosswalk AEO to EPS Summary'!$B:$B,$B8)*Percent_urban*quadrillion</f>
        <v>256197210070428.22</v>
      </c>
      <c r="X8" s="93">
        <f>SUMIFS('Crosswalk AEO to EPS Summary'!X:X,'Crosswalk AEO to EPS Summary'!$B:$B,$B8)*Percent_urban*quadrillion</f>
        <v>252318809681858.66</v>
      </c>
      <c r="Y8" s="93">
        <f>SUMIFS('Crosswalk AEO to EPS Summary'!Y:Y,'Crosswalk AEO to EPS Summary'!$B:$B,$B8)*Percent_urban*quadrillion</f>
        <v>248564810815186.59</v>
      </c>
      <c r="Z8" s="93">
        <f>SUMIFS('Crosswalk AEO to EPS Summary'!Z:Z,'Crosswalk AEO to EPS Summary'!$B:$B,$B8)*Percent_urban*quadrillion</f>
        <v>244737634582692.44</v>
      </c>
      <c r="AA8" s="93">
        <f>SUMIFS('Crosswalk AEO to EPS Summary'!AA:AA,'Crosswalk AEO to EPS Summary'!$B:$B,$B8)*Percent_urban*quadrillion</f>
        <v>241325130089856.69</v>
      </c>
      <c r="AB8" s="93">
        <f>SUMIFS('Crosswalk AEO to EPS Summary'!AB:AB,'Crosswalk AEO to EPS Summary'!$B:$B,$B8)*Percent_urban*quadrillion</f>
        <v>238026457054966.38</v>
      </c>
      <c r="AC8" s="93">
        <f>SUMIFS('Crosswalk AEO to EPS Summary'!AC:AC,'Crosswalk AEO to EPS Summary'!$B:$B,$B8)*Percent_urban*quadrillion</f>
        <v>234862755605925.66</v>
      </c>
      <c r="AD8" s="93">
        <f>SUMIFS('Crosswalk AEO to EPS Summary'!AD:AD,'Crosswalk AEO to EPS Summary'!$B:$B,$B8)*Percent_urban*quadrillion</f>
        <v>231787680077713.91</v>
      </c>
      <c r="AE8" s="93">
        <f>SUMIFS('Crosswalk AEO to EPS Summary'!AE:AE,'Crosswalk AEO to EPS Summary'!$B:$B,$B8)*Percent_urban*quadrillion</f>
        <v>228773585687687.19</v>
      </c>
      <c r="AF8" s="93">
        <f>SUMIFS('Crosswalk AEO to EPS Summary'!AF:AF,'Crosswalk AEO to EPS Summary'!$B:$B,$B8)*Percent_urban*quadrillion</f>
        <v>225694444750263.09</v>
      </c>
    </row>
    <row r="9" spans="1:32" s="93" customFormat="1" x14ac:dyDescent="0.25">
      <c r="B9" s="99" t="str">
        <f t="shared" si="0"/>
        <v>residential-heating-heat (BTU)</v>
      </c>
      <c r="C9" s="95" t="s">
        <v>736</v>
      </c>
      <c r="D9" s="95" t="s">
        <v>730</v>
      </c>
      <c r="E9" s="95" t="s">
        <v>16</v>
      </c>
      <c r="F9" s="93">
        <v>0</v>
      </c>
      <c r="G9" s="93">
        <v>0</v>
      </c>
      <c r="H9" s="93">
        <v>0</v>
      </c>
      <c r="I9" s="93">
        <v>0</v>
      </c>
      <c r="J9" s="93">
        <v>0</v>
      </c>
      <c r="K9" s="93">
        <v>0</v>
      </c>
      <c r="L9" s="93">
        <v>0</v>
      </c>
      <c r="M9" s="93">
        <v>0</v>
      </c>
      <c r="N9" s="93">
        <v>0</v>
      </c>
      <c r="O9" s="93">
        <v>0</v>
      </c>
      <c r="P9" s="93">
        <v>0</v>
      </c>
      <c r="Q9" s="93">
        <v>0</v>
      </c>
      <c r="R9" s="93">
        <v>0</v>
      </c>
      <c r="S9" s="93">
        <v>0</v>
      </c>
      <c r="T9" s="93">
        <v>0</v>
      </c>
      <c r="U9" s="93">
        <v>0</v>
      </c>
      <c r="V9" s="93">
        <v>0</v>
      </c>
      <c r="W9" s="93">
        <v>0</v>
      </c>
      <c r="X9" s="93">
        <v>0</v>
      </c>
      <c r="Y9" s="93">
        <v>0</v>
      </c>
      <c r="Z9" s="93">
        <v>0</v>
      </c>
      <c r="AA9" s="93">
        <v>0</v>
      </c>
      <c r="AB9" s="93">
        <v>0</v>
      </c>
      <c r="AC9" s="93">
        <v>0</v>
      </c>
      <c r="AD9" s="93">
        <v>0</v>
      </c>
      <c r="AE9" s="93">
        <v>0</v>
      </c>
      <c r="AF9" s="93">
        <v>0</v>
      </c>
    </row>
    <row r="10" spans="1:32" s="93" customFormat="1" x14ac:dyDescent="0.25">
      <c r="B10" s="99" t="str">
        <f t="shared" si="0"/>
        <v>residential-heating-biomass (BTU)</v>
      </c>
      <c r="C10" s="95" t="s">
        <v>736</v>
      </c>
      <c r="D10" s="95" t="s">
        <v>730</v>
      </c>
      <c r="E10" s="95" t="s">
        <v>73</v>
      </c>
      <c r="F10" s="93">
        <f>SUMIFS('Crosswalk AEO to EPS Summary'!F:F,'Crosswalk AEO to EPS Summary'!$B:$B,$B10)*Percent_urban*quadrillion</f>
        <v>290744244475026.25</v>
      </c>
      <c r="G10" s="93">
        <f>SUMIFS('Crosswalk AEO to EPS Summary'!G:G,'Crosswalk AEO to EPS Summary'!$B:$B,$B10)*Percent_urban*quadrillion</f>
        <v>296851302193799</v>
      </c>
      <c r="H10" s="93">
        <f>SUMIFS('Crosswalk AEO to EPS Summary'!H:H,'Crosswalk AEO to EPS Summary'!$B:$B,$B10)*Percent_urban*quadrillion</f>
        <v>286736564073504.38</v>
      </c>
      <c r="I10" s="93">
        <f>SUMIFS('Crosswalk AEO to EPS Summary'!I:I,'Crosswalk AEO to EPS Summary'!$B:$B,$B10)*Percent_urban*quadrillion</f>
        <v>282379258479721.5</v>
      </c>
      <c r="J10" s="93">
        <f>SUMIFS('Crosswalk AEO to EPS Summary'!J:J,'Crosswalk AEO to EPS Summary'!$B:$B,$B10)*Percent_urban*quadrillion</f>
        <v>281097028414150.41</v>
      </c>
      <c r="K10" s="93">
        <f>SUMIFS('Crosswalk AEO to EPS Summary'!K:K,'Crosswalk AEO to EPS Summary'!$B:$B,$B10)*Percent_urban*quadrillion</f>
        <v>280922215818019.91</v>
      </c>
      <c r="L10" s="93">
        <f>SUMIFS('Crosswalk AEO to EPS Summary'!L:L,'Crosswalk AEO to EPS Summary'!$B:$B,$B10)*Percent_urban*quadrillion</f>
        <v>280749029385574.34</v>
      </c>
      <c r="M10" s="93">
        <f>SUMIFS('Crosswalk AEO to EPS Summary'!M:M,'Crosswalk AEO to EPS Summary'!$B:$B,$B10)*Percent_urban*quadrillion</f>
        <v>278479717963247.78</v>
      </c>
      <c r="N10" s="93">
        <f>SUMIFS('Crosswalk AEO to EPS Summary'!N:N,'Crosswalk AEO to EPS Summary'!$B:$B,$B10)*Percent_urban*quadrillion</f>
        <v>274248440055047.34</v>
      </c>
      <c r="O10" s="93">
        <f>SUMIFS('Crosswalk AEO to EPS Summary'!O:O,'Crosswalk AEO to EPS Summary'!$B:$B,$B10)*Percent_urban*quadrillion</f>
        <v>270624534283170.06</v>
      </c>
      <c r="P10" s="93">
        <f>SUMIFS('Crosswalk AEO to EPS Summary'!P:P,'Crosswalk AEO to EPS Summary'!$B:$B,$B10)*Percent_urban*quadrillion</f>
        <v>266881105480450.06</v>
      </c>
      <c r="Q10" s="93">
        <f>SUMIFS('Crosswalk AEO to EPS Summary'!Q:Q,'Crosswalk AEO to EPS Summary'!$B:$B,$B10)*Percent_urban*quadrillion</f>
        <v>263410059094956.69</v>
      </c>
      <c r="R10" s="93">
        <f>SUMIFS('Crosswalk AEO to EPS Summary'!R:R,'Crosswalk AEO to EPS Summary'!$B:$B,$B10)*Percent_urban*quadrillion</f>
        <v>259682891929086.06</v>
      </c>
      <c r="S10" s="93">
        <f>SUMIFS('Crosswalk AEO to EPS Summary'!S:S,'Crosswalk AEO to EPS Summary'!$B:$B,$B10)*Percent_urban*quadrillion</f>
        <v>256300471464421.59</v>
      </c>
      <c r="T10" s="93">
        <f>SUMIFS('Crosswalk AEO to EPS Summary'!T:T,'Crosswalk AEO to EPS Summary'!$B:$B,$B10)*Percent_urban*quadrillion</f>
        <v>252883088480531.03</v>
      </c>
      <c r="U10" s="93">
        <f>SUMIFS('Crosswalk AEO to EPS Summary'!U:U,'Crosswalk AEO to EPS Summary'!$B:$B,$B10)*Percent_urban*quadrillion</f>
        <v>249261621954181.16</v>
      </c>
      <c r="V10" s="93">
        <f>SUMIFS('Crosswalk AEO to EPS Summary'!V:V,'Crosswalk AEO to EPS Summary'!$B:$B,$B10)*Percent_urban*quadrillion</f>
        <v>245698697320488.94</v>
      </c>
      <c r="W10" s="93">
        <f>SUMIFS('Crosswalk AEO to EPS Summary'!W:W,'Crosswalk AEO to EPS Summary'!$B:$B,$B10)*Percent_urban*quadrillion</f>
        <v>242379697239536.94</v>
      </c>
      <c r="X10" s="93">
        <f>SUMIFS('Crosswalk AEO to EPS Summary'!X:X,'Crosswalk AEO to EPS Summary'!$B:$B,$B10)*Percent_urban*quadrillion</f>
        <v>239352593540030.75</v>
      </c>
      <c r="Y10" s="93">
        <f>SUMIFS('Crosswalk AEO to EPS Summary'!Y:Y,'Crosswalk AEO to EPS Summary'!$B:$B,$B10)*Percent_urban*quadrillion</f>
        <v>236566162065894.91</v>
      </c>
      <c r="Z10" s="93">
        <f>SUMIFS('Crosswalk AEO to EPS Summary'!Z:Z,'Crosswalk AEO to EPS Summary'!$B:$B,$B10)*Percent_urban*quadrillion</f>
        <v>234603382498178.59</v>
      </c>
      <c r="AA10" s="93">
        <f>SUMIFS('Crosswalk AEO to EPS Summary'!AA:AA,'Crosswalk AEO to EPS Summary'!$B:$B,$B10)*Percent_urban*quadrillion</f>
        <v>231675474783453.41</v>
      </c>
      <c r="AB10" s="93">
        <f>SUMIFS('Crosswalk AEO to EPS Summary'!AB:AB,'Crosswalk AEO to EPS Summary'!$B:$B,$B10)*Percent_urban*quadrillion</f>
        <v>228782529587954.31</v>
      </c>
      <c r="AC10" s="93">
        <f>SUMIFS('Crosswalk AEO to EPS Summary'!AC:AC,'Crosswalk AEO to EPS Summary'!$B:$B,$B10)*Percent_urban*quadrillion</f>
        <v>225786322998461.88</v>
      </c>
      <c r="AD10" s="93">
        <f>SUMIFS('Crosswalk AEO to EPS Summary'!AD:AD,'Crosswalk AEO to EPS Summary'!$B:$B,$B10)*Percent_urban*quadrillion</f>
        <v>222680350360236.38</v>
      </c>
      <c r="AE10" s="93">
        <f>SUMIFS('Crosswalk AEO to EPS Summary'!AE:AE,'Crosswalk AEO to EPS Summary'!$B:$B,$B10)*Percent_urban*quadrillion</f>
        <v>219997180280093.88</v>
      </c>
      <c r="AF10" s="93">
        <f>SUMIFS('Crosswalk AEO to EPS Summary'!AF:AF,'Crosswalk AEO to EPS Summary'!$B:$B,$B10)*Percent_urban*quadrillion</f>
        <v>217946587873391.09</v>
      </c>
    </row>
    <row r="11" spans="1:32" s="93" customFormat="1" x14ac:dyDescent="0.25">
      <c r="B11" s="99" t="str">
        <f t="shared" si="0"/>
        <v>residential-heating-kerosene (BTU)</v>
      </c>
      <c r="C11" s="95" t="s">
        <v>736</v>
      </c>
      <c r="D11" s="95" t="s">
        <v>730</v>
      </c>
      <c r="E11" s="95" t="s">
        <v>170</v>
      </c>
      <c r="F11" s="93">
        <v>0</v>
      </c>
      <c r="G11" s="93">
        <v>0</v>
      </c>
      <c r="H11" s="93">
        <v>0</v>
      </c>
      <c r="I11" s="93">
        <v>0</v>
      </c>
      <c r="J11" s="93">
        <v>0</v>
      </c>
      <c r="K11" s="93">
        <v>0</v>
      </c>
      <c r="L11" s="93">
        <v>0</v>
      </c>
      <c r="M11" s="93">
        <v>0</v>
      </c>
      <c r="N11" s="93">
        <v>0</v>
      </c>
      <c r="O11" s="93">
        <v>0</v>
      </c>
      <c r="P11" s="93">
        <v>0</v>
      </c>
      <c r="Q11" s="93">
        <v>0</v>
      </c>
      <c r="R11" s="93">
        <v>0</v>
      </c>
      <c r="S11" s="93">
        <v>0</v>
      </c>
      <c r="T11" s="93">
        <v>0</v>
      </c>
      <c r="U11" s="93">
        <v>0</v>
      </c>
      <c r="V11" s="93">
        <v>0</v>
      </c>
      <c r="W11" s="93">
        <v>0</v>
      </c>
      <c r="X11" s="93">
        <v>0</v>
      </c>
      <c r="Y11" s="93">
        <v>0</v>
      </c>
      <c r="Z11" s="93">
        <v>0</v>
      </c>
      <c r="AA11" s="93">
        <v>0</v>
      </c>
      <c r="AB11" s="93">
        <v>0</v>
      </c>
      <c r="AC11" s="93">
        <v>0</v>
      </c>
      <c r="AD11" s="93">
        <v>0</v>
      </c>
      <c r="AE11" s="93">
        <v>0</v>
      </c>
      <c r="AF11" s="93">
        <v>0</v>
      </c>
    </row>
    <row r="12" spans="1:32" s="93" customFormat="1" x14ac:dyDescent="0.25">
      <c r="B12" s="99" t="str">
        <f t="shared" si="0"/>
        <v>residential-heating-heavy or residual fuel oil (BTU)</v>
      </c>
      <c r="C12" s="95" t="s">
        <v>736</v>
      </c>
      <c r="D12" s="95" t="s">
        <v>730</v>
      </c>
      <c r="E12" s="95" t="s">
        <v>171</v>
      </c>
      <c r="F12" s="93">
        <v>0</v>
      </c>
      <c r="G12" s="93">
        <v>0</v>
      </c>
      <c r="H12" s="93">
        <v>0</v>
      </c>
      <c r="I12" s="93">
        <v>0</v>
      </c>
      <c r="J12" s="93">
        <v>0</v>
      </c>
      <c r="K12" s="93">
        <v>0</v>
      </c>
      <c r="L12" s="93">
        <v>0</v>
      </c>
      <c r="M12" s="93">
        <v>0</v>
      </c>
      <c r="N12" s="93">
        <v>0</v>
      </c>
      <c r="O12" s="93">
        <v>0</v>
      </c>
      <c r="P12" s="93">
        <v>0</v>
      </c>
      <c r="Q12" s="93">
        <v>0</v>
      </c>
      <c r="R12" s="93">
        <v>0</v>
      </c>
      <c r="S12" s="93">
        <v>0</v>
      </c>
      <c r="T12" s="93">
        <v>0</v>
      </c>
      <c r="U12" s="93">
        <v>0</v>
      </c>
      <c r="V12" s="93">
        <v>0</v>
      </c>
      <c r="W12" s="93">
        <v>0</v>
      </c>
      <c r="X12" s="93">
        <v>0</v>
      </c>
      <c r="Y12" s="93">
        <v>0</v>
      </c>
      <c r="Z12" s="93">
        <v>0</v>
      </c>
      <c r="AA12" s="93">
        <v>0</v>
      </c>
      <c r="AB12" s="93">
        <v>0</v>
      </c>
      <c r="AC12" s="93">
        <v>0</v>
      </c>
      <c r="AD12" s="93">
        <v>0</v>
      </c>
      <c r="AE12" s="93">
        <v>0</v>
      </c>
      <c r="AF12" s="93">
        <v>0</v>
      </c>
    </row>
    <row r="13" spans="1:32" s="93" customFormat="1" x14ac:dyDescent="0.25">
      <c r="B13" s="99" t="str">
        <f t="shared" si="0"/>
        <v>residential-heating-LPG propane or butane (BTU)</v>
      </c>
      <c r="C13" s="95" t="s">
        <v>736</v>
      </c>
      <c r="D13" s="95" t="s">
        <v>730</v>
      </c>
      <c r="E13" s="95" t="s">
        <v>172</v>
      </c>
      <c r="F13" s="93">
        <f>SUMIFS('Crosswalk AEO to EPS Summary'!F:F,'Crosswalk AEO to EPS Summary'!$B:$B,$B13)*Percent_urban*quadrillion</f>
        <v>246564629482716.75</v>
      </c>
      <c r="G13" s="93">
        <f>SUMIFS('Crosswalk AEO to EPS Summary'!G:G,'Crosswalk AEO to EPS Summary'!$B:$B,$B13)*Percent_urban*quadrillion</f>
        <v>274527327127013.66</v>
      </c>
      <c r="H13" s="93">
        <f>SUMIFS('Crosswalk AEO to EPS Summary'!H:H,'Crosswalk AEO to EPS Summary'!$B:$B,$B13)*Percent_urban*quadrillion</f>
        <v>271501036509349.94</v>
      </c>
      <c r="I13" s="93">
        <f>SUMIFS('Crosswalk AEO to EPS Summary'!I:I,'Crosswalk AEO to EPS Summary'!$B:$B,$B13)*Percent_urban*quadrillion</f>
        <v>267847859791143.84</v>
      </c>
      <c r="J13" s="93">
        <f>SUMIFS('Crosswalk AEO to EPS Summary'!J:J,'Crosswalk AEO to EPS Summary'!$B:$B,$B13)*Percent_urban*quadrillion</f>
        <v>263857254108313.72</v>
      </c>
      <c r="K13" s="93">
        <f>SUMIFS('Crosswalk AEO to EPS Summary'!K:K,'Crosswalk AEO to EPS Summary'!$B:$B,$B13)*Percent_urban*quadrillion</f>
        <v>259368229256051.13</v>
      </c>
      <c r="L13" s="93">
        <f>SUMIFS('Crosswalk AEO to EPS Summary'!L:L,'Crosswalk AEO to EPS Summary'!$B:$B,$B13)*Percent_urban*quadrillion</f>
        <v>254348261960657.28</v>
      </c>
      <c r="M13" s="93">
        <f>SUMIFS('Crosswalk AEO to EPS Summary'!M:M,'Crosswalk AEO to EPS Summary'!$B:$B,$B13)*Percent_urban*quadrillion</f>
        <v>249146164332550.78</v>
      </c>
      <c r="N13" s="93">
        <f>SUMIFS('Crosswalk AEO to EPS Summary'!N:N,'Crosswalk AEO to EPS Summary'!$B:$B,$B13)*Percent_urban*quadrillion</f>
        <v>243870076256779.72</v>
      </c>
      <c r="O13" s="93">
        <f>SUMIFS('Crosswalk AEO to EPS Summary'!O:O,'Crosswalk AEO to EPS Summary'!$B:$B,$B13)*Percent_urban*quadrillion</f>
        <v>238876127580344.84</v>
      </c>
      <c r="P13" s="93">
        <f>SUMIFS('Crosswalk AEO to EPS Summary'!P:P,'Crosswalk AEO to EPS Summary'!$B:$B,$B13)*Percent_urban*quadrillion</f>
        <v>233745581154375.44</v>
      </c>
      <c r="Q13" s="93">
        <f>SUMIFS('Crosswalk AEO to EPS Summary'!Q:Q,'Crosswalk AEO to EPS Summary'!$B:$B,$B13)*Percent_urban*quadrillion</f>
        <v>229040276532016.5</v>
      </c>
      <c r="R13" s="93">
        <f>SUMIFS('Crosswalk AEO to EPS Summary'!R:R,'Crosswalk AEO to EPS Summary'!$B:$B,$B13)*Percent_urban*quadrillion</f>
        <v>224849652715939.44</v>
      </c>
      <c r="S13" s="93">
        <f>SUMIFS('Crosswalk AEO to EPS Summary'!S:S,'Crosswalk AEO to EPS Summary'!$B:$B,$B13)*Percent_urban*quadrillion</f>
        <v>221102158504007.09</v>
      </c>
      <c r="T13" s="93">
        <f>SUMIFS('Crosswalk AEO to EPS Summary'!T:T,'Crosswalk AEO to EPS Summary'!$B:$B,$B13)*Percent_urban*quadrillion</f>
        <v>217642495264308.25</v>
      </c>
      <c r="U13" s="93">
        <f>SUMIFS('Crosswalk AEO to EPS Summary'!U:U,'Crosswalk AEO to EPS Summary'!$B:$B,$B13)*Percent_urban*quadrillion</f>
        <v>214446270541568.84</v>
      </c>
      <c r="V13" s="93">
        <f>SUMIFS('Crosswalk AEO to EPS Summary'!V:V,'Crosswalk AEO to EPS Summary'!$B:$B,$B13)*Percent_urban*quadrillion</f>
        <v>211467138670768.22</v>
      </c>
      <c r="W13" s="93">
        <f>SUMIFS('Crosswalk AEO to EPS Summary'!W:W,'Crosswalk AEO to EPS Summary'!$B:$B,$B13)*Percent_urban*quadrillion</f>
        <v>208593707439488.38</v>
      </c>
      <c r="X13" s="93">
        <f>SUMIFS('Crosswalk AEO to EPS Summary'!X:X,'Crosswalk AEO to EPS Summary'!$B:$B,$B13)*Percent_urban*quadrillion</f>
        <v>205821911438516.91</v>
      </c>
      <c r="Y13" s="93">
        <f>SUMIFS('Crosswalk AEO to EPS Summary'!Y:Y,'Crosswalk AEO to EPS Summary'!$B:$B,$B13)*Percent_urban*quadrillion</f>
        <v>203120853557840.22</v>
      </c>
      <c r="Z13" s="93">
        <f>SUMIFS('Crosswalk AEO to EPS Summary'!Z:Z,'Crosswalk AEO to EPS Summary'!$B:$B,$B13)*Percent_urban*quadrillion</f>
        <v>200550701853800.69</v>
      </c>
      <c r="AA13" s="93">
        <f>SUMIFS('Crosswalk AEO to EPS Summary'!AA:AA,'Crosswalk AEO to EPS Summary'!$B:$B,$B13)*Percent_urban*quadrillion</f>
        <v>198123652554035.44</v>
      </c>
      <c r="AB13" s="93">
        <f>SUMIFS('Crosswalk AEO to EPS Summary'!AB:AB,'Crosswalk AEO to EPS Summary'!$B:$B,$B13)*Percent_urban*quadrillion</f>
        <v>195915322269893.94</v>
      </c>
      <c r="AC13" s="93">
        <f>SUMIFS('Crosswalk AEO to EPS Summary'!AC:AC,'Crosswalk AEO to EPS Summary'!$B:$B,$B13)*Percent_urban*quadrillion</f>
        <v>193763094632882.69</v>
      </c>
      <c r="AD13" s="93">
        <f>SUMIFS('Crosswalk AEO to EPS Summary'!AD:AD,'Crosswalk AEO to EPS Summary'!$B:$B,$B13)*Percent_urban*quadrillion</f>
        <v>191634446369303</v>
      </c>
      <c r="AE13" s="93">
        <f>SUMIFS('Crosswalk AEO to EPS Summary'!AE:AE,'Crosswalk AEO to EPS Summary'!$B:$B,$B13)*Percent_urban*quadrillion</f>
        <v>189467583259127.31</v>
      </c>
      <c r="AF13" s="93">
        <f>SUMIFS('Crosswalk AEO to EPS Summary'!AF:AF,'Crosswalk AEO to EPS Summary'!$B:$B,$B13)*Percent_urban*quadrillion</f>
        <v>187140543025985.59</v>
      </c>
    </row>
    <row r="14" spans="1:32" s="93" customFormat="1" x14ac:dyDescent="0.25">
      <c r="B14" s="99" t="str">
        <f t="shared" si="0"/>
        <v>residential-heating-hydrogen (BTU)</v>
      </c>
      <c r="C14" s="95" t="s">
        <v>736</v>
      </c>
      <c r="D14" s="95" t="s">
        <v>730</v>
      </c>
      <c r="E14" s="95" t="s">
        <v>173</v>
      </c>
      <c r="F14" s="93">
        <v>0</v>
      </c>
      <c r="G14" s="93">
        <v>0</v>
      </c>
      <c r="H14" s="93">
        <v>0</v>
      </c>
      <c r="I14" s="93">
        <v>0</v>
      </c>
      <c r="J14" s="93">
        <v>0</v>
      </c>
      <c r="K14" s="93">
        <v>0</v>
      </c>
      <c r="L14" s="93">
        <v>0</v>
      </c>
      <c r="M14" s="93">
        <v>0</v>
      </c>
      <c r="N14" s="93">
        <v>0</v>
      </c>
      <c r="O14" s="93">
        <v>0</v>
      </c>
      <c r="P14" s="93">
        <v>0</v>
      </c>
      <c r="Q14" s="93">
        <v>0</v>
      </c>
      <c r="R14" s="93">
        <v>0</v>
      </c>
      <c r="S14" s="93">
        <v>0</v>
      </c>
      <c r="T14" s="93">
        <v>0</v>
      </c>
      <c r="U14" s="93">
        <v>0</v>
      </c>
      <c r="V14" s="93">
        <v>0</v>
      </c>
      <c r="W14" s="93">
        <v>0</v>
      </c>
      <c r="X14" s="93">
        <v>0</v>
      </c>
      <c r="Y14" s="93">
        <v>0</v>
      </c>
      <c r="Z14" s="93">
        <v>0</v>
      </c>
      <c r="AA14" s="93">
        <v>0</v>
      </c>
      <c r="AB14" s="93">
        <v>0</v>
      </c>
      <c r="AC14" s="93">
        <v>0</v>
      </c>
      <c r="AD14" s="93">
        <v>0</v>
      </c>
      <c r="AE14" s="93">
        <v>0</v>
      </c>
      <c r="AF14" s="93">
        <v>0</v>
      </c>
    </row>
    <row r="15" spans="1:32" s="93" customFormat="1" x14ac:dyDescent="0.25">
      <c r="B15" s="95"/>
      <c r="C15" s="95"/>
      <c r="D15" s="95"/>
      <c r="E15" s="95"/>
    </row>
    <row r="16" spans="1:32" s="93" customFormat="1" x14ac:dyDescent="0.25">
      <c r="B16" s="86" t="s">
        <v>177</v>
      </c>
      <c r="C16" s="95"/>
      <c r="D16" s="95"/>
      <c r="E16" s="95"/>
    </row>
    <row r="17" spans="2:32" s="93" customFormat="1" x14ac:dyDescent="0.25">
      <c r="B17" s="95"/>
      <c r="C17" s="95"/>
      <c r="D17" s="95"/>
      <c r="E17" s="95" t="s">
        <v>10</v>
      </c>
      <c r="F17" s="86">
        <v>2024</v>
      </c>
      <c r="G17" s="86">
        <v>2025</v>
      </c>
      <c r="H17" s="86">
        <v>2026</v>
      </c>
      <c r="I17" s="86">
        <v>2027</v>
      </c>
      <c r="J17" s="86">
        <v>2028</v>
      </c>
      <c r="K17" s="86">
        <v>2029</v>
      </c>
      <c r="L17" s="86">
        <v>2030</v>
      </c>
      <c r="M17" s="86">
        <v>2031</v>
      </c>
      <c r="N17" s="86">
        <v>2032</v>
      </c>
      <c r="O17" s="86">
        <v>2033</v>
      </c>
      <c r="P17" s="86">
        <v>2034</v>
      </c>
      <c r="Q17" s="86">
        <v>2035</v>
      </c>
      <c r="R17" s="86">
        <v>2036</v>
      </c>
      <c r="S17" s="86">
        <v>2037</v>
      </c>
      <c r="T17" s="86">
        <v>2038</v>
      </c>
      <c r="U17" s="86">
        <v>2039</v>
      </c>
      <c r="V17" s="86">
        <v>2040</v>
      </c>
      <c r="W17" s="86">
        <v>2041</v>
      </c>
      <c r="X17" s="86">
        <v>2042</v>
      </c>
      <c r="Y17" s="86">
        <v>2043</v>
      </c>
      <c r="Z17" s="86">
        <v>2044</v>
      </c>
      <c r="AA17" s="86">
        <v>2045</v>
      </c>
      <c r="AB17" s="86">
        <v>2046</v>
      </c>
      <c r="AC17" s="86">
        <v>2047</v>
      </c>
      <c r="AD17" s="86">
        <v>2048</v>
      </c>
      <c r="AE17" s="86">
        <v>2049</v>
      </c>
      <c r="AF17" s="86">
        <v>2050</v>
      </c>
    </row>
    <row r="18" spans="2:32" s="93" customFormat="1" x14ac:dyDescent="0.25">
      <c r="B18" s="99" t="str">
        <f>C18&amp;"-"&amp;D18&amp;"-"&amp;E18</f>
        <v>residential-cooling-electricity (BTU)</v>
      </c>
      <c r="C18" s="95" t="s">
        <v>736</v>
      </c>
      <c r="D18" s="95" t="s">
        <v>731</v>
      </c>
      <c r="E18" s="95" t="s">
        <v>11</v>
      </c>
      <c r="F18" s="93">
        <f>SUMIFS('Crosswalk AEO to EPS Summary'!F:F,'Crosswalk AEO to EPS Summary'!$B:$B,$B18)*Percent_urban*quadrillion</f>
        <v>922563312555654.38</v>
      </c>
      <c r="G18" s="93">
        <f>SUMIFS('Crosswalk AEO to EPS Summary'!G:G,'Crosswalk AEO to EPS Summary'!$B:$B,$B18)*Percent_urban*quadrillion</f>
        <v>903313599935238.38</v>
      </c>
      <c r="H18" s="93">
        <f>SUMIFS('Crosswalk AEO to EPS Summary'!H:H,'Crosswalk AEO to EPS Summary'!$B:$B,$B18)*Percent_urban*quadrillion</f>
        <v>920388318627054.25</v>
      </c>
      <c r="I18" s="93">
        <f>SUMIFS('Crosswalk AEO to EPS Summary'!I:I,'Crosswalk AEO to EPS Summary'!$B:$B,$B18)*Percent_urban*quadrillion</f>
        <v>936637759248765.38</v>
      </c>
      <c r="J18" s="93">
        <f>SUMIFS('Crosswalk AEO to EPS Summary'!J:J,'Crosswalk AEO to EPS Summary'!$B:$B,$B18)*Percent_urban*quadrillion</f>
        <v>947629812677082.38</v>
      </c>
      <c r="K18" s="93">
        <f>SUMIFS('Crosswalk AEO to EPS Summary'!K:K,'Crosswalk AEO to EPS Summary'!$B:$B,$B18)*Percent_urban*quadrillion</f>
        <v>952523752286893.88</v>
      </c>
      <c r="L18" s="93">
        <f>SUMIFS('Crosswalk AEO to EPS Summary'!L:L,'Crosswalk AEO to EPS Summary'!$B:$B,$B18)*Percent_urban*quadrillion</f>
        <v>955163015947543</v>
      </c>
      <c r="M18" s="93">
        <f>SUMIFS('Crosswalk AEO to EPS Summary'!M:M,'Crosswalk AEO to EPS Summary'!$B:$B,$B18)*Percent_urban*quadrillion</f>
        <v>956239536306970</v>
      </c>
      <c r="N18" s="93">
        <f>SUMIFS('Crosswalk AEO to EPS Summary'!N:N,'Crosswalk AEO to EPS Summary'!$B:$B,$B18)*Percent_urban*quadrillion</f>
        <v>958059213470412</v>
      </c>
      <c r="O18" s="93">
        <f>SUMIFS('Crosswalk AEO to EPS Summary'!O:O,'Crosswalk AEO to EPS Summary'!$B:$B,$B18)*Percent_urban*quadrillion</f>
        <v>963804449769286.75</v>
      </c>
      <c r="P18" s="93">
        <f>SUMIFS('Crosswalk AEO to EPS Summary'!P:P,'Crosswalk AEO to EPS Summary'!$B:$B,$B18)*Percent_urban*quadrillion</f>
        <v>970997784829596</v>
      </c>
      <c r="Q18" s="93">
        <f>SUMIFS('Crosswalk AEO to EPS Summary'!Q:Q,'Crosswalk AEO to EPS Summary'!$B:$B,$B18)*Percent_urban*quadrillion</f>
        <v>981571914190884.88</v>
      </c>
      <c r="R18" s="93">
        <f>SUMIFS('Crosswalk AEO to EPS Summary'!R:R,'Crosswalk AEO to EPS Summary'!$B:$B,$B18)*Percent_urban*quadrillion</f>
        <v>995314623492269.13</v>
      </c>
      <c r="S18" s="93">
        <f>SUMIFS('Crosswalk AEO to EPS Summary'!S:S,'Crosswalk AEO to EPS Summary'!$B:$B,$B18)*Percent_urban*quadrillion</f>
        <v>1010704636606492.5</v>
      </c>
      <c r="T18" s="93">
        <f>SUMIFS('Crosswalk AEO to EPS Summary'!T:T,'Crosswalk AEO to EPS Summary'!$B:$B,$B18)*Percent_urban*quadrillion</f>
        <v>1025062035780782</v>
      </c>
      <c r="U18" s="93">
        <f>SUMIFS('Crosswalk AEO to EPS Summary'!U:U,'Crosswalk AEO to EPS Summary'!$B:$B,$B18)*Percent_urban*quadrillion</f>
        <v>1039904031733182.3</v>
      </c>
      <c r="V18" s="93">
        <f>SUMIFS('Crosswalk AEO to EPS Summary'!V:V,'Crosswalk AEO to EPS Summary'!$B:$B,$B18)*Percent_urban*quadrillion</f>
        <v>1054566336598397</v>
      </c>
      <c r="W18" s="93">
        <f>SUMIFS('Crosswalk AEO to EPS Summary'!W:W,'Crosswalk AEO to EPS Summary'!$B:$B,$B18)*Percent_urban*quadrillion</f>
        <v>1069200996680968.1</v>
      </c>
      <c r="X18" s="93">
        <f>SUMIFS('Crosswalk AEO to EPS Summary'!X:X,'Crosswalk AEO to EPS Summary'!$B:$B,$B18)*Percent_urban*quadrillion</f>
        <v>1083451882133894.5</v>
      </c>
      <c r="Y18" s="93">
        <f>SUMIFS('Crosswalk AEO to EPS Summary'!Y:Y,'Crosswalk AEO to EPS Summary'!$B:$B,$B18)*Percent_urban*quadrillion</f>
        <v>1097771066461588.3</v>
      </c>
      <c r="Z18" s="93">
        <f>SUMIFS('Crosswalk AEO to EPS Summary'!Z:Z,'Crosswalk AEO to EPS Summary'!$B:$B,$B18)*Percent_urban*quadrillion</f>
        <v>1111810550635473</v>
      </c>
      <c r="AA18" s="93">
        <f>SUMIFS('Crosswalk AEO to EPS Summary'!AA:AA,'Crosswalk AEO to EPS Summary'!$B:$B,$B18)*Percent_urban*quadrillion</f>
        <v>1125528054399740.8</v>
      </c>
      <c r="AB18" s="93">
        <f>SUMIFS('Crosswalk AEO to EPS Summary'!AB:AB,'Crosswalk AEO to EPS Summary'!$B:$B,$B18)*Percent_urban*quadrillion</f>
        <v>1138995942038371.3</v>
      </c>
      <c r="AC18" s="93">
        <f>SUMIFS('Crosswalk AEO to EPS Summary'!AC:AC,'Crosswalk AEO to EPS Summary'!$B:$B,$B18)*Percent_urban*quadrillion</f>
        <v>1152377643001699.8</v>
      </c>
      <c r="AD18" s="93">
        <f>SUMIFS('Crosswalk AEO to EPS Summary'!AD:AD,'Crosswalk AEO to EPS Summary'!$B:$B,$B18)*Percent_urban*quadrillion</f>
        <v>1165865857686392</v>
      </c>
      <c r="AE18" s="93">
        <f>SUMIFS('Crosswalk AEO to EPS Summary'!AE:AE,'Crosswalk AEO to EPS Summary'!$B:$B,$B18)*Percent_urban*quadrillion</f>
        <v>1179745977819153</v>
      </c>
      <c r="AF18" s="93">
        <f>SUMIFS('Crosswalk AEO to EPS Summary'!AF:AF,'Crosswalk AEO to EPS Summary'!$B:$B,$B18)*Percent_urban*quadrillion</f>
        <v>1193618780215332.3</v>
      </c>
    </row>
    <row r="19" spans="2:32" s="93" customFormat="1" x14ac:dyDescent="0.25">
      <c r="B19" s="99" t="str">
        <f t="shared" ref="B19:B27" si="1">C19&amp;"-"&amp;D19&amp;"-"&amp;E19</f>
        <v>residential-cooling-coal (BTU)</v>
      </c>
      <c r="C19" s="95" t="s">
        <v>736</v>
      </c>
      <c r="D19" s="95" t="s">
        <v>731</v>
      </c>
      <c r="E19" s="95" t="s">
        <v>12</v>
      </c>
      <c r="F19" s="93">
        <v>0</v>
      </c>
      <c r="G19" s="93">
        <v>0</v>
      </c>
      <c r="H19" s="93">
        <v>0</v>
      </c>
      <c r="I19" s="93">
        <v>0</v>
      </c>
      <c r="J19" s="93">
        <v>0</v>
      </c>
      <c r="K19" s="93">
        <v>0</v>
      </c>
      <c r="L19" s="93">
        <v>0</v>
      </c>
      <c r="M19" s="93">
        <v>0</v>
      </c>
      <c r="N19" s="93">
        <v>0</v>
      </c>
      <c r="O19" s="93">
        <v>0</v>
      </c>
      <c r="P19" s="93">
        <v>0</v>
      </c>
      <c r="Q19" s="93">
        <v>0</v>
      </c>
      <c r="R19" s="93">
        <v>0</v>
      </c>
      <c r="S19" s="93">
        <v>0</v>
      </c>
      <c r="T19" s="93">
        <v>0</v>
      </c>
      <c r="U19" s="93">
        <v>0</v>
      </c>
      <c r="V19" s="93">
        <v>0</v>
      </c>
      <c r="W19" s="93">
        <v>0</v>
      </c>
      <c r="X19" s="93">
        <v>0</v>
      </c>
      <c r="Y19" s="93">
        <v>0</v>
      </c>
      <c r="Z19" s="93">
        <v>0</v>
      </c>
      <c r="AA19" s="93">
        <v>0</v>
      </c>
      <c r="AB19" s="93">
        <v>0</v>
      </c>
      <c r="AC19" s="93">
        <v>0</v>
      </c>
      <c r="AD19" s="93">
        <v>0</v>
      </c>
      <c r="AE19" s="93">
        <v>0</v>
      </c>
      <c r="AF19" s="93">
        <v>0</v>
      </c>
    </row>
    <row r="20" spans="2:32" s="93" customFormat="1" x14ac:dyDescent="0.25">
      <c r="B20" s="99" t="str">
        <f t="shared" si="1"/>
        <v>residential-cooling-natural gas (BTU)</v>
      </c>
      <c r="C20" s="95" t="s">
        <v>736</v>
      </c>
      <c r="D20" s="95" t="s">
        <v>731</v>
      </c>
      <c r="E20" s="95" t="s">
        <v>13</v>
      </c>
      <c r="F20" s="93">
        <f>SUMIFS('Crosswalk AEO to EPS Summary'!F:F,'Crosswalk AEO to EPS Summary'!$B:$B,$B20)*Percent_urban*quadrillion</f>
        <v>51629883914838.5</v>
      </c>
      <c r="G20" s="93">
        <f>SUMIFS('Crosswalk AEO to EPS Summary'!G:G,'Crosswalk AEO to EPS Summary'!$B:$B,$B20)*Percent_urban*quadrillion</f>
        <v>49628889500526.188</v>
      </c>
      <c r="H20" s="93">
        <f>SUMIFS('Crosswalk AEO to EPS Summary'!H:H,'Crosswalk AEO to EPS Summary'!$B:$B,$B20)*Percent_urban*quadrillion</f>
        <v>49975262365417.297</v>
      </c>
      <c r="I20" s="93">
        <f>SUMIFS('Crosswalk AEO to EPS Summary'!I:I,'Crosswalk AEO to EPS Summary'!$B:$B,$B20)*Percent_urban*quadrillion</f>
        <v>50029738848862.625</v>
      </c>
      <c r="J20" s="93">
        <f>SUMIFS('Crosswalk AEO to EPS Summary'!J:J,'Crosswalk AEO to EPS Summary'!$B:$B,$B20)*Percent_urban*quadrillion</f>
        <v>49909402736177.445</v>
      </c>
      <c r="K20" s="93">
        <f>SUMIFS('Crosswalk AEO to EPS Summary'!K:K,'Crosswalk AEO to EPS Summary'!$B:$B,$B20)*Percent_urban*quadrillion</f>
        <v>49717515421355.133</v>
      </c>
      <c r="L20" s="93">
        <f>SUMIFS('Crosswalk AEO to EPS Summary'!L:L,'Crosswalk AEO to EPS Summary'!$B:$B,$B20)*Percent_urban*quadrillion</f>
        <v>49531319679430.094</v>
      </c>
      <c r="M20" s="93">
        <f>SUMIFS('Crosswalk AEO to EPS Summary'!M:M,'Crosswalk AEO to EPS Summary'!$B:$B,$B20)*Percent_urban*quadrillion</f>
        <v>49325609973285.836</v>
      </c>
      <c r="N20" s="93">
        <f>SUMIFS('Crosswalk AEO to EPS Summary'!N:N,'Crosswalk AEO to EPS Summary'!$B:$B,$B20)*Percent_urban*quadrillion</f>
        <v>49106077875819.641</v>
      </c>
      <c r="O20" s="93">
        <f>SUMIFS('Crosswalk AEO to EPS Summary'!O:O,'Crosswalk AEO to EPS Summary'!$B:$B,$B20)*Percent_urban*quadrillion</f>
        <v>48904433578887.711</v>
      </c>
      <c r="P20" s="93">
        <f>SUMIFS('Crosswalk AEO to EPS Summary'!P:P,'Crosswalk AEO to EPS Summary'!$B:$B,$B20)*Percent_urban*quadrillion</f>
        <v>48725555573544.891</v>
      </c>
      <c r="Q20" s="93">
        <f>SUMIFS('Crosswalk AEO to EPS Summary'!Q:Q,'Crosswalk AEO to EPS Summary'!$B:$B,$B20)*Percent_urban*quadrillion</f>
        <v>48627985752448.797</v>
      </c>
      <c r="R20" s="93">
        <f>SUMIFS('Crosswalk AEO to EPS Summary'!R:R,'Crosswalk AEO to EPS Summary'!$B:$B,$B20)*Percent_urban*quadrillion</f>
        <v>48621481097709.055</v>
      </c>
      <c r="S20" s="93">
        <f>SUMIFS('Crosswalk AEO to EPS Summary'!S:S,'Crosswalk AEO to EPS Summary'!$B:$B,$B20)*Percent_urban*quadrillion</f>
        <v>48677583744839.305</v>
      </c>
      <c r="T20" s="93">
        <f>SUMIFS('Crosswalk AEO to EPS Summary'!T:T,'Crosswalk AEO to EPS Summary'!$B:$B,$B20)*Percent_urban*quadrillion</f>
        <v>48756452683558.648</v>
      </c>
      <c r="U20" s="93">
        <f>SUMIFS('Crosswalk AEO to EPS Summary'!U:U,'Crosswalk AEO to EPS Summary'!$B:$B,$B20)*Percent_urban*quadrillion</f>
        <v>48896302760463.039</v>
      </c>
      <c r="V20" s="93">
        <f>SUMIFS('Crosswalk AEO to EPS Summary'!V:V,'Crosswalk AEO to EPS Summary'!$B:$B,$B20)*Percent_urban*quadrillion</f>
        <v>49054040637901.727</v>
      </c>
      <c r="W20" s="93">
        <f>SUMIFS('Crosswalk AEO to EPS Summary'!W:W,'Crosswalk AEO to EPS Summary'!$B:$B,$B20)*Percent_urban*quadrillion</f>
        <v>49223161661134.945</v>
      </c>
      <c r="X20" s="93">
        <f>SUMIFS('Crosswalk AEO to EPS Summary'!X:X,'Crosswalk AEO to EPS Summary'!$B:$B,$B20)*Percent_urban*quadrillion</f>
        <v>49395535011738.039</v>
      </c>
      <c r="Y20" s="93">
        <f>SUMIFS('Crosswalk AEO to EPS Summary'!Y:Y,'Crosswalk AEO to EPS Summary'!$B:$B,$B20)*Percent_urban*quadrillion</f>
        <v>49577665344450.742</v>
      </c>
      <c r="Z20" s="93">
        <f>SUMIFS('Crosswalk AEO to EPS Summary'!Z:Z,'Crosswalk AEO to EPS Summary'!$B:$B,$B20)*Percent_urban*quadrillion</f>
        <v>49757356431636.031</v>
      </c>
      <c r="AA20" s="93">
        <f>SUMIFS('Crosswalk AEO to EPS Summary'!AA:AA,'Crosswalk AEO to EPS Summary'!$B:$B,$B20)*Percent_urban*quadrillion</f>
        <v>49924038209341.852</v>
      </c>
      <c r="AB20" s="93">
        <f>SUMIFS('Crosswalk AEO to EPS Summary'!AB:AB,'Crosswalk AEO to EPS Summary'!$B:$B,$B20)*Percent_urban*quadrillion</f>
        <v>50087467659677.805</v>
      </c>
      <c r="AC20" s="93">
        <f>SUMIFS('Crosswalk AEO to EPS Summary'!AC:AC,'Crosswalk AEO to EPS Summary'!$B:$B,$B20)*Percent_urban*quadrillion</f>
        <v>50242766291589.086</v>
      </c>
      <c r="AD20" s="93">
        <f>SUMIFS('Crosswalk AEO to EPS Summary'!AD:AD,'Crosswalk AEO to EPS Summary'!$B:$B,$B20)*Percent_urban*quadrillion</f>
        <v>50408634987452.43</v>
      </c>
      <c r="AE20" s="93">
        <f>SUMIFS('Crosswalk AEO to EPS Summary'!AE:AE,'Crosswalk AEO to EPS Summary'!$B:$B,$B20)*Percent_urban*quadrillion</f>
        <v>50572877519630.852</v>
      </c>
      <c r="AF20" s="93">
        <f>SUMIFS('Crosswalk AEO to EPS Summary'!AF:AF,'Crosswalk AEO to EPS Summary'!$B:$B,$B20)*Percent_urban*quadrillion</f>
        <v>50729802315227.07</v>
      </c>
    </row>
    <row r="21" spans="2:32" s="93" customFormat="1" x14ac:dyDescent="0.25">
      <c r="B21" s="99" t="str">
        <f t="shared" si="1"/>
        <v>residential-cooling-petroleum diesel (BTU)</v>
      </c>
      <c r="C21" s="95" t="s">
        <v>736</v>
      </c>
      <c r="D21" s="95" t="s">
        <v>731</v>
      </c>
      <c r="E21" s="95" t="s">
        <v>14</v>
      </c>
      <c r="F21" s="93">
        <v>0</v>
      </c>
      <c r="G21" s="93">
        <v>0</v>
      </c>
      <c r="H21" s="93">
        <v>0</v>
      </c>
      <c r="I21" s="93">
        <v>0</v>
      </c>
      <c r="J21" s="93">
        <v>0</v>
      </c>
      <c r="K21" s="93">
        <v>0</v>
      </c>
      <c r="L21" s="93">
        <v>0</v>
      </c>
      <c r="M21" s="93">
        <v>0</v>
      </c>
      <c r="N21" s="93">
        <v>0</v>
      </c>
      <c r="O21" s="93">
        <v>0</v>
      </c>
      <c r="P21" s="93">
        <v>0</v>
      </c>
      <c r="Q21" s="93">
        <v>0</v>
      </c>
      <c r="R21" s="93">
        <v>0</v>
      </c>
      <c r="S21" s="93">
        <v>0</v>
      </c>
      <c r="T21" s="93">
        <v>0</v>
      </c>
      <c r="U21" s="93">
        <v>0</v>
      </c>
      <c r="V21" s="93">
        <v>0</v>
      </c>
      <c r="W21" s="93">
        <v>0</v>
      </c>
      <c r="X21" s="93">
        <v>0</v>
      </c>
      <c r="Y21" s="93">
        <v>0</v>
      </c>
      <c r="Z21" s="93">
        <v>0</v>
      </c>
      <c r="AA21" s="93">
        <v>0</v>
      </c>
      <c r="AB21" s="93">
        <v>0</v>
      </c>
      <c r="AC21" s="93">
        <v>0</v>
      </c>
      <c r="AD21" s="93">
        <v>0</v>
      </c>
      <c r="AE21" s="93">
        <v>0</v>
      </c>
      <c r="AF21" s="93">
        <v>0</v>
      </c>
    </row>
    <row r="22" spans="2:32" s="93" customFormat="1" x14ac:dyDescent="0.25">
      <c r="B22" s="99" t="str">
        <f t="shared" si="1"/>
        <v>residential-cooling-heat (BTU)</v>
      </c>
      <c r="C22" s="95" t="s">
        <v>736</v>
      </c>
      <c r="D22" s="95" t="s">
        <v>731</v>
      </c>
      <c r="E22" s="95" t="s">
        <v>16</v>
      </c>
      <c r="F22" s="93">
        <v>0</v>
      </c>
      <c r="G22" s="93">
        <v>0</v>
      </c>
      <c r="H22" s="93">
        <v>0</v>
      </c>
      <c r="I22" s="93">
        <v>0</v>
      </c>
      <c r="J22" s="93">
        <v>0</v>
      </c>
      <c r="K22" s="93">
        <v>0</v>
      </c>
      <c r="L22" s="93">
        <v>0</v>
      </c>
      <c r="M22" s="93">
        <v>0</v>
      </c>
      <c r="N22" s="93">
        <v>0</v>
      </c>
      <c r="O22" s="93">
        <v>0</v>
      </c>
      <c r="P22" s="93">
        <v>0</v>
      </c>
      <c r="Q22" s="93">
        <v>0</v>
      </c>
      <c r="R22" s="93">
        <v>0</v>
      </c>
      <c r="S22" s="93">
        <v>0</v>
      </c>
      <c r="T22" s="93">
        <v>0</v>
      </c>
      <c r="U22" s="93">
        <v>0</v>
      </c>
      <c r="V22" s="93">
        <v>0</v>
      </c>
      <c r="W22" s="93">
        <v>0</v>
      </c>
      <c r="X22" s="93">
        <v>0</v>
      </c>
      <c r="Y22" s="93">
        <v>0</v>
      </c>
      <c r="Z22" s="93">
        <v>0</v>
      </c>
      <c r="AA22" s="93">
        <v>0</v>
      </c>
      <c r="AB22" s="93">
        <v>0</v>
      </c>
      <c r="AC22" s="93">
        <v>0</v>
      </c>
      <c r="AD22" s="93">
        <v>0</v>
      </c>
      <c r="AE22" s="93">
        <v>0</v>
      </c>
      <c r="AF22" s="93">
        <v>0</v>
      </c>
    </row>
    <row r="23" spans="2:32" s="93" customFormat="1" x14ac:dyDescent="0.25">
      <c r="B23" s="99" t="str">
        <f t="shared" si="1"/>
        <v>residential-cooling-biomass (BTU)</v>
      </c>
      <c r="C23" s="95" t="s">
        <v>736</v>
      </c>
      <c r="D23" s="95" t="s">
        <v>731</v>
      </c>
      <c r="E23" s="95" t="s">
        <v>73</v>
      </c>
      <c r="F23" s="93">
        <v>0</v>
      </c>
      <c r="G23" s="93">
        <v>0</v>
      </c>
      <c r="H23" s="93">
        <v>0</v>
      </c>
      <c r="I23" s="93">
        <v>0</v>
      </c>
      <c r="J23" s="93">
        <v>0</v>
      </c>
      <c r="K23" s="93">
        <v>0</v>
      </c>
      <c r="L23" s="93">
        <v>0</v>
      </c>
      <c r="M23" s="93">
        <v>0</v>
      </c>
      <c r="N23" s="93">
        <v>0</v>
      </c>
      <c r="O23" s="93">
        <v>0</v>
      </c>
      <c r="P23" s="93">
        <v>0</v>
      </c>
      <c r="Q23" s="93">
        <v>0</v>
      </c>
      <c r="R23" s="93">
        <v>0</v>
      </c>
      <c r="S23" s="93">
        <v>0</v>
      </c>
      <c r="T23" s="93">
        <v>0</v>
      </c>
      <c r="U23" s="93">
        <v>0</v>
      </c>
      <c r="V23" s="93">
        <v>0</v>
      </c>
      <c r="W23" s="93">
        <v>0</v>
      </c>
      <c r="X23" s="93">
        <v>0</v>
      </c>
      <c r="Y23" s="93">
        <v>0</v>
      </c>
      <c r="Z23" s="93">
        <v>0</v>
      </c>
      <c r="AA23" s="93">
        <v>0</v>
      </c>
      <c r="AB23" s="93">
        <v>0</v>
      </c>
      <c r="AC23" s="93">
        <v>0</v>
      </c>
      <c r="AD23" s="93">
        <v>0</v>
      </c>
      <c r="AE23" s="93">
        <v>0</v>
      </c>
      <c r="AF23" s="93">
        <v>0</v>
      </c>
    </row>
    <row r="24" spans="2:32" s="93" customFormat="1" x14ac:dyDescent="0.25">
      <c r="B24" s="99" t="str">
        <f t="shared" si="1"/>
        <v>residential-cooling-kerosene (BTU)</v>
      </c>
      <c r="C24" s="95" t="s">
        <v>736</v>
      </c>
      <c r="D24" s="95" t="s">
        <v>731</v>
      </c>
      <c r="E24" s="95" t="s">
        <v>170</v>
      </c>
      <c r="F24" s="93">
        <v>0</v>
      </c>
      <c r="G24" s="93">
        <v>0</v>
      </c>
      <c r="H24" s="93">
        <v>0</v>
      </c>
      <c r="I24" s="93">
        <v>0</v>
      </c>
      <c r="J24" s="93">
        <v>0</v>
      </c>
      <c r="K24" s="93">
        <v>0</v>
      </c>
      <c r="L24" s="93">
        <v>0</v>
      </c>
      <c r="M24" s="93">
        <v>0</v>
      </c>
      <c r="N24" s="93">
        <v>0</v>
      </c>
      <c r="O24" s="93">
        <v>0</v>
      </c>
      <c r="P24" s="93">
        <v>0</v>
      </c>
      <c r="Q24" s="93">
        <v>0</v>
      </c>
      <c r="R24" s="93">
        <v>0</v>
      </c>
      <c r="S24" s="93">
        <v>0</v>
      </c>
      <c r="T24" s="93">
        <v>0</v>
      </c>
      <c r="U24" s="93">
        <v>0</v>
      </c>
      <c r="V24" s="93">
        <v>0</v>
      </c>
      <c r="W24" s="93">
        <v>0</v>
      </c>
      <c r="X24" s="93">
        <v>0</v>
      </c>
      <c r="Y24" s="93">
        <v>0</v>
      </c>
      <c r="Z24" s="93">
        <v>0</v>
      </c>
      <c r="AA24" s="93">
        <v>0</v>
      </c>
      <c r="AB24" s="93">
        <v>0</v>
      </c>
      <c r="AC24" s="93">
        <v>0</v>
      </c>
      <c r="AD24" s="93">
        <v>0</v>
      </c>
      <c r="AE24" s="93">
        <v>0</v>
      </c>
      <c r="AF24" s="93">
        <v>0</v>
      </c>
    </row>
    <row r="25" spans="2:32" s="93" customFormat="1" x14ac:dyDescent="0.25">
      <c r="B25" s="99" t="str">
        <f t="shared" si="1"/>
        <v>residential-cooling-heavy or residual fuel oil (BTU)</v>
      </c>
      <c r="C25" s="95" t="s">
        <v>736</v>
      </c>
      <c r="D25" s="95" t="s">
        <v>731</v>
      </c>
      <c r="E25" s="95" t="s">
        <v>171</v>
      </c>
      <c r="F25" s="93">
        <v>0</v>
      </c>
      <c r="G25" s="93">
        <v>0</v>
      </c>
      <c r="H25" s="93">
        <v>0</v>
      </c>
      <c r="I25" s="93">
        <v>0</v>
      </c>
      <c r="J25" s="93">
        <v>0</v>
      </c>
      <c r="K25" s="93">
        <v>0</v>
      </c>
      <c r="L25" s="93">
        <v>0</v>
      </c>
      <c r="M25" s="93">
        <v>0</v>
      </c>
      <c r="N25" s="93">
        <v>0</v>
      </c>
      <c r="O25" s="93">
        <v>0</v>
      </c>
      <c r="P25" s="93">
        <v>0</v>
      </c>
      <c r="Q25" s="93">
        <v>0</v>
      </c>
      <c r="R25" s="93">
        <v>0</v>
      </c>
      <c r="S25" s="93">
        <v>0</v>
      </c>
      <c r="T25" s="93">
        <v>0</v>
      </c>
      <c r="U25" s="93">
        <v>0</v>
      </c>
      <c r="V25" s="93">
        <v>0</v>
      </c>
      <c r="W25" s="93">
        <v>0</v>
      </c>
      <c r="X25" s="93">
        <v>0</v>
      </c>
      <c r="Y25" s="93">
        <v>0</v>
      </c>
      <c r="Z25" s="93">
        <v>0</v>
      </c>
      <c r="AA25" s="93">
        <v>0</v>
      </c>
      <c r="AB25" s="93">
        <v>0</v>
      </c>
      <c r="AC25" s="93">
        <v>0</v>
      </c>
      <c r="AD25" s="93">
        <v>0</v>
      </c>
      <c r="AE25" s="93">
        <v>0</v>
      </c>
      <c r="AF25" s="93">
        <v>0</v>
      </c>
    </row>
    <row r="26" spans="2:32" s="93" customFormat="1" x14ac:dyDescent="0.25">
      <c r="B26" s="99" t="str">
        <f t="shared" si="1"/>
        <v>residential-cooling-LPG propane or butane (BTU)</v>
      </c>
      <c r="C26" s="95" t="s">
        <v>736</v>
      </c>
      <c r="D26" s="95" t="s">
        <v>731</v>
      </c>
      <c r="E26" s="95" t="s">
        <v>172</v>
      </c>
      <c r="F26" s="93">
        <v>0</v>
      </c>
      <c r="G26" s="93">
        <v>0</v>
      </c>
      <c r="H26" s="93">
        <v>0</v>
      </c>
      <c r="I26" s="93">
        <v>0</v>
      </c>
      <c r="J26" s="93">
        <v>0</v>
      </c>
      <c r="K26" s="93">
        <v>0</v>
      </c>
      <c r="L26" s="93">
        <v>0</v>
      </c>
      <c r="M26" s="93">
        <v>0</v>
      </c>
      <c r="N26" s="93">
        <v>0</v>
      </c>
      <c r="O26" s="93">
        <v>0</v>
      </c>
      <c r="P26" s="93">
        <v>0</v>
      </c>
      <c r="Q26" s="93">
        <v>0</v>
      </c>
      <c r="R26" s="93">
        <v>0</v>
      </c>
      <c r="S26" s="93">
        <v>0</v>
      </c>
      <c r="T26" s="93">
        <v>0</v>
      </c>
      <c r="U26" s="93">
        <v>0</v>
      </c>
      <c r="V26" s="93">
        <v>0</v>
      </c>
      <c r="W26" s="93">
        <v>0</v>
      </c>
      <c r="X26" s="93">
        <v>0</v>
      </c>
      <c r="Y26" s="93">
        <v>0</v>
      </c>
      <c r="Z26" s="93">
        <v>0</v>
      </c>
      <c r="AA26" s="93">
        <v>0</v>
      </c>
      <c r="AB26" s="93">
        <v>0</v>
      </c>
      <c r="AC26" s="93">
        <v>0</v>
      </c>
      <c r="AD26" s="93">
        <v>0</v>
      </c>
      <c r="AE26" s="93">
        <v>0</v>
      </c>
      <c r="AF26" s="93">
        <v>0</v>
      </c>
    </row>
    <row r="27" spans="2:32" s="93" customFormat="1" x14ac:dyDescent="0.25">
      <c r="B27" s="99" t="str">
        <f t="shared" si="1"/>
        <v>residential-cooling-hydrogen (BTU)</v>
      </c>
      <c r="C27" s="95" t="s">
        <v>736</v>
      </c>
      <c r="D27" s="95" t="s">
        <v>731</v>
      </c>
      <c r="E27" s="95" t="s">
        <v>173</v>
      </c>
      <c r="F27" s="93">
        <v>0</v>
      </c>
      <c r="G27" s="93">
        <v>0</v>
      </c>
      <c r="H27" s="93">
        <v>0</v>
      </c>
      <c r="I27" s="93">
        <v>0</v>
      </c>
      <c r="J27" s="93">
        <v>0</v>
      </c>
      <c r="K27" s="93">
        <v>0</v>
      </c>
      <c r="L27" s="93">
        <v>0</v>
      </c>
      <c r="M27" s="93">
        <v>0</v>
      </c>
      <c r="N27" s="93">
        <v>0</v>
      </c>
      <c r="O27" s="93">
        <v>0</v>
      </c>
      <c r="P27" s="93">
        <v>0</v>
      </c>
      <c r="Q27" s="93">
        <v>0</v>
      </c>
      <c r="R27" s="93">
        <v>0</v>
      </c>
      <c r="S27" s="93">
        <v>0</v>
      </c>
      <c r="T27" s="93">
        <v>0</v>
      </c>
      <c r="U27" s="93">
        <v>0</v>
      </c>
      <c r="V27" s="93">
        <v>0</v>
      </c>
      <c r="W27" s="93">
        <v>0</v>
      </c>
      <c r="X27" s="93">
        <v>0</v>
      </c>
      <c r="Y27" s="93">
        <v>0</v>
      </c>
      <c r="Z27" s="93">
        <v>0</v>
      </c>
      <c r="AA27" s="93">
        <v>0</v>
      </c>
      <c r="AB27" s="93">
        <v>0</v>
      </c>
      <c r="AC27" s="93">
        <v>0</v>
      </c>
      <c r="AD27" s="93">
        <v>0</v>
      </c>
      <c r="AE27" s="93">
        <v>0</v>
      </c>
      <c r="AF27" s="93">
        <v>0</v>
      </c>
    </row>
    <row r="28" spans="2:32" s="93" customFormat="1" x14ac:dyDescent="0.25">
      <c r="B28" s="95"/>
      <c r="C28" s="95"/>
      <c r="D28" s="95"/>
      <c r="E28" s="95"/>
    </row>
    <row r="29" spans="2:32" s="93" customFormat="1" x14ac:dyDescent="0.25">
      <c r="B29" s="86" t="s">
        <v>178</v>
      </c>
      <c r="C29" s="95"/>
      <c r="D29" s="95"/>
      <c r="E29" s="95"/>
    </row>
    <row r="30" spans="2:32" s="93" customFormat="1" x14ac:dyDescent="0.25">
      <c r="B30" s="95"/>
      <c r="C30" s="95"/>
      <c r="D30" s="95"/>
      <c r="E30" s="95" t="s">
        <v>10</v>
      </c>
      <c r="F30" s="86">
        <v>2024</v>
      </c>
      <c r="G30" s="86">
        <v>2025</v>
      </c>
      <c r="H30" s="86">
        <v>2026</v>
      </c>
      <c r="I30" s="86">
        <v>2027</v>
      </c>
      <c r="J30" s="86">
        <v>2028</v>
      </c>
      <c r="K30" s="86">
        <v>2029</v>
      </c>
      <c r="L30" s="86">
        <v>2030</v>
      </c>
      <c r="M30" s="86">
        <v>2031</v>
      </c>
      <c r="N30" s="86">
        <v>2032</v>
      </c>
      <c r="O30" s="86">
        <v>2033</v>
      </c>
      <c r="P30" s="86">
        <v>2034</v>
      </c>
      <c r="Q30" s="86">
        <v>2035</v>
      </c>
      <c r="R30" s="86">
        <v>2036</v>
      </c>
      <c r="S30" s="86">
        <v>2037</v>
      </c>
      <c r="T30" s="86">
        <v>2038</v>
      </c>
      <c r="U30" s="86">
        <v>2039</v>
      </c>
      <c r="V30" s="86">
        <v>2040</v>
      </c>
      <c r="W30" s="86">
        <v>2041</v>
      </c>
      <c r="X30" s="86">
        <v>2042</v>
      </c>
      <c r="Y30" s="86">
        <v>2043</v>
      </c>
      <c r="Z30" s="86">
        <v>2044</v>
      </c>
      <c r="AA30" s="86">
        <v>2045</v>
      </c>
      <c r="AB30" s="86">
        <v>2046</v>
      </c>
      <c r="AC30" s="86">
        <v>2047</v>
      </c>
      <c r="AD30" s="86">
        <v>2048</v>
      </c>
      <c r="AE30" s="86">
        <v>2049</v>
      </c>
      <c r="AF30" s="86">
        <v>2050</v>
      </c>
    </row>
    <row r="31" spans="2:32" s="93" customFormat="1" x14ac:dyDescent="0.25">
      <c r="B31" s="99" t="str">
        <f>C31&amp;"-"&amp;D31&amp;"-"&amp;E31</f>
        <v>residential-lighting-electricity (BTU)</v>
      </c>
      <c r="C31" s="95" t="s">
        <v>736</v>
      </c>
      <c r="D31" s="95" t="s">
        <v>733</v>
      </c>
      <c r="E31" s="95" t="s">
        <v>11</v>
      </c>
      <c r="F31" s="93">
        <f>SUMIFS('Crosswalk AEO to EPS Summary'!F:F,'Crosswalk AEO to EPS Summary'!$B:$B,$B31)*Percent_urban*quadrillion</f>
        <v>152347957904962.38</v>
      </c>
      <c r="G31" s="93">
        <f>SUMIFS('Crosswalk AEO to EPS Summary'!G:G,'Crosswalk AEO to EPS Summary'!$B:$B,$B31)*Percent_urban*quadrillion</f>
        <v>150737242775034.41</v>
      </c>
      <c r="H31" s="93">
        <f>SUMIFS('Crosswalk AEO to EPS Summary'!H:H,'Crosswalk AEO to EPS Summary'!$B:$B,$B31)*Percent_urban*quadrillion</f>
        <v>152017033595078.09</v>
      </c>
      <c r="I31" s="93">
        <f>SUMIFS('Crosswalk AEO to EPS Summary'!I:I,'Crosswalk AEO to EPS Summary'!$B:$B,$B31)*Percent_urban*quadrillion</f>
        <v>154999417793248.59</v>
      </c>
      <c r="J31" s="93">
        <f>SUMIFS('Crosswalk AEO to EPS Summary'!J:J,'Crosswalk AEO to EPS Summary'!$B:$B,$B31)*Percent_urban*quadrillion</f>
        <v>157515906095685.25</v>
      </c>
      <c r="K31" s="93">
        <f>SUMIFS('Crosswalk AEO to EPS Summary'!K:K,'Crosswalk AEO to EPS Summary'!$B:$B,$B31)*Percent_urban*quadrillion</f>
        <v>159042060713996.59</v>
      </c>
      <c r="L31" s="93">
        <f>SUMIFS('Crosswalk AEO to EPS Summary'!L:L,'Crosswalk AEO to EPS Summary'!$B:$B,$B31)*Percent_urban*quadrillion</f>
        <v>158685930866995.88</v>
      </c>
      <c r="M31" s="93">
        <f>SUMIFS('Crosswalk AEO to EPS Summary'!M:M,'Crosswalk AEO to EPS Summary'!$B:$B,$B31)*Percent_urban*quadrillion</f>
        <v>158169623897029.06</v>
      </c>
      <c r="N31" s="93">
        <f>SUMIFS('Crosswalk AEO to EPS Summary'!N:N,'Crosswalk AEO to EPS Summary'!$B:$B,$B31)*Percent_urban*quadrillion</f>
        <v>157998063628268.44</v>
      </c>
      <c r="O31" s="93">
        <f>SUMIFS('Crosswalk AEO to EPS Summary'!O:O,'Crosswalk AEO to EPS Summary'!$B:$B,$B31)*Percent_urban*quadrillion</f>
        <v>157859026633206.5</v>
      </c>
      <c r="P31" s="93">
        <f>SUMIFS('Crosswalk AEO to EPS Summary'!P:P,'Crosswalk AEO to EPS Summary'!$B:$B,$B31)*Percent_urban*quadrillion</f>
        <v>158066362503035.69</v>
      </c>
      <c r="Q31" s="93">
        <f>SUMIFS('Crosswalk AEO to EPS Summary'!Q:Q,'Crosswalk AEO to EPS Summary'!$B:$B,$B31)*Percent_urban*quadrillion</f>
        <v>158776996033352.22</v>
      </c>
      <c r="R31" s="93">
        <f>SUMIFS('Crosswalk AEO to EPS Summary'!R:R,'Crosswalk AEO to EPS Summary'!$B:$B,$B31)*Percent_urban*quadrillion</f>
        <v>159851077147251.66</v>
      </c>
      <c r="S31" s="93">
        <f>SUMIFS('Crosswalk AEO to EPS Summary'!S:S,'Crosswalk AEO to EPS Summary'!$B:$B,$B31)*Percent_urban*quadrillion</f>
        <v>161044681291993.84</v>
      </c>
      <c r="T31" s="93">
        <f>SUMIFS('Crosswalk AEO to EPS Summary'!T:T,'Crosswalk AEO to EPS Summary'!$B:$B,$B31)*Percent_urban*quadrillion</f>
        <v>162042332712701.34</v>
      </c>
      <c r="U31" s="93">
        <f>SUMIFS('Crosswalk AEO to EPS Summary'!U:U,'Crosswalk AEO to EPS Summary'!$B:$B,$B31)*Percent_urban*quadrillion</f>
        <v>163170077228203.69</v>
      </c>
      <c r="V31" s="93">
        <f>SUMIFS('Crosswalk AEO to EPS Summary'!V:V,'Crosswalk AEO to EPS Summary'!$B:$B,$B31)*Percent_urban*quadrillion</f>
        <v>161639044118837.53</v>
      </c>
      <c r="W31" s="93">
        <f>SUMIFS('Crosswalk AEO to EPS Summary'!W:W,'Crosswalk AEO to EPS Summary'!$B:$B,$B31)*Percent_urban*quadrillion</f>
        <v>160316973042985.47</v>
      </c>
      <c r="X31" s="93">
        <f>SUMIFS('Crosswalk AEO to EPS Summary'!X:X,'Crosswalk AEO to EPS Summary'!$B:$B,$B31)*Percent_urban*quadrillion</f>
        <v>159316069294908.09</v>
      </c>
      <c r="Y31" s="93">
        <f>SUMIFS('Crosswalk AEO to EPS Summary'!Y:Y,'Crosswalk AEO to EPS Summary'!$B:$B,$B31)*Percent_urban*quadrillion</f>
        <v>158664790739091.72</v>
      </c>
      <c r="Z31" s="93">
        <f>SUMIFS('Crosswalk AEO to EPS Summary'!Z:Z,'Crosswalk AEO to EPS Summary'!$B:$B,$B31)*Percent_urban*quadrillion</f>
        <v>158311913219460.84</v>
      </c>
      <c r="AA31" s="93">
        <f>SUMIFS('Crosswalk AEO to EPS Summary'!AA:AA,'Crosswalk AEO to EPS Summary'!$B:$B,$B31)*Percent_urban*quadrillion</f>
        <v>158118399740953.59</v>
      </c>
      <c r="AB31" s="93">
        <f>SUMIFS('Crosswalk AEO to EPS Summary'!AB:AB,'Crosswalk AEO to EPS Summary'!$B:$B,$B31)*Percent_urban*quadrillion</f>
        <v>157963914190884.78</v>
      </c>
      <c r="AC31" s="93">
        <f>SUMIFS('Crosswalk AEO to EPS Summary'!AC:AC,'Crosswalk AEO to EPS Summary'!$B:$B,$B31)*Percent_urban*quadrillion</f>
        <v>157824064113980.41</v>
      </c>
      <c r="AD31" s="93">
        <f>SUMIFS('Crosswalk AEO to EPS Summary'!AD:AD,'Crosswalk AEO to EPS Summary'!$B:$B,$B31)*Percent_urban*quadrillion</f>
        <v>157803737067918.72</v>
      </c>
      <c r="AE31" s="93">
        <f>SUMIFS('Crosswalk AEO to EPS Summary'!AE:AE,'Crosswalk AEO to EPS Summary'!$B:$B,$B31)*Percent_urban*quadrillion</f>
        <v>157906185380069.59</v>
      </c>
      <c r="AF31" s="93">
        <f>SUMIFS('Crosswalk AEO to EPS Summary'!AF:AF,'Crosswalk AEO to EPS Summary'!$B:$B,$B31)*Percent_urban*quadrillion</f>
        <v>158033026147494.53</v>
      </c>
    </row>
    <row r="32" spans="2:32" s="93" customFormat="1" x14ac:dyDescent="0.25">
      <c r="B32" s="99" t="str">
        <f t="shared" ref="B32:B40" si="2">C32&amp;"-"&amp;D32&amp;"-"&amp;E32</f>
        <v>residential-lighting-coal (BTU)</v>
      </c>
      <c r="C32" s="95" t="s">
        <v>736</v>
      </c>
      <c r="D32" s="95" t="s">
        <v>733</v>
      </c>
      <c r="E32" s="95" t="s">
        <v>12</v>
      </c>
      <c r="F32" s="93">
        <v>0</v>
      </c>
      <c r="G32" s="93">
        <v>0</v>
      </c>
      <c r="H32" s="93">
        <v>0</v>
      </c>
      <c r="I32" s="93">
        <v>0</v>
      </c>
      <c r="J32" s="93">
        <v>0</v>
      </c>
      <c r="K32" s="93">
        <v>0</v>
      </c>
      <c r="L32" s="93">
        <v>0</v>
      </c>
      <c r="M32" s="93">
        <v>0</v>
      </c>
      <c r="N32" s="93">
        <v>0</v>
      </c>
      <c r="O32" s="93">
        <v>0</v>
      </c>
      <c r="P32" s="93">
        <v>0</v>
      </c>
      <c r="Q32" s="93">
        <v>0</v>
      </c>
      <c r="R32" s="93">
        <v>0</v>
      </c>
      <c r="S32" s="93">
        <v>0</v>
      </c>
      <c r="T32" s="93">
        <v>0</v>
      </c>
      <c r="U32" s="93">
        <v>0</v>
      </c>
      <c r="V32" s="93">
        <v>0</v>
      </c>
      <c r="W32" s="93">
        <v>0</v>
      </c>
      <c r="X32" s="93">
        <v>0</v>
      </c>
      <c r="Y32" s="93">
        <v>0</v>
      </c>
      <c r="Z32" s="93">
        <v>0</v>
      </c>
      <c r="AA32" s="93">
        <v>0</v>
      </c>
      <c r="AB32" s="93">
        <v>0</v>
      </c>
      <c r="AC32" s="93">
        <v>0</v>
      </c>
      <c r="AD32" s="93">
        <v>0</v>
      </c>
      <c r="AE32" s="93">
        <v>0</v>
      </c>
      <c r="AF32" s="93">
        <v>0</v>
      </c>
    </row>
    <row r="33" spans="2:32" s="93" customFormat="1" x14ac:dyDescent="0.25">
      <c r="B33" s="99" t="str">
        <f t="shared" si="2"/>
        <v>residential-lighting-natural gas (BTU)</v>
      </c>
      <c r="C33" s="95" t="s">
        <v>736</v>
      </c>
      <c r="D33" s="95" t="s">
        <v>733</v>
      </c>
      <c r="E33" s="95" t="s">
        <v>13</v>
      </c>
      <c r="F33" s="93">
        <v>0</v>
      </c>
      <c r="G33" s="93">
        <v>0</v>
      </c>
      <c r="H33" s="93">
        <v>0</v>
      </c>
      <c r="I33" s="93">
        <v>0</v>
      </c>
      <c r="J33" s="93">
        <v>0</v>
      </c>
      <c r="K33" s="93">
        <v>0</v>
      </c>
      <c r="L33" s="93">
        <v>0</v>
      </c>
      <c r="M33" s="93">
        <v>0</v>
      </c>
      <c r="N33" s="93">
        <v>0</v>
      </c>
      <c r="O33" s="93">
        <v>0</v>
      </c>
      <c r="P33" s="93">
        <v>0</v>
      </c>
      <c r="Q33" s="93">
        <v>0</v>
      </c>
      <c r="R33" s="93">
        <v>0</v>
      </c>
      <c r="S33" s="93">
        <v>0</v>
      </c>
      <c r="T33" s="93">
        <v>0</v>
      </c>
      <c r="U33" s="93">
        <v>0</v>
      </c>
      <c r="V33" s="93">
        <v>0</v>
      </c>
      <c r="W33" s="93">
        <v>0</v>
      </c>
      <c r="X33" s="93">
        <v>0</v>
      </c>
      <c r="Y33" s="93">
        <v>0</v>
      </c>
      <c r="Z33" s="93">
        <v>0</v>
      </c>
      <c r="AA33" s="93">
        <v>0</v>
      </c>
      <c r="AB33" s="93">
        <v>0</v>
      </c>
      <c r="AC33" s="93">
        <v>0</v>
      </c>
      <c r="AD33" s="93">
        <v>0</v>
      </c>
      <c r="AE33" s="93">
        <v>0</v>
      </c>
      <c r="AF33" s="93">
        <v>0</v>
      </c>
    </row>
    <row r="34" spans="2:32" s="93" customFormat="1" x14ac:dyDescent="0.25">
      <c r="B34" s="99" t="str">
        <f t="shared" si="2"/>
        <v>residential-lighting-petroleum diesel (BTU)</v>
      </c>
      <c r="C34" s="95" t="s">
        <v>736</v>
      </c>
      <c r="D34" s="95" t="s">
        <v>733</v>
      </c>
      <c r="E34" s="95" t="s">
        <v>14</v>
      </c>
      <c r="F34" s="93">
        <v>0</v>
      </c>
      <c r="G34" s="93">
        <v>0</v>
      </c>
      <c r="H34" s="93">
        <v>0</v>
      </c>
      <c r="I34" s="93">
        <v>0</v>
      </c>
      <c r="J34" s="93">
        <v>0</v>
      </c>
      <c r="K34" s="93">
        <v>0</v>
      </c>
      <c r="L34" s="93">
        <v>0</v>
      </c>
      <c r="M34" s="93">
        <v>0</v>
      </c>
      <c r="N34" s="93">
        <v>0</v>
      </c>
      <c r="O34" s="93">
        <v>0</v>
      </c>
      <c r="P34" s="93">
        <v>0</v>
      </c>
      <c r="Q34" s="93">
        <v>0</v>
      </c>
      <c r="R34" s="93">
        <v>0</v>
      </c>
      <c r="S34" s="93">
        <v>0</v>
      </c>
      <c r="T34" s="93">
        <v>0</v>
      </c>
      <c r="U34" s="93">
        <v>0</v>
      </c>
      <c r="V34" s="93">
        <v>0</v>
      </c>
      <c r="W34" s="93">
        <v>0</v>
      </c>
      <c r="X34" s="93">
        <v>0</v>
      </c>
      <c r="Y34" s="93">
        <v>0</v>
      </c>
      <c r="Z34" s="93">
        <v>0</v>
      </c>
      <c r="AA34" s="93">
        <v>0</v>
      </c>
      <c r="AB34" s="93">
        <v>0</v>
      </c>
      <c r="AC34" s="93">
        <v>0</v>
      </c>
      <c r="AD34" s="93">
        <v>0</v>
      </c>
      <c r="AE34" s="93">
        <v>0</v>
      </c>
      <c r="AF34" s="93">
        <v>0</v>
      </c>
    </row>
    <row r="35" spans="2:32" s="93" customFormat="1" x14ac:dyDescent="0.25">
      <c r="B35" s="99" t="str">
        <f t="shared" si="2"/>
        <v>residential-lighting-heat (BTU)</v>
      </c>
      <c r="C35" s="95" t="s">
        <v>736</v>
      </c>
      <c r="D35" s="95" t="s">
        <v>733</v>
      </c>
      <c r="E35" s="95" t="s">
        <v>16</v>
      </c>
      <c r="F35" s="93">
        <v>0</v>
      </c>
      <c r="G35" s="93">
        <v>0</v>
      </c>
      <c r="H35" s="93">
        <v>0</v>
      </c>
      <c r="I35" s="93">
        <v>0</v>
      </c>
      <c r="J35" s="93">
        <v>0</v>
      </c>
      <c r="K35" s="93">
        <v>0</v>
      </c>
      <c r="L35" s="93">
        <v>0</v>
      </c>
      <c r="M35" s="93">
        <v>0</v>
      </c>
      <c r="N35" s="93">
        <v>0</v>
      </c>
      <c r="O35" s="93">
        <v>0</v>
      </c>
      <c r="P35" s="93">
        <v>0</v>
      </c>
      <c r="Q35" s="93">
        <v>0</v>
      </c>
      <c r="R35" s="93">
        <v>0</v>
      </c>
      <c r="S35" s="93">
        <v>0</v>
      </c>
      <c r="T35" s="93">
        <v>0</v>
      </c>
      <c r="U35" s="93">
        <v>0</v>
      </c>
      <c r="V35" s="93">
        <v>0</v>
      </c>
      <c r="W35" s="93">
        <v>0</v>
      </c>
      <c r="X35" s="93">
        <v>0</v>
      </c>
      <c r="Y35" s="93">
        <v>0</v>
      </c>
      <c r="Z35" s="93">
        <v>0</v>
      </c>
      <c r="AA35" s="93">
        <v>0</v>
      </c>
      <c r="AB35" s="93">
        <v>0</v>
      </c>
      <c r="AC35" s="93">
        <v>0</v>
      </c>
      <c r="AD35" s="93">
        <v>0</v>
      </c>
      <c r="AE35" s="93">
        <v>0</v>
      </c>
      <c r="AF35" s="93">
        <v>0</v>
      </c>
    </row>
    <row r="36" spans="2:32" s="93" customFormat="1" x14ac:dyDescent="0.25">
      <c r="B36" s="99" t="str">
        <f t="shared" si="2"/>
        <v>residential-lighting-biomass (BTU)</v>
      </c>
      <c r="C36" s="95" t="s">
        <v>736</v>
      </c>
      <c r="D36" s="95" t="s">
        <v>733</v>
      </c>
      <c r="E36" s="95" t="s">
        <v>73</v>
      </c>
      <c r="F36" s="93">
        <v>0</v>
      </c>
      <c r="G36" s="93">
        <v>0</v>
      </c>
      <c r="H36" s="93">
        <v>0</v>
      </c>
      <c r="I36" s="93">
        <v>0</v>
      </c>
      <c r="J36" s="93">
        <v>0</v>
      </c>
      <c r="K36" s="93">
        <v>0</v>
      </c>
      <c r="L36" s="93">
        <v>0</v>
      </c>
      <c r="M36" s="93">
        <v>0</v>
      </c>
      <c r="N36" s="93">
        <v>0</v>
      </c>
      <c r="O36" s="93">
        <v>0</v>
      </c>
      <c r="P36" s="93">
        <v>0</v>
      </c>
      <c r="Q36" s="93">
        <v>0</v>
      </c>
      <c r="R36" s="93">
        <v>0</v>
      </c>
      <c r="S36" s="93">
        <v>0</v>
      </c>
      <c r="T36" s="93">
        <v>0</v>
      </c>
      <c r="U36" s="93">
        <v>0</v>
      </c>
      <c r="V36" s="93">
        <v>0</v>
      </c>
      <c r="W36" s="93">
        <v>0</v>
      </c>
      <c r="X36" s="93">
        <v>0</v>
      </c>
      <c r="Y36" s="93">
        <v>0</v>
      </c>
      <c r="Z36" s="93">
        <v>0</v>
      </c>
      <c r="AA36" s="93">
        <v>0</v>
      </c>
      <c r="AB36" s="93">
        <v>0</v>
      </c>
      <c r="AC36" s="93">
        <v>0</v>
      </c>
      <c r="AD36" s="93">
        <v>0</v>
      </c>
      <c r="AE36" s="93">
        <v>0</v>
      </c>
      <c r="AF36" s="93">
        <v>0</v>
      </c>
    </row>
    <row r="37" spans="2:32" s="93" customFormat="1" x14ac:dyDescent="0.25">
      <c r="B37" s="99" t="str">
        <f t="shared" si="2"/>
        <v>residential-lighting-kerosene (BTU)</v>
      </c>
      <c r="C37" s="95" t="s">
        <v>736</v>
      </c>
      <c r="D37" s="95" t="s">
        <v>733</v>
      </c>
      <c r="E37" s="95" t="s">
        <v>170</v>
      </c>
      <c r="F37" s="93">
        <v>0</v>
      </c>
      <c r="G37" s="93">
        <v>0</v>
      </c>
      <c r="H37" s="93">
        <v>0</v>
      </c>
      <c r="I37" s="93">
        <v>0</v>
      </c>
      <c r="J37" s="93">
        <v>0</v>
      </c>
      <c r="K37" s="93">
        <v>0</v>
      </c>
      <c r="L37" s="93">
        <v>0</v>
      </c>
      <c r="M37" s="93">
        <v>0</v>
      </c>
      <c r="N37" s="93">
        <v>0</v>
      </c>
      <c r="O37" s="93">
        <v>0</v>
      </c>
      <c r="P37" s="93">
        <v>0</v>
      </c>
      <c r="Q37" s="93">
        <v>0</v>
      </c>
      <c r="R37" s="93">
        <v>0</v>
      </c>
      <c r="S37" s="93">
        <v>0</v>
      </c>
      <c r="T37" s="93">
        <v>0</v>
      </c>
      <c r="U37" s="93">
        <v>0</v>
      </c>
      <c r="V37" s="93">
        <v>0</v>
      </c>
      <c r="W37" s="93">
        <v>0</v>
      </c>
      <c r="X37" s="93">
        <v>0</v>
      </c>
      <c r="Y37" s="93">
        <v>0</v>
      </c>
      <c r="Z37" s="93">
        <v>0</v>
      </c>
      <c r="AA37" s="93">
        <v>0</v>
      </c>
      <c r="AB37" s="93">
        <v>0</v>
      </c>
      <c r="AC37" s="93">
        <v>0</v>
      </c>
      <c r="AD37" s="93">
        <v>0</v>
      </c>
      <c r="AE37" s="93">
        <v>0</v>
      </c>
      <c r="AF37" s="93">
        <v>0</v>
      </c>
    </row>
    <row r="38" spans="2:32" s="93" customFormat="1" x14ac:dyDescent="0.25">
      <c r="B38" s="99" t="str">
        <f t="shared" si="2"/>
        <v>residential-lighting-heavy or residual fuel oil (BTU)</v>
      </c>
      <c r="C38" s="95" t="s">
        <v>736</v>
      </c>
      <c r="D38" s="95" t="s">
        <v>733</v>
      </c>
      <c r="E38" s="95" t="s">
        <v>171</v>
      </c>
      <c r="F38" s="93">
        <v>0</v>
      </c>
      <c r="G38" s="93">
        <v>0</v>
      </c>
      <c r="H38" s="93">
        <v>0</v>
      </c>
      <c r="I38" s="93">
        <v>0</v>
      </c>
      <c r="J38" s="93">
        <v>0</v>
      </c>
      <c r="K38" s="93">
        <v>0</v>
      </c>
      <c r="L38" s="93">
        <v>0</v>
      </c>
      <c r="M38" s="93">
        <v>0</v>
      </c>
      <c r="N38" s="93">
        <v>0</v>
      </c>
      <c r="O38" s="93">
        <v>0</v>
      </c>
      <c r="P38" s="93">
        <v>0</v>
      </c>
      <c r="Q38" s="93">
        <v>0</v>
      </c>
      <c r="R38" s="93">
        <v>0</v>
      </c>
      <c r="S38" s="93">
        <v>0</v>
      </c>
      <c r="T38" s="93">
        <v>0</v>
      </c>
      <c r="U38" s="93">
        <v>0</v>
      </c>
      <c r="V38" s="93">
        <v>0</v>
      </c>
      <c r="W38" s="93">
        <v>0</v>
      </c>
      <c r="X38" s="93">
        <v>0</v>
      </c>
      <c r="Y38" s="93">
        <v>0</v>
      </c>
      <c r="Z38" s="93">
        <v>0</v>
      </c>
      <c r="AA38" s="93">
        <v>0</v>
      </c>
      <c r="AB38" s="93">
        <v>0</v>
      </c>
      <c r="AC38" s="93">
        <v>0</v>
      </c>
      <c r="AD38" s="93">
        <v>0</v>
      </c>
      <c r="AE38" s="93">
        <v>0</v>
      </c>
      <c r="AF38" s="93">
        <v>0</v>
      </c>
    </row>
    <row r="39" spans="2:32" s="93" customFormat="1" x14ac:dyDescent="0.25">
      <c r="B39" s="99" t="str">
        <f t="shared" si="2"/>
        <v>residential-lighting-LPG propane or butane (BTU)</v>
      </c>
      <c r="C39" s="95" t="s">
        <v>736</v>
      </c>
      <c r="D39" s="95" t="s">
        <v>733</v>
      </c>
      <c r="E39" s="95" t="s">
        <v>172</v>
      </c>
      <c r="F39" s="93">
        <v>0</v>
      </c>
      <c r="G39" s="93">
        <v>0</v>
      </c>
      <c r="H39" s="93">
        <v>0</v>
      </c>
      <c r="I39" s="93">
        <v>0</v>
      </c>
      <c r="J39" s="93">
        <v>0</v>
      </c>
      <c r="K39" s="93">
        <v>0</v>
      </c>
      <c r="L39" s="93">
        <v>0</v>
      </c>
      <c r="M39" s="93">
        <v>0</v>
      </c>
      <c r="N39" s="93">
        <v>0</v>
      </c>
      <c r="O39" s="93">
        <v>0</v>
      </c>
      <c r="P39" s="93">
        <v>0</v>
      </c>
      <c r="Q39" s="93">
        <v>0</v>
      </c>
      <c r="R39" s="93">
        <v>0</v>
      </c>
      <c r="S39" s="93">
        <v>0</v>
      </c>
      <c r="T39" s="93">
        <v>0</v>
      </c>
      <c r="U39" s="93">
        <v>0</v>
      </c>
      <c r="V39" s="93">
        <v>0</v>
      </c>
      <c r="W39" s="93">
        <v>0</v>
      </c>
      <c r="X39" s="93">
        <v>0</v>
      </c>
      <c r="Y39" s="93">
        <v>0</v>
      </c>
      <c r="Z39" s="93">
        <v>0</v>
      </c>
      <c r="AA39" s="93">
        <v>0</v>
      </c>
      <c r="AB39" s="93">
        <v>0</v>
      </c>
      <c r="AC39" s="93">
        <v>0</v>
      </c>
      <c r="AD39" s="93">
        <v>0</v>
      </c>
      <c r="AE39" s="93">
        <v>0</v>
      </c>
      <c r="AF39" s="93">
        <v>0</v>
      </c>
    </row>
    <row r="40" spans="2:32" s="93" customFormat="1" x14ac:dyDescent="0.25">
      <c r="B40" s="99" t="str">
        <f t="shared" si="2"/>
        <v>residential-lighting-hydrogen (BTU)</v>
      </c>
      <c r="C40" s="95" t="s">
        <v>736</v>
      </c>
      <c r="D40" s="95" t="s">
        <v>733</v>
      </c>
      <c r="E40" s="95" t="s">
        <v>173</v>
      </c>
      <c r="F40" s="93">
        <v>0</v>
      </c>
      <c r="G40" s="93">
        <v>0</v>
      </c>
      <c r="H40" s="93">
        <v>0</v>
      </c>
      <c r="I40" s="93">
        <v>0</v>
      </c>
      <c r="J40" s="93">
        <v>0</v>
      </c>
      <c r="K40" s="93">
        <v>0</v>
      </c>
      <c r="L40" s="93">
        <v>0</v>
      </c>
      <c r="M40" s="93">
        <v>0</v>
      </c>
      <c r="N40" s="93">
        <v>0</v>
      </c>
      <c r="O40" s="93">
        <v>0</v>
      </c>
      <c r="P40" s="93">
        <v>0</v>
      </c>
      <c r="Q40" s="93">
        <v>0</v>
      </c>
      <c r="R40" s="93">
        <v>0</v>
      </c>
      <c r="S40" s="93">
        <v>0</v>
      </c>
      <c r="T40" s="93">
        <v>0</v>
      </c>
      <c r="U40" s="93">
        <v>0</v>
      </c>
      <c r="V40" s="93">
        <v>0</v>
      </c>
      <c r="W40" s="93">
        <v>0</v>
      </c>
      <c r="X40" s="93">
        <v>0</v>
      </c>
      <c r="Y40" s="93">
        <v>0</v>
      </c>
      <c r="Z40" s="93">
        <v>0</v>
      </c>
      <c r="AA40" s="93">
        <v>0</v>
      </c>
      <c r="AB40" s="93">
        <v>0</v>
      </c>
      <c r="AC40" s="93">
        <v>0</v>
      </c>
      <c r="AD40" s="93">
        <v>0</v>
      </c>
      <c r="AE40" s="93">
        <v>0</v>
      </c>
      <c r="AF40" s="93">
        <v>0</v>
      </c>
    </row>
    <row r="41" spans="2:32" x14ac:dyDescent="0.25">
      <c r="F41" s="93"/>
    </row>
    <row r="42" spans="2:32" x14ac:dyDescent="0.25">
      <c r="B42" s="1" t="s">
        <v>179</v>
      </c>
      <c r="F42" s="93"/>
    </row>
    <row r="43" spans="2:32" x14ac:dyDescent="0.25">
      <c r="E43" s="94" t="s">
        <v>10</v>
      </c>
      <c r="F43" s="86">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25">
      <c r="B44" s="100" t="str">
        <f>C44&amp;"-"&amp;D44&amp;"-"&amp;E44</f>
        <v>residential-appliances-electricity (BTU)</v>
      </c>
      <c r="C44" s="94" t="s">
        <v>736</v>
      </c>
      <c r="D44" s="94" t="s">
        <v>732</v>
      </c>
      <c r="E44" s="94" t="s">
        <v>11</v>
      </c>
      <c r="F44" s="93">
        <f>SUMIFS('Crosswalk AEO to EPS Summary'!F:F,'Crosswalk AEO to EPS Summary'!$B:$B,$B44)*Percent_urban*quadrillion</f>
        <v>1009091482231036.9</v>
      </c>
      <c r="G44" s="74">
        <f>SUM(SUMIFS('Crosswalk AEO to EPS Summary'!G:G,'Crosswalk AEO to EPS Summary'!$B:$B,$B44),'Heat Pump DOE Rule Adjustment'!E34)*Percent_urban*quadrillion</f>
        <v>1371220247065490</v>
      </c>
      <c r="H44" s="74">
        <f>SUM(SUMIFS('Crosswalk AEO to EPS Summary'!H:H,'Crosswalk AEO to EPS Summary'!$B:$B,$B44),'Heat Pump DOE Rule Adjustment'!F34)*Percent_urban*quadrillion</f>
        <v>1358488198494293</v>
      </c>
      <c r="I44" s="74">
        <f>SUM(SUMIFS('Crosswalk AEO to EPS Summary'!I:I,'Crosswalk AEO to EPS Summary'!$B:$B,$B44),'Heat Pump DOE Rule Adjustment'!G34)*Percent_urban*quadrillion</f>
        <v>1346314737148870.5</v>
      </c>
      <c r="J44" s="74">
        <f>SUM(SUMIFS('Crosswalk AEO to EPS Summary'!J:J,'Crosswalk AEO to EPS Summary'!$B:$B,$B44),'Heat Pump DOE Rule Adjustment'!H34)*Percent_urban*quadrillion</f>
        <v>1328598496883348</v>
      </c>
      <c r="K44" s="74">
        <f>SUM(SUMIFS('Crosswalk AEO to EPS Summary'!K:K,'Crosswalk AEO to EPS Summary'!$B:$B,$B44),'Heat Pump DOE Rule Adjustment'!I34)*Percent_urban*quadrillion</f>
        <v>1286931010740723.3</v>
      </c>
      <c r="L44" s="74">
        <f>SUM(SUMIFS('Crosswalk AEO to EPS Summary'!L:L,'Crosswalk AEO to EPS Summary'!$B:$B,$B44),'Heat Pump DOE Rule Adjustment'!J34)*Percent_urban*quadrillion</f>
        <v>1256493811006258.3</v>
      </c>
      <c r="M44" s="74">
        <f>SUM(SUMIFS('Crosswalk AEO to EPS Summary'!M:M,'Crosswalk AEO to EPS Summary'!$B:$B,$B44),'Heat Pump DOE Rule Adjustment'!K34)*Percent_urban*quadrillion</f>
        <v>1224685755285393.3</v>
      </c>
      <c r="N44" s="74">
        <f>SUM(SUMIFS('Crosswalk AEO to EPS Summary'!N:N,'Crosswalk AEO to EPS Summary'!$B:$B,$B44),'Heat Pump DOE Rule Adjustment'!L34)*Percent_urban*quadrillion</f>
        <v>1194190826740112.8</v>
      </c>
      <c r="O44" s="74">
        <f>SUM(SUMIFS('Crosswalk AEO to EPS Summary'!O:O,'Crosswalk AEO to EPS Summary'!$B:$B,$B44),'Heat Pump DOE Rule Adjustment'!M34)*Percent_urban*quadrillion</f>
        <v>1165717219655206.8</v>
      </c>
      <c r="P44" s="74">
        <f>SUM(SUMIFS('Crosswalk AEO to EPS Summary'!P:P,'Crosswalk AEO to EPS Summary'!$B:$B,$B44),'Heat Pump DOE Rule Adjustment'!N34)*Percent_urban*quadrillion</f>
        <v>1139931661141498</v>
      </c>
      <c r="Q44" s="74">
        <f>SUM(SUMIFS('Crosswalk AEO to EPS Summary'!Q:Q,'Crosswalk AEO to EPS Summary'!$B:$B,$B44),'Heat Pump DOE Rule Adjustment'!O34)*Percent_urban*quadrillion</f>
        <v>1117530149256138.8</v>
      </c>
      <c r="R44" s="74">
        <f>SUM(SUMIFS('Crosswalk AEO to EPS Summary'!R:R,'Crosswalk AEO to EPS Summary'!$B:$B,$B44),'Heat Pump DOE Rule Adjustment'!P34)*Percent_urban*quadrillion</f>
        <v>1098563908155203.6</v>
      </c>
      <c r="S44" s="74">
        <f>SUM(SUMIFS('Crosswalk AEO to EPS Summary'!S:S,'Crosswalk AEO to EPS Summary'!$B:$B,$B44),'Heat Pump DOE Rule Adjustment'!Q34)*Percent_urban*quadrillion</f>
        <v>1082349136009179</v>
      </c>
      <c r="T44" s="74">
        <f>SUM(SUMIFS('Crosswalk AEO to EPS Summary'!T:T,'Crosswalk AEO to EPS Summary'!$B:$B,$B44),'Heat Pump DOE Rule Adjustment'!R34)*Percent_urban*quadrillion</f>
        <v>1068044293111109.9</v>
      </c>
      <c r="U44" s="74">
        <f>SUM(SUMIFS('Crosswalk AEO to EPS Summary'!U:U,'Crosswalk AEO to EPS Summary'!$B:$B,$B44),'Heat Pump DOE Rule Adjustment'!S34)*Percent_urban*quadrillion</f>
        <v>1056084378246717.1</v>
      </c>
      <c r="V44" s="74">
        <f>SUM(SUMIFS('Crosswalk AEO to EPS Summary'!V:V,'Crosswalk AEO to EPS Summary'!$B:$B,$B44),'Heat Pump DOE Rule Adjustment'!T34)*Percent_urban*quadrillion</f>
        <v>1046276691019335.3</v>
      </c>
      <c r="W44" s="74">
        <f>SUM(SUMIFS('Crosswalk AEO to EPS Summary'!W:W,'Crosswalk AEO to EPS Summary'!$B:$B,$B44),'Heat Pump DOE Rule Adjustment'!U34)*Percent_urban*quadrillion</f>
        <v>1038360232157532.9</v>
      </c>
      <c r="X44" s="74">
        <f>SUM(SUMIFS('Crosswalk AEO to EPS Summary'!X:X,'Crosswalk AEO to EPS Summary'!$B:$B,$B44),'Heat Pump DOE Rule Adjustment'!V34)*Percent_urban*quadrillion</f>
        <v>1041075925511374</v>
      </c>
      <c r="Y44" s="74">
        <f>SUM(SUMIFS('Crosswalk AEO to EPS Summary'!Y:Y,'Crosswalk AEO to EPS Summary'!$B:$B,$B44),'Heat Pump DOE Rule Adjustment'!W34)*Percent_urban*quadrillion</f>
        <v>1045423474123047.3</v>
      </c>
      <c r="Z44" s="74">
        <f>SUM(SUMIFS('Crosswalk AEO to EPS Summary'!Z:Z,'Crosswalk AEO to EPS Summary'!$B:$B,$B44),'Heat Pump DOE Rule Adjustment'!X34)*Percent_urban*quadrillion</f>
        <v>1049725490151542.5</v>
      </c>
      <c r="AA44" s="74">
        <f>SUM(SUMIFS('Crosswalk AEO to EPS Summary'!AA:AA,'Crosswalk AEO to EPS Summary'!$B:$B,$B44),'Heat Pump DOE Rule Adjustment'!Y34)*Percent_urban*quadrillion</f>
        <v>1054160038520359.8</v>
      </c>
      <c r="AB44" s="74">
        <f>SUM(SUMIFS('Crosswalk AEO to EPS Summary'!AB:AB,'Crosswalk AEO to EPS Summary'!$B:$B,$B44),'Heat Pump DOE Rule Adjustment'!Z34)*Percent_urban*quadrillion</f>
        <v>1058753137848458</v>
      </c>
      <c r="AC44" s="74">
        <f>SUM(SUMIFS('Crosswalk AEO to EPS Summary'!AC:AC,'Crosswalk AEO to EPS Summary'!$B:$B,$B44),'Heat Pump DOE Rule Adjustment'!AA34)*Percent_urban*quadrillion</f>
        <v>1063568208519550.4</v>
      </c>
      <c r="AD44" s="74">
        <f>SUM(SUMIFS('Crosswalk AEO to EPS Summary'!AD:AD,'Crosswalk AEO to EPS Summary'!$B:$B,$B44),'Heat Pump DOE Rule Adjustment'!AB34)*Percent_urban*quadrillion</f>
        <v>1068387344599854.4</v>
      </c>
      <c r="AE44" s="74">
        <f>SUM(SUMIFS('Crosswalk AEO to EPS Summary'!AE:AE,'Crosswalk AEO to EPS Summary'!$B:$B,$B44),'Heat Pump DOE Rule Adjustment'!AC34)*Percent_urban*quadrillion</f>
        <v>1073300798173885.1</v>
      </c>
      <c r="AF44" s="74">
        <f>SUM(SUMIFS('Crosswalk AEO to EPS Summary'!AF:AF,'Crosswalk AEO to EPS Summary'!$B:$B,$B44),'Heat Pump DOE Rule Adjustment'!AD34)*Percent_urban*quadrillion</f>
        <v>1078210186338703.5</v>
      </c>
    </row>
    <row r="45" spans="2:32" s="93" customFormat="1" x14ac:dyDescent="0.25">
      <c r="B45" s="99" t="str">
        <f t="shared" ref="B45:B53" si="3">C45&amp;"-"&amp;D45&amp;"-"&amp;E45</f>
        <v>residential-appliances-coal (BTU)</v>
      </c>
      <c r="C45" s="95" t="s">
        <v>736</v>
      </c>
      <c r="D45" s="95" t="s">
        <v>732</v>
      </c>
      <c r="E45" s="95" t="s">
        <v>12</v>
      </c>
      <c r="F45" s="93">
        <v>0</v>
      </c>
      <c r="G45" s="93">
        <v>0</v>
      </c>
      <c r="H45" s="93">
        <v>0</v>
      </c>
      <c r="I45" s="93">
        <v>0</v>
      </c>
      <c r="J45" s="93">
        <v>0</v>
      </c>
      <c r="K45" s="93">
        <v>0</v>
      </c>
      <c r="L45" s="93">
        <v>0</v>
      </c>
      <c r="M45" s="93">
        <v>0</v>
      </c>
      <c r="N45" s="93">
        <v>0</v>
      </c>
      <c r="O45" s="93">
        <v>0</v>
      </c>
      <c r="P45" s="93">
        <v>0</v>
      </c>
      <c r="Q45" s="93">
        <v>0</v>
      </c>
      <c r="R45" s="93">
        <v>0</v>
      </c>
      <c r="S45" s="93">
        <v>0</v>
      </c>
      <c r="T45" s="93">
        <v>0</v>
      </c>
      <c r="U45" s="93">
        <v>0</v>
      </c>
      <c r="V45" s="93">
        <v>0</v>
      </c>
      <c r="W45" s="93">
        <v>0</v>
      </c>
      <c r="X45" s="93">
        <v>0</v>
      </c>
      <c r="Y45" s="93">
        <v>0</v>
      </c>
      <c r="Z45" s="93">
        <v>0</v>
      </c>
      <c r="AA45" s="93">
        <v>0</v>
      </c>
      <c r="AB45" s="93">
        <v>0</v>
      </c>
      <c r="AC45" s="93">
        <v>0</v>
      </c>
      <c r="AD45" s="93">
        <v>0</v>
      </c>
      <c r="AE45" s="93">
        <v>0</v>
      </c>
      <c r="AF45" s="93">
        <v>0</v>
      </c>
    </row>
    <row r="46" spans="2:32" s="93" customFormat="1" x14ac:dyDescent="0.25">
      <c r="B46" s="99" t="str">
        <f t="shared" si="3"/>
        <v>residential-appliances-natural gas (BTU)</v>
      </c>
      <c r="C46" s="95" t="s">
        <v>736</v>
      </c>
      <c r="D46" s="95" t="s">
        <v>732</v>
      </c>
      <c r="E46" s="95" t="s">
        <v>13</v>
      </c>
      <c r="F46" s="93">
        <f>SUMIFS('Crosswalk AEO to EPS Summary'!F:F,'Crosswalk AEO to EPS Summary'!$B:$B,$B46)*Percent_urban*quadrillion</f>
        <v>937723223508459.38</v>
      </c>
      <c r="G46" s="93">
        <f>SUMIFS('Crosswalk AEO to EPS Summary'!G:G,'Crosswalk AEO to EPS Summary'!$B:$B,$B46)*Percent_urban*quadrillion</f>
        <v>947063907714725</v>
      </c>
      <c r="H46" s="93">
        <f>SUMIFS('Crosswalk AEO to EPS Summary'!H:H,'Crosswalk AEO to EPS Summary'!$B:$B,$B46)*Percent_urban*quadrillion</f>
        <v>957942942766939</v>
      </c>
      <c r="I46" s="93">
        <f>SUMIFS('Crosswalk AEO to EPS Summary'!I:I,'Crosswalk AEO to EPS Summary'!$B:$B,$B46)*Percent_urban*quadrillion</f>
        <v>967399897676677.63</v>
      </c>
      <c r="J46" s="93">
        <f>SUMIFS('Crosswalk AEO to EPS Summary'!J:J,'Crosswalk AEO to EPS Summary'!$B:$B,$B46)*Percent_urban*quadrillion</f>
        <v>976760095847162.63</v>
      </c>
      <c r="K46" s="93">
        <f>SUMIFS('Crosswalk AEO to EPS Summary'!K:K,'Crosswalk AEO to EPS Summary'!$B:$B,$B46)*Percent_urban*quadrillion</f>
        <v>978369997895248.13</v>
      </c>
      <c r="L46" s="93">
        <f>SUMIFS('Crosswalk AEO to EPS Summary'!L:L,'Crosswalk AEO to EPS Summary'!$B:$B,$B46)*Percent_urban*quadrillion</f>
        <v>979450583663887.25</v>
      </c>
      <c r="M46" s="93">
        <f>SUMIFS('Crosswalk AEO to EPS Summary'!M:M,'Crosswalk AEO to EPS Summary'!$B:$B,$B46)*Percent_urban*quadrillion</f>
        <v>979790451874038.63</v>
      </c>
      <c r="N46" s="93">
        <f>SUMIFS('Crosswalk AEO to EPS Summary'!N:N,'Crosswalk AEO to EPS Summary'!$B:$B,$B46)*Percent_urban*quadrillion</f>
        <v>978533427345584.13</v>
      </c>
      <c r="O46" s="93">
        <f>SUMIFS('Crosswalk AEO to EPS Summary'!O:O,'Crosswalk AEO to EPS Summary'!$B:$B,$B46)*Percent_urban*quadrillion</f>
        <v>978882239456002.5</v>
      </c>
      <c r="P46" s="93">
        <f>SUMIFS('Crosswalk AEO to EPS Summary'!P:P,'Crosswalk AEO to EPS Summary'!$B:$B,$B46)*Percent_urban*quadrillion</f>
        <v>981113336031733.25</v>
      </c>
      <c r="Q46" s="93">
        <f>SUMIFS('Crosswalk AEO to EPS Summary'!Q:Q,'Crosswalk AEO to EPS Summary'!$B:$B,$B46)*Percent_urban*quadrillion</f>
        <v>985586912328988.75</v>
      </c>
      <c r="R46" s="93">
        <f>SUMIFS('Crosswalk AEO to EPS Summary'!R:R,'Crosswalk AEO to EPS Summary'!$B:$B,$B46)*Percent_urban*quadrillion</f>
        <v>990148301465231.13</v>
      </c>
      <c r="S46" s="93">
        <f>SUMIFS('Crosswalk AEO to EPS Summary'!S:S,'Crosswalk AEO to EPS Summary'!$B:$B,$B46)*Percent_urban*quadrillion</f>
        <v>994835718287055.63</v>
      </c>
      <c r="T46" s="93">
        <f>SUMIFS('Crosswalk AEO to EPS Summary'!T:T,'Crosswalk AEO to EPS Summary'!$B:$B,$B46)*Percent_urban*quadrillion</f>
        <v>999175136080304.25</v>
      </c>
      <c r="U46" s="93">
        <f>SUMIFS('Crosswalk AEO to EPS Summary'!U:U,'Crosswalk AEO to EPS Summary'!$B:$B,$B46)*Percent_urban*quadrillion</f>
        <v>1003121022261798.8</v>
      </c>
      <c r="V46" s="93">
        <f>SUMIFS('Crosswalk AEO to EPS Summary'!V:V,'Crosswalk AEO to EPS Summary'!$B:$B,$B46)*Percent_urban*quadrillion</f>
        <v>1006122920424188.4</v>
      </c>
      <c r="W46" s="93">
        <f>SUMIFS('Crosswalk AEO to EPS Summary'!W:W,'Crosswalk AEO to EPS Summary'!$B:$B,$B46)*Percent_urban*quadrillion</f>
        <v>1007435234517930.9</v>
      </c>
      <c r="X46" s="93">
        <f>SUMIFS('Crosswalk AEO to EPS Summary'!X:X,'Crosswalk AEO to EPS Summary'!$B:$B,$B46)*Percent_urban*quadrillion</f>
        <v>1007561262203513.3</v>
      </c>
      <c r="Y46" s="93">
        <f>SUMIFS('Crosswalk AEO to EPS Summary'!Y:Y,'Crosswalk AEO to EPS Summary'!$B:$B,$B46)*Percent_urban*quadrillion</f>
        <v>1006715657087347.3</v>
      </c>
      <c r="Z46" s="93">
        <f>SUMIFS('Crosswalk AEO to EPS Summary'!Z:Z,'Crosswalk AEO to EPS Summary'!$B:$B,$B46)*Percent_urban*quadrillion</f>
        <v>1005457006395207.8</v>
      </c>
      <c r="AA46" s="93">
        <f>SUMIFS('Crosswalk AEO to EPS Summary'!AA:AA,'Crosswalk AEO to EPS Summary'!$B:$B,$B46)*Percent_urban*quadrillion</f>
        <v>1003796693272889.3</v>
      </c>
      <c r="AB46" s="93">
        <f>SUMIFS('Crosswalk AEO to EPS Summary'!AB:AB,'Crosswalk AEO to EPS Summary'!$B:$B,$B46)*Percent_urban*quadrillion</f>
        <v>1001492419331336.4</v>
      </c>
      <c r="AC46" s="93">
        <f>SUMIFS('Crosswalk AEO to EPS Summary'!AC:AC,'Crosswalk AEO to EPS Summary'!$B:$B,$B46)*Percent_urban*quadrillion</f>
        <v>999110902614749.5</v>
      </c>
      <c r="AD46" s="93">
        <f>SUMIFS('Crosswalk AEO to EPS Summary'!AD:AD,'Crosswalk AEO to EPS Summary'!$B:$B,$B46)*Percent_urban*quadrillion</f>
        <v>996946478750101</v>
      </c>
      <c r="AE46" s="93">
        <f>SUMIFS('Crosswalk AEO to EPS Summary'!AE:AE,'Crosswalk AEO to EPS Summary'!$B:$B,$B46)*Percent_urban*quadrillion</f>
        <v>994834905205213.25</v>
      </c>
      <c r="AF46" s="93">
        <f>SUMIFS('Crosswalk AEO to EPS Summary'!AF:AF,'Crosswalk AEO to EPS Summary'!$B:$B,$B46)*Percent_urban*quadrillion</f>
        <v>992997340241236.88</v>
      </c>
    </row>
    <row r="47" spans="2:32" s="93" customFormat="1" x14ac:dyDescent="0.25">
      <c r="B47" s="99" t="str">
        <f t="shared" si="3"/>
        <v>residential-appliances-petroleum diesel (BTU)</v>
      </c>
      <c r="C47" s="95" t="s">
        <v>736</v>
      </c>
      <c r="D47" s="95" t="s">
        <v>732</v>
      </c>
      <c r="E47" s="95" t="s">
        <v>14</v>
      </c>
      <c r="F47" s="93">
        <f>SUMIFS('Crosswalk AEO to EPS Summary'!F:F,'Crosswalk AEO to EPS Summary'!$B:$B,$B47)*Percent_urban*quadrillion</f>
        <v>32750936614587.551</v>
      </c>
      <c r="G47" s="93">
        <f>SUMIFS('Crosswalk AEO to EPS Summary'!G:G,'Crosswalk AEO to EPS Summary'!$B:$B,$B47)*Percent_urban*quadrillion</f>
        <v>31029642354084.027</v>
      </c>
      <c r="H47" s="93">
        <f>SUMIFS('Crosswalk AEO to EPS Summary'!H:H,'Crosswalk AEO to EPS Summary'!$B:$B,$B47)*Percent_urban*quadrillion</f>
        <v>29221348336436.492</v>
      </c>
      <c r="I47" s="93">
        <f>SUMIFS('Crosswalk AEO to EPS Summary'!I:I,'Crosswalk AEO to EPS Summary'!$B:$B,$B47)*Percent_urban*quadrillion</f>
        <v>27382970290617.66</v>
      </c>
      <c r="J47" s="93">
        <f>SUMIFS('Crosswalk AEO to EPS Summary'!J:J,'Crosswalk AEO to EPS Summary'!$B:$B,$B47)*Percent_urban*quadrillion</f>
        <v>25651919048004.531</v>
      </c>
      <c r="K47" s="93">
        <f>SUMIFS('Crosswalk AEO to EPS Summary'!K:K,'Crosswalk AEO to EPS Summary'!$B:$B,$B47)*Percent_urban*quadrillion</f>
        <v>24024129199384.766</v>
      </c>
      <c r="L47" s="93">
        <f>SUMIFS('Crosswalk AEO to EPS Summary'!L:L,'Crosswalk AEO to EPS Summary'!$B:$B,$B47)*Percent_urban*quadrillion</f>
        <v>22612619120861.328</v>
      </c>
      <c r="M47" s="93">
        <f>SUMIFS('Crosswalk AEO to EPS Summary'!M:M,'Crosswalk AEO to EPS Summary'!$B:$B,$B47)*Percent_urban*quadrillion</f>
        <v>21460482150085</v>
      </c>
      <c r="N47" s="93">
        <f>SUMIFS('Crosswalk AEO to EPS Summary'!N:N,'Crosswalk AEO to EPS Summary'!$B:$B,$B47)*Percent_urban*quadrillion</f>
        <v>20552269732048.895</v>
      </c>
      <c r="O47" s="93">
        <f>SUMIFS('Crosswalk AEO to EPS Summary'!O:O,'Crosswalk AEO to EPS Summary'!$B:$B,$B47)*Percent_urban*quadrillion</f>
        <v>19839196956204.969</v>
      </c>
      <c r="P47" s="93">
        <f>SUMIFS('Crosswalk AEO to EPS Summary'!P:P,'Crosswalk AEO to EPS Summary'!$B:$B,$B47)*Percent_urban*quadrillion</f>
        <v>19325329231765.563</v>
      </c>
      <c r="Q47" s="93">
        <f>SUMIFS('Crosswalk AEO to EPS Summary'!Q:Q,'Crosswalk AEO to EPS Summary'!$B:$B,$B47)*Percent_urban*quadrillion</f>
        <v>19004974985833.398</v>
      </c>
      <c r="R47" s="93">
        <f>SUMIFS('Crosswalk AEO to EPS Summary'!R:R,'Crosswalk AEO to EPS Summary'!$B:$B,$B47)*Percent_urban*quadrillion</f>
        <v>18651284384360.074</v>
      </c>
      <c r="S47" s="93">
        <f>SUMIFS('Crosswalk AEO to EPS Summary'!S:S,'Crosswalk AEO to EPS Summary'!$B:$B,$B47)*Percent_urban*quadrillion</f>
        <v>18277266736825.059</v>
      </c>
      <c r="T47" s="93">
        <f>SUMIFS('Crosswalk AEO to EPS Summary'!T:T,'Crosswalk AEO to EPS Summary'!$B:$B,$B47)*Percent_urban*quadrillion</f>
        <v>17898370598235.246</v>
      </c>
      <c r="U47" s="93">
        <f>SUMIFS('Crosswalk AEO to EPS Summary'!U:U,'Crosswalk AEO to EPS Summary'!$B:$B,$B47)*Percent_urban*quadrillion</f>
        <v>17513782886748.156</v>
      </c>
      <c r="V47" s="93">
        <f>SUMIFS('Crosswalk AEO to EPS Summary'!V:V,'Crosswalk AEO to EPS Summary'!$B:$B,$B47)*Percent_urban*quadrillion</f>
        <v>17122690520521.33</v>
      </c>
      <c r="W47" s="93">
        <f>SUMIFS('Crosswalk AEO to EPS Summary'!W:W,'Crosswalk AEO to EPS Summary'!$B:$B,$B47)*Percent_urban*quadrillion</f>
        <v>16721028090342.428</v>
      </c>
      <c r="X47" s="93">
        <f>SUMIFS('Crosswalk AEO to EPS Summary'!X:X,'Crosswalk AEO to EPS Summary'!$B:$B,$B47)*Percent_urban*quadrillion</f>
        <v>16312861005423.785</v>
      </c>
      <c r="Y47" s="93">
        <f>SUMIFS('Crosswalk AEO to EPS Summary'!Y:Y,'Crosswalk AEO to EPS Summary'!$B:$B,$B47)*Percent_urban*quadrillion</f>
        <v>15901441593135.271</v>
      </c>
      <c r="Z47" s="93">
        <f>SUMIFS('Crosswalk AEO to EPS Summary'!Z:Z,'Crosswalk AEO to EPS Summary'!$B:$B,$B47)*Percent_urban*quadrillion</f>
        <v>15476199789524.811</v>
      </c>
      <c r="AA47" s="93">
        <f>SUMIFS('Crosswalk AEO to EPS Summary'!AA:AA,'Crosswalk AEO to EPS Summary'!$B:$B,$B47)*Percent_urban*quadrillion</f>
        <v>15073724277503.439</v>
      </c>
      <c r="AB47" s="93">
        <f>SUMIFS('Crosswalk AEO to EPS Summary'!AB:AB,'Crosswalk AEO to EPS Summary'!$B:$B,$B47)*Percent_urban*quadrillion</f>
        <v>14676940338379.342</v>
      </c>
      <c r="AC47" s="93">
        <f>SUMIFS('Crosswalk AEO to EPS Summary'!AC:AC,'Crosswalk AEO to EPS Summary'!$B:$B,$B47)*Percent_urban*quadrillion</f>
        <v>14293165708734.721</v>
      </c>
      <c r="AD47" s="93">
        <f>SUMIFS('Crosswalk AEO to EPS Summary'!AD:AD,'Crosswalk AEO to EPS Summary'!$B:$B,$B47)*Percent_urban*quadrillion</f>
        <v>13923213470412.045</v>
      </c>
      <c r="AE47" s="93">
        <f>SUMIFS('Crosswalk AEO to EPS Summary'!AE:AE,'Crosswalk AEO to EPS Summary'!$B:$B,$B47)*Percent_urban*quadrillion</f>
        <v>13567083623411.316</v>
      </c>
      <c r="AF47" s="93">
        <f>SUMIFS('Crosswalk AEO to EPS Summary'!AF:AF,'Crosswalk AEO to EPS Summary'!$B:$B,$B47)*Percent_urban*quadrillion</f>
        <v>13221523840362.666</v>
      </c>
    </row>
    <row r="48" spans="2:32" s="93" customFormat="1" x14ac:dyDescent="0.25">
      <c r="B48" s="99" t="str">
        <f t="shared" si="3"/>
        <v>residential-appliances-heat (BTU)</v>
      </c>
      <c r="C48" s="95" t="s">
        <v>736</v>
      </c>
      <c r="D48" s="95" t="s">
        <v>732</v>
      </c>
      <c r="E48" s="95" t="s">
        <v>16</v>
      </c>
      <c r="F48" s="93">
        <v>0</v>
      </c>
      <c r="G48" s="93">
        <v>0</v>
      </c>
      <c r="H48" s="93">
        <v>0</v>
      </c>
      <c r="I48" s="93">
        <v>0</v>
      </c>
      <c r="J48" s="93">
        <v>0</v>
      </c>
      <c r="K48" s="93">
        <v>0</v>
      </c>
      <c r="L48" s="93">
        <v>0</v>
      </c>
      <c r="M48" s="93">
        <v>0</v>
      </c>
      <c r="N48" s="93">
        <v>0</v>
      </c>
      <c r="O48" s="93">
        <v>0</v>
      </c>
      <c r="P48" s="93">
        <v>0</v>
      </c>
      <c r="Q48" s="93">
        <v>0</v>
      </c>
      <c r="R48" s="93">
        <v>0</v>
      </c>
      <c r="S48" s="93">
        <v>0</v>
      </c>
      <c r="T48" s="93">
        <v>0</v>
      </c>
      <c r="U48" s="93">
        <v>0</v>
      </c>
      <c r="V48" s="93">
        <v>0</v>
      </c>
      <c r="W48" s="93">
        <v>0</v>
      </c>
      <c r="X48" s="93">
        <v>0</v>
      </c>
      <c r="Y48" s="93">
        <v>0</v>
      </c>
      <c r="Z48" s="93">
        <v>0</v>
      </c>
      <c r="AA48" s="93">
        <v>0</v>
      </c>
      <c r="AB48" s="93">
        <v>0</v>
      </c>
      <c r="AC48" s="93">
        <v>0</v>
      </c>
      <c r="AD48" s="93">
        <v>0</v>
      </c>
      <c r="AE48" s="93">
        <v>0</v>
      </c>
      <c r="AF48" s="93">
        <v>0</v>
      </c>
    </row>
    <row r="49" spans="2:32" s="93" customFormat="1" x14ac:dyDescent="0.25">
      <c r="B49" s="99" t="str">
        <f t="shared" si="3"/>
        <v>residential-appliances-biomass (BTU)</v>
      </c>
      <c r="C49" s="95" t="s">
        <v>736</v>
      </c>
      <c r="D49" s="95" t="s">
        <v>732</v>
      </c>
      <c r="E49" s="95" t="s">
        <v>73</v>
      </c>
      <c r="F49" s="93">
        <v>0</v>
      </c>
      <c r="G49" s="93">
        <v>0</v>
      </c>
      <c r="H49" s="93">
        <v>0</v>
      </c>
      <c r="I49" s="93">
        <v>0</v>
      </c>
      <c r="J49" s="93">
        <v>0</v>
      </c>
      <c r="K49" s="93">
        <v>0</v>
      </c>
      <c r="L49" s="93">
        <v>0</v>
      </c>
      <c r="M49" s="93">
        <v>0</v>
      </c>
      <c r="N49" s="93">
        <v>0</v>
      </c>
      <c r="O49" s="93">
        <v>0</v>
      </c>
      <c r="P49" s="93">
        <v>0</v>
      </c>
      <c r="Q49" s="93">
        <v>0</v>
      </c>
      <c r="R49" s="93">
        <v>0</v>
      </c>
      <c r="S49" s="93">
        <v>0</v>
      </c>
      <c r="T49" s="93">
        <v>0</v>
      </c>
      <c r="U49" s="93">
        <v>0</v>
      </c>
      <c r="V49" s="93">
        <v>0</v>
      </c>
      <c r="W49" s="93">
        <v>0</v>
      </c>
      <c r="X49" s="93">
        <v>0</v>
      </c>
      <c r="Y49" s="93">
        <v>0</v>
      </c>
      <c r="Z49" s="93">
        <v>0</v>
      </c>
      <c r="AA49" s="93">
        <v>0</v>
      </c>
      <c r="AB49" s="93">
        <v>0</v>
      </c>
      <c r="AC49" s="93">
        <v>0</v>
      </c>
      <c r="AD49" s="93">
        <v>0</v>
      </c>
      <c r="AE49" s="93">
        <v>0</v>
      </c>
      <c r="AF49" s="93">
        <v>0</v>
      </c>
    </row>
    <row r="50" spans="2:32" s="93" customFormat="1" x14ac:dyDescent="0.25">
      <c r="B50" s="99" t="str">
        <f t="shared" si="3"/>
        <v>residential-appliances-kerosene (BTU)</v>
      </c>
      <c r="C50" s="95" t="s">
        <v>736</v>
      </c>
      <c r="D50" s="95" t="s">
        <v>732</v>
      </c>
      <c r="E50" s="95" t="s">
        <v>170</v>
      </c>
      <c r="F50" s="93">
        <v>0</v>
      </c>
      <c r="G50" s="93">
        <v>0</v>
      </c>
      <c r="H50" s="93">
        <v>0</v>
      </c>
      <c r="I50" s="93">
        <v>0</v>
      </c>
      <c r="J50" s="93">
        <v>0</v>
      </c>
      <c r="K50" s="93">
        <v>0</v>
      </c>
      <c r="L50" s="93">
        <v>0</v>
      </c>
      <c r="M50" s="93">
        <v>0</v>
      </c>
      <c r="N50" s="93">
        <v>0</v>
      </c>
      <c r="O50" s="93">
        <v>0</v>
      </c>
      <c r="P50" s="93">
        <v>0</v>
      </c>
      <c r="Q50" s="93">
        <v>0</v>
      </c>
      <c r="R50" s="93">
        <v>0</v>
      </c>
      <c r="S50" s="93">
        <v>0</v>
      </c>
      <c r="T50" s="93">
        <v>0</v>
      </c>
      <c r="U50" s="93">
        <v>0</v>
      </c>
      <c r="V50" s="93">
        <v>0</v>
      </c>
      <c r="W50" s="93">
        <v>0</v>
      </c>
      <c r="X50" s="93">
        <v>0</v>
      </c>
      <c r="Y50" s="93">
        <v>0</v>
      </c>
      <c r="Z50" s="93">
        <v>0</v>
      </c>
      <c r="AA50" s="93">
        <v>0</v>
      </c>
      <c r="AB50" s="93">
        <v>0</v>
      </c>
      <c r="AC50" s="93">
        <v>0</v>
      </c>
      <c r="AD50" s="93">
        <v>0</v>
      </c>
      <c r="AE50" s="93">
        <v>0</v>
      </c>
      <c r="AF50" s="93">
        <v>0</v>
      </c>
    </row>
    <row r="51" spans="2:32" s="93" customFormat="1" x14ac:dyDescent="0.25">
      <c r="B51" s="99" t="str">
        <f t="shared" si="3"/>
        <v>residential-appliances-heavy or residual fuel oil (BTU)</v>
      </c>
      <c r="C51" s="95" t="s">
        <v>736</v>
      </c>
      <c r="D51" s="95" t="s">
        <v>732</v>
      </c>
      <c r="E51" s="95" t="s">
        <v>171</v>
      </c>
      <c r="F51" s="93">
        <v>0</v>
      </c>
      <c r="G51" s="93">
        <v>0</v>
      </c>
      <c r="H51" s="93">
        <v>0</v>
      </c>
      <c r="I51" s="93">
        <v>0</v>
      </c>
      <c r="J51" s="93">
        <v>0</v>
      </c>
      <c r="K51" s="93">
        <v>0</v>
      </c>
      <c r="L51" s="93">
        <v>0</v>
      </c>
      <c r="M51" s="93">
        <v>0</v>
      </c>
      <c r="N51" s="93">
        <v>0</v>
      </c>
      <c r="O51" s="93">
        <v>0</v>
      </c>
      <c r="P51" s="93">
        <v>0</v>
      </c>
      <c r="Q51" s="93">
        <v>0</v>
      </c>
      <c r="R51" s="93">
        <v>0</v>
      </c>
      <c r="S51" s="93">
        <v>0</v>
      </c>
      <c r="T51" s="93">
        <v>0</v>
      </c>
      <c r="U51" s="93">
        <v>0</v>
      </c>
      <c r="V51" s="93">
        <v>0</v>
      </c>
      <c r="W51" s="93">
        <v>0</v>
      </c>
      <c r="X51" s="93">
        <v>0</v>
      </c>
      <c r="Y51" s="93">
        <v>0</v>
      </c>
      <c r="Z51" s="93">
        <v>0</v>
      </c>
      <c r="AA51" s="93">
        <v>0</v>
      </c>
      <c r="AB51" s="93">
        <v>0</v>
      </c>
      <c r="AC51" s="93">
        <v>0</v>
      </c>
      <c r="AD51" s="93">
        <v>0</v>
      </c>
      <c r="AE51" s="93">
        <v>0</v>
      </c>
      <c r="AF51" s="93">
        <v>0</v>
      </c>
    </row>
    <row r="52" spans="2:32" s="93" customFormat="1" x14ac:dyDescent="0.25">
      <c r="B52" s="99" t="str">
        <f t="shared" si="3"/>
        <v>residential-appliances-LPG propane or butane (BTU)</v>
      </c>
      <c r="C52" s="95" t="s">
        <v>736</v>
      </c>
      <c r="D52" s="95" t="s">
        <v>732</v>
      </c>
      <c r="E52" s="95" t="s">
        <v>172</v>
      </c>
      <c r="F52" s="93">
        <f>SUMIFS('Crosswalk AEO to EPS Summary'!F:F,'Crosswalk AEO to EPS Summary'!$B:$B,$B52)*Percent_urban*quadrillion</f>
        <v>54522016028495.102</v>
      </c>
      <c r="G52" s="93">
        <f>SUMIFS('Crosswalk AEO to EPS Summary'!G:G,'Crosswalk AEO to EPS Summary'!$B:$B,$B52)*Percent_urban*quadrillion</f>
        <v>52801534849834.039</v>
      </c>
      <c r="H52" s="93">
        <f>SUMIFS('Crosswalk AEO to EPS Summary'!H:H,'Crosswalk AEO to EPS Summary'!$B:$B,$B52)*Percent_urban*quadrillion</f>
        <v>51169679592001.945</v>
      </c>
      <c r="I52" s="93">
        <f>SUMIFS('Crosswalk AEO to EPS Summary'!I:I,'Crosswalk AEO to EPS Summary'!$B:$B,$B52)*Percent_urban*quadrillion</f>
        <v>49560590625758.922</v>
      </c>
      <c r="J52" s="93">
        <f>SUMIFS('Crosswalk AEO to EPS Summary'!J:J,'Crosswalk AEO to EPS Summary'!$B:$B,$B52)*Percent_urban*quadrillion</f>
        <v>48080781672468.227</v>
      </c>
      <c r="K52" s="93">
        <f>SUMIFS('Crosswalk AEO to EPS Summary'!K:K,'Crosswalk AEO to EPS Summary'!$B:$B,$B52)*Percent_urban*quadrillion</f>
        <v>46482262770177.281</v>
      </c>
      <c r="L52" s="93">
        <f>SUMIFS('Crosswalk AEO to EPS Summary'!L:L,'Crosswalk AEO to EPS Summary'!$B:$B,$B52)*Percent_urban*quadrillion</f>
        <v>44997575325831.781</v>
      </c>
      <c r="M52" s="93">
        <f>SUMIFS('Crosswalk AEO to EPS Summary'!M:M,'Crosswalk AEO to EPS Summary'!$B:$B,$B52)*Percent_urban*quadrillion</f>
        <v>43684448150246.898</v>
      </c>
      <c r="N52" s="93">
        <f>SUMIFS('Crosswalk AEO to EPS Summary'!N:N,'Crosswalk AEO to EPS Summary'!$B:$B,$B52)*Percent_urban*quadrillion</f>
        <v>42513610297093.82</v>
      </c>
      <c r="O52" s="93">
        <f>SUMIFS('Crosswalk AEO to EPS Summary'!O:O,'Crosswalk AEO to EPS Summary'!$B:$B,$B52)*Percent_urban*quadrillion</f>
        <v>41542790577187.727</v>
      </c>
      <c r="P52" s="93">
        <f>SUMIFS('Crosswalk AEO to EPS Summary'!P:P,'Crosswalk AEO to EPS Summary'!$B:$B,$B52)*Percent_urban*quadrillion</f>
        <v>40751661944466.93</v>
      </c>
      <c r="Q52" s="93">
        <f>SUMIFS('Crosswalk AEO to EPS Summary'!Q:Q,'Crosswalk AEO to EPS Summary'!$B:$B,$B52)*Percent_urban*quadrillion</f>
        <v>40173560754472.602</v>
      </c>
      <c r="R52" s="93">
        <f>SUMIFS('Crosswalk AEO to EPS Summary'!R:R,'Crosswalk AEO to EPS Summary'!$B:$B,$B52)*Percent_urban*quadrillion</f>
        <v>39571880191046.711</v>
      </c>
      <c r="S52" s="93">
        <f>SUMIFS('Crosswalk AEO to EPS Summary'!S:S,'Crosswalk AEO to EPS Summary'!$B:$B,$B52)*Percent_urban*quadrillion</f>
        <v>38965321136566.016</v>
      </c>
      <c r="T52" s="93">
        <f>SUMIFS('Crosswalk AEO to EPS Summary'!T:T,'Crosswalk AEO to EPS Summary'!$B:$B,$B52)*Percent_urban*quadrillion</f>
        <v>38366892900509.992</v>
      </c>
      <c r="U52" s="93">
        <f>SUMIFS('Crosswalk AEO to EPS Summary'!U:U,'Crosswalk AEO to EPS Summary'!$B:$B,$B52)*Percent_urban*quadrillion</f>
        <v>37777408564721.117</v>
      </c>
      <c r="V52" s="93">
        <f>SUMIFS('Crosswalk AEO to EPS Summary'!V:V,'Crosswalk AEO to EPS Summary'!$B:$B,$B52)*Percent_urban*quadrillion</f>
        <v>37203372783939.117</v>
      </c>
      <c r="W52" s="93">
        <f>SUMIFS('Crosswalk AEO to EPS Summary'!W:W,'Crosswalk AEO to EPS Summary'!$B:$B,$B52)*Percent_urban*quadrillion</f>
        <v>36628523921314.656</v>
      </c>
      <c r="X52" s="93">
        <f>SUMIFS('Crosswalk AEO to EPS Summary'!X:X,'Crosswalk AEO to EPS Summary'!$B:$B,$B52)*Percent_urban*quadrillion</f>
        <v>36054488140532.664</v>
      </c>
      <c r="Y52" s="93">
        <f>SUMIFS('Crosswalk AEO to EPS Summary'!Y:Y,'Crosswalk AEO to EPS Summary'!$B:$B,$B52)*Percent_urban*quadrillion</f>
        <v>35460938395531.445</v>
      </c>
      <c r="Z52" s="93">
        <f>SUMIFS('Crosswalk AEO to EPS Summary'!Z:Z,'Crosswalk AEO to EPS Summary'!$B:$B,$B52)*Percent_urban*quadrillion</f>
        <v>34864136323160.363</v>
      </c>
      <c r="AA52" s="93">
        <f>SUMIFS('Crosswalk AEO to EPS Summary'!AA:AA,'Crosswalk AEO to EPS Summary'!$B:$B,$B52)*Percent_urban*quadrillion</f>
        <v>34264895005261.879</v>
      </c>
      <c r="AB52" s="93">
        <f>SUMIFS('Crosswalk AEO to EPS Summary'!AB:AB,'Crosswalk AEO to EPS Summary'!$B:$B,$B52)*Percent_urban*quadrillion</f>
        <v>33676223751315.465</v>
      </c>
      <c r="AC52" s="93">
        <f>SUMIFS('Crosswalk AEO to EPS Summary'!AC:AC,'Crosswalk AEO to EPS Summary'!$B:$B,$B52)*Percent_urban*quadrillion</f>
        <v>33111131870800.613</v>
      </c>
      <c r="AD52" s="93">
        <f>SUMIFS('Crosswalk AEO to EPS Summary'!AD:AD,'Crosswalk AEO to EPS Summary'!$B:$B,$B52)*Percent_urban*quadrillion</f>
        <v>32567993200032.375</v>
      </c>
      <c r="AE52" s="93">
        <f>SUMIFS('Crosswalk AEO to EPS Summary'!AE:AE,'Crosswalk AEO to EPS Summary'!$B:$B,$B52)*Percent_urban*quadrillion</f>
        <v>32039490002428.563</v>
      </c>
      <c r="AF52" s="93">
        <f>SUMIFS('Crosswalk AEO to EPS Summary'!AF:AF,'Crosswalk AEO to EPS Summary'!$B:$B,$B52)*Percent_urban*quadrillion</f>
        <v>31518304541406.945</v>
      </c>
    </row>
    <row r="53" spans="2:32" s="93" customFormat="1" x14ac:dyDescent="0.25">
      <c r="B53" s="99" t="str">
        <f t="shared" si="3"/>
        <v>residential-appliances-hydrogen (BTU)</v>
      </c>
      <c r="C53" s="95" t="s">
        <v>736</v>
      </c>
      <c r="D53" s="95" t="s">
        <v>732</v>
      </c>
      <c r="E53" s="95" t="s">
        <v>173</v>
      </c>
      <c r="F53" s="93">
        <v>0</v>
      </c>
      <c r="G53" s="93">
        <v>0</v>
      </c>
      <c r="H53" s="93">
        <v>0</v>
      </c>
      <c r="I53" s="93">
        <v>0</v>
      </c>
      <c r="J53" s="93">
        <v>0</v>
      </c>
      <c r="K53" s="93">
        <v>0</v>
      </c>
      <c r="L53" s="93">
        <v>0</v>
      </c>
      <c r="M53" s="93">
        <v>0</v>
      </c>
      <c r="N53" s="93">
        <v>0</v>
      </c>
      <c r="O53" s="93">
        <v>0</v>
      </c>
      <c r="P53" s="93">
        <v>0</v>
      </c>
      <c r="Q53" s="93">
        <v>0</v>
      </c>
      <c r="R53" s="93">
        <v>0</v>
      </c>
      <c r="S53" s="93">
        <v>0</v>
      </c>
      <c r="T53" s="93">
        <v>0</v>
      </c>
      <c r="U53" s="93">
        <v>0</v>
      </c>
      <c r="V53" s="93">
        <v>0</v>
      </c>
      <c r="W53" s="93">
        <v>0</v>
      </c>
      <c r="X53" s="93">
        <v>0</v>
      </c>
      <c r="Y53" s="93">
        <v>0</v>
      </c>
      <c r="Z53" s="93">
        <v>0</v>
      </c>
      <c r="AA53" s="93">
        <v>0</v>
      </c>
      <c r="AB53" s="93">
        <v>0</v>
      </c>
      <c r="AC53" s="93">
        <v>0</v>
      </c>
      <c r="AD53" s="93">
        <v>0</v>
      </c>
      <c r="AE53" s="93">
        <v>0</v>
      </c>
      <c r="AF53" s="93">
        <v>0</v>
      </c>
    </row>
    <row r="54" spans="2:32" s="93" customFormat="1" x14ac:dyDescent="0.25">
      <c r="B54" s="95"/>
      <c r="C54" s="95"/>
      <c r="D54" s="95"/>
      <c r="E54" s="95"/>
    </row>
    <row r="55" spans="2:32" s="93" customFormat="1" x14ac:dyDescent="0.25">
      <c r="B55" s="86" t="s">
        <v>180</v>
      </c>
      <c r="C55" s="95"/>
      <c r="D55" s="95"/>
      <c r="E55" s="95"/>
    </row>
    <row r="56" spans="2:32" s="93" customFormat="1" x14ac:dyDescent="0.25">
      <c r="B56" s="95"/>
      <c r="C56" s="95"/>
      <c r="D56" s="95"/>
      <c r="E56" s="95" t="s">
        <v>10</v>
      </c>
      <c r="F56" s="86">
        <v>2024</v>
      </c>
      <c r="G56" s="86">
        <v>2025</v>
      </c>
      <c r="H56" s="86">
        <v>2026</v>
      </c>
      <c r="I56" s="86">
        <v>2027</v>
      </c>
      <c r="J56" s="86">
        <v>2028</v>
      </c>
      <c r="K56" s="86">
        <v>2029</v>
      </c>
      <c r="L56" s="86">
        <v>2030</v>
      </c>
      <c r="M56" s="86">
        <v>2031</v>
      </c>
      <c r="N56" s="86">
        <v>2032</v>
      </c>
      <c r="O56" s="86">
        <v>2033</v>
      </c>
      <c r="P56" s="86">
        <v>2034</v>
      </c>
      <c r="Q56" s="86">
        <v>2035</v>
      </c>
      <c r="R56" s="86">
        <v>2036</v>
      </c>
      <c r="S56" s="86">
        <v>2037</v>
      </c>
      <c r="T56" s="86">
        <v>2038</v>
      </c>
      <c r="U56" s="86">
        <v>2039</v>
      </c>
      <c r="V56" s="86">
        <v>2040</v>
      </c>
      <c r="W56" s="86">
        <v>2041</v>
      </c>
      <c r="X56" s="86">
        <v>2042</v>
      </c>
      <c r="Y56" s="86">
        <v>2043</v>
      </c>
      <c r="Z56" s="86">
        <v>2044</v>
      </c>
      <c r="AA56" s="86">
        <v>2045</v>
      </c>
      <c r="AB56" s="86">
        <v>2046</v>
      </c>
      <c r="AC56" s="86">
        <v>2047</v>
      </c>
      <c r="AD56" s="86">
        <v>2048</v>
      </c>
      <c r="AE56" s="86">
        <v>2049</v>
      </c>
      <c r="AF56" s="86">
        <v>2050</v>
      </c>
    </row>
    <row r="57" spans="2:32" s="93" customFormat="1" x14ac:dyDescent="0.25">
      <c r="B57" s="99" t="str">
        <f>C57&amp;"-"&amp;D57&amp;"-"&amp;E57</f>
        <v>residential-other-electricity (BTU)</v>
      </c>
      <c r="C57" s="95" t="s">
        <v>736</v>
      </c>
      <c r="D57" s="95" t="s">
        <v>734</v>
      </c>
      <c r="E57" s="95" t="s">
        <v>11</v>
      </c>
      <c r="F57" s="93">
        <f>SUMIFS('Crosswalk AEO to EPS Summary'!F:F,'Crosswalk AEO to EPS Summary'!$B:$B,$B57)*Percent_urban*quadrillion</f>
        <v>1774425093499554.5</v>
      </c>
      <c r="G57" s="93">
        <f>SUMIFS('Crosswalk AEO to EPS Summary'!G:G,'Crosswalk AEO to EPS Summary'!$B:$B,$B57)*Percent_urban*quadrillion</f>
        <v>1715198585930543.3</v>
      </c>
      <c r="H57" s="93">
        <f>SUMIFS('Crosswalk AEO to EPS Summary'!H:H,'Crosswalk AEO to EPS Summary'!$B:$B,$B57)*Percent_urban*quadrillion</f>
        <v>1752514977090585</v>
      </c>
      <c r="I57" s="93">
        <f>SUMIFS('Crosswalk AEO to EPS Summary'!I:I,'Crosswalk AEO to EPS Summary'!$B:$B,$B57)*Percent_urban*quadrillion</f>
        <v>1792205567230632.3</v>
      </c>
      <c r="J57" s="93">
        <f>SUMIFS('Crosswalk AEO to EPS Summary'!J:J,'Crosswalk AEO to EPS Summary'!$B:$B,$B57)*Percent_urban*quadrillion</f>
        <v>1825609408564721.3</v>
      </c>
      <c r="K57" s="93">
        <f>SUMIFS('Crosswalk AEO to EPS Summary'!K:K,'Crosswalk AEO to EPS Summary'!$B:$B,$B57)*Percent_urban*quadrillion</f>
        <v>1850437675706306</v>
      </c>
      <c r="L57" s="93">
        <f>SUMIFS('Crosswalk AEO to EPS Summary'!L:L,'Crosswalk AEO to EPS Summary'!$B:$B,$B57)*Percent_urban*quadrillion</f>
        <v>1870788301141423.3</v>
      </c>
      <c r="M57" s="93">
        <f>SUMIFS('Crosswalk AEO to EPS Summary'!M:M,'Crosswalk AEO to EPS Summary'!$B:$B,$B57)*Percent_urban*quadrillion</f>
        <v>1888378513721363</v>
      </c>
      <c r="N57" s="93">
        <f>SUMIFS('Crosswalk AEO to EPS Summary'!N:N,'Crosswalk AEO to EPS Summary'!$B:$B,$B57)*Percent_urban*quadrillion</f>
        <v>1907014349550716.3</v>
      </c>
      <c r="O57" s="93">
        <f>SUMIFS('Crosswalk AEO to EPS Summary'!O:O,'Crosswalk AEO to EPS Summary'!$B:$B,$B57)*Percent_urban*quadrillion</f>
        <v>1924741972962033.8</v>
      </c>
      <c r="P57" s="93">
        <f>SUMIFS('Crosswalk AEO to EPS Summary'!P:P,'Crosswalk AEO to EPS Summary'!$B:$B,$B57)*Percent_urban*quadrillion</f>
        <v>1945076336760301</v>
      </c>
      <c r="Q57" s="93">
        <f>SUMIFS('Crosswalk AEO to EPS Summary'!Q:Q,'Crosswalk AEO to EPS Summary'!$B:$B,$B57)*Percent_urban*quadrillion</f>
        <v>1968499598478102.3</v>
      </c>
      <c r="R57" s="93">
        <f>SUMIFS('Crosswalk AEO to EPS Summary'!R:R,'Crosswalk AEO to EPS Summary'!$B:$B,$B57)*Percent_urban*quadrillion</f>
        <v>1996021605763781.8</v>
      </c>
      <c r="S57" s="93">
        <f>SUMIFS('Crosswalk AEO to EPS Summary'!S:S,'Crosswalk AEO to EPS Summary'!$B:$B,$B57)*Percent_urban*quadrillion</f>
        <v>2025798288998623.8</v>
      </c>
      <c r="T57" s="93">
        <f>SUMIFS('Crosswalk AEO to EPS Summary'!T:T,'Crosswalk AEO to EPS Summary'!$B:$B,$B57)*Percent_urban*quadrillion</f>
        <v>2054336648587387.5</v>
      </c>
      <c r="U57" s="93">
        <f>SUMIFS('Crosswalk AEO to EPS Summary'!U:U,'Crosswalk AEO to EPS Summary'!$B:$B,$B57)*Percent_urban*quadrillion</f>
        <v>2084139350441188</v>
      </c>
      <c r="V57" s="93">
        <f>SUMIFS('Crosswalk AEO to EPS Summary'!V:V,'Crosswalk AEO to EPS Summary'!$B:$B,$B57)*Percent_urban*quadrillion</f>
        <v>2114961656925443.5</v>
      </c>
      <c r="W57" s="93">
        <f>SUMIFS('Crosswalk AEO to EPS Summary'!W:W,'Crosswalk AEO to EPS Summary'!$B:$B,$B57)*Percent_urban*quadrillion</f>
        <v>2144308219865619.5</v>
      </c>
      <c r="X57" s="93">
        <f>SUMIFS('Crosswalk AEO to EPS Summary'!X:X,'Crosswalk AEO to EPS Summary'!$B:$B,$B57)*Percent_urban*quadrillion</f>
        <v>2174188977576297.3</v>
      </c>
      <c r="Y57" s="93">
        <f>SUMIFS('Crosswalk AEO to EPS Summary'!Y:Y,'Crosswalk AEO to EPS Summary'!$B:$B,$B57)*Percent_urban*quadrillion</f>
        <v>2204639705658544.3</v>
      </c>
      <c r="Z57" s="93">
        <f>SUMIFS('Crosswalk AEO to EPS Summary'!Z:Z,'Crosswalk AEO to EPS Summary'!$B:$B,$B57)*Percent_urban*quadrillion</f>
        <v>2235221339917429</v>
      </c>
      <c r="AA57" s="93">
        <f>SUMIFS('Crosswalk AEO to EPS Summary'!AA:AA,'Crosswalk AEO to EPS Summary'!$B:$B,$B57)*Percent_urban*quadrillion</f>
        <v>2265903796324779</v>
      </c>
      <c r="AB57" s="93">
        <f>SUMIFS('Crosswalk AEO to EPS Summary'!AB:AB,'Crosswalk AEO to EPS Summary'!$B:$B,$B57)*Percent_urban*quadrillion</f>
        <v>2297052961709706</v>
      </c>
      <c r="AC57" s="93">
        <f>SUMIFS('Crosswalk AEO to EPS Summary'!AC:AC,'Crosswalk AEO to EPS Summary'!$B:$B,$B57)*Percent_urban*quadrillion</f>
        <v>2328274491378612.5</v>
      </c>
      <c r="AD57" s="93">
        <f>SUMIFS('Crosswalk AEO to EPS Summary'!AD:AD,'Crosswalk AEO to EPS Summary'!$B:$B,$B57)*Percent_urban*quadrillion</f>
        <v>2359787917428964.5</v>
      </c>
      <c r="AE57" s="93">
        <f>SUMIFS('Crosswalk AEO to EPS Summary'!AE:AE,'Crosswalk AEO to EPS Summary'!$B:$B,$B57)*Percent_urban*quadrillion</f>
        <v>2392131500040475.5</v>
      </c>
      <c r="AF57" s="93">
        <f>SUMIFS('Crosswalk AEO to EPS Summary'!AF:AF,'Crosswalk AEO to EPS Summary'!$B:$B,$B57)*Percent_urban*quadrillion</f>
        <v>2424859670363474</v>
      </c>
    </row>
    <row r="58" spans="2:32" s="93" customFormat="1" x14ac:dyDescent="0.25">
      <c r="B58" s="99" t="str">
        <f t="shared" ref="B58:B66" si="4">C58&amp;"-"&amp;D58&amp;"-"&amp;E58</f>
        <v>residential-other-coal (BTU)</v>
      </c>
      <c r="C58" s="95" t="s">
        <v>736</v>
      </c>
      <c r="D58" s="95" t="s">
        <v>734</v>
      </c>
      <c r="E58" s="95" t="s">
        <v>12</v>
      </c>
      <c r="F58" s="93">
        <v>0</v>
      </c>
      <c r="G58" s="93">
        <v>0</v>
      </c>
      <c r="H58" s="93">
        <v>0</v>
      </c>
      <c r="I58" s="93">
        <v>0</v>
      </c>
      <c r="J58" s="93">
        <v>0</v>
      </c>
      <c r="K58" s="93">
        <v>0</v>
      </c>
      <c r="L58" s="93">
        <v>0</v>
      </c>
      <c r="M58" s="93">
        <v>0</v>
      </c>
      <c r="N58" s="93">
        <v>0</v>
      </c>
      <c r="O58" s="93">
        <v>0</v>
      </c>
      <c r="P58" s="93">
        <v>0</v>
      </c>
      <c r="Q58" s="93">
        <v>0</v>
      </c>
      <c r="R58" s="93">
        <v>0</v>
      </c>
      <c r="S58" s="93">
        <v>0</v>
      </c>
      <c r="T58" s="93">
        <v>0</v>
      </c>
      <c r="U58" s="93">
        <v>0</v>
      </c>
      <c r="V58" s="93">
        <v>0</v>
      </c>
      <c r="W58" s="93">
        <v>0</v>
      </c>
      <c r="X58" s="93">
        <v>0</v>
      </c>
      <c r="Y58" s="93">
        <v>0</v>
      </c>
      <c r="Z58" s="93">
        <v>0</v>
      </c>
      <c r="AA58" s="93">
        <v>0</v>
      </c>
      <c r="AB58" s="93">
        <v>0</v>
      </c>
      <c r="AC58" s="93">
        <v>0</v>
      </c>
      <c r="AD58" s="93">
        <v>0</v>
      </c>
      <c r="AE58" s="93">
        <v>0</v>
      </c>
      <c r="AF58" s="93">
        <v>0</v>
      </c>
    </row>
    <row r="59" spans="2:32" s="93" customFormat="1" x14ac:dyDescent="0.25">
      <c r="B59" s="99" t="str">
        <f t="shared" si="4"/>
        <v>residential-other-natural gas (BTU)</v>
      </c>
      <c r="C59" s="95" t="s">
        <v>736</v>
      </c>
      <c r="D59" s="95" t="s">
        <v>734</v>
      </c>
      <c r="E59" s="95" t="s">
        <v>13</v>
      </c>
      <c r="F59" s="93">
        <f>SUMIFS('Crosswalk AEO to EPS Summary'!F:F,'Crosswalk AEO to EPS Summary'!$B:$B,$B59)*Percent_urban*quadrillion</f>
        <v>494950562292560.44</v>
      </c>
      <c r="G59" s="93">
        <f>SUMIFS('Crosswalk AEO to EPS Summary'!G:G,'Crosswalk AEO to EPS Summary'!$B:$B,$B59)*Percent_urban*quadrillion</f>
        <v>499026541568849.69</v>
      </c>
      <c r="H59" s="93">
        <f>SUMIFS('Crosswalk AEO to EPS Summary'!H:H,'Crosswalk AEO to EPS Summary'!$B:$B,$B59)*Percent_urban*quadrillion</f>
        <v>502721185461021.63</v>
      </c>
      <c r="I59" s="93">
        <f>SUMIFS('Crosswalk AEO to EPS Summary'!I:I,'Crosswalk AEO to EPS Summary'!$B:$B,$B59)*Percent_urban*quadrillion</f>
        <v>505249056909252.69</v>
      </c>
      <c r="J59" s="93">
        <f>SUMIFS('Crosswalk AEO to EPS Summary'!J:J,'Crosswalk AEO to EPS Summary'!$B:$B,$B59)*Percent_urban*quadrillion</f>
        <v>506977668906338.56</v>
      </c>
      <c r="K59" s="93">
        <f>SUMIFS('Crosswalk AEO to EPS Summary'!K:K,'Crosswalk AEO to EPS Summary'!$B:$B,$B59)*Percent_urban*quadrillion</f>
        <v>508179403869505.31</v>
      </c>
      <c r="L59" s="93">
        <f>SUMIFS('Crosswalk AEO to EPS Summary'!L:L,'Crosswalk AEO to EPS Summary'!$B:$B,$B59)*Percent_urban*quadrillion</f>
        <v>508885971990609.56</v>
      </c>
      <c r="M59" s="93">
        <f>SUMIFS('Crosswalk AEO to EPS Summary'!M:M,'Crosswalk AEO to EPS Summary'!$B:$B,$B59)*Percent_urban*quadrillion</f>
        <v>508469674087266.19</v>
      </c>
      <c r="N59" s="93">
        <f>SUMIFS('Crosswalk AEO to EPS Summary'!N:N,'Crosswalk AEO to EPS Summary'!$B:$B,$B59)*Percent_urban*quadrillion</f>
        <v>506602025095118.56</v>
      </c>
      <c r="O59" s="93">
        <f>SUMIFS('Crosswalk AEO to EPS Summary'!O:O,'Crosswalk AEO to EPS Summary'!$B:$B,$B59)*Percent_urban*quadrillion</f>
        <v>504195302841415</v>
      </c>
      <c r="P59" s="93">
        <f>SUMIFS('Crosswalk AEO to EPS Summary'!P:P,'Crosswalk AEO to EPS Summary'!$B:$B,$B59)*Percent_urban*quadrillion</f>
        <v>502147962762082.06</v>
      </c>
      <c r="Q59" s="93">
        <f>SUMIFS('Crosswalk AEO to EPS Summary'!Q:Q,'Crosswalk AEO to EPS Summary'!$B:$B,$B59)*Percent_urban*quadrillion</f>
        <v>500791742248846.38</v>
      </c>
      <c r="R59" s="93">
        <f>SUMIFS('Crosswalk AEO to EPS Summary'!R:R,'Crosswalk AEO to EPS Summary'!$B:$B,$B59)*Percent_urban*quadrillion</f>
        <v>500163229984619.13</v>
      </c>
      <c r="S59" s="93">
        <f>SUMIFS('Crosswalk AEO to EPS Summary'!S:S,'Crosswalk AEO to EPS Summary'!$B:$B,$B59)*Percent_urban*quadrillion</f>
        <v>499980286570063.94</v>
      </c>
      <c r="T59" s="93">
        <f>SUMIFS('Crosswalk AEO to EPS Summary'!T:T,'Crosswalk AEO to EPS Summary'!$B:$B,$B59)*Percent_urban*quadrillion</f>
        <v>499958333360317.31</v>
      </c>
      <c r="U59" s="93">
        <f>SUMIFS('Crosswalk AEO to EPS Summary'!U:U,'Crosswalk AEO to EPS Summary'!$B:$B,$B59)*Percent_urban*quadrillion</f>
        <v>500122575892495.63</v>
      </c>
      <c r="V59" s="93">
        <f>SUMIFS('Crosswalk AEO to EPS Summary'!V:V,'Crosswalk AEO to EPS Summary'!$B:$B,$B59)*Percent_urban*quadrillion</f>
        <v>500141276774872.5</v>
      </c>
      <c r="W59" s="93">
        <f>SUMIFS('Crosswalk AEO to EPS Summary'!W:W,'Crosswalk AEO to EPS Summary'!$B:$B,$B59)*Percent_urban*quadrillion</f>
        <v>499737175099166.13</v>
      </c>
      <c r="X59" s="93">
        <f>SUMIFS('Crosswalk AEO to EPS Summary'!X:X,'Crosswalk AEO to EPS Summary'!$B:$B,$B59)*Percent_urban*quadrillion</f>
        <v>499133055290212.88</v>
      </c>
      <c r="Y59" s="93">
        <f>SUMIFS('Crosswalk AEO to EPS Summary'!Y:Y,'Crosswalk AEO to EPS Summary'!$B:$B,$B59)*Percent_urban*quadrillion</f>
        <v>498470393588601.94</v>
      </c>
      <c r="Z59" s="93">
        <f>SUMIFS('Crosswalk AEO to EPS Summary'!Z:Z,'Crosswalk AEO to EPS Summary'!$B:$B,$B59)*Percent_urban*quadrillion</f>
        <v>497964656682587.19</v>
      </c>
      <c r="AA59" s="93">
        <f>SUMIFS('Crosswalk AEO to EPS Summary'!AA:AA,'Crosswalk AEO to EPS Summary'!$B:$B,$B59)*Percent_urban*quadrillion</f>
        <v>497510143932647.94</v>
      </c>
      <c r="AB59" s="93">
        <f>SUMIFS('Crosswalk AEO to EPS Summary'!AB:AB,'Crosswalk AEO to EPS Summary'!$B:$B,$B59)*Percent_urban*quadrillion</f>
        <v>496953182870557.75</v>
      </c>
      <c r="AC59" s="93">
        <f>SUMIFS('Crosswalk AEO to EPS Summary'!AC:AC,'Crosswalk AEO to EPS Summary'!$B:$B,$B59)*Percent_urban*quadrillion</f>
        <v>496506800939043.06</v>
      </c>
      <c r="AD59" s="93">
        <f>SUMIFS('Crosswalk AEO to EPS Summary'!AD:AD,'Crosswalk AEO to EPS Summary'!$B:$B,$B59)*Percent_urban*quadrillion</f>
        <v>496200269084432.94</v>
      </c>
      <c r="AE59" s="93">
        <f>SUMIFS('Crosswalk AEO to EPS Summary'!AE:AE,'Crosswalk AEO to EPS Summary'!$B:$B,$B59)*Percent_urban*quadrillion</f>
        <v>495827877600582.88</v>
      </c>
      <c r="AF59" s="93">
        <f>SUMIFS('Crosswalk AEO to EPS Summary'!AF:AF,'Crosswalk AEO to EPS Summary'!$B:$B,$B59)*Percent_urban*quadrillion</f>
        <v>495385561078280.5</v>
      </c>
    </row>
    <row r="60" spans="2:32" s="93" customFormat="1" x14ac:dyDescent="0.25">
      <c r="B60" s="99" t="str">
        <f t="shared" si="4"/>
        <v>residential-other-petroleum diesel (BTU)</v>
      </c>
      <c r="C60" s="95" t="s">
        <v>736</v>
      </c>
      <c r="D60" s="95" t="s">
        <v>734</v>
      </c>
      <c r="E60" s="95" t="s">
        <v>14</v>
      </c>
      <c r="F60" s="93">
        <f>SUMIFS('Crosswalk AEO to EPS Summary'!F:F,'Crosswalk AEO to EPS Summary'!$B:$B,$B60)*Percent_urban*quadrillion</f>
        <v>20989707763296.363</v>
      </c>
      <c r="G60" s="93">
        <f>SUMIFS('Crosswalk AEO to EPS Summary'!G:G,'Crosswalk AEO to EPS Summary'!$B:$B,$B60)*Percent_urban*quadrillion</f>
        <v>21241763134461.262</v>
      </c>
      <c r="H60" s="93">
        <f>SUMIFS('Crosswalk AEO to EPS Summary'!H:H,'Crosswalk AEO to EPS Summary'!$B:$B,$B60)*Percent_urban*quadrillion</f>
        <v>21340959119242.289</v>
      </c>
      <c r="I60" s="93">
        <f>SUMIFS('Crosswalk AEO to EPS Summary'!I:I,'Crosswalk AEO to EPS Summary'!$B:$B,$B60)*Percent_urban*quadrillion</f>
        <v>21315753582125.797</v>
      </c>
      <c r="J60" s="93">
        <f>SUMIFS('Crosswalk AEO to EPS Summary'!J:J,'Crosswalk AEO to EPS Summary'!$B:$B,$B60)*Percent_urban*quadrillion</f>
        <v>21220623006557.109</v>
      </c>
      <c r="K60" s="93">
        <f>SUMIFS('Crosswalk AEO to EPS Summary'!K:K,'Crosswalk AEO to EPS Summary'!$B:$B,$B60)*Percent_urban*quadrillion</f>
        <v>21101099975714.398</v>
      </c>
      <c r="L60" s="93">
        <f>SUMIFS('Crosswalk AEO to EPS Summary'!L:L,'Crosswalk AEO to EPS Summary'!$B:$B,$B60)*Percent_urban*quadrillion</f>
        <v>20981576944871.691</v>
      </c>
      <c r="M60" s="93">
        <f>SUMIFS('Crosswalk AEO to EPS Summary'!M:M,'Crosswalk AEO to EPS Summary'!$B:$B,$B60)*Percent_urban*quadrillion</f>
        <v>20914091151946.891</v>
      </c>
      <c r="N60" s="93">
        <f>SUMIFS('Crosswalk AEO to EPS Summary'!N:N,'Crosswalk AEO to EPS Summary'!$B:$B,$B60)*Percent_urban*quadrillion</f>
        <v>20888885614830.406</v>
      </c>
      <c r="O60" s="93">
        <f>SUMIFS('Crosswalk AEO to EPS Summary'!O:O,'Crosswalk AEO to EPS Summary'!$B:$B,$B60)*Percent_urban*quadrillion</f>
        <v>20862866995871.449</v>
      </c>
      <c r="P60" s="93">
        <f>SUMIFS('Crosswalk AEO to EPS Summary'!P:P,'Crosswalk AEO to EPS Summary'!$B:$B,$B60)*Percent_urban*quadrillion</f>
        <v>20836035295070.023</v>
      </c>
      <c r="Q60" s="93">
        <f>SUMIFS('Crosswalk AEO to EPS Summary'!Q:Q,'Crosswalk AEO to EPS Summary'!$B:$B,$B60)*Percent_urban*quadrillion</f>
        <v>20803512021371.328</v>
      </c>
      <c r="R60" s="93">
        <f>SUMIFS('Crosswalk AEO to EPS Summary'!R:R,'Crosswalk AEO to EPS Summary'!$B:$B,$B60)*Percent_urban*quadrillion</f>
        <v>20777493402412.367</v>
      </c>
      <c r="S60" s="93">
        <f>SUMIFS('Crosswalk AEO to EPS Summary'!S:S,'Crosswalk AEO to EPS Summary'!$B:$B,$B60)*Percent_urban*quadrillion</f>
        <v>20744970128713.668</v>
      </c>
      <c r="T60" s="93">
        <f>SUMIFS('Crosswalk AEO to EPS Summary'!T:T,'Crosswalk AEO to EPS Summary'!$B:$B,$B60)*Percent_urban*quadrillion</f>
        <v>20718951509754.715</v>
      </c>
      <c r="U60" s="93">
        <f>SUMIFS('Crosswalk AEO to EPS Summary'!U:U,'Crosswalk AEO to EPS Summary'!$B:$B,$B60)*Percent_urban*quadrillion</f>
        <v>20696185218165.625</v>
      </c>
      <c r="V60" s="93">
        <f>SUMIFS('Crosswalk AEO to EPS Summary'!V:V,'Crosswalk AEO to EPS Summary'!$B:$B,$B60)*Percent_urban*quadrillion</f>
        <v>20670166599206.672</v>
      </c>
      <c r="W60" s="93">
        <f>SUMIFS('Crosswalk AEO to EPS Summary'!W:W,'Crosswalk AEO to EPS Summary'!$B:$B,$B60)*Percent_urban*quadrillion</f>
        <v>20638456407350.441</v>
      </c>
      <c r="X60" s="93">
        <f>SUMIFS('Crosswalk AEO to EPS Summary'!X:X,'Crosswalk AEO to EPS Summary'!$B:$B,$B60)*Percent_urban*quadrillion</f>
        <v>20604306969966.809</v>
      </c>
      <c r="Y60" s="93">
        <f>SUMIFS('Crosswalk AEO to EPS Summary'!Y:Y,'Crosswalk AEO to EPS Summary'!$B:$B,$B60)*Percent_urban*quadrillion</f>
        <v>20569344450740.711</v>
      </c>
      <c r="Z60" s="93">
        <f>SUMIFS('Crosswalk AEO to EPS Summary'!Z:Z,'Crosswalk AEO to EPS Summary'!$B:$B,$B60)*Percent_urban*quadrillion</f>
        <v>20516494130980.328</v>
      </c>
      <c r="AA60" s="93">
        <f>SUMIFS('Crosswalk AEO to EPS Summary'!AA:AA,'Crosswalk AEO to EPS Summary'!$B:$B,$B60)*Percent_urban*quadrillion</f>
        <v>20491288593863.836</v>
      </c>
      <c r="AB60" s="93">
        <f>SUMIFS('Crosswalk AEO to EPS Summary'!AB:AB,'Crosswalk AEO to EPS Summary'!$B:$B,$B60)*Percent_urban*quadrillion</f>
        <v>20470148465959.684</v>
      </c>
      <c r="AC60" s="93">
        <f>SUMIFS('Crosswalk AEO to EPS Summary'!AC:AC,'Crosswalk AEO to EPS Summary'!$B:$B,$B60)*Percent_urban*quadrillion</f>
        <v>20456326074637.742</v>
      </c>
      <c r="AD60" s="93">
        <f>SUMIFS('Crosswalk AEO to EPS Summary'!AD:AD,'Crosswalk AEO to EPS Summary'!$B:$B,$B60)*Percent_urban*quadrillion</f>
        <v>20448195256213.066</v>
      </c>
      <c r="AE60" s="93">
        <f>SUMIFS('Crosswalk AEO to EPS Summary'!AE:AE,'Crosswalk AEO to EPS Summary'!$B:$B,$B60)*Percent_urban*quadrillion</f>
        <v>20436812110418.52</v>
      </c>
      <c r="AF60" s="93">
        <f>SUMIFS('Crosswalk AEO to EPS Summary'!AF:AF,'Crosswalk AEO to EPS Summary'!$B:$B,$B60)*Percent_urban*quadrillion</f>
        <v>20414045818829.434</v>
      </c>
    </row>
    <row r="61" spans="2:32" s="93" customFormat="1" x14ac:dyDescent="0.25">
      <c r="B61" s="99" t="str">
        <f t="shared" si="4"/>
        <v>residential-other-heat (BTU)</v>
      </c>
      <c r="C61" s="95" t="s">
        <v>736</v>
      </c>
      <c r="D61" s="95" t="s">
        <v>734</v>
      </c>
      <c r="E61" s="95" t="s">
        <v>16</v>
      </c>
      <c r="F61" s="93">
        <v>0</v>
      </c>
      <c r="G61" s="93">
        <v>0</v>
      </c>
      <c r="H61" s="93">
        <v>0</v>
      </c>
      <c r="I61" s="93">
        <v>0</v>
      </c>
      <c r="J61" s="93">
        <v>0</v>
      </c>
      <c r="K61" s="93">
        <v>0</v>
      </c>
      <c r="L61" s="93">
        <v>0</v>
      </c>
      <c r="M61" s="93">
        <v>0</v>
      </c>
      <c r="N61" s="93">
        <v>0</v>
      </c>
      <c r="O61" s="93">
        <v>0</v>
      </c>
      <c r="P61" s="93">
        <v>0</v>
      </c>
      <c r="Q61" s="93">
        <v>0</v>
      </c>
      <c r="R61" s="93">
        <v>0</v>
      </c>
      <c r="S61" s="93">
        <v>0</v>
      </c>
      <c r="T61" s="93">
        <v>0</v>
      </c>
      <c r="U61" s="93">
        <v>0</v>
      </c>
      <c r="V61" s="93">
        <v>0</v>
      </c>
      <c r="W61" s="93">
        <v>0</v>
      </c>
      <c r="X61" s="93">
        <v>0</v>
      </c>
      <c r="Y61" s="93">
        <v>0</v>
      </c>
      <c r="Z61" s="93">
        <v>0</v>
      </c>
      <c r="AA61" s="93">
        <v>0</v>
      </c>
      <c r="AB61" s="93">
        <v>0</v>
      </c>
      <c r="AC61" s="93">
        <v>0</v>
      </c>
      <c r="AD61" s="93">
        <v>0</v>
      </c>
      <c r="AE61" s="93">
        <v>0</v>
      </c>
      <c r="AF61" s="93">
        <v>0</v>
      </c>
    </row>
    <row r="62" spans="2:32" s="93" customFormat="1" x14ac:dyDescent="0.25">
      <c r="B62" s="99" t="str">
        <f t="shared" si="4"/>
        <v>residential-other-biomass (BTU)</v>
      </c>
      <c r="C62" s="95" t="s">
        <v>736</v>
      </c>
      <c r="D62" s="95" t="s">
        <v>734</v>
      </c>
      <c r="E62" s="95" t="s">
        <v>73</v>
      </c>
      <c r="F62" s="93">
        <v>0</v>
      </c>
      <c r="G62" s="93">
        <v>0</v>
      </c>
      <c r="H62" s="93">
        <v>0</v>
      </c>
      <c r="I62" s="93">
        <v>0</v>
      </c>
      <c r="J62" s="93">
        <v>0</v>
      </c>
      <c r="K62" s="93">
        <v>0</v>
      </c>
      <c r="L62" s="93">
        <v>0</v>
      </c>
      <c r="M62" s="93">
        <v>0</v>
      </c>
      <c r="N62" s="93">
        <v>0</v>
      </c>
      <c r="O62" s="93">
        <v>0</v>
      </c>
      <c r="P62" s="93">
        <v>0</v>
      </c>
      <c r="Q62" s="93">
        <v>0</v>
      </c>
      <c r="R62" s="93">
        <v>0</v>
      </c>
      <c r="S62" s="93">
        <v>0</v>
      </c>
      <c r="T62" s="93">
        <v>0</v>
      </c>
      <c r="U62" s="93">
        <v>0</v>
      </c>
      <c r="V62" s="93">
        <v>0</v>
      </c>
      <c r="W62" s="93">
        <v>0</v>
      </c>
      <c r="X62" s="93">
        <v>0</v>
      </c>
      <c r="Y62" s="93">
        <v>0</v>
      </c>
      <c r="Z62" s="93">
        <v>0</v>
      </c>
      <c r="AA62" s="93">
        <v>0</v>
      </c>
      <c r="AB62" s="93">
        <v>0</v>
      </c>
      <c r="AC62" s="93">
        <v>0</v>
      </c>
      <c r="AD62" s="93">
        <v>0</v>
      </c>
      <c r="AE62" s="93">
        <v>0</v>
      </c>
      <c r="AF62" s="93">
        <v>0</v>
      </c>
    </row>
    <row r="63" spans="2:32" s="93" customFormat="1" x14ac:dyDescent="0.25">
      <c r="B63" s="99" t="str">
        <f t="shared" si="4"/>
        <v>residential-other-kerosene (BTU)</v>
      </c>
      <c r="C63" s="95" t="s">
        <v>736</v>
      </c>
      <c r="D63" s="95" t="s">
        <v>734</v>
      </c>
      <c r="E63" s="95" t="s">
        <v>170</v>
      </c>
      <c r="F63" s="93">
        <v>0</v>
      </c>
      <c r="G63" s="93">
        <v>0</v>
      </c>
      <c r="H63" s="93">
        <v>0</v>
      </c>
      <c r="I63" s="93">
        <v>0</v>
      </c>
      <c r="J63" s="93">
        <v>0</v>
      </c>
      <c r="K63" s="93">
        <v>0</v>
      </c>
      <c r="L63" s="93">
        <v>0</v>
      </c>
      <c r="M63" s="93">
        <v>0</v>
      </c>
      <c r="N63" s="93">
        <v>0</v>
      </c>
      <c r="O63" s="93">
        <v>0</v>
      </c>
      <c r="P63" s="93">
        <v>0</v>
      </c>
      <c r="Q63" s="93">
        <v>0</v>
      </c>
      <c r="R63" s="93">
        <v>0</v>
      </c>
      <c r="S63" s="93">
        <v>0</v>
      </c>
      <c r="T63" s="93">
        <v>0</v>
      </c>
      <c r="U63" s="93">
        <v>0</v>
      </c>
      <c r="V63" s="93">
        <v>0</v>
      </c>
      <c r="W63" s="93">
        <v>0</v>
      </c>
      <c r="X63" s="93">
        <v>0</v>
      </c>
      <c r="Y63" s="93">
        <v>0</v>
      </c>
      <c r="Z63" s="93">
        <v>0</v>
      </c>
      <c r="AA63" s="93">
        <v>0</v>
      </c>
      <c r="AB63" s="93">
        <v>0</v>
      </c>
      <c r="AC63" s="93">
        <v>0</v>
      </c>
      <c r="AD63" s="93">
        <v>0</v>
      </c>
      <c r="AE63" s="93">
        <v>0</v>
      </c>
      <c r="AF63" s="93">
        <v>0</v>
      </c>
    </row>
    <row r="64" spans="2:32" s="93" customFormat="1" x14ac:dyDescent="0.25">
      <c r="B64" s="99" t="str">
        <f t="shared" si="4"/>
        <v>residential-other-heavy or residual fuel oil (BTU)</v>
      </c>
      <c r="C64" s="95" t="s">
        <v>736</v>
      </c>
      <c r="D64" s="95" t="s">
        <v>734</v>
      </c>
      <c r="E64" s="95" t="s">
        <v>171</v>
      </c>
      <c r="F64" s="93">
        <v>0</v>
      </c>
      <c r="G64" s="93">
        <v>0</v>
      </c>
      <c r="H64" s="93">
        <v>0</v>
      </c>
      <c r="I64" s="93">
        <v>0</v>
      </c>
      <c r="J64" s="93">
        <v>0</v>
      </c>
      <c r="K64" s="93">
        <v>0</v>
      </c>
      <c r="L64" s="93">
        <v>0</v>
      </c>
      <c r="M64" s="93">
        <v>0</v>
      </c>
      <c r="N64" s="93">
        <v>0</v>
      </c>
      <c r="O64" s="93">
        <v>0</v>
      </c>
      <c r="P64" s="93">
        <v>0</v>
      </c>
      <c r="Q64" s="93">
        <v>0</v>
      </c>
      <c r="R64" s="93">
        <v>0</v>
      </c>
      <c r="S64" s="93">
        <v>0</v>
      </c>
      <c r="T64" s="93">
        <v>0</v>
      </c>
      <c r="U64" s="93">
        <v>0</v>
      </c>
      <c r="V64" s="93">
        <v>0</v>
      </c>
      <c r="W64" s="93">
        <v>0</v>
      </c>
      <c r="X64" s="93">
        <v>0</v>
      </c>
      <c r="Y64" s="93">
        <v>0</v>
      </c>
      <c r="Z64" s="93">
        <v>0</v>
      </c>
      <c r="AA64" s="93">
        <v>0</v>
      </c>
      <c r="AB64" s="93">
        <v>0</v>
      </c>
      <c r="AC64" s="93">
        <v>0</v>
      </c>
      <c r="AD64" s="93">
        <v>0</v>
      </c>
      <c r="AE64" s="93">
        <v>0</v>
      </c>
      <c r="AF64" s="93">
        <v>0</v>
      </c>
    </row>
    <row r="65" spans="2:32" s="93" customFormat="1" x14ac:dyDescent="0.25">
      <c r="B65" s="99" t="str">
        <f t="shared" si="4"/>
        <v>residential-other-LPG propane or butane (BTU)</v>
      </c>
      <c r="C65" s="95" t="s">
        <v>736</v>
      </c>
      <c r="D65" s="95" t="s">
        <v>734</v>
      </c>
      <c r="E65" s="95" t="s">
        <v>172</v>
      </c>
      <c r="F65" s="93">
        <f>SUMIFS('Crosswalk AEO to EPS Summary'!F:F,'Crosswalk AEO to EPS Summary'!$B:$B,$B65)*Percent_urban*quadrillion</f>
        <v>61209614182789.602</v>
      </c>
      <c r="G65" s="93">
        <f>SUMIFS('Crosswalk AEO to EPS Summary'!G:G,'Crosswalk AEO to EPS Summary'!$B:$B,$B65)*Percent_urban*quadrillion</f>
        <v>63527710515664.203</v>
      </c>
      <c r="H65" s="93">
        <f>SUMIFS('Crosswalk AEO to EPS Summary'!H:H,'Crosswalk AEO to EPS Summary'!$B:$B,$B65)*Percent_urban*quadrillion</f>
        <v>65710835262689.227</v>
      </c>
      <c r="I65" s="93">
        <f>SUMIFS('Crosswalk AEO to EPS Summary'!I:I,'Crosswalk AEO to EPS Summary'!$B:$B,$B65)*Percent_urban*quadrillion</f>
        <v>67782567797296.188</v>
      </c>
      <c r="J65" s="93">
        <f>SUMIFS('Crosswalk AEO to EPS Summary'!J:J,'Crosswalk AEO to EPS Summary'!$B:$B,$B65)*Percent_urban*quadrillion</f>
        <v>69814459321622.266</v>
      </c>
      <c r="K65" s="93">
        <f>SUMIFS('Crosswalk AEO to EPS Summary'!K:K,'Crosswalk AEO to EPS Summary'!$B:$B,$B65)*Percent_urban*quadrillion</f>
        <v>71813827572249.641</v>
      </c>
      <c r="L65" s="93">
        <f>SUMIFS('Crosswalk AEO to EPS Summary'!L:L,'Crosswalk AEO to EPS Summary'!$B:$B,$B65)*Percent_urban*quadrillion</f>
        <v>73735953047842.625</v>
      </c>
      <c r="M65" s="93">
        <f>SUMIFS('Crosswalk AEO to EPS Summary'!M:M,'Crosswalk AEO to EPS Summary'!$B:$B,$B65)*Percent_urban*quadrillion</f>
        <v>75628807577106.766</v>
      </c>
      <c r="N65" s="93">
        <f>SUMIFS('Crosswalk AEO to EPS Summary'!N:N,'Crosswalk AEO to EPS Summary'!$B:$B,$B65)*Percent_urban*quadrillion</f>
        <v>77442793167651.563</v>
      </c>
      <c r="O65" s="93">
        <f>SUMIFS('Crosswalk AEO to EPS Summary'!O:O,'Crosswalk AEO to EPS Summary'!$B:$B,$B65)*Percent_urban*quadrillion</f>
        <v>79172218246579.766</v>
      </c>
      <c r="P65" s="93">
        <f>SUMIFS('Crosswalk AEO to EPS Summary'!P:P,'Crosswalk AEO to EPS Summary'!$B:$B,$B65)*Percent_urban*quadrillion</f>
        <v>80854484578644.859</v>
      </c>
      <c r="Q65" s="93">
        <f>SUMIFS('Crosswalk AEO to EPS Summary'!Q:Q,'Crosswalk AEO to EPS Summary'!$B:$B,$B65)*Percent_urban*quadrillion</f>
        <v>82595292803367.609</v>
      </c>
      <c r="R65" s="93">
        <f>SUMIFS('Crosswalk AEO to EPS Summary'!R:R,'Crosswalk AEO to EPS Summary'!$B:$B,$B65)*Percent_urban*quadrillion</f>
        <v>84443427831296.031</v>
      </c>
      <c r="S65" s="93">
        <f>SUMIFS('Crosswalk AEO to EPS Summary'!S:S,'Crosswalk AEO to EPS Summary'!$B:$B,$B65)*Percent_urban*quadrillion</f>
        <v>86373684125313.688</v>
      </c>
      <c r="T65" s="93">
        <f>SUMIFS('Crosswalk AEO to EPS Summary'!T:T,'Crosswalk AEO to EPS Summary'!$B:$B,$B65)*Percent_urban*quadrillion</f>
        <v>88353538411721.844</v>
      </c>
      <c r="U65" s="93">
        <f>SUMIFS('Crosswalk AEO to EPS Summary'!U:U,'Crosswalk AEO to EPS Summary'!$B:$B,$B65)*Percent_urban*quadrillion</f>
        <v>90366729053671.172</v>
      </c>
      <c r="V65" s="93">
        <f>SUMIFS('Crosswalk AEO to EPS Summary'!V:V,'Crosswalk AEO to EPS Summary'!$B:$B,$B65)*Percent_urban*quadrillion</f>
        <v>92396994414312.297</v>
      </c>
      <c r="W65" s="93">
        <f>SUMIFS('Crosswalk AEO to EPS Summary'!W:W,'Crosswalk AEO to EPS Summary'!$B:$B,$B65)*Percent_urban*quadrillion</f>
        <v>94402867319679.422</v>
      </c>
      <c r="X65" s="93">
        <f>SUMIFS('Crosswalk AEO to EPS Summary'!X:X,'Crosswalk AEO to EPS Summary'!$B:$B,$B65)*Percent_urban*quadrillion</f>
        <v>96388413178984.859</v>
      </c>
      <c r="Y65" s="93">
        <f>SUMIFS('Crosswalk AEO to EPS Summary'!Y:Y,'Crosswalk AEO to EPS Summary'!$B:$B,$B65)*Percent_urban*quadrillion</f>
        <v>98339809600906.656</v>
      </c>
      <c r="Z65" s="93">
        <f>SUMIFS('Crosswalk AEO to EPS Summary'!Z:Z,'Crosswalk AEO to EPS Summary'!$B:$B,$B65)*Percent_urban*quadrillion</f>
        <v>100302589168623</v>
      </c>
      <c r="AA65" s="93">
        <f>SUMIFS('Crosswalk AEO to EPS Summary'!AA:AA,'Crosswalk AEO to EPS Summary'!$B:$B,$B65)*Percent_urban*quadrillion</f>
        <v>102270247227394.16</v>
      </c>
      <c r="AB65" s="93">
        <f>SUMIFS('Crosswalk AEO to EPS Summary'!AB:AB,'Crosswalk AEO to EPS Summary'!$B:$B,$B65)*Percent_urban*quadrillion</f>
        <v>104276120132761.27</v>
      </c>
      <c r="AC65" s="93">
        <f>SUMIFS('Crosswalk AEO to EPS Summary'!AC:AC,'Crosswalk AEO to EPS Summary'!$B:$B,$B65)*Percent_urban*quadrillion</f>
        <v>106338908767101.11</v>
      </c>
      <c r="AD65" s="93">
        <f>SUMIFS('Crosswalk AEO to EPS Summary'!AD:AD,'Crosswalk AEO to EPS Summary'!$B:$B,$B65)*Percent_urban*quadrillion</f>
        <v>108439912248036.89</v>
      </c>
      <c r="AE65" s="93">
        <f>SUMIFS('Crosswalk AEO to EPS Summary'!AE:AE,'Crosswalk AEO to EPS Summary'!$B:$B,$B65)*Percent_urban*quadrillion</f>
        <v>110514084028171.3</v>
      </c>
      <c r="AF65" s="93">
        <f>SUMIFS('Crosswalk AEO to EPS Summary'!AF:AF,'Crosswalk AEO to EPS Summary'!$B:$B,$B65)*Percent_urban*quadrillion</f>
        <v>112499629887476.73</v>
      </c>
    </row>
    <row r="66" spans="2:32" s="93" customFormat="1" x14ac:dyDescent="0.25">
      <c r="B66" s="99" t="str">
        <f t="shared" si="4"/>
        <v>residential-other-hydrogen (BTU)</v>
      </c>
      <c r="C66" s="95" t="s">
        <v>736</v>
      </c>
      <c r="D66" s="95" t="s">
        <v>734</v>
      </c>
      <c r="E66" s="95" t="s">
        <v>173</v>
      </c>
      <c r="F66" s="93">
        <v>0</v>
      </c>
      <c r="G66" s="93">
        <v>0</v>
      </c>
      <c r="H66" s="93">
        <v>0</v>
      </c>
      <c r="I66" s="93">
        <v>0</v>
      </c>
      <c r="J66" s="93">
        <v>0</v>
      </c>
      <c r="K66" s="93">
        <v>0</v>
      </c>
      <c r="L66" s="93">
        <v>0</v>
      </c>
      <c r="M66" s="93">
        <v>0</v>
      </c>
      <c r="N66" s="93">
        <v>0</v>
      </c>
      <c r="O66" s="93">
        <v>0</v>
      </c>
      <c r="P66" s="93">
        <v>0</v>
      </c>
      <c r="Q66" s="93">
        <v>0</v>
      </c>
      <c r="R66" s="93">
        <v>0</v>
      </c>
      <c r="S66" s="93">
        <v>0</v>
      </c>
      <c r="T66" s="93">
        <v>0</v>
      </c>
      <c r="U66" s="93">
        <v>0</v>
      </c>
      <c r="V66" s="93">
        <v>0</v>
      </c>
      <c r="W66" s="93">
        <v>0</v>
      </c>
      <c r="X66" s="93">
        <v>0</v>
      </c>
      <c r="Y66" s="93">
        <v>0</v>
      </c>
      <c r="Z66" s="93">
        <v>0</v>
      </c>
      <c r="AA66" s="93">
        <v>0</v>
      </c>
      <c r="AB66" s="93">
        <v>0</v>
      </c>
      <c r="AC66" s="93">
        <v>0</v>
      </c>
      <c r="AD66" s="93">
        <v>0</v>
      </c>
      <c r="AE66" s="93">
        <v>0</v>
      </c>
      <c r="AF66" s="93">
        <v>0</v>
      </c>
    </row>
    <row r="67" spans="2:32" s="93" customFormat="1" x14ac:dyDescent="0.25">
      <c r="B67" s="95"/>
      <c r="C67" s="95"/>
      <c r="D67" s="95"/>
      <c r="E67" s="95"/>
    </row>
    <row r="68" spans="2:32" s="93" customFormat="1" x14ac:dyDescent="0.25">
      <c r="B68" s="86" t="s">
        <v>181</v>
      </c>
      <c r="C68" s="95"/>
      <c r="D68" s="95"/>
      <c r="E68" s="95"/>
    </row>
    <row r="69" spans="2:32" s="93" customFormat="1" x14ac:dyDescent="0.25">
      <c r="B69" s="95"/>
      <c r="C69" s="95"/>
      <c r="D69" s="95"/>
      <c r="E69" s="95" t="s">
        <v>10</v>
      </c>
      <c r="F69" s="86">
        <v>2024</v>
      </c>
      <c r="G69" s="86">
        <v>2025</v>
      </c>
      <c r="H69" s="86">
        <v>2026</v>
      </c>
      <c r="I69" s="86">
        <v>2027</v>
      </c>
      <c r="J69" s="86">
        <v>2028</v>
      </c>
      <c r="K69" s="86">
        <v>2029</v>
      </c>
      <c r="L69" s="86">
        <v>2030</v>
      </c>
      <c r="M69" s="86">
        <v>2031</v>
      </c>
      <c r="N69" s="86">
        <v>2032</v>
      </c>
      <c r="O69" s="86">
        <v>2033</v>
      </c>
      <c r="P69" s="86">
        <v>2034</v>
      </c>
      <c r="Q69" s="86">
        <v>2035</v>
      </c>
      <c r="R69" s="86">
        <v>2036</v>
      </c>
      <c r="S69" s="86">
        <v>2037</v>
      </c>
      <c r="T69" s="86">
        <v>2038</v>
      </c>
      <c r="U69" s="86">
        <v>2039</v>
      </c>
      <c r="V69" s="86">
        <v>2040</v>
      </c>
      <c r="W69" s="86">
        <v>2041</v>
      </c>
      <c r="X69" s="86">
        <v>2042</v>
      </c>
      <c r="Y69" s="86">
        <v>2043</v>
      </c>
      <c r="Z69" s="86">
        <v>2044</v>
      </c>
      <c r="AA69" s="86">
        <v>2045</v>
      </c>
      <c r="AB69" s="86">
        <v>2046</v>
      </c>
      <c r="AC69" s="86">
        <v>2047</v>
      </c>
      <c r="AD69" s="86">
        <v>2048</v>
      </c>
      <c r="AE69" s="86">
        <v>2049</v>
      </c>
      <c r="AF69" s="86">
        <v>2050</v>
      </c>
    </row>
    <row r="70" spans="2:32" s="93" customFormat="1" x14ac:dyDescent="0.25">
      <c r="B70" s="99" t="str">
        <f>C70&amp;"-"&amp;D70&amp;"-"&amp;E70</f>
        <v>residential-heating-electricity (BTU)</v>
      </c>
      <c r="C70" s="95" t="s">
        <v>736</v>
      </c>
      <c r="D70" s="95" t="s">
        <v>730</v>
      </c>
      <c r="E70" s="95" t="s">
        <v>11</v>
      </c>
      <c r="F70" s="93">
        <f>SUMIFS('Crosswalk AEO to EPS Summary'!F:F,'Crosswalk AEO to EPS Summary'!$B:$B,$B70)*Percent_rural*quadrillion</f>
        <v>98704189184813.391</v>
      </c>
      <c r="G70" s="93">
        <f>SUMIFS('Crosswalk AEO to EPS Summary'!G:G,'Crosswalk AEO to EPS Summary'!$B:$B,$B70)*Percent_rural*quadrillion</f>
        <v>108891415688496.72</v>
      </c>
      <c r="H70" s="93">
        <f>SUMIFS('Crosswalk AEO to EPS Summary'!H:H,'Crosswalk AEO to EPS Summary'!$B:$B,$B70)*Percent_rural*quadrillion</f>
        <v>109448992552416.41</v>
      </c>
      <c r="I70" s="93">
        <f>SUMIFS('Crosswalk AEO to EPS Summary'!I:I,'Crosswalk AEO to EPS Summary'!$B:$B,$B70)*Percent_rural*quadrillion</f>
        <v>110129935400307.63</v>
      </c>
      <c r="J70" s="93">
        <f>SUMIFS('Crosswalk AEO to EPS Summary'!J:J,'Crosswalk AEO to EPS Summary'!$B:$B,$B70)*Percent_rural*quadrillion</f>
        <v>110263768801100.95</v>
      </c>
      <c r="K70" s="93">
        <f>SUMIFS('Crosswalk AEO to EPS Summary'!K:K,'Crosswalk AEO to EPS Summary'!$B:$B,$B70)*Percent_rural*quadrillion</f>
        <v>109611050594997.17</v>
      </c>
      <c r="L70" s="93">
        <f>SUMIFS('Crosswalk AEO to EPS Summary'!L:L,'Crosswalk AEO to EPS Summary'!$B:$B,$B70)*Percent_rural*quadrillion</f>
        <v>108515523273698.7</v>
      </c>
      <c r="M70" s="93">
        <f>SUMIFS('Crosswalk AEO to EPS Summary'!M:M,'Crosswalk AEO to EPS Summary'!$B:$B,$B70)*Percent_rural*quadrillion</f>
        <v>107215320569902.05</v>
      </c>
      <c r="N70" s="93">
        <f>SUMIFS('Crosswalk AEO to EPS Summary'!N:N,'Crosswalk AEO to EPS Summary'!$B:$B,$B70)*Percent_rural*quadrillion</f>
        <v>105933809681858.66</v>
      </c>
      <c r="O70" s="93">
        <f>SUMIFS('Crosswalk AEO to EPS Summary'!O:O,'Crosswalk AEO to EPS Summary'!$B:$B,$B70)*Percent_rural*quadrillion</f>
        <v>104809870800615.22</v>
      </c>
      <c r="P70" s="93">
        <f>SUMIFS('Crosswalk AEO to EPS Summary'!P:P,'Crosswalk AEO to EPS Summary'!$B:$B,$B70)*Percent_rural*quadrillion</f>
        <v>103659576459159.72</v>
      </c>
      <c r="Q70" s="93">
        <f>SUMIFS('Crosswalk AEO to EPS Summary'!Q:Q,'Crosswalk AEO to EPS Summary'!$B:$B,$B70)*Percent_rural*quadrillion</f>
        <v>102862744353598.33</v>
      </c>
      <c r="R70" s="93">
        <f>SUMIFS('Crosswalk AEO to EPS Summary'!R:R,'Crosswalk AEO to EPS Summary'!$B:$B,$B70)*Percent_rural*quadrillion</f>
        <v>102367037399821.89</v>
      </c>
      <c r="S70" s="93">
        <f>SUMIFS('Crosswalk AEO to EPS Summary'!S:S,'Crosswalk AEO to EPS Summary'!$B:$B,$B70)*Percent_rural*quadrillion</f>
        <v>101925536711729.94</v>
      </c>
      <c r="T70" s="93">
        <f>SUMIFS('Crosswalk AEO to EPS Summary'!T:T,'Crosswalk AEO to EPS Summary'!$B:$B,$B70)*Percent_rural*quadrillion</f>
        <v>101317305027118.92</v>
      </c>
      <c r="U70" s="93">
        <f>SUMIFS('Crosswalk AEO to EPS Summary'!U:U,'Crosswalk AEO to EPS Summary'!$B:$B,$B70)*Percent_rural*quadrillion</f>
        <v>100672437383631.5</v>
      </c>
      <c r="V70" s="93">
        <f>SUMIFS('Crosswalk AEO to EPS Summary'!V:V,'Crosswalk AEO to EPS Summary'!$B:$B,$B70)*Percent_rural*quadrillion</f>
        <v>99992242208370.422</v>
      </c>
      <c r="W70" s="93">
        <f>SUMIFS('Crosswalk AEO to EPS Summary'!W:W,'Crosswalk AEO to EPS Summary'!$B:$B,$B70)*Percent_rural*quadrillion</f>
        <v>99221391726706.047</v>
      </c>
      <c r="X70" s="93">
        <f>SUMIFS('Crosswalk AEO to EPS Summary'!X:X,'Crosswalk AEO to EPS Summary'!$B:$B,$B70)*Percent_rural*quadrillion</f>
        <v>98473719096575.719</v>
      </c>
      <c r="Y70" s="93">
        <f>SUMIFS('Crosswalk AEO to EPS Summary'!Y:Y,'Crosswalk AEO to EPS Summary'!$B:$B,$B70)*Percent_rural*quadrillion</f>
        <v>97733336274589.156</v>
      </c>
      <c r="Z70" s="93">
        <f>SUMIFS('Crosswalk AEO to EPS Summary'!Z:Z,'Crosswalk AEO to EPS Summary'!$B:$B,$B70)*Percent_rural*quadrillion</f>
        <v>96884914757548.781</v>
      </c>
      <c r="AA70" s="93">
        <f>SUMIFS('Crosswalk AEO to EPS Summary'!AA:AA,'Crosswalk AEO to EPS Summary'!$B:$B,$B70)*Percent_rural*quadrillion</f>
        <v>95987146846919.781</v>
      </c>
      <c r="AB70" s="93">
        <f>SUMIFS('Crosswalk AEO to EPS Summary'!AB:AB,'Crosswalk AEO to EPS Summary'!$B:$B,$B70)*Percent_rural*quadrillion</f>
        <v>95019471545373.609</v>
      </c>
      <c r="AC70" s="93">
        <f>SUMIFS('Crosswalk AEO to EPS Summary'!AC:AC,'Crosswalk AEO to EPS Summary'!$B:$B,$B70)*Percent_rural*quadrillion</f>
        <v>94006375131547</v>
      </c>
      <c r="AD70" s="93">
        <f>SUMIFS('Crosswalk AEO to EPS Summary'!AD:AD,'Crosswalk AEO to EPS Summary'!$B:$B,$B70)*Percent_rural*quadrillion</f>
        <v>92973652311179.469</v>
      </c>
      <c r="AE70" s="93">
        <f>SUMIFS('Crosswalk AEO to EPS Summary'!AE:AE,'Crosswalk AEO to EPS Summary'!$B:$B,$B70)*Percent_rural*quadrillion</f>
        <v>92002612482797.688</v>
      </c>
      <c r="AF70" s="93">
        <f>SUMIFS('Crosswalk AEO to EPS Summary'!AF:AF,'Crosswalk AEO to EPS Summary'!$B:$B,$B70)*Percent_rural*quadrillion</f>
        <v>90991759086861.5</v>
      </c>
    </row>
    <row r="71" spans="2:32" s="93" customFormat="1" x14ac:dyDescent="0.25">
      <c r="B71" s="99" t="str">
        <f t="shared" ref="B71:B79" si="5">C71&amp;"-"&amp;D71&amp;"-"&amp;E71</f>
        <v>residential-heating-coal (BTU)</v>
      </c>
      <c r="C71" s="95" t="s">
        <v>736</v>
      </c>
      <c r="D71" s="95" t="s">
        <v>730</v>
      </c>
      <c r="E71" s="95" t="s">
        <v>12</v>
      </c>
      <c r="F71" s="93">
        <v>0</v>
      </c>
      <c r="G71" s="93">
        <v>0</v>
      </c>
      <c r="H71" s="93">
        <v>0</v>
      </c>
      <c r="I71" s="93">
        <v>0</v>
      </c>
      <c r="J71" s="93">
        <v>0</v>
      </c>
      <c r="K71" s="93">
        <v>0</v>
      </c>
      <c r="L71" s="93">
        <v>0</v>
      </c>
      <c r="M71" s="93">
        <v>0</v>
      </c>
      <c r="N71" s="93">
        <v>0</v>
      </c>
      <c r="O71" s="93">
        <v>0</v>
      </c>
      <c r="P71" s="93">
        <v>0</v>
      </c>
      <c r="Q71" s="93">
        <v>0</v>
      </c>
      <c r="R71" s="93">
        <v>0</v>
      </c>
      <c r="S71" s="93">
        <v>0</v>
      </c>
      <c r="T71" s="93">
        <v>0</v>
      </c>
      <c r="U71" s="93">
        <v>0</v>
      </c>
      <c r="V71" s="93">
        <v>0</v>
      </c>
      <c r="W71" s="93">
        <v>0</v>
      </c>
      <c r="X71" s="93">
        <v>0</v>
      </c>
      <c r="Y71" s="93">
        <v>0</v>
      </c>
      <c r="Z71" s="93">
        <v>0</v>
      </c>
      <c r="AA71" s="93">
        <v>0</v>
      </c>
      <c r="AB71" s="93">
        <v>0</v>
      </c>
      <c r="AC71" s="93">
        <v>0</v>
      </c>
      <c r="AD71" s="93">
        <v>0</v>
      </c>
      <c r="AE71" s="93">
        <v>0</v>
      </c>
      <c r="AF71" s="93">
        <v>0</v>
      </c>
    </row>
    <row r="72" spans="2:32" s="93" customFormat="1" x14ac:dyDescent="0.25">
      <c r="B72" s="99" t="str">
        <f t="shared" si="5"/>
        <v>residential-heating-natural gas (BTU)</v>
      </c>
      <c r="C72" s="95" t="s">
        <v>736</v>
      </c>
      <c r="D72" s="95" t="s">
        <v>730</v>
      </c>
      <c r="E72" s="95" t="s">
        <v>13</v>
      </c>
      <c r="F72" s="93">
        <f>SUMIFS('Crosswalk AEO to EPS Summary'!F:F,'Crosswalk AEO to EPS Summary'!$B:$B,$B72)*Percent_rural*quadrillion</f>
        <v>519242192827653.25</v>
      </c>
      <c r="G72" s="93">
        <f>SUMIFS('Crosswalk AEO to EPS Summary'!G:G,'Crosswalk AEO to EPS Summary'!$B:$B,$B72)*Percent_rural*quadrillion</f>
        <v>584425788067675.88</v>
      </c>
      <c r="H72" s="93">
        <f>SUMIFS('Crosswalk AEO to EPS Summary'!H:H,'Crosswalk AEO to EPS Summary'!$B:$B,$B72)*Percent_rural*quadrillion</f>
        <v>587222831376993.5</v>
      </c>
      <c r="I72" s="93">
        <f>SUMIFS('Crosswalk AEO to EPS Summary'!I:I,'Crosswalk AEO to EPS Summary'!$B:$B,$B72)*Percent_rural*quadrillion</f>
        <v>588192375860115</v>
      </c>
      <c r="J72" s="93">
        <f>SUMIFS('Crosswalk AEO to EPS Summary'!J:J,'Crosswalk AEO to EPS Summary'!$B:$B,$B72)*Percent_rural*quadrillion</f>
        <v>587557041042661.75</v>
      </c>
      <c r="K72" s="93">
        <f>SUMIFS('Crosswalk AEO to EPS Summary'!K:K,'Crosswalk AEO to EPS Summary'!$B:$B,$B72)*Percent_rural*quadrillion</f>
        <v>584431582530559.38</v>
      </c>
      <c r="L72" s="93">
        <f>SUMIFS('Crosswalk AEO to EPS Summary'!L:L,'Crosswalk AEO to EPS Summary'!$B:$B,$B72)*Percent_rural*quadrillion</f>
        <v>580028164575406.75</v>
      </c>
      <c r="M72" s="93">
        <f>SUMIFS('Crosswalk AEO to EPS Summary'!M:M,'Crosswalk AEO to EPS Summary'!$B:$B,$B72)*Percent_rural*quadrillion</f>
        <v>573818556464016.75</v>
      </c>
      <c r="N72" s="93">
        <f>SUMIFS('Crosswalk AEO to EPS Summary'!N:N,'Crosswalk AEO to EPS Summary'!$B:$B,$B72)*Percent_rural*quadrillion</f>
        <v>565638083299603.25</v>
      </c>
      <c r="O72" s="93">
        <f>SUMIFS('Crosswalk AEO to EPS Summary'!O:O,'Crosswalk AEO to EPS Summary'!$B:$B,$B72)*Percent_rural*quadrillion</f>
        <v>558442481907229</v>
      </c>
      <c r="P72" s="93">
        <f>SUMIFS('Crosswalk AEO to EPS Summary'!P:P,'Crosswalk AEO to EPS Summary'!$B:$B,$B72)*Percent_rural*quadrillion</f>
        <v>550808931271755.81</v>
      </c>
      <c r="Q72" s="93">
        <f>SUMIFS('Crosswalk AEO to EPS Summary'!Q:Q,'Crosswalk AEO to EPS Summary'!$B:$B,$B72)*Percent_rural*quadrillion</f>
        <v>544342871448231.25</v>
      </c>
      <c r="R72" s="93">
        <f>SUMIFS('Crosswalk AEO to EPS Summary'!R:R,'Crosswalk AEO to EPS Summary'!$B:$B,$B72)*Percent_rural*quadrillion</f>
        <v>538988040071237.81</v>
      </c>
      <c r="S72" s="93">
        <f>SUMIFS('Crosswalk AEO to EPS Summary'!S:S,'Crosswalk AEO to EPS Summary'!$B:$B,$B72)*Percent_rural*quadrillion</f>
        <v>534267235084594.81</v>
      </c>
      <c r="T72" s="93">
        <f>SUMIFS('Crosswalk AEO to EPS Summary'!T:T,'Crosswalk AEO to EPS Summary'!$B:$B,$B72)*Percent_rural*quadrillion</f>
        <v>529781386221970.38</v>
      </c>
      <c r="U72" s="93">
        <f>SUMIFS('Crosswalk AEO to EPS Summary'!U:U,'Crosswalk AEO to EPS Summary'!$B:$B,$B72)*Percent_rural*quadrillion</f>
        <v>525527876629158.88</v>
      </c>
      <c r="V72" s="93">
        <f>SUMIFS('Crosswalk AEO to EPS Summary'!V:V,'Crosswalk AEO to EPS Summary'!$B:$B,$B72)*Percent_rural*quadrillion</f>
        <v>521085953533554.56</v>
      </c>
      <c r="W72" s="93">
        <f>SUMIFS('Crosswalk AEO to EPS Summary'!W:W,'Crosswalk AEO to EPS Summary'!$B:$B,$B72)*Percent_rural*quadrillion</f>
        <v>516083836719825.19</v>
      </c>
      <c r="X72" s="93">
        <f>SUMIFS('Crosswalk AEO to EPS Summary'!X:X,'Crosswalk AEO to EPS Summary'!$B:$B,$B72)*Percent_rural*quadrillion</f>
        <v>510977793410507.5</v>
      </c>
      <c r="Y72" s="93">
        <f>SUMIFS('Crosswalk AEO to EPS Summary'!Y:Y,'Crosswalk AEO to EPS Summary'!$B:$B,$B72)*Percent_rural*quadrillion</f>
        <v>505896423297984.31</v>
      </c>
      <c r="Z72" s="93">
        <f>SUMIFS('Crosswalk AEO to EPS Summary'!Z:Z,'Crosswalk AEO to EPS Summary'!$B:$B,$B72)*Percent_rural*quadrillion</f>
        <v>501102346393588.5</v>
      </c>
      <c r="AA72" s="93">
        <f>SUMIFS('Crosswalk AEO to EPS Summary'!AA:AA,'Crosswalk AEO to EPS Summary'!$B:$B,$B72)*Percent_rural*quadrillion</f>
        <v>496684722658463.5</v>
      </c>
      <c r="AB72" s="93">
        <f>SUMIFS('Crosswalk AEO to EPS Summary'!AB:AB,'Crosswalk AEO to EPS Summary'!$B:$B,$B72)*Percent_rural*quadrillion</f>
        <v>492381118999433.31</v>
      </c>
      <c r="AC72" s="93">
        <f>SUMIFS('Crosswalk AEO to EPS Summary'!AC:AC,'Crosswalk AEO to EPS Summary'!$B:$B,$B72)*Percent_rural*quadrillion</f>
        <v>488212096413826.56</v>
      </c>
      <c r="AD72" s="93">
        <f>SUMIFS('Crosswalk AEO to EPS Summary'!AD:AD,'Crosswalk AEO to EPS Summary'!$B:$B,$B72)*Percent_rural*quadrillion</f>
        <v>484216720796567.63</v>
      </c>
      <c r="AE72" s="93">
        <f>SUMIFS('Crosswalk AEO to EPS Summary'!AE:AE,'Crosswalk AEO to EPS Summary'!$B:$B,$B72)*Percent_rural*quadrillion</f>
        <v>480317047275965.38</v>
      </c>
      <c r="AF72" s="93">
        <f>SUMIFS('Crosswalk AEO to EPS Summary'!AF:AF,'Crosswalk AEO to EPS Summary'!$B:$B,$B72)*Percent_rural*quadrillion</f>
        <v>476336251274993.88</v>
      </c>
    </row>
    <row r="73" spans="2:32" s="93" customFormat="1" x14ac:dyDescent="0.25">
      <c r="B73" s="99" t="str">
        <f t="shared" si="5"/>
        <v>residential-heating-petroleum diesel (BTU)</v>
      </c>
      <c r="C73" s="95" t="s">
        <v>736</v>
      </c>
      <c r="D73" s="95" t="s">
        <v>730</v>
      </c>
      <c r="E73" s="95" t="s">
        <v>14</v>
      </c>
      <c r="F73" s="93">
        <f>SUMIFS('Crosswalk AEO to EPS Summary'!F:F,'Crosswalk AEO to EPS Summary'!$B:$B,$B73)*Percent_rural*quadrillion</f>
        <v>70988151704039.5</v>
      </c>
      <c r="G73" s="93">
        <f>SUMIFS('Crosswalk AEO to EPS Summary'!G:G,'Crosswalk AEO to EPS Summary'!$B:$B,$B73)*Percent_rural*quadrillion</f>
        <v>76813456083542.453</v>
      </c>
      <c r="H73" s="93">
        <f>SUMIFS('Crosswalk AEO to EPS Summary'!H:H,'Crosswalk AEO to EPS Summary'!$B:$B,$B73)*Percent_rural*quadrillion</f>
        <v>75942978223913.219</v>
      </c>
      <c r="I73" s="93">
        <f>SUMIFS('Crosswalk AEO to EPS Summary'!I:I,'Crosswalk AEO to EPS Summary'!$B:$B,$B73)*Percent_rural*quadrillion</f>
        <v>74678663806362.828</v>
      </c>
      <c r="J73" s="93">
        <f>SUMIFS('Crosswalk AEO to EPS Summary'!J:J,'Crosswalk AEO to EPS Summary'!$B:$B,$B73)*Percent_rural*quadrillion</f>
        <v>73209860924471.797</v>
      </c>
      <c r="K73" s="93">
        <f>SUMIFS('Crosswalk AEO to EPS Summary'!K:K,'Crosswalk AEO to EPS Summary'!$B:$B,$B73)*Percent_rural*quadrillion</f>
        <v>71702739820286.563</v>
      </c>
      <c r="L73" s="93">
        <f>SUMIFS('Crosswalk AEO to EPS Summary'!L:L,'Crosswalk AEO to EPS Summary'!$B:$B,$B73)*Percent_rural*quadrillion</f>
        <v>70220478831053.172</v>
      </c>
      <c r="M73" s="93">
        <f>SUMIFS('Crosswalk AEO to EPS Summary'!M:M,'Crosswalk AEO to EPS Summary'!$B:$B,$B73)*Percent_rural*quadrillion</f>
        <v>68917846191208.609</v>
      </c>
      <c r="N73" s="93">
        <f>SUMIFS('Crosswalk AEO to EPS Summary'!N:N,'Crosswalk AEO to EPS Summary'!$B:$B,$B73)*Percent_rural*quadrillion</f>
        <v>67772785558164</v>
      </c>
      <c r="O73" s="93">
        <f>SUMIFS('Crosswalk AEO to EPS Summary'!O:O,'Crosswalk AEO to EPS Summary'!$B:$B,$B73)*Percent_rural*quadrillion</f>
        <v>66751464745405.969</v>
      </c>
      <c r="P73" s="93">
        <f>SUMIFS('Crosswalk AEO to EPS Summary'!P:P,'Crosswalk AEO to EPS Summary'!$B:$B,$B73)*Percent_rural*quadrillion</f>
        <v>65678741439326.477</v>
      </c>
      <c r="Q73" s="93">
        <f>SUMIFS('Crosswalk AEO to EPS Summary'!Q:Q,'Crosswalk AEO to EPS Summary'!$B:$B,$B73)*Percent_rural*quadrillion</f>
        <v>64628261393993.359</v>
      </c>
      <c r="R73" s="93">
        <f>SUMIFS('Crosswalk AEO to EPS Summary'!R:R,'Crosswalk AEO to EPS Summary'!$B:$B,$B73)*Percent_rural*quadrillion</f>
        <v>63623576297255.734</v>
      </c>
      <c r="S73" s="93">
        <f>SUMIFS('Crosswalk AEO to EPS Summary'!S:S,'Crosswalk AEO to EPS Summary'!$B:$B,$B73)*Percent_rural*quadrillion</f>
        <v>62632536226017.969</v>
      </c>
      <c r="T73" s="93">
        <f>SUMIFS('Crosswalk AEO to EPS Summary'!T:T,'Crosswalk AEO to EPS Summary'!$B:$B,$B73)*Percent_rural*quadrillion</f>
        <v>61672524568930.625</v>
      </c>
      <c r="U73" s="93">
        <f>SUMIFS('Crosswalk AEO to EPS Summary'!U:U,'Crosswalk AEO to EPS Summary'!$B:$B,$B73)*Percent_rural*quadrillion</f>
        <v>60739802962843.039</v>
      </c>
      <c r="V73" s="93">
        <f>SUMIFS('Crosswalk AEO to EPS Summary'!V:V,'Crosswalk AEO to EPS Summary'!$B:$B,$B73)*Percent_rural*quadrillion</f>
        <v>59814371164899.211</v>
      </c>
      <c r="W73" s="93">
        <f>SUMIFS('Crosswalk AEO to EPS Summary'!W:W,'Crosswalk AEO to EPS Summary'!$B:$B,$B73)*Percent_rural*quadrillion</f>
        <v>58896789929571.758</v>
      </c>
      <c r="X73" s="93">
        <f>SUMIFS('Crosswalk AEO to EPS Summary'!X:X,'Crosswalk AEO to EPS Summary'!$B:$B,$B73)*Percent_rural*quadrillion</f>
        <v>58005190318141.336</v>
      </c>
      <c r="Y73" s="93">
        <f>SUMIFS('Crosswalk AEO to EPS Summary'!Y:Y,'Crosswalk AEO to EPS Summary'!$B:$B,$B73)*Percent_rural*quadrillion</f>
        <v>57142189184813.406</v>
      </c>
      <c r="Z73" s="93">
        <f>SUMIFS('Crosswalk AEO to EPS Summary'!Z:Z,'Crosswalk AEO to EPS Summary'!$B:$B,$B73)*Percent_rural*quadrillion</f>
        <v>56262365417307.531</v>
      </c>
      <c r="AA73" s="93">
        <f>SUMIFS('Crosswalk AEO to EPS Summary'!AA:AA,'Crosswalk AEO to EPS Summary'!$B:$B,$B73)*Percent_rural*quadrillion</f>
        <v>55477869910143.281</v>
      </c>
      <c r="AB73" s="93">
        <f>SUMIFS('Crosswalk AEO to EPS Summary'!AB:AB,'Crosswalk AEO to EPS Summary'!$B:$B,$B73)*Percent_rural*quadrillion</f>
        <v>54719542945033.594</v>
      </c>
      <c r="AC73" s="93">
        <f>SUMIFS('Crosswalk AEO to EPS Summary'!AC:AC,'Crosswalk AEO to EPS Summary'!$B:$B,$B73)*Percent_rural*quadrillion</f>
        <v>53992244394074.313</v>
      </c>
      <c r="AD73" s="93">
        <f>SUMIFS('Crosswalk AEO to EPS Summary'!AD:AD,'Crosswalk AEO to EPS Summary'!$B:$B,$B73)*Percent_rural*quadrillion</f>
        <v>53285319922286.086</v>
      </c>
      <c r="AE73" s="93">
        <f>SUMIFS('Crosswalk AEO to EPS Summary'!AE:AE,'Crosswalk AEO to EPS Summary'!$B:$B,$B73)*Percent_rural*quadrillion</f>
        <v>52592414312312.797</v>
      </c>
      <c r="AF73" s="93">
        <f>SUMIFS('Crosswalk AEO to EPS Summary'!AF:AF,'Crosswalk AEO to EPS Summary'!$B:$B,$B73)*Percent_rural*quadrillion</f>
        <v>51884555249736.914</v>
      </c>
    </row>
    <row r="74" spans="2:32" s="93" customFormat="1" x14ac:dyDescent="0.25">
      <c r="B74" s="99" t="str">
        <f t="shared" si="5"/>
        <v>residential-heating-heat (BTU)</v>
      </c>
      <c r="C74" s="95" t="s">
        <v>736</v>
      </c>
      <c r="D74" s="95" t="s">
        <v>730</v>
      </c>
      <c r="E74" s="95" t="s">
        <v>16</v>
      </c>
      <c r="F74" s="93">
        <v>0</v>
      </c>
      <c r="G74" s="93">
        <v>0</v>
      </c>
      <c r="H74" s="93">
        <v>0</v>
      </c>
      <c r="I74" s="93">
        <v>0</v>
      </c>
      <c r="J74" s="93">
        <v>0</v>
      </c>
      <c r="K74" s="93">
        <v>0</v>
      </c>
      <c r="L74" s="93">
        <v>0</v>
      </c>
      <c r="M74" s="93">
        <v>0</v>
      </c>
      <c r="N74" s="93">
        <v>0</v>
      </c>
      <c r="O74" s="93">
        <v>0</v>
      </c>
      <c r="P74" s="93">
        <v>0</v>
      </c>
      <c r="Q74" s="93">
        <v>0</v>
      </c>
      <c r="R74" s="93">
        <v>0</v>
      </c>
      <c r="S74" s="93">
        <v>0</v>
      </c>
      <c r="T74" s="93">
        <v>0</v>
      </c>
      <c r="U74" s="93">
        <v>0</v>
      </c>
      <c r="V74" s="93">
        <v>0</v>
      </c>
      <c r="W74" s="93">
        <v>0</v>
      </c>
      <c r="X74" s="93">
        <v>0</v>
      </c>
      <c r="Y74" s="93">
        <v>0</v>
      </c>
      <c r="Z74" s="93">
        <v>0</v>
      </c>
      <c r="AA74" s="93">
        <v>0</v>
      </c>
      <c r="AB74" s="93">
        <v>0</v>
      </c>
      <c r="AC74" s="93">
        <v>0</v>
      </c>
      <c r="AD74" s="93">
        <v>0</v>
      </c>
      <c r="AE74" s="93">
        <v>0</v>
      </c>
      <c r="AF74" s="93">
        <v>0</v>
      </c>
    </row>
    <row r="75" spans="2:32" s="93" customFormat="1" x14ac:dyDescent="0.25">
      <c r="B75" s="99" t="str">
        <f t="shared" si="5"/>
        <v>residential-heating-biomass (BTU)</v>
      </c>
      <c r="C75" s="95" t="s">
        <v>736</v>
      </c>
      <c r="D75" s="95" t="s">
        <v>730</v>
      </c>
      <c r="E75" s="95" t="s">
        <v>73</v>
      </c>
      <c r="F75" s="93">
        <f>SUMIFS('Crosswalk AEO to EPS Summary'!F:F,'Crosswalk AEO to EPS Summary'!$B:$B,$B75)*Percent_rural*quadrillion</f>
        <v>66838755524973.688</v>
      </c>
      <c r="G75" s="93">
        <f>SUMIFS('Crosswalk AEO to EPS Summary'!G:G,'Crosswalk AEO to EPS Summary'!$B:$B,$B75)*Percent_rural*quadrillion</f>
        <v>68242697806200.914</v>
      </c>
      <c r="H75" s="93">
        <f>SUMIFS('Crosswalk AEO to EPS Summary'!H:H,'Crosswalk AEO to EPS Summary'!$B:$B,$B75)*Percent_rural*quadrillion</f>
        <v>65917435926495.586</v>
      </c>
      <c r="I75" s="93">
        <f>SUMIFS('Crosswalk AEO to EPS Summary'!I:I,'Crosswalk AEO to EPS Summary'!$B:$B,$B75)*Percent_rural*quadrillion</f>
        <v>64915741520278.469</v>
      </c>
      <c r="J75" s="93">
        <f>SUMIFS('Crosswalk AEO to EPS Summary'!J:J,'Crosswalk AEO to EPS Summary'!$B:$B,$B75)*Percent_rural*quadrillion</f>
        <v>64620971585849.594</v>
      </c>
      <c r="K75" s="93">
        <f>SUMIFS('Crosswalk AEO to EPS Summary'!K:K,'Crosswalk AEO to EPS Summary'!$B:$B,$B75)*Percent_rural*quadrillion</f>
        <v>64580784181980.086</v>
      </c>
      <c r="L75" s="93">
        <f>SUMIFS('Crosswalk AEO to EPS Summary'!L:L,'Crosswalk AEO to EPS Summary'!$B:$B,$B75)*Percent_rural*quadrillion</f>
        <v>64540970614425.641</v>
      </c>
      <c r="M75" s="93">
        <f>SUMIFS('Crosswalk AEO to EPS Summary'!M:M,'Crosswalk AEO to EPS Summary'!$B:$B,$B75)*Percent_rural*quadrillion</f>
        <v>64019282036752.211</v>
      </c>
      <c r="N75" s="93">
        <f>SUMIFS('Crosswalk AEO to EPS Summary'!N:N,'Crosswalk AEO to EPS Summary'!$B:$B,$B75)*Percent_rural*quadrillion</f>
        <v>63046559944952.648</v>
      </c>
      <c r="O75" s="93">
        <f>SUMIFS('Crosswalk AEO to EPS Summary'!O:O,'Crosswalk AEO to EPS Summary'!$B:$B,$B75)*Percent_rural*quadrillion</f>
        <v>62213465716829.922</v>
      </c>
      <c r="P75" s="93">
        <f>SUMIFS('Crosswalk AEO to EPS Summary'!P:P,'Crosswalk AEO to EPS Summary'!$B:$B,$B75)*Percent_rural*quadrillion</f>
        <v>61352894519549.906</v>
      </c>
      <c r="Q75" s="93">
        <f>SUMIFS('Crosswalk AEO to EPS Summary'!Q:Q,'Crosswalk AEO to EPS Summary'!$B:$B,$B75)*Percent_rural*quadrillion</f>
        <v>60554940905043.305</v>
      </c>
      <c r="R75" s="93">
        <f>SUMIFS('Crosswalk AEO to EPS Summary'!R:R,'Crosswalk AEO to EPS Summary'!$B:$B,$B75)*Percent_rural*quadrillion</f>
        <v>59698108070913.945</v>
      </c>
      <c r="S75" s="93">
        <f>SUMIFS('Crosswalk AEO to EPS Summary'!S:S,'Crosswalk AEO to EPS Summary'!$B:$B,$B75)*Percent_rural*quadrillion</f>
        <v>58920528535578.391</v>
      </c>
      <c r="T75" s="93">
        <f>SUMIFS('Crosswalk AEO to EPS Summary'!T:T,'Crosswalk AEO to EPS Summary'!$B:$B,$B75)*Percent_rural*quadrillion</f>
        <v>58134911519468.961</v>
      </c>
      <c r="U75" s="93">
        <f>SUMIFS('Crosswalk AEO to EPS Summary'!U:U,'Crosswalk AEO to EPS Summary'!$B:$B,$B75)*Percent_rural*quadrillion</f>
        <v>57302378045818.828</v>
      </c>
      <c r="V75" s="93">
        <f>SUMIFS('Crosswalk AEO to EPS Summary'!V:V,'Crosswalk AEO to EPS Summary'!$B:$B,$B75)*Percent_rural*quadrillion</f>
        <v>56483302679511.047</v>
      </c>
      <c r="W75" s="93">
        <f>SUMIFS('Crosswalk AEO to EPS Summary'!W:W,'Crosswalk AEO to EPS Summary'!$B:$B,$B75)*Percent_rural*quadrillion</f>
        <v>55720302760463.039</v>
      </c>
      <c r="X75" s="93">
        <f>SUMIFS('Crosswalk AEO to EPS Summary'!X:X,'Crosswalk AEO to EPS Summary'!$B:$B,$B75)*Percent_rural*quadrillion</f>
        <v>55024406459969.234</v>
      </c>
      <c r="Y75" s="93">
        <f>SUMIFS('Crosswalk AEO to EPS Summary'!Y:Y,'Crosswalk AEO to EPS Summary'!$B:$B,$B75)*Percent_rural*quadrillion</f>
        <v>54383837934105.07</v>
      </c>
      <c r="Z75" s="93">
        <f>SUMIFS('Crosswalk AEO to EPS Summary'!Z:Z,'Crosswalk AEO to EPS Summary'!$B:$B,$B75)*Percent_rural*quadrillion</f>
        <v>53932617501821.422</v>
      </c>
      <c r="AA75" s="93">
        <f>SUMIFS('Crosswalk AEO to EPS Summary'!AA:AA,'Crosswalk AEO to EPS Summary'!$B:$B,$B75)*Percent_rural*quadrillion</f>
        <v>53259525216546.586</v>
      </c>
      <c r="AB75" s="93">
        <f>SUMIFS('Crosswalk AEO to EPS Summary'!AB:AB,'Crosswalk AEO to EPS Summary'!$B:$B,$B75)*Percent_rural*quadrillion</f>
        <v>52594470412045.648</v>
      </c>
      <c r="AC75" s="93">
        <f>SUMIFS('Crosswalk AEO to EPS Summary'!AC:AC,'Crosswalk AEO to EPS Summary'!$B:$B,$B75)*Percent_rural*quadrillion</f>
        <v>51905677001538.086</v>
      </c>
      <c r="AD75" s="93">
        <f>SUMIFS('Crosswalk AEO to EPS Summary'!AD:AD,'Crosswalk AEO to EPS Summary'!$B:$B,$B75)*Percent_rural*quadrillion</f>
        <v>51191649639763.625</v>
      </c>
      <c r="AE75" s="93">
        <f>SUMIFS('Crosswalk AEO to EPS Summary'!AE:AE,'Crosswalk AEO to EPS Summary'!$B:$B,$B75)*Percent_rural*quadrillion</f>
        <v>50574819719906.094</v>
      </c>
      <c r="AF75" s="93">
        <f>SUMIFS('Crosswalk AEO to EPS Summary'!AF:AF,'Crosswalk AEO to EPS Summary'!$B:$B,$B75)*Percent_rural*quadrillion</f>
        <v>50103412126608.922</v>
      </c>
    </row>
    <row r="76" spans="2:32" s="93" customFormat="1" x14ac:dyDescent="0.25">
      <c r="B76" s="99" t="str">
        <f t="shared" si="5"/>
        <v>residential-heating-kerosene (BTU)</v>
      </c>
      <c r="C76" s="95" t="s">
        <v>736</v>
      </c>
      <c r="D76" s="95" t="s">
        <v>730</v>
      </c>
      <c r="E76" s="95" t="s">
        <v>170</v>
      </c>
      <c r="F76" s="93">
        <v>0</v>
      </c>
      <c r="G76" s="93">
        <v>0</v>
      </c>
      <c r="H76" s="93">
        <v>0</v>
      </c>
      <c r="I76" s="93">
        <v>0</v>
      </c>
      <c r="J76" s="93">
        <v>0</v>
      </c>
      <c r="K76" s="93">
        <v>0</v>
      </c>
      <c r="L76" s="93">
        <v>0</v>
      </c>
      <c r="M76" s="93">
        <v>0</v>
      </c>
      <c r="N76" s="93">
        <v>0</v>
      </c>
      <c r="O76" s="93">
        <v>0</v>
      </c>
      <c r="P76" s="93">
        <v>0</v>
      </c>
      <c r="Q76" s="93">
        <v>0</v>
      </c>
      <c r="R76" s="93">
        <v>0</v>
      </c>
      <c r="S76" s="93">
        <v>0</v>
      </c>
      <c r="T76" s="93">
        <v>0</v>
      </c>
      <c r="U76" s="93">
        <v>0</v>
      </c>
      <c r="V76" s="93">
        <v>0</v>
      </c>
      <c r="W76" s="93">
        <v>0</v>
      </c>
      <c r="X76" s="93">
        <v>0</v>
      </c>
      <c r="Y76" s="93">
        <v>0</v>
      </c>
      <c r="Z76" s="93">
        <v>0</v>
      </c>
      <c r="AA76" s="93">
        <v>0</v>
      </c>
      <c r="AB76" s="93">
        <v>0</v>
      </c>
      <c r="AC76" s="93">
        <v>0</v>
      </c>
      <c r="AD76" s="93">
        <v>0</v>
      </c>
      <c r="AE76" s="93">
        <v>0</v>
      </c>
      <c r="AF76" s="93">
        <v>0</v>
      </c>
    </row>
    <row r="77" spans="2:32" s="93" customFormat="1" x14ac:dyDescent="0.25">
      <c r="B77" s="99" t="str">
        <f t="shared" si="5"/>
        <v>residential-heating-heavy or residual fuel oil (BTU)</v>
      </c>
      <c r="C77" s="95" t="s">
        <v>736</v>
      </c>
      <c r="D77" s="95" t="s">
        <v>730</v>
      </c>
      <c r="E77" s="95" t="s">
        <v>171</v>
      </c>
      <c r="F77" s="93">
        <v>0</v>
      </c>
      <c r="G77" s="93">
        <v>0</v>
      </c>
      <c r="H77" s="93">
        <v>0</v>
      </c>
      <c r="I77" s="93">
        <v>0</v>
      </c>
      <c r="J77" s="93">
        <v>0</v>
      </c>
      <c r="K77" s="93">
        <v>0</v>
      </c>
      <c r="L77" s="93">
        <v>0</v>
      </c>
      <c r="M77" s="93">
        <v>0</v>
      </c>
      <c r="N77" s="93">
        <v>0</v>
      </c>
      <c r="O77" s="93">
        <v>0</v>
      </c>
      <c r="P77" s="93">
        <v>0</v>
      </c>
      <c r="Q77" s="93">
        <v>0</v>
      </c>
      <c r="R77" s="93">
        <v>0</v>
      </c>
      <c r="S77" s="93">
        <v>0</v>
      </c>
      <c r="T77" s="93">
        <v>0</v>
      </c>
      <c r="U77" s="93">
        <v>0</v>
      </c>
      <c r="V77" s="93">
        <v>0</v>
      </c>
      <c r="W77" s="93">
        <v>0</v>
      </c>
      <c r="X77" s="93">
        <v>0</v>
      </c>
      <c r="Y77" s="93">
        <v>0</v>
      </c>
      <c r="Z77" s="93">
        <v>0</v>
      </c>
      <c r="AA77" s="93">
        <v>0</v>
      </c>
      <c r="AB77" s="93">
        <v>0</v>
      </c>
      <c r="AC77" s="93">
        <v>0</v>
      </c>
      <c r="AD77" s="93">
        <v>0</v>
      </c>
      <c r="AE77" s="93">
        <v>0</v>
      </c>
      <c r="AF77" s="93">
        <v>0</v>
      </c>
    </row>
    <row r="78" spans="2:32" s="93" customFormat="1" x14ac:dyDescent="0.25">
      <c r="B78" s="99" t="str">
        <f t="shared" si="5"/>
        <v>residential-heating-LPG propane or butane (BTU)</v>
      </c>
      <c r="C78" s="95" t="s">
        <v>736</v>
      </c>
      <c r="D78" s="95" t="s">
        <v>730</v>
      </c>
      <c r="E78" s="95" t="s">
        <v>172</v>
      </c>
      <c r="F78" s="93">
        <f>SUMIFS('Crosswalk AEO to EPS Summary'!F:F,'Crosswalk AEO to EPS Summary'!$B:$B,$B78)*Percent_rural*quadrillion</f>
        <v>56682370517283.25</v>
      </c>
      <c r="G78" s="93">
        <f>SUMIFS('Crosswalk AEO to EPS Summary'!G:G,'Crosswalk AEO to EPS Summary'!$B:$B,$B78)*Percent_rural*quadrillion</f>
        <v>63110672872986.313</v>
      </c>
      <c r="H78" s="93">
        <f>SUMIFS('Crosswalk AEO to EPS Summary'!H:H,'Crosswalk AEO to EPS Summary'!$B:$B,$B78)*Percent_rural*quadrillion</f>
        <v>62414963490650.039</v>
      </c>
      <c r="I78" s="93">
        <f>SUMIFS('Crosswalk AEO to EPS Summary'!I:I,'Crosswalk AEO to EPS Summary'!$B:$B,$B78)*Percent_rural*quadrillion</f>
        <v>61575140208856.148</v>
      </c>
      <c r="J78" s="93">
        <f>SUMIFS('Crosswalk AEO to EPS Summary'!J:J,'Crosswalk AEO to EPS Summary'!$B:$B,$B78)*Percent_rural*quadrillion</f>
        <v>60657745891686.234</v>
      </c>
      <c r="K78" s="93">
        <f>SUMIFS('Crosswalk AEO to EPS Summary'!K:K,'Crosswalk AEO to EPS Summary'!$B:$B,$B78)*Percent_rural*quadrillion</f>
        <v>59625770743948.836</v>
      </c>
      <c r="L78" s="93">
        <f>SUMIFS('Crosswalk AEO to EPS Summary'!L:L,'Crosswalk AEO to EPS Summary'!$B:$B,$B78)*Percent_rural*quadrillion</f>
        <v>58471738039342.664</v>
      </c>
      <c r="M78" s="93">
        <f>SUMIFS('Crosswalk AEO to EPS Summary'!M:M,'Crosswalk AEO to EPS Summary'!$B:$B,$B78)*Percent_rural*quadrillion</f>
        <v>57275835667449.203</v>
      </c>
      <c r="N78" s="93">
        <f>SUMIFS('Crosswalk AEO to EPS Summary'!N:N,'Crosswalk AEO to EPS Summary'!$B:$B,$B78)*Percent_rural*quadrillion</f>
        <v>56062923743220.273</v>
      </c>
      <c r="O78" s="93">
        <f>SUMIFS('Crosswalk AEO to EPS Summary'!O:O,'Crosswalk AEO to EPS Summary'!$B:$B,$B78)*Percent_rural*quadrillion</f>
        <v>54914872419655.148</v>
      </c>
      <c r="P78" s="93">
        <f>SUMIFS('Crosswalk AEO to EPS Summary'!P:P,'Crosswalk AEO to EPS Summary'!$B:$B,$B78)*Percent_rural*quadrillion</f>
        <v>53735418845624.539</v>
      </c>
      <c r="Q78" s="93">
        <f>SUMIFS('Crosswalk AEO to EPS Summary'!Q:Q,'Crosswalk AEO to EPS Summary'!$B:$B,$B78)*Percent_rural*quadrillion</f>
        <v>52653723467983.484</v>
      </c>
      <c r="R78" s="93">
        <f>SUMIFS('Crosswalk AEO to EPS Summary'!R:R,'Crosswalk AEO to EPS Summary'!$B:$B,$B78)*Percent_rural*quadrillion</f>
        <v>51690347284060.547</v>
      </c>
      <c r="S78" s="93">
        <f>SUMIFS('Crosswalk AEO to EPS Summary'!S:S,'Crosswalk AEO to EPS Summary'!$B:$B,$B78)*Percent_rural*quadrillion</f>
        <v>50828841495992.875</v>
      </c>
      <c r="T78" s="93">
        <f>SUMIFS('Crosswalk AEO to EPS Summary'!T:T,'Crosswalk AEO to EPS Summary'!$B:$B,$B78)*Percent_rural*quadrillion</f>
        <v>50033504735691.734</v>
      </c>
      <c r="U78" s="93">
        <f>SUMIFS('Crosswalk AEO to EPS Summary'!U:U,'Crosswalk AEO to EPS Summary'!$B:$B,$B78)*Percent_rural*quadrillion</f>
        <v>49298729458431.156</v>
      </c>
      <c r="V78" s="93">
        <f>SUMIFS('Crosswalk AEO to EPS Summary'!V:V,'Crosswalk AEO to EPS Summary'!$B:$B,$B78)*Percent_rural*quadrillion</f>
        <v>48613861329231.766</v>
      </c>
      <c r="W78" s="93">
        <f>SUMIFS('Crosswalk AEO to EPS Summary'!W:W,'Crosswalk AEO to EPS Summary'!$B:$B,$B78)*Percent_rural*quadrillion</f>
        <v>47953292560511.617</v>
      </c>
      <c r="X78" s="93">
        <f>SUMIFS('Crosswalk AEO to EPS Summary'!X:X,'Crosswalk AEO to EPS Summary'!$B:$B,$B78)*Percent_rural*quadrillion</f>
        <v>47316088561483.031</v>
      </c>
      <c r="Y78" s="93">
        <f>SUMIFS('Crosswalk AEO to EPS Summary'!Y:Y,'Crosswalk AEO to EPS Summary'!$B:$B,$B78)*Percent_rural*quadrillion</f>
        <v>46695146442159.805</v>
      </c>
      <c r="Z78" s="93">
        <f>SUMIFS('Crosswalk AEO to EPS Summary'!Z:Z,'Crosswalk AEO to EPS Summary'!$B:$B,$B78)*Percent_rural*quadrillion</f>
        <v>46104298146199.305</v>
      </c>
      <c r="AA78" s="93">
        <f>SUMIFS('Crosswalk AEO to EPS Summary'!AA:AA,'Crosswalk AEO to EPS Summary'!$B:$B,$B78)*Percent_rural*quadrillion</f>
        <v>45546347445964.547</v>
      </c>
      <c r="AB78" s="93">
        <f>SUMIFS('Crosswalk AEO to EPS Summary'!AB:AB,'Crosswalk AEO to EPS Summary'!$B:$B,$B78)*Percent_rural*quadrillion</f>
        <v>45038677730106.047</v>
      </c>
      <c r="AC78" s="93">
        <f>SUMIFS('Crosswalk AEO to EPS Summary'!AC:AC,'Crosswalk AEO to EPS Summary'!$B:$B,$B78)*Percent_rural*quadrillion</f>
        <v>44543905367117.297</v>
      </c>
      <c r="AD78" s="93">
        <f>SUMIFS('Crosswalk AEO to EPS Summary'!AD:AD,'Crosswalk AEO to EPS Summary'!$B:$B,$B78)*Percent_rural*quadrillion</f>
        <v>44054553630697</v>
      </c>
      <c r="AE78" s="93">
        <f>SUMIFS('Crosswalk AEO to EPS Summary'!AE:AE,'Crosswalk AEO to EPS Summary'!$B:$B,$B78)*Percent_rural*quadrillion</f>
        <v>43556416740872.664</v>
      </c>
      <c r="AF78" s="93">
        <f>SUMIFS('Crosswalk AEO to EPS Summary'!AF:AF,'Crosswalk AEO to EPS Summary'!$B:$B,$B78)*Percent_rural*quadrillion</f>
        <v>43021456974014.414</v>
      </c>
    </row>
    <row r="79" spans="2:32" s="93" customFormat="1" x14ac:dyDescent="0.25">
      <c r="B79" s="99" t="str">
        <f t="shared" si="5"/>
        <v>residential-heating-hydrogen (BTU)</v>
      </c>
      <c r="C79" s="95" t="s">
        <v>736</v>
      </c>
      <c r="D79" s="95" t="s">
        <v>730</v>
      </c>
      <c r="E79" s="95" t="s">
        <v>173</v>
      </c>
      <c r="F79" s="93">
        <v>0</v>
      </c>
      <c r="G79" s="93">
        <v>0</v>
      </c>
      <c r="H79" s="93">
        <v>0</v>
      </c>
      <c r="I79" s="93">
        <v>0</v>
      </c>
      <c r="J79" s="93">
        <v>0</v>
      </c>
      <c r="K79" s="93">
        <v>0</v>
      </c>
      <c r="L79" s="93">
        <v>0</v>
      </c>
      <c r="M79" s="93">
        <v>0</v>
      </c>
      <c r="N79" s="93">
        <v>0</v>
      </c>
      <c r="O79" s="93">
        <v>0</v>
      </c>
      <c r="P79" s="93">
        <v>0</v>
      </c>
      <c r="Q79" s="93">
        <v>0</v>
      </c>
      <c r="R79" s="93">
        <v>0</v>
      </c>
      <c r="S79" s="93">
        <v>0</v>
      </c>
      <c r="T79" s="93">
        <v>0</v>
      </c>
      <c r="U79" s="93">
        <v>0</v>
      </c>
      <c r="V79" s="93">
        <v>0</v>
      </c>
      <c r="W79" s="93">
        <v>0</v>
      </c>
      <c r="X79" s="93">
        <v>0</v>
      </c>
      <c r="Y79" s="93">
        <v>0</v>
      </c>
      <c r="Z79" s="93">
        <v>0</v>
      </c>
      <c r="AA79" s="93">
        <v>0</v>
      </c>
      <c r="AB79" s="93">
        <v>0</v>
      </c>
      <c r="AC79" s="93">
        <v>0</v>
      </c>
      <c r="AD79" s="93">
        <v>0</v>
      </c>
      <c r="AE79" s="93">
        <v>0</v>
      </c>
      <c r="AF79" s="93">
        <v>0</v>
      </c>
    </row>
    <row r="80" spans="2:32" s="93" customFormat="1" x14ac:dyDescent="0.25">
      <c r="B80" s="95"/>
      <c r="C80" s="95"/>
      <c r="D80" s="95"/>
      <c r="E80" s="95"/>
    </row>
    <row r="81" spans="2:32" s="93" customFormat="1" x14ac:dyDescent="0.25">
      <c r="B81" s="86" t="s">
        <v>182</v>
      </c>
      <c r="C81" s="95"/>
      <c r="D81" s="95"/>
      <c r="E81" s="95"/>
    </row>
    <row r="82" spans="2:32" s="93" customFormat="1" x14ac:dyDescent="0.25">
      <c r="B82" s="95"/>
      <c r="C82" s="95"/>
      <c r="D82" s="95"/>
      <c r="E82" s="95" t="s">
        <v>10</v>
      </c>
      <c r="F82" s="86">
        <v>2024</v>
      </c>
      <c r="G82" s="86">
        <v>2025</v>
      </c>
      <c r="H82" s="86">
        <v>2026</v>
      </c>
      <c r="I82" s="86">
        <v>2027</v>
      </c>
      <c r="J82" s="86">
        <v>2028</v>
      </c>
      <c r="K82" s="86">
        <v>2029</v>
      </c>
      <c r="L82" s="86">
        <v>2030</v>
      </c>
      <c r="M82" s="86">
        <v>2031</v>
      </c>
      <c r="N82" s="86">
        <v>2032</v>
      </c>
      <c r="O82" s="86">
        <v>2033</v>
      </c>
      <c r="P82" s="86">
        <v>2034</v>
      </c>
      <c r="Q82" s="86">
        <v>2035</v>
      </c>
      <c r="R82" s="86">
        <v>2036</v>
      </c>
      <c r="S82" s="86">
        <v>2037</v>
      </c>
      <c r="T82" s="86">
        <v>2038</v>
      </c>
      <c r="U82" s="86">
        <v>2039</v>
      </c>
      <c r="V82" s="86">
        <v>2040</v>
      </c>
      <c r="W82" s="86">
        <v>2041</v>
      </c>
      <c r="X82" s="86">
        <v>2042</v>
      </c>
      <c r="Y82" s="86">
        <v>2043</v>
      </c>
      <c r="Z82" s="86">
        <v>2044</v>
      </c>
      <c r="AA82" s="86">
        <v>2045</v>
      </c>
      <c r="AB82" s="86">
        <v>2046</v>
      </c>
      <c r="AC82" s="86">
        <v>2047</v>
      </c>
      <c r="AD82" s="86">
        <v>2048</v>
      </c>
      <c r="AE82" s="86">
        <v>2049</v>
      </c>
      <c r="AF82" s="86">
        <v>2050</v>
      </c>
    </row>
    <row r="83" spans="2:32" s="93" customFormat="1" x14ac:dyDescent="0.25">
      <c r="B83" s="99" t="str">
        <f>C83&amp;"-"&amp;D83&amp;"-"&amp;E83</f>
        <v>residential-cooling-electricity (BTU)</v>
      </c>
      <c r="C83" s="95" t="s">
        <v>736</v>
      </c>
      <c r="D83" s="95" t="s">
        <v>731</v>
      </c>
      <c r="E83" s="95" t="s">
        <v>11</v>
      </c>
      <c r="F83" s="93">
        <f>SUMIFS('Crosswalk AEO to EPS Summary'!F:F,'Crosswalk AEO to EPS Summary'!$B:$B,$B83)*Percent_rural*quadrillion</f>
        <v>212086687444345.47</v>
      </c>
      <c r="G83" s="93">
        <f>SUMIFS('Crosswalk AEO to EPS Summary'!G:G,'Crosswalk AEO to EPS Summary'!$B:$B,$B83)*Percent_rural*quadrillion</f>
        <v>207661400064761.59</v>
      </c>
      <c r="H83" s="93">
        <f>SUMIFS('Crosswalk AEO to EPS Summary'!H:H,'Crosswalk AEO to EPS Summary'!$B:$B,$B83)*Percent_rural*quadrillion</f>
        <v>211586681372945.88</v>
      </c>
      <c r="I83" s="93">
        <f>SUMIFS('Crosswalk AEO to EPS Summary'!I:I,'Crosswalk AEO to EPS Summary'!$B:$B,$B83)*Percent_rural*quadrillion</f>
        <v>215322240751234.5</v>
      </c>
      <c r="J83" s="93">
        <f>SUMIFS('Crosswalk AEO to EPS Summary'!J:J,'Crosswalk AEO to EPS Summary'!$B:$B,$B83)*Percent_rural*quadrillion</f>
        <v>217849187322917.5</v>
      </c>
      <c r="K83" s="93">
        <f>SUMIFS('Crosswalk AEO to EPS Summary'!K:K,'Crosswalk AEO to EPS Summary'!$B:$B,$B83)*Percent_rural*quadrillion</f>
        <v>218974247713106.13</v>
      </c>
      <c r="L83" s="93">
        <f>SUMIFS('Crosswalk AEO to EPS Summary'!L:L,'Crosswalk AEO to EPS Summary'!$B:$B,$B83)*Percent_rural*quadrillion</f>
        <v>219580984052456.88</v>
      </c>
      <c r="M83" s="93">
        <f>SUMIFS('Crosswalk AEO to EPS Summary'!M:M,'Crosswalk AEO to EPS Summary'!$B:$B,$B83)*Percent_rural*quadrillion</f>
        <v>219828463693030.06</v>
      </c>
      <c r="N83" s="93">
        <f>SUMIFS('Crosswalk AEO to EPS Summary'!N:N,'Crosswalk AEO to EPS Summary'!$B:$B,$B83)*Percent_rural*quadrillion</f>
        <v>220246786529587.97</v>
      </c>
      <c r="O83" s="93">
        <f>SUMIFS('Crosswalk AEO to EPS Summary'!O:O,'Crosswalk AEO to EPS Summary'!$B:$B,$B83)*Percent_rural*quadrillion</f>
        <v>221567550230713.16</v>
      </c>
      <c r="P83" s="93">
        <f>SUMIFS('Crosswalk AEO to EPS Summary'!P:P,'Crosswalk AEO to EPS Summary'!$B:$B,$B83)*Percent_rural*quadrillion</f>
        <v>223221215170403.94</v>
      </c>
      <c r="Q83" s="93">
        <f>SUMIFS('Crosswalk AEO to EPS Summary'!Q:Q,'Crosswalk AEO to EPS Summary'!$B:$B,$B83)*Percent_rural*quadrillion</f>
        <v>225652085809115.19</v>
      </c>
      <c r="R83" s="93">
        <f>SUMIFS('Crosswalk AEO to EPS Summary'!R:R,'Crosswalk AEO to EPS Summary'!$B:$B,$B83)*Percent_rural*quadrillion</f>
        <v>228811376507730.94</v>
      </c>
      <c r="S83" s="93">
        <f>SUMIFS('Crosswalk AEO to EPS Summary'!S:S,'Crosswalk AEO to EPS Summary'!$B:$B,$B83)*Percent_rural*quadrillion</f>
        <v>232349363393507.69</v>
      </c>
      <c r="T83" s="93">
        <f>SUMIFS('Crosswalk AEO to EPS Summary'!T:T,'Crosswalk AEO to EPS Summary'!$B:$B,$B83)*Percent_rural*quadrillion</f>
        <v>235649964219218</v>
      </c>
      <c r="U83" s="93">
        <f>SUMIFS('Crosswalk AEO to EPS Summary'!U:U,'Crosswalk AEO to EPS Summary'!$B:$B,$B83)*Percent_rural*quadrillion</f>
        <v>239061968266817.78</v>
      </c>
      <c r="V83" s="93">
        <f>SUMIFS('Crosswalk AEO to EPS Summary'!V:V,'Crosswalk AEO to EPS Summary'!$B:$B,$B83)*Percent_rural*quadrillion</f>
        <v>242432663401602.84</v>
      </c>
      <c r="W83" s="93">
        <f>SUMIFS('Crosswalk AEO to EPS Summary'!W:W,'Crosswalk AEO to EPS Summary'!$B:$B,$B83)*Percent_rural*quadrillion</f>
        <v>245797003319031.78</v>
      </c>
      <c r="X83" s="93">
        <f>SUMIFS('Crosswalk AEO to EPS Summary'!X:X,'Crosswalk AEO to EPS Summary'!$B:$B,$B83)*Percent_rural*quadrillion</f>
        <v>249073117866105.41</v>
      </c>
      <c r="Y83" s="93">
        <f>SUMIFS('Crosswalk AEO to EPS Summary'!Y:Y,'Crosswalk AEO to EPS Summary'!$B:$B,$B83)*Percent_rural*quadrillion</f>
        <v>252364933538411.72</v>
      </c>
      <c r="Z83" s="93">
        <f>SUMIFS('Crosswalk AEO to EPS Summary'!Z:Z,'Crosswalk AEO to EPS Summary'!$B:$B,$B83)*Percent_rural*quadrillion</f>
        <v>255592449364526.81</v>
      </c>
      <c r="AA83" s="93">
        <f>SUMIFS('Crosswalk AEO to EPS Summary'!AA:AA,'Crosswalk AEO to EPS Summary'!$B:$B,$B83)*Percent_rural*quadrillion</f>
        <v>258745945600259.03</v>
      </c>
      <c r="AB83" s="93">
        <f>SUMIFS('Crosswalk AEO to EPS Summary'!AB:AB,'Crosswalk AEO to EPS Summary'!$B:$B,$B83)*Percent_rural*quadrillion</f>
        <v>261842057961628.75</v>
      </c>
      <c r="AC83" s="93">
        <f>SUMIFS('Crosswalk AEO to EPS Summary'!AC:AC,'Crosswalk AEO to EPS Summary'!$B:$B,$B83)*Percent_rural*quadrillion</f>
        <v>264918356998299.97</v>
      </c>
      <c r="AD83" s="93">
        <f>SUMIFS('Crosswalk AEO to EPS Summary'!AD:AD,'Crosswalk AEO to EPS Summary'!$B:$B,$B83)*Percent_rural*quadrillion</f>
        <v>268019142313608.03</v>
      </c>
      <c r="AE83" s="93">
        <f>SUMIFS('Crosswalk AEO to EPS Summary'!AE:AE,'Crosswalk AEO to EPS Summary'!$B:$B,$B83)*Percent_rural*quadrillion</f>
        <v>271210022180846.72</v>
      </c>
      <c r="AF83" s="93">
        <f>SUMIFS('Crosswalk AEO to EPS Summary'!AF:AF,'Crosswalk AEO to EPS Summary'!$B:$B,$B83)*Percent_rural*quadrillion</f>
        <v>274399219784667.63</v>
      </c>
    </row>
    <row r="84" spans="2:32" s="93" customFormat="1" x14ac:dyDescent="0.25">
      <c r="B84" s="99" t="str">
        <f t="shared" ref="B84:B92" si="6">C84&amp;"-"&amp;D84&amp;"-"&amp;E84</f>
        <v>residential-cooling-coal (BTU)</v>
      </c>
      <c r="C84" s="95" t="s">
        <v>736</v>
      </c>
      <c r="D84" s="95" t="s">
        <v>731</v>
      </c>
      <c r="E84" s="95" t="s">
        <v>12</v>
      </c>
      <c r="F84" s="93">
        <v>0</v>
      </c>
      <c r="G84" s="93">
        <v>0</v>
      </c>
      <c r="H84" s="93">
        <v>0</v>
      </c>
      <c r="I84" s="93">
        <v>0</v>
      </c>
      <c r="J84" s="93">
        <v>0</v>
      </c>
      <c r="K84" s="93">
        <v>0</v>
      </c>
      <c r="L84" s="93">
        <v>0</v>
      </c>
      <c r="M84" s="93">
        <v>0</v>
      </c>
      <c r="N84" s="93">
        <v>0</v>
      </c>
      <c r="O84" s="93">
        <v>0</v>
      </c>
      <c r="P84" s="93">
        <v>0</v>
      </c>
      <c r="Q84" s="93">
        <v>0</v>
      </c>
      <c r="R84" s="93">
        <v>0</v>
      </c>
      <c r="S84" s="93">
        <v>0</v>
      </c>
      <c r="T84" s="93">
        <v>0</v>
      </c>
      <c r="U84" s="93">
        <v>0</v>
      </c>
      <c r="V84" s="93">
        <v>0</v>
      </c>
      <c r="W84" s="93">
        <v>0</v>
      </c>
      <c r="X84" s="93">
        <v>0</v>
      </c>
      <c r="Y84" s="93">
        <v>0</v>
      </c>
      <c r="Z84" s="93">
        <v>0</v>
      </c>
      <c r="AA84" s="93">
        <v>0</v>
      </c>
      <c r="AB84" s="93">
        <v>0</v>
      </c>
      <c r="AC84" s="93">
        <v>0</v>
      </c>
      <c r="AD84" s="93">
        <v>0</v>
      </c>
      <c r="AE84" s="93">
        <v>0</v>
      </c>
      <c r="AF84" s="93">
        <v>0</v>
      </c>
    </row>
    <row r="85" spans="2:32" s="93" customFormat="1" x14ac:dyDescent="0.25">
      <c r="B85" s="99" t="str">
        <f t="shared" si="6"/>
        <v>residential-cooling-natural gas (BTU)</v>
      </c>
      <c r="C85" s="95" t="s">
        <v>736</v>
      </c>
      <c r="D85" s="95" t="s">
        <v>731</v>
      </c>
      <c r="E85" s="95" t="s">
        <v>13</v>
      </c>
      <c r="F85" s="93">
        <f>SUMIFS('Crosswalk AEO to EPS Summary'!F:F,'Crosswalk AEO to EPS Summary'!$B:$B,$B85)*Percent_rural*quadrillion</f>
        <v>11869116085161.498</v>
      </c>
      <c r="G85" s="93">
        <f>SUMIFS('Crosswalk AEO to EPS Summary'!G:G,'Crosswalk AEO to EPS Summary'!$B:$B,$B85)*Percent_rural*quadrillion</f>
        <v>11409110499473.811</v>
      </c>
      <c r="H85" s="93">
        <f>SUMIFS('Crosswalk AEO to EPS Summary'!H:H,'Crosswalk AEO to EPS Summary'!$B:$B,$B85)*Percent_rural*quadrillion</f>
        <v>11488737634582.693</v>
      </c>
      <c r="I85" s="93">
        <f>SUMIFS('Crosswalk AEO to EPS Summary'!I:I,'Crosswalk AEO to EPS Summary'!$B:$B,$B85)*Percent_rural*quadrillion</f>
        <v>11501261151137.375</v>
      </c>
      <c r="J85" s="93">
        <f>SUMIFS('Crosswalk AEO to EPS Summary'!J:J,'Crosswalk AEO to EPS Summary'!$B:$B,$B85)*Percent_rural*quadrillion</f>
        <v>11473597263822.553</v>
      </c>
      <c r="K85" s="93">
        <f>SUMIFS('Crosswalk AEO to EPS Summary'!K:K,'Crosswalk AEO to EPS Summary'!$B:$B,$B85)*Percent_rural*quadrillion</f>
        <v>11429484578644.863</v>
      </c>
      <c r="L85" s="93">
        <f>SUMIFS('Crosswalk AEO to EPS Summary'!L:L,'Crosswalk AEO to EPS Summary'!$B:$B,$B85)*Percent_rural*quadrillion</f>
        <v>11386680320569.902</v>
      </c>
      <c r="M85" s="93">
        <f>SUMIFS('Crosswalk AEO to EPS Summary'!M:M,'Crosswalk AEO to EPS Summary'!$B:$B,$B85)*Percent_rural*quadrillion</f>
        <v>11339390026714.158</v>
      </c>
      <c r="N85" s="93">
        <f>SUMIFS('Crosswalk AEO to EPS Summary'!N:N,'Crosswalk AEO to EPS Summary'!$B:$B,$B85)*Percent_rural*quadrillion</f>
        <v>11288922124180.359</v>
      </c>
      <c r="O85" s="93">
        <f>SUMIFS('Crosswalk AEO to EPS Summary'!O:O,'Crosswalk AEO to EPS Summary'!$B:$B,$B85)*Percent_rural*quadrillion</f>
        <v>11242566421112.279</v>
      </c>
      <c r="P85" s="93">
        <f>SUMIFS('Crosswalk AEO to EPS Summary'!P:P,'Crosswalk AEO to EPS Summary'!$B:$B,$B85)*Percent_rural*quadrillion</f>
        <v>11201444426455.111</v>
      </c>
      <c r="Q85" s="93">
        <f>SUMIFS('Crosswalk AEO to EPS Summary'!Q:Q,'Crosswalk AEO to EPS Summary'!$B:$B,$B85)*Percent_rural*quadrillion</f>
        <v>11179014247551.201</v>
      </c>
      <c r="R85" s="93">
        <f>SUMIFS('Crosswalk AEO to EPS Summary'!R:R,'Crosswalk AEO to EPS Summary'!$B:$B,$B85)*Percent_rural*quadrillion</f>
        <v>11177518902290.941</v>
      </c>
      <c r="S85" s="93">
        <f>SUMIFS('Crosswalk AEO to EPS Summary'!S:S,'Crosswalk AEO to EPS Summary'!$B:$B,$B85)*Percent_rural*quadrillion</f>
        <v>11190416255160.689</v>
      </c>
      <c r="T85" s="93">
        <f>SUMIFS('Crosswalk AEO to EPS Summary'!T:T,'Crosswalk AEO to EPS Summary'!$B:$B,$B85)*Percent_rural*quadrillion</f>
        <v>11208547316441.35</v>
      </c>
      <c r="U85" s="93">
        <f>SUMIFS('Crosswalk AEO to EPS Summary'!U:U,'Crosswalk AEO to EPS Summary'!$B:$B,$B85)*Percent_rural*quadrillion</f>
        <v>11240697239536.955</v>
      </c>
      <c r="V85" s="93">
        <f>SUMIFS('Crosswalk AEO to EPS Summary'!V:V,'Crosswalk AEO to EPS Summary'!$B:$B,$B85)*Percent_rural*quadrillion</f>
        <v>11276959362098.275</v>
      </c>
      <c r="W85" s="93">
        <f>SUMIFS('Crosswalk AEO to EPS Summary'!W:W,'Crosswalk AEO to EPS Summary'!$B:$B,$B85)*Percent_rural*quadrillion</f>
        <v>11315838338865.055</v>
      </c>
      <c r="X85" s="93">
        <f>SUMIFS('Crosswalk AEO to EPS Summary'!X:X,'Crosswalk AEO to EPS Summary'!$B:$B,$B85)*Percent_rural*quadrillion</f>
        <v>11355464988261.961</v>
      </c>
      <c r="Y85" s="93">
        <f>SUMIFS('Crosswalk AEO to EPS Summary'!Y:Y,'Crosswalk AEO to EPS Summary'!$B:$B,$B85)*Percent_rural*quadrillion</f>
        <v>11397334655549.26</v>
      </c>
      <c r="Z85" s="93">
        <f>SUMIFS('Crosswalk AEO to EPS Summary'!Z:Z,'Crosswalk AEO to EPS Summary'!$B:$B,$B85)*Percent_rural*quadrillion</f>
        <v>11438643568363.961</v>
      </c>
      <c r="AA85" s="93">
        <f>SUMIFS('Crosswalk AEO to EPS Summary'!AA:AA,'Crosswalk AEO to EPS Summary'!$B:$B,$B85)*Percent_rural*quadrillion</f>
        <v>11476961790658.139</v>
      </c>
      <c r="AB85" s="93">
        <f>SUMIFS('Crosswalk AEO to EPS Summary'!AB:AB,'Crosswalk AEO to EPS Summary'!$B:$B,$B85)*Percent_rural*quadrillion</f>
        <v>11514532340322.188</v>
      </c>
      <c r="AC85" s="93">
        <f>SUMIFS('Crosswalk AEO to EPS Summary'!AC:AC,'Crosswalk AEO to EPS Summary'!$B:$B,$B85)*Percent_rural*quadrillion</f>
        <v>11550233708410.912</v>
      </c>
      <c r="AD85" s="93">
        <f>SUMIFS('Crosswalk AEO to EPS Summary'!AD:AD,'Crosswalk AEO to EPS Summary'!$B:$B,$B85)*Percent_rural*quadrillion</f>
        <v>11588365012547.559</v>
      </c>
      <c r="AE85" s="93">
        <f>SUMIFS('Crosswalk AEO to EPS Summary'!AE:AE,'Crosswalk AEO to EPS Summary'!$B:$B,$B85)*Percent_rural*quadrillion</f>
        <v>11626122480369.139</v>
      </c>
      <c r="AF85" s="93">
        <f>SUMIFS('Crosswalk AEO to EPS Summary'!AF:AF,'Crosswalk AEO to EPS Summary'!$B:$B,$B85)*Percent_rural*quadrillion</f>
        <v>11662197684772.93</v>
      </c>
    </row>
    <row r="86" spans="2:32" s="93" customFormat="1" x14ac:dyDescent="0.25">
      <c r="B86" s="99" t="str">
        <f t="shared" si="6"/>
        <v>residential-cooling-petroleum diesel (BTU)</v>
      </c>
      <c r="C86" s="95" t="s">
        <v>736</v>
      </c>
      <c r="D86" s="95" t="s">
        <v>731</v>
      </c>
      <c r="E86" s="95" t="s">
        <v>14</v>
      </c>
      <c r="F86" s="93">
        <v>0</v>
      </c>
      <c r="G86" s="93">
        <v>0</v>
      </c>
      <c r="H86" s="93">
        <v>0</v>
      </c>
      <c r="I86" s="93">
        <v>0</v>
      </c>
      <c r="J86" s="93">
        <v>0</v>
      </c>
      <c r="K86" s="93">
        <v>0</v>
      </c>
      <c r="L86" s="93">
        <v>0</v>
      </c>
      <c r="M86" s="93">
        <v>0</v>
      </c>
      <c r="N86" s="93">
        <v>0</v>
      </c>
      <c r="O86" s="93">
        <v>0</v>
      </c>
      <c r="P86" s="93">
        <v>0</v>
      </c>
      <c r="Q86" s="93">
        <v>0</v>
      </c>
      <c r="R86" s="93">
        <v>0</v>
      </c>
      <c r="S86" s="93">
        <v>0</v>
      </c>
      <c r="T86" s="93">
        <v>0</v>
      </c>
      <c r="U86" s="93">
        <v>0</v>
      </c>
      <c r="V86" s="93">
        <v>0</v>
      </c>
      <c r="W86" s="93">
        <v>0</v>
      </c>
      <c r="X86" s="93">
        <v>0</v>
      </c>
      <c r="Y86" s="93">
        <v>0</v>
      </c>
      <c r="Z86" s="93">
        <v>0</v>
      </c>
      <c r="AA86" s="93">
        <v>0</v>
      </c>
      <c r="AB86" s="93">
        <v>0</v>
      </c>
      <c r="AC86" s="93">
        <v>0</v>
      </c>
      <c r="AD86" s="93">
        <v>0</v>
      </c>
      <c r="AE86" s="93">
        <v>0</v>
      </c>
      <c r="AF86" s="93">
        <v>0</v>
      </c>
    </row>
    <row r="87" spans="2:32" s="93" customFormat="1" x14ac:dyDescent="0.25">
      <c r="B87" s="99" t="str">
        <f t="shared" si="6"/>
        <v>residential-cooling-heat (BTU)</v>
      </c>
      <c r="C87" s="95" t="s">
        <v>736</v>
      </c>
      <c r="D87" s="95" t="s">
        <v>731</v>
      </c>
      <c r="E87" s="95" t="s">
        <v>16</v>
      </c>
      <c r="F87" s="93">
        <v>0</v>
      </c>
      <c r="G87" s="93">
        <v>0</v>
      </c>
      <c r="H87" s="93">
        <v>0</v>
      </c>
      <c r="I87" s="93">
        <v>0</v>
      </c>
      <c r="J87" s="93">
        <v>0</v>
      </c>
      <c r="K87" s="93">
        <v>0</v>
      </c>
      <c r="L87" s="93">
        <v>0</v>
      </c>
      <c r="M87" s="93">
        <v>0</v>
      </c>
      <c r="N87" s="93">
        <v>0</v>
      </c>
      <c r="O87" s="93">
        <v>0</v>
      </c>
      <c r="P87" s="93">
        <v>0</v>
      </c>
      <c r="Q87" s="93">
        <v>0</v>
      </c>
      <c r="R87" s="93">
        <v>0</v>
      </c>
      <c r="S87" s="93">
        <v>0</v>
      </c>
      <c r="T87" s="93">
        <v>0</v>
      </c>
      <c r="U87" s="93">
        <v>0</v>
      </c>
      <c r="V87" s="93">
        <v>0</v>
      </c>
      <c r="W87" s="93">
        <v>0</v>
      </c>
      <c r="X87" s="93">
        <v>0</v>
      </c>
      <c r="Y87" s="93">
        <v>0</v>
      </c>
      <c r="Z87" s="93">
        <v>0</v>
      </c>
      <c r="AA87" s="93">
        <v>0</v>
      </c>
      <c r="AB87" s="93">
        <v>0</v>
      </c>
      <c r="AC87" s="93">
        <v>0</v>
      </c>
      <c r="AD87" s="93">
        <v>0</v>
      </c>
      <c r="AE87" s="93">
        <v>0</v>
      </c>
      <c r="AF87" s="93">
        <v>0</v>
      </c>
    </row>
    <row r="88" spans="2:32" s="93" customFormat="1" x14ac:dyDescent="0.25">
      <c r="B88" s="99" t="str">
        <f t="shared" si="6"/>
        <v>residential-cooling-biomass (BTU)</v>
      </c>
      <c r="C88" s="95" t="s">
        <v>736</v>
      </c>
      <c r="D88" s="95" t="s">
        <v>731</v>
      </c>
      <c r="E88" s="95" t="s">
        <v>73</v>
      </c>
      <c r="F88" s="93">
        <v>0</v>
      </c>
      <c r="G88" s="93">
        <v>0</v>
      </c>
      <c r="H88" s="93">
        <v>0</v>
      </c>
      <c r="I88" s="93">
        <v>0</v>
      </c>
      <c r="J88" s="93">
        <v>0</v>
      </c>
      <c r="K88" s="93">
        <v>0</v>
      </c>
      <c r="L88" s="93">
        <v>0</v>
      </c>
      <c r="M88" s="93">
        <v>0</v>
      </c>
      <c r="N88" s="93">
        <v>0</v>
      </c>
      <c r="O88" s="93">
        <v>0</v>
      </c>
      <c r="P88" s="93">
        <v>0</v>
      </c>
      <c r="Q88" s="93">
        <v>0</v>
      </c>
      <c r="R88" s="93">
        <v>0</v>
      </c>
      <c r="S88" s="93">
        <v>0</v>
      </c>
      <c r="T88" s="93">
        <v>0</v>
      </c>
      <c r="U88" s="93">
        <v>0</v>
      </c>
      <c r="V88" s="93">
        <v>0</v>
      </c>
      <c r="W88" s="93">
        <v>0</v>
      </c>
      <c r="X88" s="93">
        <v>0</v>
      </c>
      <c r="Y88" s="93">
        <v>0</v>
      </c>
      <c r="Z88" s="93">
        <v>0</v>
      </c>
      <c r="AA88" s="93">
        <v>0</v>
      </c>
      <c r="AB88" s="93">
        <v>0</v>
      </c>
      <c r="AC88" s="93">
        <v>0</v>
      </c>
      <c r="AD88" s="93">
        <v>0</v>
      </c>
      <c r="AE88" s="93">
        <v>0</v>
      </c>
      <c r="AF88" s="93">
        <v>0</v>
      </c>
    </row>
    <row r="89" spans="2:32" s="93" customFormat="1" x14ac:dyDescent="0.25">
      <c r="B89" s="99" t="str">
        <f t="shared" si="6"/>
        <v>residential-cooling-kerosene (BTU)</v>
      </c>
      <c r="C89" s="95" t="s">
        <v>736</v>
      </c>
      <c r="D89" s="95" t="s">
        <v>731</v>
      </c>
      <c r="E89" s="95" t="s">
        <v>170</v>
      </c>
      <c r="F89" s="93">
        <v>0</v>
      </c>
      <c r="G89" s="93">
        <v>0</v>
      </c>
      <c r="H89" s="93">
        <v>0</v>
      </c>
      <c r="I89" s="93">
        <v>0</v>
      </c>
      <c r="J89" s="93">
        <v>0</v>
      </c>
      <c r="K89" s="93">
        <v>0</v>
      </c>
      <c r="L89" s="93">
        <v>0</v>
      </c>
      <c r="M89" s="93">
        <v>0</v>
      </c>
      <c r="N89" s="93">
        <v>0</v>
      </c>
      <c r="O89" s="93">
        <v>0</v>
      </c>
      <c r="P89" s="93">
        <v>0</v>
      </c>
      <c r="Q89" s="93">
        <v>0</v>
      </c>
      <c r="R89" s="93">
        <v>0</v>
      </c>
      <c r="S89" s="93">
        <v>0</v>
      </c>
      <c r="T89" s="93">
        <v>0</v>
      </c>
      <c r="U89" s="93">
        <v>0</v>
      </c>
      <c r="V89" s="93">
        <v>0</v>
      </c>
      <c r="W89" s="93">
        <v>0</v>
      </c>
      <c r="X89" s="93">
        <v>0</v>
      </c>
      <c r="Y89" s="93">
        <v>0</v>
      </c>
      <c r="Z89" s="93">
        <v>0</v>
      </c>
      <c r="AA89" s="93">
        <v>0</v>
      </c>
      <c r="AB89" s="93">
        <v>0</v>
      </c>
      <c r="AC89" s="93">
        <v>0</v>
      </c>
      <c r="AD89" s="93">
        <v>0</v>
      </c>
      <c r="AE89" s="93">
        <v>0</v>
      </c>
      <c r="AF89" s="93">
        <v>0</v>
      </c>
    </row>
    <row r="90" spans="2:32" s="93" customFormat="1" x14ac:dyDescent="0.25">
      <c r="B90" s="99" t="str">
        <f t="shared" si="6"/>
        <v>residential-cooling-heavy or residual fuel oil (BTU)</v>
      </c>
      <c r="C90" s="95" t="s">
        <v>736</v>
      </c>
      <c r="D90" s="95" t="s">
        <v>731</v>
      </c>
      <c r="E90" s="95" t="s">
        <v>171</v>
      </c>
      <c r="F90" s="93">
        <v>0</v>
      </c>
      <c r="G90" s="93">
        <v>0</v>
      </c>
      <c r="H90" s="93">
        <v>0</v>
      </c>
      <c r="I90" s="93">
        <v>0</v>
      </c>
      <c r="J90" s="93">
        <v>0</v>
      </c>
      <c r="K90" s="93">
        <v>0</v>
      </c>
      <c r="L90" s="93">
        <v>0</v>
      </c>
      <c r="M90" s="93">
        <v>0</v>
      </c>
      <c r="N90" s="93">
        <v>0</v>
      </c>
      <c r="O90" s="93">
        <v>0</v>
      </c>
      <c r="P90" s="93">
        <v>0</v>
      </c>
      <c r="Q90" s="93">
        <v>0</v>
      </c>
      <c r="R90" s="93">
        <v>0</v>
      </c>
      <c r="S90" s="93">
        <v>0</v>
      </c>
      <c r="T90" s="93">
        <v>0</v>
      </c>
      <c r="U90" s="93">
        <v>0</v>
      </c>
      <c r="V90" s="93">
        <v>0</v>
      </c>
      <c r="W90" s="93">
        <v>0</v>
      </c>
      <c r="X90" s="93">
        <v>0</v>
      </c>
      <c r="Y90" s="93">
        <v>0</v>
      </c>
      <c r="Z90" s="93">
        <v>0</v>
      </c>
      <c r="AA90" s="93">
        <v>0</v>
      </c>
      <c r="AB90" s="93">
        <v>0</v>
      </c>
      <c r="AC90" s="93">
        <v>0</v>
      </c>
      <c r="AD90" s="93">
        <v>0</v>
      </c>
      <c r="AE90" s="93">
        <v>0</v>
      </c>
      <c r="AF90" s="93">
        <v>0</v>
      </c>
    </row>
    <row r="91" spans="2:32" s="93" customFormat="1" x14ac:dyDescent="0.25">
      <c r="B91" s="99" t="str">
        <f t="shared" si="6"/>
        <v>residential-cooling-LPG propane or butane (BTU)</v>
      </c>
      <c r="C91" s="95" t="s">
        <v>736</v>
      </c>
      <c r="D91" s="95" t="s">
        <v>731</v>
      </c>
      <c r="E91" s="95" t="s">
        <v>172</v>
      </c>
      <c r="F91" s="93">
        <v>0</v>
      </c>
      <c r="G91" s="93">
        <v>0</v>
      </c>
      <c r="H91" s="93">
        <v>0</v>
      </c>
      <c r="I91" s="93">
        <v>0</v>
      </c>
      <c r="J91" s="93">
        <v>0</v>
      </c>
      <c r="K91" s="93">
        <v>0</v>
      </c>
      <c r="L91" s="93">
        <v>0</v>
      </c>
      <c r="M91" s="93">
        <v>0</v>
      </c>
      <c r="N91" s="93">
        <v>0</v>
      </c>
      <c r="O91" s="93">
        <v>0</v>
      </c>
      <c r="P91" s="93">
        <v>0</v>
      </c>
      <c r="Q91" s="93">
        <v>0</v>
      </c>
      <c r="R91" s="93">
        <v>0</v>
      </c>
      <c r="S91" s="93">
        <v>0</v>
      </c>
      <c r="T91" s="93">
        <v>0</v>
      </c>
      <c r="U91" s="93">
        <v>0</v>
      </c>
      <c r="V91" s="93">
        <v>0</v>
      </c>
      <c r="W91" s="93">
        <v>0</v>
      </c>
      <c r="X91" s="93">
        <v>0</v>
      </c>
      <c r="Y91" s="93">
        <v>0</v>
      </c>
      <c r="Z91" s="93">
        <v>0</v>
      </c>
      <c r="AA91" s="93">
        <v>0</v>
      </c>
      <c r="AB91" s="93">
        <v>0</v>
      </c>
      <c r="AC91" s="93">
        <v>0</v>
      </c>
      <c r="AD91" s="93">
        <v>0</v>
      </c>
      <c r="AE91" s="93">
        <v>0</v>
      </c>
      <c r="AF91" s="93">
        <v>0</v>
      </c>
    </row>
    <row r="92" spans="2:32" s="93" customFormat="1" x14ac:dyDescent="0.25">
      <c r="B92" s="99" t="str">
        <f t="shared" si="6"/>
        <v>residential-cooling-hydrogen (BTU)</v>
      </c>
      <c r="C92" s="95" t="s">
        <v>736</v>
      </c>
      <c r="D92" s="95" t="s">
        <v>731</v>
      </c>
      <c r="E92" s="95" t="s">
        <v>173</v>
      </c>
      <c r="F92" s="93">
        <v>0</v>
      </c>
      <c r="G92" s="93">
        <v>0</v>
      </c>
      <c r="H92" s="93">
        <v>0</v>
      </c>
      <c r="I92" s="93">
        <v>0</v>
      </c>
      <c r="J92" s="93">
        <v>0</v>
      </c>
      <c r="K92" s="93">
        <v>0</v>
      </c>
      <c r="L92" s="93">
        <v>0</v>
      </c>
      <c r="M92" s="93">
        <v>0</v>
      </c>
      <c r="N92" s="93">
        <v>0</v>
      </c>
      <c r="O92" s="93">
        <v>0</v>
      </c>
      <c r="P92" s="93">
        <v>0</v>
      </c>
      <c r="Q92" s="93">
        <v>0</v>
      </c>
      <c r="R92" s="93">
        <v>0</v>
      </c>
      <c r="S92" s="93">
        <v>0</v>
      </c>
      <c r="T92" s="93">
        <v>0</v>
      </c>
      <c r="U92" s="93">
        <v>0</v>
      </c>
      <c r="V92" s="93">
        <v>0</v>
      </c>
      <c r="W92" s="93">
        <v>0</v>
      </c>
      <c r="X92" s="93">
        <v>0</v>
      </c>
      <c r="Y92" s="93">
        <v>0</v>
      </c>
      <c r="Z92" s="93">
        <v>0</v>
      </c>
      <c r="AA92" s="93">
        <v>0</v>
      </c>
      <c r="AB92" s="93">
        <v>0</v>
      </c>
      <c r="AC92" s="93">
        <v>0</v>
      </c>
      <c r="AD92" s="93">
        <v>0</v>
      </c>
      <c r="AE92" s="93">
        <v>0</v>
      </c>
      <c r="AF92" s="93">
        <v>0</v>
      </c>
    </row>
    <row r="93" spans="2:32" s="93" customFormat="1" x14ac:dyDescent="0.25">
      <c r="B93" s="95"/>
      <c r="C93" s="95"/>
      <c r="D93" s="95"/>
      <c r="E93" s="95"/>
    </row>
    <row r="94" spans="2:32" s="93" customFormat="1" x14ac:dyDescent="0.25">
      <c r="B94" s="86" t="s">
        <v>183</v>
      </c>
      <c r="C94" s="95"/>
      <c r="D94" s="95"/>
      <c r="E94" s="95"/>
    </row>
    <row r="95" spans="2:32" s="93" customFormat="1" x14ac:dyDescent="0.25">
      <c r="B95" s="95"/>
      <c r="C95" s="95"/>
      <c r="D95" s="95"/>
      <c r="E95" s="95" t="s">
        <v>10</v>
      </c>
      <c r="F95" s="86">
        <v>2024</v>
      </c>
      <c r="G95" s="86">
        <v>2025</v>
      </c>
      <c r="H95" s="86">
        <v>2026</v>
      </c>
      <c r="I95" s="86">
        <v>2027</v>
      </c>
      <c r="J95" s="86">
        <v>2028</v>
      </c>
      <c r="K95" s="86">
        <v>2029</v>
      </c>
      <c r="L95" s="86">
        <v>2030</v>
      </c>
      <c r="M95" s="86">
        <v>2031</v>
      </c>
      <c r="N95" s="86">
        <v>2032</v>
      </c>
      <c r="O95" s="86">
        <v>2033</v>
      </c>
      <c r="P95" s="86">
        <v>2034</v>
      </c>
      <c r="Q95" s="86">
        <v>2035</v>
      </c>
      <c r="R95" s="86">
        <v>2036</v>
      </c>
      <c r="S95" s="86">
        <v>2037</v>
      </c>
      <c r="T95" s="86">
        <v>2038</v>
      </c>
      <c r="U95" s="86">
        <v>2039</v>
      </c>
      <c r="V95" s="86">
        <v>2040</v>
      </c>
      <c r="W95" s="86">
        <v>2041</v>
      </c>
      <c r="X95" s="86">
        <v>2042</v>
      </c>
      <c r="Y95" s="86">
        <v>2043</v>
      </c>
      <c r="Z95" s="86">
        <v>2044</v>
      </c>
      <c r="AA95" s="86">
        <v>2045</v>
      </c>
      <c r="AB95" s="86">
        <v>2046</v>
      </c>
      <c r="AC95" s="86">
        <v>2047</v>
      </c>
      <c r="AD95" s="86">
        <v>2048</v>
      </c>
      <c r="AE95" s="86">
        <v>2049</v>
      </c>
      <c r="AF95" s="86">
        <v>2050</v>
      </c>
    </row>
    <row r="96" spans="2:32" s="93" customFormat="1" x14ac:dyDescent="0.25">
      <c r="B96" s="99" t="str">
        <f>C96&amp;"-"&amp;D96&amp;"-"&amp;E96</f>
        <v>residential-lighting-electricity (BTU)</v>
      </c>
      <c r="C96" s="95" t="s">
        <v>736</v>
      </c>
      <c r="D96" s="95" t="s">
        <v>733</v>
      </c>
      <c r="E96" s="95" t="s">
        <v>11</v>
      </c>
      <c r="F96" s="93">
        <f>SUMIFS('Crosswalk AEO to EPS Summary'!F:F,'Crosswalk AEO to EPS Summary'!$B:$B,$B96)*Percent_rural*quadrillion</f>
        <v>35023042095037.641</v>
      </c>
      <c r="G96" s="93">
        <f>SUMIFS('Crosswalk AEO to EPS Summary'!G:G,'Crosswalk AEO to EPS Summary'!$B:$B,$B96)*Percent_rural*quadrillion</f>
        <v>34652757224965.594</v>
      </c>
      <c r="H96" s="93">
        <f>SUMIFS('Crosswalk AEO to EPS Summary'!H:H,'Crosswalk AEO to EPS Summary'!$B:$B,$B96)*Percent_rural*quadrillion</f>
        <v>34946966404921.875</v>
      </c>
      <c r="I96" s="93">
        <f>SUMIFS('Crosswalk AEO to EPS Summary'!I:I,'Crosswalk AEO to EPS Summary'!$B:$B,$B96)*Percent_rural*quadrillion</f>
        <v>35632582206751.398</v>
      </c>
      <c r="J96" s="93">
        <f>SUMIFS('Crosswalk AEO to EPS Summary'!J:J,'Crosswalk AEO to EPS Summary'!$B:$B,$B96)*Percent_rural*quadrillion</f>
        <v>36211093904314.742</v>
      </c>
      <c r="K96" s="93">
        <f>SUMIFS('Crosswalk AEO to EPS Summary'!K:K,'Crosswalk AEO to EPS Summary'!$B:$B,$B96)*Percent_rural*quadrillion</f>
        <v>36561939286003.398</v>
      </c>
      <c r="L96" s="93">
        <f>SUMIFS('Crosswalk AEO to EPS Summary'!L:L,'Crosswalk AEO to EPS Summary'!$B:$B,$B96)*Percent_rural*quadrillion</f>
        <v>36480069133004.125</v>
      </c>
      <c r="M96" s="93">
        <f>SUMIFS('Crosswalk AEO to EPS Summary'!M:M,'Crosswalk AEO to EPS Summary'!$B:$B,$B96)*Percent_rural*quadrillion</f>
        <v>36361376102970.938</v>
      </c>
      <c r="N96" s="93">
        <f>SUMIFS('Crosswalk AEO to EPS Summary'!N:N,'Crosswalk AEO to EPS Summary'!$B:$B,$B96)*Percent_rural*quadrillion</f>
        <v>36321936371731.563</v>
      </c>
      <c r="O96" s="93">
        <f>SUMIFS('Crosswalk AEO to EPS Summary'!O:O,'Crosswalk AEO to EPS Summary'!$B:$B,$B96)*Percent_rural*quadrillion</f>
        <v>36289973366793.484</v>
      </c>
      <c r="P96" s="93">
        <f>SUMIFS('Crosswalk AEO to EPS Summary'!P:P,'Crosswalk AEO to EPS Summary'!$B:$B,$B96)*Percent_rural*quadrillion</f>
        <v>36337637496964.297</v>
      </c>
      <c r="Q96" s="93">
        <f>SUMIFS('Crosswalk AEO to EPS Summary'!Q:Q,'Crosswalk AEO to EPS Summary'!$B:$B,$B96)*Percent_rural*quadrillion</f>
        <v>36501003966647.781</v>
      </c>
      <c r="R96" s="93">
        <f>SUMIFS('Crosswalk AEO to EPS Summary'!R:R,'Crosswalk AEO to EPS Summary'!$B:$B,$B96)*Percent_rural*quadrillion</f>
        <v>36747922852748.32</v>
      </c>
      <c r="S96" s="93">
        <f>SUMIFS('Crosswalk AEO to EPS Summary'!S:S,'Crosswalk AEO to EPS Summary'!$B:$B,$B96)*Percent_rural*quadrillion</f>
        <v>37022318708006.148</v>
      </c>
      <c r="T96" s="93">
        <f>SUMIFS('Crosswalk AEO to EPS Summary'!T:T,'Crosswalk AEO to EPS Summary'!$B:$B,$B96)*Percent_rural*quadrillion</f>
        <v>37251667287298.633</v>
      </c>
      <c r="U96" s="93">
        <f>SUMIFS('Crosswalk AEO to EPS Summary'!U:U,'Crosswalk AEO to EPS Summary'!$B:$B,$B96)*Percent_rural*quadrillion</f>
        <v>37510922771796.32</v>
      </c>
      <c r="V96" s="93">
        <f>SUMIFS('Crosswalk AEO to EPS Summary'!V:V,'Crosswalk AEO to EPS Summary'!$B:$B,$B96)*Percent_rural*quadrillion</f>
        <v>37158955881162.469</v>
      </c>
      <c r="W96" s="93">
        <f>SUMIFS('Crosswalk AEO to EPS Summary'!W:W,'Crosswalk AEO to EPS Summary'!$B:$B,$B96)*Percent_rural*quadrillion</f>
        <v>36855026957014.484</v>
      </c>
      <c r="X96" s="93">
        <f>SUMIFS('Crosswalk AEO to EPS Summary'!X:X,'Crosswalk AEO to EPS Summary'!$B:$B,$B96)*Percent_rural*quadrillion</f>
        <v>36624930705091.883</v>
      </c>
      <c r="Y96" s="93">
        <f>SUMIFS('Crosswalk AEO to EPS Summary'!Y:Y,'Crosswalk AEO to EPS Summary'!$B:$B,$B96)*Percent_rural*quadrillion</f>
        <v>36475209260908.281</v>
      </c>
      <c r="Z96" s="93">
        <f>SUMIFS('Crosswalk AEO to EPS Summary'!Z:Z,'Crosswalk AEO to EPS Summary'!$B:$B,$B96)*Percent_rural*quadrillion</f>
        <v>36394086780539.141</v>
      </c>
      <c r="AA96" s="93">
        <f>SUMIFS('Crosswalk AEO to EPS Summary'!AA:AA,'Crosswalk AEO to EPS Summary'!$B:$B,$B96)*Percent_rural*quadrillion</f>
        <v>36349600259046.383</v>
      </c>
      <c r="AB96" s="93">
        <f>SUMIFS('Crosswalk AEO to EPS Summary'!AB:AB,'Crosswalk AEO to EPS Summary'!$B:$B,$B96)*Percent_rural*quadrillion</f>
        <v>36314085809115.195</v>
      </c>
      <c r="AC96" s="93">
        <f>SUMIFS('Crosswalk AEO to EPS Summary'!AC:AC,'Crosswalk AEO to EPS Summary'!$B:$B,$B96)*Percent_rural*quadrillion</f>
        <v>36281935886019.594</v>
      </c>
      <c r="AD96" s="93">
        <f>SUMIFS('Crosswalk AEO to EPS Summary'!AD:AD,'Crosswalk AEO to EPS Summary'!$B:$B,$B96)*Percent_rural*quadrillion</f>
        <v>36277262932081.281</v>
      </c>
      <c r="AE96" s="93">
        <f>SUMIFS('Crosswalk AEO to EPS Summary'!AE:AE,'Crosswalk AEO to EPS Summary'!$B:$B,$B96)*Percent_rural*quadrillion</f>
        <v>36300814619930.375</v>
      </c>
      <c r="AF96" s="93">
        <f>SUMIFS('Crosswalk AEO to EPS Summary'!AF:AF,'Crosswalk AEO to EPS Summary'!$B:$B,$B96)*Percent_rural*quadrillion</f>
        <v>36329973852505.461</v>
      </c>
    </row>
    <row r="97" spans="2:32" s="93" customFormat="1" x14ac:dyDescent="0.25">
      <c r="B97" s="99" t="str">
        <f t="shared" ref="B97:B105" si="7">C97&amp;"-"&amp;D97&amp;"-"&amp;E97</f>
        <v>residential-lighting-coal (BTU)</v>
      </c>
      <c r="C97" s="95" t="s">
        <v>736</v>
      </c>
      <c r="D97" s="95" t="s">
        <v>733</v>
      </c>
      <c r="E97" s="95" t="s">
        <v>12</v>
      </c>
      <c r="F97" s="93">
        <v>0</v>
      </c>
      <c r="G97" s="93">
        <v>0</v>
      </c>
      <c r="H97" s="93">
        <v>0</v>
      </c>
      <c r="I97" s="93">
        <v>0</v>
      </c>
      <c r="J97" s="93">
        <v>0</v>
      </c>
      <c r="K97" s="93">
        <v>0</v>
      </c>
      <c r="L97" s="93">
        <v>0</v>
      </c>
      <c r="M97" s="93">
        <v>0</v>
      </c>
      <c r="N97" s="93">
        <v>0</v>
      </c>
      <c r="O97" s="93">
        <v>0</v>
      </c>
      <c r="P97" s="93">
        <v>0</v>
      </c>
      <c r="Q97" s="93">
        <v>0</v>
      </c>
      <c r="R97" s="93">
        <v>0</v>
      </c>
      <c r="S97" s="93">
        <v>0</v>
      </c>
      <c r="T97" s="93">
        <v>0</v>
      </c>
      <c r="U97" s="93">
        <v>0</v>
      </c>
      <c r="V97" s="93">
        <v>0</v>
      </c>
      <c r="W97" s="93">
        <v>0</v>
      </c>
      <c r="X97" s="93">
        <v>0</v>
      </c>
      <c r="Y97" s="93">
        <v>0</v>
      </c>
      <c r="Z97" s="93">
        <v>0</v>
      </c>
      <c r="AA97" s="93">
        <v>0</v>
      </c>
      <c r="AB97" s="93">
        <v>0</v>
      </c>
      <c r="AC97" s="93">
        <v>0</v>
      </c>
      <c r="AD97" s="93">
        <v>0</v>
      </c>
      <c r="AE97" s="93">
        <v>0</v>
      </c>
      <c r="AF97" s="93">
        <v>0</v>
      </c>
    </row>
    <row r="98" spans="2:32" s="93" customFormat="1" x14ac:dyDescent="0.25">
      <c r="B98" s="99" t="str">
        <f t="shared" si="7"/>
        <v>residential-lighting-natural gas (BTU)</v>
      </c>
      <c r="C98" s="95" t="s">
        <v>736</v>
      </c>
      <c r="D98" s="95" t="s">
        <v>733</v>
      </c>
      <c r="E98" s="95" t="s">
        <v>13</v>
      </c>
      <c r="F98" s="93">
        <v>0</v>
      </c>
      <c r="G98" s="93">
        <v>0</v>
      </c>
      <c r="H98" s="93">
        <v>0</v>
      </c>
      <c r="I98" s="93">
        <v>0</v>
      </c>
      <c r="J98" s="93">
        <v>0</v>
      </c>
      <c r="K98" s="93">
        <v>0</v>
      </c>
      <c r="L98" s="93">
        <v>0</v>
      </c>
      <c r="M98" s="93">
        <v>0</v>
      </c>
      <c r="N98" s="93">
        <v>0</v>
      </c>
      <c r="O98" s="93">
        <v>0</v>
      </c>
      <c r="P98" s="93">
        <v>0</v>
      </c>
      <c r="Q98" s="93">
        <v>0</v>
      </c>
      <c r="R98" s="93">
        <v>0</v>
      </c>
      <c r="S98" s="93">
        <v>0</v>
      </c>
      <c r="T98" s="93">
        <v>0</v>
      </c>
      <c r="U98" s="93">
        <v>0</v>
      </c>
      <c r="V98" s="93">
        <v>0</v>
      </c>
      <c r="W98" s="93">
        <v>0</v>
      </c>
      <c r="X98" s="93">
        <v>0</v>
      </c>
      <c r="Y98" s="93">
        <v>0</v>
      </c>
      <c r="Z98" s="93">
        <v>0</v>
      </c>
      <c r="AA98" s="93">
        <v>0</v>
      </c>
      <c r="AB98" s="93">
        <v>0</v>
      </c>
      <c r="AC98" s="93">
        <v>0</v>
      </c>
      <c r="AD98" s="93">
        <v>0</v>
      </c>
      <c r="AE98" s="93">
        <v>0</v>
      </c>
      <c r="AF98" s="93">
        <v>0</v>
      </c>
    </row>
    <row r="99" spans="2:32" s="93" customFormat="1" x14ac:dyDescent="0.25">
      <c r="B99" s="99" t="str">
        <f t="shared" si="7"/>
        <v>residential-lighting-petroleum diesel (BTU)</v>
      </c>
      <c r="C99" s="95" t="s">
        <v>736</v>
      </c>
      <c r="D99" s="95" t="s">
        <v>733</v>
      </c>
      <c r="E99" s="95" t="s">
        <v>14</v>
      </c>
      <c r="F99" s="93">
        <v>0</v>
      </c>
      <c r="G99" s="93">
        <v>0</v>
      </c>
      <c r="H99" s="93">
        <v>0</v>
      </c>
      <c r="I99" s="93">
        <v>0</v>
      </c>
      <c r="J99" s="93">
        <v>0</v>
      </c>
      <c r="K99" s="93">
        <v>0</v>
      </c>
      <c r="L99" s="93">
        <v>0</v>
      </c>
      <c r="M99" s="93">
        <v>0</v>
      </c>
      <c r="N99" s="93">
        <v>0</v>
      </c>
      <c r="O99" s="93">
        <v>0</v>
      </c>
      <c r="P99" s="93">
        <v>0</v>
      </c>
      <c r="Q99" s="93">
        <v>0</v>
      </c>
      <c r="R99" s="93">
        <v>0</v>
      </c>
      <c r="S99" s="93">
        <v>0</v>
      </c>
      <c r="T99" s="93">
        <v>0</v>
      </c>
      <c r="U99" s="93">
        <v>0</v>
      </c>
      <c r="V99" s="93">
        <v>0</v>
      </c>
      <c r="W99" s="93">
        <v>0</v>
      </c>
      <c r="X99" s="93">
        <v>0</v>
      </c>
      <c r="Y99" s="93">
        <v>0</v>
      </c>
      <c r="Z99" s="93">
        <v>0</v>
      </c>
      <c r="AA99" s="93">
        <v>0</v>
      </c>
      <c r="AB99" s="93">
        <v>0</v>
      </c>
      <c r="AC99" s="93">
        <v>0</v>
      </c>
      <c r="AD99" s="93">
        <v>0</v>
      </c>
      <c r="AE99" s="93">
        <v>0</v>
      </c>
      <c r="AF99" s="93">
        <v>0</v>
      </c>
    </row>
    <row r="100" spans="2:32" s="93" customFormat="1" x14ac:dyDescent="0.25">
      <c r="B100" s="99" t="str">
        <f t="shared" si="7"/>
        <v>residential-lighting-heat (BTU)</v>
      </c>
      <c r="C100" s="95" t="s">
        <v>736</v>
      </c>
      <c r="D100" s="95" t="s">
        <v>733</v>
      </c>
      <c r="E100" s="95" t="s">
        <v>16</v>
      </c>
      <c r="F100" s="93">
        <v>0</v>
      </c>
      <c r="G100" s="93">
        <v>0</v>
      </c>
      <c r="H100" s="93">
        <v>0</v>
      </c>
      <c r="I100" s="93">
        <v>0</v>
      </c>
      <c r="J100" s="93">
        <v>0</v>
      </c>
      <c r="K100" s="93">
        <v>0</v>
      </c>
      <c r="L100" s="93">
        <v>0</v>
      </c>
      <c r="M100" s="93">
        <v>0</v>
      </c>
      <c r="N100" s="93">
        <v>0</v>
      </c>
      <c r="O100" s="93">
        <v>0</v>
      </c>
      <c r="P100" s="93">
        <v>0</v>
      </c>
      <c r="Q100" s="93">
        <v>0</v>
      </c>
      <c r="R100" s="93">
        <v>0</v>
      </c>
      <c r="S100" s="93">
        <v>0</v>
      </c>
      <c r="T100" s="93">
        <v>0</v>
      </c>
      <c r="U100" s="93">
        <v>0</v>
      </c>
      <c r="V100" s="93">
        <v>0</v>
      </c>
      <c r="W100" s="93">
        <v>0</v>
      </c>
      <c r="X100" s="93">
        <v>0</v>
      </c>
      <c r="Y100" s="93">
        <v>0</v>
      </c>
      <c r="Z100" s="93">
        <v>0</v>
      </c>
      <c r="AA100" s="93">
        <v>0</v>
      </c>
      <c r="AB100" s="93">
        <v>0</v>
      </c>
      <c r="AC100" s="93">
        <v>0</v>
      </c>
      <c r="AD100" s="93">
        <v>0</v>
      </c>
      <c r="AE100" s="93">
        <v>0</v>
      </c>
      <c r="AF100" s="93">
        <v>0</v>
      </c>
    </row>
    <row r="101" spans="2:32" s="93" customFormat="1" x14ac:dyDescent="0.25">
      <c r="B101" s="99" t="str">
        <f t="shared" si="7"/>
        <v>residential-lighting-biomass (BTU)</v>
      </c>
      <c r="C101" s="95" t="s">
        <v>736</v>
      </c>
      <c r="D101" s="95" t="s">
        <v>733</v>
      </c>
      <c r="E101" s="95" t="s">
        <v>73</v>
      </c>
      <c r="F101" s="93">
        <v>0</v>
      </c>
      <c r="G101" s="93">
        <v>0</v>
      </c>
      <c r="H101" s="93">
        <v>0</v>
      </c>
      <c r="I101" s="93">
        <v>0</v>
      </c>
      <c r="J101" s="93">
        <v>0</v>
      </c>
      <c r="K101" s="93">
        <v>0</v>
      </c>
      <c r="L101" s="93">
        <v>0</v>
      </c>
      <c r="M101" s="93">
        <v>0</v>
      </c>
      <c r="N101" s="93">
        <v>0</v>
      </c>
      <c r="O101" s="93">
        <v>0</v>
      </c>
      <c r="P101" s="93">
        <v>0</v>
      </c>
      <c r="Q101" s="93">
        <v>0</v>
      </c>
      <c r="R101" s="93">
        <v>0</v>
      </c>
      <c r="S101" s="93">
        <v>0</v>
      </c>
      <c r="T101" s="93">
        <v>0</v>
      </c>
      <c r="U101" s="93">
        <v>0</v>
      </c>
      <c r="V101" s="93">
        <v>0</v>
      </c>
      <c r="W101" s="93">
        <v>0</v>
      </c>
      <c r="X101" s="93">
        <v>0</v>
      </c>
      <c r="Y101" s="93">
        <v>0</v>
      </c>
      <c r="Z101" s="93">
        <v>0</v>
      </c>
      <c r="AA101" s="93">
        <v>0</v>
      </c>
      <c r="AB101" s="93">
        <v>0</v>
      </c>
      <c r="AC101" s="93">
        <v>0</v>
      </c>
      <c r="AD101" s="93">
        <v>0</v>
      </c>
      <c r="AE101" s="93">
        <v>0</v>
      </c>
      <c r="AF101" s="93">
        <v>0</v>
      </c>
    </row>
    <row r="102" spans="2:32" s="93" customFormat="1" x14ac:dyDescent="0.25">
      <c r="B102" s="99" t="str">
        <f t="shared" si="7"/>
        <v>residential-lighting-kerosene (BTU)</v>
      </c>
      <c r="C102" s="95" t="s">
        <v>736</v>
      </c>
      <c r="D102" s="95" t="s">
        <v>733</v>
      </c>
      <c r="E102" s="95" t="s">
        <v>170</v>
      </c>
      <c r="F102" s="93">
        <v>0</v>
      </c>
      <c r="G102" s="93">
        <v>0</v>
      </c>
      <c r="H102" s="93">
        <v>0</v>
      </c>
      <c r="I102" s="93">
        <v>0</v>
      </c>
      <c r="J102" s="93">
        <v>0</v>
      </c>
      <c r="K102" s="93">
        <v>0</v>
      </c>
      <c r="L102" s="93">
        <v>0</v>
      </c>
      <c r="M102" s="93">
        <v>0</v>
      </c>
      <c r="N102" s="93">
        <v>0</v>
      </c>
      <c r="O102" s="93">
        <v>0</v>
      </c>
      <c r="P102" s="93">
        <v>0</v>
      </c>
      <c r="Q102" s="93">
        <v>0</v>
      </c>
      <c r="R102" s="93">
        <v>0</v>
      </c>
      <c r="S102" s="93">
        <v>0</v>
      </c>
      <c r="T102" s="93">
        <v>0</v>
      </c>
      <c r="U102" s="93">
        <v>0</v>
      </c>
      <c r="V102" s="93">
        <v>0</v>
      </c>
      <c r="W102" s="93">
        <v>0</v>
      </c>
      <c r="X102" s="93">
        <v>0</v>
      </c>
      <c r="Y102" s="93">
        <v>0</v>
      </c>
      <c r="Z102" s="93">
        <v>0</v>
      </c>
      <c r="AA102" s="93">
        <v>0</v>
      </c>
      <c r="AB102" s="93">
        <v>0</v>
      </c>
      <c r="AC102" s="93">
        <v>0</v>
      </c>
      <c r="AD102" s="93">
        <v>0</v>
      </c>
      <c r="AE102" s="93">
        <v>0</v>
      </c>
      <c r="AF102" s="93">
        <v>0</v>
      </c>
    </row>
    <row r="103" spans="2:32" s="93" customFormat="1" x14ac:dyDescent="0.25">
      <c r="B103" s="99" t="str">
        <f t="shared" si="7"/>
        <v>residential-lighting-heavy or residual fuel oil (BTU)</v>
      </c>
      <c r="C103" s="95" t="s">
        <v>736</v>
      </c>
      <c r="D103" s="95" t="s">
        <v>733</v>
      </c>
      <c r="E103" s="95" t="s">
        <v>171</v>
      </c>
      <c r="F103" s="93">
        <v>0</v>
      </c>
      <c r="G103" s="93">
        <v>0</v>
      </c>
      <c r="H103" s="93">
        <v>0</v>
      </c>
      <c r="I103" s="93">
        <v>0</v>
      </c>
      <c r="J103" s="93">
        <v>0</v>
      </c>
      <c r="K103" s="93">
        <v>0</v>
      </c>
      <c r="L103" s="93">
        <v>0</v>
      </c>
      <c r="M103" s="93">
        <v>0</v>
      </c>
      <c r="N103" s="93">
        <v>0</v>
      </c>
      <c r="O103" s="93">
        <v>0</v>
      </c>
      <c r="P103" s="93">
        <v>0</v>
      </c>
      <c r="Q103" s="93">
        <v>0</v>
      </c>
      <c r="R103" s="93">
        <v>0</v>
      </c>
      <c r="S103" s="93">
        <v>0</v>
      </c>
      <c r="T103" s="93">
        <v>0</v>
      </c>
      <c r="U103" s="93">
        <v>0</v>
      </c>
      <c r="V103" s="93">
        <v>0</v>
      </c>
      <c r="W103" s="93">
        <v>0</v>
      </c>
      <c r="X103" s="93">
        <v>0</v>
      </c>
      <c r="Y103" s="93">
        <v>0</v>
      </c>
      <c r="Z103" s="93">
        <v>0</v>
      </c>
      <c r="AA103" s="93">
        <v>0</v>
      </c>
      <c r="AB103" s="93">
        <v>0</v>
      </c>
      <c r="AC103" s="93">
        <v>0</v>
      </c>
      <c r="AD103" s="93">
        <v>0</v>
      </c>
      <c r="AE103" s="93">
        <v>0</v>
      </c>
      <c r="AF103" s="93">
        <v>0</v>
      </c>
    </row>
    <row r="104" spans="2:32" s="93" customFormat="1" x14ac:dyDescent="0.25">
      <c r="B104" s="99" t="str">
        <f t="shared" si="7"/>
        <v>residential-lighting-LPG propane or butane (BTU)</v>
      </c>
      <c r="C104" s="95" t="s">
        <v>736</v>
      </c>
      <c r="D104" s="95" t="s">
        <v>733</v>
      </c>
      <c r="E104" s="95" t="s">
        <v>172</v>
      </c>
      <c r="F104" s="93">
        <v>0</v>
      </c>
      <c r="G104" s="93">
        <v>0</v>
      </c>
      <c r="H104" s="93">
        <v>0</v>
      </c>
      <c r="I104" s="93">
        <v>0</v>
      </c>
      <c r="J104" s="93">
        <v>0</v>
      </c>
      <c r="K104" s="93">
        <v>0</v>
      </c>
      <c r="L104" s="93">
        <v>0</v>
      </c>
      <c r="M104" s="93">
        <v>0</v>
      </c>
      <c r="N104" s="93">
        <v>0</v>
      </c>
      <c r="O104" s="93">
        <v>0</v>
      </c>
      <c r="P104" s="93">
        <v>0</v>
      </c>
      <c r="Q104" s="93">
        <v>0</v>
      </c>
      <c r="R104" s="93">
        <v>0</v>
      </c>
      <c r="S104" s="93">
        <v>0</v>
      </c>
      <c r="T104" s="93">
        <v>0</v>
      </c>
      <c r="U104" s="93">
        <v>0</v>
      </c>
      <c r="V104" s="93">
        <v>0</v>
      </c>
      <c r="W104" s="93">
        <v>0</v>
      </c>
      <c r="X104" s="93">
        <v>0</v>
      </c>
      <c r="Y104" s="93">
        <v>0</v>
      </c>
      <c r="Z104" s="93">
        <v>0</v>
      </c>
      <c r="AA104" s="93">
        <v>0</v>
      </c>
      <c r="AB104" s="93">
        <v>0</v>
      </c>
      <c r="AC104" s="93">
        <v>0</v>
      </c>
      <c r="AD104" s="93">
        <v>0</v>
      </c>
      <c r="AE104" s="93">
        <v>0</v>
      </c>
      <c r="AF104" s="93">
        <v>0</v>
      </c>
    </row>
    <row r="105" spans="2:32" s="93" customFormat="1" x14ac:dyDescent="0.25">
      <c r="B105" s="99" t="str">
        <f t="shared" si="7"/>
        <v>residential-lighting-hydrogen (BTU)</v>
      </c>
      <c r="C105" s="95" t="s">
        <v>736</v>
      </c>
      <c r="D105" s="95" t="s">
        <v>733</v>
      </c>
      <c r="E105" s="95" t="s">
        <v>173</v>
      </c>
      <c r="F105" s="93">
        <v>0</v>
      </c>
      <c r="G105" s="93">
        <v>0</v>
      </c>
      <c r="H105" s="93">
        <v>0</v>
      </c>
      <c r="I105" s="93">
        <v>0</v>
      </c>
      <c r="J105" s="93">
        <v>0</v>
      </c>
      <c r="K105" s="93">
        <v>0</v>
      </c>
      <c r="L105" s="93">
        <v>0</v>
      </c>
      <c r="M105" s="93">
        <v>0</v>
      </c>
      <c r="N105" s="93">
        <v>0</v>
      </c>
      <c r="O105" s="93">
        <v>0</v>
      </c>
      <c r="P105" s="93">
        <v>0</v>
      </c>
      <c r="Q105" s="93">
        <v>0</v>
      </c>
      <c r="R105" s="93">
        <v>0</v>
      </c>
      <c r="S105" s="93">
        <v>0</v>
      </c>
      <c r="T105" s="93">
        <v>0</v>
      </c>
      <c r="U105" s="93">
        <v>0</v>
      </c>
      <c r="V105" s="93">
        <v>0</v>
      </c>
      <c r="W105" s="93">
        <v>0</v>
      </c>
      <c r="X105" s="93">
        <v>0</v>
      </c>
      <c r="Y105" s="93">
        <v>0</v>
      </c>
      <c r="Z105" s="93">
        <v>0</v>
      </c>
      <c r="AA105" s="93">
        <v>0</v>
      </c>
      <c r="AB105" s="93">
        <v>0</v>
      </c>
      <c r="AC105" s="93">
        <v>0</v>
      </c>
      <c r="AD105" s="93">
        <v>0</v>
      </c>
      <c r="AE105" s="93">
        <v>0</v>
      </c>
      <c r="AF105" s="93">
        <v>0</v>
      </c>
    </row>
    <row r="106" spans="2:32" s="93" customFormat="1" x14ac:dyDescent="0.25">
      <c r="B106" s="95"/>
      <c r="C106" s="95"/>
      <c r="D106" s="95"/>
      <c r="E106" s="95"/>
    </row>
    <row r="107" spans="2:32" x14ac:dyDescent="0.25">
      <c r="B107" s="1" t="s">
        <v>184</v>
      </c>
      <c r="F107" s="93"/>
    </row>
    <row r="108" spans="2:32" x14ac:dyDescent="0.25">
      <c r="E108" s="94" t="s">
        <v>10</v>
      </c>
      <c r="F108" s="86">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25">
      <c r="B109" s="100" t="str">
        <f>C109&amp;"-"&amp;D109&amp;"-"&amp;E109</f>
        <v>residential-appliances-electricity (BTU)</v>
      </c>
      <c r="C109" s="94" t="s">
        <v>736</v>
      </c>
      <c r="D109" s="94" t="s">
        <v>732</v>
      </c>
      <c r="E109" s="94" t="s">
        <v>11</v>
      </c>
      <c r="F109" s="93">
        <f>SUMIFS('Crosswalk AEO to EPS Summary'!F:F,'Crosswalk AEO to EPS Summary'!$B:$B,$B109)*Percent_rural*quadrillion</f>
        <v>231978517768962.97</v>
      </c>
      <c r="G109" s="74">
        <f>SUM(SUMIFS('Crosswalk AEO to EPS Summary'!G:G,'Crosswalk AEO to EPS Summary'!$B:$B,$B109),'Heat Pump DOE Rule Adjustment'!E34)*Percent_rural*quadrillion</f>
        <v>315227752934509.81</v>
      </c>
      <c r="H109" s="74">
        <f>SUM(SUMIFS('Crosswalk AEO to EPS Summary'!H:H,'Crosswalk AEO to EPS Summary'!$B:$B,$B109),'Heat Pump DOE Rule Adjustment'!F34)*Percent_rural*quadrillion</f>
        <v>312300801505707.13</v>
      </c>
      <c r="I109" s="74">
        <f>SUM(SUMIFS('Crosswalk AEO to EPS Summary'!I:I,'Crosswalk AEO to EPS Summary'!$B:$B,$B109),'Heat Pump DOE Rule Adjustment'!G34)*Percent_rural*quadrillion</f>
        <v>309502262851129.19</v>
      </c>
      <c r="J109" s="74">
        <f>SUM(SUMIFS('Crosswalk AEO to EPS Summary'!J:J,'Crosswalk AEO to EPS Summary'!$B:$B,$B109),'Heat Pump DOE Rule Adjustment'!H34)*Percent_rural*quadrillion</f>
        <v>305429503116651.81</v>
      </c>
      <c r="K109" s="74">
        <f>SUM(SUMIFS('Crosswalk AEO to EPS Summary'!K:K,'Crosswalk AEO to EPS Summary'!$B:$B,$B109),'Heat Pump DOE Rule Adjustment'!I34)*Percent_rural*quadrillion</f>
        <v>295850627618511.63</v>
      </c>
      <c r="L109" s="74">
        <f>SUM(SUMIFS('Crosswalk AEO to EPS Summary'!L:L,'Crosswalk AEO to EPS Summary'!$B:$B,$B109),'Heat Pump DOE Rule Adjustment'!J34)*Percent_rural*quadrillion</f>
        <v>288853465712211.25</v>
      </c>
      <c r="M109" s="74">
        <f>SUM(SUMIFS('Crosswalk AEO to EPS Summary'!M:M,'Crosswalk AEO to EPS Summary'!$B:$B,$B109),'Heat Pump DOE Rule Adjustment'!K34)*Percent_rural*quadrillion</f>
        <v>281541159792311.06</v>
      </c>
      <c r="N109" s="74">
        <f>SUM(SUMIFS('Crosswalk AEO to EPS Summary'!N:N,'Crosswalk AEO to EPS Summary'!$B:$B,$B109),'Heat Pump DOE Rule Adjustment'!L34)*Percent_rural*quadrillion</f>
        <v>274530726696826.03</v>
      </c>
      <c r="O109" s="74">
        <f>SUM(SUMIFS('Crosswalk AEO to EPS Summary'!O:O,'Crosswalk AEO to EPS Summary'!$B:$B,$B109),'Heat Pump DOE Rule Adjustment'!M34)*Percent_rural*quadrillion</f>
        <v>267984972140967</v>
      </c>
      <c r="P109" s="74">
        <f>SUM(SUMIFS('Crosswalk AEO to EPS Summary'!P:P,'Crosswalk AEO to EPS Summary'!$B:$B,$B109),'Heat Pump DOE Rule Adjustment'!N34)*Percent_rural*quadrillion</f>
        <v>262057169013910.69</v>
      </c>
      <c r="Q109" s="74">
        <f>SUM(SUMIFS('Crosswalk AEO to EPS Summary'!Q:Q,'Crosswalk AEO to EPS Summary'!$B:$B,$B109),'Heat Pump DOE Rule Adjustment'!O34)*Percent_rural*quadrillion</f>
        <v>256907319258505.03</v>
      </c>
      <c r="R109" s="74">
        <f>SUM(SUMIFS('Crosswalk AEO to EPS Summary'!R:R,'Crosswalk AEO to EPS Summary'!$B:$B,$B109),'Heat Pump DOE Rule Adjustment'!P34)*Percent_rural*quadrillion</f>
        <v>252547198718674.38</v>
      </c>
      <c r="S109" s="74">
        <f>SUM(SUMIFS('Crosswalk AEO to EPS Summary'!S:S,'Crosswalk AEO to EPS Summary'!$B:$B,$B109),'Heat Pump DOE Rule Adjustment'!Q34)*Percent_rural*quadrillion</f>
        <v>248819609223934.13</v>
      </c>
      <c r="T109" s="74">
        <f>SUM(SUMIFS('Crosswalk AEO to EPS Summary'!T:T,'Crosswalk AEO to EPS Summary'!$B:$B,$B109),'Heat Pump DOE Rule Adjustment'!R34)*Percent_rural*quadrillion</f>
        <v>245531090481237.84</v>
      </c>
      <c r="U109" s="74">
        <f>SUM(SUMIFS('Crosswalk AEO to EPS Summary'!U:U,'Crosswalk AEO to EPS Summary'!$B:$B,$B109),'Heat Pump DOE Rule Adjustment'!S34)*Percent_rural*quadrillion</f>
        <v>242781643704865.59</v>
      </c>
      <c r="V109" s="74">
        <f>SUM(SUMIFS('Crosswalk AEO to EPS Summary'!V:V,'Crosswalk AEO to EPS Summary'!$B:$B,$B109),'Heat Pump DOE Rule Adjustment'!T34)*Percent_rural*quadrillion</f>
        <v>240526969291482.03</v>
      </c>
      <c r="W109" s="74">
        <f>SUM(SUMIFS('Crosswalk AEO to EPS Summary'!W:W,'Crosswalk AEO to EPS Summary'!$B:$B,$B109),'Heat Pump DOE Rule Adjustment'!U34)*Percent_rural*quadrillion</f>
        <v>238707066512519.28</v>
      </c>
      <c r="X109" s="74">
        <f>SUM(SUMIFS('Crosswalk AEO to EPS Summary'!X:X,'Crosswalk AEO to EPS Summary'!$B:$B,$B109),'Heat Pump DOE Rule Adjustment'!V34)*Percent_rural*quadrillion</f>
        <v>239331373158678.09</v>
      </c>
      <c r="Y109" s="74">
        <f>SUM(SUMIFS('Crosswalk AEO to EPS Summary'!Y:Y,'Crosswalk AEO to EPS Summary'!$B:$B,$B109),'Heat Pump DOE Rule Adjustment'!W34)*Percent_rural*quadrillion</f>
        <v>240330824547004.81</v>
      </c>
      <c r="Z109" s="74">
        <f>SUM(SUMIFS('Crosswalk AEO to EPS Summary'!Z:Z,'Crosswalk AEO to EPS Summary'!$B:$B,$B109),'Heat Pump DOE Rule Adjustment'!X34)*Percent_rural*quadrillion</f>
        <v>241319808518509.72</v>
      </c>
      <c r="AA109" s="74">
        <f>SUM(SUMIFS('Crosswalk AEO to EPS Summary'!AA:AA,'Crosswalk AEO to EPS Summary'!$B:$B,$B109),'Heat Pump DOE Rule Adjustment'!Y34)*Percent_rural*quadrillion</f>
        <v>242339260149692.47</v>
      </c>
      <c r="AB109" s="74">
        <f>SUM(SUMIFS('Crosswalk AEO to EPS Summary'!AB:AB,'Crosswalk AEO to EPS Summary'!$B:$B,$B109),'Heat Pump DOE Rule Adjustment'!Z34)*Percent_rural*quadrillion</f>
        <v>243395160821593.97</v>
      </c>
      <c r="AC109" s="74">
        <f>SUM(SUMIFS('Crosswalk AEO to EPS Summary'!AC:AC,'Crosswalk AEO to EPS Summary'!$B:$B,$B109),'Heat Pump DOE Rule Adjustment'!AA34)*Percent_rural*quadrillion</f>
        <v>244502090150501.94</v>
      </c>
      <c r="AD109" s="74">
        <f>SUM(SUMIFS('Crosswalk AEO to EPS Summary'!AD:AD,'Crosswalk AEO to EPS Summary'!$B:$B,$B109),'Heat Pump DOE Rule Adjustment'!AB34)*Percent_rural*quadrillion</f>
        <v>245609954070197.53</v>
      </c>
      <c r="AE109" s="74">
        <f>SUM(SUMIFS('Crosswalk AEO to EPS Summary'!AE:AE,'Crosswalk AEO to EPS Summary'!$B:$B,$B109),'Heat Pump DOE Rule Adjustment'!AC34)*Percent_rural*quadrillion</f>
        <v>246739500496166.94</v>
      </c>
      <c r="AF109" s="74">
        <f>SUM(SUMIFS('Crosswalk AEO to EPS Summary'!AF:AF,'Crosswalk AEO to EPS Summary'!$B:$B,$B109),'Heat Pump DOE Rule Adjustment'!AD34)*Percent_rural*quadrillion</f>
        <v>247868112331348.69</v>
      </c>
    </row>
    <row r="110" spans="2:32" x14ac:dyDescent="0.25">
      <c r="B110" s="100" t="str">
        <f t="shared" ref="B110:B118" si="8">C110&amp;"-"&amp;D110&amp;"-"&amp;E110</f>
        <v>residential-appliances-coal (BTU)</v>
      </c>
      <c r="C110" s="94" t="s">
        <v>736</v>
      </c>
      <c r="D110" s="94" t="s">
        <v>732</v>
      </c>
      <c r="E110" s="94" t="s">
        <v>12</v>
      </c>
      <c r="F110" s="93">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s="93" customFormat="1" x14ac:dyDescent="0.25">
      <c r="B111" s="99" t="str">
        <f t="shared" si="8"/>
        <v>residential-appliances-natural gas (BTU)</v>
      </c>
      <c r="C111" s="95" t="s">
        <v>736</v>
      </c>
      <c r="D111" s="95" t="s">
        <v>732</v>
      </c>
      <c r="E111" s="95" t="s">
        <v>13</v>
      </c>
      <c r="F111" s="93">
        <f>SUMIFS('Crosswalk AEO to EPS Summary'!F:F,'Crosswalk AEO to EPS Summary'!$B:$B,$B111)*Percent_rural*quadrillion</f>
        <v>215571776491540.5</v>
      </c>
      <c r="G111" s="93">
        <f>SUMIFS('Crosswalk AEO to EPS Summary'!G:G,'Crosswalk AEO to EPS Summary'!$B:$B,$B111)*Percent_rural*quadrillion</f>
        <v>217719092285274.81</v>
      </c>
      <c r="H111" s="93">
        <f>SUMIFS('Crosswalk AEO to EPS Summary'!H:H,'Crosswalk AEO to EPS Summary'!$B:$B,$B111)*Percent_rural*quadrillion</f>
        <v>220220057233060.75</v>
      </c>
      <c r="I111" s="93">
        <f>SUMIFS('Crosswalk AEO to EPS Summary'!I:I,'Crosswalk AEO to EPS Summary'!$B:$B,$B111)*Percent_rural*quadrillion</f>
        <v>222394102323322.28</v>
      </c>
      <c r="J111" s="93">
        <f>SUMIFS('Crosswalk AEO to EPS Summary'!J:J,'Crosswalk AEO to EPS Summary'!$B:$B,$B111)*Percent_rural*quadrillion</f>
        <v>224545904152837.38</v>
      </c>
      <c r="K111" s="93">
        <f>SUMIFS('Crosswalk AEO to EPS Summary'!K:K,'Crosswalk AEO to EPS Summary'!$B:$B,$B111)*Percent_rural*quadrillion</f>
        <v>224916002104751.88</v>
      </c>
      <c r="L111" s="93">
        <f>SUMIFS('Crosswalk AEO to EPS Summary'!L:L,'Crosswalk AEO to EPS Summary'!$B:$B,$B111)*Percent_rural*quadrillion</f>
        <v>225164416336112.66</v>
      </c>
      <c r="M111" s="93">
        <f>SUMIFS('Crosswalk AEO to EPS Summary'!M:M,'Crosswalk AEO to EPS Summary'!$B:$B,$B111)*Percent_rural*quadrillion</f>
        <v>225242548125961.31</v>
      </c>
      <c r="N111" s="93">
        <f>SUMIFS('Crosswalk AEO to EPS Summary'!N:N,'Crosswalk AEO to EPS Summary'!$B:$B,$B111)*Percent_rural*quadrillion</f>
        <v>224953572654415.97</v>
      </c>
      <c r="O111" s="93">
        <f>SUMIFS('Crosswalk AEO to EPS Summary'!O:O,'Crosswalk AEO to EPS Summary'!$B:$B,$B111)*Percent_rural*quadrillion</f>
        <v>225033760543997.41</v>
      </c>
      <c r="P111" s="93">
        <f>SUMIFS('Crosswalk AEO to EPS Summary'!P:P,'Crosswalk AEO to EPS Summary'!$B:$B,$B111)*Percent_rural*quadrillion</f>
        <v>225546663968266.84</v>
      </c>
      <c r="Q111" s="93">
        <f>SUMIFS('Crosswalk AEO to EPS Summary'!Q:Q,'Crosswalk AEO to EPS Summary'!$B:$B,$B111)*Percent_rural*quadrillion</f>
        <v>226575087671011.09</v>
      </c>
      <c r="R111" s="93">
        <f>SUMIFS('Crosswalk AEO to EPS Summary'!R:R,'Crosswalk AEO to EPS Summary'!$B:$B,$B111)*Percent_rural*quadrillion</f>
        <v>227623698534768.88</v>
      </c>
      <c r="S111" s="93">
        <f>SUMIFS('Crosswalk AEO to EPS Summary'!S:S,'Crosswalk AEO to EPS Summary'!$B:$B,$B111)*Percent_rural*quadrillion</f>
        <v>228701281712944.19</v>
      </c>
      <c r="T111" s="93">
        <f>SUMIFS('Crosswalk AEO to EPS Summary'!T:T,'Crosswalk AEO to EPS Summary'!$B:$B,$B111)*Percent_rural*quadrillion</f>
        <v>229698863919695.63</v>
      </c>
      <c r="U111" s="93">
        <f>SUMIFS('Crosswalk AEO to EPS Summary'!U:U,'Crosswalk AEO to EPS Summary'!$B:$B,$B111)*Percent_rural*quadrillion</f>
        <v>230605977738201.25</v>
      </c>
      <c r="V111" s="93">
        <f>SUMIFS('Crosswalk AEO to EPS Summary'!V:V,'Crosswalk AEO to EPS Summary'!$B:$B,$B111)*Percent_rural*quadrillion</f>
        <v>231296079575811.56</v>
      </c>
      <c r="W111" s="93">
        <f>SUMIFS('Crosswalk AEO to EPS Summary'!W:W,'Crosswalk AEO to EPS Summary'!$B:$B,$B111)*Percent_rural*quadrillion</f>
        <v>231597765482069.16</v>
      </c>
      <c r="X111" s="93">
        <f>SUMIFS('Crosswalk AEO to EPS Summary'!X:X,'Crosswalk AEO to EPS Summary'!$B:$B,$B111)*Percent_rural*quadrillion</f>
        <v>231626737796486.69</v>
      </c>
      <c r="Y111" s="93">
        <f>SUMIFS('Crosswalk AEO to EPS Summary'!Y:Y,'Crosswalk AEO to EPS Summary'!$B:$B,$B111)*Percent_rural*quadrillion</f>
        <v>231432342912652.81</v>
      </c>
      <c r="Z111" s="93">
        <f>SUMIFS('Crosswalk AEO to EPS Summary'!Z:Z,'Crosswalk AEO to EPS Summary'!$B:$B,$B111)*Percent_rural*quadrillion</f>
        <v>231142993604792.38</v>
      </c>
      <c r="AA111" s="93">
        <f>SUMIFS('Crosswalk AEO to EPS Summary'!AA:AA,'Crosswalk AEO to EPS Summary'!$B:$B,$B111)*Percent_rural*quadrillion</f>
        <v>230761306727110.81</v>
      </c>
      <c r="AB111" s="93">
        <f>SUMIFS('Crosswalk AEO to EPS Summary'!AB:AB,'Crosswalk AEO to EPS Summary'!$B:$B,$B111)*Percent_rural*quadrillion</f>
        <v>230231580668663.44</v>
      </c>
      <c r="AC111" s="93">
        <f>SUMIFS('Crosswalk AEO to EPS Summary'!AC:AC,'Crosswalk AEO to EPS Summary'!$B:$B,$B111)*Percent_rural*quadrillion</f>
        <v>229684097385250.56</v>
      </c>
      <c r="AD111" s="93">
        <f>SUMIFS('Crosswalk AEO to EPS Summary'!AD:AD,'Crosswalk AEO to EPS Summary'!$B:$B,$B111)*Percent_rural*quadrillion</f>
        <v>229186521249898.81</v>
      </c>
      <c r="AE111" s="93">
        <f>SUMIFS('Crosswalk AEO to EPS Summary'!AE:AE,'Crosswalk AEO to EPS Summary'!$B:$B,$B111)*Percent_rural*quadrillion</f>
        <v>228701094794786.69</v>
      </c>
      <c r="AF111" s="93">
        <f>SUMIFS('Crosswalk AEO to EPS Summary'!AF:AF,'Crosswalk AEO to EPS Summary'!$B:$B,$B111)*Percent_rural*quadrillion</f>
        <v>228278659758763.06</v>
      </c>
    </row>
    <row r="112" spans="2:32" s="93" customFormat="1" x14ac:dyDescent="0.25">
      <c r="B112" s="99" t="str">
        <f t="shared" si="8"/>
        <v>residential-appliances-petroleum diesel (BTU)</v>
      </c>
      <c r="C112" s="95" t="s">
        <v>736</v>
      </c>
      <c r="D112" s="95" t="s">
        <v>732</v>
      </c>
      <c r="E112" s="95" t="s">
        <v>14</v>
      </c>
      <c r="F112" s="93">
        <f>SUMIFS('Crosswalk AEO to EPS Summary'!F:F,'Crosswalk AEO to EPS Summary'!$B:$B,$B112)*Percent_rural*quadrillion</f>
        <v>7529063385412.4512</v>
      </c>
      <c r="G112" s="93">
        <f>SUMIFS('Crosswalk AEO to EPS Summary'!G:G,'Crosswalk AEO to EPS Summary'!$B:$B,$B112)*Percent_rural*quadrillion</f>
        <v>7133357645915.9727</v>
      </c>
      <c r="H112" s="93">
        <f>SUMIFS('Crosswalk AEO to EPS Summary'!H:H,'Crosswalk AEO to EPS Summary'!$B:$B,$B112)*Percent_rural*quadrillion</f>
        <v>6717651663563.5059</v>
      </c>
      <c r="I112" s="93">
        <f>SUMIFS('Crosswalk AEO to EPS Summary'!I:I,'Crosswalk AEO to EPS Summary'!$B:$B,$B112)*Percent_rural*quadrillion</f>
        <v>6295029709382.3369</v>
      </c>
      <c r="J112" s="93">
        <f>SUMIFS('Crosswalk AEO to EPS Summary'!J:J,'Crosswalk AEO to EPS Summary'!$B:$B,$B112)*Percent_rural*quadrillion</f>
        <v>5897080951995.4668</v>
      </c>
      <c r="K112" s="93">
        <f>SUMIFS('Crosswalk AEO to EPS Summary'!K:K,'Crosswalk AEO to EPS Summary'!$B:$B,$B112)*Percent_rural*quadrillion</f>
        <v>5522870800615.2344</v>
      </c>
      <c r="L112" s="93">
        <f>SUMIFS('Crosswalk AEO to EPS Summary'!L:L,'Crosswalk AEO to EPS Summary'!$B:$B,$B112)*Percent_rural*quadrillion</f>
        <v>5198380879138.6709</v>
      </c>
      <c r="M112" s="93">
        <f>SUMIFS('Crosswalk AEO to EPS Summary'!M:M,'Crosswalk AEO to EPS Summary'!$B:$B,$B112)*Percent_rural*quadrillion</f>
        <v>4933517849915</v>
      </c>
      <c r="N112" s="93">
        <f>SUMIFS('Crosswalk AEO to EPS Summary'!N:N,'Crosswalk AEO to EPS Summary'!$B:$B,$B112)*Percent_rural*quadrillion</f>
        <v>4724730267951.1045</v>
      </c>
      <c r="O112" s="93">
        <f>SUMIFS('Crosswalk AEO to EPS Summary'!O:O,'Crosswalk AEO to EPS Summary'!$B:$B,$B112)*Percent_rural*quadrillion</f>
        <v>4560803043795.0293</v>
      </c>
      <c r="P112" s="93">
        <f>SUMIFS('Crosswalk AEO to EPS Summary'!P:P,'Crosswalk AEO to EPS Summary'!$B:$B,$B112)*Percent_rural*quadrillion</f>
        <v>4442670768234.4375</v>
      </c>
      <c r="Q112" s="93">
        <f>SUMIFS('Crosswalk AEO to EPS Summary'!Q:Q,'Crosswalk AEO to EPS Summary'!$B:$B,$B112)*Percent_rural*quadrillion</f>
        <v>4369025014166.5986</v>
      </c>
      <c r="R112" s="93">
        <f>SUMIFS('Crosswalk AEO to EPS Summary'!R:R,'Crosswalk AEO to EPS Summary'!$B:$B,$B112)*Percent_rural*quadrillion</f>
        <v>4287715615639.9253</v>
      </c>
      <c r="S112" s="93">
        <f>SUMIFS('Crosswalk AEO to EPS Summary'!S:S,'Crosswalk AEO to EPS Summary'!$B:$B,$B112)*Percent_rural*quadrillion</f>
        <v>4201733263174.9365</v>
      </c>
      <c r="T112" s="93">
        <f>SUMIFS('Crosswalk AEO to EPS Summary'!T:T,'Crosswalk AEO to EPS Summary'!$B:$B,$B112)*Percent_rural*quadrillion</f>
        <v>4114629401764.7534</v>
      </c>
      <c r="U112" s="93">
        <f>SUMIFS('Crosswalk AEO to EPS Summary'!U:U,'Crosswalk AEO to EPS Summary'!$B:$B,$B112)*Percent_rural*quadrillion</f>
        <v>4026217113251.8413</v>
      </c>
      <c r="V112" s="93">
        <f>SUMIFS('Crosswalk AEO to EPS Summary'!V:V,'Crosswalk AEO to EPS Summary'!$B:$B,$B112)*Percent_rural*quadrillion</f>
        <v>3936309479478.6694</v>
      </c>
      <c r="W112" s="93">
        <f>SUMIFS('Crosswalk AEO to EPS Summary'!W:W,'Crosswalk AEO to EPS Summary'!$B:$B,$B112)*Percent_rural*quadrillion</f>
        <v>3843971909657.5732</v>
      </c>
      <c r="X112" s="93">
        <f>SUMIFS('Crosswalk AEO to EPS Summary'!X:X,'Crosswalk AEO to EPS Summary'!$B:$B,$B112)*Percent_rural*quadrillion</f>
        <v>3750138994576.2168</v>
      </c>
      <c r="Y112" s="93">
        <f>SUMIFS('Crosswalk AEO to EPS Summary'!Y:Y,'Crosswalk AEO to EPS Summary'!$B:$B,$B112)*Percent_rural*quadrillion</f>
        <v>3655558406864.7295</v>
      </c>
      <c r="Z112" s="93">
        <f>SUMIFS('Crosswalk AEO to EPS Summary'!Z:Z,'Crosswalk AEO to EPS Summary'!$B:$B,$B112)*Percent_rural*quadrillion</f>
        <v>3557800210475.188</v>
      </c>
      <c r="AA112" s="93">
        <f>SUMIFS('Crosswalk AEO to EPS Summary'!AA:AA,'Crosswalk AEO to EPS Summary'!$B:$B,$B112)*Percent_rural*quadrillion</f>
        <v>3465275722496.5596</v>
      </c>
      <c r="AB112" s="93">
        <f>SUMIFS('Crosswalk AEO to EPS Summary'!AB:AB,'Crosswalk AEO to EPS Summary'!$B:$B,$B112)*Percent_rural*quadrillion</f>
        <v>3374059661620.6587</v>
      </c>
      <c r="AC112" s="93">
        <f>SUMIFS('Crosswalk AEO to EPS Summary'!AC:AC,'Crosswalk AEO to EPS Summary'!$B:$B,$B112)*Percent_rural*quadrillion</f>
        <v>3285834291265.2798</v>
      </c>
      <c r="AD112" s="93">
        <f>SUMIFS('Crosswalk AEO to EPS Summary'!AD:AD,'Crosswalk AEO to EPS Summary'!$B:$B,$B112)*Percent_rural*quadrillion</f>
        <v>3200786529587.9546</v>
      </c>
      <c r="AE112" s="93">
        <f>SUMIFS('Crosswalk AEO to EPS Summary'!AE:AE,'Crosswalk AEO to EPS Summary'!$B:$B,$B112)*Percent_rural*quadrillion</f>
        <v>3118916376588.6826</v>
      </c>
      <c r="AF112" s="93">
        <f>SUMIFS('Crosswalk AEO to EPS Summary'!AF:AF,'Crosswalk AEO to EPS Summary'!$B:$B,$B112)*Percent_rural*quadrillion</f>
        <v>3039476159637.335</v>
      </c>
    </row>
    <row r="113" spans="2:32" s="93" customFormat="1" x14ac:dyDescent="0.25">
      <c r="B113" s="99" t="str">
        <f t="shared" si="8"/>
        <v>residential-appliances-heat (BTU)</v>
      </c>
      <c r="C113" s="95" t="s">
        <v>736</v>
      </c>
      <c r="D113" s="95" t="s">
        <v>732</v>
      </c>
      <c r="E113" s="95" t="s">
        <v>16</v>
      </c>
      <c r="F113" s="93">
        <v>0</v>
      </c>
      <c r="G113" s="93">
        <v>0</v>
      </c>
      <c r="H113" s="93">
        <v>0</v>
      </c>
      <c r="I113" s="93">
        <v>0</v>
      </c>
      <c r="J113" s="93">
        <v>0</v>
      </c>
      <c r="K113" s="93">
        <v>0</v>
      </c>
      <c r="L113" s="93">
        <v>0</v>
      </c>
      <c r="M113" s="93">
        <v>0</v>
      </c>
      <c r="N113" s="93">
        <v>0</v>
      </c>
      <c r="O113" s="93">
        <v>0</v>
      </c>
      <c r="P113" s="93">
        <v>0</v>
      </c>
      <c r="Q113" s="93">
        <v>0</v>
      </c>
      <c r="R113" s="93">
        <v>0</v>
      </c>
      <c r="S113" s="93">
        <v>0</v>
      </c>
      <c r="T113" s="93">
        <v>0</v>
      </c>
      <c r="U113" s="93">
        <v>0</v>
      </c>
      <c r="V113" s="93">
        <v>0</v>
      </c>
      <c r="W113" s="93">
        <v>0</v>
      </c>
      <c r="X113" s="93">
        <v>0</v>
      </c>
      <c r="Y113" s="93">
        <v>0</v>
      </c>
      <c r="Z113" s="93">
        <v>0</v>
      </c>
      <c r="AA113" s="93">
        <v>0</v>
      </c>
      <c r="AB113" s="93">
        <v>0</v>
      </c>
      <c r="AC113" s="93">
        <v>0</v>
      </c>
      <c r="AD113" s="93">
        <v>0</v>
      </c>
      <c r="AE113" s="93">
        <v>0</v>
      </c>
      <c r="AF113" s="93">
        <v>0</v>
      </c>
    </row>
    <row r="114" spans="2:32" s="93" customFormat="1" x14ac:dyDescent="0.25">
      <c r="B114" s="99" t="str">
        <f t="shared" si="8"/>
        <v>residential-appliances-biomass (BTU)</v>
      </c>
      <c r="C114" s="95" t="s">
        <v>736</v>
      </c>
      <c r="D114" s="95" t="s">
        <v>732</v>
      </c>
      <c r="E114" s="95" t="s">
        <v>73</v>
      </c>
      <c r="F114" s="93">
        <v>0</v>
      </c>
      <c r="G114" s="93">
        <v>0</v>
      </c>
      <c r="H114" s="93">
        <v>0</v>
      </c>
      <c r="I114" s="93">
        <v>0</v>
      </c>
      <c r="J114" s="93">
        <v>0</v>
      </c>
      <c r="K114" s="93">
        <v>0</v>
      </c>
      <c r="L114" s="93">
        <v>0</v>
      </c>
      <c r="M114" s="93">
        <v>0</v>
      </c>
      <c r="N114" s="93">
        <v>0</v>
      </c>
      <c r="O114" s="93">
        <v>0</v>
      </c>
      <c r="P114" s="93">
        <v>0</v>
      </c>
      <c r="Q114" s="93">
        <v>0</v>
      </c>
      <c r="R114" s="93">
        <v>0</v>
      </c>
      <c r="S114" s="93">
        <v>0</v>
      </c>
      <c r="T114" s="93">
        <v>0</v>
      </c>
      <c r="U114" s="93">
        <v>0</v>
      </c>
      <c r="V114" s="93">
        <v>0</v>
      </c>
      <c r="W114" s="93">
        <v>0</v>
      </c>
      <c r="X114" s="93">
        <v>0</v>
      </c>
      <c r="Y114" s="93">
        <v>0</v>
      </c>
      <c r="Z114" s="93">
        <v>0</v>
      </c>
      <c r="AA114" s="93">
        <v>0</v>
      </c>
      <c r="AB114" s="93">
        <v>0</v>
      </c>
      <c r="AC114" s="93">
        <v>0</v>
      </c>
      <c r="AD114" s="93">
        <v>0</v>
      </c>
      <c r="AE114" s="93">
        <v>0</v>
      </c>
      <c r="AF114" s="93">
        <v>0</v>
      </c>
    </row>
    <row r="115" spans="2:32" s="93" customFormat="1" x14ac:dyDescent="0.25">
      <c r="B115" s="99" t="str">
        <f t="shared" si="8"/>
        <v>residential-appliances-kerosene (BTU)</v>
      </c>
      <c r="C115" s="95" t="s">
        <v>736</v>
      </c>
      <c r="D115" s="95" t="s">
        <v>732</v>
      </c>
      <c r="E115" s="95" t="s">
        <v>170</v>
      </c>
      <c r="F115" s="93">
        <v>0</v>
      </c>
      <c r="G115" s="93">
        <v>0</v>
      </c>
      <c r="H115" s="93">
        <v>0</v>
      </c>
      <c r="I115" s="93">
        <v>0</v>
      </c>
      <c r="J115" s="93">
        <v>0</v>
      </c>
      <c r="K115" s="93">
        <v>0</v>
      </c>
      <c r="L115" s="93">
        <v>0</v>
      </c>
      <c r="M115" s="93">
        <v>0</v>
      </c>
      <c r="N115" s="93">
        <v>0</v>
      </c>
      <c r="O115" s="93">
        <v>0</v>
      </c>
      <c r="P115" s="93">
        <v>0</v>
      </c>
      <c r="Q115" s="93">
        <v>0</v>
      </c>
      <c r="R115" s="93">
        <v>0</v>
      </c>
      <c r="S115" s="93">
        <v>0</v>
      </c>
      <c r="T115" s="93">
        <v>0</v>
      </c>
      <c r="U115" s="93">
        <v>0</v>
      </c>
      <c r="V115" s="93">
        <v>0</v>
      </c>
      <c r="W115" s="93">
        <v>0</v>
      </c>
      <c r="X115" s="93">
        <v>0</v>
      </c>
      <c r="Y115" s="93">
        <v>0</v>
      </c>
      <c r="Z115" s="93">
        <v>0</v>
      </c>
      <c r="AA115" s="93">
        <v>0</v>
      </c>
      <c r="AB115" s="93">
        <v>0</v>
      </c>
      <c r="AC115" s="93">
        <v>0</v>
      </c>
      <c r="AD115" s="93">
        <v>0</v>
      </c>
      <c r="AE115" s="93">
        <v>0</v>
      </c>
      <c r="AF115" s="93">
        <v>0</v>
      </c>
    </row>
    <row r="116" spans="2:32" s="93" customFormat="1" x14ac:dyDescent="0.25">
      <c r="B116" s="99" t="str">
        <f t="shared" si="8"/>
        <v>residential-appliances-heavy or residual fuel oil (BTU)</v>
      </c>
      <c r="C116" s="95" t="s">
        <v>736</v>
      </c>
      <c r="D116" s="95" t="s">
        <v>732</v>
      </c>
      <c r="E116" s="95" t="s">
        <v>171</v>
      </c>
      <c r="F116" s="93">
        <v>0</v>
      </c>
      <c r="G116" s="93">
        <v>0</v>
      </c>
      <c r="H116" s="93">
        <v>0</v>
      </c>
      <c r="I116" s="93">
        <v>0</v>
      </c>
      <c r="J116" s="93">
        <v>0</v>
      </c>
      <c r="K116" s="93">
        <v>0</v>
      </c>
      <c r="L116" s="93">
        <v>0</v>
      </c>
      <c r="M116" s="93">
        <v>0</v>
      </c>
      <c r="N116" s="93">
        <v>0</v>
      </c>
      <c r="O116" s="93">
        <v>0</v>
      </c>
      <c r="P116" s="93">
        <v>0</v>
      </c>
      <c r="Q116" s="93">
        <v>0</v>
      </c>
      <c r="R116" s="93">
        <v>0</v>
      </c>
      <c r="S116" s="93">
        <v>0</v>
      </c>
      <c r="T116" s="93">
        <v>0</v>
      </c>
      <c r="U116" s="93">
        <v>0</v>
      </c>
      <c r="V116" s="93">
        <v>0</v>
      </c>
      <c r="W116" s="93">
        <v>0</v>
      </c>
      <c r="X116" s="93">
        <v>0</v>
      </c>
      <c r="Y116" s="93">
        <v>0</v>
      </c>
      <c r="Z116" s="93">
        <v>0</v>
      </c>
      <c r="AA116" s="93">
        <v>0</v>
      </c>
      <c r="AB116" s="93">
        <v>0</v>
      </c>
      <c r="AC116" s="93">
        <v>0</v>
      </c>
      <c r="AD116" s="93">
        <v>0</v>
      </c>
      <c r="AE116" s="93">
        <v>0</v>
      </c>
      <c r="AF116" s="93">
        <v>0</v>
      </c>
    </row>
    <row r="117" spans="2:32" s="93" customFormat="1" x14ac:dyDescent="0.25">
      <c r="B117" s="99" t="str">
        <f t="shared" si="8"/>
        <v>residential-appliances-LPG propane or butane (BTU)</v>
      </c>
      <c r="C117" s="95" t="s">
        <v>736</v>
      </c>
      <c r="D117" s="95" t="s">
        <v>732</v>
      </c>
      <c r="E117" s="95" t="s">
        <v>172</v>
      </c>
      <c r="F117" s="93">
        <f>SUMIFS('Crosswalk AEO to EPS Summary'!F:F,'Crosswalk AEO to EPS Summary'!$B:$B,$B117)*Percent_rural*quadrillion</f>
        <v>12533983971504.898</v>
      </c>
      <c r="G117" s="93">
        <f>SUMIFS('Crosswalk AEO to EPS Summary'!G:G,'Crosswalk AEO to EPS Summary'!$B:$B,$B117)*Percent_rural*quadrillion</f>
        <v>12138465150165.949</v>
      </c>
      <c r="H117" s="93">
        <f>SUMIFS('Crosswalk AEO to EPS Summary'!H:H,'Crosswalk AEO to EPS Summary'!$B:$B,$B117)*Percent_rural*quadrillion</f>
        <v>11763320407998.059</v>
      </c>
      <c r="I117" s="93">
        <f>SUMIFS('Crosswalk AEO to EPS Summary'!I:I,'Crosswalk AEO to EPS Summary'!$B:$B,$B117)*Percent_rural*quadrillion</f>
        <v>11393409374241.076</v>
      </c>
      <c r="J117" s="93">
        <f>SUMIFS('Crosswalk AEO to EPS Summary'!J:J,'Crosswalk AEO to EPS Summary'!$B:$B,$B117)*Percent_rural*quadrillion</f>
        <v>11053218327531.773</v>
      </c>
      <c r="K117" s="93">
        <f>SUMIFS('Crosswalk AEO to EPS Summary'!K:K,'Crosswalk AEO to EPS Summary'!$B:$B,$B117)*Percent_rural*quadrillion</f>
        <v>10685737229822.713</v>
      </c>
      <c r="L117" s="93">
        <f>SUMIFS('Crosswalk AEO to EPS Summary'!L:L,'Crosswalk AEO to EPS Summary'!$B:$B,$B117)*Percent_rural*quadrillion</f>
        <v>10344424674168.219</v>
      </c>
      <c r="M117" s="93">
        <f>SUMIFS('Crosswalk AEO to EPS Summary'!M:M,'Crosswalk AEO to EPS Summary'!$B:$B,$B117)*Percent_rural*quadrillion</f>
        <v>10042551849753.096</v>
      </c>
      <c r="N117" s="93">
        <f>SUMIFS('Crosswalk AEO to EPS Summary'!N:N,'Crosswalk AEO to EPS Summary'!$B:$B,$B117)*Percent_rural*quadrillion</f>
        <v>9773389702906.1758</v>
      </c>
      <c r="O117" s="93">
        <f>SUMIFS('Crosswalk AEO to EPS Summary'!O:O,'Crosswalk AEO to EPS Summary'!$B:$B,$B117)*Percent_rural*quadrillion</f>
        <v>9550209422812.2715</v>
      </c>
      <c r="P117" s="93">
        <f>SUMIFS('Crosswalk AEO to EPS Summary'!P:P,'Crosswalk AEO to EPS Summary'!$B:$B,$B117)*Percent_rural*quadrillion</f>
        <v>9368338055533.0684</v>
      </c>
      <c r="Q117" s="93">
        <f>SUMIFS('Crosswalk AEO to EPS Summary'!Q:Q,'Crosswalk AEO to EPS Summary'!$B:$B,$B117)*Percent_rural*quadrillion</f>
        <v>9235439245527.4023</v>
      </c>
      <c r="R117" s="93">
        <f>SUMIFS('Crosswalk AEO to EPS Summary'!R:R,'Crosswalk AEO to EPS Summary'!$B:$B,$B117)*Percent_rural*quadrillion</f>
        <v>9097119808953.291</v>
      </c>
      <c r="S117" s="93">
        <f>SUMIFS('Crosswalk AEO to EPS Summary'!S:S,'Crosswalk AEO to EPS Summary'!$B:$B,$B117)*Percent_rural*quadrillion</f>
        <v>8957678863433.9844</v>
      </c>
      <c r="T117" s="93">
        <f>SUMIFS('Crosswalk AEO to EPS Summary'!T:T,'Crosswalk AEO to EPS Summary'!$B:$B,$B117)*Percent_rural*quadrillion</f>
        <v>8820107099490.002</v>
      </c>
      <c r="U117" s="93">
        <f>SUMIFS('Crosswalk AEO to EPS Summary'!U:U,'Crosswalk AEO to EPS Summary'!$B:$B,$B117)*Percent_rural*quadrillion</f>
        <v>8684591435278.8789</v>
      </c>
      <c r="V117" s="93">
        <f>SUMIFS('Crosswalk AEO to EPS Summary'!V:V,'Crosswalk AEO to EPS Summary'!$B:$B,$B117)*Percent_rural*quadrillion</f>
        <v>8552627216060.876</v>
      </c>
      <c r="W117" s="93">
        <f>SUMIFS('Crosswalk AEO to EPS Summary'!W:W,'Crosswalk AEO to EPS Summary'!$B:$B,$B117)*Percent_rural*quadrillion</f>
        <v>8420476078685.3408</v>
      </c>
      <c r="X117" s="93">
        <f>SUMIFS('Crosswalk AEO to EPS Summary'!X:X,'Crosswalk AEO to EPS Summary'!$B:$B,$B117)*Percent_rural*quadrillion</f>
        <v>8288511859467.3359</v>
      </c>
      <c r="Y117" s="93">
        <f>SUMIFS('Crosswalk AEO to EPS Summary'!Y:Y,'Crosswalk AEO to EPS Summary'!$B:$B,$B117)*Percent_rural*quadrillion</f>
        <v>8152061604468.5498</v>
      </c>
      <c r="Z117" s="93">
        <f>SUMIFS('Crosswalk AEO to EPS Summary'!Z:Z,'Crosswalk AEO to EPS Summary'!$B:$B,$B117)*Percent_rural*quadrillion</f>
        <v>8014863676839.6338</v>
      </c>
      <c r="AA117" s="93">
        <f>SUMIFS('Crosswalk AEO to EPS Summary'!AA:AA,'Crosswalk AEO to EPS Summary'!$B:$B,$B117)*Percent_rural*quadrillion</f>
        <v>7877104994738.1191</v>
      </c>
      <c r="AB117" s="93">
        <f>SUMIFS('Crosswalk AEO to EPS Summary'!AB:AB,'Crosswalk AEO to EPS Summary'!$B:$B,$B117)*Percent_rural*quadrillion</f>
        <v>7741776248684.5293</v>
      </c>
      <c r="AC117" s="93">
        <f>SUMIFS('Crosswalk AEO to EPS Summary'!AC:AC,'Crosswalk AEO to EPS Summary'!$B:$B,$B117)*Percent_rural*quadrillion</f>
        <v>7611868129199.3848</v>
      </c>
      <c r="AD117" s="93">
        <f>SUMIFS('Crosswalk AEO to EPS Summary'!AD:AD,'Crosswalk AEO to EPS Summary'!$B:$B,$B117)*Percent_rural*quadrillion</f>
        <v>7487006799967.6191</v>
      </c>
      <c r="AE117" s="93">
        <f>SUMIFS('Crosswalk AEO to EPS Summary'!AE:AE,'Crosswalk AEO to EPS Summary'!$B:$B,$B117)*Percent_rural*quadrillion</f>
        <v>7365509997571.4404</v>
      </c>
      <c r="AF117" s="93">
        <f>SUMIFS('Crosswalk AEO to EPS Summary'!AF:AF,'Crosswalk AEO to EPS Summary'!$B:$B,$B117)*Percent_rural*quadrillion</f>
        <v>7245695458593.0537</v>
      </c>
    </row>
    <row r="118" spans="2:32" s="93" customFormat="1" x14ac:dyDescent="0.25">
      <c r="B118" s="99" t="str">
        <f t="shared" si="8"/>
        <v>residential-appliances-hydrogen (BTU)</v>
      </c>
      <c r="C118" s="95" t="s">
        <v>736</v>
      </c>
      <c r="D118" s="95" t="s">
        <v>732</v>
      </c>
      <c r="E118" s="95" t="s">
        <v>173</v>
      </c>
      <c r="F118" s="93">
        <v>0</v>
      </c>
      <c r="G118" s="93">
        <v>0</v>
      </c>
      <c r="H118" s="93">
        <v>0</v>
      </c>
      <c r="I118" s="93">
        <v>0</v>
      </c>
      <c r="J118" s="93">
        <v>0</v>
      </c>
      <c r="K118" s="93">
        <v>0</v>
      </c>
      <c r="L118" s="93">
        <v>0</v>
      </c>
      <c r="M118" s="93">
        <v>0</v>
      </c>
      <c r="N118" s="93">
        <v>0</v>
      </c>
      <c r="O118" s="93">
        <v>0</v>
      </c>
      <c r="P118" s="93">
        <v>0</v>
      </c>
      <c r="Q118" s="93">
        <v>0</v>
      </c>
      <c r="R118" s="93">
        <v>0</v>
      </c>
      <c r="S118" s="93">
        <v>0</v>
      </c>
      <c r="T118" s="93">
        <v>0</v>
      </c>
      <c r="U118" s="93">
        <v>0</v>
      </c>
      <c r="V118" s="93">
        <v>0</v>
      </c>
      <c r="W118" s="93">
        <v>0</v>
      </c>
      <c r="X118" s="93">
        <v>0</v>
      </c>
      <c r="Y118" s="93">
        <v>0</v>
      </c>
      <c r="Z118" s="93">
        <v>0</v>
      </c>
      <c r="AA118" s="93">
        <v>0</v>
      </c>
      <c r="AB118" s="93">
        <v>0</v>
      </c>
      <c r="AC118" s="93">
        <v>0</v>
      </c>
      <c r="AD118" s="93">
        <v>0</v>
      </c>
      <c r="AE118" s="93">
        <v>0</v>
      </c>
      <c r="AF118" s="93">
        <v>0</v>
      </c>
    </row>
    <row r="119" spans="2:32" s="93" customFormat="1" x14ac:dyDescent="0.25">
      <c r="B119" s="95"/>
      <c r="C119" s="95"/>
      <c r="D119" s="95"/>
      <c r="E119" s="95"/>
    </row>
    <row r="120" spans="2:32" s="93" customFormat="1" x14ac:dyDescent="0.25">
      <c r="B120" s="86" t="s">
        <v>185</v>
      </c>
      <c r="C120" s="95"/>
      <c r="D120" s="95"/>
      <c r="E120" s="95"/>
    </row>
    <row r="121" spans="2:32" s="93" customFormat="1" x14ac:dyDescent="0.25">
      <c r="B121" s="95"/>
      <c r="C121" s="95"/>
      <c r="D121" s="95"/>
      <c r="E121" s="95" t="s">
        <v>10</v>
      </c>
      <c r="F121" s="86">
        <v>2024</v>
      </c>
      <c r="G121" s="86">
        <v>2025</v>
      </c>
      <c r="H121" s="86">
        <v>2026</v>
      </c>
      <c r="I121" s="86">
        <v>2027</v>
      </c>
      <c r="J121" s="86">
        <v>2028</v>
      </c>
      <c r="K121" s="86">
        <v>2029</v>
      </c>
      <c r="L121" s="86">
        <v>2030</v>
      </c>
      <c r="M121" s="86">
        <v>2031</v>
      </c>
      <c r="N121" s="86">
        <v>2032</v>
      </c>
      <c r="O121" s="86">
        <v>2033</v>
      </c>
      <c r="P121" s="86">
        <v>2034</v>
      </c>
      <c r="Q121" s="86">
        <v>2035</v>
      </c>
      <c r="R121" s="86">
        <v>2036</v>
      </c>
      <c r="S121" s="86">
        <v>2037</v>
      </c>
      <c r="T121" s="86">
        <v>2038</v>
      </c>
      <c r="U121" s="86">
        <v>2039</v>
      </c>
      <c r="V121" s="86">
        <v>2040</v>
      </c>
      <c r="W121" s="86">
        <v>2041</v>
      </c>
      <c r="X121" s="86">
        <v>2042</v>
      </c>
      <c r="Y121" s="86">
        <v>2043</v>
      </c>
      <c r="Z121" s="86">
        <v>2044</v>
      </c>
      <c r="AA121" s="86">
        <v>2045</v>
      </c>
      <c r="AB121" s="86">
        <v>2046</v>
      </c>
      <c r="AC121" s="86">
        <v>2047</v>
      </c>
      <c r="AD121" s="86">
        <v>2048</v>
      </c>
      <c r="AE121" s="86">
        <v>2049</v>
      </c>
      <c r="AF121" s="86">
        <v>2050</v>
      </c>
    </row>
    <row r="122" spans="2:32" s="93" customFormat="1" x14ac:dyDescent="0.25">
      <c r="B122" s="99" t="str">
        <f>C122&amp;"-"&amp;D122&amp;"-"&amp;E122</f>
        <v>residential-other-electricity (BTU)</v>
      </c>
      <c r="C122" s="95" t="s">
        <v>736</v>
      </c>
      <c r="D122" s="95" t="s">
        <v>734</v>
      </c>
      <c r="E122" s="95" t="s">
        <v>11</v>
      </c>
      <c r="F122" s="93">
        <f>SUMIFS('Crosswalk AEO to EPS Summary'!F:F,'Crosswalk AEO to EPS Summary'!$B:$B,$B122)*Percent_rural*quadrillion</f>
        <v>407919906500445.19</v>
      </c>
      <c r="G122" s="93">
        <f>SUMIFS('Crosswalk AEO to EPS Summary'!G:G,'Crosswalk AEO to EPS Summary'!$B:$B,$B122)*Percent_rural*quadrillion</f>
        <v>394304414069456.81</v>
      </c>
      <c r="H122" s="93">
        <f>SUMIFS('Crosswalk AEO to EPS Summary'!H:H,'Crosswalk AEO to EPS Summary'!$B:$B,$B122)*Percent_rural*quadrillion</f>
        <v>402883022909414.69</v>
      </c>
      <c r="I122" s="93">
        <f>SUMIFS('Crosswalk AEO to EPS Summary'!I:I,'Crosswalk AEO to EPS Summary'!$B:$B,$B122)*Percent_rural*quadrillion</f>
        <v>412007432769367.81</v>
      </c>
      <c r="J122" s="93">
        <f>SUMIFS('Crosswalk AEO to EPS Summary'!J:J,'Crosswalk AEO to EPS Summary'!$B:$B,$B122)*Percent_rural*quadrillion</f>
        <v>419686591435278.94</v>
      </c>
      <c r="K122" s="93">
        <f>SUMIFS('Crosswalk AEO to EPS Summary'!K:K,'Crosswalk AEO to EPS Summary'!$B:$B,$B122)*Percent_rural*quadrillion</f>
        <v>425394324293693.81</v>
      </c>
      <c r="L122" s="93">
        <f>SUMIFS('Crosswalk AEO to EPS Summary'!L:L,'Crosswalk AEO to EPS Summary'!$B:$B,$B122)*Percent_rural*quadrillion</f>
        <v>430072698858576.94</v>
      </c>
      <c r="M122" s="93">
        <f>SUMIFS('Crosswalk AEO to EPS Summary'!M:M,'Crosswalk AEO to EPS Summary'!$B:$B,$B122)*Percent_rural*quadrillion</f>
        <v>434116486278636.75</v>
      </c>
      <c r="N122" s="93">
        <f>SUMIFS('Crosswalk AEO to EPS Summary'!N:N,'Crosswalk AEO to EPS Summary'!$B:$B,$B122)*Percent_rural*quadrillion</f>
        <v>438400650449283.56</v>
      </c>
      <c r="O122" s="93">
        <f>SUMIFS('Crosswalk AEO to EPS Summary'!O:O,'Crosswalk AEO to EPS Summary'!$B:$B,$B122)*Percent_rural*quadrillion</f>
        <v>442476027037966.5</v>
      </c>
      <c r="P122" s="93">
        <f>SUMIFS('Crosswalk AEO to EPS Summary'!P:P,'Crosswalk AEO to EPS Summary'!$B:$B,$B122)*Percent_rural*quadrillion</f>
        <v>447150663239698.88</v>
      </c>
      <c r="Q122" s="93">
        <f>SUMIFS('Crosswalk AEO to EPS Summary'!Q:Q,'Crosswalk AEO to EPS Summary'!$B:$B,$B122)*Percent_rural*quadrillion</f>
        <v>452535401521897.5</v>
      </c>
      <c r="R122" s="93">
        <f>SUMIFS('Crosswalk AEO to EPS Summary'!R:R,'Crosswalk AEO to EPS Summary'!$B:$B,$B122)*Percent_rural*quadrillion</f>
        <v>458862394236217.88</v>
      </c>
      <c r="S122" s="93">
        <f>SUMIFS('Crosswalk AEO to EPS Summary'!S:S,'Crosswalk AEO to EPS Summary'!$B:$B,$B122)*Percent_rural*quadrillion</f>
        <v>465707711001376.19</v>
      </c>
      <c r="T122" s="93">
        <f>SUMIFS('Crosswalk AEO to EPS Summary'!T:T,'Crosswalk AEO to EPS Summary'!$B:$B,$B122)*Percent_rural*quadrillion</f>
        <v>472268351412612.31</v>
      </c>
      <c r="U122" s="93">
        <f>SUMIFS('Crosswalk AEO to EPS Summary'!U:U,'Crosswalk AEO to EPS Summary'!$B:$B,$B122)*Percent_rural*quadrillion</f>
        <v>479119649558811.56</v>
      </c>
      <c r="V122" s="93">
        <f>SUMIFS('Crosswalk AEO to EPS Summary'!V:V,'Crosswalk AEO to EPS Summary'!$B:$B,$B122)*Percent_rural*quadrillion</f>
        <v>486205343074556.81</v>
      </c>
      <c r="W122" s="93">
        <f>SUMIFS('Crosswalk AEO to EPS Summary'!W:W,'Crosswalk AEO to EPS Summary'!$B:$B,$B122)*Percent_rural*quadrillion</f>
        <v>492951780134380.31</v>
      </c>
      <c r="X122" s="93">
        <f>SUMIFS('Crosswalk AEO to EPS Summary'!X:X,'Crosswalk AEO to EPS Summary'!$B:$B,$B122)*Percent_rural*quadrillion</f>
        <v>499821022423702.75</v>
      </c>
      <c r="Y122" s="93">
        <f>SUMIFS('Crosswalk AEO to EPS Summary'!Y:Y,'Crosswalk AEO to EPS Summary'!$B:$B,$B122)*Percent_rural*quadrillion</f>
        <v>506821294341455.5</v>
      </c>
      <c r="Z122" s="93">
        <f>SUMIFS('Crosswalk AEO to EPS Summary'!Z:Z,'Crosswalk AEO to EPS Summary'!$B:$B,$B122)*Percent_rural*quadrillion</f>
        <v>513851660082571</v>
      </c>
      <c r="AA122" s="93">
        <f>SUMIFS('Crosswalk AEO to EPS Summary'!AA:AA,'Crosswalk AEO to EPS Summary'!$B:$B,$B122)*Percent_rural*quadrillion</f>
        <v>520905203675220.5</v>
      </c>
      <c r="AB122" s="93">
        <f>SUMIFS('Crosswalk AEO to EPS Summary'!AB:AB,'Crosswalk AEO to EPS Summary'!$B:$B,$B122)*Percent_rural*quadrillion</f>
        <v>528066038290293.88</v>
      </c>
      <c r="AC122" s="93">
        <f>SUMIFS('Crosswalk AEO to EPS Summary'!AC:AC,'Crosswalk AEO to EPS Summary'!$B:$B,$B122)*Percent_rural*quadrillion</f>
        <v>535243508621387.5</v>
      </c>
      <c r="AD122" s="93">
        <f>SUMIFS('Crosswalk AEO to EPS Summary'!AD:AD,'Crosswalk AEO to EPS Summary'!$B:$B,$B122)*Percent_rural*quadrillion</f>
        <v>542488082571035.44</v>
      </c>
      <c r="AE122" s="93">
        <f>SUMIFS('Crosswalk AEO to EPS Summary'!AE:AE,'Crosswalk AEO to EPS Summary'!$B:$B,$B122)*Percent_rural*quadrillion</f>
        <v>549923499959523.94</v>
      </c>
      <c r="AF122" s="93">
        <f>SUMIFS('Crosswalk AEO to EPS Summary'!AF:AF,'Crosswalk AEO to EPS Summary'!$B:$B,$B122)*Percent_rural*quadrillion</f>
        <v>557447329636525.56</v>
      </c>
    </row>
    <row r="123" spans="2:32" s="93" customFormat="1" x14ac:dyDescent="0.25">
      <c r="B123" s="99" t="str">
        <f t="shared" ref="B123:B131" si="9">C123&amp;"-"&amp;D123&amp;"-"&amp;E123</f>
        <v>residential-other-coal (BTU)</v>
      </c>
      <c r="C123" s="95" t="s">
        <v>736</v>
      </c>
      <c r="D123" s="95" t="s">
        <v>734</v>
      </c>
      <c r="E123" s="95" t="s">
        <v>12</v>
      </c>
      <c r="F123" s="93">
        <v>0</v>
      </c>
      <c r="G123" s="93">
        <v>0</v>
      </c>
      <c r="H123" s="93">
        <v>0</v>
      </c>
      <c r="I123" s="93">
        <v>0</v>
      </c>
      <c r="J123" s="93">
        <v>0</v>
      </c>
      <c r="K123" s="93">
        <v>0</v>
      </c>
      <c r="L123" s="93">
        <v>0</v>
      </c>
      <c r="M123" s="93">
        <v>0</v>
      </c>
      <c r="N123" s="93">
        <v>0</v>
      </c>
      <c r="O123" s="93">
        <v>0</v>
      </c>
      <c r="P123" s="93">
        <v>0</v>
      </c>
      <c r="Q123" s="93">
        <v>0</v>
      </c>
      <c r="R123" s="93">
        <v>0</v>
      </c>
      <c r="S123" s="93">
        <v>0</v>
      </c>
      <c r="T123" s="93">
        <v>0</v>
      </c>
      <c r="U123" s="93">
        <v>0</v>
      </c>
      <c r="V123" s="93">
        <v>0</v>
      </c>
      <c r="W123" s="93">
        <v>0</v>
      </c>
      <c r="X123" s="93">
        <v>0</v>
      </c>
      <c r="Y123" s="93">
        <v>0</v>
      </c>
      <c r="Z123" s="93">
        <v>0</v>
      </c>
      <c r="AA123" s="93">
        <v>0</v>
      </c>
      <c r="AB123" s="93">
        <v>0</v>
      </c>
      <c r="AC123" s="93">
        <v>0</v>
      </c>
      <c r="AD123" s="93">
        <v>0</v>
      </c>
      <c r="AE123" s="93">
        <v>0</v>
      </c>
      <c r="AF123" s="93">
        <v>0</v>
      </c>
    </row>
    <row r="124" spans="2:32" s="93" customFormat="1" x14ac:dyDescent="0.25">
      <c r="B124" s="99" t="str">
        <f t="shared" si="9"/>
        <v>residential-other-natural gas (BTU)</v>
      </c>
      <c r="C124" s="95" t="s">
        <v>736</v>
      </c>
      <c r="D124" s="95" t="s">
        <v>734</v>
      </c>
      <c r="E124" s="95" t="s">
        <v>13</v>
      </c>
      <c r="F124" s="93">
        <f>SUMIFS('Crosswalk AEO to EPS Summary'!F:F,'Crosswalk AEO to EPS Summary'!$B:$B,$B124)*Percent_rural*quadrillion</f>
        <v>113783437707439.48</v>
      </c>
      <c r="G124" s="93">
        <f>SUMIFS('Crosswalk AEO to EPS Summary'!G:G,'Crosswalk AEO to EPS Summary'!$B:$B,$B124)*Percent_rural*quadrillion</f>
        <v>114720458431150.33</v>
      </c>
      <c r="H124" s="93">
        <f>SUMIFS('Crosswalk AEO to EPS Summary'!H:H,'Crosswalk AEO to EPS Summary'!$B:$B,$B124)*Percent_rural*quadrillion</f>
        <v>115569814538978.38</v>
      </c>
      <c r="I124" s="93">
        <f>SUMIFS('Crosswalk AEO to EPS Summary'!I:I,'Crosswalk AEO to EPS Summary'!$B:$B,$B124)*Percent_rural*quadrillion</f>
        <v>116150943090747.19</v>
      </c>
      <c r="J124" s="93">
        <f>SUMIFS('Crosswalk AEO to EPS Summary'!J:J,'Crosswalk AEO to EPS Summary'!$B:$B,$B124)*Percent_rural*quadrillion</f>
        <v>116548331093661.45</v>
      </c>
      <c r="K124" s="93">
        <f>SUMIFS('Crosswalk AEO to EPS Summary'!K:K,'Crosswalk AEO to EPS Summary'!$B:$B,$B124)*Percent_rural*quadrillion</f>
        <v>116824596130494.63</v>
      </c>
      <c r="L124" s="93">
        <f>SUMIFS('Crosswalk AEO to EPS Summary'!L:L,'Crosswalk AEO to EPS Summary'!$B:$B,$B124)*Percent_rural*quadrillion</f>
        <v>116987028009390.42</v>
      </c>
      <c r="M124" s="93">
        <f>SUMIFS('Crosswalk AEO to EPS Summary'!M:M,'Crosswalk AEO to EPS Summary'!$B:$B,$B124)*Percent_rural*quadrillion</f>
        <v>116891325912733.73</v>
      </c>
      <c r="N124" s="93">
        <f>SUMIFS('Crosswalk AEO to EPS Summary'!N:N,'Crosswalk AEO to EPS Summary'!$B:$B,$B124)*Percent_rural*quadrillion</f>
        <v>116461974904881.39</v>
      </c>
      <c r="O124" s="93">
        <f>SUMIFS('Crosswalk AEO to EPS Summary'!O:O,'Crosswalk AEO to EPS Summary'!$B:$B,$B124)*Percent_rural*quadrillion</f>
        <v>115908697158584.95</v>
      </c>
      <c r="P124" s="93">
        <f>SUMIFS('Crosswalk AEO to EPS Summary'!P:P,'Crosswalk AEO to EPS Summary'!$B:$B,$B124)*Percent_rural*quadrillion</f>
        <v>115438037237917.91</v>
      </c>
      <c r="Q124" s="93">
        <f>SUMIFS('Crosswalk AEO to EPS Summary'!Q:Q,'Crosswalk AEO to EPS Summary'!$B:$B,$B124)*Percent_rural*quadrillion</f>
        <v>115126257751153.55</v>
      </c>
      <c r="R124" s="93">
        <f>SUMIFS('Crosswalk AEO to EPS Summary'!R:R,'Crosswalk AEO to EPS Summary'!$B:$B,$B124)*Percent_rural*quadrillion</f>
        <v>114981770015380.89</v>
      </c>
      <c r="S124" s="93">
        <f>SUMIFS('Crosswalk AEO to EPS Summary'!S:S,'Crosswalk AEO to EPS Summary'!$B:$B,$B124)*Percent_rural*quadrillion</f>
        <v>114939713429936.05</v>
      </c>
      <c r="T124" s="93">
        <f>SUMIFS('Crosswalk AEO to EPS Summary'!T:T,'Crosswalk AEO to EPS Summary'!$B:$B,$B124)*Percent_rural*quadrillion</f>
        <v>114934666639682.67</v>
      </c>
      <c r="U124" s="93">
        <f>SUMIFS('Crosswalk AEO to EPS Summary'!U:U,'Crosswalk AEO to EPS Summary'!$B:$B,$B124)*Percent_rural*quadrillion</f>
        <v>114972424107504.23</v>
      </c>
      <c r="V124" s="93">
        <f>SUMIFS('Crosswalk AEO to EPS Summary'!V:V,'Crosswalk AEO to EPS Summary'!$B:$B,$B124)*Percent_rural*quadrillion</f>
        <v>114976723225127.5</v>
      </c>
      <c r="W124" s="93">
        <f>SUMIFS('Crosswalk AEO to EPS Summary'!W:W,'Crosswalk AEO to EPS Summary'!$B:$B,$B124)*Percent_rural*quadrillion</f>
        <v>114883824900833.8</v>
      </c>
      <c r="X124" s="93">
        <f>SUMIFS('Crosswalk AEO to EPS Summary'!X:X,'Crosswalk AEO to EPS Summary'!$B:$B,$B124)*Percent_rural*quadrillion</f>
        <v>114744944709787.11</v>
      </c>
      <c r="Y124" s="93">
        <f>SUMIFS('Crosswalk AEO to EPS Summary'!Y:Y,'Crosswalk AEO to EPS Summary'!$B:$B,$B124)*Percent_rural*quadrillion</f>
        <v>114592606411398.05</v>
      </c>
      <c r="Z124" s="93">
        <f>SUMIFS('Crosswalk AEO to EPS Summary'!Z:Z,'Crosswalk AEO to EPS Summary'!$B:$B,$B124)*Percent_rural*quadrillion</f>
        <v>114476343317412.77</v>
      </c>
      <c r="AA124" s="93">
        <f>SUMIFS('Crosswalk AEO to EPS Summary'!AA:AA,'Crosswalk AEO to EPS Summary'!$B:$B,$B124)*Percent_rural*quadrillion</f>
        <v>114371856067352.06</v>
      </c>
      <c r="AB124" s="93">
        <f>SUMIFS('Crosswalk AEO to EPS Summary'!AB:AB,'Crosswalk AEO to EPS Summary'!$B:$B,$B124)*Percent_rural*quadrillion</f>
        <v>114243817129442.23</v>
      </c>
      <c r="AC124" s="93">
        <f>SUMIFS('Crosswalk AEO to EPS Summary'!AC:AC,'Crosswalk AEO to EPS Summary'!$B:$B,$B124)*Percent_rural*quadrillion</f>
        <v>114141199060956.84</v>
      </c>
      <c r="AD124" s="93">
        <f>SUMIFS('Crosswalk AEO to EPS Summary'!AD:AD,'Crosswalk AEO to EPS Summary'!$B:$B,$B124)*Percent_rural*quadrillion</f>
        <v>114070730915567.06</v>
      </c>
      <c r="AE124" s="93">
        <f>SUMIFS('Crosswalk AEO to EPS Summary'!AE:AE,'Crosswalk AEO to EPS Summary'!$B:$B,$B124)*Percent_rural*quadrillion</f>
        <v>113985122399417.14</v>
      </c>
      <c r="AF124" s="93">
        <f>SUMIFS('Crosswalk AEO to EPS Summary'!AF:AF,'Crosswalk AEO to EPS Summary'!$B:$B,$B124)*Percent_rural*quadrillion</f>
        <v>113883438921719.41</v>
      </c>
    </row>
    <row r="125" spans="2:32" s="93" customFormat="1" x14ac:dyDescent="0.25">
      <c r="B125" s="99" t="str">
        <f t="shared" si="9"/>
        <v>residential-other-petroleum diesel (BTU)</v>
      </c>
      <c r="C125" s="95" t="s">
        <v>736</v>
      </c>
      <c r="D125" s="95" t="s">
        <v>734</v>
      </c>
      <c r="E125" s="95" t="s">
        <v>14</v>
      </c>
      <c r="F125" s="93">
        <f>SUMIFS('Crosswalk AEO to EPS Summary'!F:F,'Crosswalk AEO to EPS Summary'!$B:$B,$B125)*Percent_rural*quadrillion</f>
        <v>4825292236703.6348</v>
      </c>
      <c r="G125" s="93">
        <f>SUMIFS('Crosswalk AEO to EPS Summary'!G:G,'Crosswalk AEO to EPS Summary'!$B:$B,$B125)*Percent_rural*quadrillion</f>
        <v>4883236865538.7354</v>
      </c>
      <c r="H125" s="93">
        <f>SUMIFS('Crosswalk AEO to EPS Summary'!H:H,'Crosswalk AEO to EPS Summary'!$B:$B,$B125)*Percent_rural*quadrillion</f>
        <v>4906040880757.71</v>
      </c>
      <c r="I125" s="93">
        <f>SUMIFS('Crosswalk AEO to EPS Summary'!I:I,'Crosswalk AEO to EPS Summary'!$B:$B,$B125)*Percent_rural*quadrillion</f>
        <v>4900246417874.2002</v>
      </c>
      <c r="J125" s="93">
        <f>SUMIFS('Crosswalk AEO to EPS Summary'!J:J,'Crosswalk AEO to EPS Summary'!$B:$B,$B125)*Percent_rural*quadrillion</f>
        <v>4878376993442.8877</v>
      </c>
      <c r="K125" s="93">
        <f>SUMIFS('Crosswalk AEO to EPS Summary'!K:K,'Crosswalk AEO to EPS Summary'!$B:$B,$B125)*Percent_rural*quadrillion</f>
        <v>4850900024285.5986</v>
      </c>
      <c r="L125" s="93">
        <f>SUMIFS('Crosswalk AEO to EPS Summary'!L:L,'Crosswalk AEO to EPS Summary'!$B:$B,$B125)*Percent_rural*quadrillion</f>
        <v>4823423055128.3096</v>
      </c>
      <c r="M125" s="93">
        <f>SUMIFS('Crosswalk AEO to EPS Summary'!M:M,'Crosswalk AEO to EPS Summary'!$B:$B,$B125)*Percent_rural*quadrillion</f>
        <v>4807908848053.1035</v>
      </c>
      <c r="N125" s="93">
        <f>SUMIFS('Crosswalk AEO to EPS Summary'!N:N,'Crosswalk AEO to EPS Summary'!$B:$B,$B125)*Percent_rural*quadrillion</f>
        <v>4802114385169.5938</v>
      </c>
      <c r="O125" s="93">
        <f>SUMIFS('Crosswalk AEO to EPS Summary'!O:O,'Crosswalk AEO to EPS Summary'!$B:$B,$B125)*Percent_rural*quadrillion</f>
        <v>4796133004128.5518</v>
      </c>
      <c r="P125" s="93">
        <f>SUMIFS('Crosswalk AEO to EPS Summary'!P:P,'Crosswalk AEO to EPS Summary'!$B:$B,$B125)*Percent_rural*quadrillion</f>
        <v>4789964704929.9766</v>
      </c>
      <c r="Q125" s="93">
        <f>SUMIFS('Crosswalk AEO to EPS Summary'!Q:Q,'Crosswalk AEO to EPS Summary'!$B:$B,$B125)*Percent_rural*quadrillion</f>
        <v>4782487978628.6729</v>
      </c>
      <c r="R125" s="93">
        <f>SUMIFS('Crosswalk AEO to EPS Summary'!R:R,'Crosswalk AEO to EPS Summary'!$B:$B,$B125)*Percent_rural*quadrillion</f>
        <v>4776506597587.6299</v>
      </c>
      <c r="S125" s="93">
        <f>SUMIFS('Crosswalk AEO to EPS Summary'!S:S,'Crosswalk AEO to EPS Summary'!$B:$B,$B125)*Percent_rural*quadrillion</f>
        <v>4769029871286.3271</v>
      </c>
      <c r="T125" s="93">
        <f>SUMIFS('Crosswalk AEO to EPS Summary'!T:T,'Crosswalk AEO to EPS Summary'!$B:$B,$B125)*Percent_rural*quadrillion</f>
        <v>4763048490245.2842</v>
      </c>
      <c r="U125" s="93">
        <f>SUMIFS('Crosswalk AEO to EPS Summary'!U:U,'Crosswalk AEO to EPS Summary'!$B:$B,$B125)*Percent_rural*quadrillion</f>
        <v>4757814781834.3721</v>
      </c>
      <c r="V125" s="93">
        <f>SUMIFS('Crosswalk AEO to EPS Summary'!V:V,'Crosswalk AEO to EPS Summary'!$B:$B,$B125)*Percent_rural*quadrillion</f>
        <v>4751833400793.3291</v>
      </c>
      <c r="W125" s="93">
        <f>SUMIFS('Crosswalk AEO to EPS Summary'!W:W,'Crosswalk AEO to EPS Summary'!$B:$B,$B125)*Percent_rural*quadrillion</f>
        <v>4744543592649.5586</v>
      </c>
      <c r="X125" s="93">
        <f>SUMIFS('Crosswalk AEO to EPS Summary'!X:X,'Crosswalk AEO to EPS Summary'!$B:$B,$B125)*Percent_rural*quadrillion</f>
        <v>4736693030033.1895</v>
      </c>
      <c r="Y125" s="93">
        <f>SUMIFS('Crosswalk AEO to EPS Summary'!Y:Y,'Crosswalk AEO to EPS Summary'!$B:$B,$B125)*Percent_rural*quadrillion</f>
        <v>4728655549259.2891</v>
      </c>
      <c r="Z125" s="93">
        <f>SUMIFS('Crosswalk AEO to EPS Summary'!Z:Z,'Crosswalk AEO to EPS Summary'!$B:$B,$B125)*Percent_rural*quadrillion</f>
        <v>4716505869019.6709</v>
      </c>
      <c r="AA125" s="93">
        <f>SUMIFS('Crosswalk AEO to EPS Summary'!AA:AA,'Crosswalk AEO to EPS Summary'!$B:$B,$B125)*Percent_rural*quadrillion</f>
        <v>4710711406136.1602</v>
      </c>
      <c r="AB125" s="93">
        <f>SUMIFS('Crosswalk AEO to EPS Summary'!AB:AB,'Crosswalk AEO to EPS Summary'!$B:$B,$B125)*Percent_rural*quadrillion</f>
        <v>4705851534040.3145</v>
      </c>
      <c r="AC125" s="93">
        <f>SUMIFS('Crosswalk AEO to EPS Summary'!AC:AC,'Crosswalk AEO to EPS Summary'!$B:$B,$B125)*Percent_rural*quadrillion</f>
        <v>4702673925362.2598</v>
      </c>
      <c r="AD125" s="93">
        <f>SUMIFS('Crosswalk AEO to EPS Summary'!AD:AD,'Crosswalk AEO to EPS Summary'!$B:$B,$B125)*Percent_rural*quadrillion</f>
        <v>4700804743786.9346</v>
      </c>
      <c r="AE125" s="93">
        <f>SUMIFS('Crosswalk AEO to EPS Summary'!AE:AE,'Crosswalk AEO to EPS Summary'!$B:$B,$B125)*Percent_rural*quadrillion</f>
        <v>4698187889581.4785</v>
      </c>
      <c r="AF125" s="93">
        <f>SUMIFS('Crosswalk AEO to EPS Summary'!AF:AF,'Crosswalk AEO to EPS Summary'!$B:$B,$B125)*Percent_rural*quadrillion</f>
        <v>4692954181170.5654</v>
      </c>
    </row>
    <row r="126" spans="2:32" s="93" customFormat="1" x14ac:dyDescent="0.25">
      <c r="B126" s="99" t="str">
        <f t="shared" si="9"/>
        <v>residential-other-heat (BTU)</v>
      </c>
      <c r="C126" s="95" t="s">
        <v>736</v>
      </c>
      <c r="D126" s="95" t="s">
        <v>734</v>
      </c>
      <c r="E126" s="95" t="s">
        <v>16</v>
      </c>
      <c r="F126" s="93">
        <v>0</v>
      </c>
      <c r="G126" s="93">
        <v>0</v>
      </c>
      <c r="H126" s="93">
        <v>0</v>
      </c>
      <c r="I126" s="93">
        <v>0</v>
      </c>
      <c r="J126" s="93">
        <v>0</v>
      </c>
      <c r="K126" s="93">
        <v>0</v>
      </c>
      <c r="L126" s="93">
        <v>0</v>
      </c>
      <c r="M126" s="93">
        <v>0</v>
      </c>
      <c r="N126" s="93">
        <v>0</v>
      </c>
      <c r="O126" s="93">
        <v>0</v>
      </c>
      <c r="P126" s="93">
        <v>0</v>
      </c>
      <c r="Q126" s="93">
        <v>0</v>
      </c>
      <c r="R126" s="93">
        <v>0</v>
      </c>
      <c r="S126" s="93">
        <v>0</v>
      </c>
      <c r="T126" s="93">
        <v>0</v>
      </c>
      <c r="U126" s="93">
        <v>0</v>
      </c>
      <c r="V126" s="93">
        <v>0</v>
      </c>
      <c r="W126" s="93">
        <v>0</v>
      </c>
      <c r="X126" s="93">
        <v>0</v>
      </c>
      <c r="Y126" s="93">
        <v>0</v>
      </c>
      <c r="Z126" s="93">
        <v>0</v>
      </c>
      <c r="AA126" s="93">
        <v>0</v>
      </c>
      <c r="AB126" s="93">
        <v>0</v>
      </c>
      <c r="AC126" s="93">
        <v>0</v>
      </c>
      <c r="AD126" s="93">
        <v>0</v>
      </c>
      <c r="AE126" s="93">
        <v>0</v>
      </c>
      <c r="AF126" s="93">
        <v>0</v>
      </c>
    </row>
    <row r="127" spans="2:32" s="93" customFormat="1" x14ac:dyDescent="0.25">
      <c r="B127" s="99" t="str">
        <f t="shared" si="9"/>
        <v>residential-other-biomass (BTU)</v>
      </c>
      <c r="C127" s="95" t="s">
        <v>736</v>
      </c>
      <c r="D127" s="95" t="s">
        <v>734</v>
      </c>
      <c r="E127" s="95" t="s">
        <v>73</v>
      </c>
      <c r="F127" s="93">
        <v>0</v>
      </c>
      <c r="G127" s="93">
        <v>0</v>
      </c>
      <c r="H127" s="93">
        <v>0</v>
      </c>
      <c r="I127" s="93">
        <v>0</v>
      </c>
      <c r="J127" s="93">
        <v>0</v>
      </c>
      <c r="K127" s="93">
        <v>0</v>
      </c>
      <c r="L127" s="93">
        <v>0</v>
      </c>
      <c r="M127" s="93">
        <v>0</v>
      </c>
      <c r="N127" s="93">
        <v>0</v>
      </c>
      <c r="O127" s="93">
        <v>0</v>
      </c>
      <c r="P127" s="93">
        <v>0</v>
      </c>
      <c r="Q127" s="93">
        <v>0</v>
      </c>
      <c r="R127" s="93">
        <v>0</v>
      </c>
      <c r="S127" s="93">
        <v>0</v>
      </c>
      <c r="T127" s="93">
        <v>0</v>
      </c>
      <c r="U127" s="93">
        <v>0</v>
      </c>
      <c r="V127" s="93">
        <v>0</v>
      </c>
      <c r="W127" s="93">
        <v>0</v>
      </c>
      <c r="X127" s="93">
        <v>0</v>
      </c>
      <c r="Y127" s="93">
        <v>0</v>
      </c>
      <c r="Z127" s="93">
        <v>0</v>
      </c>
      <c r="AA127" s="93">
        <v>0</v>
      </c>
      <c r="AB127" s="93">
        <v>0</v>
      </c>
      <c r="AC127" s="93">
        <v>0</v>
      </c>
      <c r="AD127" s="93">
        <v>0</v>
      </c>
      <c r="AE127" s="93">
        <v>0</v>
      </c>
      <c r="AF127" s="93">
        <v>0</v>
      </c>
    </row>
    <row r="128" spans="2:32" s="93" customFormat="1" x14ac:dyDescent="0.25">
      <c r="B128" s="99" t="str">
        <f t="shared" si="9"/>
        <v>residential-other-kerosene (BTU)</v>
      </c>
      <c r="C128" s="95" t="s">
        <v>736</v>
      </c>
      <c r="D128" s="95" t="s">
        <v>734</v>
      </c>
      <c r="E128" s="95" t="s">
        <v>170</v>
      </c>
      <c r="F128" s="93">
        <v>0</v>
      </c>
      <c r="G128" s="93">
        <v>0</v>
      </c>
      <c r="H128" s="93">
        <v>0</v>
      </c>
      <c r="I128" s="93">
        <v>0</v>
      </c>
      <c r="J128" s="93">
        <v>0</v>
      </c>
      <c r="K128" s="93">
        <v>0</v>
      </c>
      <c r="L128" s="93">
        <v>0</v>
      </c>
      <c r="M128" s="93">
        <v>0</v>
      </c>
      <c r="N128" s="93">
        <v>0</v>
      </c>
      <c r="O128" s="93">
        <v>0</v>
      </c>
      <c r="P128" s="93">
        <v>0</v>
      </c>
      <c r="Q128" s="93">
        <v>0</v>
      </c>
      <c r="R128" s="93">
        <v>0</v>
      </c>
      <c r="S128" s="93">
        <v>0</v>
      </c>
      <c r="T128" s="93">
        <v>0</v>
      </c>
      <c r="U128" s="93">
        <v>0</v>
      </c>
      <c r="V128" s="93">
        <v>0</v>
      </c>
      <c r="W128" s="93">
        <v>0</v>
      </c>
      <c r="X128" s="93">
        <v>0</v>
      </c>
      <c r="Y128" s="93">
        <v>0</v>
      </c>
      <c r="Z128" s="93">
        <v>0</v>
      </c>
      <c r="AA128" s="93">
        <v>0</v>
      </c>
      <c r="AB128" s="93">
        <v>0</v>
      </c>
      <c r="AC128" s="93">
        <v>0</v>
      </c>
      <c r="AD128" s="93">
        <v>0</v>
      </c>
      <c r="AE128" s="93">
        <v>0</v>
      </c>
      <c r="AF128" s="93">
        <v>0</v>
      </c>
    </row>
    <row r="129" spans="1:32" s="93" customFormat="1" x14ac:dyDescent="0.25">
      <c r="B129" s="99" t="str">
        <f t="shared" si="9"/>
        <v>residential-other-heavy or residual fuel oil (BTU)</v>
      </c>
      <c r="C129" s="95" t="s">
        <v>736</v>
      </c>
      <c r="D129" s="95" t="s">
        <v>734</v>
      </c>
      <c r="E129" s="95" t="s">
        <v>171</v>
      </c>
      <c r="F129" s="93">
        <v>0</v>
      </c>
      <c r="G129" s="93">
        <v>0</v>
      </c>
      <c r="H129" s="93">
        <v>0</v>
      </c>
      <c r="I129" s="93">
        <v>0</v>
      </c>
      <c r="J129" s="93">
        <v>0</v>
      </c>
      <c r="K129" s="93">
        <v>0</v>
      </c>
      <c r="L129" s="93">
        <v>0</v>
      </c>
      <c r="M129" s="93">
        <v>0</v>
      </c>
      <c r="N129" s="93">
        <v>0</v>
      </c>
      <c r="O129" s="93">
        <v>0</v>
      </c>
      <c r="P129" s="93">
        <v>0</v>
      </c>
      <c r="Q129" s="93">
        <v>0</v>
      </c>
      <c r="R129" s="93">
        <v>0</v>
      </c>
      <c r="S129" s="93">
        <v>0</v>
      </c>
      <c r="T129" s="93">
        <v>0</v>
      </c>
      <c r="U129" s="93">
        <v>0</v>
      </c>
      <c r="V129" s="93">
        <v>0</v>
      </c>
      <c r="W129" s="93">
        <v>0</v>
      </c>
      <c r="X129" s="93">
        <v>0</v>
      </c>
      <c r="Y129" s="93">
        <v>0</v>
      </c>
      <c r="Z129" s="93">
        <v>0</v>
      </c>
      <c r="AA129" s="93">
        <v>0</v>
      </c>
      <c r="AB129" s="93">
        <v>0</v>
      </c>
      <c r="AC129" s="93">
        <v>0</v>
      </c>
      <c r="AD129" s="93">
        <v>0</v>
      </c>
      <c r="AE129" s="93">
        <v>0</v>
      </c>
      <c r="AF129" s="93">
        <v>0</v>
      </c>
    </row>
    <row r="130" spans="1:32" s="93" customFormat="1" x14ac:dyDescent="0.25">
      <c r="B130" s="99" t="str">
        <f t="shared" si="9"/>
        <v>residential-other-LPG propane or butane (BTU)</v>
      </c>
      <c r="C130" s="95" t="s">
        <v>736</v>
      </c>
      <c r="D130" s="95" t="s">
        <v>734</v>
      </c>
      <c r="E130" s="95" t="s">
        <v>172</v>
      </c>
      <c r="F130" s="93">
        <f>SUMIFS('Crosswalk AEO to EPS Summary'!F:F,'Crosswalk AEO to EPS Summary'!$B:$B,$B130)*Percent_rural*quadrillion</f>
        <v>14071385817210.395</v>
      </c>
      <c r="G130" s="93">
        <f>SUMIFS('Crosswalk AEO to EPS Summary'!G:G,'Crosswalk AEO to EPS Summary'!$B:$B,$B130)*Percent_rural*quadrillion</f>
        <v>14604289484335.787</v>
      </c>
      <c r="H130" s="93">
        <f>SUMIFS('Crosswalk AEO to EPS Summary'!H:H,'Crosswalk AEO to EPS Summary'!$B:$B,$B130)*Percent_rural*quadrillion</f>
        <v>15106164737310.775</v>
      </c>
      <c r="I130" s="93">
        <f>SUMIFS('Crosswalk AEO to EPS Summary'!I:I,'Crosswalk AEO to EPS Summary'!$B:$B,$B130)*Percent_rural*quadrillion</f>
        <v>15582432202703.795</v>
      </c>
      <c r="J130" s="93">
        <f>SUMIFS('Crosswalk AEO to EPS Summary'!J:J,'Crosswalk AEO to EPS Summary'!$B:$B,$B130)*Percent_rural*quadrillion</f>
        <v>16049540678377.719</v>
      </c>
      <c r="K130" s="93">
        <f>SUMIFS('Crosswalk AEO to EPS Summary'!K:K,'Crosswalk AEO to EPS Summary'!$B:$B,$B130)*Percent_rural*quadrillion</f>
        <v>16509172427750.344</v>
      </c>
      <c r="L130" s="93">
        <f>SUMIFS('Crosswalk AEO to EPS Summary'!L:L,'Crosswalk AEO to EPS Summary'!$B:$B,$B130)*Percent_rural*quadrillion</f>
        <v>16951046952157.371</v>
      </c>
      <c r="M130" s="93">
        <f>SUMIFS('Crosswalk AEO to EPS Summary'!M:M,'Crosswalk AEO to EPS Summary'!$B:$B,$B130)*Percent_rural*quadrillion</f>
        <v>17386192422893.227</v>
      </c>
      <c r="N130" s="93">
        <f>SUMIFS('Crosswalk AEO to EPS Summary'!N:N,'Crosswalk AEO to EPS Summary'!$B:$B,$B130)*Percent_rural*quadrillion</f>
        <v>17803206832348.418</v>
      </c>
      <c r="O130" s="93">
        <f>SUMIFS('Crosswalk AEO to EPS Summary'!O:O,'Crosswalk AEO to EPS Summary'!$B:$B,$B130)*Percent_rural*quadrillion</f>
        <v>18200781753420.223</v>
      </c>
      <c r="P130" s="93">
        <f>SUMIFS('Crosswalk AEO to EPS Summary'!P:P,'Crosswalk AEO to EPS Summary'!$B:$B,$B130)*Percent_rural*quadrillion</f>
        <v>18587515421355.137</v>
      </c>
      <c r="Q130" s="93">
        <f>SUMIFS('Crosswalk AEO to EPS Summary'!Q:Q,'Crosswalk AEO to EPS Summary'!$B:$B,$B130)*Percent_rural*quadrillion</f>
        <v>18987707196632.398</v>
      </c>
      <c r="R130" s="93">
        <f>SUMIFS('Crosswalk AEO to EPS Summary'!R:R,'Crosswalk AEO to EPS Summary'!$B:$B,$B130)*Percent_rural*quadrillion</f>
        <v>19412572168703.961</v>
      </c>
      <c r="S130" s="93">
        <f>SUMIFS('Crosswalk AEO to EPS Summary'!S:S,'Crosswalk AEO to EPS Summary'!$B:$B,$B130)*Percent_rural*quadrillion</f>
        <v>19856315874686.313</v>
      </c>
      <c r="T130" s="93">
        <f>SUMIFS('Crosswalk AEO to EPS Summary'!T:T,'Crosswalk AEO to EPS Summary'!$B:$B,$B130)*Percent_rural*quadrillion</f>
        <v>20311461588278.152</v>
      </c>
      <c r="U130" s="93">
        <f>SUMIFS('Crosswalk AEO to EPS Summary'!U:U,'Crosswalk AEO to EPS Summary'!$B:$B,$B130)*Percent_rural*quadrillion</f>
        <v>20774270946328.828</v>
      </c>
      <c r="V130" s="93">
        <f>SUMIFS('Crosswalk AEO to EPS Summary'!V:V,'Crosswalk AEO to EPS Summary'!$B:$B,$B130)*Percent_rural*quadrillion</f>
        <v>21241005585687.688</v>
      </c>
      <c r="W130" s="93">
        <f>SUMIFS('Crosswalk AEO to EPS Summary'!W:W,'Crosswalk AEO to EPS Summary'!$B:$B,$B130)*Percent_rural*quadrillion</f>
        <v>21702132680320.57</v>
      </c>
      <c r="X130" s="93">
        <f>SUMIFS('Crosswalk AEO to EPS Summary'!X:X,'Crosswalk AEO to EPS Summary'!$B:$B,$B130)*Percent_rural*quadrillion</f>
        <v>22158586821015.141</v>
      </c>
      <c r="Y130" s="93">
        <f>SUMIFS('Crosswalk AEO to EPS Summary'!Y:Y,'Crosswalk AEO to EPS Summary'!$B:$B,$B130)*Percent_rural*quadrillion</f>
        <v>22607190399093.336</v>
      </c>
      <c r="Z130" s="93">
        <f>SUMIFS('Crosswalk AEO to EPS Summary'!Z:Z,'Crosswalk AEO to EPS Summary'!$B:$B,$B130)*Percent_rural*quadrillion</f>
        <v>23058410831376.992</v>
      </c>
      <c r="AA130" s="93">
        <f>SUMIFS('Crosswalk AEO to EPS Summary'!AA:AA,'Crosswalk AEO to EPS Summary'!$B:$B,$B130)*Percent_rural*quadrillion</f>
        <v>23510752772605.844</v>
      </c>
      <c r="AB130" s="93">
        <f>SUMIFS('Crosswalk AEO to EPS Summary'!AB:AB,'Crosswalk AEO to EPS Summary'!$B:$B,$B130)*Percent_rural*quadrillion</f>
        <v>23971879867238.727</v>
      </c>
      <c r="AC130" s="93">
        <f>SUMIFS('Crosswalk AEO to EPS Summary'!AC:AC,'Crosswalk AEO to EPS Summary'!$B:$B,$B130)*Percent_rural*quadrillion</f>
        <v>24446091232898.895</v>
      </c>
      <c r="AD130" s="93">
        <f>SUMIFS('Crosswalk AEO to EPS Summary'!AD:AD,'Crosswalk AEO to EPS Summary'!$B:$B,$B130)*Percent_rural*quadrillion</f>
        <v>24929087751963.086</v>
      </c>
      <c r="AE130" s="93">
        <f>SUMIFS('Crosswalk AEO to EPS Summary'!AE:AE,'Crosswalk AEO to EPS Summary'!$B:$B,$B130)*Percent_rural*quadrillion</f>
        <v>25405915971828.707</v>
      </c>
      <c r="AF130" s="93">
        <f>SUMIFS('Crosswalk AEO to EPS Summary'!AF:AF,'Crosswalk AEO to EPS Summary'!$B:$B,$B130)*Percent_rural*quadrillion</f>
        <v>25862370112523.273</v>
      </c>
    </row>
    <row r="131" spans="1:32" s="93" customFormat="1" x14ac:dyDescent="0.25">
      <c r="B131" s="99" t="str">
        <f t="shared" si="9"/>
        <v>residential-other-hydrogen (BTU)</v>
      </c>
      <c r="C131" s="95" t="s">
        <v>736</v>
      </c>
      <c r="D131" s="95" t="s">
        <v>734</v>
      </c>
      <c r="E131" s="95" t="s">
        <v>173</v>
      </c>
      <c r="F131" s="93">
        <v>0</v>
      </c>
      <c r="G131" s="93">
        <v>0</v>
      </c>
      <c r="H131" s="93">
        <v>0</v>
      </c>
      <c r="I131" s="93">
        <v>0</v>
      </c>
      <c r="J131" s="93">
        <v>0</v>
      </c>
      <c r="K131" s="93">
        <v>0</v>
      </c>
      <c r="L131" s="93">
        <v>0</v>
      </c>
      <c r="M131" s="93">
        <v>0</v>
      </c>
      <c r="N131" s="93">
        <v>0</v>
      </c>
      <c r="O131" s="93">
        <v>0</v>
      </c>
      <c r="P131" s="93">
        <v>0</v>
      </c>
      <c r="Q131" s="93">
        <v>0</v>
      </c>
      <c r="R131" s="93">
        <v>0</v>
      </c>
      <c r="S131" s="93">
        <v>0</v>
      </c>
      <c r="T131" s="93">
        <v>0</v>
      </c>
      <c r="U131" s="93">
        <v>0</v>
      </c>
      <c r="V131" s="93">
        <v>0</v>
      </c>
      <c r="W131" s="93">
        <v>0</v>
      </c>
      <c r="X131" s="93">
        <v>0</v>
      </c>
      <c r="Y131" s="93">
        <v>0</v>
      </c>
      <c r="Z131" s="93">
        <v>0</v>
      </c>
      <c r="AA131" s="93">
        <v>0</v>
      </c>
      <c r="AB131" s="93">
        <v>0</v>
      </c>
      <c r="AC131" s="93">
        <v>0</v>
      </c>
      <c r="AD131" s="93">
        <v>0</v>
      </c>
      <c r="AE131" s="93">
        <v>0</v>
      </c>
      <c r="AF131" s="93">
        <v>0</v>
      </c>
    </row>
    <row r="132" spans="1:32" s="12" customFormat="1" ht="18.75" x14ac:dyDescent="0.3">
      <c r="A132" s="14" t="s">
        <v>9</v>
      </c>
      <c r="B132" s="96"/>
      <c r="C132" s="96"/>
      <c r="D132" s="96"/>
      <c r="E132" s="96"/>
    </row>
    <row r="133" spans="1:32" x14ac:dyDescent="0.25">
      <c r="B133" s="1" t="s">
        <v>186</v>
      </c>
    </row>
    <row r="134" spans="1:32" x14ac:dyDescent="0.25">
      <c r="E134" s="94" t="s">
        <v>10</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s="93" customFormat="1" x14ac:dyDescent="0.25">
      <c r="B135" s="99" t="str">
        <f>C135&amp;"-"&amp;D135&amp;"-"&amp;E135</f>
        <v>commercial-heating-electricity (BTU)</v>
      </c>
      <c r="C135" s="95" t="s">
        <v>737</v>
      </c>
      <c r="D135" s="95" t="s">
        <v>730</v>
      </c>
      <c r="E135" s="95" t="s">
        <v>11</v>
      </c>
      <c r="F135" s="93">
        <f>SUMIFS('Crosswalk AEO to EPS Summary'!F:F,'Crosswalk AEO to EPS Summary'!$B:$B,$B135)*quadrillion</f>
        <v>186541000000000</v>
      </c>
      <c r="G135" s="93">
        <f>SUMIFS('Crosswalk AEO to EPS Summary'!G:G,'Crosswalk AEO to EPS Summary'!$B:$B,$B135)*quadrillion</f>
        <v>197985000000000</v>
      </c>
      <c r="H135" s="93">
        <f>SUMIFS('Crosswalk AEO to EPS Summary'!H:H,'Crosswalk AEO to EPS Summary'!$B:$B,$B135)*quadrillion</f>
        <v>198076000000000</v>
      </c>
      <c r="I135" s="93">
        <f>SUMIFS('Crosswalk AEO to EPS Summary'!I:I,'Crosswalk AEO to EPS Summary'!$B:$B,$B135)*quadrillion</f>
        <v>199054000000000</v>
      </c>
      <c r="J135" s="93">
        <f>SUMIFS('Crosswalk AEO to EPS Summary'!J:J,'Crosswalk AEO to EPS Summary'!$B:$B,$B135)*quadrillion</f>
        <v>199048000000000</v>
      </c>
      <c r="K135" s="93">
        <f>SUMIFS('Crosswalk AEO to EPS Summary'!K:K,'Crosswalk AEO to EPS Summary'!$B:$B,$B135)*quadrillion</f>
        <v>197891000000000</v>
      </c>
      <c r="L135" s="93">
        <f>SUMIFS('Crosswalk AEO to EPS Summary'!L:L,'Crosswalk AEO to EPS Summary'!$B:$B,$B135)*quadrillion</f>
        <v>196351000000000</v>
      </c>
      <c r="M135" s="93">
        <f>SUMIFS('Crosswalk AEO to EPS Summary'!M:M,'Crosswalk AEO to EPS Summary'!$B:$B,$B135)*quadrillion</f>
        <v>194590000000000</v>
      </c>
      <c r="N135" s="93">
        <f>SUMIFS('Crosswalk AEO to EPS Summary'!N:N,'Crosswalk AEO to EPS Summary'!$B:$B,$B135)*quadrillion</f>
        <v>192773000000000</v>
      </c>
      <c r="O135" s="93">
        <f>SUMIFS('Crosswalk AEO to EPS Summary'!O:O,'Crosswalk AEO to EPS Summary'!$B:$B,$B135)*quadrillion</f>
        <v>190066000000000</v>
      </c>
      <c r="P135" s="93">
        <f>SUMIFS('Crosswalk AEO to EPS Summary'!P:P,'Crosswalk AEO to EPS Summary'!$B:$B,$B135)*quadrillion</f>
        <v>187679000000000</v>
      </c>
      <c r="Q135" s="93">
        <f>SUMIFS('Crosswalk AEO to EPS Summary'!Q:Q,'Crosswalk AEO to EPS Summary'!$B:$B,$B135)*quadrillion</f>
        <v>186546000000000</v>
      </c>
      <c r="R135" s="93">
        <f>SUMIFS('Crosswalk AEO to EPS Summary'!R:R,'Crosswalk AEO to EPS Summary'!$B:$B,$B135)*quadrillion</f>
        <v>185712000000000</v>
      </c>
      <c r="S135" s="93">
        <f>SUMIFS('Crosswalk AEO to EPS Summary'!S:S,'Crosswalk AEO to EPS Summary'!$B:$B,$B135)*quadrillion</f>
        <v>184911000000000</v>
      </c>
      <c r="T135" s="93">
        <f>SUMIFS('Crosswalk AEO to EPS Summary'!T:T,'Crosswalk AEO to EPS Summary'!$B:$B,$B135)*quadrillion</f>
        <v>183733000000000</v>
      </c>
      <c r="U135" s="93">
        <f>SUMIFS('Crosswalk AEO to EPS Summary'!U:U,'Crosswalk AEO to EPS Summary'!$B:$B,$B135)*quadrillion</f>
        <v>182497000000000</v>
      </c>
      <c r="V135" s="93">
        <f>SUMIFS('Crosswalk AEO to EPS Summary'!V:V,'Crosswalk AEO to EPS Summary'!$B:$B,$B135)*quadrillion</f>
        <v>181191000000000</v>
      </c>
      <c r="W135" s="93">
        <f>SUMIFS('Crosswalk AEO to EPS Summary'!W:W,'Crosswalk AEO to EPS Summary'!$B:$B,$B135)*quadrillion</f>
        <v>179785000000000</v>
      </c>
      <c r="X135" s="93">
        <f>SUMIFS('Crosswalk AEO to EPS Summary'!X:X,'Crosswalk AEO to EPS Summary'!$B:$B,$B135)*quadrillion</f>
        <v>178212000000000</v>
      </c>
      <c r="Y135" s="93">
        <f>SUMIFS('Crosswalk AEO to EPS Summary'!Y:Y,'Crosswalk AEO to EPS Summary'!$B:$B,$B135)*quadrillion</f>
        <v>176566000000000</v>
      </c>
      <c r="Z135" s="93">
        <f>SUMIFS('Crosswalk AEO to EPS Summary'!Z:Z,'Crosswalk AEO to EPS Summary'!$B:$B,$B135)*quadrillion</f>
        <v>174797000000000</v>
      </c>
      <c r="AA135" s="93">
        <f>SUMIFS('Crosswalk AEO to EPS Summary'!AA:AA,'Crosswalk AEO to EPS Summary'!$B:$B,$B135)*quadrillion</f>
        <v>172949000000000</v>
      </c>
      <c r="AB135" s="93">
        <f>SUMIFS('Crosswalk AEO to EPS Summary'!AB:AB,'Crosswalk AEO to EPS Summary'!$B:$B,$B135)*quadrillion</f>
        <v>171014000000000</v>
      </c>
      <c r="AC135" s="93">
        <f>SUMIFS('Crosswalk AEO to EPS Summary'!AC:AC,'Crosswalk AEO to EPS Summary'!$B:$B,$B135)*quadrillion</f>
        <v>169022000000000</v>
      </c>
      <c r="AD135" s="93">
        <f>SUMIFS('Crosswalk AEO to EPS Summary'!AD:AD,'Crosswalk AEO to EPS Summary'!$B:$B,$B135)*quadrillion</f>
        <v>166995000000000</v>
      </c>
      <c r="AE135" s="93">
        <f>SUMIFS('Crosswalk AEO to EPS Summary'!AE:AE,'Crosswalk AEO to EPS Summary'!$B:$B,$B135)*quadrillion</f>
        <v>165017000000000</v>
      </c>
      <c r="AF135" s="93">
        <f>SUMIFS('Crosswalk AEO to EPS Summary'!AF:AF,'Crosswalk AEO to EPS Summary'!$B:$B,$B135)*quadrillion</f>
        <v>163026000000000</v>
      </c>
    </row>
    <row r="136" spans="1:32" s="93" customFormat="1" x14ac:dyDescent="0.25">
      <c r="B136" s="99" t="str">
        <f t="shared" ref="B136:B144" si="10">C136&amp;"-"&amp;D136&amp;"-"&amp;E136</f>
        <v>commercial-heating-coal (BTU)</v>
      </c>
      <c r="C136" s="95" t="s">
        <v>737</v>
      </c>
      <c r="D136" s="95" t="s">
        <v>730</v>
      </c>
      <c r="E136" s="95" t="s">
        <v>12</v>
      </c>
      <c r="F136" s="93">
        <v>0</v>
      </c>
      <c r="G136" s="93">
        <v>0</v>
      </c>
      <c r="H136" s="93">
        <v>0</v>
      </c>
      <c r="I136" s="93">
        <v>0</v>
      </c>
      <c r="J136" s="93">
        <v>0</v>
      </c>
      <c r="K136" s="93">
        <v>0</v>
      </c>
      <c r="L136" s="93">
        <v>0</v>
      </c>
      <c r="M136" s="93">
        <v>0</v>
      </c>
      <c r="N136" s="93">
        <v>0</v>
      </c>
      <c r="O136" s="93">
        <v>0</v>
      </c>
      <c r="P136" s="93">
        <v>0</v>
      </c>
      <c r="Q136" s="93">
        <v>0</v>
      </c>
      <c r="R136" s="93">
        <v>0</v>
      </c>
      <c r="S136" s="93">
        <v>0</v>
      </c>
      <c r="T136" s="93">
        <v>0</v>
      </c>
      <c r="U136" s="93">
        <v>0</v>
      </c>
      <c r="V136" s="93">
        <v>0</v>
      </c>
      <c r="W136" s="93">
        <v>0</v>
      </c>
      <c r="X136" s="93">
        <v>0</v>
      </c>
      <c r="Y136" s="93">
        <v>0</v>
      </c>
      <c r="Z136" s="93">
        <v>0</v>
      </c>
      <c r="AA136" s="93">
        <v>0</v>
      </c>
      <c r="AB136" s="93">
        <v>0</v>
      </c>
      <c r="AC136" s="93">
        <v>0</v>
      </c>
      <c r="AD136" s="93">
        <v>0</v>
      </c>
      <c r="AE136" s="93">
        <v>0</v>
      </c>
      <c r="AF136" s="93">
        <v>0</v>
      </c>
    </row>
    <row r="137" spans="1:32" s="93" customFormat="1" x14ac:dyDescent="0.25">
      <c r="B137" s="99" t="str">
        <f t="shared" si="10"/>
        <v>commercial-heating-natural gas (BTU)</v>
      </c>
      <c r="C137" s="95" t="s">
        <v>737</v>
      </c>
      <c r="D137" s="95" t="s">
        <v>730</v>
      </c>
      <c r="E137" s="95" t="s">
        <v>13</v>
      </c>
      <c r="F137" s="93">
        <f>SUMIFS('Crosswalk AEO to EPS Summary'!F:F,'Crosswalk AEO to EPS Summary'!$B:$B,$B137)*quadrillion</f>
        <v>1537413000000000</v>
      </c>
      <c r="G137" s="93">
        <f>SUMIFS('Crosswalk AEO to EPS Summary'!G:G,'Crosswalk AEO to EPS Summary'!$B:$B,$B137)*quadrillion</f>
        <v>1697475000000000</v>
      </c>
      <c r="H137" s="93">
        <f>SUMIFS('Crosswalk AEO to EPS Summary'!H:H,'Crosswalk AEO to EPS Summary'!$B:$B,$B137)*quadrillion</f>
        <v>1716881000000000</v>
      </c>
      <c r="I137" s="93">
        <f>SUMIFS('Crosswalk AEO to EPS Summary'!I:I,'Crosswalk AEO to EPS Summary'!$B:$B,$B137)*quadrillion</f>
        <v>1721059000000000</v>
      </c>
      <c r="J137" s="93">
        <f>SUMIFS('Crosswalk AEO to EPS Summary'!J:J,'Crosswalk AEO to EPS Summary'!$B:$B,$B137)*quadrillion</f>
        <v>1717088000000000</v>
      </c>
      <c r="K137" s="93">
        <f>SUMIFS('Crosswalk AEO to EPS Summary'!K:K,'Crosswalk AEO to EPS Summary'!$B:$B,$B137)*quadrillion</f>
        <v>1708489000000000</v>
      </c>
      <c r="L137" s="93">
        <f>SUMIFS('Crosswalk AEO to EPS Summary'!L:L,'Crosswalk AEO to EPS Summary'!$B:$B,$B137)*quadrillion</f>
        <v>1695878000000000</v>
      </c>
      <c r="M137" s="93">
        <f>SUMIFS('Crosswalk AEO to EPS Summary'!M:M,'Crosswalk AEO to EPS Summary'!$B:$B,$B137)*quadrillion</f>
        <v>1685565000000000</v>
      </c>
      <c r="N137" s="93">
        <f>SUMIFS('Crosswalk AEO to EPS Summary'!N:N,'Crosswalk AEO to EPS Summary'!$B:$B,$B137)*quadrillion</f>
        <v>1671333000000000</v>
      </c>
      <c r="O137" s="93">
        <f>SUMIFS('Crosswalk AEO to EPS Summary'!O:O,'Crosswalk AEO to EPS Summary'!$B:$B,$B137)*quadrillion</f>
        <v>1655639000000000</v>
      </c>
      <c r="P137" s="93">
        <f>SUMIFS('Crosswalk AEO to EPS Summary'!P:P,'Crosswalk AEO to EPS Summary'!$B:$B,$B137)*quadrillion</f>
        <v>1641919000000000</v>
      </c>
      <c r="Q137" s="93">
        <f>SUMIFS('Crosswalk AEO to EPS Summary'!Q:Q,'Crosswalk AEO to EPS Summary'!$B:$B,$B137)*quadrillion</f>
        <v>1633058000000000</v>
      </c>
      <c r="R137" s="93">
        <f>SUMIFS('Crosswalk AEO to EPS Summary'!R:R,'Crosswalk AEO to EPS Summary'!$B:$B,$B137)*quadrillion</f>
        <v>1628727000000000</v>
      </c>
      <c r="S137" s="93">
        <f>SUMIFS('Crosswalk AEO to EPS Summary'!S:S,'Crosswalk AEO to EPS Summary'!$B:$B,$B137)*quadrillion</f>
        <v>1626826000000000</v>
      </c>
      <c r="T137" s="93">
        <f>SUMIFS('Crosswalk AEO to EPS Summary'!T:T,'Crosswalk AEO to EPS Summary'!$B:$B,$B137)*quadrillion</f>
        <v>1625526000000000</v>
      </c>
      <c r="U137" s="93">
        <f>SUMIFS('Crosswalk AEO to EPS Summary'!U:U,'Crosswalk AEO to EPS Summary'!$B:$B,$B137)*quadrillion</f>
        <v>1625330000000000</v>
      </c>
      <c r="V137" s="93">
        <f>SUMIFS('Crosswalk AEO to EPS Summary'!V:V,'Crosswalk AEO to EPS Summary'!$B:$B,$B137)*quadrillion</f>
        <v>1623697000000000</v>
      </c>
      <c r="W137" s="93">
        <f>SUMIFS('Crosswalk AEO to EPS Summary'!W:W,'Crosswalk AEO to EPS Summary'!$B:$B,$B137)*quadrillion</f>
        <v>1619696000000000</v>
      </c>
      <c r="X137" s="93">
        <f>SUMIFS('Crosswalk AEO to EPS Summary'!X:X,'Crosswalk AEO to EPS Summary'!$B:$B,$B137)*quadrillion</f>
        <v>1614416000000000</v>
      </c>
      <c r="Y137" s="93">
        <f>SUMIFS('Crosswalk AEO to EPS Summary'!Y:Y,'Crosswalk AEO to EPS Summary'!$B:$B,$B137)*quadrillion</f>
        <v>1608446000000000</v>
      </c>
      <c r="Z137" s="93">
        <f>SUMIFS('Crosswalk AEO to EPS Summary'!Z:Z,'Crosswalk AEO to EPS Summary'!$B:$B,$B137)*quadrillion</f>
        <v>1603702000000000</v>
      </c>
      <c r="AA137" s="93">
        <f>SUMIFS('Crosswalk AEO to EPS Summary'!AA:AA,'Crosswalk AEO to EPS Summary'!$B:$B,$B137)*quadrillion</f>
        <v>1599288000000000</v>
      </c>
      <c r="AB137" s="93">
        <f>SUMIFS('Crosswalk AEO to EPS Summary'!AB:AB,'Crosswalk AEO to EPS Summary'!$B:$B,$B137)*quadrillion</f>
        <v>1593816000000000</v>
      </c>
      <c r="AC137" s="93">
        <f>SUMIFS('Crosswalk AEO to EPS Summary'!AC:AC,'Crosswalk AEO to EPS Summary'!$B:$B,$B137)*quadrillion</f>
        <v>1589346000000000</v>
      </c>
      <c r="AD137" s="93">
        <f>SUMIFS('Crosswalk AEO to EPS Summary'!AD:AD,'Crosswalk AEO to EPS Summary'!$B:$B,$B137)*quadrillion</f>
        <v>1585737000000000</v>
      </c>
      <c r="AE137" s="93">
        <f>SUMIFS('Crosswalk AEO to EPS Summary'!AE:AE,'Crosswalk AEO to EPS Summary'!$B:$B,$B137)*quadrillion</f>
        <v>1581855000000000</v>
      </c>
      <c r="AF137" s="93">
        <f>SUMIFS('Crosswalk AEO to EPS Summary'!AF:AF,'Crosswalk AEO to EPS Summary'!$B:$B,$B137)*quadrillion</f>
        <v>1577464000000000</v>
      </c>
    </row>
    <row r="138" spans="1:32" s="93" customFormat="1" x14ac:dyDescent="0.25">
      <c r="B138" s="99" t="str">
        <f t="shared" si="10"/>
        <v>commercial-heating-petroleum diesel (BTU)</v>
      </c>
      <c r="C138" s="95" t="s">
        <v>737</v>
      </c>
      <c r="D138" s="95" t="s">
        <v>730</v>
      </c>
      <c r="E138" s="95" t="s">
        <v>14</v>
      </c>
      <c r="F138" s="93">
        <f>SUMIFS('Crosswalk AEO to EPS Summary'!F:F,'Crosswalk AEO to EPS Summary'!$B:$B,$B138)*quadrillion</f>
        <v>69269000000000</v>
      </c>
      <c r="G138" s="93">
        <f>SUMIFS('Crosswalk AEO to EPS Summary'!G:G,'Crosswalk AEO to EPS Summary'!$B:$B,$B138)*quadrillion</f>
        <v>74071000000000</v>
      </c>
      <c r="H138" s="93">
        <f>SUMIFS('Crosswalk AEO to EPS Summary'!H:H,'Crosswalk AEO to EPS Summary'!$B:$B,$B138)*quadrillion</f>
        <v>73987000000000</v>
      </c>
      <c r="I138" s="93">
        <f>SUMIFS('Crosswalk AEO to EPS Summary'!I:I,'Crosswalk AEO to EPS Summary'!$B:$B,$B138)*quadrillion</f>
        <v>73583000000000</v>
      </c>
      <c r="J138" s="93">
        <f>SUMIFS('Crosswalk AEO to EPS Summary'!J:J,'Crosswalk AEO to EPS Summary'!$B:$B,$B138)*quadrillion</f>
        <v>72936000000000</v>
      </c>
      <c r="K138" s="93">
        <f>SUMIFS('Crosswalk AEO to EPS Summary'!K:K,'Crosswalk AEO to EPS Summary'!$B:$B,$B138)*quadrillion</f>
        <v>71975000000000</v>
      </c>
      <c r="L138" s="93">
        <f>SUMIFS('Crosswalk AEO to EPS Summary'!L:L,'Crosswalk AEO to EPS Summary'!$B:$B,$B138)*quadrillion</f>
        <v>70986000000000</v>
      </c>
      <c r="M138" s="93">
        <f>SUMIFS('Crosswalk AEO to EPS Summary'!M:M,'Crosswalk AEO to EPS Summary'!$B:$B,$B138)*quadrillion</f>
        <v>69949000000000</v>
      </c>
      <c r="N138" s="93">
        <f>SUMIFS('Crosswalk AEO to EPS Summary'!N:N,'Crosswalk AEO to EPS Summary'!$B:$B,$B138)*quadrillion</f>
        <v>68908000000000</v>
      </c>
      <c r="O138" s="93">
        <f>SUMIFS('Crosswalk AEO to EPS Summary'!O:O,'Crosswalk AEO to EPS Summary'!$B:$B,$B138)*quadrillion</f>
        <v>67778000000000.008</v>
      </c>
      <c r="P138" s="93">
        <f>SUMIFS('Crosswalk AEO to EPS Summary'!P:P,'Crosswalk AEO to EPS Summary'!$B:$B,$B138)*quadrillion</f>
        <v>66642000000000.008</v>
      </c>
      <c r="Q138" s="93">
        <f>SUMIFS('Crosswalk AEO to EPS Summary'!Q:Q,'Crosswalk AEO to EPS Summary'!$B:$B,$B138)*quadrillion</f>
        <v>65496000000000</v>
      </c>
      <c r="R138" s="93">
        <f>SUMIFS('Crosswalk AEO to EPS Summary'!R:R,'Crosswalk AEO to EPS Summary'!$B:$B,$B138)*quadrillion</f>
        <v>64415000000000</v>
      </c>
      <c r="S138" s="93">
        <f>SUMIFS('Crosswalk AEO to EPS Summary'!S:S,'Crosswalk AEO to EPS Summary'!$B:$B,$B138)*quadrillion</f>
        <v>63297999999999.992</v>
      </c>
      <c r="T138" s="93">
        <f>SUMIFS('Crosswalk AEO to EPS Summary'!T:T,'Crosswalk AEO to EPS Summary'!$B:$B,$B138)*quadrillion</f>
        <v>62220000000000</v>
      </c>
      <c r="U138" s="93">
        <f>SUMIFS('Crosswalk AEO to EPS Summary'!U:U,'Crosswalk AEO to EPS Summary'!$B:$B,$B138)*quadrillion</f>
        <v>61174000000000</v>
      </c>
      <c r="V138" s="93">
        <f>SUMIFS('Crosswalk AEO to EPS Summary'!V:V,'Crosswalk AEO to EPS Summary'!$B:$B,$B138)*quadrillion</f>
        <v>60119000000000</v>
      </c>
      <c r="W138" s="93">
        <f>SUMIFS('Crosswalk AEO to EPS Summary'!W:W,'Crosswalk AEO to EPS Summary'!$B:$B,$B138)*quadrillion</f>
        <v>59095000000000</v>
      </c>
      <c r="X138" s="93">
        <f>SUMIFS('Crosswalk AEO to EPS Summary'!X:X,'Crosswalk AEO to EPS Summary'!$B:$B,$B138)*quadrillion</f>
        <v>58066000000000</v>
      </c>
      <c r="Y138" s="93">
        <f>SUMIFS('Crosswalk AEO to EPS Summary'!Y:Y,'Crosswalk AEO to EPS Summary'!$B:$B,$B138)*quadrillion</f>
        <v>57049000000000</v>
      </c>
      <c r="Z138" s="93">
        <f>SUMIFS('Crosswalk AEO to EPS Summary'!Z:Z,'Crosswalk AEO to EPS Summary'!$B:$B,$B138)*quadrillion</f>
        <v>55952000000000</v>
      </c>
      <c r="AA138" s="93">
        <f>SUMIFS('Crosswalk AEO to EPS Summary'!AA:AA,'Crosswalk AEO to EPS Summary'!$B:$B,$B138)*quadrillion</f>
        <v>55022000000000</v>
      </c>
      <c r="AB138" s="93">
        <f>SUMIFS('Crosswalk AEO to EPS Summary'!AB:AB,'Crosswalk AEO to EPS Summary'!$B:$B,$B138)*quadrillion</f>
        <v>54114000000000</v>
      </c>
      <c r="AC138" s="93">
        <f>SUMIFS('Crosswalk AEO to EPS Summary'!AC:AC,'Crosswalk AEO to EPS Summary'!$B:$B,$B138)*quadrillion</f>
        <v>53304000000000</v>
      </c>
      <c r="AD138" s="93">
        <f>SUMIFS('Crosswalk AEO to EPS Summary'!AD:AD,'Crosswalk AEO to EPS Summary'!$B:$B,$B138)*quadrillion</f>
        <v>52548000000000</v>
      </c>
      <c r="AE138" s="93">
        <f>SUMIFS('Crosswalk AEO to EPS Summary'!AE:AE,'Crosswalk AEO to EPS Summary'!$B:$B,$B138)*quadrillion</f>
        <v>51773000000000</v>
      </c>
      <c r="AF138" s="93">
        <f>SUMIFS('Crosswalk AEO to EPS Summary'!AF:AF,'Crosswalk AEO to EPS Summary'!$B:$B,$B138)*quadrillion</f>
        <v>50965000000000</v>
      </c>
    </row>
    <row r="139" spans="1:32" s="93" customFormat="1" x14ac:dyDescent="0.25">
      <c r="B139" s="99" t="str">
        <f t="shared" si="10"/>
        <v>commercial-heating-heat (BTU)</v>
      </c>
      <c r="C139" s="95" t="s">
        <v>737</v>
      </c>
      <c r="D139" s="95" t="s">
        <v>730</v>
      </c>
      <c r="E139" s="95" t="s">
        <v>16</v>
      </c>
      <c r="F139" s="93">
        <f>SUMIFS('Crosswalk AEO to EPS Summary'!F:F,'Crosswalk AEO to EPS Summary'!$B:$B,$B139)*quadrillion</f>
        <v>0</v>
      </c>
      <c r="G139" s="93">
        <f>SUMIFS('Crosswalk AEO to EPS Summary'!G:G,'Crosswalk AEO to EPS Summary'!$B:$B,$B139)*quadrillion</f>
        <v>0</v>
      </c>
      <c r="H139" s="93">
        <f>SUMIFS('Crosswalk AEO to EPS Summary'!H:H,'Crosswalk AEO to EPS Summary'!$B:$B,$B139)*quadrillion</f>
        <v>0</v>
      </c>
      <c r="I139" s="93">
        <f>SUMIFS('Crosswalk AEO to EPS Summary'!I:I,'Crosswalk AEO to EPS Summary'!$B:$B,$B139)*quadrillion</f>
        <v>0</v>
      </c>
      <c r="J139" s="93">
        <f>SUMIFS('Crosswalk AEO to EPS Summary'!J:J,'Crosswalk AEO to EPS Summary'!$B:$B,$B139)*quadrillion</f>
        <v>0</v>
      </c>
      <c r="K139" s="93">
        <f>SUMIFS('Crosswalk AEO to EPS Summary'!K:K,'Crosswalk AEO to EPS Summary'!$B:$B,$B139)*quadrillion</f>
        <v>0</v>
      </c>
      <c r="L139" s="93">
        <f>SUMIFS('Crosswalk AEO to EPS Summary'!L:L,'Crosswalk AEO to EPS Summary'!$B:$B,$B139)*quadrillion</f>
        <v>0</v>
      </c>
      <c r="M139" s="93">
        <f>SUMIFS('Crosswalk AEO to EPS Summary'!M:M,'Crosswalk AEO to EPS Summary'!$B:$B,$B139)*quadrillion</f>
        <v>0</v>
      </c>
      <c r="N139" s="93">
        <f>SUMIFS('Crosswalk AEO to EPS Summary'!N:N,'Crosswalk AEO to EPS Summary'!$B:$B,$B139)*quadrillion</f>
        <v>0</v>
      </c>
      <c r="O139" s="93">
        <f>SUMIFS('Crosswalk AEO to EPS Summary'!O:O,'Crosswalk AEO to EPS Summary'!$B:$B,$B139)*quadrillion</f>
        <v>0</v>
      </c>
      <c r="P139" s="93">
        <f>SUMIFS('Crosswalk AEO to EPS Summary'!P:P,'Crosswalk AEO to EPS Summary'!$B:$B,$B139)*quadrillion</f>
        <v>0</v>
      </c>
      <c r="Q139" s="93">
        <f>SUMIFS('Crosswalk AEO to EPS Summary'!Q:Q,'Crosswalk AEO to EPS Summary'!$B:$B,$B139)*quadrillion</f>
        <v>0</v>
      </c>
      <c r="R139" s="93">
        <f>SUMIFS('Crosswalk AEO to EPS Summary'!R:R,'Crosswalk AEO to EPS Summary'!$B:$B,$B139)*quadrillion</f>
        <v>0</v>
      </c>
      <c r="S139" s="93">
        <f>SUMIFS('Crosswalk AEO to EPS Summary'!S:S,'Crosswalk AEO to EPS Summary'!$B:$B,$B139)*quadrillion</f>
        <v>0</v>
      </c>
      <c r="T139" s="93">
        <f>SUMIFS('Crosswalk AEO to EPS Summary'!T:T,'Crosswalk AEO to EPS Summary'!$B:$B,$B139)*quadrillion</f>
        <v>0</v>
      </c>
      <c r="U139" s="93">
        <f>SUMIFS('Crosswalk AEO to EPS Summary'!U:U,'Crosswalk AEO to EPS Summary'!$B:$B,$B139)*quadrillion</f>
        <v>0</v>
      </c>
      <c r="V139" s="93">
        <f>SUMIFS('Crosswalk AEO to EPS Summary'!V:V,'Crosswalk AEO to EPS Summary'!$B:$B,$B139)*quadrillion</f>
        <v>0</v>
      </c>
      <c r="W139" s="93">
        <f>SUMIFS('Crosswalk AEO to EPS Summary'!W:W,'Crosswalk AEO to EPS Summary'!$B:$B,$B139)*quadrillion</f>
        <v>0</v>
      </c>
      <c r="X139" s="93">
        <f>SUMIFS('Crosswalk AEO to EPS Summary'!X:X,'Crosswalk AEO to EPS Summary'!$B:$B,$B139)*quadrillion</f>
        <v>0</v>
      </c>
      <c r="Y139" s="93">
        <f>SUMIFS('Crosswalk AEO to EPS Summary'!Y:Y,'Crosswalk AEO to EPS Summary'!$B:$B,$B139)*quadrillion</f>
        <v>0</v>
      </c>
      <c r="Z139" s="93">
        <f>SUMIFS('Crosswalk AEO to EPS Summary'!Z:Z,'Crosswalk AEO to EPS Summary'!$B:$B,$B139)*quadrillion</f>
        <v>0</v>
      </c>
      <c r="AA139" s="93">
        <f>SUMIFS('Crosswalk AEO to EPS Summary'!AA:AA,'Crosswalk AEO to EPS Summary'!$B:$B,$B139)*quadrillion</f>
        <v>0</v>
      </c>
      <c r="AB139" s="93">
        <f>SUMIFS('Crosswalk AEO to EPS Summary'!AB:AB,'Crosswalk AEO to EPS Summary'!$B:$B,$B139)*quadrillion</f>
        <v>0</v>
      </c>
      <c r="AC139" s="93">
        <f>SUMIFS('Crosswalk AEO to EPS Summary'!AC:AC,'Crosswalk AEO to EPS Summary'!$B:$B,$B139)*quadrillion</f>
        <v>0</v>
      </c>
      <c r="AD139" s="93">
        <f>SUMIFS('Crosswalk AEO to EPS Summary'!AD:AD,'Crosswalk AEO to EPS Summary'!$B:$B,$B139)*quadrillion</f>
        <v>0</v>
      </c>
      <c r="AE139" s="93">
        <f>SUMIFS('Crosswalk AEO to EPS Summary'!AE:AE,'Crosswalk AEO to EPS Summary'!$B:$B,$B139)*quadrillion</f>
        <v>0</v>
      </c>
      <c r="AF139" s="93">
        <f>SUMIFS('Crosswalk AEO to EPS Summary'!AF:AF,'Crosswalk AEO to EPS Summary'!$B:$B,$B139)*quadrillion</f>
        <v>0</v>
      </c>
    </row>
    <row r="140" spans="1:32" s="93" customFormat="1" x14ac:dyDescent="0.25">
      <c r="B140" s="99" t="str">
        <f t="shared" si="10"/>
        <v>commercial-heating-biomass (BTU)</v>
      </c>
      <c r="C140" s="95" t="s">
        <v>737</v>
      </c>
      <c r="D140" s="95" t="s">
        <v>730</v>
      </c>
      <c r="E140" s="95" t="s">
        <v>73</v>
      </c>
      <c r="F140" s="93">
        <f>SUMIFS('Crosswalk AEO to EPS Summary'!F:F,'Crosswalk AEO to EPS Summary'!$B:$B,$B140)*quadrillion</f>
        <v>158104000000000</v>
      </c>
      <c r="G140" s="93">
        <f>SUMIFS('Crosswalk AEO to EPS Summary'!G:G,'Crosswalk AEO to EPS Summary'!$B:$B,$B140)*quadrillion</f>
        <v>158104000000000</v>
      </c>
      <c r="H140" s="93">
        <f>SUMIFS('Crosswalk AEO to EPS Summary'!H:H,'Crosswalk AEO to EPS Summary'!$B:$B,$B140)*quadrillion</f>
        <v>158104000000000</v>
      </c>
      <c r="I140" s="93">
        <f>SUMIFS('Crosswalk AEO to EPS Summary'!I:I,'Crosswalk AEO to EPS Summary'!$B:$B,$B140)*quadrillion</f>
        <v>158104000000000</v>
      </c>
      <c r="J140" s="93">
        <f>SUMIFS('Crosswalk AEO to EPS Summary'!J:J,'Crosswalk AEO to EPS Summary'!$B:$B,$B140)*quadrillion</f>
        <v>158104000000000</v>
      </c>
      <c r="K140" s="93">
        <f>SUMIFS('Crosswalk AEO to EPS Summary'!K:K,'Crosswalk AEO to EPS Summary'!$B:$B,$B140)*quadrillion</f>
        <v>158104000000000</v>
      </c>
      <c r="L140" s="93">
        <f>SUMIFS('Crosswalk AEO to EPS Summary'!L:L,'Crosswalk AEO to EPS Summary'!$B:$B,$B140)*quadrillion</f>
        <v>158104000000000</v>
      </c>
      <c r="M140" s="93">
        <f>SUMIFS('Crosswalk AEO to EPS Summary'!M:M,'Crosswalk AEO to EPS Summary'!$B:$B,$B140)*quadrillion</f>
        <v>158104000000000</v>
      </c>
      <c r="N140" s="93">
        <f>SUMIFS('Crosswalk AEO to EPS Summary'!N:N,'Crosswalk AEO to EPS Summary'!$B:$B,$B140)*quadrillion</f>
        <v>158104000000000</v>
      </c>
      <c r="O140" s="93">
        <f>SUMIFS('Crosswalk AEO to EPS Summary'!O:O,'Crosswalk AEO to EPS Summary'!$B:$B,$B140)*quadrillion</f>
        <v>158104000000000</v>
      </c>
      <c r="P140" s="93">
        <f>SUMIFS('Crosswalk AEO to EPS Summary'!P:P,'Crosswalk AEO to EPS Summary'!$B:$B,$B140)*quadrillion</f>
        <v>158104000000000</v>
      </c>
      <c r="Q140" s="93">
        <f>SUMIFS('Crosswalk AEO to EPS Summary'!Q:Q,'Crosswalk AEO to EPS Summary'!$B:$B,$B140)*quadrillion</f>
        <v>158104000000000</v>
      </c>
      <c r="R140" s="93">
        <f>SUMIFS('Crosswalk AEO to EPS Summary'!R:R,'Crosswalk AEO to EPS Summary'!$B:$B,$B140)*quadrillion</f>
        <v>158104000000000</v>
      </c>
      <c r="S140" s="93">
        <f>SUMIFS('Crosswalk AEO to EPS Summary'!S:S,'Crosswalk AEO to EPS Summary'!$B:$B,$B140)*quadrillion</f>
        <v>158104000000000</v>
      </c>
      <c r="T140" s="93">
        <f>SUMIFS('Crosswalk AEO to EPS Summary'!T:T,'Crosswalk AEO to EPS Summary'!$B:$B,$B140)*quadrillion</f>
        <v>158104000000000</v>
      </c>
      <c r="U140" s="93">
        <f>SUMIFS('Crosswalk AEO to EPS Summary'!U:U,'Crosswalk AEO to EPS Summary'!$B:$B,$B140)*quadrillion</f>
        <v>158104000000000</v>
      </c>
      <c r="V140" s="93">
        <f>SUMIFS('Crosswalk AEO to EPS Summary'!V:V,'Crosswalk AEO to EPS Summary'!$B:$B,$B140)*quadrillion</f>
        <v>158104000000000</v>
      </c>
      <c r="W140" s="93">
        <f>SUMIFS('Crosswalk AEO to EPS Summary'!W:W,'Crosswalk AEO to EPS Summary'!$B:$B,$B140)*quadrillion</f>
        <v>158104000000000</v>
      </c>
      <c r="X140" s="93">
        <f>SUMIFS('Crosswalk AEO to EPS Summary'!X:X,'Crosswalk AEO to EPS Summary'!$B:$B,$B140)*quadrillion</f>
        <v>158104000000000</v>
      </c>
      <c r="Y140" s="93">
        <f>SUMIFS('Crosswalk AEO to EPS Summary'!Y:Y,'Crosswalk AEO to EPS Summary'!$B:$B,$B140)*quadrillion</f>
        <v>158104000000000</v>
      </c>
      <c r="Z140" s="93">
        <f>SUMIFS('Crosswalk AEO to EPS Summary'!Z:Z,'Crosswalk AEO to EPS Summary'!$B:$B,$B140)*quadrillion</f>
        <v>158104000000000</v>
      </c>
      <c r="AA140" s="93">
        <f>SUMIFS('Crosswalk AEO to EPS Summary'!AA:AA,'Crosswalk AEO to EPS Summary'!$B:$B,$B140)*quadrillion</f>
        <v>158104000000000</v>
      </c>
      <c r="AB140" s="93">
        <f>SUMIFS('Crosswalk AEO to EPS Summary'!AB:AB,'Crosswalk AEO to EPS Summary'!$B:$B,$B140)*quadrillion</f>
        <v>158104000000000</v>
      </c>
      <c r="AC140" s="93">
        <f>SUMIFS('Crosswalk AEO to EPS Summary'!AC:AC,'Crosswalk AEO to EPS Summary'!$B:$B,$B140)*quadrillion</f>
        <v>158104000000000</v>
      </c>
      <c r="AD140" s="93">
        <f>SUMIFS('Crosswalk AEO to EPS Summary'!AD:AD,'Crosswalk AEO to EPS Summary'!$B:$B,$B140)*quadrillion</f>
        <v>158104000000000</v>
      </c>
      <c r="AE140" s="93">
        <f>SUMIFS('Crosswalk AEO to EPS Summary'!AE:AE,'Crosswalk AEO to EPS Summary'!$B:$B,$B140)*quadrillion</f>
        <v>158104000000000</v>
      </c>
      <c r="AF140" s="93">
        <f>SUMIFS('Crosswalk AEO to EPS Summary'!AF:AF,'Crosswalk AEO to EPS Summary'!$B:$B,$B140)*quadrillion</f>
        <v>158104000000000</v>
      </c>
    </row>
    <row r="141" spans="1:32" s="93" customFormat="1" x14ac:dyDescent="0.25">
      <c r="B141" s="99" t="str">
        <f t="shared" si="10"/>
        <v>commercial-heating-kerosene (BTU)</v>
      </c>
      <c r="C141" s="95" t="s">
        <v>737</v>
      </c>
      <c r="D141" s="95" t="s">
        <v>730</v>
      </c>
      <c r="E141" s="95" t="s">
        <v>170</v>
      </c>
      <c r="F141" s="93">
        <v>0</v>
      </c>
      <c r="G141" s="93">
        <v>0</v>
      </c>
      <c r="H141" s="93">
        <v>0</v>
      </c>
      <c r="I141" s="93">
        <v>0</v>
      </c>
      <c r="J141" s="93">
        <v>0</v>
      </c>
      <c r="K141" s="93">
        <v>0</v>
      </c>
      <c r="L141" s="93">
        <v>0</v>
      </c>
      <c r="M141" s="93">
        <v>0</v>
      </c>
      <c r="N141" s="93">
        <v>0</v>
      </c>
      <c r="O141" s="93">
        <v>0</v>
      </c>
      <c r="P141" s="93">
        <v>0</v>
      </c>
      <c r="Q141" s="93">
        <v>0</v>
      </c>
      <c r="R141" s="93">
        <v>0</v>
      </c>
      <c r="S141" s="93">
        <v>0</v>
      </c>
      <c r="T141" s="93">
        <v>0</v>
      </c>
      <c r="U141" s="93">
        <v>0</v>
      </c>
      <c r="V141" s="93">
        <v>0</v>
      </c>
      <c r="W141" s="93">
        <v>0</v>
      </c>
      <c r="X141" s="93">
        <v>0</v>
      </c>
      <c r="Y141" s="93">
        <v>0</v>
      </c>
      <c r="Z141" s="93">
        <v>0</v>
      </c>
      <c r="AA141" s="93">
        <v>0</v>
      </c>
      <c r="AB141" s="93">
        <v>0</v>
      </c>
      <c r="AC141" s="93">
        <v>0</v>
      </c>
      <c r="AD141" s="93">
        <v>0</v>
      </c>
      <c r="AE141" s="93">
        <v>0</v>
      </c>
      <c r="AF141" s="93">
        <v>0</v>
      </c>
    </row>
    <row r="142" spans="1:32" s="93" customFormat="1" x14ac:dyDescent="0.25">
      <c r="B142" s="99" t="str">
        <f t="shared" si="10"/>
        <v>commercial-heating-heavy or residual fuel oil (BTU)</v>
      </c>
      <c r="C142" s="95" t="s">
        <v>737</v>
      </c>
      <c r="D142" s="95" t="s">
        <v>730</v>
      </c>
      <c r="E142" s="95" t="s">
        <v>171</v>
      </c>
      <c r="F142" s="93">
        <v>0</v>
      </c>
      <c r="G142" s="93">
        <v>0</v>
      </c>
      <c r="H142" s="93">
        <v>0</v>
      </c>
      <c r="I142" s="93">
        <v>0</v>
      </c>
      <c r="J142" s="93">
        <v>0</v>
      </c>
      <c r="K142" s="93">
        <v>0</v>
      </c>
      <c r="L142" s="93">
        <v>0</v>
      </c>
      <c r="M142" s="93">
        <v>0</v>
      </c>
      <c r="N142" s="93">
        <v>0</v>
      </c>
      <c r="O142" s="93">
        <v>0</v>
      </c>
      <c r="P142" s="93">
        <v>0</v>
      </c>
      <c r="Q142" s="93">
        <v>0</v>
      </c>
      <c r="R142" s="93">
        <v>0</v>
      </c>
      <c r="S142" s="93">
        <v>0</v>
      </c>
      <c r="T142" s="93">
        <v>0</v>
      </c>
      <c r="U142" s="93">
        <v>0</v>
      </c>
      <c r="V142" s="93">
        <v>0</v>
      </c>
      <c r="W142" s="93">
        <v>0</v>
      </c>
      <c r="X142" s="93">
        <v>0</v>
      </c>
      <c r="Y142" s="93">
        <v>0</v>
      </c>
      <c r="Z142" s="93">
        <v>0</v>
      </c>
      <c r="AA142" s="93">
        <v>0</v>
      </c>
      <c r="AB142" s="93">
        <v>0</v>
      </c>
      <c r="AC142" s="93">
        <v>0</v>
      </c>
      <c r="AD142" s="93">
        <v>0</v>
      </c>
      <c r="AE142" s="93">
        <v>0</v>
      </c>
      <c r="AF142" s="93">
        <v>0</v>
      </c>
    </row>
    <row r="143" spans="1:32" x14ac:dyDescent="0.25">
      <c r="B143" s="100" t="str">
        <f t="shared" si="10"/>
        <v>commercial-other-LPG propane or butane (BTU)</v>
      </c>
      <c r="C143" s="94" t="s">
        <v>737</v>
      </c>
      <c r="D143" s="94" t="s">
        <v>734</v>
      </c>
      <c r="E143" s="94" t="s">
        <v>172</v>
      </c>
      <c r="F143" s="74">
        <f>SUMIFS('Crosswalk AEO to EPS Summary'!F:F,'Crosswalk AEO to EPS Summary'!$B:$B,$B143)*(1-Fraction_coal)*quadrillion*(F138/SUM(F$138,F$177,F$190))</f>
        <v>140943680167118.59</v>
      </c>
      <c r="G143" s="74">
        <f>SUMIFS('Crosswalk AEO to EPS Summary'!G:G,'Crosswalk AEO to EPS Summary'!$B:$B,$B143)*(1-Fraction_coal)*quadrillion*(G138/SUM(G$138,G$177,G$190))</f>
        <v>148541089016017.41</v>
      </c>
      <c r="H143" s="74">
        <f>SUMIFS('Crosswalk AEO to EPS Summary'!H:H,'Crosswalk AEO to EPS Summary'!$B:$B,$B143)*(1-Fraction_coal)*quadrillion*(H138/SUM(H$138,H$177,H$190))</f>
        <v>150407054974741.56</v>
      </c>
      <c r="I143" s="74">
        <f>SUMIFS('Crosswalk AEO to EPS Summary'!I:I,'Crosswalk AEO to EPS Summary'!$B:$B,$B143)*(1-Fraction_coal)*quadrillion*(I138/SUM(I$138,I$177,I$190))</f>
        <v>151543318248944.97</v>
      </c>
      <c r="J143" s="74">
        <f>SUMIFS('Crosswalk AEO to EPS Summary'!J:J,'Crosswalk AEO to EPS Summary'!$B:$B,$B143)*(1-Fraction_coal)*quadrillion*(J138/SUM(J$138,J$177,J$190))</f>
        <v>152935155922964.69</v>
      </c>
      <c r="K143" s="74">
        <f>SUMIFS('Crosswalk AEO to EPS Summary'!K:K,'Crosswalk AEO to EPS Summary'!$B:$B,$B143)*(1-Fraction_coal)*quadrillion*(K138/SUM(K$138,K$177,K$190))</f>
        <v>153335847988825.25</v>
      </c>
      <c r="L143" s="74">
        <f>SUMIFS('Crosswalk AEO to EPS Summary'!L:L,'Crosswalk AEO to EPS Summary'!$B:$B,$B143)*(1-Fraction_coal)*quadrillion*(L138/SUM(L$138,L$177,L$190))</f>
        <v>153903575776242.84</v>
      </c>
      <c r="M143" s="74">
        <f>SUMIFS('Crosswalk AEO to EPS Summary'!M:M,'Crosswalk AEO to EPS Summary'!$B:$B,$B143)*(1-Fraction_coal)*quadrillion*(M138/SUM(M$138,M$177,M$190))</f>
        <v>154569574963541.25</v>
      </c>
      <c r="N143" s="74">
        <f>SUMIFS('Crosswalk AEO to EPS Summary'!N:N,'Crosswalk AEO to EPS Summary'!$B:$B,$B143)*(1-Fraction_coal)*quadrillion*(N138/SUM(N$138,N$177,N$190))</f>
        <v>155252436103711.97</v>
      </c>
      <c r="O143" s="74">
        <f>SUMIFS('Crosswalk AEO to EPS Summary'!O:O,'Crosswalk AEO to EPS Summary'!$B:$B,$B143)*(1-Fraction_coal)*quadrillion*(O138/SUM(O$138,O$177,O$190))</f>
        <v>155776380269595.63</v>
      </c>
      <c r="P143" s="74">
        <f>SUMIFS('Crosswalk AEO to EPS Summary'!P:P,'Crosswalk AEO to EPS Summary'!$B:$B,$B143)*(1-Fraction_coal)*quadrillion*(P138/SUM(P$138,P$177,P$190))</f>
        <v>156401615337397.94</v>
      </c>
      <c r="Q143" s="74">
        <f>SUMIFS('Crosswalk AEO to EPS Summary'!Q:Q,'Crosswalk AEO to EPS Summary'!$B:$B,$B143)*(1-Fraction_coal)*quadrillion*(Q138/SUM(Q$138,Q$177,Q$190))</f>
        <v>156950940376940.41</v>
      </c>
      <c r="R143" s="74">
        <f>SUMIFS('Crosswalk AEO to EPS Summary'!R:R,'Crosswalk AEO to EPS Summary'!$B:$B,$B143)*(1-Fraction_coal)*quadrillion*(R138/SUM(R$138,R$177,R$190))</f>
        <v>157319130937215.63</v>
      </c>
      <c r="S143" s="74">
        <f>SUMIFS('Crosswalk AEO to EPS Summary'!S:S,'Crosswalk AEO to EPS Summary'!$B:$B,$B143)*(1-Fraction_coal)*quadrillion*(S138/SUM(S$138,S$177,S$190))</f>
        <v>157581397087550.53</v>
      </c>
      <c r="T143" s="74">
        <f>SUMIFS('Crosswalk AEO to EPS Summary'!T:T,'Crosswalk AEO to EPS Summary'!$B:$B,$B143)*(1-Fraction_coal)*quadrillion*(T138/SUM(T$138,T$177,T$190))</f>
        <v>157649093730521.41</v>
      </c>
      <c r="U143" s="74">
        <f>SUMIFS('Crosswalk AEO to EPS Summary'!U:U,'Crosswalk AEO to EPS Summary'!$B:$B,$B143)*(1-Fraction_coal)*quadrillion*(U138/SUM(U$138,U$177,U$190))</f>
        <v>157783604766449.56</v>
      </c>
      <c r="V143" s="74">
        <f>SUMIFS('Crosswalk AEO to EPS Summary'!V:V,'Crosswalk AEO to EPS Summary'!$B:$B,$B143)*(1-Fraction_coal)*quadrillion*(V138/SUM(V$138,V$177,V$190))</f>
        <v>157801544173977.84</v>
      </c>
      <c r="W143" s="74">
        <f>SUMIFS('Crosswalk AEO to EPS Summary'!W:W,'Crosswalk AEO to EPS Summary'!$B:$B,$B143)*(1-Fraction_coal)*quadrillion*(W138/SUM(W$138,W$177,W$190))</f>
        <v>157760705277857.47</v>
      </c>
      <c r="X143" s="74">
        <f>SUMIFS('Crosswalk AEO to EPS Summary'!X:X,'Crosswalk AEO to EPS Summary'!$B:$B,$B143)*(1-Fraction_coal)*quadrillion*(X138/SUM(X$138,X$177,X$190))</f>
        <v>157731256839117.31</v>
      </c>
      <c r="Y143" s="74">
        <f>SUMIFS('Crosswalk AEO to EPS Summary'!Y:Y,'Crosswalk AEO to EPS Summary'!$B:$B,$B143)*(1-Fraction_coal)*quadrillion*(Y138/SUM(Y$138,Y$177,Y$190))</f>
        <v>157634229783997.44</v>
      </c>
      <c r="Z143" s="74">
        <f>SUMIFS('Crosswalk AEO to EPS Summary'!Z:Z,'Crosswalk AEO to EPS Summary'!$B:$B,$B143)*(1-Fraction_coal)*quadrillion*(Z138/SUM(Z$138,Z$177,Z$190))</f>
        <v>157501281119592.53</v>
      </c>
      <c r="AA143" s="74">
        <f>SUMIFS('Crosswalk AEO to EPS Summary'!AA:AA,'Crosswalk AEO to EPS Summary'!$B:$B,$B143)*(1-Fraction_coal)*quadrillion*(AA138/SUM(AA$138,AA$177,AA$190))</f>
        <v>157384452244752.94</v>
      </c>
      <c r="AB143" s="74">
        <f>SUMIFS('Crosswalk AEO to EPS Summary'!AB:AB,'Crosswalk AEO to EPS Summary'!$B:$B,$B143)*(1-Fraction_coal)*quadrillion*(AB138/SUM(AB$138,AB$177,AB$190))</f>
        <v>157197956885196.09</v>
      </c>
      <c r="AC143" s="74">
        <f>SUMIFS('Crosswalk AEO to EPS Summary'!AC:AC,'Crosswalk AEO to EPS Summary'!$B:$B,$B143)*(1-Fraction_coal)*quadrillion*(AC138/SUM(AC$138,AC$177,AC$190))</f>
        <v>157063662766363.06</v>
      </c>
      <c r="AD143" s="74">
        <f>SUMIFS('Crosswalk AEO to EPS Summary'!AD:AD,'Crosswalk AEO to EPS Summary'!$B:$B,$B143)*(1-Fraction_coal)*quadrillion*(AD138/SUM(AD$138,AD$177,AD$190))</f>
        <v>156920231279568.09</v>
      </c>
      <c r="AE143" s="74">
        <f>SUMIFS('Crosswalk AEO to EPS Summary'!AE:AE,'Crosswalk AEO to EPS Summary'!$B:$B,$B143)*(1-Fraction_coal)*quadrillion*(AE138/SUM(AE$138,AE$177,AE$190))</f>
        <v>156796284836362.06</v>
      </c>
      <c r="AF143" s="74">
        <f>SUMIFS('Crosswalk AEO to EPS Summary'!AF:AF,'Crosswalk AEO to EPS Summary'!$B:$B,$B143)*(1-Fraction_coal)*quadrillion*(AF138/SUM(AF$138,AF$177,AF$190))</f>
        <v>156613874259820.72</v>
      </c>
    </row>
    <row r="144" spans="1:32" x14ac:dyDescent="0.25">
      <c r="B144" s="100" t="str">
        <f t="shared" si="10"/>
        <v>commercial-heating-hydrogen (BTU)</v>
      </c>
      <c r="C144" s="94" t="s">
        <v>737</v>
      </c>
      <c r="D144" s="94" t="s">
        <v>730</v>
      </c>
      <c r="E144" s="94" t="s">
        <v>173</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25">
      <c r="B146" s="1" t="s">
        <v>187</v>
      </c>
    </row>
    <row r="147" spans="2:32" s="93" customFormat="1" x14ac:dyDescent="0.25">
      <c r="B147" s="95"/>
      <c r="C147" s="95"/>
      <c r="D147" s="95"/>
      <c r="E147" s="95" t="s">
        <v>10</v>
      </c>
      <c r="F147" s="86">
        <v>2024</v>
      </c>
      <c r="G147" s="86">
        <v>2025</v>
      </c>
      <c r="H147" s="86">
        <v>2026</v>
      </c>
      <c r="I147" s="86">
        <v>2027</v>
      </c>
      <c r="J147" s="86">
        <v>2028</v>
      </c>
      <c r="K147" s="86">
        <v>2029</v>
      </c>
      <c r="L147" s="86">
        <v>2030</v>
      </c>
      <c r="M147" s="86">
        <v>2031</v>
      </c>
      <c r="N147" s="86">
        <v>2032</v>
      </c>
      <c r="O147" s="86">
        <v>2033</v>
      </c>
      <c r="P147" s="86">
        <v>2034</v>
      </c>
      <c r="Q147" s="86">
        <v>2035</v>
      </c>
      <c r="R147" s="86">
        <v>2036</v>
      </c>
      <c r="S147" s="86">
        <v>2037</v>
      </c>
      <c r="T147" s="86">
        <v>2038</v>
      </c>
      <c r="U147" s="86">
        <v>2039</v>
      </c>
      <c r="V147" s="86">
        <v>2040</v>
      </c>
      <c r="W147" s="86">
        <v>2041</v>
      </c>
      <c r="X147" s="86">
        <v>2042</v>
      </c>
      <c r="Y147" s="86">
        <v>2043</v>
      </c>
      <c r="Z147" s="86">
        <v>2044</v>
      </c>
      <c r="AA147" s="86">
        <v>2045</v>
      </c>
      <c r="AB147" s="86">
        <v>2046</v>
      </c>
      <c r="AC147" s="86">
        <v>2047</v>
      </c>
      <c r="AD147" s="86">
        <v>2048</v>
      </c>
      <c r="AE147" s="86">
        <v>2049</v>
      </c>
      <c r="AF147" s="86">
        <v>2050</v>
      </c>
    </row>
    <row r="148" spans="2:32" s="93" customFormat="1" x14ac:dyDescent="0.25">
      <c r="B148" s="99" t="str">
        <f>C148&amp;"-"&amp;D148&amp;"-"&amp;E148</f>
        <v>commercial-cooling-electricity (BTU)</v>
      </c>
      <c r="C148" s="95" t="s">
        <v>737</v>
      </c>
      <c r="D148" s="95" t="s">
        <v>731</v>
      </c>
      <c r="E148" s="95" t="s">
        <v>11</v>
      </c>
      <c r="F148" s="93">
        <f>SUMIFS('Crosswalk AEO to EPS Summary'!F:F,'Crosswalk AEO to EPS Summary'!$B:$B,$B148)*quadrillion</f>
        <v>1317524000000000.3</v>
      </c>
      <c r="G148" s="93">
        <f>SUMIFS('Crosswalk AEO to EPS Summary'!G:G,'Crosswalk AEO to EPS Summary'!$B:$B,$B148)*quadrillion</f>
        <v>1312107000000000.3</v>
      </c>
      <c r="H148" s="93">
        <f>SUMIFS('Crosswalk AEO to EPS Summary'!H:H,'Crosswalk AEO to EPS Summary'!$B:$B,$B148)*quadrillion</f>
        <v>1340326999999999.8</v>
      </c>
      <c r="I148" s="93">
        <f>SUMIFS('Crosswalk AEO to EPS Summary'!I:I,'Crosswalk AEO to EPS Summary'!$B:$B,$B148)*quadrillion</f>
        <v>1376103000000000</v>
      </c>
      <c r="J148" s="93">
        <f>SUMIFS('Crosswalk AEO to EPS Summary'!J:J,'Crosswalk AEO to EPS Summary'!$B:$B,$B148)*quadrillion</f>
        <v>1405673000000000</v>
      </c>
      <c r="K148" s="93">
        <f>SUMIFS('Crosswalk AEO to EPS Summary'!K:K,'Crosswalk AEO to EPS Summary'!$B:$B,$B148)*quadrillion</f>
        <v>1425914000000000.3</v>
      </c>
      <c r="L148" s="93">
        <f>SUMIFS('Crosswalk AEO to EPS Summary'!L:L,'Crosswalk AEO to EPS Summary'!$B:$B,$B148)*quadrillion</f>
        <v>1438212000000000</v>
      </c>
      <c r="M148" s="93">
        <f>SUMIFS('Crosswalk AEO to EPS Summary'!M:M,'Crosswalk AEO to EPS Summary'!$B:$B,$B148)*quadrillion</f>
        <v>1449701000000000.3</v>
      </c>
      <c r="N148" s="93">
        <f>SUMIFS('Crosswalk AEO to EPS Summary'!N:N,'Crosswalk AEO to EPS Summary'!$B:$B,$B148)*quadrillion</f>
        <v>1462154000000000</v>
      </c>
      <c r="O148" s="93">
        <f>SUMIFS('Crosswalk AEO to EPS Summary'!O:O,'Crosswalk AEO to EPS Summary'!$B:$B,$B148)*quadrillion</f>
        <v>1473253999999999.8</v>
      </c>
      <c r="P148" s="93">
        <f>SUMIFS('Crosswalk AEO to EPS Summary'!P:P,'Crosswalk AEO to EPS Summary'!$B:$B,$B148)*quadrillion</f>
        <v>1486947000000000</v>
      </c>
      <c r="Q148" s="93">
        <f>SUMIFS('Crosswalk AEO to EPS Summary'!Q:Q,'Crosswalk AEO to EPS Summary'!$B:$B,$B148)*quadrillion</f>
        <v>1504819000000000</v>
      </c>
      <c r="R148" s="93">
        <f>SUMIFS('Crosswalk AEO to EPS Summary'!R:R,'Crosswalk AEO to EPS Summary'!$B:$B,$B148)*quadrillion</f>
        <v>1526266000000000</v>
      </c>
      <c r="S148" s="93">
        <f>SUMIFS('Crosswalk AEO to EPS Summary'!S:S,'Crosswalk AEO to EPS Summary'!$B:$B,$B148)*quadrillion</f>
        <v>1548886000000000</v>
      </c>
      <c r="T148" s="93">
        <f>SUMIFS('Crosswalk AEO to EPS Summary'!T:T,'Crosswalk AEO to EPS Summary'!$B:$B,$B148)*quadrillion</f>
        <v>1569200000000000</v>
      </c>
      <c r="U148" s="93">
        <f>SUMIFS('Crosswalk AEO to EPS Summary'!U:U,'Crosswalk AEO to EPS Summary'!$B:$B,$B148)*quadrillion</f>
        <v>1589879000000000</v>
      </c>
      <c r="V148" s="93">
        <f>SUMIFS('Crosswalk AEO to EPS Summary'!V:V,'Crosswalk AEO to EPS Summary'!$B:$B,$B148)*quadrillion</f>
        <v>1610607000000000</v>
      </c>
      <c r="W148" s="93">
        <f>SUMIFS('Crosswalk AEO to EPS Summary'!W:W,'Crosswalk AEO to EPS Summary'!$B:$B,$B148)*quadrillion</f>
        <v>1631832000000000.3</v>
      </c>
      <c r="X148" s="93">
        <f>SUMIFS('Crosswalk AEO to EPS Summary'!X:X,'Crosswalk AEO to EPS Summary'!$B:$B,$B148)*quadrillion</f>
        <v>1652393000000000</v>
      </c>
      <c r="Y148" s="93">
        <f>SUMIFS('Crosswalk AEO to EPS Summary'!Y:Y,'Crosswalk AEO to EPS Summary'!$B:$B,$B148)*quadrillion</f>
        <v>1673518000000000</v>
      </c>
      <c r="Z148" s="93">
        <f>SUMIFS('Crosswalk AEO to EPS Summary'!Z:Z,'Crosswalk AEO to EPS Summary'!$B:$B,$B148)*quadrillion</f>
        <v>1694502000000000</v>
      </c>
      <c r="AA148" s="93">
        <f>SUMIFS('Crosswalk AEO to EPS Summary'!AA:AA,'Crosswalk AEO to EPS Summary'!$B:$B,$B148)*quadrillion</f>
        <v>1715272999999999.8</v>
      </c>
      <c r="AB148" s="93">
        <f>SUMIFS('Crosswalk AEO to EPS Summary'!AB:AB,'Crosswalk AEO to EPS Summary'!$B:$B,$B148)*quadrillion</f>
        <v>1735975000000000</v>
      </c>
      <c r="AC148" s="93">
        <f>SUMIFS('Crosswalk AEO to EPS Summary'!AC:AC,'Crosswalk AEO to EPS Summary'!$B:$B,$B148)*quadrillion</f>
        <v>1756772000000000</v>
      </c>
      <c r="AD148" s="93">
        <f>SUMIFS('Crosswalk AEO to EPS Summary'!AD:AD,'Crosswalk AEO to EPS Summary'!$B:$B,$B148)*quadrillion</f>
        <v>1777923000000000</v>
      </c>
      <c r="AE148" s="93">
        <f>SUMIFS('Crosswalk AEO to EPS Summary'!AE:AE,'Crosswalk AEO to EPS Summary'!$B:$B,$B148)*quadrillion</f>
        <v>1799659000000000</v>
      </c>
      <c r="AF148" s="93">
        <f>SUMIFS('Crosswalk AEO to EPS Summary'!AF:AF,'Crosswalk AEO to EPS Summary'!$B:$B,$B148)*quadrillion</f>
        <v>1821683999999999.8</v>
      </c>
    </row>
    <row r="149" spans="2:32" s="93" customFormat="1" x14ac:dyDescent="0.25">
      <c r="B149" s="99" t="str">
        <f t="shared" ref="B149:B157" si="11">C149&amp;"-"&amp;D149&amp;"-"&amp;E149</f>
        <v>commercial-cooling-coal (BTU)</v>
      </c>
      <c r="C149" s="95" t="s">
        <v>737</v>
      </c>
      <c r="D149" s="95" t="s">
        <v>731</v>
      </c>
      <c r="E149" s="95" t="s">
        <v>12</v>
      </c>
      <c r="F149" s="93">
        <v>0</v>
      </c>
      <c r="G149" s="93">
        <v>0</v>
      </c>
      <c r="H149" s="93">
        <v>0</v>
      </c>
      <c r="I149" s="93">
        <v>0</v>
      </c>
      <c r="J149" s="93">
        <v>0</v>
      </c>
      <c r="K149" s="93">
        <v>0</v>
      </c>
      <c r="L149" s="93">
        <v>0</v>
      </c>
      <c r="M149" s="93">
        <v>0</v>
      </c>
      <c r="N149" s="93">
        <v>0</v>
      </c>
      <c r="O149" s="93">
        <v>0</v>
      </c>
      <c r="P149" s="93">
        <v>0</v>
      </c>
      <c r="Q149" s="93">
        <v>0</v>
      </c>
      <c r="R149" s="93">
        <v>0</v>
      </c>
      <c r="S149" s="93">
        <v>0</v>
      </c>
      <c r="T149" s="93">
        <v>0</v>
      </c>
      <c r="U149" s="93">
        <v>0</v>
      </c>
      <c r="V149" s="93">
        <v>0</v>
      </c>
      <c r="W149" s="93">
        <v>0</v>
      </c>
      <c r="X149" s="93">
        <v>0</v>
      </c>
      <c r="Y149" s="93">
        <v>0</v>
      </c>
      <c r="Z149" s="93">
        <v>0</v>
      </c>
      <c r="AA149" s="93">
        <v>0</v>
      </c>
      <c r="AB149" s="93">
        <v>0</v>
      </c>
      <c r="AC149" s="93">
        <v>0</v>
      </c>
      <c r="AD149" s="93">
        <v>0</v>
      </c>
      <c r="AE149" s="93">
        <v>0</v>
      </c>
      <c r="AF149" s="93">
        <v>0</v>
      </c>
    </row>
    <row r="150" spans="2:32" s="93" customFormat="1" x14ac:dyDescent="0.25">
      <c r="B150" s="99" t="str">
        <f t="shared" si="11"/>
        <v>commercial-cooling-natural gas (BTU)</v>
      </c>
      <c r="C150" s="95" t="s">
        <v>737</v>
      </c>
      <c r="D150" s="95" t="s">
        <v>731</v>
      </c>
      <c r="E150" s="95" t="s">
        <v>13</v>
      </c>
      <c r="F150" s="93">
        <f>SUMIFS('Crosswalk AEO to EPS Summary'!F:F,'Crosswalk AEO to EPS Summary'!$B:$B,$B150)*quadrillion</f>
        <v>18320000000000</v>
      </c>
      <c r="G150" s="93">
        <f>SUMIFS('Crosswalk AEO to EPS Summary'!G:G,'Crosswalk AEO to EPS Summary'!$B:$B,$B150)*quadrillion</f>
        <v>17620000000000</v>
      </c>
      <c r="H150" s="93">
        <f>SUMIFS('Crosswalk AEO to EPS Summary'!H:H,'Crosswalk AEO to EPS Summary'!$B:$B,$B150)*quadrillion</f>
        <v>17856000000000</v>
      </c>
      <c r="I150" s="93">
        <f>SUMIFS('Crosswalk AEO to EPS Summary'!I:I,'Crosswalk AEO to EPS Summary'!$B:$B,$B150)*quadrillion</f>
        <v>17985000000000</v>
      </c>
      <c r="J150" s="93">
        <f>SUMIFS('Crosswalk AEO to EPS Summary'!J:J,'Crosswalk AEO to EPS Summary'!$B:$B,$B150)*quadrillion</f>
        <v>18026000000000</v>
      </c>
      <c r="K150" s="93">
        <f>SUMIFS('Crosswalk AEO to EPS Summary'!K:K,'Crosswalk AEO to EPS Summary'!$B:$B,$B150)*quadrillion</f>
        <v>18042000000000</v>
      </c>
      <c r="L150" s="93">
        <f>SUMIFS('Crosswalk AEO to EPS Summary'!L:L,'Crosswalk AEO to EPS Summary'!$B:$B,$B150)*quadrillion</f>
        <v>18032000000000</v>
      </c>
      <c r="M150" s="93">
        <f>SUMIFS('Crosswalk AEO to EPS Summary'!M:M,'Crosswalk AEO to EPS Summary'!$B:$B,$B150)*quadrillion</f>
        <v>18032000000000</v>
      </c>
      <c r="N150" s="93">
        <f>SUMIFS('Crosswalk AEO to EPS Summary'!N:N,'Crosswalk AEO to EPS Summary'!$B:$B,$B150)*quadrillion</f>
        <v>17987000000000</v>
      </c>
      <c r="O150" s="93">
        <f>SUMIFS('Crosswalk AEO to EPS Summary'!O:O,'Crosswalk AEO to EPS Summary'!$B:$B,$B150)*quadrillion</f>
        <v>17929000000000</v>
      </c>
      <c r="P150" s="93">
        <f>SUMIFS('Crosswalk AEO to EPS Summary'!P:P,'Crosswalk AEO to EPS Summary'!$B:$B,$B150)*quadrillion</f>
        <v>17896000000000</v>
      </c>
      <c r="Q150" s="93">
        <f>SUMIFS('Crosswalk AEO to EPS Summary'!Q:Q,'Crosswalk AEO to EPS Summary'!$B:$B,$B150)*quadrillion</f>
        <v>17929000000000</v>
      </c>
      <c r="R150" s="93">
        <f>SUMIFS('Crosswalk AEO to EPS Summary'!R:R,'Crosswalk AEO to EPS Summary'!$B:$B,$B150)*quadrillion</f>
        <v>18024000000000</v>
      </c>
      <c r="S150" s="93">
        <f>SUMIFS('Crosswalk AEO to EPS Summary'!S:S,'Crosswalk AEO to EPS Summary'!$B:$B,$B150)*quadrillion</f>
        <v>18160000000000</v>
      </c>
      <c r="T150" s="93">
        <f>SUMIFS('Crosswalk AEO to EPS Summary'!T:T,'Crosswalk AEO to EPS Summary'!$B:$B,$B150)*quadrillion</f>
        <v>18310000000000</v>
      </c>
      <c r="U150" s="93">
        <f>SUMIFS('Crosswalk AEO to EPS Summary'!U:U,'Crosswalk AEO to EPS Summary'!$B:$B,$B150)*quadrillion</f>
        <v>18494000000000</v>
      </c>
      <c r="V150" s="93">
        <f>SUMIFS('Crosswalk AEO to EPS Summary'!V:V,'Crosswalk AEO to EPS Summary'!$B:$B,$B150)*quadrillion</f>
        <v>18663000000000</v>
      </c>
      <c r="W150" s="93">
        <f>SUMIFS('Crosswalk AEO to EPS Summary'!W:W,'Crosswalk AEO to EPS Summary'!$B:$B,$B150)*quadrillion</f>
        <v>18817000000000</v>
      </c>
      <c r="X150" s="93">
        <f>SUMIFS('Crosswalk AEO to EPS Summary'!X:X,'Crosswalk AEO to EPS Summary'!$B:$B,$B150)*quadrillion</f>
        <v>18945000000000</v>
      </c>
      <c r="Y150" s="93">
        <f>SUMIFS('Crosswalk AEO to EPS Summary'!Y:Y,'Crosswalk AEO to EPS Summary'!$B:$B,$B150)*quadrillion</f>
        <v>19081000000000</v>
      </c>
      <c r="Z150" s="93">
        <f>SUMIFS('Crosswalk AEO to EPS Summary'!Z:Z,'Crosswalk AEO to EPS Summary'!$B:$B,$B150)*quadrillion</f>
        <v>19247000000000</v>
      </c>
      <c r="AA150" s="93">
        <f>SUMIFS('Crosswalk AEO to EPS Summary'!AA:AA,'Crosswalk AEO to EPS Summary'!$B:$B,$B150)*quadrillion</f>
        <v>19418000000000</v>
      </c>
      <c r="AB150" s="93">
        <f>SUMIFS('Crosswalk AEO to EPS Summary'!AB:AB,'Crosswalk AEO to EPS Summary'!$B:$B,$B150)*quadrillion</f>
        <v>19581000000000</v>
      </c>
      <c r="AC150" s="93">
        <f>SUMIFS('Crosswalk AEO to EPS Summary'!AC:AC,'Crosswalk AEO to EPS Summary'!$B:$B,$B150)*quadrillion</f>
        <v>19763000000000</v>
      </c>
      <c r="AD150" s="93">
        <f>SUMIFS('Crosswalk AEO to EPS Summary'!AD:AD,'Crosswalk AEO to EPS Summary'!$B:$B,$B150)*quadrillion</f>
        <v>19966000000000</v>
      </c>
      <c r="AE150" s="93">
        <f>SUMIFS('Crosswalk AEO to EPS Summary'!AE:AE,'Crosswalk AEO to EPS Summary'!$B:$B,$B150)*quadrillion</f>
        <v>20156000000000</v>
      </c>
      <c r="AF150" s="93">
        <f>SUMIFS('Crosswalk AEO to EPS Summary'!AF:AF,'Crosswalk AEO to EPS Summary'!$B:$B,$B150)*quadrillion</f>
        <v>20358000000000</v>
      </c>
    </row>
    <row r="151" spans="2:32" s="93" customFormat="1" x14ac:dyDescent="0.25">
      <c r="B151" s="99" t="str">
        <f t="shared" si="11"/>
        <v>commercial-cooling-petroleum diesel (BTU)</v>
      </c>
      <c r="C151" s="95" t="s">
        <v>737</v>
      </c>
      <c r="D151" s="95" t="s">
        <v>731</v>
      </c>
      <c r="E151" s="95" t="s">
        <v>14</v>
      </c>
      <c r="F151" s="93">
        <v>0</v>
      </c>
      <c r="G151" s="93">
        <v>0</v>
      </c>
      <c r="H151" s="93">
        <v>0</v>
      </c>
      <c r="I151" s="93">
        <v>0</v>
      </c>
      <c r="J151" s="93">
        <v>0</v>
      </c>
      <c r="K151" s="93">
        <v>0</v>
      </c>
      <c r="L151" s="93">
        <v>0</v>
      </c>
      <c r="M151" s="93">
        <v>0</v>
      </c>
      <c r="N151" s="93">
        <v>0</v>
      </c>
      <c r="O151" s="93">
        <v>0</v>
      </c>
      <c r="P151" s="93">
        <v>0</v>
      </c>
      <c r="Q151" s="93">
        <v>0</v>
      </c>
      <c r="R151" s="93">
        <v>0</v>
      </c>
      <c r="S151" s="93">
        <v>0</v>
      </c>
      <c r="T151" s="93">
        <v>0</v>
      </c>
      <c r="U151" s="93">
        <v>0</v>
      </c>
      <c r="V151" s="93">
        <v>0</v>
      </c>
      <c r="W151" s="93">
        <v>0</v>
      </c>
      <c r="X151" s="93">
        <v>0</v>
      </c>
      <c r="Y151" s="93">
        <v>0</v>
      </c>
      <c r="Z151" s="93">
        <v>0</v>
      </c>
      <c r="AA151" s="93">
        <v>0</v>
      </c>
      <c r="AB151" s="93">
        <v>0</v>
      </c>
      <c r="AC151" s="93">
        <v>0</v>
      </c>
      <c r="AD151" s="93">
        <v>0</v>
      </c>
      <c r="AE151" s="93">
        <v>0</v>
      </c>
      <c r="AF151" s="93">
        <v>0</v>
      </c>
    </row>
    <row r="152" spans="2:32" s="93" customFormat="1" x14ac:dyDescent="0.25">
      <c r="B152" s="99" t="str">
        <f t="shared" si="11"/>
        <v>commercial-cooling-heat (BTU)</v>
      </c>
      <c r="C152" s="95" t="s">
        <v>737</v>
      </c>
      <c r="D152" s="95" t="s">
        <v>731</v>
      </c>
      <c r="E152" s="95" t="s">
        <v>16</v>
      </c>
      <c r="F152" s="93">
        <v>0</v>
      </c>
      <c r="G152" s="93">
        <v>0</v>
      </c>
      <c r="H152" s="93">
        <v>0</v>
      </c>
      <c r="I152" s="93">
        <v>0</v>
      </c>
      <c r="J152" s="93">
        <v>0</v>
      </c>
      <c r="K152" s="93">
        <v>0</v>
      </c>
      <c r="L152" s="93">
        <v>0</v>
      </c>
      <c r="M152" s="93">
        <v>0</v>
      </c>
      <c r="N152" s="93">
        <v>0</v>
      </c>
      <c r="O152" s="93">
        <v>0</v>
      </c>
      <c r="P152" s="93">
        <v>0</v>
      </c>
      <c r="Q152" s="93">
        <v>0</v>
      </c>
      <c r="R152" s="93">
        <v>0</v>
      </c>
      <c r="S152" s="93">
        <v>0</v>
      </c>
      <c r="T152" s="93">
        <v>0</v>
      </c>
      <c r="U152" s="93">
        <v>0</v>
      </c>
      <c r="V152" s="93">
        <v>0</v>
      </c>
      <c r="W152" s="93">
        <v>0</v>
      </c>
      <c r="X152" s="93">
        <v>0</v>
      </c>
      <c r="Y152" s="93">
        <v>0</v>
      </c>
      <c r="Z152" s="93">
        <v>0</v>
      </c>
      <c r="AA152" s="93">
        <v>0</v>
      </c>
      <c r="AB152" s="93">
        <v>0</v>
      </c>
      <c r="AC152" s="93">
        <v>0</v>
      </c>
      <c r="AD152" s="93">
        <v>0</v>
      </c>
      <c r="AE152" s="93">
        <v>0</v>
      </c>
      <c r="AF152" s="93">
        <v>0</v>
      </c>
    </row>
    <row r="153" spans="2:32" s="93" customFormat="1" x14ac:dyDescent="0.25">
      <c r="B153" s="99" t="str">
        <f t="shared" si="11"/>
        <v>commercial-cooling-biomass (BTU)</v>
      </c>
      <c r="C153" s="95" t="s">
        <v>737</v>
      </c>
      <c r="D153" s="95" t="s">
        <v>731</v>
      </c>
      <c r="E153" s="95" t="s">
        <v>73</v>
      </c>
      <c r="F153" s="93">
        <v>0</v>
      </c>
      <c r="G153" s="93">
        <v>0</v>
      </c>
      <c r="H153" s="93">
        <v>0</v>
      </c>
      <c r="I153" s="93">
        <v>0</v>
      </c>
      <c r="J153" s="93">
        <v>0</v>
      </c>
      <c r="K153" s="93">
        <v>0</v>
      </c>
      <c r="L153" s="93">
        <v>0</v>
      </c>
      <c r="M153" s="93">
        <v>0</v>
      </c>
      <c r="N153" s="93">
        <v>0</v>
      </c>
      <c r="O153" s="93">
        <v>0</v>
      </c>
      <c r="P153" s="93">
        <v>0</v>
      </c>
      <c r="Q153" s="93">
        <v>0</v>
      </c>
      <c r="R153" s="93">
        <v>0</v>
      </c>
      <c r="S153" s="93">
        <v>0</v>
      </c>
      <c r="T153" s="93">
        <v>0</v>
      </c>
      <c r="U153" s="93">
        <v>0</v>
      </c>
      <c r="V153" s="93">
        <v>0</v>
      </c>
      <c r="W153" s="93">
        <v>0</v>
      </c>
      <c r="X153" s="93">
        <v>0</v>
      </c>
      <c r="Y153" s="93">
        <v>0</v>
      </c>
      <c r="Z153" s="93">
        <v>0</v>
      </c>
      <c r="AA153" s="93">
        <v>0</v>
      </c>
      <c r="AB153" s="93">
        <v>0</v>
      </c>
      <c r="AC153" s="93">
        <v>0</v>
      </c>
      <c r="AD153" s="93">
        <v>0</v>
      </c>
      <c r="AE153" s="93">
        <v>0</v>
      </c>
      <c r="AF153" s="93">
        <v>0</v>
      </c>
    </row>
    <row r="154" spans="2:32" s="93" customFormat="1" x14ac:dyDescent="0.25">
      <c r="B154" s="99" t="str">
        <f t="shared" si="11"/>
        <v>commercial-cooling-kerosene (BTU)</v>
      </c>
      <c r="C154" s="95" t="s">
        <v>737</v>
      </c>
      <c r="D154" s="95" t="s">
        <v>731</v>
      </c>
      <c r="E154" s="95" t="s">
        <v>170</v>
      </c>
      <c r="F154" s="93">
        <v>0</v>
      </c>
      <c r="G154" s="93">
        <v>0</v>
      </c>
      <c r="H154" s="93">
        <v>0</v>
      </c>
      <c r="I154" s="93">
        <v>0</v>
      </c>
      <c r="J154" s="93">
        <v>0</v>
      </c>
      <c r="K154" s="93">
        <v>0</v>
      </c>
      <c r="L154" s="93">
        <v>0</v>
      </c>
      <c r="M154" s="93">
        <v>0</v>
      </c>
      <c r="N154" s="93">
        <v>0</v>
      </c>
      <c r="O154" s="93">
        <v>0</v>
      </c>
      <c r="P154" s="93">
        <v>0</v>
      </c>
      <c r="Q154" s="93">
        <v>0</v>
      </c>
      <c r="R154" s="93">
        <v>0</v>
      </c>
      <c r="S154" s="93">
        <v>0</v>
      </c>
      <c r="T154" s="93">
        <v>0</v>
      </c>
      <c r="U154" s="93">
        <v>0</v>
      </c>
      <c r="V154" s="93">
        <v>0</v>
      </c>
      <c r="W154" s="93">
        <v>0</v>
      </c>
      <c r="X154" s="93">
        <v>0</v>
      </c>
      <c r="Y154" s="93">
        <v>0</v>
      </c>
      <c r="Z154" s="93">
        <v>0</v>
      </c>
      <c r="AA154" s="93">
        <v>0</v>
      </c>
      <c r="AB154" s="93">
        <v>0</v>
      </c>
      <c r="AC154" s="93">
        <v>0</v>
      </c>
      <c r="AD154" s="93">
        <v>0</v>
      </c>
      <c r="AE154" s="93">
        <v>0</v>
      </c>
      <c r="AF154" s="93">
        <v>0</v>
      </c>
    </row>
    <row r="155" spans="2:32" s="93" customFormat="1" x14ac:dyDescent="0.25">
      <c r="B155" s="99" t="str">
        <f t="shared" si="11"/>
        <v>commercial-cooling-heavy or residual fuel oil (BTU)</v>
      </c>
      <c r="C155" s="95" t="s">
        <v>737</v>
      </c>
      <c r="D155" s="95" t="s">
        <v>731</v>
      </c>
      <c r="E155" s="95" t="s">
        <v>171</v>
      </c>
      <c r="F155" s="93">
        <v>0</v>
      </c>
      <c r="G155" s="93">
        <v>0</v>
      </c>
      <c r="H155" s="93">
        <v>0</v>
      </c>
      <c r="I155" s="93">
        <v>0</v>
      </c>
      <c r="J155" s="93">
        <v>0</v>
      </c>
      <c r="K155" s="93">
        <v>0</v>
      </c>
      <c r="L155" s="93">
        <v>0</v>
      </c>
      <c r="M155" s="93">
        <v>0</v>
      </c>
      <c r="N155" s="93">
        <v>0</v>
      </c>
      <c r="O155" s="93">
        <v>0</v>
      </c>
      <c r="P155" s="93">
        <v>0</v>
      </c>
      <c r="Q155" s="93">
        <v>0</v>
      </c>
      <c r="R155" s="93">
        <v>0</v>
      </c>
      <c r="S155" s="93">
        <v>0</v>
      </c>
      <c r="T155" s="93">
        <v>0</v>
      </c>
      <c r="U155" s="93">
        <v>0</v>
      </c>
      <c r="V155" s="93">
        <v>0</v>
      </c>
      <c r="W155" s="93">
        <v>0</v>
      </c>
      <c r="X155" s="93">
        <v>0</v>
      </c>
      <c r="Y155" s="93">
        <v>0</v>
      </c>
      <c r="Z155" s="93">
        <v>0</v>
      </c>
      <c r="AA155" s="93">
        <v>0</v>
      </c>
      <c r="AB155" s="93">
        <v>0</v>
      </c>
      <c r="AC155" s="93">
        <v>0</v>
      </c>
      <c r="AD155" s="93">
        <v>0</v>
      </c>
      <c r="AE155" s="93">
        <v>0</v>
      </c>
      <c r="AF155" s="93">
        <v>0</v>
      </c>
    </row>
    <row r="156" spans="2:32" s="93" customFormat="1" x14ac:dyDescent="0.25">
      <c r="B156" s="99" t="str">
        <f t="shared" si="11"/>
        <v>commercial-cooling-LPG propane or butane (BTU)</v>
      </c>
      <c r="C156" s="95" t="s">
        <v>737</v>
      </c>
      <c r="D156" s="95" t="s">
        <v>731</v>
      </c>
      <c r="E156" s="95" t="s">
        <v>172</v>
      </c>
      <c r="F156" s="93">
        <v>0</v>
      </c>
      <c r="G156" s="93">
        <v>0</v>
      </c>
      <c r="H156" s="93">
        <v>0</v>
      </c>
      <c r="I156" s="93">
        <v>0</v>
      </c>
      <c r="J156" s="93">
        <v>0</v>
      </c>
      <c r="K156" s="93">
        <v>0</v>
      </c>
      <c r="L156" s="93">
        <v>0</v>
      </c>
      <c r="M156" s="93">
        <v>0</v>
      </c>
      <c r="N156" s="93">
        <v>0</v>
      </c>
      <c r="O156" s="93">
        <v>0</v>
      </c>
      <c r="P156" s="93">
        <v>0</v>
      </c>
      <c r="Q156" s="93">
        <v>0</v>
      </c>
      <c r="R156" s="93">
        <v>0</v>
      </c>
      <c r="S156" s="93">
        <v>0</v>
      </c>
      <c r="T156" s="93">
        <v>0</v>
      </c>
      <c r="U156" s="93">
        <v>0</v>
      </c>
      <c r="V156" s="93">
        <v>0</v>
      </c>
      <c r="W156" s="93">
        <v>0</v>
      </c>
      <c r="X156" s="93">
        <v>0</v>
      </c>
      <c r="Y156" s="93">
        <v>0</v>
      </c>
      <c r="Z156" s="93">
        <v>0</v>
      </c>
      <c r="AA156" s="93">
        <v>0</v>
      </c>
      <c r="AB156" s="93">
        <v>0</v>
      </c>
      <c r="AC156" s="93">
        <v>0</v>
      </c>
      <c r="AD156" s="93">
        <v>0</v>
      </c>
      <c r="AE156" s="93">
        <v>0</v>
      </c>
      <c r="AF156" s="93">
        <v>0</v>
      </c>
    </row>
    <row r="157" spans="2:32" s="93" customFormat="1" x14ac:dyDescent="0.25">
      <c r="B157" s="99" t="str">
        <f t="shared" si="11"/>
        <v>commercial-cooling-hydrogen (BTU)</v>
      </c>
      <c r="C157" s="95" t="s">
        <v>737</v>
      </c>
      <c r="D157" s="95" t="s">
        <v>731</v>
      </c>
      <c r="E157" s="95" t="s">
        <v>173</v>
      </c>
      <c r="F157" s="93">
        <v>0</v>
      </c>
      <c r="G157" s="93">
        <v>0</v>
      </c>
      <c r="H157" s="93">
        <v>0</v>
      </c>
      <c r="I157" s="93">
        <v>0</v>
      </c>
      <c r="J157" s="93">
        <v>0</v>
      </c>
      <c r="K157" s="93">
        <v>0</v>
      </c>
      <c r="L157" s="93">
        <v>0</v>
      </c>
      <c r="M157" s="93">
        <v>0</v>
      </c>
      <c r="N157" s="93">
        <v>0</v>
      </c>
      <c r="O157" s="93">
        <v>0</v>
      </c>
      <c r="P157" s="93">
        <v>0</v>
      </c>
      <c r="Q157" s="93">
        <v>0</v>
      </c>
      <c r="R157" s="93">
        <v>0</v>
      </c>
      <c r="S157" s="93">
        <v>0</v>
      </c>
      <c r="T157" s="93">
        <v>0</v>
      </c>
      <c r="U157" s="93">
        <v>0</v>
      </c>
      <c r="V157" s="93">
        <v>0</v>
      </c>
      <c r="W157" s="93">
        <v>0</v>
      </c>
      <c r="X157" s="93">
        <v>0</v>
      </c>
      <c r="Y157" s="93">
        <v>0</v>
      </c>
      <c r="Z157" s="93">
        <v>0</v>
      </c>
      <c r="AA157" s="93">
        <v>0</v>
      </c>
      <c r="AB157" s="93">
        <v>0</v>
      </c>
      <c r="AC157" s="93">
        <v>0</v>
      </c>
      <c r="AD157" s="93">
        <v>0</v>
      </c>
      <c r="AE157" s="93">
        <v>0</v>
      </c>
      <c r="AF157" s="93">
        <v>0</v>
      </c>
    </row>
    <row r="158" spans="2:32" s="93" customFormat="1" x14ac:dyDescent="0.25">
      <c r="B158" s="95"/>
      <c r="C158" s="95"/>
      <c r="D158" s="95"/>
      <c r="E158" s="95"/>
    </row>
    <row r="159" spans="2:32" s="93" customFormat="1" x14ac:dyDescent="0.25">
      <c r="B159" s="86" t="s">
        <v>188</v>
      </c>
      <c r="C159" s="95"/>
      <c r="D159" s="95"/>
      <c r="E159" s="95"/>
    </row>
    <row r="160" spans="2:32" s="93" customFormat="1" x14ac:dyDescent="0.25">
      <c r="B160" s="95"/>
      <c r="C160" s="95"/>
      <c r="D160" s="95"/>
      <c r="E160" s="95" t="s">
        <v>10</v>
      </c>
      <c r="F160" s="86">
        <v>2024</v>
      </c>
      <c r="G160" s="86">
        <v>2025</v>
      </c>
      <c r="H160" s="86">
        <v>2026</v>
      </c>
      <c r="I160" s="86">
        <v>2027</v>
      </c>
      <c r="J160" s="86">
        <v>2028</v>
      </c>
      <c r="K160" s="86">
        <v>2029</v>
      </c>
      <c r="L160" s="86">
        <v>2030</v>
      </c>
      <c r="M160" s="86">
        <v>2031</v>
      </c>
      <c r="N160" s="86">
        <v>2032</v>
      </c>
      <c r="O160" s="86">
        <v>2033</v>
      </c>
      <c r="P160" s="86">
        <v>2034</v>
      </c>
      <c r="Q160" s="86">
        <v>2035</v>
      </c>
      <c r="R160" s="86">
        <v>2036</v>
      </c>
      <c r="S160" s="86">
        <v>2037</v>
      </c>
      <c r="T160" s="86">
        <v>2038</v>
      </c>
      <c r="U160" s="86">
        <v>2039</v>
      </c>
      <c r="V160" s="86">
        <v>2040</v>
      </c>
      <c r="W160" s="86">
        <v>2041</v>
      </c>
      <c r="X160" s="86">
        <v>2042</v>
      </c>
      <c r="Y160" s="86">
        <v>2043</v>
      </c>
      <c r="Z160" s="86">
        <v>2044</v>
      </c>
      <c r="AA160" s="86">
        <v>2045</v>
      </c>
      <c r="AB160" s="86">
        <v>2046</v>
      </c>
      <c r="AC160" s="86">
        <v>2047</v>
      </c>
      <c r="AD160" s="86">
        <v>2048</v>
      </c>
      <c r="AE160" s="86">
        <v>2049</v>
      </c>
      <c r="AF160" s="86">
        <v>2050</v>
      </c>
    </row>
    <row r="161" spans="2:32" s="93" customFormat="1" x14ac:dyDescent="0.25">
      <c r="B161" s="99" t="str">
        <f>C161&amp;"-"&amp;D161&amp;"-"&amp;E161</f>
        <v>commercial-lighting-electricity (BTU)</v>
      </c>
      <c r="C161" s="95" t="s">
        <v>737</v>
      </c>
      <c r="D161" s="95" t="s">
        <v>733</v>
      </c>
      <c r="E161" s="95" t="s">
        <v>11</v>
      </c>
      <c r="F161" s="93">
        <f>SUMIFS('Crosswalk AEO to EPS Summary'!F:F,'Crosswalk AEO to EPS Summary'!$B:$B,$B161)*quadrillion</f>
        <v>575629000000000</v>
      </c>
      <c r="G161" s="93">
        <f>SUMIFS('Crosswalk AEO to EPS Summary'!G:G,'Crosswalk AEO to EPS Summary'!$B:$B,$B161)*quadrillion</f>
        <v>564073000000000</v>
      </c>
      <c r="H161" s="93">
        <f>SUMIFS('Crosswalk AEO to EPS Summary'!H:H,'Crosswalk AEO to EPS Summary'!$B:$B,$B161)*quadrillion</f>
        <v>561419000000000</v>
      </c>
      <c r="I161" s="93">
        <f>SUMIFS('Crosswalk AEO to EPS Summary'!I:I,'Crosswalk AEO to EPS Summary'!$B:$B,$B161)*quadrillion</f>
        <v>564836000000000</v>
      </c>
      <c r="J161" s="93">
        <f>SUMIFS('Crosswalk AEO to EPS Summary'!J:J,'Crosswalk AEO to EPS Summary'!$B:$B,$B161)*quadrillion</f>
        <v>567739000000000</v>
      </c>
      <c r="K161" s="93">
        <f>SUMIFS('Crosswalk AEO to EPS Summary'!K:K,'Crosswalk AEO to EPS Summary'!$B:$B,$B161)*quadrillion</f>
        <v>568038000000000</v>
      </c>
      <c r="L161" s="93">
        <f>SUMIFS('Crosswalk AEO to EPS Summary'!L:L,'Crosswalk AEO to EPS Summary'!$B:$B,$B161)*quadrillion</f>
        <v>557795999999999.94</v>
      </c>
      <c r="M161" s="93">
        <f>SUMIFS('Crosswalk AEO to EPS Summary'!M:M,'Crosswalk AEO to EPS Summary'!$B:$B,$B161)*quadrillion</f>
        <v>548668000000000.06</v>
      </c>
      <c r="N161" s="93">
        <f>SUMIFS('Crosswalk AEO to EPS Summary'!N:N,'Crosswalk AEO to EPS Summary'!$B:$B,$B161)*quadrillion</f>
        <v>540722999999999.94</v>
      </c>
      <c r="O161" s="93">
        <f>SUMIFS('Crosswalk AEO to EPS Summary'!O:O,'Crosswalk AEO to EPS Summary'!$B:$B,$B161)*quadrillion</f>
        <v>532836000000000</v>
      </c>
      <c r="P161" s="93">
        <f>SUMIFS('Crosswalk AEO to EPS Summary'!P:P,'Crosswalk AEO to EPS Summary'!$B:$B,$B161)*quadrillion</f>
        <v>525787000000000</v>
      </c>
      <c r="Q161" s="93">
        <f>SUMIFS('Crosswalk AEO to EPS Summary'!Q:Q,'Crosswalk AEO to EPS Summary'!$B:$B,$B161)*quadrillion</f>
        <v>520252000000000.06</v>
      </c>
      <c r="R161" s="93">
        <f>SUMIFS('Crosswalk AEO to EPS Summary'!R:R,'Crosswalk AEO to EPS Summary'!$B:$B,$B161)*quadrillion</f>
        <v>516397000000000</v>
      </c>
      <c r="S161" s="93">
        <f>SUMIFS('Crosswalk AEO to EPS Summary'!S:S,'Crosswalk AEO to EPS Summary'!$B:$B,$B161)*quadrillion</f>
        <v>513764000000000</v>
      </c>
      <c r="T161" s="93">
        <f>SUMIFS('Crosswalk AEO to EPS Summary'!T:T,'Crosswalk AEO to EPS Summary'!$B:$B,$B161)*quadrillion</f>
        <v>511098000000000.06</v>
      </c>
      <c r="U161" s="93">
        <f>SUMIFS('Crosswalk AEO to EPS Summary'!U:U,'Crosswalk AEO to EPS Summary'!$B:$B,$B161)*quadrillion</f>
        <v>509139000000000</v>
      </c>
      <c r="V161" s="93">
        <f>SUMIFS('Crosswalk AEO to EPS Summary'!V:V,'Crosswalk AEO to EPS Summary'!$B:$B,$B161)*quadrillion</f>
        <v>506221000000000.06</v>
      </c>
      <c r="W161" s="93">
        <f>SUMIFS('Crosswalk AEO to EPS Summary'!W:W,'Crosswalk AEO to EPS Summary'!$B:$B,$B161)*quadrillion</f>
        <v>504248000000000</v>
      </c>
      <c r="X161" s="93">
        <f>SUMIFS('Crosswalk AEO to EPS Summary'!X:X,'Crosswalk AEO to EPS Summary'!$B:$B,$B161)*quadrillion</f>
        <v>502663000000000</v>
      </c>
      <c r="Y161" s="93">
        <f>SUMIFS('Crosswalk AEO to EPS Summary'!Y:Y,'Crosswalk AEO to EPS Summary'!$B:$B,$B161)*quadrillion</f>
        <v>501633000000000</v>
      </c>
      <c r="Z161" s="93">
        <f>SUMIFS('Crosswalk AEO to EPS Summary'!Z:Z,'Crosswalk AEO to EPS Summary'!$B:$B,$B161)*quadrillion</f>
        <v>500870999999999.94</v>
      </c>
      <c r="AA161" s="93">
        <f>SUMIFS('Crosswalk AEO to EPS Summary'!AA:AA,'Crosswalk AEO to EPS Summary'!$B:$B,$B161)*quadrillion</f>
        <v>500370000000000</v>
      </c>
      <c r="AB161" s="93">
        <f>SUMIFS('Crosswalk AEO to EPS Summary'!AB:AB,'Crosswalk AEO to EPS Summary'!$B:$B,$B161)*quadrillion</f>
        <v>500098999999999.94</v>
      </c>
      <c r="AC161" s="93">
        <f>SUMIFS('Crosswalk AEO to EPS Summary'!AC:AC,'Crosswalk AEO to EPS Summary'!$B:$B,$B161)*quadrillion</f>
        <v>499308000000000</v>
      </c>
      <c r="AD161" s="93">
        <f>SUMIFS('Crosswalk AEO to EPS Summary'!AD:AD,'Crosswalk AEO to EPS Summary'!$B:$B,$B161)*quadrillion</f>
        <v>498756000000000</v>
      </c>
      <c r="AE161" s="93">
        <f>SUMIFS('Crosswalk AEO to EPS Summary'!AE:AE,'Crosswalk AEO to EPS Summary'!$B:$B,$B161)*quadrillion</f>
        <v>498499000000000</v>
      </c>
      <c r="AF161" s="93">
        <f>SUMIFS('Crosswalk AEO to EPS Summary'!AF:AF,'Crosswalk AEO to EPS Summary'!$B:$B,$B161)*quadrillion</f>
        <v>498199000000000</v>
      </c>
    </row>
    <row r="162" spans="2:32" s="93" customFormat="1" x14ac:dyDescent="0.25">
      <c r="B162" s="99" t="str">
        <f t="shared" ref="B162:B170" si="12">C162&amp;"-"&amp;D162&amp;"-"&amp;E162</f>
        <v>commercial-lighting-coal (BTU)</v>
      </c>
      <c r="C162" s="95" t="s">
        <v>737</v>
      </c>
      <c r="D162" s="95" t="s">
        <v>733</v>
      </c>
      <c r="E162" s="95" t="s">
        <v>12</v>
      </c>
      <c r="F162" s="93">
        <v>0</v>
      </c>
      <c r="G162" s="93">
        <v>0</v>
      </c>
      <c r="H162" s="93">
        <v>0</v>
      </c>
      <c r="I162" s="93">
        <v>0</v>
      </c>
      <c r="J162" s="93">
        <v>0</v>
      </c>
      <c r="K162" s="93">
        <v>0</v>
      </c>
      <c r="L162" s="93">
        <v>0</v>
      </c>
      <c r="M162" s="93">
        <v>0</v>
      </c>
      <c r="N162" s="93">
        <v>0</v>
      </c>
      <c r="O162" s="93">
        <v>0</v>
      </c>
      <c r="P162" s="93">
        <v>0</v>
      </c>
      <c r="Q162" s="93">
        <v>0</v>
      </c>
      <c r="R162" s="93">
        <v>0</v>
      </c>
      <c r="S162" s="93">
        <v>0</v>
      </c>
      <c r="T162" s="93">
        <v>0</v>
      </c>
      <c r="U162" s="93">
        <v>0</v>
      </c>
      <c r="V162" s="93">
        <v>0</v>
      </c>
      <c r="W162" s="93">
        <v>0</v>
      </c>
      <c r="X162" s="93">
        <v>0</v>
      </c>
      <c r="Y162" s="93">
        <v>0</v>
      </c>
      <c r="Z162" s="93">
        <v>0</v>
      </c>
      <c r="AA162" s="93">
        <v>0</v>
      </c>
      <c r="AB162" s="93">
        <v>0</v>
      </c>
      <c r="AC162" s="93">
        <v>0</v>
      </c>
      <c r="AD162" s="93">
        <v>0</v>
      </c>
      <c r="AE162" s="93">
        <v>0</v>
      </c>
      <c r="AF162" s="93">
        <v>0</v>
      </c>
    </row>
    <row r="163" spans="2:32" s="93" customFormat="1" x14ac:dyDescent="0.25">
      <c r="B163" s="99" t="str">
        <f t="shared" si="12"/>
        <v>commercial-lighting-natural gas (BTU)</v>
      </c>
      <c r="C163" s="95" t="s">
        <v>737</v>
      </c>
      <c r="D163" s="95" t="s">
        <v>733</v>
      </c>
      <c r="E163" s="95" t="s">
        <v>13</v>
      </c>
      <c r="F163" s="93">
        <v>0</v>
      </c>
      <c r="G163" s="93">
        <v>0</v>
      </c>
      <c r="H163" s="93">
        <v>0</v>
      </c>
      <c r="I163" s="93">
        <v>0</v>
      </c>
      <c r="J163" s="93">
        <v>0</v>
      </c>
      <c r="K163" s="93">
        <v>0</v>
      </c>
      <c r="L163" s="93">
        <v>0</v>
      </c>
      <c r="M163" s="93">
        <v>0</v>
      </c>
      <c r="N163" s="93">
        <v>0</v>
      </c>
      <c r="O163" s="93">
        <v>0</v>
      </c>
      <c r="P163" s="93">
        <v>0</v>
      </c>
      <c r="Q163" s="93">
        <v>0</v>
      </c>
      <c r="R163" s="93">
        <v>0</v>
      </c>
      <c r="S163" s="93">
        <v>0</v>
      </c>
      <c r="T163" s="93">
        <v>0</v>
      </c>
      <c r="U163" s="93">
        <v>0</v>
      </c>
      <c r="V163" s="93">
        <v>0</v>
      </c>
      <c r="W163" s="93">
        <v>0</v>
      </c>
      <c r="X163" s="93">
        <v>0</v>
      </c>
      <c r="Y163" s="93">
        <v>0</v>
      </c>
      <c r="Z163" s="93">
        <v>0</v>
      </c>
      <c r="AA163" s="93">
        <v>0</v>
      </c>
      <c r="AB163" s="93">
        <v>0</v>
      </c>
      <c r="AC163" s="93">
        <v>0</v>
      </c>
      <c r="AD163" s="93">
        <v>0</v>
      </c>
      <c r="AE163" s="93">
        <v>0</v>
      </c>
      <c r="AF163" s="93">
        <v>0</v>
      </c>
    </row>
    <row r="164" spans="2:32" s="93" customFormat="1" x14ac:dyDescent="0.25">
      <c r="B164" s="99" t="str">
        <f t="shared" si="12"/>
        <v>commercial-lighting-petroleum diesel (BTU)</v>
      </c>
      <c r="C164" s="95" t="s">
        <v>737</v>
      </c>
      <c r="D164" s="95" t="s">
        <v>733</v>
      </c>
      <c r="E164" s="95" t="s">
        <v>14</v>
      </c>
      <c r="F164" s="93">
        <v>0</v>
      </c>
      <c r="G164" s="93">
        <v>0</v>
      </c>
      <c r="H164" s="93">
        <v>0</v>
      </c>
      <c r="I164" s="93">
        <v>0</v>
      </c>
      <c r="J164" s="93">
        <v>0</v>
      </c>
      <c r="K164" s="93">
        <v>0</v>
      </c>
      <c r="L164" s="93">
        <v>0</v>
      </c>
      <c r="M164" s="93">
        <v>0</v>
      </c>
      <c r="N164" s="93">
        <v>0</v>
      </c>
      <c r="O164" s="93">
        <v>0</v>
      </c>
      <c r="P164" s="93">
        <v>0</v>
      </c>
      <c r="Q164" s="93">
        <v>0</v>
      </c>
      <c r="R164" s="93">
        <v>0</v>
      </c>
      <c r="S164" s="93">
        <v>0</v>
      </c>
      <c r="T164" s="93">
        <v>0</v>
      </c>
      <c r="U164" s="93">
        <v>0</v>
      </c>
      <c r="V164" s="93">
        <v>0</v>
      </c>
      <c r="W164" s="93">
        <v>0</v>
      </c>
      <c r="X164" s="93">
        <v>0</v>
      </c>
      <c r="Y164" s="93">
        <v>0</v>
      </c>
      <c r="Z164" s="93">
        <v>0</v>
      </c>
      <c r="AA164" s="93">
        <v>0</v>
      </c>
      <c r="AB164" s="93">
        <v>0</v>
      </c>
      <c r="AC164" s="93">
        <v>0</v>
      </c>
      <c r="AD164" s="93">
        <v>0</v>
      </c>
      <c r="AE164" s="93">
        <v>0</v>
      </c>
      <c r="AF164" s="93">
        <v>0</v>
      </c>
    </row>
    <row r="165" spans="2:32" s="93" customFormat="1" x14ac:dyDescent="0.25">
      <c r="B165" s="99" t="str">
        <f t="shared" si="12"/>
        <v>commercial-lighting-heat (BTU)</v>
      </c>
      <c r="C165" s="95" t="s">
        <v>737</v>
      </c>
      <c r="D165" s="95" t="s">
        <v>733</v>
      </c>
      <c r="E165" s="95" t="s">
        <v>16</v>
      </c>
      <c r="F165" s="93">
        <v>0</v>
      </c>
      <c r="G165" s="93">
        <v>0</v>
      </c>
      <c r="H165" s="93">
        <v>0</v>
      </c>
      <c r="I165" s="93">
        <v>0</v>
      </c>
      <c r="J165" s="93">
        <v>0</v>
      </c>
      <c r="K165" s="93">
        <v>0</v>
      </c>
      <c r="L165" s="93">
        <v>0</v>
      </c>
      <c r="M165" s="93">
        <v>0</v>
      </c>
      <c r="N165" s="93">
        <v>0</v>
      </c>
      <c r="O165" s="93">
        <v>0</v>
      </c>
      <c r="P165" s="93">
        <v>0</v>
      </c>
      <c r="Q165" s="93">
        <v>0</v>
      </c>
      <c r="R165" s="93">
        <v>0</v>
      </c>
      <c r="S165" s="93">
        <v>0</v>
      </c>
      <c r="T165" s="93">
        <v>0</v>
      </c>
      <c r="U165" s="93">
        <v>0</v>
      </c>
      <c r="V165" s="93">
        <v>0</v>
      </c>
      <c r="W165" s="93">
        <v>0</v>
      </c>
      <c r="X165" s="93">
        <v>0</v>
      </c>
      <c r="Y165" s="93">
        <v>0</v>
      </c>
      <c r="Z165" s="93">
        <v>0</v>
      </c>
      <c r="AA165" s="93">
        <v>0</v>
      </c>
      <c r="AB165" s="93">
        <v>0</v>
      </c>
      <c r="AC165" s="93">
        <v>0</v>
      </c>
      <c r="AD165" s="93">
        <v>0</v>
      </c>
      <c r="AE165" s="93">
        <v>0</v>
      </c>
      <c r="AF165" s="93">
        <v>0</v>
      </c>
    </row>
    <row r="166" spans="2:32" s="93" customFormat="1" x14ac:dyDescent="0.25">
      <c r="B166" s="99" t="str">
        <f t="shared" si="12"/>
        <v>commercial-lighting-biomass (BTU)</v>
      </c>
      <c r="C166" s="95" t="s">
        <v>737</v>
      </c>
      <c r="D166" s="95" t="s">
        <v>733</v>
      </c>
      <c r="E166" s="95" t="s">
        <v>73</v>
      </c>
      <c r="F166" s="93">
        <v>0</v>
      </c>
      <c r="G166" s="93">
        <v>0</v>
      </c>
      <c r="H166" s="93">
        <v>0</v>
      </c>
      <c r="I166" s="93">
        <v>0</v>
      </c>
      <c r="J166" s="93">
        <v>0</v>
      </c>
      <c r="K166" s="93">
        <v>0</v>
      </c>
      <c r="L166" s="93">
        <v>0</v>
      </c>
      <c r="M166" s="93">
        <v>0</v>
      </c>
      <c r="N166" s="93">
        <v>0</v>
      </c>
      <c r="O166" s="93">
        <v>0</v>
      </c>
      <c r="P166" s="93">
        <v>0</v>
      </c>
      <c r="Q166" s="93">
        <v>0</v>
      </c>
      <c r="R166" s="93">
        <v>0</v>
      </c>
      <c r="S166" s="93">
        <v>0</v>
      </c>
      <c r="T166" s="93">
        <v>0</v>
      </c>
      <c r="U166" s="93">
        <v>0</v>
      </c>
      <c r="V166" s="93">
        <v>0</v>
      </c>
      <c r="W166" s="93">
        <v>0</v>
      </c>
      <c r="X166" s="93">
        <v>0</v>
      </c>
      <c r="Y166" s="93">
        <v>0</v>
      </c>
      <c r="Z166" s="93">
        <v>0</v>
      </c>
      <c r="AA166" s="93">
        <v>0</v>
      </c>
      <c r="AB166" s="93">
        <v>0</v>
      </c>
      <c r="AC166" s="93">
        <v>0</v>
      </c>
      <c r="AD166" s="93">
        <v>0</v>
      </c>
      <c r="AE166" s="93">
        <v>0</v>
      </c>
      <c r="AF166" s="93">
        <v>0</v>
      </c>
    </row>
    <row r="167" spans="2:32" s="93" customFormat="1" x14ac:dyDescent="0.25">
      <c r="B167" s="99" t="str">
        <f t="shared" si="12"/>
        <v>commercial-lighting-kerosene (BTU)</v>
      </c>
      <c r="C167" s="95" t="s">
        <v>737</v>
      </c>
      <c r="D167" s="95" t="s">
        <v>733</v>
      </c>
      <c r="E167" s="95" t="s">
        <v>170</v>
      </c>
      <c r="F167" s="93">
        <v>0</v>
      </c>
      <c r="G167" s="93">
        <v>0</v>
      </c>
      <c r="H167" s="93">
        <v>0</v>
      </c>
      <c r="I167" s="93">
        <v>0</v>
      </c>
      <c r="J167" s="93">
        <v>0</v>
      </c>
      <c r="K167" s="93">
        <v>0</v>
      </c>
      <c r="L167" s="93">
        <v>0</v>
      </c>
      <c r="M167" s="93">
        <v>0</v>
      </c>
      <c r="N167" s="93">
        <v>0</v>
      </c>
      <c r="O167" s="93">
        <v>0</v>
      </c>
      <c r="P167" s="93">
        <v>0</v>
      </c>
      <c r="Q167" s="93">
        <v>0</v>
      </c>
      <c r="R167" s="93">
        <v>0</v>
      </c>
      <c r="S167" s="93">
        <v>0</v>
      </c>
      <c r="T167" s="93">
        <v>0</v>
      </c>
      <c r="U167" s="93">
        <v>0</v>
      </c>
      <c r="V167" s="93">
        <v>0</v>
      </c>
      <c r="W167" s="93">
        <v>0</v>
      </c>
      <c r="X167" s="93">
        <v>0</v>
      </c>
      <c r="Y167" s="93">
        <v>0</v>
      </c>
      <c r="Z167" s="93">
        <v>0</v>
      </c>
      <c r="AA167" s="93">
        <v>0</v>
      </c>
      <c r="AB167" s="93">
        <v>0</v>
      </c>
      <c r="AC167" s="93">
        <v>0</v>
      </c>
      <c r="AD167" s="93">
        <v>0</v>
      </c>
      <c r="AE167" s="93">
        <v>0</v>
      </c>
      <c r="AF167" s="93">
        <v>0</v>
      </c>
    </row>
    <row r="168" spans="2:32" s="93" customFormat="1" x14ac:dyDescent="0.25">
      <c r="B168" s="99" t="str">
        <f t="shared" si="12"/>
        <v>commercial-lighting-heavy or residual fuel oil (BTU)</v>
      </c>
      <c r="C168" s="95" t="s">
        <v>737</v>
      </c>
      <c r="D168" s="95" t="s">
        <v>733</v>
      </c>
      <c r="E168" s="95" t="s">
        <v>171</v>
      </c>
      <c r="F168" s="93">
        <v>0</v>
      </c>
      <c r="G168" s="93">
        <v>0</v>
      </c>
      <c r="H168" s="93">
        <v>0</v>
      </c>
      <c r="I168" s="93">
        <v>0</v>
      </c>
      <c r="J168" s="93">
        <v>0</v>
      </c>
      <c r="K168" s="93">
        <v>0</v>
      </c>
      <c r="L168" s="93">
        <v>0</v>
      </c>
      <c r="M168" s="93">
        <v>0</v>
      </c>
      <c r="N168" s="93">
        <v>0</v>
      </c>
      <c r="O168" s="93">
        <v>0</v>
      </c>
      <c r="P168" s="93">
        <v>0</v>
      </c>
      <c r="Q168" s="93">
        <v>0</v>
      </c>
      <c r="R168" s="93">
        <v>0</v>
      </c>
      <c r="S168" s="93">
        <v>0</v>
      </c>
      <c r="T168" s="93">
        <v>0</v>
      </c>
      <c r="U168" s="93">
        <v>0</v>
      </c>
      <c r="V168" s="93">
        <v>0</v>
      </c>
      <c r="W168" s="93">
        <v>0</v>
      </c>
      <c r="X168" s="93">
        <v>0</v>
      </c>
      <c r="Y168" s="93">
        <v>0</v>
      </c>
      <c r="Z168" s="93">
        <v>0</v>
      </c>
      <c r="AA168" s="93">
        <v>0</v>
      </c>
      <c r="AB168" s="93">
        <v>0</v>
      </c>
      <c r="AC168" s="93">
        <v>0</v>
      </c>
      <c r="AD168" s="93">
        <v>0</v>
      </c>
      <c r="AE168" s="93">
        <v>0</v>
      </c>
      <c r="AF168" s="93">
        <v>0</v>
      </c>
    </row>
    <row r="169" spans="2:32" s="93" customFormat="1" x14ac:dyDescent="0.25">
      <c r="B169" s="99" t="str">
        <f t="shared" si="12"/>
        <v>commercial-lighting-LPG propane or butane (BTU)</v>
      </c>
      <c r="C169" s="95" t="s">
        <v>737</v>
      </c>
      <c r="D169" s="95" t="s">
        <v>733</v>
      </c>
      <c r="E169" s="95" t="s">
        <v>172</v>
      </c>
      <c r="F169" s="93">
        <v>0</v>
      </c>
      <c r="G169" s="93">
        <v>0</v>
      </c>
      <c r="H169" s="93">
        <v>0</v>
      </c>
      <c r="I169" s="93">
        <v>0</v>
      </c>
      <c r="J169" s="93">
        <v>0</v>
      </c>
      <c r="K169" s="93">
        <v>0</v>
      </c>
      <c r="L169" s="93">
        <v>0</v>
      </c>
      <c r="M169" s="93">
        <v>0</v>
      </c>
      <c r="N169" s="93">
        <v>0</v>
      </c>
      <c r="O169" s="93">
        <v>0</v>
      </c>
      <c r="P169" s="93">
        <v>0</v>
      </c>
      <c r="Q169" s="93">
        <v>0</v>
      </c>
      <c r="R169" s="93">
        <v>0</v>
      </c>
      <c r="S169" s="93">
        <v>0</v>
      </c>
      <c r="T169" s="93">
        <v>0</v>
      </c>
      <c r="U169" s="93">
        <v>0</v>
      </c>
      <c r="V169" s="93">
        <v>0</v>
      </c>
      <c r="W169" s="93">
        <v>0</v>
      </c>
      <c r="X169" s="93">
        <v>0</v>
      </c>
      <c r="Y169" s="93">
        <v>0</v>
      </c>
      <c r="Z169" s="93">
        <v>0</v>
      </c>
      <c r="AA169" s="93">
        <v>0</v>
      </c>
      <c r="AB169" s="93">
        <v>0</v>
      </c>
      <c r="AC169" s="93">
        <v>0</v>
      </c>
      <c r="AD169" s="93">
        <v>0</v>
      </c>
      <c r="AE169" s="93">
        <v>0</v>
      </c>
      <c r="AF169" s="93">
        <v>0</v>
      </c>
    </row>
    <row r="170" spans="2:32" s="93" customFormat="1" x14ac:dyDescent="0.25">
      <c r="B170" s="99" t="str">
        <f t="shared" si="12"/>
        <v>commercial-lighting-hydrogen (BTU)</v>
      </c>
      <c r="C170" s="95" t="s">
        <v>737</v>
      </c>
      <c r="D170" s="95" t="s">
        <v>733</v>
      </c>
      <c r="E170" s="95" t="s">
        <v>173</v>
      </c>
      <c r="F170" s="93">
        <v>0</v>
      </c>
      <c r="G170" s="93">
        <v>0</v>
      </c>
      <c r="H170" s="93">
        <v>0</v>
      </c>
      <c r="I170" s="93">
        <v>0</v>
      </c>
      <c r="J170" s="93">
        <v>0</v>
      </c>
      <c r="K170" s="93">
        <v>0</v>
      </c>
      <c r="L170" s="93">
        <v>0</v>
      </c>
      <c r="M170" s="93">
        <v>0</v>
      </c>
      <c r="N170" s="93">
        <v>0</v>
      </c>
      <c r="O170" s="93">
        <v>0</v>
      </c>
      <c r="P170" s="93">
        <v>0</v>
      </c>
      <c r="Q170" s="93">
        <v>0</v>
      </c>
      <c r="R170" s="93">
        <v>0</v>
      </c>
      <c r="S170" s="93">
        <v>0</v>
      </c>
      <c r="T170" s="93">
        <v>0</v>
      </c>
      <c r="U170" s="93">
        <v>0</v>
      </c>
      <c r="V170" s="93">
        <v>0</v>
      </c>
      <c r="W170" s="93">
        <v>0</v>
      </c>
      <c r="X170" s="93">
        <v>0</v>
      </c>
      <c r="Y170" s="93">
        <v>0</v>
      </c>
      <c r="Z170" s="93">
        <v>0</v>
      </c>
      <c r="AA170" s="93">
        <v>0</v>
      </c>
      <c r="AB170" s="93">
        <v>0</v>
      </c>
      <c r="AC170" s="93">
        <v>0</v>
      </c>
      <c r="AD170" s="93">
        <v>0</v>
      </c>
      <c r="AE170" s="93">
        <v>0</v>
      </c>
      <c r="AF170" s="93">
        <v>0</v>
      </c>
    </row>
    <row r="171" spans="2:32" s="93" customFormat="1" x14ac:dyDescent="0.25">
      <c r="B171" s="95"/>
      <c r="C171" s="95"/>
      <c r="D171" s="95"/>
      <c r="E171" s="95"/>
    </row>
    <row r="172" spans="2:32" s="93" customFormat="1" x14ac:dyDescent="0.25">
      <c r="B172" s="86" t="s">
        <v>189</v>
      </c>
      <c r="C172" s="95"/>
      <c r="D172" s="95"/>
      <c r="E172" s="95"/>
    </row>
    <row r="173" spans="2:32" s="93" customFormat="1" x14ac:dyDescent="0.25">
      <c r="B173" s="95"/>
      <c r="C173" s="95"/>
      <c r="D173" s="95"/>
      <c r="E173" s="95" t="s">
        <v>10</v>
      </c>
      <c r="F173" s="86">
        <v>2024</v>
      </c>
      <c r="G173" s="86">
        <v>2025</v>
      </c>
      <c r="H173" s="86">
        <v>2026</v>
      </c>
      <c r="I173" s="86">
        <v>2027</v>
      </c>
      <c r="J173" s="86">
        <v>2028</v>
      </c>
      <c r="K173" s="86">
        <v>2029</v>
      </c>
      <c r="L173" s="86">
        <v>2030</v>
      </c>
      <c r="M173" s="86">
        <v>2031</v>
      </c>
      <c r="N173" s="86">
        <v>2032</v>
      </c>
      <c r="O173" s="86">
        <v>2033</v>
      </c>
      <c r="P173" s="86">
        <v>2034</v>
      </c>
      <c r="Q173" s="86">
        <v>2035</v>
      </c>
      <c r="R173" s="86">
        <v>2036</v>
      </c>
      <c r="S173" s="86">
        <v>2037</v>
      </c>
      <c r="T173" s="86">
        <v>2038</v>
      </c>
      <c r="U173" s="86">
        <v>2039</v>
      </c>
      <c r="V173" s="86">
        <v>2040</v>
      </c>
      <c r="W173" s="86">
        <v>2041</v>
      </c>
      <c r="X173" s="86">
        <v>2042</v>
      </c>
      <c r="Y173" s="86">
        <v>2043</v>
      </c>
      <c r="Z173" s="86">
        <v>2044</v>
      </c>
      <c r="AA173" s="86">
        <v>2045</v>
      </c>
      <c r="AB173" s="86">
        <v>2046</v>
      </c>
      <c r="AC173" s="86">
        <v>2047</v>
      </c>
      <c r="AD173" s="86">
        <v>2048</v>
      </c>
      <c r="AE173" s="86">
        <v>2049</v>
      </c>
      <c r="AF173" s="86">
        <v>2050</v>
      </c>
    </row>
    <row r="174" spans="2:32" s="93" customFormat="1" x14ac:dyDescent="0.25">
      <c r="B174" s="99" t="str">
        <f>C174&amp;"-"&amp;D174&amp;"-"&amp;E174</f>
        <v>commercial-appliances-electricity (BTU)</v>
      </c>
      <c r="C174" s="95" t="s">
        <v>737</v>
      </c>
      <c r="D174" s="95" t="s">
        <v>732</v>
      </c>
      <c r="E174" s="95" t="s">
        <v>11</v>
      </c>
      <c r="F174" s="93">
        <f>SUMIFS('Crosswalk AEO to EPS Summary'!F:F,'Crosswalk AEO to EPS Summary'!$B:$B,$B174)*quadrillion</f>
        <v>526170000000000</v>
      </c>
      <c r="G174" s="93">
        <f>SUMIFS('Crosswalk AEO to EPS Summary'!G:G,'Crosswalk AEO to EPS Summary'!$B:$B,$B174)*quadrillion</f>
        <v>527278000000000</v>
      </c>
      <c r="H174" s="93">
        <f>SUMIFS('Crosswalk AEO to EPS Summary'!H:H,'Crosswalk AEO to EPS Summary'!$B:$B,$B174)*quadrillion</f>
        <v>530000000000000</v>
      </c>
      <c r="I174" s="93">
        <f>SUMIFS('Crosswalk AEO to EPS Summary'!I:I,'Crosswalk AEO to EPS Summary'!$B:$B,$B174)*quadrillion</f>
        <v>535012000000000.06</v>
      </c>
      <c r="J174" s="93">
        <f>SUMIFS('Crosswalk AEO to EPS Summary'!J:J,'Crosswalk AEO to EPS Summary'!$B:$B,$B174)*quadrillion</f>
        <v>538872999999999.94</v>
      </c>
      <c r="K174" s="93">
        <f>SUMIFS('Crosswalk AEO to EPS Summary'!K:K,'Crosswalk AEO to EPS Summary'!$B:$B,$B174)*quadrillion</f>
        <v>540759999999999.94</v>
      </c>
      <c r="L174" s="93">
        <f>SUMIFS('Crosswalk AEO to EPS Summary'!L:L,'Crosswalk AEO to EPS Summary'!$B:$B,$B174)*quadrillion</f>
        <v>540351000000000</v>
      </c>
      <c r="M174" s="93">
        <f>SUMIFS('Crosswalk AEO to EPS Summary'!M:M,'Crosswalk AEO to EPS Summary'!$B:$B,$B174)*quadrillion</f>
        <v>539927000000000.06</v>
      </c>
      <c r="N174" s="93">
        <f>SUMIFS('Crosswalk AEO to EPS Summary'!N:N,'Crosswalk AEO to EPS Summary'!$B:$B,$B174)*quadrillion</f>
        <v>539823000000000.06</v>
      </c>
      <c r="O174" s="93">
        <f>SUMIFS('Crosswalk AEO to EPS Summary'!O:O,'Crosswalk AEO to EPS Summary'!$B:$B,$B174)*quadrillion</f>
        <v>539605000000000</v>
      </c>
      <c r="P174" s="93">
        <f>SUMIFS('Crosswalk AEO to EPS Summary'!P:P,'Crosswalk AEO to EPS Summary'!$B:$B,$B174)*quadrillion</f>
        <v>540004999999999.94</v>
      </c>
      <c r="Q174" s="93">
        <f>SUMIFS('Crosswalk AEO to EPS Summary'!Q:Q,'Crosswalk AEO to EPS Summary'!$B:$B,$B174)*quadrillion</f>
        <v>541258999999999.94</v>
      </c>
      <c r="R174" s="93">
        <f>SUMIFS('Crosswalk AEO to EPS Summary'!R:R,'Crosswalk AEO to EPS Summary'!$B:$B,$B174)*quadrillion</f>
        <v>543150999999999.94</v>
      </c>
      <c r="S174" s="93">
        <f>SUMIFS('Crosswalk AEO to EPS Summary'!S:S,'Crosswalk AEO to EPS Summary'!$B:$B,$B174)*quadrillion</f>
        <v>545180999999999.94</v>
      </c>
      <c r="T174" s="93">
        <f>SUMIFS('Crosswalk AEO to EPS Summary'!T:T,'Crosswalk AEO to EPS Summary'!$B:$B,$B174)*quadrillion</f>
        <v>546707000000000.06</v>
      </c>
      <c r="U174" s="93">
        <f>SUMIFS('Crosswalk AEO to EPS Summary'!U:U,'Crosswalk AEO to EPS Summary'!$B:$B,$B174)*quadrillion</f>
        <v>548168000000000</v>
      </c>
      <c r="V174" s="93">
        <f>SUMIFS('Crosswalk AEO to EPS Summary'!V:V,'Crosswalk AEO to EPS Summary'!$B:$B,$B174)*quadrillion</f>
        <v>549552999999999.94</v>
      </c>
      <c r="W174" s="93">
        <f>SUMIFS('Crosswalk AEO to EPS Summary'!W:W,'Crosswalk AEO to EPS Summary'!$B:$B,$B174)*quadrillion</f>
        <v>551188000000000</v>
      </c>
      <c r="X174" s="93">
        <f>SUMIFS('Crosswalk AEO to EPS Summary'!X:X,'Crosswalk AEO to EPS Summary'!$B:$B,$B174)*quadrillion</f>
        <v>552674000000000</v>
      </c>
      <c r="Y174" s="93">
        <f>SUMIFS('Crosswalk AEO to EPS Summary'!Y:Y,'Crosswalk AEO to EPS Summary'!$B:$B,$B174)*quadrillion</f>
        <v>554143000000000.06</v>
      </c>
      <c r="Z174" s="93">
        <f>SUMIFS('Crosswalk AEO to EPS Summary'!Z:Z,'Crosswalk AEO to EPS Summary'!$B:$B,$B174)*quadrillion</f>
        <v>555485999999999.94</v>
      </c>
      <c r="AA174" s="93">
        <f>SUMIFS('Crosswalk AEO to EPS Summary'!AA:AA,'Crosswalk AEO to EPS Summary'!$B:$B,$B174)*quadrillion</f>
        <v>556705000000000</v>
      </c>
      <c r="AB174" s="93">
        <f>SUMIFS('Crosswalk AEO to EPS Summary'!AB:AB,'Crosswalk AEO to EPS Summary'!$B:$B,$B174)*quadrillion</f>
        <v>557841999999999.94</v>
      </c>
      <c r="AC174" s="93">
        <f>SUMIFS('Crosswalk AEO to EPS Summary'!AC:AC,'Crosswalk AEO to EPS Summary'!$B:$B,$B174)*quadrillion</f>
        <v>558910000000000</v>
      </c>
      <c r="AD174" s="93">
        <f>SUMIFS('Crosswalk AEO to EPS Summary'!AD:AD,'Crosswalk AEO to EPS Summary'!$B:$B,$B174)*quadrillion</f>
        <v>559946000000000.06</v>
      </c>
      <c r="AE174" s="93">
        <f>SUMIFS('Crosswalk AEO to EPS Summary'!AE:AE,'Crosswalk AEO to EPS Summary'!$B:$B,$B174)*quadrillion</f>
        <v>560993000000000.06</v>
      </c>
      <c r="AF174" s="93">
        <f>SUMIFS('Crosswalk AEO to EPS Summary'!AF:AF,'Crosswalk AEO to EPS Summary'!$B:$B,$B174)*quadrillion</f>
        <v>562001000000000</v>
      </c>
    </row>
    <row r="175" spans="2:32" s="93" customFormat="1" x14ac:dyDescent="0.25">
      <c r="B175" s="99" t="str">
        <f t="shared" ref="B175:B183" si="13">C175&amp;"-"&amp;D175&amp;"-"&amp;E175</f>
        <v>commercial-appliances-coal (BTU)</v>
      </c>
      <c r="C175" s="95" t="s">
        <v>737</v>
      </c>
      <c r="D175" s="95" t="s">
        <v>732</v>
      </c>
      <c r="E175" s="95" t="s">
        <v>12</v>
      </c>
      <c r="F175" s="93">
        <v>0</v>
      </c>
      <c r="G175" s="93">
        <v>0</v>
      </c>
      <c r="H175" s="93">
        <v>0</v>
      </c>
      <c r="I175" s="93">
        <v>0</v>
      </c>
      <c r="J175" s="93">
        <v>0</v>
      </c>
      <c r="K175" s="93">
        <v>0</v>
      </c>
      <c r="L175" s="93">
        <v>0</v>
      </c>
      <c r="M175" s="93">
        <v>0</v>
      </c>
      <c r="N175" s="93">
        <v>0</v>
      </c>
      <c r="O175" s="93">
        <v>0</v>
      </c>
      <c r="P175" s="93">
        <v>0</v>
      </c>
      <c r="Q175" s="93">
        <v>0</v>
      </c>
      <c r="R175" s="93">
        <v>0</v>
      </c>
      <c r="S175" s="93">
        <v>0</v>
      </c>
      <c r="T175" s="93">
        <v>0</v>
      </c>
      <c r="U175" s="93">
        <v>0</v>
      </c>
      <c r="V175" s="93">
        <v>0</v>
      </c>
      <c r="W175" s="93">
        <v>0</v>
      </c>
      <c r="X175" s="93">
        <v>0</v>
      </c>
      <c r="Y175" s="93">
        <v>0</v>
      </c>
      <c r="Z175" s="93">
        <v>0</v>
      </c>
      <c r="AA175" s="93">
        <v>0</v>
      </c>
      <c r="AB175" s="93">
        <v>0</v>
      </c>
      <c r="AC175" s="93">
        <v>0</v>
      </c>
      <c r="AD175" s="93">
        <v>0</v>
      </c>
      <c r="AE175" s="93">
        <v>0</v>
      </c>
      <c r="AF175" s="93">
        <v>0</v>
      </c>
    </row>
    <row r="176" spans="2:32" s="93" customFormat="1" x14ac:dyDescent="0.25">
      <c r="B176" s="99" t="str">
        <f t="shared" si="13"/>
        <v>commercial-appliances-natural gas (BTU)</v>
      </c>
      <c r="C176" s="95" t="s">
        <v>737</v>
      </c>
      <c r="D176" s="95" t="s">
        <v>732</v>
      </c>
      <c r="E176" s="95" t="s">
        <v>13</v>
      </c>
      <c r="F176" s="93">
        <f>SUMIFS('Crosswalk AEO to EPS Summary'!F:F,'Crosswalk AEO to EPS Summary'!$B:$B,$B176)*quadrillion</f>
        <v>670828000000000</v>
      </c>
      <c r="G176" s="93">
        <f>SUMIFS('Crosswalk AEO to EPS Summary'!G:G,'Crosswalk AEO to EPS Summary'!$B:$B,$B176)*quadrillion</f>
        <v>700841000000000</v>
      </c>
      <c r="H176" s="93">
        <f>SUMIFS('Crosswalk AEO to EPS Summary'!H:H,'Crosswalk AEO to EPS Summary'!$B:$B,$B176)*quadrillion</f>
        <v>718170000000000</v>
      </c>
      <c r="I176" s="93">
        <f>SUMIFS('Crosswalk AEO to EPS Summary'!I:I,'Crosswalk AEO to EPS Summary'!$B:$B,$B176)*quadrillion</f>
        <v>728862000000000</v>
      </c>
      <c r="J176" s="93">
        <f>SUMIFS('Crosswalk AEO to EPS Summary'!J:J,'Crosswalk AEO to EPS Summary'!$B:$B,$B176)*quadrillion</f>
        <v>736700000000000</v>
      </c>
      <c r="K176" s="93">
        <f>SUMIFS('Crosswalk AEO to EPS Summary'!K:K,'Crosswalk AEO to EPS Summary'!$B:$B,$B176)*quadrillion</f>
        <v>743306000000000</v>
      </c>
      <c r="L176" s="93">
        <f>SUMIFS('Crosswalk AEO to EPS Summary'!L:L,'Crosswalk AEO to EPS Summary'!$B:$B,$B176)*quadrillion</f>
        <v>748634000000000</v>
      </c>
      <c r="M176" s="93">
        <f>SUMIFS('Crosswalk AEO to EPS Summary'!M:M,'Crosswalk AEO to EPS Summary'!$B:$B,$B176)*quadrillion</f>
        <v>754516000000000</v>
      </c>
      <c r="N176" s="93">
        <f>SUMIFS('Crosswalk AEO to EPS Summary'!N:N,'Crosswalk AEO to EPS Summary'!$B:$B,$B176)*quadrillion</f>
        <v>758667999999999.88</v>
      </c>
      <c r="O176" s="93">
        <f>SUMIFS('Crosswalk AEO to EPS Summary'!O:O,'Crosswalk AEO to EPS Summary'!$B:$B,$B176)*quadrillion</f>
        <v>762484000000000</v>
      </c>
      <c r="P176" s="93">
        <f>SUMIFS('Crosswalk AEO to EPS Summary'!P:P,'Crosswalk AEO to EPS Summary'!$B:$B,$B176)*quadrillion</f>
        <v>767281000000000</v>
      </c>
      <c r="Q176" s="93">
        <f>SUMIFS('Crosswalk AEO to EPS Summary'!Q:Q,'Crosswalk AEO to EPS Summary'!$B:$B,$B176)*quadrillion</f>
        <v>774002000000000.13</v>
      </c>
      <c r="R176" s="93">
        <f>SUMIFS('Crosswalk AEO to EPS Summary'!R:R,'Crosswalk AEO to EPS Summary'!$B:$B,$B176)*quadrillion</f>
        <v>782764999999999.88</v>
      </c>
      <c r="S176" s="93">
        <f>SUMIFS('Crosswalk AEO to EPS Summary'!S:S,'Crosswalk AEO to EPS Summary'!$B:$B,$B176)*quadrillion</f>
        <v>792640000000000</v>
      </c>
      <c r="T176" s="93">
        <f>SUMIFS('Crosswalk AEO to EPS Summary'!T:T,'Crosswalk AEO to EPS Summary'!$B:$B,$B176)*quadrillion</f>
        <v>802786000000000</v>
      </c>
      <c r="U176" s="93">
        <f>SUMIFS('Crosswalk AEO to EPS Summary'!U:U,'Crosswalk AEO to EPS Summary'!$B:$B,$B176)*quadrillion</f>
        <v>813415000000000</v>
      </c>
      <c r="V176" s="93">
        <f>SUMIFS('Crosswalk AEO to EPS Summary'!V:V,'Crosswalk AEO to EPS Summary'!$B:$B,$B176)*quadrillion</f>
        <v>823282000000000.13</v>
      </c>
      <c r="W176" s="93">
        <f>SUMIFS('Crosswalk AEO to EPS Summary'!W:W,'Crosswalk AEO to EPS Summary'!$B:$B,$B176)*quadrillion</f>
        <v>832217000000000</v>
      </c>
      <c r="X176" s="93">
        <f>SUMIFS('Crosswalk AEO to EPS Summary'!X:X,'Crosswalk AEO to EPS Summary'!$B:$B,$B176)*quadrillion</f>
        <v>840451000000000</v>
      </c>
      <c r="Y176" s="93">
        <f>SUMIFS('Crosswalk AEO to EPS Summary'!Y:Y,'Crosswalk AEO to EPS Summary'!$B:$B,$B176)*quadrillion</f>
        <v>848333000000000</v>
      </c>
      <c r="Z176" s="93">
        <f>SUMIFS('Crosswalk AEO to EPS Summary'!Z:Z,'Crosswalk AEO to EPS Summary'!$B:$B,$B176)*quadrillion</f>
        <v>856749000000000</v>
      </c>
      <c r="AA176" s="93">
        <f>SUMIFS('Crosswalk AEO to EPS Summary'!AA:AA,'Crosswalk AEO to EPS Summary'!$B:$B,$B176)*quadrillion</f>
        <v>865273000000000</v>
      </c>
      <c r="AB176" s="93">
        <f>SUMIFS('Crosswalk AEO to EPS Summary'!AB:AB,'Crosswalk AEO to EPS Summary'!$B:$B,$B176)*quadrillion</f>
        <v>873237000000000</v>
      </c>
      <c r="AC176" s="93">
        <f>SUMIFS('Crosswalk AEO to EPS Summary'!AC:AC,'Crosswalk AEO to EPS Summary'!$B:$B,$B176)*quadrillion</f>
        <v>881739000000000</v>
      </c>
      <c r="AD176" s="93">
        <f>SUMIFS('Crosswalk AEO to EPS Summary'!AD:AD,'Crosswalk AEO to EPS Summary'!$B:$B,$B176)*quadrillion</f>
        <v>890666000000000</v>
      </c>
      <c r="AE176" s="93">
        <f>SUMIFS('Crosswalk AEO to EPS Summary'!AE:AE,'Crosswalk AEO to EPS Summary'!$B:$B,$B176)*quadrillion</f>
        <v>899216000000000</v>
      </c>
      <c r="AF176" s="93">
        <f>SUMIFS('Crosswalk AEO to EPS Summary'!AF:AF,'Crosswalk AEO to EPS Summary'!$B:$B,$B176)*quadrillion</f>
        <v>907430000000000</v>
      </c>
    </row>
    <row r="177" spans="2:32" s="93" customFormat="1" x14ac:dyDescent="0.25">
      <c r="B177" s="99" t="str">
        <f t="shared" si="13"/>
        <v>commercial-appliances-petroleum diesel (BTU)</v>
      </c>
      <c r="C177" s="95" t="s">
        <v>737</v>
      </c>
      <c r="D177" s="95" t="s">
        <v>732</v>
      </c>
      <c r="E177" s="95" t="s">
        <v>14</v>
      </c>
      <c r="F177" s="93">
        <f>SUMIFS('Crosswalk AEO to EPS Summary'!F:F,'Crosswalk AEO to EPS Summary'!$B:$B,$B177)*quadrillion</f>
        <v>3746000000000</v>
      </c>
      <c r="G177" s="93">
        <f>SUMIFS('Crosswalk AEO to EPS Summary'!G:G,'Crosswalk AEO to EPS Summary'!$B:$B,$B177)*quadrillion</f>
        <v>3811000000000</v>
      </c>
      <c r="H177" s="93">
        <f>SUMIFS('Crosswalk AEO to EPS Summary'!H:H,'Crosswalk AEO to EPS Summary'!$B:$B,$B177)*quadrillion</f>
        <v>3828000000000</v>
      </c>
      <c r="I177" s="93">
        <f>SUMIFS('Crosswalk AEO to EPS Summary'!I:I,'Crosswalk AEO to EPS Summary'!$B:$B,$B177)*quadrillion</f>
        <v>3833000000000</v>
      </c>
      <c r="J177" s="93">
        <f>SUMIFS('Crosswalk AEO to EPS Summary'!J:J,'Crosswalk AEO to EPS Summary'!$B:$B,$B177)*quadrillion</f>
        <v>3829000000000</v>
      </c>
      <c r="K177" s="93">
        <f>SUMIFS('Crosswalk AEO to EPS Summary'!K:K,'Crosswalk AEO to EPS Summary'!$B:$B,$B177)*quadrillion</f>
        <v>3819000000000</v>
      </c>
      <c r="L177" s="93">
        <f>SUMIFS('Crosswalk AEO to EPS Summary'!L:L,'Crosswalk AEO to EPS Summary'!$B:$B,$B177)*quadrillion</f>
        <v>3810000000000</v>
      </c>
      <c r="M177" s="93">
        <f>SUMIFS('Crosswalk AEO to EPS Summary'!M:M,'Crosswalk AEO to EPS Summary'!$B:$B,$B177)*quadrillion</f>
        <v>3796000000000</v>
      </c>
      <c r="N177" s="93">
        <f>SUMIFS('Crosswalk AEO to EPS Summary'!N:N,'Crosswalk AEO to EPS Summary'!$B:$B,$B177)*quadrillion</f>
        <v>3782000000000</v>
      </c>
      <c r="O177" s="93">
        <f>SUMIFS('Crosswalk AEO to EPS Summary'!O:O,'Crosswalk AEO to EPS Summary'!$B:$B,$B177)*quadrillion</f>
        <v>3765000000000</v>
      </c>
      <c r="P177" s="93">
        <f>SUMIFS('Crosswalk AEO to EPS Summary'!P:P,'Crosswalk AEO to EPS Summary'!$B:$B,$B177)*quadrillion</f>
        <v>3747000000000</v>
      </c>
      <c r="Q177" s="93">
        <f>SUMIFS('Crosswalk AEO to EPS Summary'!Q:Q,'Crosswalk AEO to EPS Summary'!$B:$B,$B177)*quadrillion</f>
        <v>3729000000000</v>
      </c>
      <c r="R177" s="93">
        <f>SUMIFS('Crosswalk AEO to EPS Summary'!R:R,'Crosswalk AEO to EPS Summary'!$B:$B,$B177)*quadrillion</f>
        <v>3714000000000</v>
      </c>
      <c r="S177" s="93">
        <f>SUMIFS('Crosswalk AEO to EPS Summary'!S:S,'Crosswalk AEO to EPS Summary'!$B:$B,$B177)*quadrillion</f>
        <v>3697000000000</v>
      </c>
      <c r="T177" s="93">
        <f>SUMIFS('Crosswalk AEO to EPS Summary'!T:T,'Crosswalk AEO to EPS Summary'!$B:$B,$B177)*quadrillion</f>
        <v>3681000000000</v>
      </c>
      <c r="U177" s="93">
        <f>SUMIFS('Crosswalk AEO to EPS Summary'!U:U,'Crosswalk AEO to EPS Summary'!$B:$B,$B177)*quadrillion</f>
        <v>3667000000000</v>
      </c>
      <c r="V177" s="93">
        <f>SUMIFS('Crosswalk AEO to EPS Summary'!V:V,'Crosswalk AEO to EPS Summary'!$B:$B,$B177)*quadrillion</f>
        <v>3652000000000</v>
      </c>
      <c r="W177" s="93">
        <f>SUMIFS('Crosswalk AEO to EPS Summary'!W:W,'Crosswalk AEO to EPS Summary'!$B:$B,$B177)*quadrillion</f>
        <v>3637000000000</v>
      </c>
      <c r="X177" s="93">
        <f>SUMIFS('Crosswalk AEO to EPS Summary'!X:X,'Crosswalk AEO to EPS Summary'!$B:$B,$B177)*quadrillion</f>
        <v>3621000000000</v>
      </c>
      <c r="Y177" s="93">
        <f>SUMIFS('Crosswalk AEO to EPS Summary'!Y:Y,'Crosswalk AEO to EPS Summary'!$B:$B,$B177)*quadrillion</f>
        <v>3606000000000</v>
      </c>
      <c r="Z177" s="93">
        <f>SUMIFS('Crosswalk AEO to EPS Summary'!Z:Z,'Crosswalk AEO to EPS Summary'!$B:$B,$B177)*quadrillion</f>
        <v>3584000000000</v>
      </c>
      <c r="AA177" s="93">
        <f>SUMIFS('Crosswalk AEO to EPS Summary'!AA:AA,'Crosswalk AEO to EPS Summary'!$B:$B,$B177)*quadrillion</f>
        <v>3572000000000</v>
      </c>
      <c r="AB177" s="93">
        <f>SUMIFS('Crosswalk AEO to EPS Summary'!AB:AB,'Crosswalk AEO to EPS Summary'!$B:$B,$B177)*quadrillion</f>
        <v>3561000000000</v>
      </c>
      <c r="AC177" s="93">
        <f>SUMIFS('Crosswalk AEO to EPS Summary'!AC:AC,'Crosswalk AEO to EPS Summary'!$B:$B,$B177)*quadrillion</f>
        <v>3556000000000</v>
      </c>
      <c r="AD177" s="93">
        <f>SUMIFS('Crosswalk AEO to EPS Summary'!AD:AD,'Crosswalk AEO to EPS Summary'!$B:$B,$B177)*quadrillion</f>
        <v>3553000000000</v>
      </c>
      <c r="AE177" s="93">
        <f>SUMIFS('Crosswalk AEO to EPS Summary'!AE:AE,'Crosswalk AEO to EPS Summary'!$B:$B,$B177)*quadrillion</f>
        <v>3548000000000</v>
      </c>
      <c r="AF177" s="93">
        <f>SUMIFS('Crosswalk AEO to EPS Summary'!AF:AF,'Crosswalk AEO to EPS Summary'!$B:$B,$B177)*quadrillion</f>
        <v>3540000000000</v>
      </c>
    </row>
    <row r="178" spans="2:32" s="93" customFormat="1" x14ac:dyDescent="0.25">
      <c r="B178" s="99" t="str">
        <f t="shared" si="13"/>
        <v>commercial-appliances-heat (BTU)</v>
      </c>
      <c r="C178" s="95" t="s">
        <v>737</v>
      </c>
      <c r="D178" s="95" t="s">
        <v>732</v>
      </c>
      <c r="E178" s="95" t="s">
        <v>16</v>
      </c>
      <c r="F178" s="93">
        <v>0</v>
      </c>
      <c r="G178" s="93">
        <v>0</v>
      </c>
      <c r="H178" s="93">
        <v>0</v>
      </c>
      <c r="I178" s="93">
        <v>0</v>
      </c>
      <c r="J178" s="93">
        <v>0</v>
      </c>
      <c r="K178" s="93">
        <v>0</v>
      </c>
      <c r="L178" s="93">
        <v>0</v>
      </c>
      <c r="M178" s="93">
        <v>0</v>
      </c>
      <c r="N178" s="93">
        <v>0</v>
      </c>
      <c r="O178" s="93">
        <v>0</v>
      </c>
      <c r="P178" s="93">
        <v>0</v>
      </c>
      <c r="Q178" s="93">
        <v>0</v>
      </c>
      <c r="R178" s="93">
        <v>0</v>
      </c>
      <c r="S178" s="93">
        <v>0</v>
      </c>
      <c r="T178" s="93">
        <v>0</v>
      </c>
      <c r="U178" s="93">
        <v>0</v>
      </c>
      <c r="V178" s="93">
        <v>0</v>
      </c>
      <c r="W178" s="93">
        <v>0</v>
      </c>
      <c r="X178" s="93">
        <v>0</v>
      </c>
      <c r="Y178" s="93">
        <v>0</v>
      </c>
      <c r="Z178" s="93">
        <v>0</v>
      </c>
      <c r="AA178" s="93">
        <v>0</v>
      </c>
      <c r="AB178" s="93">
        <v>0</v>
      </c>
      <c r="AC178" s="93">
        <v>0</v>
      </c>
      <c r="AD178" s="93">
        <v>0</v>
      </c>
      <c r="AE178" s="93">
        <v>0</v>
      </c>
      <c r="AF178" s="93">
        <v>0</v>
      </c>
    </row>
    <row r="179" spans="2:32" s="93" customFormat="1" x14ac:dyDescent="0.25">
      <c r="B179" s="99" t="str">
        <f t="shared" si="13"/>
        <v>commercial-appliances-biomass (BTU)</v>
      </c>
      <c r="C179" s="95" t="s">
        <v>737</v>
      </c>
      <c r="D179" s="95" t="s">
        <v>732</v>
      </c>
      <c r="E179" s="95" t="s">
        <v>73</v>
      </c>
      <c r="F179" s="93">
        <v>0</v>
      </c>
      <c r="G179" s="93">
        <v>0</v>
      </c>
      <c r="H179" s="93">
        <v>0</v>
      </c>
      <c r="I179" s="93">
        <v>0</v>
      </c>
      <c r="J179" s="93">
        <v>0</v>
      </c>
      <c r="K179" s="93">
        <v>0</v>
      </c>
      <c r="L179" s="93">
        <v>0</v>
      </c>
      <c r="M179" s="93">
        <v>0</v>
      </c>
      <c r="N179" s="93">
        <v>0</v>
      </c>
      <c r="O179" s="93">
        <v>0</v>
      </c>
      <c r="P179" s="93">
        <v>0</v>
      </c>
      <c r="Q179" s="93">
        <v>0</v>
      </c>
      <c r="R179" s="93">
        <v>0</v>
      </c>
      <c r="S179" s="93">
        <v>0</v>
      </c>
      <c r="T179" s="93">
        <v>0</v>
      </c>
      <c r="U179" s="93">
        <v>0</v>
      </c>
      <c r="V179" s="93">
        <v>0</v>
      </c>
      <c r="W179" s="93">
        <v>0</v>
      </c>
      <c r="X179" s="93">
        <v>0</v>
      </c>
      <c r="Y179" s="93">
        <v>0</v>
      </c>
      <c r="Z179" s="93">
        <v>0</v>
      </c>
      <c r="AA179" s="93">
        <v>0</v>
      </c>
      <c r="AB179" s="93">
        <v>0</v>
      </c>
      <c r="AC179" s="93">
        <v>0</v>
      </c>
      <c r="AD179" s="93">
        <v>0</v>
      </c>
      <c r="AE179" s="93">
        <v>0</v>
      </c>
      <c r="AF179" s="93">
        <v>0</v>
      </c>
    </row>
    <row r="180" spans="2:32" x14ac:dyDescent="0.25">
      <c r="B180" s="100" t="str">
        <f t="shared" si="13"/>
        <v>commercial-appliances-kerosene (BTU)</v>
      </c>
      <c r="C180" s="94" t="s">
        <v>737</v>
      </c>
      <c r="D180" s="94" t="s">
        <v>732</v>
      </c>
      <c r="E180" s="94" t="s">
        <v>170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25">
      <c r="B181" s="100" t="str">
        <f t="shared" si="13"/>
        <v>commercial-appliances-heavy or residual fuel oil (BTU)</v>
      </c>
      <c r="C181" s="94" t="s">
        <v>737</v>
      </c>
      <c r="D181" s="94" t="s">
        <v>732</v>
      </c>
      <c r="E181" s="94" t="s">
        <v>171</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25">
      <c r="B182" s="100" t="str">
        <f t="shared" si="13"/>
        <v>commercial-other-LPG propane or butane (BTU)</v>
      </c>
      <c r="C182" s="94" t="s">
        <v>737</v>
      </c>
      <c r="D182" s="94" t="s">
        <v>734</v>
      </c>
      <c r="E182" s="94" t="s">
        <v>172</v>
      </c>
      <c r="F182" s="74">
        <f>SUMIFS('Crosswalk AEO to EPS Summary'!F:F,'Crosswalk AEO to EPS Summary'!$B:$B,$B182)*(1-Fraction_coal)*quadrillion*(F177/SUM(F$138,F$177,F$190))</f>
        <v>7622096838499.5635</v>
      </c>
      <c r="G182" s="74">
        <f>SUMIFS('Crosswalk AEO to EPS Summary'!G:G,'Crosswalk AEO to EPS Summary'!$B:$B,$B182)*(1-Fraction_coal)*quadrillion*(G177/SUM(G$138,G$177,G$190))</f>
        <v>7642533383375.9814</v>
      </c>
      <c r="H182" s="74">
        <f>SUMIFS('Crosswalk AEO to EPS Summary'!H:H,'Crosswalk AEO to EPS Summary'!$B:$B,$B182)*(1-Fraction_coal)*quadrillion*(H177/SUM(H$138,H$177,H$190))</f>
        <v>7781883390910.71</v>
      </c>
      <c r="I182" s="74">
        <f>SUMIFS('Crosswalk AEO to EPS Summary'!I:I,'Crosswalk AEO to EPS Summary'!$B:$B,$B182)*(1-Fraction_coal)*quadrillion*(I177/SUM(I$138,I$177,I$190))</f>
        <v>7894018167894.8398</v>
      </c>
      <c r="J182" s="74">
        <f>SUMIFS('Crosswalk AEO to EPS Summary'!J:J,'Crosswalk AEO to EPS Summary'!$B:$B,$B182)*(1-Fraction_coal)*quadrillion*(J177/SUM(J$138,J$177,J$190))</f>
        <v>8028802128290.9922</v>
      </c>
      <c r="K182" s="74">
        <f>SUMIFS('Crosswalk AEO to EPS Summary'!K:K,'Crosswalk AEO to EPS Summary'!$B:$B,$B182)*(1-Fraction_coal)*quadrillion*(K177/SUM(K$138,K$177,K$190))</f>
        <v>8136013941914.8818</v>
      </c>
      <c r="L182" s="74">
        <f>SUMIFS('Crosswalk AEO to EPS Summary'!L:L,'Crosswalk AEO to EPS Summary'!$B:$B,$B182)*(1-Fraction_coal)*quadrillion*(L177/SUM(L$138,L$177,L$190))</f>
        <v>8260398158897.3213</v>
      </c>
      <c r="M182" s="74">
        <f>SUMIFS('Crosswalk AEO to EPS Summary'!M:M,'Crosswalk AEO to EPS Summary'!$B:$B,$B182)*(1-Fraction_coal)*quadrillion*(M177/SUM(M$138,M$177,M$190))</f>
        <v>8388198638459.4863</v>
      </c>
      <c r="N182" s="74">
        <f>SUMIFS('Crosswalk AEO to EPS Summary'!N:N,'Crosswalk AEO to EPS Summary'!$B:$B,$B182)*(1-Fraction_coal)*quadrillion*(N177/SUM(N$138,N$177,N$190))</f>
        <v>8520994853199.0293</v>
      </c>
      <c r="O182" s="74">
        <f>SUMIFS('Crosswalk AEO to EPS Summary'!O:O,'Crosswalk AEO to EPS Summary'!$B:$B,$B182)*(1-Fraction_coal)*quadrillion*(O177/SUM(O$138,O$177,O$190))</f>
        <v>8653221867199.2012</v>
      </c>
      <c r="P182" s="74">
        <f>SUMIFS('Crosswalk AEO to EPS Summary'!P:P,'Crosswalk AEO to EPS Summary'!$B:$B,$B182)*(1-Fraction_coal)*quadrillion*(P177/SUM(P$138,P$177,P$190))</f>
        <v>8793806498442.874</v>
      </c>
      <c r="Q182" s="74">
        <f>SUMIFS('Crosswalk AEO to EPS Summary'!Q:Q,'Crosswalk AEO to EPS Summary'!$B:$B,$B182)*(1-Fraction_coal)*quadrillion*(Q177/SUM(Q$138,Q$177,Q$190))</f>
        <v>8935966420325.0703</v>
      </c>
      <c r="R182" s="74">
        <f>SUMIFS('Crosswalk AEO to EPS Summary'!R:R,'Crosswalk AEO to EPS Summary'!$B:$B,$B182)*(1-Fraction_coal)*quadrillion*(R177/SUM(R$138,R$177,R$190))</f>
        <v>9070608589626.9316</v>
      </c>
      <c r="S182" s="74">
        <f>SUMIFS('Crosswalk AEO to EPS Summary'!S:S,'Crosswalk AEO to EPS Summary'!$B:$B,$B182)*(1-Fraction_coal)*quadrillion*(S177/SUM(S$138,S$177,S$190))</f>
        <v>9203741429945.25</v>
      </c>
      <c r="T182" s="74">
        <f>SUMIFS('Crosswalk AEO to EPS Summary'!T:T,'Crosswalk AEO to EPS Summary'!$B:$B,$B182)*(1-Fraction_coal)*quadrillion*(T177/SUM(T$138,T$177,T$190))</f>
        <v>9326684571231.9082</v>
      </c>
      <c r="U182" s="74">
        <f>SUMIFS('Crosswalk AEO to EPS Summary'!U:U,'Crosswalk AEO to EPS Summary'!$B:$B,$B182)*(1-Fraction_coal)*quadrillion*(U177/SUM(U$138,U$177,U$190))</f>
        <v>9458143634200.3242</v>
      </c>
      <c r="V182" s="74">
        <f>SUMIFS('Crosswalk AEO to EPS Summary'!V:V,'Crosswalk AEO to EPS Summary'!$B:$B,$B182)*(1-Fraction_coal)*quadrillion*(V177/SUM(V$138,V$177,V$190))</f>
        <v>9585842068620.0215</v>
      </c>
      <c r="W182" s="74">
        <f>SUMIFS('Crosswalk AEO to EPS Summary'!W:W,'Crosswalk AEO to EPS Summary'!$B:$B,$B182)*(1-Fraction_coal)*quadrillion*(W177/SUM(W$138,W$177,W$190))</f>
        <v>9709377867764.916</v>
      </c>
      <c r="X182" s="74">
        <f>SUMIFS('Crosswalk AEO to EPS Summary'!X:X,'Crosswalk AEO to EPS Summary'!$B:$B,$B182)*(1-Fraction_coal)*quadrillion*(X177/SUM(X$138,X$177,X$190))</f>
        <v>9836132694079.9063</v>
      </c>
      <c r="Y182" s="74">
        <f>SUMIFS('Crosswalk AEO to EPS Summary'!Y:Y,'Crosswalk AEO to EPS Summary'!$B:$B,$B182)*(1-Fraction_coal)*quadrillion*(Y177/SUM(Y$138,Y$177,Y$190))</f>
        <v>9963873733125.8184</v>
      </c>
      <c r="Z182" s="74">
        <f>SUMIFS('Crosswalk AEO to EPS Summary'!Z:Z,'Crosswalk AEO to EPS Summary'!$B:$B,$B182)*(1-Fraction_coal)*quadrillion*(Z177/SUM(Z$138,Z$177,Z$190))</f>
        <v>10088729474060.26</v>
      </c>
      <c r="AA182" s="74">
        <f>SUMIFS('Crosswalk AEO to EPS Summary'!AA:AA,'Crosswalk AEO to EPS Summary'!$B:$B,$B182)*(1-Fraction_coal)*quadrillion*(AA177/SUM(AA$138,AA$177,AA$190))</f>
        <v>10217317862277.951</v>
      </c>
      <c r="AB182" s="74">
        <f>SUMIFS('Crosswalk AEO to EPS Summary'!AB:AB,'Crosswalk AEO to EPS Summary'!$B:$B,$B182)*(1-Fraction_coal)*quadrillion*(AB177/SUM(AB$138,AB$177,AB$190))</f>
        <v>10344493559304.121</v>
      </c>
      <c r="AC182" s="74">
        <f>SUMIFS('Crosswalk AEO to EPS Summary'!AC:AC,'Crosswalk AEO to EPS Summary'!$B:$B,$B182)*(1-Fraction_coal)*quadrillion*(AC177/SUM(AC$138,AC$177,AC$190))</f>
        <v>10477982605380.217</v>
      </c>
      <c r="AD182" s="74">
        <f>SUMIFS('Crosswalk AEO to EPS Summary'!AD:AD,'Crosswalk AEO to EPS Summary'!$B:$B,$B182)*(1-Fraction_coal)*quadrillion*(AD177/SUM(AD$138,AD$177,AD$190))</f>
        <v>10610062832768.236</v>
      </c>
      <c r="AE182" s="74">
        <f>SUMIFS('Crosswalk AEO to EPS Summary'!AE:AE,'Crosswalk AEO to EPS Summary'!$B:$B,$B182)*(1-Fraction_coal)*quadrillion*(AE177/SUM(AE$138,AE$177,AE$190))</f>
        <v>10745238224545.857</v>
      </c>
      <c r="AF182" s="74">
        <f>SUMIFS('Crosswalk AEO to EPS Summary'!AF:AF,'Crosswalk AEO to EPS Summary'!$B:$B,$B182)*(1-Fraction_coal)*quadrillion*(AF177/SUM(AF$138,AF$177,AF$190))</f>
        <v>10878310897277.846</v>
      </c>
    </row>
    <row r="183" spans="2:32" x14ac:dyDescent="0.25">
      <c r="B183" s="100" t="str">
        <f t="shared" si="13"/>
        <v>commercial-appliances-hydrogen (BTU)</v>
      </c>
      <c r="C183" s="94" t="s">
        <v>737</v>
      </c>
      <c r="D183" s="94" t="s">
        <v>732</v>
      </c>
      <c r="E183" s="94" t="s">
        <v>173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25">
      <c r="B185" s="1" t="s">
        <v>190</v>
      </c>
    </row>
    <row r="186" spans="2:32" x14ac:dyDescent="0.25">
      <c r="E186" s="94" t="s">
        <v>10</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s="93" customFormat="1" x14ac:dyDescent="0.25">
      <c r="B187" s="99" t="str">
        <f>C187&amp;"-"&amp;D187&amp;"-"&amp;E187</f>
        <v>commercial-other-electricity (BTU)</v>
      </c>
      <c r="C187" s="95" t="s">
        <v>737</v>
      </c>
      <c r="D187" s="95" t="s">
        <v>734</v>
      </c>
      <c r="E187" s="95" t="s">
        <v>11</v>
      </c>
      <c r="F187" s="93">
        <f>SUMIFS('Crosswalk AEO to EPS Summary'!F:F,'Crosswalk AEO to EPS Summary'!$B:$B,$B187)*quadrillion</f>
        <v>2285216000000000</v>
      </c>
      <c r="G187" s="93">
        <f>SUMIFS('Crosswalk AEO to EPS Summary'!G:G,'Crosswalk AEO to EPS Summary'!$B:$B,$B187)*quadrillion</f>
        <v>2378973000000000</v>
      </c>
      <c r="H187" s="93">
        <f>SUMIFS('Crosswalk AEO to EPS Summary'!H:H,'Crosswalk AEO to EPS Summary'!$B:$B,$B187)*quadrillion</f>
        <v>2327676000000000.5</v>
      </c>
      <c r="I187" s="93">
        <f>SUMIFS('Crosswalk AEO to EPS Summary'!I:I,'Crosswalk AEO to EPS Summary'!$B:$B,$B187)*quadrillion</f>
        <v>2333781000000000</v>
      </c>
      <c r="J187" s="93">
        <f>SUMIFS('Crosswalk AEO to EPS Summary'!J:J,'Crosswalk AEO to EPS Summary'!$B:$B,$B187)*quadrillion</f>
        <v>2338758000000000</v>
      </c>
      <c r="K187" s="93">
        <f>SUMIFS('Crosswalk AEO to EPS Summary'!K:K,'Crosswalk AEO to EPS Summary'!$B:$B,$B187)*quadrillion</f>
        <v>2393622000000000</v>
      </c>
      <c r="L187" s="93">
        <f>SUMIFS('Crosswalk AEO to EPS Summary'!L:L,'Crosswalk AEO to EPS Summary'!$B:$B,$B187)*quadrillion</f>
        <v>2445048000000000</v>
      </c>
      <c r="M187" s="93">
        <f>SUMIFS('Crosswalk AEO to EPS Summary'!M:M,'Crosswalk AEO to EPS Summary'!$B:$B,$B187)*quadrillion</f>
        <v>2496322000000000</v>
      </c>
      <c r="N187" s="93">
        <f>SUMIFS('Crosswalk AEO to EPS Summary'!N:N,'Crosswalk AEO to EPS Summary'!$B:$B,$B187)*quadrillion</f>
        <v>2549100000000000</v>
      </c>
      <c r="O187" s="93">
        <f>SUMIFS('Crosswalk AEO to EPS Summary'!O:O,'Crosswalk AEO to EPS Summary'!$B:$B,$B187)*quadrillion</f>
        <v>2603675000000000</v>
      </c>
      <c r="P187" s="93">
        <f>SUMIFS('Crosswalk AEO to EPS Summary'!P:P,'Crosswalk AEO to EPS Summary'!$B:$B,$B187)*quadrillion</f>
        <v>2661201000000000</v>
      </c>
      <c r="Q187" s="93">
        <f>SUMIFS('Crosswalk AEO to EPS Summary'!Q:Q,'Crosswalk AEO to EPS Summary'!$B:$B,$B187)*quadrillion</f>
        <v>2722298000000000.5</v>
      </c>
      <c r="R187" s="93">
        <f>SUMIFS('Crosswalk AEO to EPS Summary'!R:R,'Crosswalk AEO to EPS Summary'!$B:$B,$B187)*quadrillion</f>
        <v>2787121000000000</v>
      </c>
      <c r="S187" s="93">
        <f>SUMIFS('Crosswalk AEO to EPS Summary'!S:S,'Crosswalk AEO to EPS Summary'!$B:$B,$B187)*quadrillion</f>
        <v>2854492999999999.5</v>
      </c>
      <c r="T187" s="93">
        <f>SUMIFS('Crosswalk AEO to EPS Summary'!T:T,'Crosswalk AEO to EPS Summary'!$B:$B,$B187)*quadrillion</f>
        <v>2922590000000000</v>
      </c>
      <c r="U187" s="93">
        <f>SUMIFS('Crosswalk AEO to EPS Summary'!U:U,'Crosswalk AEO to EPS Summary'!$B:$B,$B187)*quadrillion</f>
        <v>2992824000000000</v>
      </c>
      <c r="V187" s="93">
        <f>SUMIFS('Crosswalk AEO to EPS Summary'!V:V,'Crosswalk AEO to EPS Summary'!$B:$B,$B187)*quadrillion</f>
        <v>3065406000000000.5</v>
      </c>
      <c r="W187" s="93">
        <f>SUMIFS('Crosswalk AEO to EPS Summary'!W:W,'Crosswalk AEO to EPS Summary'!$B:$B,$B187)*quadrillion</f>
        <v>3140213000000000</v>
      </c>
      <c r="X187" s="93">
        <f>SUMIFS('Crosswalk AEO to EPS Summary'!X:X,'Crosswalk AEO to EPS Summary'!$B:$B,$B187)*quadrillion</f>
        <v>3216760000000000.5</v>
      </c>
      <c r="Y187" s="93">
        <f>SUMIFS('Crosswalk AEO to EPS Summary'!Y:Y,'Crosswalk AEO to EPS Summary'!$B:$B,$B187)*quadrillion</f>
        <v>3295493999999999.5</v>
      </c>
      <c r="Z187" s="93">
        <f>SUMIFS('Crosswalk AEO to EPS Summary'!Z:Z,'Crosswalk AEO to EPS Summary'!$B:$B,$B187)*quadrillion</f>
        <v>3376973000000000</v>
      </c>
      <c r="AA187" s="93">
        <f>SUMIFS('Crosswalk AEO to EPS Summary'!AA:AA,'Crosswalk AEO to EPS Summary'!$B:$B,$B187)*quadrillion</f>
        <v>3460525000000000</v>
      </c>
      <c r="AB187" s="93">
        <f>SUMIFS('Crosswalk AEO to EPS Summary'!AB:AB,'Crosswalk AEO to EPS Summary'!$B:$B,$B187)*quadrillion</f>
        <v>3545996000000000</v>
      </c>
      <c r="AC187" s="93">
        <f>SUMIFS('Crosswalk AEO to EPS Summary'!AC:AC,'Crosswalk AEO to EPS Summary'!$B:$B,$B187)*quadrillion</f>
        <v>3634560000000000</v>
      </c>
      <c r="AD187" s="93">
        <f>SUMIFS('Crosswalk AEO to EPS Summary'!AD:AD,'Crosswalk AEO to EPS Summary'!$B:$B,$B187)*quadrillion</f>
        <v>3725938000000000</v>
      </c>
      <c r="AE187" s="93">
        <f>SUMIFS('Crosswalk AEO to EPS Summary'!AE:AE,'Crosswalk AEO to EPS Summary'!$B:$B,$B187)*quadrillion</f>
        <v>3818988000000000</v>
      </c>
      <c r="AF187" s="93">
        <f>SUMIFS('Crosswalk AEO to EPS Summary'!AF:AF,'Crosswalk AEO to EPS Summary'!$B:$B,$B187)*quadrillion</f>
        <v>3915764000000000</v>
      </c>
    </row>
    <row r="188" spans="2:32" x14ac:dyDescent="0.25">
      <c r="B188" s="100" t="str">
        <f t="shared" ref="B188:B196" si="14">C188&amp;"-"&amp;D188&amp;"-"&amp;E188</f>
        <v>commercial-other-coal (BTU)</v>
      </c>
      <c r="C188" s="94" t="s">
        <v>737</v>
      </c>
      <c r="D188" s="94" t="s">
        <v>734</v>
      </c>
      <c r="E188" s="94" t="s">
        <v>12</v>
      </c>
      <c r="F188" s="74">
        <f>SUMIFS('Crosswalk AEO to EPS Summary'!F:F,'Crosswalk AEO to EPS Summary'!$B:$B,$B195)*(Fraction_coal)*quadrillion</f>
        <v>26136440000000</v>
      </c>
      <c r="G188" s="74">
        <f>SUMIFS('Crosswalk AEO to EPS Summary'!G:G,'Crosswalk AEO to EPS Summary'!$B:$B,$B195)*(Fraction_coal)*quadrillion</f>
        <v>26448560000000</v>
      </c>
      <c r="H188" s="74">
        <f>SUMIFS('Crosswalk AEO to EPS Summary'!H:H,'Crosswalk AEO to EPS Summary'!$B:$B,$B195)*(Fraction_coal)*quadrillion</f>
        <v>27112840000000</v>
      </c>
      <c r="I188" s="74">
        <f>SUMIFS('Crosswalk AEO to EPS Summary'!I:I,'Crosswalk AEO to EPS Summary'!$B:$B,$B195)*(Fraction_coal)*quadrillion</f>
        <v>27633440000000.004</v>
      </c>
      <c r="J188" s="74">
        <f>SUMIFS('Crosswalk AEO to EPS Summary'!J:J,'Crosswalk AEO to EPS Summary'!$B:$B,$B195)*(Fraction_coal)*quadrillion</f>
        <v>28203640000000.004</v>
      </c>
      <c r="K188" s="74">
        <f>SUMIFS('Crosswalk AEO to EPS Summary'!K:K,'Crosswalk AEO to EPS Summary'!$B:$B,$B195)*(Fraction_coal)*quadrillion</f>
        <v>28660240000000</v>
      </c>
      <c r="L188" s="74">
        <f>SUMIFS('Crosswalk AEO to EPS Summary'!L:L,'Crosswalk AEO to EPS Summary'!$B:$B,$B195)*(Fraction_coal)*quadrillion</f>
        <v>29165240000000</v>
      </c>
      <c r="M188" s="74">
        <f>SUMIFS('Crosswalk AEO to EPS Summary'!M:M,'Crosswalk AEO to EPS Summary'!$B:$B,$B195)*(Fraction_coal)*quadrillion</f>
        <v>29673400000000.004</v>
      </c>
      <c r="N188" s="74">
        <f>SUMIFS('Crosswalk AEO to EPS Summary'!N:N,'Crosswalk AEO to EPS Summary'!$B:$B,$B195)*(Fraction_coal)*quadrillion</f>
        <v>30196360000000</v>
      </c>
      <c r="O188" s="74">
        <f>SUMIFS('Crosswalk AEO to EPS Summary'!O:O,'Crosswalk AEO to EPS Summary'!$B:$B,$B195)*(Fraction_coal)*quadrillion</f>
        <v>30690400000000.004</v>
      </c>
      <c r="P188" s="74">
        <f>SUMIFS('Crosswalk AEO to EPS Summary'!P:P,'Crosswalk AEO to EPS Summary'!$B:$B,$B195)*(Fraction_coal)*quadrillion</f>
        <v>31211520000000</v>
      </c>
      <c r="Q188" s="74">
        <f>SUMIFS('Crosswalk AEO to EPS Summary'!Q:Q,'Crosswalk AEO to EPS Summary'!$B:$B,$B195)*(Fraction_coal)*quadrillion</f>
        <v>31723200000000</v>
      </c>
      <c r="R188" s="74">
        <f>SUMIFS('Crosswalk AEO to EPS Summary'!R:R,'Crosswalk AEO to EPS Summary'!$B:$B,$B195)*(Fraction_coal)*quadrillion</f>
        <v>32208720000000.004</v>
      </c>
      <c r="S188" s="74">
        <f>SUMIFS('Crosswalk AEO to EPS Summary'!S:S,'Crosswalk AEO to EPS Summary'!$B:$B,$B195)*(Fraction_coal)*quadrillion</f>
        <v>32682680000000</v>
      </c>
      <c r="T188" s="74">
        <f>SUMIFS('Crosswalk AEO to EPS Summary'!T:T,'Crosswalk AEO to EPS Summary'!$B:$B,$B195)*(Fraction_coal)*quadrillion</f>
        <v>33129240000000.004</v>
      </c>
      <c r="U188" s="74">
        <f>SUMIFS('Crosswalk AEO to EPS Summary'!U:U,'Crosswalk AEO to EPS Summary'!$B:$B,$B195)*(Fraction_coal)*quadrillion</f>
        <v>33600440000000.004</v>
      </c>
      <c r="V188" s="74">
        <f>SUMIFS('Crosswalk AEO to EPS Summary'!V:V,'Crosswalk AEO to EPS Summary'!$B:$B,$B195)*(Fraction_coal)*quadrillion</f>
        <v>34056600000000</v>
      </c>
      <c r="W188" s="74">
        <f>SUMIFS('Crosswalk AEO to EPS Summary'!W:W,'Crosswalk AEO to EPS Summary'!$B:$B,$B195)*(Fraction_coal)*quadrillion</f>
        <v>34490160000000</v>
      </c>
      <c r="X188" s="74">
        <f>SUMIFS('Crosswalk AEO to EPS Summary'!X:X,'Crosswalk AEO to EPS Summary'!$B:$B,$B195)*(Fraction_coal)*quadrillion</f>
        <v>34929679999999.996</v>
      </c>
      <c r="Y188" s="74">
        <f>SUMIFS('Crosswalk AEO to EPS Summary'!Y:Y,'Crosswalk AEO to EPS Summary'!$B:$B,$B195)*(Fraction_coal)*quadrillion</f>
        <v>35359640000000</v>
      </c>
      <c r="Z188" s="74">
        <f>SUMIFS('Crosswalk AEO to EPS Summary'!Z:Z,'Crosswalk AEO to EPS Summary'!$B:$B,$B195)*(Fraction_coal)*quadrillion</f>
        <v>35786160000000</v>
      </c>
      <c r="AA188" s="74">
        <f>SUMIFS('Crosswalk AEO to EPS Summary'!AA:AA,'Crosswalk AEO to EPS Summary'!$B:$B,$B195)*(Fraction_coal)*quadrillion</f>
        <v>36223400000000</v>
      </c>
      <c r="AB188" s="74">
        <f>SUMIFS('Crosswalk AEO to EPS Summary'!AB:AB,'Crosswalk AEO to EPS Summary'!$B:$B,$B195)*(Fraction_coal)*quadrillion</f>
        <v>36652120000000</v>
      </c>
      <c r="AC188" s="74">
        <f>SUMIFS('Crosswalk AEO to EPS Summary'!AC:AC,'Crosswalk AEO to EPS Summary'!$B:$B,$B195)*(Fraction_coal)*quadrillion</f>
        <v>37095280000000</v>
      </c>
      <c r="AD188" s="74">
        <f>SUMIFS('Crosswalk AEO to EPS Summary'!AD:AD,'Crosswalk AEO to EPS Summary'!$B:$B,$B195)*(Fraction_coal)*quadrillion</f>
        <v>37541720000000</v>
      </c>
      <c r="AE188" s="74">
        <f>SUMIFS('Crosswalk AEO to EPS Summary'!AE:AE,'Crosswalk AEO to EPS Summary'!$B:$B,$B195)*(Fraction_coal)*quadrillion</f>
        <v>37990560000000</v>
      </c>
      <c r="AF188" s="74">
        <f>SUMIFS('Crosswalk AEO to EPS Summary'!AF:AF,'Crosswalk AEO to EPS Summary'!$B:$B,$B195)*(Fraction_coal)*quadrillion</f>
        <v>38428760000000</v>
      </c>
    </row>
    <row r="189" spans="2:32" s="93" customFormat="1" x14ac:dyDescent="0.25">
      <c r="B189" s="99" t="str">
        <f t="shared" si="14"/>
        <v>commercial-other-natural gas (BTU)</v>
      </c>
      <c r="C189" s="95" t="s">
        <v>737</v>
      </c>
      <c r="D189" s="95" t="s">
        <v>734</v>
      </c>
      <c r="E189" s="95" t="s">
        <v>13</v>
      </c>
      <c r="F189" s="93">
        <f>SUMIFS('Crosswalk AEO to EPS Summary'!F:F,'Crosswalk AEO to EPS Summary'!$B:$B,$B189)*quadrillion</f>
        <v>1200143000000000</v>
      </c>
      <c r="G189" s="93">
        <f>SUMIFS('Crosswalk AEO to EPS Summary'!G:G,'Crosswalk AEO to EPS Summary'!$B:$B,$B189)*quadrillion</f>
        <v>1195241000000000</v>
      </c>
      <c r="H189" s="93">
        <f>SUMIFS('Crosswalk AEO to EPS Summary'!H:H,'Crosswalk AEO to EPS Summary'!$B:$B,$B189)*quadrillion</f>
        <v>1192541000000000</v>
      </c>
      <c r="I189" s="93">
        <f>SUMIFS('Crosswalk AEO to EPS Summary'!I:I,'Crosswalk AEO to EPS Summary'!$B:$B,$B189)*quadrillion</f>
        <v>1184530000000000</v>
      </c>
      <c r="J189" s="93">
        <f>SUMIFS('Crosswalk AEO to EPS Summary'!J:J,'Crosswalk AEO to EPS Summary'!$B:$B,$B189)*quadrillion</f>
        <v>1172073000000000</v>
      </c>
      <c r="K189" s="93">
        <f>SUMIFS('Crosswalk AEO to EPS Summary'!K:K,'Crosswalk AEO to EPS Summary'!$B:$B,$B189)*quadrillion</f>
        <v>1174134000000000</v>
      </c>
      <c r="L189" s="93">
        <f>SUMIFS('Crosswalk AEO to EPS Summary'!L:L,'Crosswalk AEO to EPS Summary'!$B:$B,$B189)*quadrillion</f>
        <v>1174214000000000</v>
      </c>
      <c r="M189" s="93">
        <f>SUMIFS('Crosswalk AEO to EPS Summary'!M:M,'Crosswalk AEO to EPS Summary'!$B:$B,$B189)*quadrillion</f>
        <v>1173943000000000</v>
      </c>
      <c r="N189" s="93">
        <f>SUMIFS('Crosswalk AEO to EPS Summary'!N:N,'Crosswalk AEO to EPS Summary'!$B:$B,$B189)*quadrillion</f>
        <v>1170539000000000</v>
      </c>
      <c r="O189" s="93">
        <f>SUMIFS('Crosswalk AEO to EPS Summary'!O:O,'Crosswalk AEO to EPS Summary'!$B:$B,$B189)*quadrillion</f>
        <v>1166400000000000</v>
      </c>
      <c r="P189" s="93">
        <f>SUMIFS('Crosswalk AEO to EPS Summary'!P:P,'Crosswalk AEO to EPS Summary'!$B:$B,$B189)*quadrillion</f>
        <v>1163250000000000</v>
      </c>
      <c r="Q189" s="93">
        <f>SUMIFS('Crosswalk AEO to EPS Summary'!Q:Q,'Crosswalk AEO to EPS Summary'!$B:$B,$B189)*quadrillion</f>
        <v>1162672000000000</v>
      </c>
      <c r="R189" s="93">
        <f>SUMIFS('Crosswalk AEO to EPS Summary'!R:R,'Crosswalk AEO to EPS Summary'!$B:$B,$B189)*quadrillion</f>
        <v>1164979000000000</v>
      </c>
      <c r="S189" s="93">
        <f>SUMIFS('Crosswalk AEO to EPS Summary'!S:S,'Crosswalk AEO to EPS Summary'!$B:$B,$B189)*quadrillion</f>
        <v>1168980000000000</v>
      </c>
      <c r="T189" s="93">
        <f>SUMIFS('Crosswalk AEO to EPS Summary'!T:T,'Crosswalk AEO to EPS Summary'!$B:$B,$B189)*quadrillion</f>
        <v>1173669000000000</v>
      </c>
      <c r="U189" s="93">
        <f>SUMIFS('Crosswalk AEO to EPS Summary'!U:U,'Crosswalk AEO to EPS Summary'!$B:$B,$B189)*quadrillion</f>
        <v>1179099000000000</v>
      </c>
      <c r="V189" s="93">
        <f>SUMIFS('Crosswalk AEO to EPS Summary'!V:V,'Crosswalk AEO to EPS Summary'!$B:$B,$B189)*quadrillion</f>
        <v>1183828000000000</v>
      </c>
      <c r="W189" s="93">
        <f>SUMIFS('Crosswalk AEO to EPS Summary'!W:W,'Crosswalk AEO to EPS Summary'!$B:$B,$B189)*quadrillion</f>
        <v>1186681000000000</v>
      </c>
      <c r="X189" s="93">
        <f>SUMIFS('Crosswalk AEO to EPS Summary'!X:X,'Crosswalk AEO to EPS Summary'!$B:$B,$B189)*quadrillion</f>
        <v>1188695000000000</v>
      </c>
      <c r="Y189" s="93">
        <f>SUMIFS('Crosswalk AEO to EPS Summary'!Y:Y,'Crosswalk AEO to EPS Summary'!$B:$B,$B189)*quadrillion</f>
        <v>1190251000000000</v>
      </c>
      <c r="Z189" s="93">
        <f>SUMIFS('Crosswalk AEO to EPS Summary'!Z:Z,'Crosswalk AEO to EPS Summary'!$B:$B,$B189)*quadrillion</f>
        <v>1192779000000000</v>
      </c>
      <c r="AA189" s="93">
        <f>SUMIFS('Crosswalk AEO to EPS Summary'!AA:AA,'Crosswalk AEO to EPS Summary'!$B:$B,$B189)*quadrillion</f>
        <v>1195380000000000</v>
      </c>
      <c r="AB189" s="93">
        <f>SUMIFS('Crosswalk AEO to EPS Summary'!AB:AB,'Crosswalk AEO to EPS Summary'!$B:$B,$B189)*quadrillion</f>
        <v>1197174000000000</v>
      </c>
      <c r="AC189" s="93">
        <f>SUMIFS('Crosswalk AEO to EPS Summary'!AC:AC,'Crosswalk AEO to EPS Summary'!$B:$B,$B189)*quadrillion</f>
        <v>1199681000000000</v>
      </c>
      <c r="AD189" s="93">
        <f>SUMIFS('Crosswalk AEO to EPS Summary'!AD:AD,'Crosswalk AEO to EPS Summary'!$B:$B,$B189)*quadrillion</f>
        <v>1202824000000000</v>
      </c>
      <c r="AE189" s="93">
        <f>SUMIFS('Crosswalk AEO to EPS Summary'!AE:AE,'Crosswalk AEO to EPS Summary'!$B:$B,$B189)*quadrillion</f>
        <v>1205542000000000</v>
      </c>
      <c r="AF189" s="93">
        <f>SUMIFS('Crosswalk AEO to EPS Summary'!AF:AF,'Crosswalk AEO to EPS Summary'!$B:$B,$B189)*quadrillion</f>
        <v>1207929000000000</v>
      </c>
    </row>
    <row r="190" spans="2:32" s="93" customFormat="1" x14ac:dyDescent="0.25">
      <c r="B190" s="99" t="str">
        <f t="shared" si="14"/>
        <v>commercial-other-petroleum diesel (BTU)</v>
      </c>
      <c r="C190" s="95" t="s">
        <v>737</v>
      </c>
      <c r="D190" s="95" t="s">
        <v>734</v>
      </c>
      <c r="E190" s="95" t="s">
        <v>14</v>
      </c>
      <c r="F190" s="93">
        <f>SUMIFS('Crosswalk AEO to EPS Summary'!F:F,'Crosswalk AEO to EPS Summary'!$B:$B,$B190)*quadrillion</f>
        <v>235269000000000</v>
      </c>
      <c r="G190" s="93">
        <f>SUMIFS('Crosswalk AEO to EPS Summary'!G:G,'Crosswalk AEO to EPS Summary'!$B:$B,$B190)*quadrillion</f>
        <v>238648000000000</v>
      </c>
      <c r="H190" s="93">
        <f>SUMIFS('Crosswalk AEO to EPS Summary'!H:H,'Crosswalk AEO to EPS Summary'!$B:$B,$B190)*quadrillion</f>
        <v>242276000000000</v>
      </c>
      <c r="I190" s="93">
        <f>SUMIFS('Crosswalk AEO to EPS Summary'!I:I,'Crosswalk AEO to EPS Summary'!$B:$B,$B190)*quadrillion</f>
        <v>244607000000000</v>
      </c>
      <c r="J190" s="93">
        <f>SUMIFS('Crosswalk AEO to EPS Summary'!J:J,'Crosswalk AEO to EPS Summary'!$B:$B,$B190)*quadrillion</f>
        <v>246048000000000</v>
      </c>
      <c r="K190" s="93">
        <f>SUMIFS('Crosswalk AEO to EPS Summary'!K:K,'Crosswalk AEO to EPS Summary'!$B:$B,$B190)*quadrillion</f>
        <v>247077000000000</v>
      </c>
      <c r="L190" s="93">
        <f>SUMIFS('Crosswalk AEO to EPS Summary'!L:L,'Crosswalk AEO to EPS Summary'!$B:$B,$B190)*quadrillion</f>
        <v>248054000000000</v>
      </c>
      <c r="M190" s="93">
        <f>SUMIFS('Crosswalk AEO to EPS Summary'!M:M,'Crosswalk AEO to EPS Summary'!$B:$B,$B190)*quadrillion</f>
        <v>248537000000000</v>
      </c>
      <c r="N190" s="93">
        <f>SUMIFS('Crosswalk AEO to EPS Summary'!N:N,'Crosswalk AEO to EPS Summary'!$B:$B,$B190)*quadrillion</f>
        <v>248970000000000</v>
      </c>
      <c r="O190" s="93">
        <f>SUMIFS('Crosswalk AEO to EPS Summary'!O:O,'Crosswalk AEO to EPS Summary'!$B:$B,$B190)*quadrillion</f>
        <v>248937000000000</v>
      </c>
      <c r="P190" s="93">
        <f>SUMIFS('Crosswalk AEO to EPS Summary'!P:P,'Crosswalk AEO to EPS Summary'!$B:$B,$B190)*quadrillion</f>
        <v>248789000000000</v>
      </c>
      <c r="Q190" s="93">
        <f>SUMIFS('Crosswalk AEO to EPS Summary'!Q:Q,'Crosswalk AEO to EPS Summary'!$B:$B,$B190)*quadrillion</f>
        <v>248491000000000</v>
      </c>
      <c r="R190" s="93">
        <f>SUMIFS('Crosswalk AEO to EPS Summary'!R:R,'Crosswalk AEO to EPS Summary'!$B:$B,$B190)*quadrillion</f>
        <v>248383000000000</v>
      </c>
      <c r="S190" s="93">
        <f>SUMIFS('Crosswalk AEO to EPS Summary'!S:S,'Crosswalk AEO to EPS Summary'!$B:$B,$B190)*quadrillion</f>
        <v>248080000000000</v>
      </c>
      <c r="T190" s="93">
        <f>SUMIFS('Crosswalk AEO to EPS Summary'!T:T,'Crosswalk AEO to EPS Summary'!$B:$B,$B190)*quadrillion</f>
        <v>247905000000000</v>
      </c>
      <c r="U190" s="93">
        <f>SUMIFS('Crosswalk AEO to EPS Summary'!U:U,'Crosswalk AEO to EPS Summary'!$B:$B,$B190)*quadrillion</f>
        <v>247811000000000</v>
      </c>
      <c r="V190" s="93">
        <f>SUMIFS('Crosswalk AEO to EPS Summary'!V:V,'Crosswalk AEO to EPS Summary'!$B:$B,$B190)*quadrillion</f>
        <v>247625000000000</v>
      </c>
      <c r="W190" s="93">
        <f>SUMIFS('Crosswalk AEO to EPS Summary'!W:W,'Crosswalk AEO to EPS Summary'!$B:$B,$B190)*quadrillion</f>
        <v>247337000000000</v>
      </c>
      <c r="X190" s="93">
        <f>SUMIFS('Crosswalk AEO to EPS Summary'!X:X,'Crosswalk AEO to EPS Summary'!$B:$B,$B190)*quadrillion</f>
        <v>246923000000000</v>
      </c>
      <c r="Y190" s="93">
        <f>SUMIFS('Crosswalk AEO to EPS Summary'!Y:Y,'Crosswalk AEO to EPS Summary'!$B:$B,$B190)*quadrillion</f>
        <v>246471000000000</v>
      </c>
      <c r="Z190" s="93">
        <f>SUMIFS('Crosswalk AEO to EPS Summary'!Z:Z,'Crosswalk AEO to EPS Summary'!$B:$B,$B190)*quadrillion</f>
        <v>245575000000000</v>
      </c>
      <c r="AA190" s="93">
        <f>SUMIFS('Crosswalk AEO to EPS Summary'!AA:AA,'Crosswalk AEO to EPS Summary'!$B:$B,$B190)*quadrillion</f>
        <v>245337000000000</v>
      </c>
      <c r="AB190" s="93">
        <f>SUMIFS('Crosswalk AEO to EPS Summary'!AB:AB,'Crosswalk AEO to EPS Summary'!$B:$B,$B190)*quadrillion</f>
        <v>245137000000000</v>
      </c>
      <c r="AC190" s="93">
        <f>SUMIFS('Crosswalk AEO to EPS Summary'!AC:AC,'Crosswalk AEO to EPS Summary'!$B:$B,$B190)*quadrillion</f>
        <v>245284000000000</v>
      </c>
      <c r="AD190" s="93">
        <f>SUMIFS('Crosswalk AEO to EPS Summary'!AD:AD,'Crosswalk AEO to EPS Summary'!$B:$B,$B190)*quadrillion</f>
        <v>245618000000000</v>
      </c>
      <c r="AE190" s="93">
        <f>SUMIFS('Crosswalk AEO to EPS Summary'!AE:AE,'Crosswalk AEO to EPS Summary'!$B:$B,$B190)*quadrillion</f>
        <v>245740000000000</v>
      </c>
      <c r="AF190" s="93">
        <f>SUMIFS('Crosswalk AEO to EPS Summary'!AF:AF,'Crosswalk AEO to EPS Summary'!$B:$B,$B190)*quadrillion</f>
        <v>245625000000000</v>
      </c>
    </row>
    <row r="191" spans="2:32" x14ac:dyDescent="0.25">
      <c r="B191" s="100" t="str">
        <f t="shared" si="14"/>
        <v>commercial-other-heat (BTU)</v>
      </c>
      <c r="C191" s="94" t="s">
        <v>737</v>
      </c>
      <c r="D191" s="94" t="s">
        <v>734</v>
      </c>
      <c r="E191" s="94" t="s">
        <v>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25">
      <c r="B192" s="100" t="str">
        <f t="shared" si="14"/>
        <v>commercial-other-biomass (BTU)</v>
      </c>
      <c r="C192" s="94" t="s">
        <v>737</v>
      </c>
      <c r="D192" s="94" t="s">
        <v>734</v>
      </c>
      <c r="E192" s="94" t="s">
        <v>73</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25">
      <c r="B193" s="100" t="str">
        <f t="shared" si="14"/>
        <v>commercial-other-kerosene (BTU)</v>
      </c>
      <c r="C193" s="94" t="s">
        <v>737</v>
      </c>
      <c r="D193" s="94" t="s">
        <v>734</v>
      </c>
      <c r="E193" s="94" t="s">
        <v>170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25">
      <c r="B194" s="100" t="str">
        <f t="shared" si="14"/>
        <v>commercial-other-heavy or residual fuel oil (BTU)</v>
      </c>
      <c r="C194" s="94" t="s">
        <v>737</v>
      </c>
      <c r="D194" s="94" t="s">
        <v>734</v>
      </c>
      <c r="E194" s="94" t="s">
        <v>171</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25">
      <c r="B195" s="100" t="str">
        <f t="shared" si="14"/>
        <v>commercial-other-LPG propane or butane (BTU)</v>
      </c>
      <c r="C195" s="94" t="s">
        <v>737</v>
      </c>
      <c r="D195" s="94" t="s">
        <v>734</v>
      </c>
      <c r="E195" s="94" t="s">
        <v>172</v>
      </c>
      <c r="F195" s="74">
        <f>SUMIFS('Crosswalk AEO to EPS Summary'!F:F,'Crosswalk AEO to EPS Summary'!$B:$B,$B195)*(1-Fraction_coal)*quadrillion*(F190/SUM(F$138,F$177,F$190))</f>
        <v>478708782994381.69</v>
      </c>
      <c r="G195" s="74">
        <f>SUMIFS('Crosswalk AEO to EPS Summary'!G:G,'Crosswalk AEO to EPS Summary'!$B:$B,$B195)*(1-Fraction_coal)*quadrillion*(G190/SUM(G$138,G$177,G$190))</f>
        <v>478581817600606.5</v>
      </c>
      <c r="H195" s="74">
        <f>SUMIFS('Crosswalk AEO to EPS Summary'!H:H,'Crosswalk AEO to EPS Summary'!$B:$B,$B195)*(1-Fraction_coal)*quadrillion*(H190/SUM(H$138,H$177,H$190))</f>
        <v>492519221634347.75</v>
      </c>
      <c r="I195" s="74">
        <f>SUMIFS('Crosswalk AEO to EPS Summary'!I:I,'Crosswalk AEO to EPS Summary'!$B:$B,$B195)*(1-Fraction_coal)*quadrillion*(I190/SUM(I$138,I$177,I$190))</f>
        <v>503765223583160.19</v>
      </c>
      <c r="J195" s="74">
        <f>SUMIFS('Crosswalk AEO to EPS Summary'!J:J,'Crosswalk AEO to EPS Summary'!$B:$B,$B195)*(1-Fraction_coal)*quadrillion*(J190/SUM(J$138,J$177,J$190))</f>
        <v>515923401948744.31</v>
      </c>
      <c r="K195" s="74">
        <f>SUMIFS('Crosswalk AEO to EPS Summary'!K:K,'Crosswalk AEO to EPS Summary'!$B:$B,$B195)*(1-Fraction_coal)*quadrillion*(K190/SUM(K$138,K$177,K$190))</f>
        <v>526373898069259.81</v>
      </c>
      <c r="L195" s="74">
        <f>SUMIFS('Crosswalk AEO to EPS Summary'!L:L,'Crosswalk AEO to EPS Summary'!$B:$B,$B195)*(1-Fraction_coal)*quadrillion*(L190/SUM(L$138,L$177,L$190))</f>
        <v>537801786064859.88</v>
      </c>
      <c r="M195" s="74">
        <f>SUMIFS('Crosswalk AEO to EPS Summary'!M:M,'Crosswalk AEO to EPS Summary'!$B:$B,$B195)*(1-Fraction_coal)*quadrillion*(M190/SUM(M$138,M$177,M$190))</f>
        <v>549203826397999.31</v>
      </c>
      <c r="N195" s="74">
        <f>SUMIFS('Crosswalk AEO to EPS Summary'!N:N,'Crosswalk AEO to EPS Summary'!$B:$B,$B195)*(1-Fraction_coal)*quadrillion*(N190/SUM(N$138,N$177,N$190))</f>
        <v>560939209043088.94</v>
      </c>
      <c r="O195" s="74">
        <f>SUMIFS('Crosswalk AEO to EPS Summary'!O:O,'Crosswalk AEO to EPS Summary'!$B:$B,$B195)*(1-Fraction_coal)*quadrillion*(O190/SUM(O$138,O$177,O$190))</f>
        <v>572139997863205.25</v>
      </c>
      <c r="P195" s="74">
        <f>SUMIFS('Crosswalk AEO to EPS Summary'!P:P,'Crosswalk AEO to EPS Summary'!$B:$B,$B195)*(1-Fraction_coal)*quadrillion*(P190/SUM(P$138,P$177,P$190))</f>
        <v>583881058164159.13</v>
      </c>
      <c r="Q195" s="74">
        <f>SUMIFS('Crosswalk AEO to EPS Summary'!Q:Q,'Crosswalk AEO to EPS Summary'!$B:$B,$B195)*(1-Fraction_coal)*quadrillion*(Q190/SUM(Q$138,Q$177,Q$190))</f>
        <v>595469893202734.5</v>
      </c>
      <c r="R195" s="74">
        <f>SUMIFS('Crosswalk AEO to EPS Summary'!R:R,'Crosswalk AEO to EPS Summary'!$B:$B,$B195)*(1-Fraction_coal)*quadrillion*(R190/SUM(R$138,R$177,R$190))</f>
        <v>606619540473157.38</v>
      </c>
      <c r="S195" s="74">
        <f>SUMIFS('Crosswalk AEO to EPS Summary'!S:S,'Crosswalk AEO to EPS Summary'!$B:$B,$B195)*(1-Fraction_coal)*quadrillion*(S190/SUM(S$138,S$177,S$190))</f>
        <v>617599181482504.13</v>
      </c>
      <c r="T195" s="74">
        <f>SUMIFS('Crosswalk AEO to EPS Summary'!T:T,'Crosswalk AEO to EPS Summary'!$B:$B,$B195)*(1-Fraction_coal)*quadrillion*(T190/SUM(T$138,T$177,T$190))</f>
        <v>628125981698246.63</v>
      </c>
      <c r="U195" s="74">
        <f>SUMIFS('Crosswalk AEO to EPS Summary'!U:U,'Crosswalk AEO to EPS Summary'!$B:$B,$B195)*(1-Fraction_coal)*quadrillion*(U190/SUM(U$138,U$177,U$190))</f>
        <v>639168811599350</v>
      </c>
      <c r="V195" s="74">
        <f>SUMIFS('Crosswalk AEO to EPS Summary'!V:V,'Crosswalk AEO to EPS Summary'!$B:$B,$B195)*(1-Fraction_coal)*quadrillion*(V190/SUM(V$138,V$177,V$190))</f>
        <v>649971013757402.13</v>
      </c>
      <c r="W195" s="74">
        <f>SUMIFS('Crosswalk AEO to EPS Summary'!W:W,'Crosswalk AEO to EPS Summary'!$B:$B,$B195)*(1-Fraction_coal)*quadrillion*(W190/SUM(W$138,W$177,W$190))</f>
        <v>660293756854377.5</v>
      </c>
      <c r="X195" s="74">
        <f>SUMIFS('Crosswalk AEO to EPS Summary'!X:X,'Crosswalk AEO to EPS Summary'!$B:$B,$B195)*(1-Fraction_coal)*quadrillion*(X190/SUM(X$138,X$177,X$190))</f>
        <v>670744930466802.63</v>
      </c>
      <c r="Y195" s="74">
        <f>SUMIFS('Crosswalk AEO to EPS Summary'!Y:Y,'Crosswalk AEO to EPS Summary'!$B:$B,$B195)*(1-Fraction_coal)*quadrillion*(Y190/SUM(Y$138,Y$177,Y$190))</f>
        <v>681033256482876.75</v>
      </c>
      <c r="Z195" s="74">
        <f>SUMIFS('Crosswalk AEO to EPS Summary'!Z:Z,'Crosswalk AEO to EPS Summary'!$B:$B,$B195)*(1-Fraction_coal)*quadrillion*(Z190/SUM(Z$138,Z$177,Z$190))</f>
        <v>691277829406347.25</v>
      </c>
      <c r="AA195" s="74">
        <f>SUMIFS('Crosswalk AEO to EPS Summary'!AA:AA,'Crosswalk AEO to EPS Summary'!$B:$B,$B195)*(1-Fraction_coal)*quadrillion*(AA190/SUM(AA$138,AA$177,AA$190))</f>
        <v>701759829892969.13</v>
      </c>
      <c r="AB195" s="74">
        <f>SUMIFS('Crosswalk AEO to EPS Summary'!AB:AB,'Crosswalk AEO to EPS Summary'!$B:$B,$B195)*(1-Fraction_coal)*quadrillion*(AB190/SUM(AB$138,AB$177,AB$190))</f>
        <v>712108429555499.63</v>
      </c>
      <c r="AC195" s="74">
        <f>SUMIFS('Crosswalk AEO to EPS Summary'!AC:AC,'Crosswalk AEO to EPS Summary'!$B:$B,$B195)*(1-Fraction_coal)*quadrillion*(AC190/SUM(AC$138,AC$177,AC$190))</f>
        <v>722745074628256.75</v>
      </c>
      <c r="AD195" s="74">
        <f>SUMIFS('Crosswalk AEO to EPS Summary'!AD:AD,'Crosswalk AEO to EPS Summary'!$B:$B,$B195)*(1-Fraction_coal)*quadrillion*(AD190/SUM(AD$138,AD$177,AD$190))</f>
        <v>733470985887663.75</v>
      </c>
      <c r="AE195" s="74">
        <f>SUMIFS('Crosswalk AEO to EPS Summary'!AE:AE,'Crosswalk AEO to EPS Summary'!$B:$B,$B195)*(1-Fraction_coal)*quadrillion*(AE190/SUM(AE$138,AE$177,AE$190))</f>
        <v>744231916939092.13</v>
      </c>
      <c r="AF195" s="74">
        <f>SUMIFS('Crosswalk AEO to EPS Summary'!AF:AF,'Crosswalk AEO to EPS Summary'!$B:$B,$B195)*(1-Fraction_coal)*quadrillion*(AF190/SUM(AF$138,AF$177,AF$190))</f>
        <v>754798054842901.38</v>
      </c>
    </row>
    <row r="196" spans="2:32" x14ac:dyDescent="0.25">
      <c r="B196" s="100" t="str">
        <f t="shared" si="14"/>
        <v>commercial-other-hydrogen (BTU)</v>
      </c>
      <c r="C196" s="94" t="s">
        <v>737</v>
      </c>
      <c r="D196" s="94" t="s">
        <v>734</v>
      </c>
      <c r="E196" s="94" t="s">
        <v>173</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89" customFormat="1" x14ac:dyDescent="0.25">
      <c r="B198" s="89" t="s">
        <v>203</v>
      </c>
      <c r="C198" s="97"/>
      <c r="D198" s="97"/>
      <c r="E198" s="97"/>
      <c r="F198" s="89">
        <f t="shared" ref="F198:AF198" si="15">F186</f>
        <v>2024</v>
      </c>
      <c r="G198" s="89">
        <f t="shared" si="15"/>
        <v>2025</v>
      </c>
      <c r="H198" s="89">
        <f t="shared" si="15"/>
        <v>2026</v>
      </c>
      <c r="I198" s="89">
        <f t="shared" si="15"/>
        <v>2027</v>
      </c>
      <c r="J198" s="89">
        <f t="shared" si="15"/>
        <v>2028</v>
      </c>
      <c r="K198" s="89">
        <f t="shared" si="15"/>
        <v>2029</v>
      </c>
      <c r="L198" s="89">
        <f t="shared" si="15"/>
        <v>2030</v>
      </c>
      <c r="M198" s="89">
        <f t="shared" si="15"/>
        <v>2031</v>
      </c>
      <c r="N198" s="89">
        <f t="shared" si="15"/>
        <v>2032</v>
      </c>
      <c r="O198" s="89">
        <f t="shared" si="15"/>
        <v>2033</v>
      </c>
      <c r="P198" s="89">
        <f t="shared" si="15"/>
        <v>2034</v>
      </c>
      <c r="Q198" s="89">
        <f t="shared" si="15"/>
        <v>2035</v>
      </c>
      <c r="R198" s="89">
        <f t="shared" si="15"/>
        <v>2036</v>
      </c>
      <c r="S198" s="89">
        <f t="shared" si="15"/>
        <v>2037</v>
      </c>
      <c r="T198" s="89">
        <f t="shared" si="15"/>
        <v>2038</v>
      </c>
      <c r="U198" s="89">
        <f t="shared" si="15"/>
        <v>2039</v>
      </c>
      <c r="V198" s="89">
        <f t="shared" si="15"/>
        <v>2040</v>
      </c>
      <c r="W198" s="89">
        <f t="shared" si="15"/>
        <v>2041</v>
      </c>
      <c r="X198" s="89">
        <f t="shared" si="15"/>
        <v>2042</v>
      </c>
      <c r="Y198" s="89">
        <f t="shared" si="15"/>
        <v>2043</v>
      </c>
      <c r="Z198" s="89">
        <f t="shared" si="15"/>
        <v>2044</v>
      </c>
      <c r="AA198" s="89">
        <f t="shared" si="15"/>
        <v>2045</v>
      </c>
      <c r="AB198" s="89">
        <f t="shared" si="15"/>
        <v>2046</v>
      </c>
      <c r="AC198" s="89">
        <f t="shared" si="15"/>
        <v>2047</v>
      </c>
      <c r="AD198" s="89">
        <f t="shared" si="15"/>
        <v>2048</v>
      </c>
      <c r="AE198" s="89">
        <f t="shared" si="15"/>
        <v>2049</v>
      </c>
      <c r="AF198" s="89">
        <f t="shared" si="15"/>
        <v>2050</v>
      </c>
    </row>
    <row r="199" spans="2:32" s="87" customFormat="1" x14ac:dyDescent="0.25">
      <c r="C199" s="98"/>
      <c r="D199" s="98" t="s">
        <v>741</v>
      </c>
      <c r="E199" s="98"/>
    </row>
    <row r="200" spans="2:32" x14ac:dyDescent="0.25">
      <c r="C200" s="94" t="s">
        <v>202</v>
      </c>
      <c r="E200" s="94" t="s">
        <v>200</v>
      </c>
      <c r="F200">
        <f>Table_4._Residential_Sector_Key!F36*quadrillion</f>
        <v>5273498000000000</v>
      </c>
      <c r="G200">
        <f>Table_4._Residential_Sector_Key!G36*quadrillion</f>
        <v>5215618000000000</v>
      </c>
      <c r="H200">
        <f>Table_4._Residential_Sector_Key!H36*quadrillion</f>
        <v>5280972000000000</v>
      </c>
      <c r="I200">
        <f>Table_4._Residential_Sector_Key!I36*quadrillion</f>
        <v>5351367000000000</v>
      </c>
      <c r="J200">
        <f>Table_4._Residential_Sector_Key!J36*quadrillion</f>
        <v>5399890000000000</v>
      </c>
      <c r="K200">
        <f>Table_4._Residential_Sector_Key!K36*quadrillion</f>
        <v>5415101000000000</v>
      </c>
      <c r="L200">
        <f>Table_4._Residential_Sector_Key!L36*quadrillion</f>
        <v>5410760000000000</v>
      </c>
      <c r="M200">
        <f>Table_4._Residential_Sector_Key!M36*quadrillion</f>
        <v>5398130000000000</v>
      </c>
      <c r="N200">
        <f>Table_4._Residential_Sector_Key!N36*quadrillion</f>
        <v>5389836000000000</v>
      </c>
      <c r="O200">
        <f>Table_4._Residential_Sector_Key!O36*quadrillion</f>
        <v>5388621000000000</v>
      </c>
      <c r="P200">
        <f>Table_4._Residential_Sector_Key!P36*quadrillion</f>
        <v>5395986000000000</v>
      </c>
      <c r="Q200">
        <f>Table_4._Residential_Sector_Key!Q36*quadrillion</f>
        <v>5417979000000000</v>
      </c>
      <c r="R200">
        <f>Table_4._Residential_Sector_Key!R36*quadrillion</f>
        <v>5455192000000000</v>
      </c>
      <c r="S200">
        <f>Table_4._Residential_Sector_Key!S36*quadrillion</f>
        <v>5501026000000000</v>
      </c>
      <c r="T200">
        <f>Table_4._Residential_Sector_Key!T36*quadrillion</f>
        <v>5545281000000000</v>
      </c>
      <c r="U200">
        <f>Table_4._Residential_Sector_Key!U36*quadrillion</f>
        <v>5594539000000000</v>
      </c>
      <c r="V200">
        <f>Table_4._Residential_Sector_Key!V36*quadrillion</f>
        <v>5644015000000000</v>
      </c>
      <c r="W200">
        <f>Table_4._Residential_Sector_Key!W36*quadrillion</f>
        <v>5693741000000000</v>
      </c>
      <c r="X200">
        <f>Table_4._Residential_Sector_Key!X36*quadrillion</f>
        <v>5746128000000000</v>
      </c>
      <c r="Y200">
        <f>Table_4._Residential_Sector_Key!Y36*quadrillion</f>
        <v>5801775000000000</v>
      </c>
      <c r="Z200">
        <f>Table_4._Residential_Sector_Key!Z36*quadrillion</f>
        <v>5856970000000000</v>
      </c>
      <c r="AA200">
        <f>Table_4._Residential_Sector_Key!AA36*quadrillion</f>
        <v>5911991000000000</v>
      </c>
      <c r="AB200">
        <f>Table_4._Residential_Sector_Key!AB36*quadrillion</f>
        <v>5967147000000000</v>
      </c>
      <c r="AC200">
        <f>Table_4._Residential_Sector_Key!AC36*quadrillion</f>
        <v>6022335000000000</v>
      </c>
      <c r="AD200">
        <f>Table_4._Residential_Sector_Key!AD36*quadrillion</f>
        <v>6078058000000000</v>
      </c>
      <c r="AE200">
        <f>Table_4._Residential_Sector_Key!AE36*quadrillion</f>
        <v>6135883000000000</v>
      </c>
      <c r="AF200">
        <f>Table_4._Residential_Sector_Key!AF36*quadrillion</f>
        <v>6193983000000000</v>
      </c>
    </row>
    <row r="201" spans="2:32" x14ac:dyDescent="0.25">
      <c r="C201" s="94" t="s">
        <v>739</v>
      </c>
      <c r="E201" s="94" t="s">
        <v>200</v>
      </c>
      <c r="F201">
        <v>0</v>
      </c>
      <c r="G201">
        <f>'Heat Pump DOE Rule Adjustment'!E33</f>
        <v>459259000000000</v>
      </c>
      <c r="H201">
        <f>'Heat Pump DOE Rule Adjustment'!F33</f>
        <v>449699000000000</v>
      </c>
      <c r="I201">
        <f>'Heat Pump DOE Rule Adjustment'!G33</f>
        <v>440442000000000</v>
      </c>
      <c r="J201">
        <f>'Heat Pump DOE Rule Adjustment'!H33</f>
        <v>428544000000000</v>
      </c>
      <c r="K201">
        <f>'Heat Pump DOE Rule Adjustment'!I33</f>
        <v>397027638359234.81</v>
      </c>
      <c r="L201">
        <f>'Heat Pump DOE Rule Adjustment'!J33</f>
        <v>385907276718469.56</v>
      </c>
      <c r="M201">
        <f>'Heat Pump DOE Rule Adjustment'!K33</f>
        <v>374786915077704.38</v>
      </c>
      <c r="N201">
        <f>'Heat Pump DOE Rule Adjustment'!L33</f>
        <v>363666553436939.13</v>
      </c>
      <c r="O201">
        <f>'Heat Pump DOE Rule Adjustment'!M33</f>
        <v>352546191796173.94</v>
      </c>
      <c r="P201">
        <f>'Heat Pump DOE Rule Adjustment'!N33</f>
        <v>341425830155408.69</v>
      </c>
      <c r="Q201">
        <f>'Heat Pump DOE Rule Adjustment'!O33</f>
        <v>330305468514643.5</v>
      </c>
      <c r="R201">
        <f>'Heat Pump DOE Rule Adjustment'!P33</f>
        <v>319185106873878.25</v>
      </c>
      <c r="S201">
        <f>'Heat Pump DOE Rule Adjustment'!Q33</f>
        <v>308064745233113.06</v>
      </c>
      <c r="T201">
        <f>'Heat Pump DOE Rule Adjustment'!R33</f>
        <v>296944383592347.88</v>
      </c>
      <c r="U201">
        <f>'Heat Pump DOE Rule Adjustment'!S33</f>
        <v>285824021951582.63</v>
      </c>
      <c r="V201">
        <f>'Heat Pump DOE Rule Adjustment'!T33</f>
        <v>274703660310817.41</v>
      </c>
      <c r="W201">
        <f>'Heat Pump DOE Rule Adjustment'!U33</f>
        <v>263583298670052.19</v>
      </c>
      <c r="X201">
        <f>'Heat Pump DOE Rule Adjustment'!V33</f>
        <v>263583298670052.19</v>
      </c>
      <c r="Y201">
        <f>'Heat Pump DOE Rule Adjustment'!W33</f>
        <v>263583298670052.19</v>
      </c>
      <c r="Z201">
        <f>'Heat Pump DOE Rule Adjustment'!X33</f>
        <v>263583298670052.19</v>
      </c>
      <c r="AA201">
        <f>'Heat Pump DOE Rule Adjustment'!Y33</f>
        <v>263583298670052.19</v>
      </c>
      <c r="AB201">
        <f>'Heat Pump DOE Rule Adjustment'!Z33</f>
        <v>263583298670052.19</v>
      </c>
      <c r="AC201">
        <f>'Heat Pump DOE Rule Adjustment'!AA33</f>
        <v>263583298670052.19</v>
      </c>
      <c r="AD201">
        <f>'Heat Pump DOE Rule Adjustment'!AB33</f>
        <v>263583298670052.19</v>
      </c>
      <c r="AE201">
        <f>'Heat Pump DOE Rule Adjustment'!AC33</f>
        <v>263583298670052.19</v>
      </c>
      <c r="AF201">
        <f>'Heat Pump DOE Rule Adjustment'!AD33</f>
        <v>263583298670052.19</v>
      </c>
    </row>
    <row r="202" spans="2:32" x14ac:dyDescent="0.25">
      <c r="C202" s="94" t="s">
        <v>201</v>
      </c>
      <c r="D202" s="94" t="s">
        <v>736</v>
      </c>
      <c r="E202" s="94" t="s">
        <v>11</v>
      </c>
      <c r="F202">
        <f>SUMIFS(F$5:F$196,$C$5:$C$196,$D202,$E$5:$E$196,$E202)</f>
        <v>5273497000000000</v>
      </c>
      <c r="G202">
        <f>SUMIFS(G$5:G$196,$C$5:$C$196,$D202,$E$5:$E$196,$E202)</f>
        <v>5674878000000001</v>
      </c>
      <c r="H202">
        <f>SUMIFS(H$5:H$196,$C$5:$C$196,$D202,$E$5:$E$196,$E202)</f>
        <v>5730671000000000</v>
      </c>
      <c r="I202">
        <f>SUMIFS(I$5:I$196,$C$5:$C$196,$D202,$E$5:$E$196,$E202)</f>
        <v>5791810000000000</v>
      </c>
      <c r="J202">
        <f>SUMIFS(J$5:J$196,$C$5:$C$196,$D202,$E$5:$E$196,$E202)</f>
        <v>5828434000000000</v>
      </c>
      <c r="K202">
        <f>SUMIFS(K$5:K$196,$C$5:$C$196,$D202,$E$5:$E$196,$E202)</f>
        <v>5812127638359234</v>
      </c>
      <c r="L202">
        <f>SUMIFS(L$5:L$196,$C$5:$C$196,$D202,$E$5:$E$196,$E202)</f>
        <v>5796669276718469</v>
      </c>
      <c r="M202">
        <f>SUMIFS(M$5:M$196,$C$5:$C$196,$D202,$E$5:$E$196,$E202)</f>
        <v>5772915915077704</v>
      </c>
      <c r="N202">
        <f>SUMIFS(N$5:N$196,$C$5:$C$196,$D202,$E$5:$E$196,$E202)</f>
        <v>5753501553436940</v>
      </c>
      <c r="O202">
        <f>SUMIFS(O$5:O$196,$C$5:$C$196,$D202,$E$5:$E$196,$E202)</f>
        <v>5741167191796174</v>
      </c>
      <c r="P202">
        <f>SUMIFS(P$5:P$196,$C$5:$C$196,$D202,$E$5:$E$196,$E202)</f>
        <v>5737410830155409</v>
      </c>
      <c r="Q202">
        <f>SUMIFS(Q$5:Q$196,$C$5:$C$196,$D202,$E$5:$E$196,$E202)</f>
        <v>5748283468514644</v>
      </c>
      <c r="R202">
        <f>SUMIFS(R$5:R$196,$C$5:$C$196,$D202,$E$5:$E$196,$E202)</f>
        <v>5774377106873877</v>
      </c>
      <c r="S202">
        <f>SUMIFS(S$5:S$196,$C$5:$C$196,$D202,$E$5:$E$196,$E202)</f>
        <v>5809090745233113</v>
      </c>
      <c r="T202">
        <f>SUMIFS(T$5:T$196,$C$5:$C$196,$D202,$E$5:$E$196,$E202)</f>
        <v>5842227383592348</v>
      </c>
      <c r="U202">
        <f>SUMIFS(U$5:U$196,$C$5:$C$196,$D202,$E$5:$E$196,$E202)</f>
        <v>5880363021951584</v>
      </c>
      <c r="V202">
        <f>SUMIFS(V$5:V$196,$C$5:$C$196,$D202,$E$5:$E$196,$E202)</f>
        <v>5918719660310816</v>
      </c>
      <c r="W202">
        <f>SUMIFS(W$5:W$196,$C$5:$C$196,$D202,$E$5:$E$196,$E202)</f>
        <v>5957325298670051</v>
      </c>
      <c r="X202">
        <f>SUMIFS(X$5:X$196,$C$5:$C$196,$D202,$E$5:$E$196,$E202)</f>
        <v>6009711298670052</v>
      </c>
      <c r="Y202">
        <f>SUMIFS(Y$5:Y$196,$C$5:$C$196,$D202,$E$5:$E$196,$E202)</f>
        <v>6065358298670052</v>
      </c>
      <c r="Z202">
        <f>SUMIFS(Z$5:Z$196,$C$5:$C$196,$D202,$E$5:$E$196,$E202)</f>
        <v>6120555298670052</v>
      </c>
      <c r="AA202">
        <f>SUMIFS(AA$5:AA$196,$C$5:$C$196,$D202,$E$5:$E$196,$E202)</f>
        <v>6175575298670050</v>
      </c>
      <c r="AB202">
        <f>SUMIFS(AB$5:AB$196,$C$5:$C$196,$D202,$E$5:$E$196,$E202)</f>
        <v>6230731298670052</v>
      </c>
      <c r="AC202">
        <f>SUMIFS(AC$5:AC$196,$C$5:$C$196,$D202,$E$5:$E$196,$E202)</f>
        <v>6285918298670052</v>
      </c>
      <c r="AD202">
        <f>SUMIFS(AD$5:AD$196,$C$5:$C$196,$D202,$E$5:$E$196,$E202)</f>
        <v>6341642298670051</v>
      </c>
      <c r="AE202">
        <f>SUMIFS(AE$5:AE$196,$C$5:$C$196,$D202,$E$5:$E$196,$E202)</f>
        <v>6399466298670052</v>
      </c>
      <c r="AF202">
        <f>SUMIFS(AF$5:AF$196,$C$5:$C$196,$D202,$E$5:$E$196,$E202)</f>
        <v>6457566298670052</v>
      </c>
    </row>
    <row r="203" spans="2:32" x14ac:dyDescent="0.25">
      <c r="F203" s="78">
        <f>F202/SUM(F200:F201)</f>
        <v>0.99999981037254593</v>
      </c>
      <c r="G203" s="78">
        <f t="shared" ref="G203:AF203" si="16">G202/SUM(G200:G201)</f>
        <v>1.0000001762152733</v>
      </c>
      <c r="H203" s="78">
        <f t="shared" si="16"/>
        <v>1</v>
      </c>
      <c r="I203" s="78">
        <f t="shared" si="16"/>
        <v>1.0000001726576273</v>
      </c>
      <c r="J203" s="78">
        <f t="shared" si="16"/>
        <v>1</v>
      </c>
      <c r="K203" s="78">
        <f t="shared" si="16"/>
        <v>0.99999982794599651</v>
      </c>
      <c r="L203" s="78">
        <f t="shared" si="16"/>
        <v>1.0000003450258406</v>
      </c>
      <c r="M203" s="78">
        <f t="shared" si="16"/>
        <v>0.99999982677734411</v>
      </c>
      <c r="N203" s="78">
        <f t="shared" si="16"/>
        <v>0.99999982619282957</v>
      </c>
      <c r="O203" s="78">
        <f t="shared" si="16"/>
        <v>1</v>
      </c>
      <c r="P203" s="78">
        <f t="shared" si="16"/>
        <v>0.99999982570538259</v>
      </c>
      <c r="Q203" s="78">
        <f t="shared" si="16"/>
        <v>0.99999982603505355</v>
      </c>
      <c r="R203" s="78">
        <f t="shared" si="16"/>
        <v>0.99999999999999978</v>
      </c>
      <c r="S203" s="78">
        <f t="shared" si="16"/>
        <v>1</v>
      </c>
      <c r="T203" s="78">
        <f t="shared" si="16"/>
        <v>1.0000003423353034</v>
      </c>
      <c r="U203" s="78">
        <f t="shared" si="16"/>
        <v>1.0000000000000002</v>
      </c>
      <c r="V203" s="78">
        <f t="shared" si="16"/>
        <v>1.0000001689554878</v>
      </c>
      <c r="W203" s="78">
        <f t="shared" si="16"/>
        <v>1.0000001678605945</v>
      </c>
      <c r="X203" s="78">
        <f t="shared" si="16"/>
        <v>1</v>
      </c>
      <c r="Y203" s="78">
        <f t="shared" si="16"/>
        <v>1</v>
      </c>
      <c r="Z203" s="78">
        <f t="shared" si="16"/>
        <v>1.000000326767843</v>
      </c>
      <c r="AA203" s="78">
        <f t="shared" si="16"/>
        <v>1.0000001619282595</v>
      </c>
      <c r="AB203" s="78">
        <f t="shared" si="16"/>
        <v>1.0000001604948301</v>
      </c>
      <c r="AC203" s="78">
        <f t="shared" si="16"/>
        <v>1</v>
      </c>
      <c r="AD203" s="78">
        <f t="shared" si="16"/>
        <v>1.0000001576878843</v>
      </c>
      <c r="AE203" s="78">
        <f t="shared" si="16"/>
        <v>1</v>
      </c>
      <c r="AF203" s="78">
        <f t="shared" si="16"/>
        <v>1</v>
      </c>
    </row>
    <row r="204" spans="2:32" x14ac:dyDescent="0.25">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row>
    <row r="205" spans="2:32" x14ac:dyDescent="0.25">
      <c r="C205" s="94" t="s">
        <v>202</v>
      </c>
      <c r="E205" s="94" t="s">
        <v>13</v>
      </c>
      <c r="F205">
        <f>Table_4._Residential_Sector_Key!F47*quadrillion</f>
        <v>4603440000000000</v>
      </c>
      <c r="G205">
        <f>Table_4._Residential_Sector_Key!G47*quadrillion</f>
        <v>4966208000000000</v>
      </c>
      <c r="H205">
        <f>Table_4._Residential_Sector_Key!H47*quadrillion</f>
        <v>4999522000000000</v>
      </c>
      <c r="I205">
        <f>Table_4._Residential_Sector_Key!I47*quadrillion</f>
        <v>5019517000000000</v>
      </c>
      <c r="J205">
        <f>Table_4._Residential_Sector_Key!J47*quadrillion</f>
        <v>5029608000000000</v>
      </c>
      <c r="K205">
        <f>Table_4._Residential_Sector_Key!K47*quadrillion</f>
        <v>5016108000000000</v>
      </c>
      <c r="L205">
        <f>Table_4._Residential_Sector_Key!L47*quadrillion</f>
        <v>4994521000000000</v>
      </c>
      <c r="M205">
        <f>Table_4._Residential_Sector_Key!M47*quadrillion</f>
        <v>4960952000000000</v>
      </c>
      <c r="N205">
        <f>Table_4._Residential_Sector_Key!N47*quadrillion</f>
        <v>4913073000000000</v>
      </c>
      <c r="O205">
        <f>Table_4._Residential_Sector_Key!O47*quadrillion</f>
        <v>4871797000000000</v>
      </c>
      <c r="P205">
        <f>Table_4._Residential_Sector_Key!P47*quadrillion</f>
        <v>4830965000000000</v>
      </c>
      <c r="Q205">
        <f>Table_4._Residential_Sector_Key!Q47*quadrillion</f>
        <v>4800086000000000</v>
      </c>
      <c r="R205">
        <f>Table_4._Residential_Sector_Key!R47*quadrillion</f>
        <v>4776269000000000</v>
      </c>
      <c r="S205">
        <f>Table_4._Residential_Sector_Key!S47*quadrillion</f>
        <v>4756620000000000</v>
      </c>
      <c r="T205">
        <f>Table_4._Residential_Sector_Key!T47*quadrillion</f>
        <v>4738029000000000</v>
      </c>
      <c r="U205">
        <f>Table_4._Residential_Sector_Key!U47*quadrillion</f>
        <v>4720499000000000</v>
      </c>
      <c r="V205">
        <f>Table_4._Residential_Sector_Key!V47*quadrillion</f>
        <v>4700645000000000</v>
      </c>
      <c r="W205">
        <f>Table_4._Residential_Sector_Key!W47*quadrillion</f>
        <v>4675209000000000</v>
      </c>
      <c r="X205">
        <f>Table_4._Residential_Sector_Key!X47*quadrillion</f>
        <v>4647515000000000</v>
      </c>
      <c r="Y205">
        <f>Table_4._Residential_Sector_Key!Y47*quadrillion</f>
        <v>4618700000000000</v>
      </c>
      <c r="Z205">
        <f>Table_4._Residential_Sector_Key!Z47*quadrillion</f>
        <v>4591101000000000</v>
      </c>
      <c r="AA205">
        <f>Table_4._Residential_Sector_Key!AA47*quadrillion</f>
        <v>4565073000000000</v>
      </c>
      <c r="AB205">
        <f>Table_4._Residential_Sector_Key!AB47*quadrillion</f>
        <v>4538730000000000</v>
      </c>
      <c r="AC205">
        <f>Table_4._Residential_Sector_Key!AC47*quadrillion</f>
        <v>4513139000000000</v>
      </c>
      <c r="AD205">
        <f>Table_4._Residential_Sector_Key!AD47*quadrillion</f>
        <v>4488928999999999.5</v>
      </c>
      <c r="AE205">
        <f>Table_4._Residential_Sector_Key!AE47*quadrillion</f>
        <v>4465213000000000.5</v>
      </c>
      <c r="AF205">
        <f>Table_4._Residential_Sector_Key!AF47*quadrillion</f>
        <v>4441305000000000</v>
      </c>
    </row>
    <row r="206" spans="2:32" x14ac:dyDescent="0.25">
      <c r="C206" s="94" t="s">
        <v>201</v>
      </c>
      <c r="D206" s="94" t="s">
        <v>736</v>
      </c>
      <c r="E206" s="94" t="s">
        <v>13</v>
      </c>
      <c r="F206">
        <f>SUMIFS(F$5:F$196,$C$5:$C$196,$D206,$E$5:$E$196,$E206)</f>
        <v>4603440000000000</v>
      </c>
      <c r="G206">
        <f>SUMIFS(G$5:G$196,$C$5:$C$196,$D206,$E$5:$E$196,$E206)</f>
        <v>4966207999999999</v>
      </c>
      <c r="H206">
        <f>SUMIFS(H$5:H$196,$C$5:$C$196,$D206,$E$5:$E$196,$E206)</f>
        <v>4999522000000000</v>
      </c>
      <c r="I206">
        <f>SUMIFS(I$5:I$196,$C$5:$C$196,$D206,$E$5:$E$196,$E206)</f>
        <v>5019515999999998</v>
      </c>
      <c r="J206">
        <f>SUMIFS(J$5:J$196,$C$5:$C$196,$D206,$E$5:$E$196,$E206)</f>
        <v>5029606999999999</v>
      </c>
      <c r="K206">
        <f>SUMIFS(K$5:K$196,$C$5:$C$196,$D206,$E$5:$E$196,$E206)</f>
        <v>5016108000000000</v>
      </c>
      <c r="L206">
        <f>SUMIFS(L$5:L$196,$C$5:$C$196,$D206,$E$5:$E$196,$E206)</f>
        <v>4994518999999999</v>
      </c>
      <c r="M206">
        <f>SUMIFS(M$5:M$196,$C$5:$C$196,$D206,$E$5:$E$196,$E206)</f>
        <v>4960950999999999</v>
      </c>
      <c r="N206">
        <f>SUMIFS(N$5:N$196,$C$5:$C$196,$D206,$E$5:$E$196,$E206)</f>
        <v>4913072999999999</v>
      </c>
      <c r="O206">
        <f>SUMIFS(O$5:O$196,$C$5:$C$196,$D206,$E$5:$E$196,$E206)</f>
        <v>4871797999999999</v>
      </c>
      <c r="P206">
        <f>SUMIFS(P$5:P$196,$C$5:$C$196,$D206,$E$5:$E$196,$E206)</f>
        <v>4830965000000000</v>
      </c>
      <c r="Q206">
        <f>SUMIFS(Q$5:Q$196,$C$5:$C$196,$D206,$E$5:$E$196,$E206)</f>
        <v>4800086000000001</v>
      </c>
      <c r="R206">
        <f>SUMIFS(R$5:R$196,$C$5:$C$196,$D206,$E$5:$E$196,$E206)</f>
        <v>4776267000000000</v>
      </c>
      <c r="S206">
        <f>SUMIFS(S$5:S$196,$C$5:$C$196,$D206,$E$5:$E$196,$E206)</f>
        <v>4756620000000000</v>
      </c>
      <c r="T206">
        <f>SUMIFS(T$5:T$196,$C$5:$C$196,$D206,$E$5:$E$196,$E206)</f>
        <v>4738028000000000</v>
      </c>
      <c r="U206">
        <f>SUMIFS(U$5:U$196,$C$5:$C$196,$D206,$E$5:$E$196,$E206)</f>
        <v>4720499000000000</v>
      </c>
      <c r="V206">
        <f>SUMIFS(V$5:V$196,$C$5:$C$196,$D206,$E$5:$E$196,$E206)</f>
        <v>4700644000000000</v>
      </c>
      <c r="W206">
        <f>SUMIFS(W$5:W$196,$C$5:$C$196,$D206,$E$5:$E$196,$E206)</f>
        <v>4675208000000000</v>
      </c>
      <c r="X206">
        <f>SUMIFS(X$5:X$196,$C$5:$C$196,$D206,$E$5:$E$196,$E206)</f>
        <v>4647515000000000</v>
      </c>
      <c r="Y206">
        <f>SUMIFS(Y$5:Y$196,$C$5:$C$196,$D206,$E$5:$E$196,$E206)</f>
        <v>4618699000000000</v>
      </c>
      <c r="Z206">
        <f>SUMIFS(Z$5:Z$196,$C$5:$C$196,$D206,$E$5:$E$196,$E206)</f>
        <v>4591102000000000</v>
      </c>
      <c r="AA206">
        <f>SUMIFS(AA$5:AA$196,$C$5:$C$196,$D206,$E$5:$E$196,$E206)</f>
        <v>4565072000000000</v>
      </c>
      <c r="AB206">
        <f>SUMIFS(AB$5:AB$196,$C$5:$C$196,$D206,$E$5:$E$196,$E206)</f>
        <v>4538729999999999</v>
      </c>
      <c r="AC206">
        <f>SUMIFS(AC$5:AC$196,$C$5:$C$196,$D206,$E$5:$E$196,$E206)</f>
        <v>4513139000000000</v>
      </c>
      <c r="AD206">
        <f>SUMIFS(AD$5:AD$196,$C$5:$C$196,$D206,$E$5:$E$196,$E206)</f>
        <v>4488929000000000</v>
      </c>
      <c r="AE206">
        <f>SUMIFS(AE$5:AE$196,$C$5:$C$196,$D206,$E$5:$E$196,$E206)</f>
        <v>4465212999999999.5</v>
      </c>
      <c r="AF206">
        <f>SUMIFS(AF$5:AF$196,$C$5:$C$196,$D206,$E$5:$E$196,$E206)</f>
        <v>4441305000000000</v>
      </c>
    </row>
    <row r="207" spans="2:32" x14ac:dyDescent="0.25">
      <c r="F207" s="78">
        <f t="shared" ref="F207:AF207" si="17">F206/SUM(F205:F205)</f>
        <v>1</v>
      </c>
      <c r="G207" s="78">
        <f t="shared" si="17"/>
        <v>0.99999999999999978</v>
      </c>
      <c r="H207" s="78">
        <f t="shared" si="17"/>
        <v>1</v>
      </c>
      <c r="I207" s="78">
        <f t="shared" si="17"/>
        <v>0.99999980077764417</v>
      </c>
      <c r="J207" s="78">
        <f t="shared" si="17"/>
        <v>0.99999980117734799</v>
      </c>
      <c r="K207" s="78">
        <f t="shared" si="17"/>
        <v>1</v>
      </c>
      <c r="L207" s="78">
        <f t="shared" si="17"/>
        <v>0.99999959956119899</v>
      </c>
      <c r="M207" s="78">
        <f t="shared" si="17"/>
        <v>0.99999979842578579</v>
      </c>
      <c r="N207" s="78">
        <f t="shared" si="17"/>
        <v>0.99999999999999978</v>
      </c>
      <c r="O207" s="78">
        <f t="shared" si="17"/>
        <v>1.0000002052630681</v>
      </c>
      <c r="P207" s="78">
        <f t="shared" si="17"/>
        <v>1</v>
      </c>
      <c r="Q207" s="78">
        <f t="shared" si="17"/>
        <v>1.0000000000000002</v>
      </c>
      <c r="R207" s="78">
        <f t="shared" si="17"/>
        <v>0.99999958126311561</v>
      </c>
      <c r="S207" s="78">
        <f t="shared" si="17"/>
        <v>1</v>
      </c>
      <c r="T207" s="78">
        <f t="shared" si="17"/>
        <v>0.99999978894177299</v>
      </c>
      <c r="U207" s="78">
        <f t="shared" si="17"/>
        <v>1</v>
      </c>
      <c r="V207" s="78">
        <f t="shared" si="17"/>
        <v>0.99999978726323724</v>
      </c>
      <c r="W207" s="78">
        <f t="shared" si="17"/>
        <v>0.99999978610581897</v>
      </c>
      <c r="X207" s="78">
        <f t="shared" si="17"/>
        <v>1</v>
      </c>
      <c r="Y207" s="78">
        <f t="shared" si="17"/>
        <v>0.99999978348886054</v>
      </c>
      <c r="Z207" s="78">
        <f t="shared" si="17"/>
        <v>1.0000002178126772</v>
      </c>
      <c r="AA207" s="78">
        <f t="shared" si="17"/>
        <v>0.99999978094545261</v>
      </c>
      <c r="AB207" s="78">
        <f t="shared" si="17"/>
        <v>0.99999999999999978</v>
      </c>
      <c r="AC207" s="78">
        <f t="shared" si="17"/>
        <v>1</v>
      </c>
      <c r="AD207" s="78">
        <f t="shared" si="17"/>
        <v>1.0000000000000002</v>
      </c>
      <c r="AE207" s="78">
        <f t="shared" si="17"/>
        <v>0.99999999999999978</v>
      </c>
      <c r="AF207" s="78">
        <f t="shared" si="17"/>
        <v>1</v>
      </c>
    </row>
    <row r="209" spans="3:32" x14ac:dyDescent="0.25">
      <c r="C209" s="94" t="s">
        <v>202</v>
      </c>
      <c r="E209" s="94" t="s">
        <v>14</v>
      </c>
      <c r="F209">
        <f>Table_4._Residential_Sector_Key!F52*quadrillion</f>
        <v>445877000000000</v>
      </c>
      <c r="G209">
        <f>Table_4._Residential_Sector_Key!G52*quadrillion</f>
        <v>475235000000000</v>
      </c>
      <c r="H209">
        <f>Table_4._Residential_Sector_Key!H52*quadrillion</f>
        <v>468476000000000</v>
      </c>
      <c r="I209">
        <f>Table_4._Residential_Sector_Key!I52*quadrillion</f>
        <v>459419000000000</v>
      </c>
      <c r="J209">
        <f>Table_4._Residential_Sector_Key!J52*quadrillion</f>
        <v>449316000000000</v>
      </c>
      <c r="K209">
        <f>Table_4._Residential_Sector_Key!K52*quadrillion</f>
        <v>439104000000000</v>
      </c>
      <c r="L209">
        <f>Table_4._Residential_Sector_Key!L52*quadrillion</f>
        <v>429291000000000</v>
      </c>
      <c r="M209">
        <f>Table_4._Residential_Sector_Key!M52*quadrillion</f>
        <v>420822000000000</v>
      </c>
      <c r="N209">
        <f>Table_4._Residential_Sector_Key!N52*quadrillion</f>
        <v>413547000000000</v>
      </c>
      <c r="O209">
        <f>Table_4._Residential_Sector_Key!O52*quadrillion</f>
        <v>407175000000000</v>
      </c>
      <c r="P209">
        <f>Table_4._Residential_Sector_Key!P52*quadrillion</f>
        <v>400771000000000</v>
      </c>
      <c r="Q209">
        <f>Table_4._Residential_Sector_Key!Q52*quadrillion</f>
        <v>394716000000000</v>
      </c>
      <c r="R209">
        <f>Table_4._Residential_Sector_Key!R52*quadrillion</f>
        <v>388874000000000</v>
      </c>
      <c r="S209">
        <f>Table_4._Residential_Sector_Key!S52*quadrillion</f>
        <v>383074000000000</v>
      </c>
      <c r="T209">
        <f>Table_4._Residential_Sector_Key!T52*quadrillion</f>
        <v>377439000000000</v>
      </c>
      <c r="U209">
        <f>Table_4._Residential_Sector_Key!U52*quadrillion</f>
        <v>371949000000000</v>
      </c>
      <c r="V209">
        <f>Table_4._Residential_Sector_Key!V52*quadrillion</f>
        <v>366483000000000</v>
      </c>
      <c r="W209">
        <f>Table_4._Residential_Sector_Key!W52*quadrillion</f>
        <v>361042000000000</v>
      </c>
      <c r="X209">
        <f>Table_4._Residential_Sector_Key!X52*quadrillion</f>
        <v>355729000000000</v>
      </c>
      <c r="Y209">
        <f>Table_4._Residential_Sector_Key!Y52*quadrillion</f>
        <v>350562000000000</v>
      </c>
      <c r="Z209">
        <f>Table_4._Residential_Sector_Key!Z52*quadrillion</f>
        <v>345267000000000</v>
      </c>
      <c r="AA209">
        <f>Table_4._Residential_Sector_Key!AA52*quadrillion</f>
        <v>340544000000000</v>
      </c>
      <c r="AB209">
        <f>Table_4._Residential_Sector_Key!AB52*quadrillion</f>
        <v>335973000000000</v>
      </c>
      <c r="AC209">
        <f>Table_4._Residential_Sector_Key!AC52*quadrillion</f>
        <v>331592000000000</v>
      </c>
      <c r="AD209">
        <f>Table_4._Residential_Sector_Key!AD52*quadrillion</f>
        <v>327346000000000</v>
      </c>
      <c r="AE209">
        <f>Table_4._Residential_Sector_Key!AE52*quadrillion</f>
        <v>323188000000000</v>
      </c>
      <c r="AF209">
        <f>Table_4._Residential_Sector_Key!AF52*quadrillion</f>
        <v>318975000000000</v>
      </c>
    </row>
    <row r="210" spans="3:32" x14ac:dyDescent="0.25">
      <c r="C210" s="94" t="s">
        <v>201</v>
      </c>
      <c r="D210" s="94" t="s">
        <v>736</v>
      </c>
      <c r="E210" s="94" t="s">
        <v>14</v>
      </c>
      <c r="F210">
        <f>SUMIFS(F$5:F$196,$C$5:$C$196,$D210,$E$5:$E$196,$E210)</f>
        <v>445876999999999.94</v>
      </c>
      <c r="G210">
        <f>SUMIFS(G$5:G$196,$C$5:$C$196,$D210,$E$5:$E$196,$E210)</f>
        <v>475234999999999.94</v>
      </c>
      <c r="H210">
        <f>SUMIFS(H$5:H$196,$C$5:$C$196,$D210,$E$5:$E$196,$E210)</f>
        <v>468475999999999.94</v>
      </c>
      <c r="I210">
        <f>SUMIFS(I$5:I$196,$C$5:$C$196,$D210,$E$5:$E$196,$E210)</f>
        <v>459419999999999.94</v>
      </c>
      <c r="J210">
        <f>SUMIFS(J$5:J$196,$C$5:$C$196,$D210,$E$5:$E$196,$E210)</f>
        <v>449316000000000</v>
      </c>
      <c r="K210">
        <f>SUMIFS(K$5:K$196,$C$5:$C$196,$D210,$E$5:$E$196,$E210)</f>
        <v>439103999999999.94</v>
      </c>
      <c r="L210">
        <f>SUMIFS(L$5:L$196,$C$5:$C$196,$D210,$E$5:$E$196,$E210)</f>
        <v>429290999999999.94</v>
      </c>
      <c r="M210">
        <f>SUMIFS(M$5:M$196,$C$5:$C$196,$D210,$E$5:$E$196,$E210)</f>
        <v>420822000000000</v>
      </c>
      <c r="N210">
        <f>SUMIFS(N$5:N$196,$C$5:$C$196,$D210,$E$5:$E$196,$E210)</f>
        <v>413548000000000</v>
      </c>
      <c r="O210">
        <f>SUMIFS(O$5:O$196,$C$5:$C$196,$D210,$E$5:$E$196,$E210)</f>
        <v>407174999999999.94</v>
      </c>
      <c r="P210">
        <f>SUMIFS(P$5:P$196,$C$5:$C$196,$D210,$E$5:$E$196,$E210)</f>
        <v>400771000000000</v>
      </c>
      <c r="Q210">
        <f>SUMIFS(Q$5:Q$196,$C$5:$C$196,$D210,$E$5:$E$196,$E210)</f>
        <v>394717000000000</v>
      </c>
      <c r="R210">
        <f>SUMIFS(R$5:R$196,$C$5:$C$196,$D210,$E$5:$E$196,$E210)</f>
        <v>388875000000000.06</v>
      </c>
      <c r="S210">
        <f>SUMIFS(S$5:S$196,$C$5:$C$196,$D210,$E$5:$E$196,$E210)</f>
        <v>383073000000000</v>
      </c>
      <c r="T210">
        <f>SUMIFS(T$5:T$196,$C$5:$C$196,$D210,$E$5:$E$196,$E210)</f>
        <v>377439000000000</v>
      </c>
      <c r="U210">
        <f>SUMIFS(U$5:U$196,$C$5:$C$196,$D210,$E$5:$E$196,$E210)</f>
        <v>371948000000000</v>
      </c>
      <c r="V210">
        <f>SUMIFS(V$5:V$196,$C$5:$C$196,$D210,$E$5:$E$196,$E210)</f>
        <v>366483999999999.94</v>
      </c>
      <c r="W210">
        <f>SUMIFS(W$5:W$196,$C$5:$C$196,$D210,$E$5:$E$196,$E210)</f>
        <v>361042000000000</v>
      </c>
      <c r="X210">
        <f>SUMIFS(X$5:X$196,$C$5:$C$196,$D210,$E$5:$E$196,$E210)</f>
        <v>355727999999999.94</v>
      </c>
      <c r="Y210">
        <f>SUMIFS(Y$5:Y$196,$C$5:$C$196,$D210,$E$5:$E$196,$E210)</f>
        <v>350562000000000.06</v>
      </c>
      <c r="Z210">
        <f>SUMIFS(Z$5:Z$196,$C$5:$C$196,$D210,$E$5:$E$196,$E210)</f>
        <v>345267000000000</v>
      </c>
      <c r="AA210">
        <f>SUMIFS(AA$5:AA$196,$C$5:$C$196,$D210,$E$5:$E$196,$E210)</f>
        <v>340544000000000</v>
      </c>
      <c r="AB210">
        <f>SUMIFS(AB$5:AB$196,$C$5:$C$196,$D210,$E$5:$E$196,$E210)</f>
        <v>335973000000000</v>
      </c>
      <c r="AC210">
        <f>SUMIFS(AC$5:AC$196,$C$5:$C$196,$D210,$E$5:$E$196,$E210)</f>
        <v>331592999999999.94</v>
      </c>
      <c r="AD210">
        <f>SUMIFS(AD$5:AD$196,$C$5:$C$196,$D210,$E$5:$E$196,$E210)</f>
        <v>327345999999999.94</v>
      </c>
      <c r="AE210">
        <f>SUMIFS(AE$5:AE$196,$C$5:$C$196,$D210,$E$5:$E$196,$E210)</f>
        <v>323187000000000</v>
      </c>
      <c r="AF210">
        <f>SUMIFS(AF$5:AF$196,$C$5:$C$196,$D210,$E$5:$E$196,$E210)</f>
        <v>318947000000000</v>
      </c>
    </row>
    <row r="211" spans="3:32" x14ac:dyDescent="0.25">
      <c r="F211" s="78">
        <f t="shared" ref="F211:AF211" si="18">F210/SUM(F209:F209)</f>
        <v>0.99999999999999989</v>
      </c>
      <c r="G211" s="78">
        <f t="shared" si="18"/>
        <v>0.99999999999999989</v>
      </c>
      <c r="H211" s="78">
        <f t="shared" si="18"/>
        <v>0.99999999999999989</v>
      </c>
      <c r="I211" s="78">
        <f t="shared" si="18"/>
        <v>1.0000021766622624</v>
      </c>
      <c r="J211" s="78">
        <f t="shared" si="18"/>
        <v>1</v>
      </c>
      <c r="K211" s="78">
        <f t="shared" si="18"/>
        <v>0.99999999999999989</v>
      </c>
      <c r="L211" s="78">
        <f t="shared" si="18"/>
        <v>0.99999999999999989</v>
      </c>
      <c r="M211" s="78">
        <f t="shared" si="18"/>
        <v>1</v>
      </c>
      <c r="N211" s="78">
        <f t="shared" si="18"/>
        <v>1.0000024181048346</v>
      </c>
      <c r="O211" s="78">
        <f t="shared" si="18"/>
        <v>0.99999999999999989</v>
      </c>
      <c r="P211" s="78">
        <f t="shared" si="18"/>
        <v>1</v>
      </c>
      <c r="Q211" s="78">
        <f t="shared" si="18"/>
        <v>1.0000025334671003</v>
      </c>
      <c r="R211" s="78">
        <f t="shared" si="18"/>
        <v>1.0000025715270244</v>
      </c>
      <c r="S211" s="78">
        <f t="shared" si="18"/>
        <v>0.99999738953831374</v>
      </c>
      <c r="T211" s="78">
        <f t="shared" si="18"/>
        <v>1</v>
      </c>
      <c r="U211" s="78">
        <f t="shared" si="18"/>
        <v>0.99999731145936677</v>
      </c>
      <c r="V211" s="78">
        <f t="shared" si="18"/>
        <v>1.0000027286395274</v>
      </c>
      <c r="W211" s="78">
        <f t="shared" si="18"/>
        <v>1</v>
      </c>
      <c r="X211" s="78">
        <f t="shared" si="18"/>
        <v>0.99999718887130351</v>
      </c>
      <c r="Y211" s="78">
        <f t="shared" si="18"/>
        <v>1.0000000000000002</v>
      </c>
      <c r="Z211" s="78">
        <f t="shared" si="18"/>
        <v>1</v>
      </c>
      <c r="AA211" s="78">
        <f t="shared" si="18"/>
        <v>1</v>
      </c>
      <c r="AB211" s="78">
        <f t="shared" si="18"/>
        <v>1</v>
      </c>
      <c r="AC211" s="78">
        <f t="shared" si="18"/>
        <v>1.0000030157543003</v>
      </c>
      <c r="AD211" s="78">
        <f t="shared" si="18"/>
        <v>0.99999999999999978</v>
      </c>
      <c r="AE211" s="78">
        <f t="shared" si="18"/>
        <v>0.99999690582571132</v>
      </c>
      <c r="AF211" s="78">
        <f t="shared" si="18"/>
        <v>0.99991221882592685</v>
      </c>
    </row>
    <row r="213" spans="3:32" x14ac:dyDescent="0.25">
      <c r="C213" s="94" t="s">
        <v>202</v>
      </c>
      <c r="E213" s="94" t="s">
        <v>172</v>
      </c>
      <c r="F213">
        <f>Table_4._Residential_Sector_Key!F58*quadrillion</f>
        <v>445585000000000</v>
      </c>
      <c r="G213">
        <f>Table_4._Residential_Sector_Key!G58*quadrillion</f>
        <v>480711000000000</v>
      </c>
      <c r="H213">
        <f>Table_4._Residential_Sector_Key!H58*quadrillion</f>
        <v>477666000000000</v>
      </c>
      <c r="I213">
        <f>Table_4._Residential_Sector_Key!I58*quadrillion</f>
        <v>473743000000000</v>
      </c>
      <c r="J213">
        <f>Table_4._Residential_Sector_Key!J58*quadrillion</f>
        <v>469514000000000</v>
      </c>
      <c r="K213">
        <f>Table_4._Residential_Sector_Key!K58*quadrillion</f>
        <v>464486000000000</v>
      </c>
      <c r="L213">
        <f>Table_4._Residential_Sector_Key!L58*quadrillion</f>
        <v>458849000000000</v>
      </c>
      <c r="M213">
        <f>Table_4._Residential_Sector_Key!M58*quadrillion</f>
        <v>453163000000000</v>
      </c>
      <c r="N213">
        <f>Table_4._Residential_Sector_Key!N58*quadrillion</f>
        <v>447466000000000</v>
      </c>
      <c r="O213">
        <f>Table_4._Residential_Sector_Key!O58*quadrillion</f>
        <v>442258000000000</v>
      </c>
      <c r="P213">
        <f>Table_4._Residential_Sector_Key!P58*quadrillion</f>
        <v>437043000000000</v>
      </c>
      <c r="Q213">
        <f>Table_4._Residential_Sector_Key!Q58*quadrillion</f>
        <v>432687000000000</v>
      </c>
      <c r="R213">
        <f>Table_4._Residential_Sector_Key!R58*quadrillion</f>
        <v>429065000000000</v>
      </c>
      <c r="S213">
        <f>Table_4._Residential_Sector_Key!S58*quadrillion</f>
        <v>426084000000000</v>
      </c>
      <c r="T213">
        <f>Table_4._Residential_Sector_Key!T58*quadrillion</f>
        <v>423529000000000</v>
      </c>
      <c r="U213">
        <f>Table_4._Residential_Sector_Key!U58*quadrillion</f>
        <v>421347000000000</v>
      </c>
      <c r="V213">
        <f>Table_4._Residential_Sector_Key!V58*quadrillion</f>
        <v>419476000000000</v>
      </c>
      <c r="W213">
        <f>Table_4._Residential_Sector_Key!W58*quadrillion</f>
        <v>417701000000000</v>
      </c>
      <c r="X213">
        <f>Table_4._Residential_Sector_Key!X58*quadrillion</f>
        <v>416029000000000</v>
      </c>
      <c r="Y213">
        <f>Table_4._Residential_Sector_Key!Y58*quadrillion</f>
        <v>414376000000000</v>
      </c>
      <c r="Z213">
        <f>Table_4._Residential_Sector_Key!Z58*quadrillion</f>
        <v>412896000000000</v>
      </c>
      <c r="AA213">
        <f>Table_4._Residential_Sector_Key!AA58*quadrillion</f>
        <v>411593000000000</v>
      </c>
      <c r="AB213">
        <f>Table_4._Residential_Sector_Key!AB58*quadrillion</f>
        <v>410620000000000</v>
      </c>
      <c r="AC213">
        <f>Table_4._Residential_Sector_Key!AC58*quadrillion</f>
        <v>409815000000000</v>
      </c>
      <c r="AD213">
        <f>Table_4._Residential_Sector_Key!AD58*quadrillion</f>
        <v>409114000000000</v>
      </c>
      <c r="AE213">
        <f>Table_4._Residential_Sector_Key!AE58*quadrillion</f>
        <v>408349000000000</v>
      </c>
      <c r="AF213">
        <f>Table_4._Residential_Sector_Key!AF58*quadrillion</f>
        <v>407288000000000</v>
      </c>
    </row>
    <row r="214" spans="3:32" x14ac:dyDescent="0.25">
      <c r="C214" s="94" t="s">
        <v>201</v>
      </c>
      <c r="D214" s="94" t="s">
        <v>736</v>
      </c>
      <c r="E214" s="94" t="s">
        <v>172</v>
      </c>
      <c r="F214">
        <f>SUMIFS(F$5:F$196,$C$5:$C$196,$D214,$E$5:$E$196,$E214)</f>
        <v>445584000000000</v>
      </c>
      <c r="G214">
        <f>SUMIFS(G$5:G$196,$C$5:$C$196,$D214,$E$5:$E$196,$E214)</f>
        <v>480709999999999.94</v>
      </c>
      <c r="H214">
        <f>SUMIFS(H$5:H$196,$C$5:$C$196,$D214,$E$5:$E$196,$E214)</f>
        <v>477666000000000</v>
      </c>
      <c r="I214">
        <f>SUMIFS(I$5:I$196,$C$5:$C$196,$D214,$E$5:$E$196,$E214)</f>
        <v>473741999999999.94</v>
      </c>
      <c r="J214">
        <f>SUMIFS(J$5:J$196,$C$5:$C$196,$D214,$E$5:$E$196,$E214)</f>
        <v>469512999999999.88</v>
      </c>
      <c r="K214">
        <f>SUMIFS(K$5:K$196,$C$5:$C$196,$D214,$E$5:$E$196,$E214)</f>
        <v>464484999999999.88</v>
      </c>
      <c r="L214">
        <f>SUMIFS(L$5:L$196,$C$5:$C$196,$D214,$E$5:$E$196,$E214)</f>
        <v>458849000000000</v>
      </c>
      <c r="M214">
        <f>SUMIFS(M$5:M$196,$C$5:$C$196,$D214,$E$5:$E$196,$E214)</f>
        <v>453164000000000</v>
      </c>
      <c r="N214">
        <f>SUMIFS(N$5:N$196,$C$5:$C$196,$D214,$E$5:$E$196,$E214)</f>
        <v>447466000000000</v>
      </c>
      <c r="O214">
        <f>SUMIFS(O$5:O$196,$C$5:$C$196,$D214,$E$5:$E$196,$E214)</f>
        <v>442256999999999.94</v>
      </c>
      <c r="P214">
        <f>SUMIFS(P$5:P$196,$C$5:$C$196,$D214,$E$5:$E$196,$E214)</f>
        <v>437043000000000</v>
      </c>
      <c r="Q214">
        <f>SUMIFS(Q$5:Q$196,$C$5:$C$196,$D214,$E$5:$E$196,$E214)</f>
        <v>432685999999999.94</v>
      </c>
      <c r="R214">
        <f>SUMIFS(R$5:R$196,$C$5:$C$196,$D214,$E$5:$E$196,$E214)</f>
        <v>429065000000000</v>
      </c>
      <c r="S214">
        <f>SUMIFS(S$5:S$196,$C$5:$C$196,$D214,$E$5:$E$196,$E214)</f>
        <v>426084000000000</v>
      </c>
      <c r="T214">
        <f>SUMIFS(T$5:T$196,$C$5:$C$196,$D214,$E$5:$E$196,$E214)</f>
        <v>423528000000000</v>
      </c>
      <c r="U214">
        <f>SUMIFS(U$5:U$196,$C$5:$C$196,$D214,$E$5:$E$196,$E214)</f>
        <v>421347999999999.94</v>
      </c>
      <c r="V214">
        <f>SUMIFS(V$5:V$196,$C$5:$C$196,$D214,$E$5:$E$196,$E214)</f>
        <v>419474999999999.94</v>
      </c>
      <c r="W214">
        <f>SUMIFS(W$5:W$196,$C$5:$C$196,$D214,$E$5:$E$196,$E214)</f>
        <v>417700999999999.94</v>
      </c>
      <c r="X214">
        <f>SUMIFS(X$5:X$196,$C$5:$C$196,$D214,$E$5:$E$196,$E214)</f>
        <v>416027999999999.94</v>
      </c>
      <c r="Y214">
        <f>SUMIFS(Y$5:Y$196,$C$5:$C$196,$D214,$E$5:$E$196,$E214)</f>
        <v>414376000000000</v>
      </c>
      <c r="Z214">
        <f>SUMIFS(Z$5:Z$196,$C$5:$C$196,$D214,$E$5:$E$196,$E214)</f>
        <v>412895000000000</v>
      </c>
      <c r="AA214">
        <f>SUMIFS(AA$5:AA$196,$C$5:$C$196,$D214,$E$5:$E$196,$E214)</f>
        <v>411593000000000</v>
      </c>
      <c r="AB214">
        <f>SUMIFS(AB$5:AB$196,$C$5:$C$196,$D214,$E$5:$E$196,$E214)</f>
        <v>410620000000000</v>
      </c>
      <c r="AC214">
        <f>SUMIFS(AC$5:AC$196,$C$5:$C$196,$D214,$E$5:$E$196,$E214)</f>
        <v>409815000000000</v>
      </c>
      <c r="AD214">
        <f>SUMIFS(AD$5:AD$196,$C$5:$C$196,$D214,$E$5:$E$196,$E214)</f>
        <v>409112999999999.94</v>
      </c>
      <c r="AE214">
        <f>SUMIFS(AE$5:AE$196,$C$5:$C$196,$D214,$E$5:$E$196,$E214)</f>
        <v>408349000000000</v>
      </c>
      <c r="AF214">
        <f>SUMIFS(AF$5:AF$196,$C$5:$C$196,$D214,$E$5:$E$196,$E214)</f>
        <v>407288000000000</v>
      </c>
    </row>
    <row r="215" spans="3:32" x14ac:dyDescent="0.25">
      <c r="F215" s="78">
        <f t="shared" ref="F215:AF215" si="19">F214/SUM(F213:F213)</f>
        <v>0.99999775575928274</v>
      </c>
      <c r="G215" s="78">
        <f t="shared" si="19"/>
        <v>0.99999791974803975</v>
      </c>
      <c r="H215" s="78">
        <f t="shared" si="19"/>
        <v>1</v>
      </c>
      <c r="I215" s="78">
        <f t="shared" si="19"/>
        <v>0.99999788915086862</v>
      </c>
      <c r="J215" s="78">
        <f t="shared" si="19"/>
        <v>0.99999787013805741</v>
      </c>
      <c r="K215" s="78">
        <f t="shared" si="19"/>
        <v>0.99999784708258133</v>
      </c>
      <c r="L215" s="78">
        <f t="shared" si="19"/>
        <v>1</v>
      </c>
      <c r="M215" s="78">
        <f t="shared" si="19"/>
        <v>1.0000022067114924</v>
      </c>
      <c r="N215" s="78">
        <f t="shared" si="19"/>
        <v>1</v>
      </c>
      <c r="O215" s="78">
        <f t="shared" si="19"/>
        <v>0.99999773887640231</v>
      </c>
      <c r="P215" s="78">
        <f t="shared" si="19"/>
        <v>1</v>
      </c>
      <c r="Q215" s="78">
        <f t="shared" si="19"/>
        <v>0.99999768886053875</v>
      </c>
      <c r="R215" s="78">
        <f t="shared" si="19"/>
        <v>1</v>
      </c>
      <c r="S215" s="78">
        <f t="shared" si="19"/>
        <v>1</v>
      </c>
      <c r="T215" s="78">
        <f t="shared" si="19"/>
        <v>0.99999763888659332</v>
      </c>
      <c r="U215" s="78">
        <f t="shared" si="19"/>
        <v>1.0000023733407379</v>
      </c>
      <c r="V215" s="78">
        <f t="shared" si="19"/>
        <v>0.99999761607338666</v>
      </c>
      <c r="W215" s="78">
        <f t="shared" si="19"/>
        <v>0.99999999999999989</v>
      </c>
      <c r="X215" s="78">
        <f t="shared" si="19"/>
        <v>0.99999759632141016</v>
      </c>
      <c r="Y215" s="78">
        <f t="shared" si="19"/>
        <v>1</v>
      </c>
      <c r="Z215" s="78">
        <f t="shared" si="19"/>
        <v>0.99999757808261647</v>
      </c>
      <c r="AA215" s="78">
        <f t="shared" si="19"/>
        <v>1</v>
      </c>
      <c r="AB215" s="78">
        <f t="shared" si="19"/>
        <v>1</v>
      </c>
      <c r="AC215" s="78">
        <f t="shared" si="19"/>
        <v>1</v>
      </c>
      <c r="AD215" s="78">
        <f t="shared" si="19"/>
        <v>0.99999755569352289</v>
      </c>
      <c r="AE215" s="78">
        <f t="shared" si="19"/>
        <v>1</v>
      </c>
      <c r="AF215" s="78">
        <f t="shared" si="19"/>
        <v>1</v>
      </c>
    </row>
    <row r="217" spans="3:32" x14ac:dyDescent="0.25">
      <c r="C217" s="94" t="s">
        <v>202</v>
      </c>
      <c r="E217" s="94" t="s">
        <v>73</v>
      </c>
      <c r="F217">
        <f>Table_4._Residential_Sector_Key!F59*quadrillion</f>
        <v>357583000000000</v>
      </c>
      <c r="G217">
        <f>Table_4._Residential_Sector_Key!G59*quadrillion</f>
        <v>365094000000000</v>
      </c>
      <c r="H217">
        <f>Table_4._Residential_Sector_Key!H59*quadrillion</f>
        <v>352654000000000</v>
      </c>
      <c r="I217">
        <f>Table_4._Residential_Sector_Key!I59*quadrillion</f>
        <v>347295000000000</v>
      </c>
      <c r="J217">
        <f>Table_4._Residential_Sector_Key!J59*quadrillion</f>
        <v>345718000000000</v>
      </c>
      <c r="K217">
        <f>Table_4._Residential_Sector_Key!K59*quadrillion</f>
        <v>345503000000000</v>
      </c>
      <c r="L217">
        <f>Table_4._Residential_Sector_Key!L59*quadrillion</f>
        <v>345290000000000</v>
      </c>
      <c r="M217">
        <f>Table_4._Residential_Sector_Key!M59*quadrillion</f>
        <v>342499000000000</v>
      </c>
      <c r="N217">
        <f>Table_4._Residential_Sector_Key!N59*quadrillion</f>
        <v>337295000000000</v>
      </c>
      <c r="O217">
        <f>Table_4._Residential_Sector_Key!O59*quadrillion</f>
        <v>332838000000000</v>
      </c>
      <c r="P217">
        <f>Table_4._Residential_Sector_Key!P59*quadrillion</f>
        <v>328234000000000</v>
      </c>
      <c r="Q217">
        <f>Table_4._Residential_Sector_Key!Q59*quadrillion</f>
        <v>323965000000000</v>
      </c>
      <c r="R217">
        <f>Table_4._Residential_Sector_Key!R59*quadrillion</f>
        <v>319381000000000</v>
      </c>
      <c r="S217">
        <f>Table_4._Residential_Sector_Key!S59*quadrillion</f>
        <v>315221000000000</v>
      </c>
      <c r="T217">
        <f>Table_4._Residential_Sector_Key!T59*quadrillion</f>
        <v>311018000000000</v>
      </c>
      <c r="U217">
        <f>Table_4._Residential_Sector_Key!U59*quadrillion</f>
        <v>306564000000000</v>
      </c>
      <c r="V217">
        <f>Table_4._Residential_Sector_Key!V59*quadrillion</f>
        <v>302182000000000</v>
      </c>
      <c r="W217">
        <f>Table_4._Residential_Sector_Key!W59*quadrillion</f>
        <v>298100000000000</v>
      </c>
      <c r="X217">
        <f>Table_4._Residential_Sector_Key!X59*quadrillion</f>
        <v>294377000000000</v>
      </c>
      <c r="Y217">
        <f>Table_4._Residential_Sector_Key!Y59*quadrillion</f>
        <v>290950000000000</v>
      </c>
      <c r="Z217">
        <f>Table_4._Residential_Sector_Key!Z59*quadrillion</f>
        <v>288536000000000</v>
      </c>
      <c r="AA217">
        <f>Table_4._Residential_Sector_Key!AA59*quadrillion</f>
        <v>284935000000000</v>
      </c>
      <c r="AB217">
        <f>Table_4._Residential_Sector_Key!AB59*quadrillion</f>
        <v>281377000000000</v>
      </c>
      <c r="AC217">
        <f>Table_4._Residential_Sector_Key!AC59*quadrillion</f>
        <v>277692000000000</v>
      </c>
      <c r="AD217">
        <f>Table_4._Residential_Sector_Key!AD59*quadrillion</f>
        <v>273872000000000</v>
      </c>
      <c r="AE217">
        <f>Table_4._Residential_Sector_Key!AE59*quadrillion</f>
        <v>270571999999999.97</v>
      </c>
      <c r="AF217">
        <f>Table_4._Residential_Sector_Key!AF59*quadrillion</f>
        <v>268050000000000</v>
      </c>
    </row>
    <row r="218" spans="3:32" x14ac:dyDescent="0.25">
      <c r="C218" s="94" t="s">
        <v>201</v>
      </c>
      <c r="D218" s="94" t="s">
        <v>736</v>
      </c>
      <c r="E218" s="94" t="s">
        <v>73</v>
      </c>
      <c r="F218">
        <f>SUMIFS(F$5:F$196,$C$5:$C$196,$D218,$E$5:$E$196,$E218)</f>
        <v>357582999999999.94</v>
      </c>
      <c r="G218">
        <f>SUMIFS(G$5:G$196,$C$5:$C$196,$D218,$E$5:$E$196,$E218)</f>
        <v>365093999999999.94</v>
      </c>
      <c r="H218">
        <f>SUMIFS(H$5:H$196,$C$5:$C$196,$D218,$E$5:$E$196,$E218)</f>
        <v>352653999999999.94</v>
      </c>
      <c r="I218">
        <f>SUMIFS(I$5:I$196,$C$5:$C$196,$D218,$E$5:$E$196,$E218)</f>
        <v>347295000000000</v>
      </c>
      <c r="J218">
        <f>SUMIFS(J$5:J$196,$C$5:$C$196,$D218,$E$5:$E$196,$E218)</f>
        <v>345718000000000</v>
      </c>
      <c r="K218">
        <f>SUMIFS(K$5:K$196,$C$5:$C$196,$D218,$E$5:$E$196,$E218)</f>
        <v>345503000000000</v>
      </c>
      <c r="L218">
        <f>SUMIFS(L$5:L$196,$C$5:$C$196,$D218,$E$5:$E$196,$E218)</f>
        <v>345290000000000</v>
      </c>
      <c r="M218">
        <f>SUMIFS(M$5:M$196,$C$5:$C$196,$D218,$E$5:$E$196,$E218)</f>
        <v>342499000000000</v>
      </c>
      <c r="N218">
        <f>SUMIFS(N$5:N$196,$C$5:$C$196,$D218,$E$5:$E$196,$E218)</f>
        <v>337295000000000</v>
      </c>
      <c r="O218">
        <f>SUMIFS(O$5:O$196,$C$5:$C$196,$D218,$E$5:$E$196,$E218)</f>
        <v>332838000000000</v>
      </c>
      <c r="P218">
        <f>SUMIFS(P$5:P$196,$C$5:$C$196,$D218,$E$5:$E$196,$E218)</f>
        <v>328234000000000</v>
      </c>
      <c r="Q218">
        <f>SUMIFS(Q$5:Q$196,$C$5:$C$196,$D218,$E$5:$E$196,$E218)</f>
        <v>323965000000000</v>
      </c>
      <c r="R218">
        <f>SUMIFS(R$5:R$196,$C$5:$C$196,$D218,$E$5:$E$196,$E218)</f>
        <v>319381000000000</v>
      </c>
      <c r="S218">
        <f>SUMIFS(S$5:S$196,$C$5:$C$196,$D218,$E$5:$E$196,$E218)</f>
        <v>315221000000000</v>
      </c>
      <c r="T218">
        <f>SUMIFS(T$5:T$196,$C$5:$C$196,$D218,$E$5:$E$196,$E218)</f>
        <v>311018000000000</v>
      </c>
      <c r="U218">
        <f>SUMIFS(U$5:U$196,$C$5:$C$196,$D218,$E$5:$E$196,$E218)</f>
        <v>306564000000000</v>
      </c>
      <c r="V218">
        <f>SUMIFS(V$5:V$196,$C$5:$C$196,$D218,$E$5:$E$196,$E218)</f>
        <v>302182000000000</v>
      </c>
      <c r="W218">
        <f>SUMIFS(W$5:W$196,$C$5:$C$196,$D218,$E$5:$E$196,$E218)</f>
        <v>298100000000000</v>
      </c>
      <c r="X218">
        <f>SUMIFS(X$5:X$196,$C$5:$C$196,$D218,$E$5:$E$196,$E218)</f>
        <v>294377000000000</v>
      </c>
      <c r="Y218">
        <f>SUMIFS(Y$5:Y$196,$C$5:$C$196,$D218,$E$5:$E$196,$E218)</f>
        <v>290950000000000</v>
      </c>
      <c r="Z218">
        <f>SUMIFS(Z$5:Z$196,$C$5:$C$196,$D218,$E$5:$E$196,$E218)</f>
        <v>288536000000000</v>
      </c>
      <c r="AA218">
        <f>SUMIFS(AA$5:AA$196,$C$5:$C$196,$D218,$E$5:$E$196,$E218)</f>
        <v>284935000000000</v>
      </c>
      <c r="AB218">
        <f>SUMIFS(AB$5:AB$196,$C$5:$C$196,$D218,$E$5:$E$196,$E218)</f>
        <v>281376999999999.97</v>
      </c>
      <c r="AC218">
        <f>SUMIFS(AC$5:AC$196,$C$5:$C$196,$D218,$E$5:$E$196,$E218)</f>
        <v>277691999999999.97</v>
      </c>
      <c r="AD218">
        <f>SUMIFS(AD$5:AD$196,$C$5:$C$196,$D218,$E$5:$E$196,$E218)</f>
        <v>273872000000000</v>
      </c>
      <c r="AE218">
        <f>SUMIFS(AE$5:AE$196,$C$5:$C$196,$D218,$E$5:$E$196,$E218)</f>
        <v>270571999999999.97</v>
      </c>
      <c r="AF218">
        <f>SUMIFS(AF$5:AF$196,$C$5:$C$196,$D218,$E$5:$E$196,$E218)</f>
        <v>268050000000000</v>
      </c>
    </row>
    <row r="219" spans="3:32" x14ac:dyDescent="0.25">
      <c r="F219" s="78">
        <f t="shared" ref="F219:AF219" si="20">F218/SUM(F217:F217)</f>
        <v>0.99999999999999978</v>
      </c>
      <c r="G219" s="78">
        <f t="shared" si="20"/>
        <v>0.99999999999999978</v>
      </c>
      <c r="H219" s="78">
        <f t="shared" si="20"/>
        <v>0.99999999999999978</v>
      </c>
      <c r="I219" s="78">
        <f t="shared" si="20"/>
        <v>1</v>
      </c>
      <c r="J219" s="78">
        <f t="shared" si="20"/>
        <v>1</v>
      </c>
      <c r="K219" s="78">
        <f t="shared" si="20"/>
        <v>1</v>
      </c>
      <c r="L219" s="78">
        <f t="shared" si="20"/>
        <v>1</v>
      </c>
      <c r="M219" s="78">
        <f t="shared" si="20"/>
        <v>1</v>
      </c>
      <c r="N219" s="78">
        <f t="shared" si="20"/>
        <v>1</v>
      </c>
      <c r="O219" s="78">
        <f t="shared" si="20"/>
        <v>1</v>
      </c>
      <c r="P219" s="78">
        <f t="shared" si="20"/>
        <v>1</v>
      </c>
      <c r="Q219" s="78">
        <f t="shared" si="20"/>
        <v>1</v>
      </c>
      <c r="R219" s="78">
        <f t="shared" si="20"/>
        <v>1</v>
      </c>
      <c r="S219" s="78">
        <f t="shared" si="20"/>
        <v>1</v>
      </c>
      <c r="T219" s="78">
        <f t="shared" si="20"/>
        <v>1</v>
      </c>
      <c r="U219" s="78">
        <f t="shared" si="20"/>
        <v>1</v>
      </c>
      <c r="V219" s="78">
        <f t="shared" si="20"/>
        <v>1</v>
      </c>
      <c r="W219" s="78">
        <f t="shared" si="20"/>
        <v>1</v>
      </c>
      <c r="X219" s="78">
        <f t="shared" si="20"/>
        <v>1</v>
      </c>
      <c r="Y219" s="78">
        <f t="shared" si="20"/>
        <v>1</v>
      </c>
      <c r="Z219" s="78">
        <f t="shared" si="20"/>
        <v>1</v>
      </c>
      <c r="AA219" s="78">
        <f t="shared" si="20"/>
        <v>1</v>
      </c>
      <c r="AB219" s="78">
        <f t="shared" si="20"/>
        <v>0.99999999999999989</v>
      </c>
      <c r="AC219" s="78">
        <f t="shared" si="20"/>
        <v>0.99999999999999989</v>
      </c>
      <c r="AD219" s="78">
        <f t="shared" si="20"/>
        <v>1</v>
      </c>
      <c r="AE219" s="78">
        <f t="shared" si="20"/>
        <v>1</v>
      </c>
      <c r="AF219" s="78">
        <f t="shared" si="20"/>
        <v>1</v>
      </c>
    </row>
    <row r="221" spans="3:32" s="88" customFormat="1" x14ac:dyDescent="0.25">
      <c r="C221" s="98"/>
      <c r="D221" s="98" t="s">
        <v>740</v>
      </c>
      <c r="E221" s="98"/>
    </row>
    <row r="222" spans="3:32" x14ac:dyDescent="0.25">
      <c r="C222" s="94" t="s">
        <v>202</v>
      </c>
      <c r="E222" s="94" t="s">
        <v>200</v>
      </c>
      <c r="F222">
        <f>Table_5._Commercial_Sector_Key_!F27*quadrillion</f>
        <v>4891081000000000</v>
      </c>
      <c r="G222">
        <f>Table_5._Commercial_Sector_Key_!G27*quadrillion</f>
        <v>4980416000000000</v>
      </c>
      <c r="H222">
        <f>Table_5._Commercial_Sector_Key_!H27*quadrillion</f>
        <v>4957498000000000</v>
      </c>
      <c r="I222">
        <f>Table_5._Commercial_Sector_Key_!I27*quadrillion</f>
        <v>5008786000000000</v>
      </c>
      <c r="J222">
        <f>Table_5._Commercial_Sector_Key_!J27*quadrillion</f>
        <v>5050092000000000</v>
      </c>
      <c r="K222">
        <f>Table_5._Commercial_Sector_Key_!K27*quadrillion</f>
        <v>5126225000000000</v>
      </c>
      <c r="L222">
        <f>Table_5._Commercial_Sector_Key_!L27*quadrillion</f>
        <v>5177759000000000</v>
      </c>
      <c r="M222">
        <f>Table_5._Commercial_Sector_Key_!M27*quadrillion</f>
        <v>5229208000000000</v>
      </c>
      <c r="N222">
        <f>Table_5._Commercial_Sector_Key_!N27*quadrillion</f>
        <v>5284572000000000</v>
      </c>
      <c r="O222">
        <f>Table_5._Commercial_Sector_Key_!O27*quadrillion</f>
        <v>5339435000000000</v>
      </c>
      <c r="P222">
        <f>Table_5._Commercial_Sector_Key_!P27*quadrillion</f>
        <v>5401620000000000</v>
      </c>
      <c r="Q222">
        <f>Table_5._Commercial_Sector_Key_!Q27*quadrillion</f>
        <v>5475173000000000</v>
      </c>
      <c r="R222">
        <f>Table_5._Commercial_Sector_Key_!R27*quadrillion</f>
        <v>5558648000000000</v>
      </c>
      <c r="S222">
        <f>Table_5._Commercial_Sector_Key_!S27*quadrillion</f>
        <v>5647235000000000</v>
      </c>
      <c r="T222">
        <f>Table_5._Commercial_Sector_Key_!T27*quadrillion</f>
        <v>5733328000000000</v>
      </c>
      <c r="U222">
        <f>Table_5._Commercial_Sector_Key_!U27*quadrillion</f>
        <v>5822506000000000</v>
      </c>
      <c r="V222">
        <f>Table_5._Commercial_Sector_Key_!V27*quadrillion</f>
        <v>5912979000000000</v>
      </c>
      <c r="W222">
        <f>Table_5._Commercial_Sector_Key_!W27*quadrillion</f>
        <v>6007267000000000</v>
      </c>
      <c r="X222">
        <f>Table_5._Commercial_Sector_Key_!X27*quadrillion</f>
        <v>6102704000000000</v>
      </c>
      <c r="Y222">
        <f>Table_5._Commercial_Sector_Key_!Y27*quadrillion</f>
        <v>6201353000000000</v>
      </c>
      <c r="Z222">
        <f>Table_5._Commercial_Sector_Key_!Z27*quadrillion</f>
        <v>6302629000000000</v>
      </c>
      <c r="AA222">
        <f>Table_5._Commercial_Sector_Key_!AA27*quadrillion</f>
        <v>6405821000000000</v>
      </c>
      <c r="AB222">
        <f>Table_5._Commercial_Sector_Key_!AB27*quadrillion</f>
        <v>6510925000000000</v>
      </c>
      <c r="AC222">
        <f>Table_5._Commercial_Sector_Key_!AC27*quadrillion</f>
        <v>6618572000000000</v>
      </c>
      <c r="AD222">
        <f>Table_5._Commercial_Sector_Key_!AD27*quadrillion</f>
        <v>6729558000000000</v>
      </c>
      <c r="AE222">
        <f>Table_5._Commercial_Sector_Key_!AE27*quadrillion</f>
        <v>6843156000000000</v>
      </c>
      <c r="AF222">
        <f>Table_5._Commercial_Sector_Key_!AF27*quadrillion</f>
        <v>6960674000000000</v>
      </c>
    </row>
    <row r="223" spans="3:32" x14ac:dyDescent="0.25">
      <c r="C223" s="94" t="s">
        <v>739</v>
      </c>
      <c r="E223" s="94" t="s">
        <v>200</v>
      </c>
      <c r="F223">
        <v>0</v>
      </c>
      <c r="G223">
        <f>'Heat Pump DOE Rule Adjustment'!E55</f>
        <v>0</v>
      </c>
      <c r="H223">
        <f>'Heat Pump DOE Rule Adjustment'!F55</f>
        <v>0</v>
      </c>
      <c r="I223">
        <f>'Heat Pump DOE Rule Adjustment'!G55</f>
        <v>0</v>
      </c>
      <c r="J223">
        <f>'Heat Pump DOE Rule Adjustment'!H55</f>
        <v>0</v>
      </c>
      <c r="K223">
        <f>'Heat Pump DOE Rule Adjustment'!I55</f>
        <v>0</v>
      </c>
      <c r="L223">
        <f>'Heat Pump DOE Rule Adjustment'!J55</f>
        <v>0</v>
      </c>
      <c r="M223">
        <f>'Heat Pump DOE Rule Adjustment'!K55</f>
        <v>0</v>
      </c>
      <c r="N223">
        <f>'Heat Pump DOE Rule Adjustment'!L55</f>
        <v>0</v>
      </c>
      <c r="O223">
        <f>'Heat Pump DOE Rule Adjustment'!M55</f>
        <v>0</v>
      </c>
      <c r="P223">
        <f>'Heat Pump DOE Rule Adjustment'!N55</f>
        <v>0</v>
      </c>
      <c r="Q223">
        <f>'Heat Pump DOE Rule Adjustment'!O55</f>
        <v>0</v>
      </c>
      <c r="R223">
        <f>'Heat Pump DOE Rule Adjustment'!P55</f>
        <v>0</v>
      </c>
      <c r="S223">
        <f>'Heat Pump DOE Rule Adjustment'!Q55</f>
        <v>0</v>
      </c>
      <c r="T223">
        <f>'Heat Pump DOE Rule Adjustment'!R55</f>
        <v>0</v>
      </c>
      <c r="U223">
        <f>'Heat Pump DOE Rule Adjustment'!S55</f>
        <v>0</v>
      </c>
      <c r="V223">
        <f>'Heat Pump DOE Rule Adjustment'!T55</f>
        <v>0</v>
      </c>
      <c r="W223">
        <f>'Heat Pump DOE Rule Adjustment'!U55</f>
        <v>0</v>
      </c>
      <c r="X223">
        <f>'Heat Pump DOE Rule Adjustment'!V55</f>
        <v>0</v>
      </c>
      <c r="Y223">
        <f>'Heat Pump DOE Rule Adjustment'!W55</f>
        <v>0</v>
      </c>
      <c r="Z223">
        <f>'Heat Pump DOE Rule Adjustment'!X55</f>
        <v>0</v>
      </c>
      <c r="AA223">
        <f>'Heat Pump DOE Rule Adjustment'!Y55</f>
        <v>0</v>
      </c>
      <c r="AB223">
        <f>'Heat Pump DOE Rule Adjustment'!Z55</f>
        <v>0</v>
      </c>
      <c r="AC223">
        <f>'Heat Pump DOE Rule Adjustment'!AA55</f>
        <v>0</v>
      </c>
      <c r="AD223">
        <f>'Heat Pump DOE Rule Adjustment'!AB55</f>
        <v>0</v>
      </c>
      <c r="AE223">
        <f>'Heat Pump DOE Rule Adjustment'!AC55</f>
        <v>0</v>
      </c>
      <c r="AF223">
        <f>'Heat Pump DOE Rule Adjustment'!AD55</f>
        <v>0</v>
      </c>
    </row>
    <row r="224" spans="3:32" x14ac:dyDescent="0.25">
      <c r="C224" s="94" t="s">
        <v>201</v>
      </c>
      <c r="D224" s="94" t="s">
        <v>737</v>
      </c>
      <c r="E224" s="94" t="s">
        <v>11</v>
      </c>
      <c r="F224">
        <f>SUMIFS(F$5:F$196,$C$5:$C$196,$D224,$E$5:$E$196,$E224)</f>
        <v>4891080000000000</v>
      </c>
      <c r="G224">
        <f>SUMIFS(G$5:G$196,$C$5:$C$196,$D224,$E$5:$E$196,$E224)</f>
        <v>4980416000000000</v>
      </c>
      <c r="H224">
        <f>SUMIFS(H$5:H$196,$C$5:$C$196,$D224,$E$5:$E$196,$E224)</f>
        <v>4957498000000000</v>
      </c>
      <c r="I224">
        <f>SUMIFS(I$5:I$196,$C$5:$C$196,$D224,$E$5:$E$196,$E224)</f>
        <v>5008786000000000</v>
      </c>
      <c r="J224">
        <f>SUMIFS(J$5:J$196,$C$5:$C$196,$D224,$E$5:$E$196,$E224)</f>
        <v>5050091000000000</v>
      </c>
      <c r="K224">
        <f>SUMIFS(K$5:K$196,$C$5:$C$196,$D224,$E$5:$E$196,$E224)</f>
        <v>5126225000000000</v>
      </c>
      <c r="L224">
        <f>SUMIFS(L$5:L$196,$C$5:$C$196,$D224,$E$5:$E$196,$E224)</f>
        <v>5177758000000000</v>
      </c>
      <c r="M224">
        <f>SUMIFS(M$5:M$196,$C$5:$C$196,$D224,$E$5:$E$196,$E224)</f>
        <v>5229208000000000</v>
      </c>
      <c r="N224">
        <f>SUMIFS(N$5:N$196,$C$5:$C$196,$D224,$E$5:$E$196,$E224)</f>
        <v>5284573000000000</v>
      </c>
      <c r="O224">
        <f>SUMIFS(O$5:O$196,$C$5:$C$196,$D224,$E$5:$E$196,$E224)</f>
        <v>5339436000000000</v>
      </c>
      <c r="P224">
        <f>SUMIFS(P$5:P$196,$C$5:$C$196,$D224,$E$5:$E$196,$E224)</f>
        <v>5401619000000000</v>
      </c>
      <c r="Q224">
        <f>SUMIFS(Q$5:Q$196,$C$5:$C$196,$D224,$E$5:$E$196,$E224)</f>
        <v>5475174000000000</v>
      </c>
      <c r="R224">
        <f>SUMIFS(R$5:R$196,$C$5:$C$196,$D224,$E$5:$E$196,$E224)</f>
        <v>5558647000000000</v>
      </c>
      <c r="S224">
        <f>SUMIFS(S$5:S$196,$C$5:$C$196,$D224,$E$5:$E$196,$E224)</f>
        <v>5647235000000000</v>
      </c>
      <c r="T224">
        <f>SUMIFS(T$5:T$196,$C$5:$C$196,$D224,$E$5:$E$196,$E224)</f>
        <v>5733328000000000</v>
      </c>
      <c r="U224">
        <f>SUMIFS(U$5:U$196,$C$5:$C$196,$D224,$E$5:$E$196,$E224)</f>
        <v>5822507000000000</v>
      </c>
      <c r="V224">
        <f>SUMIFS(V$5:V$196,$C$5:$C$196,$D224,$E$5:$E$196,$E224)</f>
        <v>5912978000000000</v>
      </c>
      <c r="W224">
        <f>SUMIFS(W$5:W$196,$C$5:$C$196,$D224,$E$5:$E$196,$E224)</f>
        <v>6007266000000000</v>
      </c>
      <c r="X224">
        <f>SUMIFS(X$5:X$196,$C$5:$C$196,$D224,$E$5:$E$196,$E224)</f>
        <v>6102702000000000</v>
      </c>
      <c r="Y224">
        <f>SUMIFS(Y$5:Y$196,$C$5:$C$196,$D224,$E$5:$E$196,$E224)</f>
        <v>6201354000000000</v>
      </c>
      <c r="Z224">
        <f>SUMIFS(Z$5:Z$196,$C$5:$C$196,$D224,$E$5:$E$196,$E224)</f>
        <v>6302629000000000</v>
      </c>
      <c r="AA224">
        <f>SUMIFS(AA$5:AA$196,$C$5:$C$196,$D224,$E$5:$E$196,$E224)</f>
        <v>6405822000000000</v>
      </c>
      <c r="AB224">
        <f>SUMIFS(AB$5:AB$196,$C$5:$C$196,$D224,$E$5:$E$196,$E224)</f>
        <v>6510926000000000</v>
      </c>
      <c r="AC224">
        <f>SUMIFS(AC$5:AC$196,$C$5:$C$196,$D224,$E$5:$E$196,$E224)</f>
        <v>6618572000000000</v>
      </c>
      <c r="AD224">
        <f>SUMIFS(AD$5:AD$196,$C$5:$C$196,$D224,$E$5:$E$196,$E224)</f>
        <v>6729558000000000</v>
      </c>
      <c r="AE224">
        <f>SUMIFS(AE$5:AE$196,$C$5:$C$196,$D224,$E$5:$E$196,$E224)</f>
        <v>6843156000000000</v>
      </c>
      <c r="AF224">
        <f>SUMIFS(AF$5:AF$196,$C$5:$C$196,$D224,$E$5:$E$196,$E224)</f>
        <v>6960674000000000</v>
      </c>
    </row>
    <row r="225" spans="3:32" x14ac:dyDescent="0.25">
      <c r="F225" s="78">
        <f>F224/SUM(F222:F223)</f>
        <v>0.99999979554621976</v>
      </c>
      <c r="G225" s="78">
        <f t="shared" ref="G225:AF225" si="21">G224/SUM(G222:G223)</f>
        <v>1</v>
      </c>
      <c r="H225" s="78">
        <f t="shared" si="21"/>
        <v>1</v>
      </c>
      <c r="I225" s="78">
        <f t="shared" si="21"/>
        <v>1</v>
      </c>
      <c r="J225" s="78">
        <f t="shared" si="21"/>
        <v>0.99999980198380545</v>
      </c>
      <c r="K225" s="78">
        <f t="shared" si="21"/>
        <v>1</v>
      </c>
      <c r="L225" s="78">
        <f t="shared" si="21"/>
        <v>0.99999980686625234</v>
      </c>
      <c r="M225" s="78">
        <f t="shared" si="21"/>
        <v>1</v>
      </c>
      <c r="N225" s="78">
        <f t="shared" si="21"/>
        <v>1.0000001892300834</v>
      </c>
      <c r="O225" s="78">
        <f t="shared" si="21"/>
        <v>1.0000001872857334</v>
      </c>
      <c r="P225" s="78">
        <f t="shared" si="21"/>
        <v>0.99999981487035372</v>
      </c>
      <c r="Q225" s="78">
        <f t="shared" si="21"/>
        <v>1.0000001826426306</v>
      </c>
      <c r="R225" s="78">
        <f t="shared" si="21"/>
        <v>0.99999982010013944</v>
      </c>
      <c r="S225" s="78">
        <f t="shared" si="21"/>
        <v>1</v>
      </c>
      <c r="T225" s="78">
        <f t="shared" si="21"/>
        <v>1</v>
      </c>
      <c r="U225" s="78">
        <f t="shared" si="21"/>
        <v>1.0000001717473541</v>
      </c>
      <c r="V225" s="78">
        <f t="shared" si="21"/>
        <v>0.99999983088050881</v>
      </c>
      <c r="W225" s="78">
        <f t="shared" si="21"/>
        <v>0.99999983353495026</v>
      </c>
      <c r="X225" s="78">
        <f t="shared" si="21"/>
        <v>0.99999967227642039</v>
      </c>
      <c r="Y225" s="78">
        <f t="shared" si="21"/>
        <v>1.0000001612551326</v>
      </c>
      <c r="Z225" s="78">
        <f t="shared" si="21"/>
        <v>1</v>
      </c>
      <c r="AA225" s="78">
        <f t="shared" si="21"/>
        <v>1.000000156108015</v>
      </c>
      <c r="AB225" s="78">
        <f t="shared" si="21"/>
        <v>1.0000001535880079</v>
      </c>
      <c r="AC225" s="78">
        <f t="shared" si="21"/>
        <v>1</v>
      </c>
      <c r="AD225" s="78">
        <f t="shared" si="21"/>
        <v>1</v>
      </c>
      <c r="AE225" s="78">
        <f t="shared" si="21"/>
        <v>1</v>
      </c>
      <c r="AF225" s="78">
        <f t="shared" si="21"/>
        <v>1</v>
      </c>
    </row>
    <row r="226" spans="3:32" x14ac:dyDescent="0.25">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row>
    <row r="227" spans="3:32" x14ac:dyDescent="0.25">
      <c r="C227" s="94" t="s">
        <v>202</v>
      </c>
      <c r="E227" s="94" t="s">
        <v>13</v>
      </c>
      <c r="F227">
        <f>Table_5._Commercial_Sector_Key_!F37*quadrillion</f>
        <v>3426704000000000</v>
      </c>
      <c r="G227">
        <f>Table_5._Commercial_Sector_Key_!G37*quadrillion</f>
        <v>3611178000000000</v>
      </c>
      <c r="H227">
        <f>Table_5._Commercial_Sector_Key_!H37*quadrillion</f>
        <v>3645448000000000</v>
      </c>
      <c r="I227">
        <f>Table_5._Commercial_Sector_Key_!I37*quadrillion</f>
        <v>3652436000000000</v>
      </c>
      <c r="J227">
        <f>Table_5._Commercial_Sector_Key_!J37*quadrillion</f>
        <v>3643887000000000</v>
      </c>
      <c r="K227">
        <f>Table_5._Commercial_Sector_Key_!K37*quadrillion</f>
        <v>3643972000000000</v>
      </c>
      <c r="L227">
        <f>Table_5._Commercial_Sector_Key_!L37*quadrillion</f>
        <v>3636758000000000</v>
      </c>
      <c r="M227">
        <f>Table_5._Commercial_Sector_Key_!M37*quadrillion</f>
        <v>3632056000000000</v>
      </c>
      <c r="N227">
        <f>Table_5._Commercial_Sector_Key_!N37*quadrillion</f>
        <v>3618527000000000</v>
      </c>
      <c r="O227">
        <f>Table_5._Commercial_Sector_Key_!O37*quadrillion</f>
        <v>3602453000000000</v>
      </c>
      <c r="P227">
        <f>Table_5._Commercial_Sector_Key_!P37*quadrillion</f>
        <v>3590345000000000</v>
      </c>
      <c r="Q227">
        <f>Table_5._Commercial_Sector_Key_!Q37*quadrillion</f>
        <v>3587660000000000</v>
      </c>
      <c r="R227">
        <f>Table_5._Commercial_Sector_Key_!R37*quadrillion</f>
        <v>3594494000000000</v>
      </c>
      <c r="S227">
        <f>Table_5._Commercial_Sector_Key_!S37*quadrillion</f>
        <v>3606606000000000</v>
      </c>
      <c r="T227">
        <f>Table_5._Commercial_Sector_Key_!T37*quadrillion</f>
        <v>3620292000000000</v>
      </c>
      <c r="U227">
        <f>Table_5._Commercial_Sector_Key_!U37*quadrillion</f>
        <v>3636338000000000</v>
      </c>
      <c r="V227">
        <f>Table_5._Commercial_Sector_Key_!V37*quadrillion</f>
        <v>3649470000000000</v>
      </c>
      <c r="W227">
        <f>Table_5._Commercial_Sector_Key_!W37*quadrillion</f>
        <v>3657411000000000</v>
      </c>
      <c r="X227">
        <f>Table_5._Commercial_Sector_Key_!X37*quadrillion</f>
        <v>3662507000000000</v>
      </c>
      <c r="Y227">
        <f>Table_5._Commercial_Sector_Key_!Y37*quadrillion</f>
        <v>3666111000000000</v>
      </c>
      <c r="Z227">
        <f>Table_5._Commercial_Sector_Key_!Z37*quadrillion</f>
        <v>3672477000000000</v>
      </c>
      <c r="AA227">
        <f>Table_5._Commercial_Sector_Key_!AA37*quadrillion</f>
        <v>3679360000000000</v>
      </c>
      <c r="AB227">
        <f>Table_5._Commercial_Sector_Key_!AB37*quadrillion</f>
        <v>3683807000000000</v>
      </c>
      <c r="AC227">
        <f>Table_5._Commercial_Sector_Key_!AC37*quadrillion</f>
        <v>3690529000000000</v>
      </c>
      <c r="AD227">
        <f>Table_5._Commercial_Sector_Key_!AD37*quadrillion</f>
        <v>3699193000000000</v>
      </c>
      <c r="AE227">
        <f>Table_5._Commercial_Sector_Key_!AE37*quadrillion</f>
        <v>3706769000000000</v>
      </c>
      <c r="AF227">
        <f>Table_5._Commercial_Sector_Key_!AF37*quadrillion</f>
        <v>3713181000000000</v>
      </c>
    </row>
    <row r="228" spans="3:32" x14ac:dyDescent="0.25">
      <c r="C228" s="94" t="s">
        <v>201</v>
      </c>
      <c r="D228" s="94" t="s">
        <v>737</v>
      </c>
      <c r="E228" s="94" t="s">
        <v>13</v>
      </c>
      <c r="F228">
        <f>SUMIFS(F$5:F$196,$C$5:$C$196,$D228,$E$5:$E$196,$E228)</f>
        <v>3426704000000000</v>
      </c>
      <c r="G228">
        <f>SUMIFS(G$5:G$196,$C$5:$C$196,$D228,$E$5:$E$196,$E228)</f>
        <v>3611177000000000</v>
      </c>
      <c r="H228">
        <f>SUMIFS(H$5:H$196,$C$5:$C$196,$D228,$E$5:$E$196,$E228)</f>
        <v>3645448000000000</v>
      </c>
      <c r="I228">
        <f>SUMIFS(I$5:I$196,$C$5:$C$196,$D228,$E$5:$E$196,$E228)</f>
        <v>3652436000000000</v>
      </c>
      <c r="J228">
        <f>SUMIFS(J$5:J$196,$C$5:$C$196,$D228,$E$5:$E$196,$E228)</f>
        <v>3643887000000000</v>
      </c>
      <c r="K228">
        <f>SUMIFS(K$5:K$196,$C$5:$C$196,$D228,$E$5:$E$196,$E228)</f>
        <v>3643971000000000</v>
      </c>
      <c r="L228">
        <f>SUMIFS(L$5:L$196,$C$5:$C$196,$D228,$E$5:$E$196,$E228)</f>
        <v>3636758000000000</v>
      </c>
      <c r="M228">
        <f>SUMIFS(M$5:M$196,$C$5:$C$196,$D228,$E$5:$E$196,$E228)</f>
        <v>3632056000000000</v>
      </c>
      <c r="N228">
        <f>SUMIFS(N$5:N$196,$C$5:$C$196,$D228,$E$5:$E$196,$E228)</f>
        <v>3618527000000000</v>
      </c>
      <c r="O228">
        <f>SUMIFS(O$5:O$196,$C$5:$C$196,$D228,$E$5:$E$196,$E228)</f>
        <v>3602452000000000</v>
      </c>
      <c r="P228">
        <f>SUMIFS(P$5:P$196,$C$5:$C$196,$D228,$E$5:$E$196,$E228)</f>
        <v>3590346000000000</v>
      </c>
      <c r="Q228">
        <f>SUMIFS(Q$5:Q$196,$C$5:$C$196,$D228,$E$5:$E$196,$E228)</f>
        <v>3587661000000000</v>
      </c>
      <c r="R228">
        <f>SUMIFS(R$5:R$196,$C$5:$C$196,$D228,$E$5:$E$196,$E228)</f>
        <v>3594495000000000</v>
      </c>
      <c r="S228">
        <f>SUMIFS(S$5:S$196,$C$5:$C$196,$D228,$E$5:$E$196,$E228)</f>
        <v>3606606000000000</v>
      </c>
      <c r="T228">
        <f>SUMIFS(T$5:T$196,$C$5:$C$196,$D228,$E$5:$E$196,$E228)</f>
        <v>3620291000000000</v>
      </c>
      <c r="U228">
        <f>SUMIFS(U$5:U$196,$C$5:$C$196,$D228,$E$5:$E$196,$E228)</f>
        <v>3636338000000000</v>
      </c>
      <c r="V228">
        <f>SUMIFS(V$5:V$196,$C$5:$C$196,$D228,$E$5:$E$196,$E228)</f>
        <v>3649470000000000</v>
      </c>
      <c r="W228">
        <f>SUMIFS(W$5:W$196,$C$5:$C$196,$D228,$E$5:$E$196,$E228)</f>
        <v>3657411000000000</v>
      </c>
      <c r="X228">
        <f>SUMIFS(X$5:X$196,$C$5:$C$196,$D228,$E$5:$E$196,$E228)</f>
        <v>3662507000000000</v>
      </c>
      <c r="Y228">
        <f>SUMIFS(Y$5:Y$196,$C$5:$C$196,$D228,$E$5:$E$196,$E228)</f>
        <v>3666111000000000</v>
      </c>
      <c r="Z228">
        <f>SUMIFS(Z$5:Z$196,$C$5:$C$196,$D228,$E$5:$E$196,$E228)</f>
        <v>3672477000000000</v>
      </c>
      <c r="AA228">
        <f>SUMIFS(AA$5:AA$196,$C$5:$C$196,$D228,$E$5:$E$196,$E228)</f>
        <v>3679359000000000</v>
      </c>
      <c r="AB228">
        <f>SUMIFS(AB$5:AB$196,$C$5:$C$196,$D228,$E$5:$E$196,$E228)</f>
        <v>3683808000000000</v>
      </c>
      <c r="AC228">
        <f>SUMIFS(AC$5:AC$196,$C$5:$C$196,$D228,$E$5:$E$196,$E228)</f>
        <v>3690529000000000</v>
      </c>
      <c r="AD228">
        <f>SUMIFS(AD$5:AD$196,$C$5:$C$196,$D228,$E$5:$E$196,$E228)</f>
        <v>3699193000000000</v>
      </c>
      <c r="AE228">
        <f>SUMIFS(AE$5:AE$196,$C$5:$C$196,$D228,$E$5:$E$196,$E228)</f>
        <v>3706769000000000</v>
      </c>
      <c r="AF228">
        <f>SUMIFS(AF$5:AF$196,$C$5:$C$196,$D228,$E$5:$E$196,$E228)</f>
        <v>3713181000000000</v>
      </c>
    </row>
    <row r="229" spans="3:32" x14ac:dyDescent="0.25">
      <c r="F229" s="78">
        <f t="shared" ref="F229" si="22">F228/SUM(F227:F227)</f>
        <v>1</v>
      </c>
      <c r="G229" s="78">
        <f t="shared" ref="G229" si="23">G228/SUM(G227:G227)</f>
        <v>0.99999972308205243</v>
      </c>
      <c r="H229" s="78">
        <f t="shared" ref="H229" si="24">H228/SUM(H227:H227)</f>
        <v>1</v>
      </c>
      <c r="I229" s="78">
        <f t="shared" ref="I229" si="25">I228/SUM(I227:I227)</f>
        <v>1</v>
      </c>
      <c r="J229" s="78">
        <f t="shared" ref="J229" si="26">J228/SUM(J227:J227)</f>
        <v>1</v>
      </c>
      <c r="K229" s="78">
        <f t="shared" ref="K229" si="27">K228/SUM(K227:K227)</f>
        <v>0.99999972557418115</v>
      </c>
      <c r="L229" s="78">
        <f t="shared" ref="L229" si="28">L228/SUM(L227:L227)</f>
        <v>1</v>
      </c>
      <c r="M229" s="78">
        <f t="shared" ref="M229" si="29">M228/SUM(M227:M227)</f>
        <v>1</v>
      </c>
      <c r="N229" s="78">
        <f t="shared" ref="N229" si="30">N228/SUM(N227:N227)</f>
        <v>1</v>
      </c>
      <c r="O229" s="78">
        <f t="shared" ref="O229" si="31">O228/SUM(O227:O227)</f>
        <v>0.99999972241136803</v>
      </c>
      <c r="P229" s="78">
        <f t="shared" ref="P229" si="32">P228/SUM(P227:P227)</f>
        <v>1.0000002785247657</v>
      </c>
      <c r="Q229" s="78">
        <f t="shared" ref="Q229" si="33">Q228/SUM(Q227:Q227)</f>
        <v>1.0000002787332134</v>
      </c>
      <c r="R229" s="78">
        <f t="shared" ref="R229" si="34">R228/SUM(R227:R227)</f>
        <v>1.0000002782032742</v>
      </c>
      <c r="S229" s="78">
        <f t="shared" ref="S229" si="35">S228/SUM(S227:S227)</f>
        <v>1</v>
      </c>
      <c r="T229" s="78">
        <f t="shared" ref="T229" si="36">T228/SUM(T227:T227)</f>
        <v>0.99999972377918689</v>
      </c>
      <c r="U229" s="78">
        <f t="shared" ref="U229" si="37">U228/SUM(U227:U227)</f>
        <v>1</v>
      </c>
      <c r="V229" s="78">
        <f t="shared" ref="V229" si="38">V228/SUM(V227:V227)</f>
        <v>1</v>
      </c>
      <c r="W229" s="78">
        <f t="shared" ref="W229" si="39">W228/SUM(W227:W227)</f>
        <v>1</v>
      </c>
      <c r="X229" s="78">
        <f t="shared" ref="X229" si="40">X228/SUM(X227:X227)</f>
        <v>1</v>
      </c>
      <c r="Y229" s="78">
        <f t="shared" ref="Y229" si="41">Y228/SUM(Y227:Y227)</f>
        <v>1</v>
      </c>
      <c r="Z229" s="78">
        <f t="shared" ref="Z229" si="42">Z228/SUM(Z227:Z227)</f>
        <v>1</v>
      </c>
      <c r="AA229" s="78">
        <f t="shared" ref="AA229" si="43">AA228/SUM(AA227:AA227)</f>
        <v>0.99999972821360239</v>
      </c>
      <c r="AB229" s="78">
        <f t="shared" ref="AB229" si="44">AB228/SUM(AB227:AB227)</f>
        <v>1.0000002714583038</v>
      </c>
      <c r="AC229" s="78">
        <f t="shared" ref="AC229" si="45">AC228/SUM(AC227:AC227)</f>
        <v>1</v>
      </c>
      <c r="AD229" s="78">
        <f t="shared" ref="AD229" si="46">AD228/SUM(AD227:AD227)</f>
        <v>1</v>
      </c>
      <c r="AE229" s="78">
        <f t="shared" ref="AE229" si="47">AE228/SUM(AE227:AE227)</f>
        <v>1</v>
      </c>
      <c r="AF229" s="78">
        <f t="shared" ref="AF229" si="48">AF228/SUM(AF227:AF227)</f>
        <v>1</v>
      </c>
    </row>
    <row r="231" spans="3:32" x14ac:dyDescent="0.25">
      <c r="C231" s="94" t="s">
        <v>202</v>
      </c>
      <c r="E231" s="94" t="s">
        <v>14</v>
      </c>
      <c r="F231">
        <f>Table_5._Commercial_Sector_Key_!F42*quadrillion</f>
        <v>308284000000000</v>
      </c>
      <c r="G231">
        <f>Table_5._Commercial_Sector_Key_!G42*quadrillion</f>
        <v>316531000000000</v>
      </c>
      <c r="H231">
        <f>Table_5._Commercial_Sector_Key_!H42*quadrillion</f>
        <v>320091000000000</v>
      </c>
      <c r="I231">
        <f>Table_5._Commercial_Sector_Key_!I42*quadrillion</f>
        <v>322023000000000</v>
      </c>
      <c r="J231">
        <f>Table_5._Commercial_Sector_Key_!J42*quadrillion</f>
        <v>322813000000000</v>
      </c>
      <c r="K231">
        <f>Table_5._Commercial_Sector_Key_!K42*quadrillion</f>
        <v>322871000000000</v>
      </c>
      <c r="L231">
        <f>Table_5._Commercial_Sector_Key_!L42*quadrillion</f>
        <v>322850000000000</v>
      </c>
      <c r="M231">
        <f>Table_5._Commercial_Sector_Key_!M42*quadrillion</f>
        <v>322282000000000</v>
      </c>
      <c r="N231">
        <f>Table_5._Commercial_Sector_Key_!N42*quadrillion</f>
        <v>321660000000000</v>
      </c>
      <c r="O231">
        <f>Table_5._Commercial_Sector_Key_!O42*quadrillion</f>
        <v>320479000000000</v>
      </c>
      <c r="P231">
        <f>Table_5._Commercial_Sector_Key_!P42*quadrillion</f>
        <v>319178000000000</v>
      </c>
      <c r="Q231">
        <f>Table_5._Commercial_Sector_Key_!Q42*quadrillion</f>
        <v>317716000000000</v>
      </c>
      <c r="R231">
        <f>Table_5._Commercial_Sector_Key_!R42*quadrillion</f>
        <v>316511000000000</v>
      </c>
      <c r="S231">
        <f>Table_5._Commercial_Sector_Key_!S42*quadrillion</f>
        <v>315075000000000</v>
      </c>
      <c r="T231">
        <f>Table_5._Commercial_Sector_Key_!T42*quadrillion</f>
        <v>313805000000000</v>
      </c>
      <c r="U231">
        <f>Table_5._Commercial_Sector_Key_!U42*quadrillion</f>
        <v>312652000000000</v>
      </c>
      <c r="V231">
        <f>Table_5._Commercial_Sector_Key_!V42*quadrillion</f>
        <v>311396000000000</v>
      </c>
      <c r="W231">
        <f>Table_5._Commercial_Sector_Key_!W42*quadrillion</f>
        <v>310069000000000</v>
      </c>
      <c r="X231">
        <f>Table_5._Commercial_Sector_Key_!X42*quadrillion</f>
        <v>308610000000000</v>
      </c>
      <c r="Y231">
        <f>Table_5._Commercial_Sector_Key_!Y42*quadrillion</f>
        <v>307126000000000</v>
      </c>
      <c r="Z231">
        <f>Table_5._Commercial_Sector_Key_!Z42*quadrillion</f>
        <v>305111000000000</v>
      </c>
      <c r="AA231">
        <f>Table_5._Commercial_Sector_Key_!AA42*quadrillion</f>
        <v>303931000000000</v>
      </c>
      <c r="AB231">
        <f>Table_5._Commercial_Sector_Key_!AB42*quadrillion</f>
        <v>302812000000000</v>
      </c>
      <c r="AC231">
        <f>Table_5._Commercial_Sector_Key_!AC42*quadrillion</f>
        <v>302144000000000</v>
      </c>
      <c r="AD231">
        <f>Table_5._Commercial_Sector_Key_!AD42*quadrillion</f>
        <v>301719000000000</v>
      </c>
      <c r="AE231">
        <f>Table_5._Commercial_Sector_Key_!AE42*quadrillion</f>
        <v>301060000000000</v>
      </c>
      <c r="AF231">
        <f>Table_5._Commercial_Sector_Key_!AF42*quadrillion</f>
        <v>300130000000000</v>
      </c>
    </row>
    <row r="232" spans="3:32" x14ac:dyDescent="0.25">
      <c r="C232" s="94" t="s">
        <v>201</v>
      </c>
      <c r="D232" s="94" t="s">
        <v>737</v>
      </c>
      <c r="E232" s="94" t="s">
        <v>14</v>
      </c>
      <c r="F232">
        <f>SUMIFS(F$5:F$196,$C$5:$C$196,$D232,$E$5:$E$196,$E232)</f>
        <v>308284000000000</v>
      </c>
      <c r="G232">
        <f>SUMIFS(G$5:G$196,$C$5:$C$196,$D232,$E$5:$E$196,$E232)</f>
        <v>316530000000000</v>
      </c>
      <c r="H232">
        <f>SUMIFS(H$5:H$196,$C$5:$C$196,$D232,$E$5:$E$196,$E232)</f>
        <v>320091000000000</v>
      </c>
      <c r="I232">
        <f>SUMIFS(I$5:I$196,$C$5:$C$196,$D232,$E$5:$E$196,$E232)</f>
        <v>322023000000000</v>
      </c>
      <c r="J232">
        <f>SUMIFS(J$5:J$196,$C$5:$C$196,$D232,$E$5:$E$196,$E232)</f>
        <v>322813000000000</v>
      </c>
      <c r="K232">
        <f>SUMIFS(K$5:K$196,$C$5:$C$196,$D232,$E$5:$E$196,$E232)</f>
        <v>322871000000000</v>
      </c>
      <c r="L232">
        <f>SUMIFS(L$5:L$196,$C$5:$C$196,$D232,$E$5:$E$196,$E232)</f>
        <v>322850000000000</v>
      </c>
      <c r="M232">
        <f>SUMIFS(M$5:M$196,$C$5:$C$196,$D232,$E$5:$E$196,$E232)</f>
        <v>322282000000000</v>
      </c>
      <c r="N232">
        <f>SUMIFS(N$5:N$196,$C$5:$C$196,$D232,$E$5:$E$196,$E232)</f>
        <v>321660000000000</v>
      </c>
      <c r="O232">
        <f>SUMIFS(O$5:O$196,$C$5:$C$196,$D232,$E$5:$E$196,$E232)</f>
        <v>320480000000000</v>
      </c>
      <c r="P232">
        <f>SUMIFS(P$5:P$196,$C$5:$C$196,$D232,$E$5:$E$196,$E232)</f>
        <v>319178000000000</v>
      </c>
      <c r="Q232">
        <f>SUMIFS(Q$5:Q$196,$C$5:$C$196,$D232,$E$5:$E$196,$E232)</f>
        <v>317716000000000</v>
      </c>
      <c r="R232">
        <f>SUMIFS(R$5:R$196,$C$5:$C$196,$D232,$E$5:$E$196,$E232)</f>
        <v>316512000000000</v>
      </c>
      <c r="S232">
        <f>SUMIFS(S$5:S$196,$C$5:$C$196,$D232,$E$5:$E$196,$E232)</f>
        <v>315075000000000</v>
      </c>
      <c r="T232">
        <f>SUMIFS(T$5:T$196,$C$5:$C$196,$D232,$E$5:$E$196,$E232)</f>
        <v>313806000000000</v>
      </c>
      <c r="U232">
        <f>SUMIFS(U$5:U$196,$C$5:$C$196,$D232,$E$5:$E$196,$E232)</f>
        <v>312652000000000</v>
      </c>
      <c r="V232">
        <f>SUMIFS(V$5:V$196,$C$5:$C$196,$D232,$E$5:$E$196,$E232)</f>
        <v>311396000000000</v>
      </c>
      <c r="W232">
        <f>SUMIFS(W$5:W$196,$C$5:$C$196,$D232,$E$5:$E$196,$E232)</f>
        <v>310069000000000</v>
      </c>
      <c r="X232">
        <f>SUMIFS(X$5:X$196,$C$5:$C$196,$D232,$E$5:$E$196,$E232)</f>
        <v>308610000000000</v>
      </c>
      <c r="Y232">
        <f>SUMIFS(Y$5:Y$196,$C$5:$C$196,$D232,$E$5:$E$196,$E232)</f>
        <v>307126000000000</v>
      </c>
      <c r="Z232">
        <f>SUMIFS(Z$5:Z$196,$C$5:$C$196,$D232,$E$5:$E$196,$E232)</f>
        <v>305111000000000</v>
      </c>
      <c r="AA232">
        <f>SUMIFS(AA$5:AA$196,$C$5:$C$196,$D232,$E$5:$E$196,$E232)</f>
        <v>303931000000000</v>
      </c>
      <c r="AB232">
        <f>SUMIFS(AB$5:AB$196,$C$5:$C$196,$D232,$E$5:$E$196,$E232)</f>
        <v>302812000000000</v>
      </c>
      <c r="AC232">
        <f>SUMIFS(AC$5:AC$196,$C$5:$C$196,$D232,$E$5:$E$196,$E232)</f>
        <v>302144000000000</v>
      </c>
      <c r="AD232">
        <f>SUMIFS(AD$5:AD$196,$C$5:$C$196,$D232,$E$5:$E$196,$E232)</f>
        <v>301719000000000</v>
      </c>
      <c r="AE232">
        <f>SUMIFS(AE$5:AE$196,$C$5:$C$196,$D232,$E$5:$E$196,$E232)</f>
        <v>301061000000000</v>
      </c>
      <c r="AF232">
        <f>SUMIFS(AF$5:AF$196,$C$5:$C$196,$D232,$E$5:$E$196,$E232)</f>
        <v>300130000000000</v>
      </c>
    </row>
    <row r="233" spans="3:32" x14ac:dyDescent="0.25">
      <c r="F233" s="78">
        <f t="shared" ref="F233" si="49">F232/SUM(F231:F231)</f>
        <v>1</v>
      </c>
      <c r="G233" s="78">
        <f t="shared" ref="G233" si="50">G232/SUM(G231:G231)</f>
        <v>0.99999684075177475</v>
      </c>
      <c r="H233" s="78">
        <f t="shared" ref="H233" si="51">H232/SUM(H231:H231)</f>
        <v>1</v>
      </c>
      <c r="I233" s="78">
        <f t="shared" ref="I233" si="52">I232/SUM(I231:I231)</f>
        <v>1</v>
      </c>
      <c r="J233" s="78">
        <f t="shared" ref="J233" si="53">J232/SUM(J231:J231)</f>
        <v>1</v>
      </c>
      <c r="K233" s="78">
        <f t="shared" ref="K233" si="54">K232/SUM(K231:K231)</f>
        <v>1</v>
      </c>
      <c r="L233" s="78">
        <f t="shared" ref="L233" si="55">L232/SUM(L231:L231)</f>
        <v>1</v>
      </c>
      <c r="M233" s="78">
        <f t="shared" ref="M233" si="56">M232/SUM(M231:M231)</f>
        <v>1</v>
      </c>
      <c r="N233" s="78">
        <f t="shared" ref="N233" si="57">N232/SUM(N231:N231)</f>
        <v>1</v>
      </c>
      <c r="O233" s="78">
        <f t="shared" ref="O233" si="58">O232/SUM(O231:O231)</f>
        <v>1.0000031203292572</v>
      </c>
      <c r="P233" s="78">
        <f t="shared" ref="P233" si="59">P232/SUM(P231:P231)</f>
        <v>1</v>
      </c>
      <c r="Q233" s="78">
        <f t="shared" ref="Q233" si="60">Q232/SUM(Q231:Q231)</f>
        <v>1</v>
      </c>
      <c r="R233" s="78">
        <f t="shared" ref="R233" si="61">R232/SUM(R231:R231)</f>
        <v>1.0000031594478549</v>
      </c>
      <c r="S233" s="78">
        <f t="shared" ref="S233" si="62">S232/SUM(S231:S231)</f>
        <v>1</v>
      </c>
      <c r="T233" s="78">
        <f t="shared" ref="T233" si="63">T232/SUM(T231:T231)</f>
        <v>1.0000031866923726</v>
      </c>
      <c r="U233" s="78">
        <f t="shared" ref="U233" si="64">U232/SUM(U231:U231)</f>
        <v>1</v>
      </c>
      <c r="V233" s="78">
        <f t="shared" ref="V233" si="65">V232/SUM(V231:V231)</f>
        <v>1</v>
      </c>
      <c r="W233" s="78">
        <f t="shared" ref="W233" si="66">W232/SUM(W231:W231)</f>
        <v>1</v>
      </c>
      <c r="X233" s="78">
        <f t="shared" ref="X233" si="67">X232/SUM(X231:X231)</f>
        <v>1</v>
      </c>
      <c r="Y233" s="78">
        <f t="shared" ref="Y233" si="68">Y232/SUM(Y231:Y231)</f>
        <v>1</v>
      </c>
      <c r="Z233" s="78">
        <f t="shared" ref="Z233" si="69">Z232/SUM(Z231:Z231)</f>
        <v>1</v>
      </c>
      <c r="AA233" s="78">
        <f t="shared" ref="AA233" si="70">AA232/SUM(AA231:AA231)</f>
        <v>1</v>
      </c>
      <c r="AB233" s="78">
        <f t="shared" ref="AB233" si="71">AB232/SUM(AB231:AB231)</f>
        <v>1</v>
      </c>
      <c r="AC233" s="78">
        <f t="shared" ref="AC233" si="72">AC232/SUM(AC231:AC231)</f>
        <v>1</v>
      </c>
      <c r="AD233" s="78">
        <f t="shared" ref="AD233" si="73">AD232/SUM(AD231:AD231)</f>
        <v>1</v>
      </c>
      <c r="AE233" s="78">
        <f t="shared" ref="AE233" si="74">AE232/SUM(AE231:AE231)</f>
        <v>1.0000033215970239</v>
      </c>
      <c r="AF233" s="78">
        <f t="shared" ref="AF233" si="75">AF232/SUM(AF231:AF231)</f>
        <v>1</v>
      </c>
    </row>
    <row r="235" spans="3:32" x14ac:dyDescent="0.25">
      <c r="C235" s="94" t="s">
        <v>202</v>
      </c>
      <c r="E235" s="94" t="s">
        <v>172</v>
      </c>
      <c r="F235">
        <f>Table_5._Commercial_Sector_Key_!F44*(1-Fraction_coal)*quadrillion</f>
        <v>627274559999999.88</v>
      </c>
      <c r="G235">
        <f>Table_5._Commercial_Sector_Key_!G44*(1-Fraction_coal)*quadrillion</f>
        <v>634765439999999.88</v>
      </c>
      <c r="H235">
        <f>Table_5._Commercial_Sector_Key_!H44*(1-Fraction_coal)*quadrillion</f>
        <v>650708160000000</v>
      </c>
      <c r="I235">
        <f>Table_5._Commercial_Sector_Key_!I44*(1-Fraction_coal)*quadrillion</f>
        <v>663202560000000</v>
      </c>
      <c r="J235">
        <f>Table_5._Commercial_Sector_Key_!J44*(1-Fraction_coal)*quadrillion</f>
        <v>676887360000000</v>
      </c>
      <c r="K235">
        <f>Table_5._Commercial_Sector_Key_!K44*(1-Fraction_coal)*quadrillion</f>
        <v>687845760000000</v>
      </c>
      <c r="L235">
        <f>Table_5._Commercial_Sector_Key_!L44*(1-Fraction_coal)*quadrillion</f>
        <v>699965760000000</v>
      </c>
      <c r="M235">
        <f>Table_5._Commercial_Sector_Key_!M44*(1-Fraction_coal)*quadrillion</f>
        <v>712161600000000</v>
      </c>
      <c r="N235">
        <f>Table_5._Commercial_Sector_Key_!N44*(1-Fraction_coal)*quadrillion</f>
        <v>724712640000000</v>
      </c>
      <c r="O235">
        <f>Table_5._Commercial_Sector_Key_!O44*(1-Fraction_coal)*quadrillion</f>
        <v>736569600000000</v>
      </c>
      <c r="P235">
        <f>Table_5._Commercial_Sector_Key_!P44*(1-Fraction_coal)*quadrillion</f>
        <v>749076479999999.88</v>
      </c>
      <c r="Q235">
        <f>Table_5._Commercial_Sector_Key_!Q44*(1-Fraction_coal)*quadrillion</f>
        <v>761356800000000</v>
      </c>
      <c r="R235">
        <f>Table_5._Commercial_Sector_Key_!R44*(1-Fraction_coal)*quadrillion</f>
        <v>773009279999999.88</v>
      </c>
      <c r="S235">
        <f>Table_5._Commercial_Sector_Key_!S44*(1-Fraction_coal)*quadrillion</f>
        <v>784384319999999.88</v>
      </c>
      <c r="T235">
        <f>Table_5._Commercial_Sector_Key_!T44*(1-Fraction_coal)*quadrillion</f>
        <v>795101760000000</v>
      </c>
      <c r="U235">
        <f>Table_5._Commercial_Sector_Key_!U44*(1-Fraction_coal)*quadrillion</f>
        <v>806410559999999.88</v>
      </c>
      <c r="V235">
        <f>Table_5._Commercial_Sector_Key_!V44*(1-Fraction_coal)*quadrillion</f>
        <v>817358400000000</v>
      </c>
      <c r="W235">
        <f>Table_5._Commercial_Sector_Key_!W44*(1-Fraction_coal)*quadrillion</f>
        <v>827763839999999.88</v>
      </c>
      <c r="X235">
        <f>Table_5._Commercial_Sector_Key_!X44*(1-Fraction_coal)*quadrillion</f>
        <v>838312319999999.88</v>
      </c>
      <c r="Y235">
        <f>Table_5._Commercial_Sector_Key_!Y44*(1-Fraction_coal)*quadrillion</f>
        <v>848631360000000</v>
      </c>
      <c r="Z235">
        <f>Table_5._Commercial_Sector_Key_!Z44*(1-Fraction_coal)*quadrillion</f>
        <v>858867840000000</v>
      </c>
      <c r="AA235">
        <f>Table_5._Commercial_Sector_Key_!AA44*(1-Fraction_coal)*quadrillion</f>
        <v>869361600000000</v>
      </c>
      <c r="AB235">
        <f>Table_5._Commercial_Sector_Key_!AB44*(1-Fraction_coal)*quadrillion</f>
        <v>879650879999999.88</v>
      </c>
      <c r="AC235">
        <f>Table_5._Commercial_Sector_Key_!AC44*(1-Fraction_coal)*quadrillion</f>
        <v>890286720000000</v>
      </c>
      <c r="AD235">
        <f>Table_5._Commercial_Sector_Key_!AD44*(1-Fraction_coal)*quadrillion</f>
        <v>901001280000000</v>
      </c>
      <c r="AE235">
        <f>Table_5._Commercial_Sector_Key_!AE44*(1-Fraction_coal)*quadrillion</f>
        <v>911773440000000</v>
      </c>
      <c r="AF235">
        <f>Table_5._Commercial_Sector_Key_!AF44*(1-Fraction_coal)*quadrillion</f>
        <v>922290239999999.88</v>
      </c>
    </row>
    <row r="236" spans="3:32" x14ac:dyDescent="0.25">
      <c r="C236" s="94" t="s">
        <v>201</v>
      </c>
      <c r="D236" s="94" t="s">
        <v>737</v>
      </c>
      <c r="E236" s="94" t="s">
        <v>172</v>
      </c>
      <c r="F236">
        <f>SUMIFS(F$5:F$196,$C$5:$C$196,$D236,$E$5:$E$196,$E236)</f>
        <v>627274559999999.88</v>
      </c>
      <c r="G236">
        <f>SUMIFS(G$5:G$196,$C$5:$C$196,$D236,$E$5:$E$196,$E236)</f>
        <v>634765439999999.88</v>
      </c>
      <c r="H236">
        <f>SUMIFS(H$5:H$196,$C$5:$C$196,$D236,$E$5:$E$196,$E236)</f>
        <v>650708160000000</v>
      </c>
      <c r="I236">
        <f>SUMIFS(I$5:I$196,$C$5:$C$196,$D236,$E$5:$E$196,$E236)</f>
        <v>663202560000000</v>
      </c>
      <c r="J236">
        <f>SUMIFS(J$5:J$196,$C$5:$C$196,$D236,$E$5:$E$196,$E236)</f>
        <v>676887360000000</v>
      </c>
      <c r="K236">
        <f>SUMIFS(K$5:K$196,$C$5:$C$196,$D236,$E$5:$E$196,$E236)</f>
        <v>687845760000000</v>
      </c>
      <c r="L236">
        <f>SUMIFS(L$5:L$196,$C$5:$C$196,$D236,$E$5:$E$196,$E236)</f>
        <v>699965760000000</v>
      </c>
      <c r="M236">
        <f>SUMIFS(M$5:M$196,$C$5:$C$196,$D236,$E$5:$E$196,$E236)</f>
        <v>712161600000000</v>
      </c>
      <c r="N236">
        <f>SUMIFS(N$5:N$196,$C$5:$C$196,$D236,$E$5:$E$196,$E236)</f>
        <v>724712640000000</v>
      </c>
      <c r="O236">
        <f>SUMIFS(O$5:O$196,$C$5:$C$196,$D236,$E$5:$E$196,$E236)</f>
        <v>736569600000000</v>
      </c>
      <c r="P236">
        <f>SUMIFS(P$5:P$196,$C$5:$C$196,$D236,$E$5:$E$196,$E236)</f>
        <v>749076480000000</v>
      </c>
      <c r="Q236">
        <f>SUMIFS(Q$5:Q$196,$C$5:$C$196,$D236,$E$5:$E$196,$E236)</f>
        <v>761356800000000</v>
      </c>
      <c r="R236">
        <f>SUMIFS(R$5:R$196,$C$5:$C$196,$D236,$E$5:$E$196,$E236)</f>
        <v>773009280000000</v>
      </c>
      <c r="S236">
        <f>SUMIFS(S$5:S$196,$C$5:$C$196,$D236,$E$5:$E$196,$E236)</f>
        <v>784384319999999.88</v>
      </c>
      <c r="T236">
        <f>SUMIFS(T$5:T$196,$C$5:$C$196,$D236,$E$5:$E$196,$E236)</f>
        <v>795101760000000</v>
      </c>
      <c r="U236">
        <f>SUMIFS(U$5:U$196,$C$5:$C$196,$D236,$E$5:$E$196,$E236)</f>
        <v>806410559999999.88</v>
      </c>
      <c r="V236">
        <f>SUMIFS(V$5:V$196,$C$5:$C$196,$D236,$E$5:$E$196,$E236)</f>
        <v>817358400000000</v>
      </c>
      <c r="W236">
        <f>SUMIFS(W$5:W$196,$C$5:$C$196,$D236,$E$5:$E$196,$E236)</f>
        <v>827763839999999.88</v>
      </c>
      <c r="X236">
        <f>SUMIFS(X$5:X$196,$C$5:$C$196,$D236,$E$5:$E$196,$E236)</f>
        <v>838312319999999.88</v>
      </c>
      <c r="Y236">
        <f>SUMIFS(Y$5:Y$196,$C$5:$C$196,$D236,$E$5:$E$196,$E236)</f>
        <v>848631360000000</v>
      </c>
      <c r="Z236">
        <f>SUMIFS(Z$5:Z$196,$C$5:$C$196,$D236,$E$5:$E$196,$E236)</f>
        <v>858867840000000</v>
      </c>
      <c r="AA236">
        <f>SUMIFS(AA$5:AA$196,$C$5:$C$196,$D236,$E$5:$E$196,$E236)</f>
        <v>869361600000000</v>
      </c>
      <c r="AB236">
        <f>SUMIFS(AB$5:AB$196,$C$5:$C$196,$D236,$E$5:$E$196,$E236)</f>
        <v>879650879999999.88</v>
      </c>
      <c r="AC236">
        <f>SUMIFS(AC$5:AC$196,$C$5:$C$196,$D236,$E$5:$E$196,$E236)</f>
        <v>890286720000000</v>
      </c>
      <c r="AD236">
        <f>SUMIFS(AD$5:AD$196,$C$5:$C$196,$D236,$E$5:$E$196,$E236)</f>
        <v>901001280000000.13</v>
      </c>
      <c r="AE236">
        <f>SUMIFS(AE$5:AE$196,$C$5:$C$196,$D236,$E$5:$E$196,$E236)</f>
        <v>911773440000000</v>
      </c>
      <c r="AF236">
        <f>SUMIFS(AF$5:AF$196,$C$5:$C$196,$D236,$E$5:$E$196,$E236)</f>
        <v>922290240000000</v>
      </c>
    </row>
    <row r="237" spans="3:32" x14ac:dyDescent="0.25">
      <c r="F237" s="78">
        <f t="shared" ref="F237" si="76">F236/SUM(F235:F235)</f>
        <v>1</v>
      </c>
      <c r="G237" s="78">
        <f t="shared" ref="G237" si="77">G236/SUM(G235:G235)</f>
        <v>1</v>
      </c>
      <c r="H237" s="78">
        <f t="shared" ref="H237" si="78">H236/SUM(H235:H235)</f>
        <v>1</v>
      </c>
      <c r="I237" s="78">
        <f t="shared" ref="I237" si="79">I236/SUM(I235:I235)</f>
        <v>1</v>
      </c>
      <c r="J237" s="78">
        <f t="shared" ref="J237" si="80">J236/SUM(J235:J235)</f>
        <v>1</v>
      </c>
      <c r="K237" s="78">
        <f t="shared" ref="K237" si="81">K236/SUM(K235:K235)</f>
        <v>1</v>
      </c>
      <c r="L237" s="78">
        <f t="shared" ref="L237" si="82">L236/SUM(L235:L235)</f>
        <v>1</v>
      </c>
      <c r="M237" s="78">
        <f t="shared" ref="M237" si="83">M236/SUM(M235:M235)</f>
        <v>1</v>
      </c>
      <c r="N237" s="78">
        <f t="shared" ref="N237" si="84">N236/SUM(N235:N235)</f>
        <v>1</v>
      </c>
      <c r="O237" s="78">
        <f t="shared" ref="O237" si="85">O236/SUM(O235:O235)</f>
        <v>1</v>
      </c>
      <c r="P237" s="78">
        <f t="shared" ref="P237" si="86">P236/SUM(P235:P235)</f>
        <v>1.0000000000000002</v>
      </c>
      <c r="Q237" s="78">
        <f t="shared" ref="Q237" si="87">Q236/SUM(Q235:Q235)</f>
        <v>1</v>
      </c>
      <c r="R237" s="78">
        <f t="shared" ref="R237" si="88">R236/SUM(R235:R235)</f>
        <v>1.0000000000000002</v>
      </c>
      <c r="S237" s="78">
        <f t="shared" ref="S237" si="89">S236/SUM(S235:S235)</f>
        <v>1</v>
      </c>
      <c r="T237" s="78">
        <f t="shared" ref="T237" si="90">T236/SUM(T235:T235)</f>
        <v>1</v>
      </c>
      <c r="U237" s="78">
        <f t="shared" ref="U237" si="91">U236/SUM(U235:U235)</f>
        <v>1</v>
      </c>
      <c r="V237" s="78">
        <f t="shared" ref="V237" si="92">V236/SUM(V235:V235)</f>
        <v>1</v>
      </c>
      <c r="W237" s="78">
        <f t="shared" ref="W237" si="93">W236/SUM(W235:W235)</f>
        <v>1</v>
      </c>
      <c r="X237" s="78">
        <f t="shared" ref="X237" si="94">X236/SUM(X235:X235)</f>
        <v>1</v>
      </c>
      <c r="Y237" s="78">
        <f t="shared" ref="Y237" si="95">Y236/SUM(Y235:Y235)</f>
        <v>1</v>
      </c>
      <c r="Z237" s="78">
        <f t="shared" ref="Z237" si="96">Z236/SUM(Z235:Z235)</f>
        <v>1</v>
      </c>
      <c r="AA237" s="78">
        <f t="shared" ref="AA237" si="97">AA236/SUM(AA235:AA235)</f>
        <v>1</v>
      </c>
      <c r="AB237" s="78">
        <f t="shared" ref="AB237" si="98">AB236/SUM(AB235:AB235)</f>
        <v>1</v>
      </c>
      <c r="AC237" s="78">
        <f t="shared" ref="AC237" si="99">AC236/SUM(AC235:AC235)</f>
        <v>1</v>
      </c>
      <c r="AD237" s="78">
        <f t="shared" ref="AD237" si="100">AD236/SUM(AD235:AD235)</f>
        <v>1.0000000000000002</v>
      </c>
      <c r="AE237" s="78">
        <f t="shared" ref="AE237" si="101">AE236/SUM(AE235:AE235)</f>
        <v>1</v>
      </c>
      <c r="AF237" s="78">
        <f t="shared" ref="AF237" si="102">AF236/SUM(AF235:AF235)</f>
        <v>1.0000000000000002</v>
      </c>
    </row>
    <row r="239" spans="3:32" x14ac:dyDescent="0.25">
      <c r="C239" s="94" t="s">
        <v>202</v>
      </c>
      <c r="E239" s="94" t="s">
        <v>73</v>
      </c>
      <c r="F239">
        <f>Table_5._Commercial_Sector_Key_!F43*quadrillion</f>
        <v>158104000000000</v>
      </c>
      <c r="G239">
        <f>Table_5._Commercial_Sector_Key_!G43*quadrillion</f>
        <v>158104000000000</v>
      </c>
      <c r="H239">
        <f>Table_5._Commercial_Sector_Key_!H43*quadrillion</f>
        <v>158104000000000</v>
      </c>
      <c r="I239">
        <f>Table_5._Commercial_Sector_Key_!I43*quadrillion</f>
        <v>158104000000000</v>
      </c>
      <c r="J239">
        <f>Table_5._Commercial_Sector_Key_!J43*quadrillion</f>
        <v>158104000000000</v>
      </c>
      <c r="K239">
        <f>Table_5._Commercial_Sector_Key_!K43*quadrillion</f>
        <v>158104000000000</v>
      </c>
      <c r="L239">
        <f>Table_5._Commercial_Sector_Key_!L43*quadrillion</f>
        <v>158104000000000</v>
      </c>
      <c r="M239">
        <f>Table_5._Commercial_Sector_Key_!M43*quadrillion</f>
        <v>158104000000000</v>
      </c>
      <c r="N239">
        <f>Table_5._Commercial_Sector_Key_!N43*quadrillion</f>
        <v>158104000000000</v>
      </c>
      <c r="O239">
        <f>Table_5._Commercial_Sector_Key_!O43*quadrillion</f>
        <v>158104000000000</v>
      </c>
      <c r="P239">
        <f>Table_5._Commercial_Sector_Key_!P43*quadrillion</f>
        <v>158104000000000</v>
      </c>
      <c r="Q239">
        <f>Table_5._Commercial_Sector_Key_!Q43*quadrillion</f>
        <v>158104000000000</v>
      </c>
      <c r="R239">
        <f>Table_5._Commercial_Sector_Key_!R43*quadrillion</f>
        <v>158104000000000</v>
      </c>
      <c r="S239">
        <f>Table_5._Commercial_Sector_Key_!S43*quadrillion</f>
        <v>158104000000000</v>
      </c>
      <c r="T239">
        <f>Table_5._Commercial_Sector_Key_!T43*quadrillion</f>
        <v>158104000000000</v>
      </c>
      <c r="U239">
        <f>Table_5._Commercial_Sector_Key_!U43*quadrillion</f>
        <v>158104000000000</v>
      </c>
      <c r="V239">
        <f>Table_5._Commercial_Sector_Key_!V43*quadrillion</f>
        <v>158104000000000</v>
      </c>
      <c r="W239">
        <f>Table_5._Commercial_Sector_Key_!W43*quadrillion</f>
        <v>158104000000000</v>
      </c>
      <c r="X239">
        <f>Table_5._Commercial_Sector_Key_!X43*quadrillion</f>
        <v>158104000000000</v>
      </c>
      <c r="Y239">
        <f>Table_5._Commercial_Sector_Key_!Y43*quadrillion</f>
        <v>158104000000000</v>
      </c>
      <c r="Z239">
        <f>Table_5._Commercial_Sector_Key_!Z43*quadrillion</f>
        <v>158104000000000</v>
      </c>
      <c r="AA239">
        <f>Table_5._Commercial_Sector_Key_!AA43*quadrillion</f>
        <v>158104000000000</v>
      </c>
      <c r="AB239">
        <f>Table_5._Commercial_Sector_Key_!AB43*quadrillion</f>
        <v>158104000000000</v>
      </c>
      <c r="AC239">
        <f>Table_5._Commercial_Sector_Key_!AC43*quadrillion</f>
        <v>158104000000000</v>
      </c>
      <c r="AD239">
        <f>Table_5._Commercial_Sector_Key_!AD43*quadrillion</f>
        <v>158104000000000</v>
      </c>
      <c r="AE239">
        <f>Table_5._Commercial_Sector_Key_!AE43*quadrillion</f>
        <v>158104000000000</v>
      </c>
      <c r="AF239">
        <f>Table_5._Commercial_Sector_Key_!AF43*quadrillion</f>
        <v>158104000000000</v>
      </c>
    </row>
    <row r="240" spans="3:32" x14ac:dyDescent="0.25">
      <c r="C240" s="94" t="s">
        <v>201</v>
      </c>
      <c r="D240" s="94" t="s">
        <v>737</v>
      </c>
      <c r="E240" s="94" t="s">
        <v>73</v>
      </c>
      <c r="F240">
        <f>SUMIFS(F$5:F$196,$C$5:$C$196,$D240,$E$5:$E$196,$E240)</f>
        <v>158104000000000</v>
      </c>
      <c r="G240">
        <f>SUMIFS(G$5:G$196,$C$5:$C$196,$D240,$E$5:$E$196,$E240)</f>
        <v>158104000000000</v>
      </c>
      <c r="H240">
        <f>SUMIFS(H$5:H$196,$C$5:$C$196,$D240,$E$5:$E$196,$E240)</f>
        <v>158104000000000</v>
      </c>
      <c r="I240">
        <f>SUMIFS(I$5:I$196,$C$5:$C$196,$D240,$E$5:$E$196,$E240)</f>
        <v>158104000000000</v>
      </c>
      <c r="J240">
        <f>SUMIFS(J$5:J$196,$C$5:$C$196,$D240,$E$5:$E$196,$E240)</f>
        <v>158104000000000</v>
      </c>
      <c r="K240">
        <f>SUMIFS(K$5:K$196,$C$5:$C$196,$D240,$E$5:$E$196,$E240)</f>
        <v>158104000000000</v>
      </c>
      <c r="L240">
        <f>SUMIFS(L$5:L$196,$C$5:$C$196,$D240,$E$5:$E$196,$E240)</f>
        <v>158104000000000</v>
      </c>
      <c r="M240">
        <f>SUMIFS(M$5:M$196,$C$5:$C$196,$D240,$E$5:$E$196,$E240)</f>
        <v>158104000000000</v>
      </c>
      <c r="N240">
        <f>SUMIFS(N$5:N$196,$C$5:$C$196,$D240,$E$5:$E$196,$E240)</f>
        <v>158104000000000</v>
      </c>
      <c r="O240">
        <f>SUMIFS(O$5:O$196,$C$5:$C$196,$D240,$E$5:$E$196,$E240)</f>
        <v>158104000000000</v>
      </c>
      <c r="P240">
        <f>SUMIFS(P$5:P$196,$C$5:$C$196,$D240,$E$5:$E$196,$E240)</f>
        <v>158104000000000</v>
      </c>
      <c r="Q240">
        <f>SUMIFS(Q$5:Q$196,$C$5:$C$196,$D240,$E$5:$E$196,$E240)</f>
        <v>158104000000000</v>
      </c>
      <c r="R240">
        <f>SUMIFS(R$5:R$196,$C$5:$C$196,$D240,$E$5:$E$196,$E240)</f>
        <v>158104000000000</v>
      </c>
      <c r="S240">
        <f>SUMIFS(S$5:S$196,$C$5:$C$196,$D240,$E$5:$E$196,$E240)</f>
        <v>158104000000000</v>
      </c>
      <c r="T240">
        <f>SUMIFS(T$5:T$196,$C$5:$C$196,$D240,$E$5:$E$196,$E240)</f>
        <v>158104000000000</v>
      </c>
      <c r="U240">
        <f>SUMIFS(U$5:U$196,$C$5:$C$196,$D240,$E$5:$E$196,$E240)</f>
        <v>158104000000000</v>
      </c>
      <c r="V240">
        <f>SUMIFS(V$5:V$196,$C$5:$C$196,$D240,$E$5:$E$196,$E240)</f>
        <v>158104000000000</v>
      </c>
      <c r="W240">
        <f>SUMIFS(W$5:W$196,$C$5:$C$196,$D240,$E$5:$E$196,$E240)</f>
        <v>158104000000000</v>
      </c>
      <c r="X240">
        <f>SUMIFS(X$5:X$196,$C$5:$C$196,$D240,$E$5:$E$196,$E240)</f>
        <v>158104000000000</v>
      </c>
      <c r="Y240">
        <f>SUMIFS(Y$5:Y$196,$C$5:$C$196,$D240,$E$5:$E$196,$E240)</f>
        <v>158104000000000</v>
      </c>
      <c r="Z240">
        <f>SUMIFS(Z$5:Z$196,$C$5:$C$196,$D240,$E$5:$E$196,$E240)</f>
        <v>158104000000000</v>
      </c>
      <c r="AA240">
        <f>SUMIFS(AA$5:AA$196,$C$5:$C$196,$D240,$E$5:$E$196,$E240)</f>
        <v>158104000000000</v>
      </c>
      <c r="AB240">
        <f>SUMIFS(AB$5:AB$196,$C$5:$C$196,$D240,$E$5:$E$196,$E240)</f>
        <v>158104000000000</v>
      </c>
      <c r="AC240">
        <f>SUMIFS(AC$5:AC$196,$C$5:$C$196,$D240,$E$5:$E$196,$E240)</f>
        <v>158104000000000</v>
      </c>
      <c r="AD240">
        <f>SUMIFS(AD$5:AD$196,$C$5:$C$196,$D240,$E$5:$E$196,$E240)</f>
        <v>158104000000000</v>
      </c>
      <c r="AE240">
        <f>SUMIFS(AE$5:AE$196,$C$5:$C$196,$D240,$E$5:$E$196,$E240)</f>
        <v>158104000000000</v>
      </c>
      <c r="AF240">
        <f>SUMIFS(AF$5:AF$196,$C$5:$C$196,$D240,$E$5:$E$196,$E240)</f>
        <v>158104000000000</v>
      </c>
    </row>
    <row r="241" spans="6:32" x14ac:dyDescent="0.25">
      <c r="F241" s="78">
        <f t="shared" ref="F241" si="103">F240/SUM(F239:F239)</f>
        <v>1</v>
      </c>
      <c r="G241" s="78">
        <f t="shared" ref="G241" si="104">G240/SUM(G239:G239)</f>
        <v>1</v>
      </c>
      <c r="H241" s="78">
        <f t="shared" ref="H241" si="105">H240/SUM(H239:H239)</f>
        <v>1</v>
      </c>
      <c r="I241" s="78">
        <f t="shared" ref="I241" si="106">I240/SUM(I239:I239)</f>
        <v>1</v>
      </c>
      <c r="J241" s="78">
        <f t="shared" ref="J241" si="107">J240/SUM(J239:J239)</f>
        <v>1</v>
      </c>
      <c r="K241" s="78">
        <f t="shared" ref="K241" si="108">K240/SUM(K239:K239)</f>
        <v>1</v>
      </c>
      <c r="L241" s="78">
        <f t="shared" ref="L241" si="109">L240/SUM(L239:L239)</f>
        <v>1</v>
      </c>
      <c r="M241" s="78">
        <f t="shared" ref="M241" si="110">M240/SUM(M239:M239)</f>
        <v>1</v>
      </c>
      <c r="N241" s="78">
        <f t="shared" ref="N241" si="111">N240/SUM(N239:N239)</f>
        <v>1</v>
      </c>
      <c r="O241" s="78">
        <f t="shared" ref="O241" si="112">O240/SUM(O239:O239)</f>
        <v>1</v>
      </c>
      <c r="P241" s="78">
        <f t="shared" ref="P241" si="113">P240/SUM(P239:P239)</f>
        <v>1</v>
      </c>
      <c r="Q241" s="78">
        <f t="shared" ref="Q241" si="114">Q240/SUM(Q239:Q239)</f>
        <v>1</v>
      </c>
      <c r="R241" s="78">
        <f t="shared" ref="R241" si="115">R240/SUM(R239:R239)</f>
        <v>1</v>
      </c>
      <c r="S241" s="78">
        <f t="shared" ref="S241" si="116">S240/SUM(S239:S239)</f>
        <v>1</v>
      </c>
      <c r="T241" s="78">
        <f t="shared" ref="T241" si="117">T240/SUM(T239:T239)</f>
        <v>1</v>
      </c>
      <c r="U241" s="78">
        <f t="shared" ref="U241" si="118">U240/SUM(U239:U239)</f>
        <v>1</v>
      </c>
      <c r="V241" s="78">
        <f t="shared" ref="V241" si="119">V240/SUM(V239:V239)</f>
        <v>1</v>
      </c>
      <c r="W241" s="78">
        <f t="shared" ref="W241" si="120">W240/SUM(W239:W239)</f>
        <v>1</v>
      </c>
      <c r="X241" s="78">
        <f t="shared" ref="X241" si="121">X240/SUM(X239:X239)</f>
        <v>1</v>
      </c>
      <c r="Y241" s="78">
        <f t="shared" ref="Y241" si="122">Y240/SUM(Y239:Y239)</f>
        <v>1</v>
      </c>
      <c r="Z241" s="78">
        <f t="shared" ref="Z241" si="123">Z240/SUM(Z239:Z239)</f>
        <v>1</v>
      </c>
      <c r="AA241" s="78">
        <f t="shared" ref="AA241" si="124">AA240/SUM(AA239:AA239)</f>
        <v>1</v>
      </c>
      <c r="AB241" s="78">
        <f t="shared" ref="AB241" si="125">AB240/SUM(AB239:AB239)</f>
        <v>1</v>
      </c>
      <c r="AC241" s="78">
        <f t="shared" ref="AC241" si="126">AC240/SUM(AC239:AC239)</f>
        <v>1</v>
      </c>
      <c r="AD241" s="78">
        <f t="shared" ref="AD241" si="127">AD240/SUM(AD239:AD239)</f>
        <v>1</v>
      </c>
      <c r="AE241" s="78">
        <f t="shared" ref="AE241" si="128">AE240/SUM(AE239:AE239)</f>
        <v>1</v>
      </c>
      <c r="AF241" s="78">
        <f t="shared" ref="AF241" si="129">AF240/SUM(AF239:AF239)</f>
        <v>1</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D36"/>
  <sheetViews>
    <sheetView workbookViewId="0"/>
  </sheetViews>
  <sheetFormatPr defaultRowHeight="15" x14ac:dyDescent="0.25"/>
  <cols>
    <col min="1" max="1" width="29.85546875" customWidth="1"/>
    <col min="2" max="28" width="1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90">
        <f>Calculations!F5</f>
        <v>429356810815186.56</v>
      </c>
      <c r="C2" s="90">
        <f>Calculations!G5</f>
        <v>473670584311503.25</v>
      </c>
      <c r="D2" s="90">
        <f>Calculations!H5</f>
        <v>476096007447583.5</v>
      </c>
      <c r="E2" s="90">
        <f>Calculations!I5</f>
        <v>479058064599692.44</v>
      </c>
      <c r="F2" s="90">
        <f>Calculations!J5</f>
        <v>479640231198899.06</v>
      </c>
      <c r="G2" s="90">
        <f>Calculations!K5</f>
        <v>476800949405002.81</v>
      </c>
      <c r="H2" s="90">
        <f>Calculations!L5</f>
        <v>472035476726301.31</v>
      </c>
      <c r="I2" s="90">
        <f>Calculations!M5</f>
        <v>466379679430097.88</v>
      </c>
      <c r="J2" s="90">
        <f>Calculations!N5</f>
        <v>460805190318141.31</v>
      </c>
      <c r="K2" s="90">
        <f>Calculations!O5</f>
        <v>455916129199384.69</v>
      </c>
      <c r="L2" s="90">
        <f>Calculations!P5</f>
        <v>450912423540840.19</v>
      </c>
      <c r="M2" s="90">
        <f>Calculations!Q5</f>
        <v>447446255646401.69</v>
      </c>
      <c r="N2" s="90">
        <f>Calculations!R5</f>
        <v>445289962600178</v>
      </c>
      <c r="O2" s="90">
        <f>Calculations!S5</f>
        <v>443369463288270</v>
      </c>
      <c r="P2" s="90">
        <f>Calculations!T5</f>
        <v>440723694972881.06</v>
      </c>
      <c r="Q2" s="90">
        <f>Calculations!U5</f>
        <v>437918562616368.5</v>
      </c>
      <c r="R2" s="90">
        <f>Calculations!V5</f>
        <v>434959757791629.56</v>
      </c>
      <c r="S2" s="90">
        <f>Calculations!W5</f>
        <v>431606608273293.88</v>
      </c>
      <c r="T2" s="90">
        <f>Calculations!X5</f>
        <v>428354280903424.19</v>
      </c>
      <c r="U2" s="90">
        <f>Calculations!Y5</f>
        <v>425133663725410.81</v>
      </c>
      <c r="V2" s="90">
        <f>Calculations!Z5</f>
        <v>421443085242451.25</v>
      </c>
      <c r="W2" s="90">
        <f>Calculations!AA5</f>
        <v>417537853153080.25</v>
      </c>
      <c r="X2" s="90">
        <f>Calculations!AB5</f>
        <v>413328528454626.44</v>
      </c>
      <c r="Y2" s="90">
        <f>Calculations!AC5</f>
        <v>408921624868453</v>
      </c>
      <c r="Z2" s="90">
        <f>Calculations!AD5</f>
        <v>404429347688820.5</v>
      </c>
      <c r="AA2" s="90">
        <f>Calculations!AE5</f>
        <v>400205387517202.25</v>
      </c>
      <c r="AB2" s="90">
        <f>Calculations!AF5</f>
        <v>395808240913138.5</v>
      </c>
      <c r="AD2" s="9"/>
    </row>
    <row r="3" spans="1:30" x14ac:dyDescent="0.25">
      <c r="A3" s="1" t="s">
        <v>12</v>
      </c>
      <c r="B3" s="90">
        <f>Calculations!F6</f>
        <v>0</v>
      </c>
      <c r="C3" s="90">
        <f>Calculations!G6</f>
        <v>0</v>
      </c>
      <c r="D3" s="90">
        <f>Calculations!H6</f>
        <v>0</v>
      </c>
      <c r="E3" s="90">
        <f>Calculations!I6</f>
        <v>0</v>
      </c>
      <c r="F3" s="90">
        <f>Calculations!J6</f>
        <v>0</v>
      </c>
      <c r="G3" s="90">
        <f>Calculations!K6</f>
        <v>0</v>
      </c>
      <c r="H3" s="90">
        <f>Calculations!L6</f>
        <v>0</v>
      </c>
      <c r="I3" s="90">
        <f>Calculations!M6</f>
        <v>0</v>
      </c>
      <c r="J3" s="90">
        <f>Calculations!N6</f>
        <v>0</v>
      </c>
      <c r="K3" s="90">
        <f>Calculations!O6</f>
        <v>0</v>
      </c>
      <c r="L3" s="90">
        <f>Calculations!P6</f>
        <v>0</v>
      </c>
      <c r="M3" s="90">
        <f>Calculations!Q6</f>
        <v>0</v>
      </c>
      <c r="N3" s="90">
        <f>Calculations!R6</f>
        <v>0</v>
      </c>
      <c r="O3" s="90">
        <f>Calculations!S6</f>
        <v>0</v>
      </c>
      <c r="P3" s="90">
        <f>Calculations!T6</f>
        <v>0</v>
      </c>
      <c r="Q3" s="90">
        <f>Calculations!U6</f>
        <v>0</v>
      </c>
      <c r="R3" s="90">
        <f>Calculations!V6</f>
        <v>0</v>
      </c>
      <c r="S3" s="90">
        <f>Calculations!W6</f>
        <v>0</v>
      </c>
      <c r="T3" s="90">
        <f>Calculations!X6</f>
        <v>0</v>
      </c>
      <c r="U3" s="90">
        <f>Calculations!Y6</f>
        <v>0</v>
      </c>
      <c r="V3" s="90">
        <f>Calculations!Z6</f>
        <v>0</v>
      </c>
      <c r="W3" s="90">
        <f>Calculations!AA6</f>
        <v>0</v>
      </c>
      <c r="X3" s="90">
        <f>Calculations!AB6</f>
        <v>0</v>
      </c>
      <c r="Y3" s="90">
        <f>Calculations!AC6</f>
        <v>0</v>
      </c>
      <c r="Z3" s="90">
        <f>Calculations!AD6</f>
        <v>0</v>
      </c>
      <c r="AA3" s="90">
        <f>Calculations!AE6</f>
        <v>0</v>
      </c>
      <c r="AB3" s="90">
        <f>Calculations!AF6</f>
        <v>0</v>
      </c>
    </row>
    <row r="4" spans="1:30" x14ac:dyDescent="0.25">
      <c r="A4" s="1" t="s">
        <v>13</v>
      </c>
      <c r="B4" s="90">
        <f>Calculations!F7</f>
        <v>2258669807172347</v>
      </c>
      <c r="C4" s="90">
        <f>Calculations!G7</f>
        <v>2542214211932324</v>
      </c>
      <c r="D4" s="90">
        <f>Calculations!H7</f>
        <v>2554381168623006.5</v>
      </c>
      <c r="E4" s="90">
        <f>Calculations!I7</f>
        <v>2558598624139884.5</v>
      </c>
      <c r="F4" s="90">
        <f>Calculations!J7</f>
        <v>2555834958957338</v>
      </c>
      <c r="G4" s="90">
        <f>Calculations!K7</f>
        <v>2542239417469440.5</v>
      </c>
      <c r="H4" s="90">
        <f>Calculations!L7</f>
        <v>2523084835424593</v>
      </c>
      <c r="I4" s="90">
        <f>Calculations!M7</f>
        <v>2496073443535983</v>
      </c>
      <c r="J4" s="90">
        <f>Calculations!N7</f>
        <v>2460488916700396.5</v>
      </c>
      <c r="K4" s="90">
        <f>Calculations!O7</f>
        <v>2429188518092771</v>
      </c>
      <c r="L4" s="90">
        <f>Calculations!P7</f>
        <v>2395983068728243.5</v>
      </c>
      <c r="M4" s="90">
        <f>Calculations!Q7</f>
        <v>2367856128551769</v>
      </c>
      <c r="N4" s="90">
        <f>Calculations!R7</f>
        <v>2344562959928762</v>
      </c>
      <c r="O4" s="90">
        <f>Calculations!S7</f>
        <v>2324027764915405</v>
      </c>
      <c r="P4" s="90">
        <f>Calculations!T7</f>
        <v>2304514613778029.5</v>
      </c>
      <c r="Q4" s="90">
        <f>Calculations!U7</f>
        <v>2286012123370841</v>
      </c>
      <c r="R4" s="90">
        <f>Calculations!V7</f>
        <v>2266690046466445.5</v>
      </c>
      <c r="S4" s="90">
        <f>Calculations!W7</f>
        <v>2244931163280174.5</v>
      </c>
      <c r="T4" s="90">
        <f>Calculations!X7</f>
        <v>2222720206589492.5</v>
      </c>
      <c r="U4" s="90">
        <f>Calculations!Y7</f>
        <v>2200616576702015.5</v>
      </c>
      <c r="V4" s="90">
        <f>Calculations!Z7</f>
        <v>2179762653606411</v>
      </c>
      <c r="W4" s="90">
        <f>Calculations!AA7</f>
        <v>2160546277341536</v>
      </c>
      <c r="X4" s="90">
        <f>Calculations!AB7</f>
        <v>2141825881000566.5</v>
      </c>
      <c r="Y4" s="90">
        <f>Calculations!AC7</f>
        <v>2123690903586173.3</v>
      </c>
      <c r="Z4" s="90">
        <f>Calculations!AD7</f>
        <v>2106311279203432.3</v>
      </c>
      <c r="AA4" s="90">
        <f>Calculations!AE7</f>
        <v>2089347952724034.5</v>
      </c>
      <c r="AB4" s="90">
        <f>Calculations!AF7</f>
        <v>2072031748725006</v>
      </c>
    </row>
    <row r="5" spans="1:30" x14ac:dyDescent="0.25">
      <c r="A5" s="1" t="s">
        <v>14</v>
      </c>
      <c r="B5" s="90">
        <f>Calculations!F8</f>
        <v>308793848295960.44</v>
      </c>
      <c r="C5" s="90">
        <f>Calculations!G8</f>
        <v>334133543916457.5</v>
      </c>
      <c r="D5" s="90">
        <f>Calculations!H8</f>
        <v>330347021776086.75</v>
      </c>
      <c r="E5" s="90">
        <f>Calculations!I8</f>
        <v>324847336193637.13</v>
      </c>
      <c r="F5" s="90">
        <f>Calculations!J8</f>
        <v>318458139075528.25</v>
      </c>
      <c r="G5" s="90">
        <f>Calculations!K8</f>
        <v>311902260179713.38</v>
      </c>
      <c r="H5" s="90">
        <f>Calculations!L8</f>
        <v>305454521168946.75</v>
      </c>
      <c r="I5" s="90">
        <f>Calculations!M8</f>
        <v>299788153808791.38</v>
      </c>
      <c r="J5" s="90">
        <f>Calculations!N8</f>
        <v>294807214441836</v>
      </c>
      <c r="K5" s="90">
        <f>Calculations!O8</f>
        <v>290364535254594</v>
      </c>
      <c r="L5" s="90">
        <f>Calculations!P8</f>
        <v>285698258560673.5</v>
      </c>
      <c r="M5" s="90">
        <f>Calculations!Q8</f>
        <v>281128738606006.63</v>
      </c>
      <c r="N5" s="90">
        <f>Calculations!R8</f>
        <v>276758423702744.28</v>
      </c>
      <c r="O5" s="90">
        <f>Calculations!S8</f>
        <v>272447463773982</v>
      </c>
      <c r="P5" s="90">
        <f>Calculations!T8</f>
        <v>268271475431069.38</v>
      </c>
      <c r="Q5" s="90">
        <f>Calculations!U8</f>
        <v>264214197037156.97</v>
      </c>
      <c r="R5" s="90">
        <f>Calculations!V8</f>
        <v>260188628835100.75</v>
      </c>
      <c r="S5" s="90">
        <f>Calculations!W8</f>
        <v>256197210070428.22</v>
      </c>
      <c r="T5" s="90">
        <f>Calculations!X8</f>
        <v>252318809681858.66</v>
      </c>
      <c r="U5" s="90">
        <f>Calculations!Y8</f>
        <v>248564810815186.59</v>
      </c>
      <c r="V5" s="90">
        <f>Calculations!Z8</f>
        <v>244737634582692.44</v>
      </c>
      <c r="W5" s="90">
        <f>Calculations!AA8</f>
        <v>241325130089856.69</v>
      </c>
      <c r="X5" s="90">
        <f>Calculations!AB8</f>
        <v>238026457054966.38</v>
      </c>
      <c r="Y5" s="90">
        <f>Calculations!AC8</f>
        <v>234862755605925.66</v>
      </c>
      <c r="Z5" s="90">
        <f>Calculations!AD8</f>
        <v>231787680077713.91</v>
      </c>
      <c r="AA5" s="90">
        <f>Calculations!AE8</f>
        <v>228773585687687.19</v>
      </c>
      <c r="AB5" s="90">
        <f>Calculations!AF8</f>
        <v>225694444750263.09</v>
      </c>
    </row>
    <row r="6" spans="1:30" x14ac:dyDescent="0.25">
      <c r="A6" s="1" t="s">
        <v>16</v>
      </c>
      <c r="B6" s="90">
        <f>Calculations!F9</f>
        <v>0</v>
      </c>
      <c r="C6" s="90">
        <f>Calculations!G9</f>
        <v>0</v>
      </c>
      <c r="D6" s="90">
        <f>Calculations!H9</f>
        <v>0</v>
      </c>
      <c r="E6" s="90">
        <f>Calculations!I9</f>
        <v>0</v>
      </c>
      <c r="F6" s="90">
        <f>Calculations!J9</f>
        <v>0</v>
      </c>
      <c r="G6" s="90">
        <f>Calculations!K9</f>
        <v>0</v>
      </c>
      <c r="H6" s="90">
        <f>Calculations!L9</f>
        <v>0</v>
      </c>
      <c r="I6" s="90">
        <f>Calculations!M9</f>
        <v>0</v>
      </c>
      <c r="J6" s="90">
        <f>Calculations!N9</f>
        <v>0</v>
      </c>
      <c r="K6" s="90">
        <f>Calculations!O9</f>
        <v>0</v>
      </c>
      <c r="L6" s="90">
        <f>Calculations!P9</f>
        <v>0</v>
      </c>
      <c r="M6" s="90">
        <f>Calculations!Q9</f>
        <v>0</v>
      </c>
      <c r="N6" s="90">
        <f>Calculations!R9</f>
        <v>0</v>
      </c>
      <c r="O6" s="90">
        <f>Calculations!S9</f>
        <v>0</v>
      </c>
      <c r="P6" s="90">
        <f>Calculations!T9</f>
        <v>0</v>
      </c>
      <c r="Q6" s="90">
        <f>Calculations!U9</f>
        <v>0</v>
      </c>
      <c r="R6" s="90">
        <f>Calculations!V9</f>
        <v>0</v>
      </c>
      <c r="S6" s="90">
        <f>Calculations!W9</f>
        <v>0</v>
      </c>
      <c r="T6" s="90">
        <f>Calculations!X9</f>
        <v>0</v>
      </c>
      <c r="U6" s="90">
        <f>Calculations!Y9</f>
        <v>0</v>
      </c>
      <c r="V6" s="90">
        <f>Calculations!Z9</f>
        <v>0</v>
      </c>
      <c r="W6" s="90">
        <f>Calculations!AA9</f>
        <v>0</v>
      </c>
      <c r="X6" s="90">
        <f>Calculations!AB9</f>
        <v>0</v>
      </c>
      <c r="Y6" s="90">
        <f>Calculations!AC9</f>
        <v>0</v>
      </c>
      <c r="Z6" s="90">
        <f>Calculations!AD9</f>
        <v>0</v>
      </c>
      <c r="AA6" s="90">
        <f>Calculations!AE9</f>
        <v>0</v>
      </c>
      <c r="AB6" s="90">
        <f>Calculations!AF9</f>
        <v>0</v>
      </c>
    </row>
    <row r="7" spans="1:30" x14ac:dyDescent="0.25">
      <c r="A7" s="1" t="s">
        <v>73</v>
      </c>
      <c r="B7" s="90">
        <f>Calculations!F10</f>
        <v>290744244475026.25</v>
      </c>
      <c r="C7" s="90">
        <f>Calculations!G10</f>
        <v>296851302193799</v>
      </c>
      <c r="D7" s="90">
        <f>Calculations!H10</f>
        <v>286736564073504.38</v>
      </c>
      <c r="E7" s="90">
        <f>Calculations!I10</f>
        <v>282379258479721.5</v>
      </c>
      <c r="F7" s="90">
        <f>Calculations!J10</f>
        <v>281097028414150.41</v>
      </c>
      <c r="G7" s="90">
        <f>Calculations!K10</f>
        <v>280922215818019.91</v>
      </c>
      <c r="H7" s="90">
        <f>Calculations!L10</f>
        <v>280749029385574.34</v>
      </c>
      <c r="I7" s="90">
        <f>Calculations!M10</f>
        <v>278479717963247.78</v>
      </c>
      <c r="J7" s="90">
        <f>Calculations!N10</f>
        <v>274248440055047.34</v>
      </c>
      <c r="K7" s="90">
        <f>Calculations!O10</f>
        <v>270624534283170.06</v>
      </c>
      <c r="L7" s="90">
        <f>Calculations!P10</f>
        <v>266881105480450.06</v>
      </c>
      <c r="M7" s="90">
        <f>Calculations!Q10</f>
        <v>263410059094956.69</v>
      </c>
      <c r="N7" s="90">
        <f>Calculations!R10</f>
        <v>259682891929086.06</v>
      </c>
      <c r="O7" s="90">
        <f>Calculations!S10</f>
        <v>256300471464421.59</v>
      </c>
      <c r="P7" s="90">
        <f>Calculations!T10</f>
        <v>252883088480531.03</v>
      </c>
      <c r="Q7" s="90">
        <f>Calculations!U10</f>
        <v>249261621954181.16</v>
      </c>
      <c r="R7" s="90">
        <f>Calculations!V10</f>
        <v>245698697320488.94</v>
      </c>
      <c r="S7" s="90">
        <f>Calculations!W10</f>
        <v>242379697239536.94</v>
      </c>
      <c r="T7" s="90">
        <f>Calculations!X10</f>
        <v>239352593540030.75</v>
      </c>
      <c r="U7" s="90">
        <f>Calculations!Y10</f>
        <v>236566162065894.91</v>
      </c>
      <c r="V7" s="90">
        <f>Calculations!Z10</f>
        <v>234603382498178.59</v>
      </c>
      <c r="W7" s="90">
        <f>Calculations!AA10</f>
        <v>231675474783453.41</v>
      </c>
      <c r="X7" s="90">
        <f>Calculations!AB10</f>
        <v>228782529587954.31</v>
      </c>
      <c r="Y7" s="90">
        <f>Calculations!AC10</f>
        <v>225786322998461.88</v>
      </c>
      <c r="Z7" s="90">
        <f>Calculations!AD10</f>
        <v>222680350360236.38</v>
      </c>
      <c r="AA7" s="90">
        <f>Calculations!AE10</f>
        <v>219997180280093.88</v>
      </c>
      <c r="AB7" s="90">
        <f>Calculations!AF10</f>
        <v>217946587873391.09</v>
      </c>
    </row>
    <row r="8" spans="1:30" x14ac:dyDescent="0.25">
      <c r="A8" s="1" t="s">
        <v>170</v>
      </c>
      <c r="B8" s="90">
        <f>Calculations!F11</f>
        <v>0</v>
      </c>
      <c r="C8" s="90">
        <f>Calculations!G11</f>
        <v>0</v>
      </c>
      <c r="D8" s="90">
        <f>Calculations!H11</f>
        <v>0</v>
      </c>
      <c r="E8" s="90">
        <f>Calculations!I11</f>
        <v>0</v>
      </c>
      <c r="F8" s="90">
        <f>Calculations!J11</f>
        <v>0</v>
      </c>
      <c r="G8" s="90">
        <f>Calculations!K11</f>
        <v>0</v>
      </c>
      <c r="H8" s="90">
        <f>Calculations!L11</f>
        <v>0</v>
      </c>
      <c r="I8" s="90">
        <f>Calculations!M11</f>
        <v>0</v>
      </c>
      <c r="J8" s="90">
        <f>Calculations!N11</f>
        <v>0</v>
      </c>
      <c r="K8" s="90">
        <f>Calculations!O11</f>
        <v>0</v>
      </c>
      <c r="L8" s="90">
        <f>Calculations!P11</f>
        <v>0</v>
      </c>
      <c r="M8" s="90">
        <f>Calculations!Q11</f>
        <v>0</v>
      </c>
      <c r="N8" s="90">
        <f>Calculations!R11</f>
        <v>0</v>
      </c>
      <c r="O8" s="90">
        <f>Calculations!S11</f>
        <v>0</v>
      </c>
      <c r="P8" s="90">
        <f>Calculations!T11</f>
        <v>0</v>
      </c>
      <c r="Q8" s="90">
        <f>Calculations!U11</f>
        <v>0</v>
      </c>
      <c r="R8" s="90">
        <f>Calculations!V11</f>
        <v>0</v>
      </c>
      <c r="S8" s="90">
        <f>Calculations!W11</f>
        <v>0</v>
      </c>
      <c r="T8" s="90">
        <f>Calculations!X11</f>
        <v>0</v>
      </c>
      <c r="U8" s="90">
        <f>Calculations!Y11</f>
        <v>0</v>
      </c>
      <c r="V8" s="90">
        <f>Calculations!Z11</f>
        <v>0</v>
      </c>
      <c r="W8" s="90">
        <f>Calculations!AA11</f>
        <v>0</v>
      </c>
      <c r="X8" s="90">
        <f>Calculations!AB11</f>
        <v>0</v>
      </c>
      <c r="Y8" s="90">
        <f>Calculations!AC11</f>
        <v>0</v>
      </c>
      <c r="Z8" s="90">
        <f>Calculations!AD11</f>
        <v>0</v>
      </c>
      <c r="AA8" s="90">
        <f>Calculations!AE11</f>
        <v>0</v>
      </c>
      <c r="AB8" s="90">
        <f>Calculations!AF11</f>
        <v>0</v>
      </c>
    </row>
    <row r="9" spans="1:30" x14ac:dyDescent="0.25">
      <c r="A9" s="1" t="s">
        <v>171</v>
      </c>
      <c r="B9" s="90">
        <f>Calculations!F12</f>
        <v>0</v>
      </c>
      <c r="C9" s="90">
        <f>Calculations!G12</f>
        <v>0</v>
      </c>
      <c r="D9" s="90">
        <f>Calculations!H12</f>
        <v>0</v>
      </c>
      <c r="E9" s="90">
        <f>Calculations!I12</f>
        <v>0</v>
      </c>
      <c r="F9" s="90">
        <f>Calculations!J12</f>
        <v>0</v>
      </c>
      <c r="G9" s="90">
        <f>Calculations!K12</f>
        <v>0</v>
      </c>
      <c r="H9" s="90">
        <f>Calculations!L12</f>
        <v>0</v>
      </c>
      <c r="I9" s="90">
        <f>Calculations!M12</f>
        <v>0</v>
      </c>
      <c r="J9" s="90">
        <f>Calculations!N12</f>
        <v>0</v>
      </c>
      <c r="K9" s="90">
        <f>Calculations!O12</f>
        <v>0</v>
      </c>
      <c r="L9" s="90">
        <f>Calculations!P12</f>
        <v>0</v>
      </c>
      <c r="M9" s="90">
        <f>Calculations!Q12</f>
        <v>0</v>
      </c>
      <c r="N9" s="90">
        <f>Calculations!R12</f>
        <v>0</v>
      </c>
      <c r="O9" s="90">
        <f>Calculations!S12</f>
        <v>0</v>
      </c>
      <c r="P9" s="90">
        <f>Calculations!T12</f>
        <v>0</v>
      </c>
      <c r="Q9" s="90">
        <f>Calculations!U12</f>
        <v>0</v>
      </c>
      <c r="R9" s="90">
        <f>Calculations!V12</f>
        <v>0</v>
      </c>
      <c r="S9" s="90">
        <f>Calculations!W12</f>
        <v>0</v>
      </c>
      <c r="T9" s="90">
        <f>Calculations!X12</f>
        <v>0</v>
      </c>
      <c r="U9" s="90">
        <f>Calculations!Y12</f>
        <v>0</v>
      </c>
      <c r="V9" s="90">
        <f>Calculations!Z12</f>
        <v>0</v>
      </c>
      <c r="W9" s="90">
        <f>Calculations!AA12</f>
        <v>0</v>
      </c>
      <c r="X9" s="90">
        <f>Calculations!AB12</f>
        <v>0</v>
      </c>
      <c r="Y9" s="90">
        <f>Calculations!AC12</f>
        <v>0</v>
      </c>
      <c r="Z9" s="90">
        <f>Calculations!AD12</f>
        <v>0</v>
      </c>
      <c r="AA9" s="90">
        <f>Calculations!AE12</f>
        <v>0</v>
      </c>
      <c r="AB9" s="90">
        <f>Calculations!AF12</f>
        <v>0</v>
      </c>
    </row>
    <row r="10" spans="1:30" x14ac:dyDescent="0.25">
      <c r="A10" s="1" t="s">
        <v>172</v>
      </c>
      <c r="B10" s="90">
        <f>Calculations!F13</f>
        <v>246564629482716.75</v>
      </c>
      <c r="C10" s="90">
        <f>Calculations!G13</f>
        <v>274527327127013.66</v>
      </c>
      <c r="D10" s="90">
        <f>Calculations!H13</f>
        <v>271501036509349.94</v>
      </c>
      <c r="E10" s="90">
        <f>Calculations!I13</f>
        <v>267847859791143.84</v>
      </c>
      <c r="F10" s="90">
        <f>Calculations!J13</f>
        <v>263857254108313.72</v>
      </c>
      <c r="G10" s="90">
        <f>Calculations!K13</f>
        <v>259368229256051.13</v>
      </c>
      <c r="H10" s="90">
        <f>Calculations!L13</f>
        <v>254348261960657.28</v>
      </c>
      <c r="I10" s="90">
        <f>Calculations!M13</f>
        <v>249146164332550.78</v>
      </c>
      <c r="J10" s="90">
        <f>Calculations!N13</f>
        <v>243870076256779.72</v>
      </c>
      <c r="K10" s="90">
        <f>Calculations!O13</f>
        <v>238876127580344.84</v>
      </c>
      <c r="L10" s="90">
        <f>Calculations!P13</f>
        <v>233745581154375.44</v>
      </c>
      <c r="M10" s="90">
        <f>Calculations!Q13</f>
        <v>229040276532016.5</v>
      </c>
      <c r="N10" s="90">
        <f>Calculations!R13</f>
        <v>224849652715939.44</v>
      </c>
      <c r="O10" s="90">
        <f>Calculations!S13</f>
        <v>221102158504007.09</v>
      </c>
      <c r="P10" s="90">
        <f>Calculations!T13</f>
        <v>217642495264308.25</v>
      </c>
      <c r="Q10" s="90">
        <f>Calculations!U13</f>
        <v>214446270541568.84</v>
      </c>
      <c r="R10" s="90">
        <f>Calculations!V13</f>
        <v>211467138670768.22</v>
      </c>
      <c r="S10" s="90">
        <f>Calculations!W13</f>
        <v>208593707439488.38</v>
      </c>
      <c r="T10" s="90">
        <f>Calculations!X13</f>
        <v>205821911438516.91</v>
      </c>
      <c r="U10" s="90">
        <f>Calculations!Y13</f>
        <v>203120853557840.22</v>
      </c>
      <c r="V10" s="90">
        <f>Calculations!Z13</f>
        <v>200550701853800.69</v>
      </c>
      <c r="W10" s="90">
        <f>Calculations!AA13</f>
        <v>198123652554035.44</v>
      </c>
      <c r="X10" s="90">
        <f>Calculations!AB13</f>
        <v>195915322269893.94</v>
      </c>
      <c r="Y10" s="90">
        <f>Calculations!AC13</f>
        <v>193763094632882.69</v>
      </c>
      <c r="Z10" s="90">
        <f>Calculations!AD13</f>
        <v>191634446369303</v>
      </c>
      <c r="AA10" s="90">
        <f>Calculations!AE13</f>
        <v>189467583259127.31</v>
      </c>
      <c r="AB10" s="90">
        <f>Calculations!AF13</f>
        <v>187140543025985.59</v>
      </c>
    </row>
    <row r="11" spans="1:30" x14ac:dyDescent="0.25">
      <c r="A11" s="1" t="s">
        <v>173</v>
      </c>
      <c r="B11" s="90">
        <f>Calculations!F14</f>
        <v>0</v>
      </c>
      <c r="C11" s="90">
        <f>Calculations!G14</f>
        <v>0</v>
      </c>
      <c r="D11" s="90">
        <f>Calculations!H14</f>
        <v>0</v>
      </c>
      <c r="E11" s="90">
        <f>Calculations!I14</f>
        <v>0</v>
      </c>
      <c r="F11" s="90">
        <f>Calculations!J14</f>
        <v>0</v>
      </c>
      <c r="G11" s="90">
        <f>Calculations!K14</f>
        <v>0</v>
      </c>
      <c r="H11" s="90">
        <f>Calculations!L14</f>
        <v>0</v>
      </c>
      <c r="I11" s="90">
        <f>Calculations!M14</f>
        <v>0</v>
      </c>
      <c r="J11" s="90">
        <f>Calculations!N14</f>
        <v>0</v>
      </c>
      <c r="K11" s="90">
        <f>Calculations!O14</f>
        <v>0</v>
      </c>
      <c r="L11" s="90">
        <f>Calculations!P14</f>
        <v>0</v>
      </c>
      <c r="M11" s="90">
        <f>Calculations!Q14</f>
        <v>0</v>
      </c>
      <c r="N11" s="90">
        <f>Calculations!R14</f>
        <v>0</v>
      </c>
      <c r="O11" s="90">
        <f>Calculations!S14</f>
        <v>0</v>
      </c>
      <c r="P11" s="90">
        <f>Calculations!T14</f>
        <v>0</v>
      </c>
      <c r="Q11" s="90">
        <f>Calculations!U14</f>
        <v>0</v>
      </c>
      <c r="R11" s="90">
        <f>Calculations!V14</f>
        <v>0</v>
      </c>
      <c r="S11" s="90">
        <f>Calculations!W14</f>
        <v>0</v>
      </c>
      <c r="T11" s="90">
        <f>Calculations!X14</f>
        <v>0</v>
      </c>
      <c r="U11" s="90">
        <f>Calculations!Y14</f>
        <v>0</v>
      </c>
      <c r="V11" s="90">
        <f>Calculations!Z14</f>
        <v>0</v>
      </c>
      <c r="W11" s="90">
        <f>Calculations!AA14</f>
        <v>0</v>
      </c>
      <c r="X11" s="90">
        <f>Calculations!AB14</f>
        <v>0</v>
      </c>
      <c r="Y11" s="90">
        <f>Calculations!AC14</f>
        <v>0</v>
      </c>
      <c r="Z11" s="90">
        <f>Calculations!AD14</f>
        <v>0</v>
      </c>
      <c r="AA11" s="90">
        <f>Calculations!AE14</f>
        <v>0</v>
      </c>
      <c r="AB11" s="90">
        <f>Calculations!AF14</f>
        <v>0</v>
      </c>
    </row>
    <row r="27" spans="2:2" x14ac:dyDescent="0.25">
      <c r="B27" s="13"/>
    </row>
    <row r="28" spans="2:2" x14ac:dyDescent="0.25">
      <c r="B28" s="13"/>
    </row>
    <row r="29" spans="2:2" x14ac:dyDescent="0.25">
      <c r="B29" s="13"/>
    </row>
    <row r="30" spans="2:2" x14ac:dyDescent="0.25">
      <c r="B30" s="13"/>
    </row>
    <row r="31" spans="2:2" x14ac:dyDescent="0.25">
      <c r="B31" s="13"/>
    </row>
    <row r="32" spans="2:2" x14ac:dyDescent="0.25">
      <c r="B32" s="13"/>
    </row>
    <row r="33" spans="2:2" x14ac:dyDescent="0.25">
      <c r="B33" s="13"/>
    </row>
    <row r="34" spans="2:2" x14ac:dyDescent="0.25">
      <c r="B34" s="13"/>
    </row>
    <row r="35" spans="2:2" x14ac:dyDescent="0.25">
      <c r="B35" s="13"/>
    </row>
    <row r="36" spans="2:2" x14ac:dyDescent="0.25">
      <c r="B36" s="13"/>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D11"/>
  <sheetViews>
    <sheetView workbookViewId="0"/>
  </sheetViews>
  <sheetFormatPr defaultRowHeight="15" x14ac:dyDescent="0.25"/>
  <cols>
    <col min="1" max="1" width="29.85546875" customWidth="1"/>
    <col min="2" max="28" width="11.8554687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90">
        <f>Calculations!F18</f>
        <v>922563312555654.38</v>
      </c>
      <c r="C2" s="90">
        <f>Calculations!G18</f>
        <v>903313599935238.38</v>
      </c>
      <c r="D2" s="90">
        <f>Calculations!H18</f>
        <v>920388318627054.25</v>
      </c>
      <c r="E2" s="90">
        <f>Calculations!I18</f>
        <v>936637759248765.38</v>
      </c>
      <c r="F2" s="90">
        <f>Calculations!J18</f>
        <v>947629812677082.38</v>
      </c>
      <c r="G2" s="90">
        <f>Calculations!K18</f>
        <v>952523752286893.88</v>
      </c>
      <c r="H2" s="90">
        <f>Calculations!L18</f>
        <v>955163015947543</v>
      </c>
      <c r="I2" s="90">
        <f>Calculations!M18</f>
        <v>956239536306970</v>
      </c>
      <c r="J2" s="90">
        <f>Calculations!N18</f>
        <v>958059213470412</v>
      </c>
      <c r="K2" s="90">
        <f>Calculations!O18</f>
        <v>963804449769286.75</v>
      </c>
      <c r="L2" s="90">
        <f>Calculations!P18</f>
        <v>970997784829596</v>
      </c>
      <c r="M2" s="90">
        <f>Calculations!Q18</f>
        <v>981571914190884.88</v>
      </c>
      <c r="N2" s="90">
        <f>Calculations!R18</f>
        <v>995314623492269.13</v>
      </c>
      <c r="O2" s="90">
        <f>Calculations!S18</f>
        <v>1010704636606492.5</v>
      </c>
      <c r="P2" s="90">
        <f>Calculations!T18</f>
        <v>1025062035780782</v>
      </c>
      <c r="Q2" s="90">
        <f>Calculations!U18</f>
        <v>1039904031733182.3</v>
      </c>
      <c r="R2" s="90">
        <f>Calculations!V18</f>
        <v>1054566336598397</v>
      </c>
      <c r="S2" s="90">
        <f>Calculations!W18</f>
        <v>1069200996680968.1</v>
      </c>
      <c r="T2" s="90">
        <f>Calculations!X18</f>
        <v>1083451882133894.5</v>
      </c>
      <c r="U2" s="90">
        <f>Calculations!Y18</f>
        <v>1097771066461588.3</v>
      </c>
      <c r="V2" s="90">
        <f>Calculations!Z18</f>
        <v>1111810550635473</v>
      </c>
      <c r="W2" s="90">
        <f>Calculations!AA18</f>
        <v>1125528054399740.8</v>
      </c>
      <c r="X2" s="90">
        <f>Calculations!AB18</f>
        <v>1138995942038371.3</v>
      </c>
      <c r="Y2" s="90">
        <f>Calculations!AC18</f>
        <v>1152377643001699.8</v>
      </c>
      <c r="Z2" s="90">
        <f>Calculations!AD18</f>
        <v>1165865857686392</v>
      </c>
      <c r="AA2" s="90">
        <f>Calculations!AE18</f>
        <v>1179745977819153</v>
      </c>
      <c r="AB2" s="90">
        <f>Calculations!AF18</f>
        <v>1193618780215332.3</v>
      </c>
    </row>
    <row r="3" spans="1:30" x14ac:dyDescent="0.25">
      <c r="A3" s="1" t="s">
        <v>12</v>
      </c>
      <c r="B3" s="90">
        <f>Calculations!F19</f>
        <v>0</v>
      </c>
      <c r="C3" s="90">
        <f>Calculations!G19</f>
        <v>0</v>
      </c>
      <c r="D3" s="90">
        <f>Calculations!H19</f>
        <v>0</v>
      </c>
      <c r="E3" s="90">
        <f>Calculations!I19</f>
        <v>0</v>
      </c>
      <c r="F3" s="90">
        <f>Calculations!J19</f>
        <v>0</v>
      </c>
      <c r="G3" s="90">
        <f>Calculations!K19</f>
        <v>0</v>
      </c>
      <c r="H3" s="90">
        <f>Calculations!L19</f>
        <v>0</v>
      </c>
      <c r="I3" s="90">
        <f>Calculations!M19</f>
        <v>0</v>
      </c>
      <c r="J3" s="90">
        <f>Calculations!N19</f>
        <v>0</v>
      </c>
      <c r="K3" s="90">
        <f>Calculations!O19</f>
        <v>0</v>
      </c>
      <c r="L3" s="90">
        <f>Calculations!P19</f>
        <v>0</v>
      </c>
      <c r="M3" s="90">
        <f>Calculations!Q19</f>
        <v>0</v>
      </c>
      <c r="N3" s="90">
        <f>Calculations!R19</f>
        <v>0</v>
      </c>
      <c r="O3" s="90">
        <f>Calculations!S19</f>
        <v>0</v>
      </c>
      <c r="P3" s="90">
        <f>Calculations!T19</f>
        <v>0</v>
      </c>
      <c r="Q3" s="90">
        <f>Calculations!U19</f>
        <v>0</v>
      </c>
      <c r="R3" s="90">
        <f>Calculations!V19</f>
        <v>0</v>
      </c>
      <c r="S3" s="90">
        <f>Calculations!W19</f>
        <v>0</v>
      </c>
      <c r="T3" s="90">
        <f>Calculations!X19</f>
        <v>0</v>
      </c>
      <c r="U3" s="90">
        <f>Calculations!Y19</f>
        <v>0</v>
      </c>
      <c r="V3" s="90">
        <f>Calculations!Z19</f>
        <v>0</v>
      </c>
      <c r="W3" s="90">
        <f>Calculations!AA19</f>
        <v>0</v>
      </c>
      <c r="X3" s="90">
        <f>Calculations!AB19</f>
        <v>0</v>
      </c>
      <c r="Y3" s="90">
        <f>Calculations!AC19</f>
        <v>0</v>
      </c>
      <c r="Z3" s="90">
        <f>Calculations!AD19</f>
        <v>0</v>
      </c>
      <c r="AA3" s="90">
        <f>Calculations!AE19</f>
        <v>0</v>
      </c>
      <c r="AB3" s="90">
        <f>Calculations!AF19</f>
        <v>0</v>
      </c>
    </row>
    <row r="4" spans="1:30" x14ac:dyDescent="0.25">
      <c r="A4" s="1" t="s">
        <v>13</v>
      </c>
      <c r="B4" s="90">
        <f>Calculations!F20</f>
        <v>51629883914838.5</v>
      </c>
      <c r="C4" s="90">
        <f>Calculations!G20</f>
        <v>49628889500526.188</v>
      </c>
      <c r="D4" s="90">
        <f>Calculations!H20</f>
        <v>49975262365417.297</v>
      </c>
      <c r="E4" s="90">
        <f>Calculations!I20</f>
        <v>50029738848862.625</v>
      </c>
      <c r="F4" s="90">
        <f>Calculations!J20</f>
        <v>49909402736177.445</v>
      </c>
      <c r="G4" s="90">
        <f>Calculations!K20</f>
        <v>49717515421355.133</v>
      </c>
      <c r="H4" s="90">
        <f>Calculations!L20</f>
        <v>49531319679430.094</v>
      </c>
      <c r="I4" s="90">
        <f>Calculations!M20</f>
        <v>49325609973285.836</v>
      </c>
      <c r="J4" s="90">
        <f>Calculations!N20</f>
        <v>49106077875819.641</v>
      </c>
      <c r="K4" s="90">
        <f>Calculations!O20</f>
        <v>48904433578887.711</v>
      </c>
      <c r="L4" s="90">
        <f>Calculations!P20</f>
        <v>48725555573544.891</v>
      </c>
      <c r="M4" s="90">
        <f>Calculations!Q20</f>
        <v>48627985752448.797</v>
      </c>
      <c r="N4" s="90">
        <f>Calculations!R20</f>
        <v>48621481097709.055</v>
      </c>
      <c r="O4" s="90">
        <f>Calculations!S20</f>
        <v>48677583744839.305</v>
      </c>
      <c r="P4" s="90">
        <f>Calculations!T20</f>
        <v>48756452683558.648</v>
      </c>
      <c r="Q4" s="90">
        <f>Calculations!U20</f>
        <v>48896302760463.039</v>
      </c>
      <c r="R4" s="90">
        <f>Calculations!V20</f>
        <v>49054040637901.727</v>
      </c>
      <c r="S4" s="90">
        <f>Calculations!W20</f>
        <v>49223161661134.945</v>
      </c>
      <c r="T4" s="90">
        <f>Calculations!X20</f>
        <v>49395535011738.039</v>
      </c>
      <c r="U4" s="90">
        <f>Calculations!Y20</f>
        <v>49577665344450.742</v>
      </c>
      <c r="V4" s="90">
        <f>Calculations!Z20</f>
        <v>49757356431636.031</v>
      </c>
      <c r="W4" s="90">
        <f>Calculations!AA20</f>
        <v>49924038209341.852</v>
      </c>
      <c r="X4" s="90">
        <f>Calculations!AB20</f>
        <v>50087467659677.805</v>
      </c>
      <c r="Y4" s="90">
        <f>Calculations!AC20</f>
        <v>50242766291589.086</v>
      </c>
      <c r="Z4" s="90">
        <f>Calculations!AD20</f>
        <v>50408634987452.43</v>
      </c>
      <c r="AA4" s="90">
        <f>Calculations!AE20</f>
        <v>50572877519630.852</v>
      </c>
      <c r="AB4" s="90">
        <f>Calculations!AF20</f>
        <v>50729802315227.07</v>
      </c>
    </row>
    <row r="5" spans="1:30" x14ac:dyDescent="0.25">
      <c r="A5" s="1" t="s">
        <v>14</v>
      </c>
      <c r="B5" s="90">
        <f>Calculations!F21</f>
        <v>0</v>
      </c>
      <c r="C5" s="90">
        <f>Calculations!G21</f>
        <v>0</v>
      </c>
      <c r="D5" s="90">
        <f>Calculations!H21</f>
        <v>0</v>
      </c>
      <c r="E5" s="90">
        <f>Calculations!I21</f>
        <v>0</v>
      </c>
      <c r="F5" s="90">
        <f>Calculations!J21</f>
        <v>0</v>
      </c>
      <c r="G5" s="90">
        <f>Calculations!K21</f>
        <v>0</v>
      </c>
      <c r="H5" s="90">
        <f>Calculations!L21</f>
        <v>0</v>
      </c>
      <c r="I5" s="90">
        <f>Calculations!M21</f>
        <v>0</v>
      </c>
      <c r="J5" s="90">
        <f>Calculations!N21</f>
        <v>0</v>
      </c>
      <c r="K5" s="90">
        <f>Calculations!O21</f>
        <v>0</v>
      </c>
      <c r="L5" s="90">
        <f>Calculations!P21</f>
        <v>0</v>
      </c>
      <c r="M5" s="90">
        <f>Calculations!Q21</f>
        <v>0</v>
      </c>
      <c r="N5" s="90">
        <f>Calculations!R21</f>
        <v>0</v>
      </c>
      <c r="O5" s="90">
        <f>Calculations!S21</f>
        <v>0</v>
      </c>
      <c r="P5" s="90">
        <f>Calculations!T21</f>
        <v>0</v>
      </c>
      <c r="Q5" s="90">
        <f>Calculations!U21</f>
        <v>0</v>
      </c>
      <c r="R5" s="90">
        <f>Calculations!V21</f>
        <v>0</v>
      </c>
      <c r="S5" s="90">
        <f>Calculations!W21</f>
        <v>0</v>
      </c>
      <c r="T5" s="90">
        <f>Calculations!X21</f>
        <v>0</v>
      </c>
      <c r="U5" s="90">
        <f>Calculations!Y21</f>
        <v>0</v>
      </c>
      <c r="V5" s="90">
        <f>Calculations!Z21</f>
        <v>0</v>
      </c>
      <c r="W5" s="90">
        <f>Calculations!AA21</f>
        <v>0</v>
      </c>
      <c r="X5" s="90">
        <f>Calculations!AB21</f>
        <v>0</v>
      </c>
      <c r="Y5" s="90">
        <f>Calculations!AC21</f>
        <v>0</v>
      </c>
      <c r="Z5" s="90">
        <f>Calculations!AD21</f>
        <v>0</v>
      </c>
      <c r="AA5" s="90">
        <f>Calculations!AE21</f>
        <v>0</v>
      </c>
      <c r="AB5" s="90">
        <f>Calculations!AF21</f>
        <v>0</v>
      </c>
    </row>
    <row r="6" spans="1:30" x14ac:dyDescent="0.25">
      <c r="A6" s="1" t="s">
        <v>16</v>
      </c>
      <c r="B6" s="90">
        <f>Calculations!F22</f>
        <v>0</v>
      </c>
      <c r="C6" s="90">
        <f>Calculations!G22</f>
        <v>0</v>
      </c>
      <c r="D6" s="90">
        <f>Calculations!H22</f>
        <v>0</v>
      </c>
      <c r="E6" s="90">
        <f>Calculations!I22</f>
        <v>0</v>
      </c>
      <c r="F6" s="90">
        <f>Calculations!J22</f>
        <v>0</v>
      </c>
      <c r="G6" s="90">
        <f>Calculations!K22</f>
        <v>0</v>
      </c>
      <c r="H6" s="90">
        <f>Calculations!L22</f>
        <v>0</v>
      </c>
      <c r="I6" s="90">
        <f>Calculations!M22</f>
        <v>0</v>
      </c>
      <c r="J6" s="90">
        <f>Calculations!N22</f>
        <v>0</v>
      </c>
      <c r="K6" s="90">
        <f>Calculations!O22</f>
        <v>0</v>
      </c>
      <c r="L6" s="90">
        <f>Calculations!P22</f>
        <v>0</v>
      </c>
      <c r="M6" s="90">
        <f>Calculations!Q22</f>
        <v>0</v>
      </c>
      <c r="N6" s="90">
        <f>Calculations!R22</f>
        <v>0</v>
      </c>
      <c r="O6" s="90">
        <f>Calculations!S22</f>
        <v>0</v>
      </c>
      <c r="P6" s="90">
        <f>Calculations!T22</f>
        <v>0</v>
      </c>
      <c r="Q6" s="90">
        <f>Calculations!U22</f>
        <v>0</v>
      </c>
      <c r="R6" s="90">
        <f>Calculations!V22</f>
        <v>0</v>
      </c>
      <c r="S6" s="90">
        <f>Calculations!W22</f>
        <v>0</v>
      </c>
      <c r="T6" s="90">
        <f>Calculations!X22</f>
        <v>0</v>
      </c>
      <c r="U6" s="90">
        <f>Calculations!Y22</f>
        <v>0</v>
      </c>
      <c r="V6" s="90">
        <f>Calculations!Z22</f>
        <v>0</v>
      </c>
      <c r="W6" s="90">
        <f>Calculations!AA22</f>
        <v>0</v>
      </c>
      <c r="X6" s="90">
        <f>Calculations!AB22</f>
        <v>0</v>
      </c>
      <c r="Y6" s="90">
        <f>Calculations!AC22</f>
        <v>0</v>
      </c>
      <c r="Z6" s="90">
        <f>Calculations!AD22</f>
        <v>0</v>
      </c>
      <c r="AA6" s="90">
        <f>Calculations!AE22</f>
        <v>0</v>
      </c>
      <c r="AB6" s="90">
        <f>Calculations!AF22</f>
        <v>0</v>
      </c>
    </row>
    <row r="7" spans="1:30" x14ac:dyDescent="0.25">
      <c r="A7" s="1" t="s">
        <v>73</v>
      </c>
      <c r="B7" s="90">
        <f>Calculations!F23</f>
        <v>0</v>
      </c>
      <c r="C7" s="90">
        <f>Calculations!G23</f>
        <v>0</v>
      </c>
      <c r="D7" s="90">
        <f>Calculations!H23</f>
        <v>0</v>
      </c>
      <c r="E7" s="90">
        <f>Calculations!I23</f>
        <v>0</v>
      </c>
      <c r="F7" s="90">
        <f>Calculations!J23</f>
        <v>0</v>
      </c>
      <c r="G7" s="90">
        <f>Calculations!K23</f>
        <v>0</v>
      </c>
      <c r="H7" s="90">
        <f>Calculations!L23</f>
        <v>0</v>
      </c>
      <c r="I7" s="90">
        <f>Calculations!M23</f>
        <v>0</v>
      </c>
      <c r="J7" s="90">
        <f>Calculations!N23</f>
        <v>0</v>
      </c>
      <c r="K7" s="90">
        <f>Calculations!O23</f>
        <v>0</v>
      </c>
      <c r="L7" s="90">
        <f>Calculations!P23</f>
        <v>0</v>
      </c>
      <c r="M7" s="90">
        <f>Calculations!Q23</f>
        <v>0</v>
      </c>
      <c r="N7" s="90">
        <f>Calculations!R23</f>
        <v>0</v>
      </c>
      <c r="O7" s="90">
        <f>Calculations!S23</f>
        <v>0</v>
      </c>
      <c r="P7" s="90">
        <f>Calculations!T23</f>
        <v>0</v>
      </c>
      <c r="Q7" s="90">
        <f>Calculations!U23</f>
        <v>0</v>
      </c>
      <c r="R7" s="90">
        <f>Calculations!V23</f>
        <v>0</v>
      </c>
      <c r="S7" s="90">
        <f>Calculations!W23</f>
        <v>0</v>
      </c>
      <c r="T7" s="90">
        <f>Calculations!X23</f>
        <v>0</v>
      </c>
      <c r="U7" s="90">
        <f>Calculations!Y23</f>
        <v>0</v>
      </c>
      <c r="V7" s="90">
        <f>Calculations!Z23</f>
        <v>0</v>
      </c>
      <c r="W7" s="90">
        <f>Calculations!AA23</f>
        <v>0</v>
      </c>
      <c r="X7" s="90">
        <f>Calculations!AB23</f>
        <v>0</v>
      </c>
      <c r="Y7" s="90">
        <f>Calculations!AC23</f>
        <v>0</v>
      </c>
      <c r="Z7" s="90">
        <f>Calculations!AD23</f>
        <v>0</v>
      </c>
      <c r="AA7" s="90">
        <f>Calculations!AE23</f>
        <v>0</v>
      </c>
      <c r="AB7" s="90">
        <f>Calculations!AF23</f>
        <v>0</v>
      </c>
    </row>
    <row r="8" spans="1:30" x14ac:dyDescent="0.25">
      <c r="A8" s="1" t="s">
        <v>170</v>
      </c>
      <c r="B8" s="90">
        <f>Calculations!F24</f>
        <v>0</v>
      </c>
      <c r="C8" s="90">
        <f>Calculations!G24</f>
        <v>0</v>
      </c>
      <c r="D8" s="90">
        <f>Calculations!H24</f>
        <v>0</v>
      </c>
      <c r="E8" s="90">
        <f>Calculations!I24</f>
        <v>0</v>
      </c>
      <c r="F8" s="90">
        <f>Calculations!J24</f>
        <v>0</v>
      </c>
      <c r="G8" s="90">
        <f>Calculations!K24</f>
        <v>0</v>
      </c>
      <c r="H8" s="90">
        <f>Calculations!L24</f>
        <v>0</v>
      </c>
      <c r="I8" s="90">
        <f>Calculations!M24</f>
        <v>0</v>
      </c>
      <c r="J8" s="90">
        <f>Calculations!N24</f>
        <v>0</v>
      </c>
      <c r="K8" s="90">
        <f>Calculations!O24</f>
        <v>0</v>
      </c>
      <c r="L8" s="90">
        <f>Calculations!P24</f>
        <v>0</v>
      </c>
      <c r="M8" s="90">
        <f>Calculations!Q24</f>
        <v>0</v>
      </c>
      <c r="N8" s="90">
        <f>Calculations!R24</f>
        <v>0</v>
      </c>
      <c r="O8" s="90">
        <f>Calculations!S24</f>
        <v>0</v>
      </c>
      <c r="P8" s="90">
        <f>Calculations!T24</f>
        <v>0</v>
      </c>
      <c r="Q8" s="90">
        <f>Calculations!U24</f>
        <v>0</v>
      </c>
      <c r="R8" s="90">
        <f>Calculations!V24</f>
        <v>0</v>
      </c>
      <c r="S8" s="90">
        <f>Calculations!W24</f>
        <v>0</v>
      </c>
      <c r="T8" s="90">
        <f>Calculations!X24</f>
        <v>0</v>
      </c>
      <c r="U8" s="90">
        <f>Calculations!Y24</f>
        <v>0</v>
      </c>
      <c r="V8" s="90">
        <f>Calculations!Z24</f>
        <v>0</v>
      </c>
      <c r="W8" s="90">
        <f>Calculations!AA24</f>
        <v>0</v>
      </c>
      <c r="X8" s="90">
        <f>Calculations!AB24</f>
        <v>0</v>
      </c>
      <c r="Y8" s="90">
        <f>Calculations!AC24</f>
        <v>0</v>
      </c>
      <c r="Z8" s="90">
        <f>Calculations!AD24</f>
        <v>0</v>
      </c>
      <c r="AA8" s="90">
        <f>Calculations!AE24</f>
        <v>0</v>
      </c>
      <c r="AB8" s="90">
        <f>Calculations!AF24</f>
        <v>0</v>
      </c>
    </row>
    <row r="9" spans="1:30" x14ac:dyDescent="0.25">
      <c r="A9" s="1" t="s">
        <v>171</v>
      </c>
      <c r="B9" s="90">
        <f>Calculations!F25</f>
        <v>0</v>
      </c>
      <c r="C9" s="90">
        <f>Calculations!G25</f>
        <v>0</v>
      </c>
      <c r="D9" s="90">
        <f>Calculations!H25</f>
        <v>0</v>
      </c>
      <c r="E9" s="90">
        <f>Calculations!I25</f>
        <v>0</v>
      </c>
      <c r="F9" s="90">
        <f>Calculations!J25</f>
        <v>0</v>
      </c>
      <c r="G9" s="90">
        <f>Calculations!K25</f>
        <v>0</v>
      </c>
      <c r="H9" s="90">
        <f>Calculations!L25</f>
        <v>0</v>
      </c>
      <c r="I9" s="90">
        <f>Calculations!M25</f>
        <v>0</v>
      </c>
      <c r="J9" s="90">
        <f>Calculations!N25</f>
        <v>0</v>
      </c>
      <c r="K9" s="90">
        <f>Calculations!O25</f>
        <v>0</v>
      </c>
      <c r="L9" s="90">
        <f>Calculations!P25</f>
        <v>0</v>
      </c>
      <c r="M9" s="90">
        <f>Calculations!Q25</f>
        <v>0</v>
      </c>
      <c r="N9" s="90">
        <f>Calculations!R25</f>
        <v>0</v>
      </c>
      <c r="O9" s="90">
        <f>Calculations!S25</f>
        <v>0</v>
      </c>
      <c r="P9" s="90">
        <f>Calculations!T25</f>
        <v>0</v>
      </c>
      <c r="Q9" s="90">
        <f>Calculations!U25</f>
        <v>0</v>
      </c>
      <c r="R9" s="90">
        <f>Calculations!V25</f>
        <v>0</v>
      </c>
      <c r="S9" s="90">
        <f>Calculations!W25</f>
        <v>0</v>
      </c>
      <c r="T9" s="90">
        <f>Calculations!X25</f>
        <v>0</v>
      </c>
      <c r="U9" s="90">
        <f>Calculations!Y25</f>
        <v>0</v>
      </c>
      <c r="V9" s="90">
        <f>Calculations!Z25</f>
        <v>0</v>
      </c>
      <c r="W9" s="90">
        <f>Calculations!AA25</f>
        <v>0</v>
      </c>
      <c r="X9" s="90">
        <f>Calculations!AB25</f>
        <v>0</v>
      </c>
      <c r="Y9" s="90">
        <f>Calculations!AC25</f>
        <v>0</v>
      </c>
      <c r="Z9" s="90">
        <f>Calculations!AD25</f>
        <v>0</v>
      </c>
      <c r="AA9" s="90">
        <f>Calculations!AE25</f>
        <v>0</v>
      </c>
      <c r="AB9" s="90">
        <f>Calculations!AF25</f>
        <v>0</v>
      </c>
    </row>
    <row r="10" spans="1:30" x14ac:dyDescent="0.25">
      <c r="A10" s="1" t="s">
        <v>172</v>
      </c>
      <c r="B10" s="90">
        <f>Calculations!F26</f>
        <v>0</v>
      </c>
      <c r="C10" s="90">
        <f>Calculations!G26</f>
        <v>0</v>
      </c>
      <c r="D10" s="90">
        <f>Calculations!H26</f>
        <v>0</v>
      </c>
      <c r="E10" s="90">
        <f>Calculations!I26</f>
        <v>0</v>
      </c>
      <c r="F10" s="90">
        <f>Calculations!J26</f>
        <v>0</v>
      </c>
      <c r="G10" s="90">
        <f>Calculations!K26</f>
        <v>0</v>
      </c>
      <c r="H10" s="90">
        <f>Calculations!L26</f>
        <v>0</v>
      </c>
      <c r="I10" s="90">
        <f>Calculations!M26</f>
        <v>0</v>
      </c>
      <c r="J10" s="90">
        <f>Calculations!N26</f>
        <v>0</v>
      </c>
      <c r="K10" s="90">
        <f>Calculations!O26</f>
        <v>0</v>
      </c>
      <c r="L10" s="90">
        <f>Calculations!P26</f>
        <v>0</v>
      </c>
      <c r="M10" s="90">
        <f>Calculations!Q26</f>
        <v>0</v>
      </c>
      <c r="N10" s="90">
        <f>Calculations!R26</f>
        <v>0</v>
      </c>
      <c r="O10" s="90">
        <f>Calculations!S26</f>
        <v>0</v>
      </c>
      <c r="P10" s="90">
        <f>Calculations!T26</f>
        <v>0</v>
      </c>
      <c r="Q10" s="90">
        <f>Calculations!U26</f>
        <v>0</v>
      </c>
      <c r="R10" s="90">
        <f>Calculations!V26</f>
        <v>0</v>
      </c>
      <c r="S10" s="90">
        <f>Calculations!W26</f>
        <v>0</v>
      </c>
      <c r="T10" s="90">
        <f>Calculations!X26</f>
        <v>0</v>
      </c>
      <c r="U10" s="90">
        <f>Calculations!Y26</f>
        <v>0</v>
      </c>
      <c r="V10" s="90">
        <f>Calculations!Z26</f>
        <v>0</v>
      </c>
      <c r="W10" s="90">
        <f>Calculations!AA26</f>
        <v>0</v>
      </c>
      <c r="X10" s="90">
        <f>Calculations!AB26</f>
        <v>0</v>
      </c>
      <c r="Y10" s="90">
        <f>Calculations!AC26</f>
        <v>0</v>
      </c>
      <c r="Z10" s="90">
        <f>Calculations!AD26</f>
        <v>0</v>
      </c>
      <c r="AA10" s="90">
        <f>Calculations!AE26</f>
        <v>0</v>
      </c>
      <c r="AB10" s="90">
        <f>Calculations!AF26</f>
        <v>0</v>
      </c>
    </row>
    <row r="11" spans="1:30" x14ac:dyDescent="0.25">
      <c r="A11" s="1" t="s">
        <v>173</v>
      </c>
      <c r="B11" s="90">
        <f>Calculations!F27</f>
        <v>0</v>
      </c>
      <c r="C11" s="90">
        <f>Calculations!G27</f>
        <v>0</v>
      </c>
      <c r="D11" s="90">
        <f>Calculations!H27</f>
        <v>0</v>
      </c>
      <c r="E11" s="90">
        <f>Calculations!I27</f>
        <v>0</v>
      </c>
      <c r="F11" s="90">
        <f>Calculations!J27</f>
        <v>0</v>
      </c>
      <c r="G11" s="90">
        <f>Calculations!K27</f>
        <v>0</v>
      </c>
      <c r="H11" s="90">
        <f>Calculations!L27</f>
        <v>0</v>
      </c>
      <c r="I11" s="90">
        <f>Calculations!M27</f>
        <v>0</v>
      </c>
      <c r="J11" s="90">
        <f>Calculations!N27</f>
        <v>0</v>
      </c>
      <c r="K11" s="90">
        <f>Calculations!O27</f>
        <v>0</v>
      </c>
      <c r="L11" s="90">
        <f>Calculations!P27</f>
        <v>0</v>
      </c>
      <c r="M11" s="90">
        <f>Calculations!Q27</f>
        <v>0</v>
      </c>
      <c r="N11" s="90">
        <f>Calculations!R27</f>
        <v>0</v>
      </c>
      <c r="O11" s="90">
        <f>Calculations!S27</f>
        <v>0</v>
      </c>
      <c r="P11" s="90">
        <f>Calculations!T27</f>
        <v>0</v>
      </c>
      <c r="Q11" s="90">
        <f>Calculations!U27</f>
        <v>0</v>
      </c>
      <c r="R11" s="90">
        <f>Calculations!V27</f>
        <v>0</v>
      </c>
      <c r="S11" s="90">
        <f>Calculations!W27</f>
        <v>0</v>
      </c>
      <c r="T11" s="90">
        <f>Calculations!X27</f>
        <v>0</v>
      </c>
      <c r="U11" s="90">
        <f>Calculations!Y27</f>
        <v>0</v>
      </c>
      <c r="V11" s="90">
        <f>Calculations!Z27</f>
        <v>0</v>
      </c>
      <c r="W11" s="90">
        <f>Calculations!AA27</f>
        <v>0</v>
      </c>
      <c r="X11" s="90">
        <f>Calculations!AB27</f>
        <v>0</v>
      </c>
      <c r="Y11" s="90">
        <f>Calculations!AC27</f>
        <v>0</v>
      </c>
      <c r="Z11" s="90">
        <f>Calculations!AD27</f>
        <v>0</v>
      </c>
      <c r="AA11" s="90">
        <f>Calculations!AE27</f>
        <v>0</v>
      </c>
      <c r="AB11" s="90">
        <f>Calculations!AF27</f>
        <v>0</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D11"/>
  <sheetViews>
    <sheetView workbookViewId="0"/>
  </sheetViews>
  <sheetFormatPr defaultRowHeight="15" x14ac:dyDescent="0.25"/>
  <cols>
    <col min="1" max="1" width="29.85546875" customWidth="1"/>
    <col min="2" max="28" width="10.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Calculations!F31</f>
        <v>152347957904962.38</v>
      </c>
      <c r="C2" s="7">
        <f>Calculations!G31</f>
        <v>150737242775034.41</v>
      </c>
      <c r="D2" s="7">
        <f>Calculations!H31</f>
        <v>152017033595078.09</v>
      </c>
      <c r="E2" s="7">
        <f>Calculations!I31</f>
        <v>154999417793248.59</v>
      </c>
      <c r="F2" s="7">
        <f>Calculations!J31</f>
        <v>157515906095685.25</v>
      </c>
      <c r="G2" s="7">
        <f>Calculations!K31</f>
        <v>159042060713996.59</v>
      </c>
      <c r="H2" s="7">
        <f>Calculations!L31</f>
        <v>158685930866995.88</v>
      </c>
      <c r="I2" s="7">
        <f>Calculations!M31</f>
        <v>158169623897029.06</v>
      </c>
      <c r="J2" s="7">
        <f>Calculations!N31</f>
        <v>157998063628268.44</v>
      </c>
      <c r="K2" s="7">
        <f>Calculations!O31</f>
        <v>157859026633206.5</v>
      </c>
      <c r="L2" s="7">
        <f>Calculations!P31</f>
        <v>158066362503035.69</v>
      </c>
      <c r="M2" s="7">
        <f>Calculations!Q31</f>
        <v>158776996033352.22</v>
      </c>
      <c r="N2" s="7">
        <f>Calculations!R31</f>
        <v>159851077147251.66</v>
      </c>
      <c r="O2" s="7">
        <f>Calculations!S31</f>
        <v>161044681291993.84</v>
      </c>
      <c r="P2" s="7">
        <f>Calculations!T31</f>
        <v>162042332712701.34</v>
      </c>
      <c r="Q2" s="7">
        <f>Calculations!U31</f>
        <v>163170077228203.69</v>
      </c>
      <c r="R2" s="7">
        <f>Calculations!V31</f>
        <v>161639044118837.53</v>
      </c>
      <c r="S2" s="7">
        <f>Calculations!W31</f>
        <v>160316973042985.47</v>
      </c>
      <c r="T2" s="7">
        <f>Calculations!X31</f>
        <v>159316069294908.09</v>
      </c>
      <c r="U2" s="7">
        <f>Calculations!Y31</f>
        <v>158664790739091.72</v>
      </c>
      <c r="V2" s="7">
        <f>Calculations!Z31</f>
        <v>158311913219460.84</v>
      </c>
      <c r="W2" s="7">
        <f>Calculations!AA31</f>
        <v>158118399740953.59</v>
      </c>
      <c r="X2" s="7">
        <f>Calculations!AB31</f>
        <v>157963914190884.78</v>
      </c>
      <c r="Y2" s="7">
        <f>Calculations!AC31</f>
        <v>157824064113980.41</v>
      </c>
      <c r="Z2" s="7">
        <f>Calculations!AD31</f>
        <v>157803737067918.72</v>
      </c>
      <c r="AA2" s="7">
        <f>Calculations!AE31</f>
        <v>157906185380069.59</v>
      </c>
      <c r="AB2" s="7">
        <f>Calculations!AF31</f>
        <v>158033026147494.53</v>
      </c>
    </row>
    <row r="3" spans="1:30" x14ac:dyDescent="0.25">
      <c r="A3" s="1" t="s">
        <v>12</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25">
      <c r="A4" s="1" t="s">
        <v>13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25">
      <c r="A5" s="1" t="s">
        <v>14</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25">
      <c r="A6" s="1" t="s">
        <v>16</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25">
      <c r="A7" s="1" t="s">
        <v>73</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25">
      <c r="A8" s="1" t="s">
        <v>170</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25">
      <c r="A9" s="1" t="s">
        <v>171</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25">
      <c r="A10" s="1" t="s">
        <v>172</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25">
      <c r="A11" s="1" t="s">
        <v>173</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D11"/>
  <sheetViews>
    <sheetView workbookViewId="0"/>
  </sheetViews>
  <sheetFormatPr defaultRowHeight="15" x14ac:dyDescent="0.25"/>
  <cols>
    <col min="1" max="1" width="29.85546875" customWidth="1"/>
    <col min="2" max="28" width="13.57031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Calculations!F44</f>
        <v>1009091482231036.9</v>
      </c>
      <c r="C2" s="7">
        <f>Calculations!G44</f>
        <v>1371220247065490</v>
      </c>
      <c r="D2" s="7">
        <f>Calculations!H44</f>
        <v>1358488198494293</v>
      </c>
      <c r="E2" s="7">
        <f>Calculations!I44</f>
        <v>1346314737148870.5</v>
      </c>
      <c r="F2" s="7">
        <f>Calculations!J44</f>
        <v>1328598496883348</v>
      </c>
      <c r="G2" s="7">
        <f>Calculations!K44</f>
        <v>1286931010740723.3</v>
      </c>
      <c r="H2" s="7">
        <f>Calculations!L44</f>
        <v>1256493811006258.3</v>
      </c>
      <c r="I2" s="7">
        <f>Calculations!M44</f>
        <v>1224685755285393.3</v>
      </c>
      <c r="J2" s="7">
        <f>Calculations!N44</f>
        <v>1194190826740112.8</v>
      </c>
      <c r="K2" s="7">
        <f>Calculations!O44</f>
        <v>1165717219655206.8</v>
      </c>
      <c r="L2" s="7">
        <f>Calculations!P44</f>
        <v>1139931661141498</v>
      </c>
      <c r="M2" s="7">
        <f>Calculations!Q44</f>
        <v>1117530149256138.8</v>
      </c>
      <c r="N2" s="7">
        <f>Calculations!R44</f>
        <v>1098563908155203.6</v>
      </c>
      <c r="O2" s="7">
        <f>Calculations!S44</f>
        <v>1082349136009179</v>
      </c>
      <c r="P2" s="7">
        <f>Calculations!T44</f>
        <v>1068044293111109.9</v>
      </c>
      <c r="Q2" s="7">
        <f>Calculations!U44</f>
        <v>1056084378246717.1</v>
      </c>
      <c r="R2" s="7">
        <f>Calculations!V44</f>
        <v>1046276691019335.3</v>
      </c>
      <c r="S2" s="7">
        <f>Calculations!W44</f>
        <v>1038360232157532.9</v>
      </c>
      <c r="T2" s="7">
        <f>Calculations!X44</f>
        <v>1041075925511374</v>
      </c>
      <c r="U2" s="7">
        <f>Calculations!Y44</f>
        <v>1045423474123047.3</v>
      </c>
      <c r="V2" s="7">
        <f>Calculations!Z44</f>
        <v>1049725490151542.5</v>
      </c>
      <c r="W2" s="7">
        <f>Calculations!AA44</f>
        <v>1054160038520359.8</v>
      </c>
      <c r="X2" s="7">
        <f>Calculations!AB44</f>
        <v>1058753137848458</v>
      </c>
      <c r="Y2" s="7">
        <f>Calculations!AC44</f>
        <v>1063568208519550.4</v>
      </c>
      <c r="Z2" s="7">
        <f>Calculations!AD44</f>
        <v>1068387344599854.4</v>
      </c>
      <c r="AA2" s="7">
        <f>Calculations!AE44</f>
        <v>1073300798173885.1</v>
      </c>
      <c r="AB2" s="7">
        <f>Calculations!AF44</f>
        <v>1078210186338703.5</v>
      </c>
    </row>
    <row r="3" spans="1:30" x14ac:dyDescent="0.25">
      <c r="A3" s="1" t="s">
        <v>12</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25">
      <c r="A4" s="1" t="s">
        <v>13</v>
      </c>
      <c r="B4" s="7">
        <f>Calculations!F46</f>
        <v>937723223508459.38</v>
      </c>
      <c r="C4" s="7">
        <f>Calculations!G46</f>
        <v>947063907714725</v>
      </c>
      <c r="D4" s="7">
        <f>Calculations!H46</f>
        <v>957942942766939</v>
      </c>
      <c r="E4" s="7">
        <f>Calculations!I46</f>
        <v>967399897676677.63</v>
      </c>
      <c r="F4" s="7">
        <f>Calculations!J46</f>
        <v>976760095847162.63</v>
      </c>
      <c r="G4" s="7">
        <f>Calculations!K46</f>
        <v>978369997895248.13</v>
      </c>
      <c r="H4" s="7">
        <f>Calculations!L46</f>
        <v>979450583663887.25</v>
      </c>
      <c r="I4" s="7">
        <f>Calculations!M46</f>
        <v>979790451874038.63</v>
      </c>
      <c r="J4" s="7">
        <f>Calculations!N46</f>
        <v>978533427345584.13</v>
      </c>
      <c r="K4" s="7">
        <f>Calculations!O46</f>
        <v>978882239456002.5</v>
      </c>
      <c r="L4" s="7">
        <f>Calculations!P46</f>
        <v>981113336031733.25</v>
      </c>
      <c r="M4" s="7">
        <f>Calculations!Q46</f>
        <v>985586912328988.75</v>
      </c>
      <c r="N4" s="7">
        <f>Calculations!R46</f>
        <v>990148301465231.13</v>
      </c>
      <c r="O4" s="7">
        <f>Calculations!S46</f>
        <v>994835718287055.63</v>
      </c>
      <c r="P4" s="7">
        <f>Calculations!T46</f>
        <v>999175136080304.25</v>
      </c>
      <c r="Q4" s="7">
        <f>Calculations!U46</f>
        <v>1003121022261798.8</v>
      </c>
      <c r="R4" s="7">
        <f>Calculations!V46</f>
        <v>1006122920424188.4</v>
      </c>
      <c r="S4" s="7">
        <f>Calculations!W46</f>
        <v>1007435234517930.9</v>
      </c>
      <c r="T4" s="7">
        <f>Calculations!X46</f>
        <v>1007561262203513.3</v>
      </c>
      <c r="U4" s="7">
        <f>Calculations!Y46</f>
        <v>1006715657087347.3</v>
      </c>
      <c r="V4" s="7">
        <f>Calculations!Z46</f>
        <v>1005457006395207.8</v>
      </c>
      <c r="W4" s="7">
        <f>Calculations!AA46</f>
        <v>1003796693272889.3</v>
      </c>
      <c r="X4" s="7">
        <f>Calculations!AB46</f>
        <v>1001492419331336.4</v>
      </c>
      <c r="Y4" s="7">
        <f>Calculations!AC46</f>
        <v>999110902614749.5</v>
      </c>
      <c r="Z4" s="7">
        <f>Calculations!AD46</f>
        <v>996946478750101</v>
      </c>
      <c r="AA4" s="7">
        <f>Calculations!AE46</f>
        <v>994834905205213.25</v>
      </c>
      <c r="AB4" s="7">
        <f>Calculations!AF46</f>
        <v>992997340241236.88</v>
      </c>
    </row>
    <row r="5" spans="1:30" x14ac:dyDescent="0.25">
      <c r="A5" s="1" t="s">
        <v>14</v>
      </c>
      <c r="B5" s="7">
        <f>Calculations!F47</f>
        <v>32750936614587.551</v>
      </c>
      <c r="C5" s="7">
        <f>Calculations!G47</f>
        <v>31029642354084.027</v>
      </c>
      <c r="D5" s="7">
        <f>Calculations!H47</f>
        <v>29221348336436.492</v>
      </c>
      <c r="E5" s="7">
        <f>Calculations!I47</f>
        <v>27382970290617.66</v>
      </c>
      <c r="F5" s="7">
        <f>Calculations!J47</f>
        <v>25651919048004.531</v>
      </c>
      <c r="G5" s="7">
        <f>Calculations!K47</f>
        <v>24024129199384.766</v>
      </c>
      <c r="H5" s="7">
        <f>Calculations!L47</f>
        <v>22612619120861.328</v>
      </c>
      <c r="I5" s="7">
        <f>Calculations!M47</f>
        <v>21460482150085</v>
      </c>
      <c r="J5" s="7">
        <f>Calculations!N47</f>
        <v>20552269732048.895</v>
      </c>
      <c r="K5" s="7">
        <f>Calculations!O47</f>
        <v>19839196956204.969</v>
      </c>
      <c r="L5" s="7">
        <f>Calculations!P47</f>
        <v>19325329231765.563</v>
      </c>
      <c r="M5" s="7">
        <f>Calculations!Q47</f>
        <v>19004974985833.398</v>
      </c>
      <c r="N5" s="7">
        <f>Calculations!R47</f>
        <v>18651284384360.074</v>
      </c>
      <c r="O5" s="7">
        <f>Calculations!S47</f>
        <v>18277266736825.059</v>
      </c>
      <c r="P5" s="7">
        <f>Calculations!T47</f>
        <v>17898370598235.246</v>
      </c>
      <c r="Q5" s="7">
        <f>Calculations!U47</f>
        <v>17513782886748.156</v>
      </c>
      <c r="R5" s="7">
        <f>Calculations!V47</f>
        <v>17122690520521.33</v>
      </c>
      <c r="S5" s="7">
        <f>Calculations!W47</f>
        <v>16721028090342.428</v>
      </c>
      <c r="T5" s="7">
        <f>Calculations!X47</f>
        <v>16312861005423.785</v>
      </c>
      <c r="U5" s="7">
        <f>Calculations!Y47</f>
        <v>15901441593135.271</v>
      </c>
      <c r="V5" s="7">
        <f>Calculations!Z47</f>
        <v>15476199789524.811</v>
      </c>
      <c r="W5" s="7">
        <f>Calculations!AA47</f>
        <v>15073724277503.439</v>
      </c>
      <c r="X5" s="7">
        <f>Calculations!AB47</f>
        <v>14676940338379.342</v>
      </c>
      <c r="Y5" s="7">
        <f>Calculations!AC47</f>
        <v>14293165708734.721</v>
      </c>
      <c r="Z5" s="7">
        <f>Calculations!AD47</f>
        <v>13923213470412.045</v>
      </c>
      <c r="AA5" s="7">
        <f>Calculations!AE47</f>
        <v>13567083623411.316</v>
      </c>
      <c r="AB5" s="7">
        <f>Calculations!AF47</f>
        <v>13221523840362.666</v>
      </c>
    </row>
    <row r="6" spans="1:30" x14ac:dyDescent="0.25">
      <c r="A6" s="1" t="s">
        <v>16</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25">
      <c r="A7" s="1" t="s">
        <v>73</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25">
      <c r="A8" s="1" t="s">
        <v>170</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25">
      <c r="A9" s="1" t="s">
        <v>171</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25">
      <c r="A10" s="1" t="s">
        <v>172</v>
      </c>
      <c r="B10" s="7">
        <f>Calculations!F52</f>
        <v>54522016028495.102</v>
      </c>
      <c r="C10" s="7">
        <f>Calculations!G52</f>
        <v>52801534849834.039</v>
      </c>
      <c r="D10" s="7">
        <f>Calculations!H52</f>
        <v>51169679592001.945</v>
      </c>
      <c r="E10" s="7">
        <f>Calculations!I52</f>
        <v>49560590625758.922</v>
      </c>
      <c r="F10" s="7">
        <f>Calculations!J52</f>
        <v>48080781672468.227</v>
      </c>
      <c r="G10" s="7">
        <f>Calculations!K52</f>
        <v>46482262770177.281</v>
      </c>
      <c r="H10" s="7">
        <f>Calculations!L52</f>
        <v>44997575325831.781</v>
      </c>
      <c r="I10" s="7">
        <f>Calculations!M52</f>
        <v>43684448150246.898</v>
      </c>
      <c r="J10" s="7">
        <f>Calculations!N52</f>
        <v>42513610297093.82</v>
      </c>
      <c r="K10" s="7">
        <f>Calculations!O52</f>
        <v>41542790577187.727</v>
      </c>
      <c r="L10" s="7">
        <f>Calculations!P52</f>
        <v>40751661944466.93</v>
      </c>
      <c r="M10" s="7">
        <f>Calculations!Q52</f>
        <v>40173560754472.602</v>
      </c>
      <c r="N10" s="7">
        <f>Calculations!R52</f>
        <v>39571880191046.711</v>
      </c>
      <c r="O10" s="7">
        <f>Calculations!S52</f>
        <v>38965321136566.016</v>
      </c>
      <c r="P10" s="7">
        <f>Calculations!T52</f>
        <v>38366892900509.992</v>
      </c>
      <c r="Q10" s="7">
        <f>Calculations!U52</f>
        <v>37777408564721.117</v>
      </c>
      <c r="R10" s="7">
        <f>Calculations!V52</f>
        <v>37203372783939.117</v>
      </c>
      <c r="S10" s="7">
        <f>Calculations!W52</f>
        <v>36628523921314.656</v>
      </c>
      <c r="T10" s="7">
        <f>Calculations!X52</f>
        <v>36054488140532.664</v>
      </c>
      <c r="U10" s="7">
        <f>Calculations!Y52</f>
        <v>35460938395531.445</v>
      </c>
      <c r="V10" s="7">
        <f>Calculations!Z52</f>
        <v>34864136323160.363</v>
      </c>
      <c r="W10" s="7">
        <f>Calculations!AA52</f>
        <v>34264895005261.879</v>
      </c>
      <c r="X10" s="7">
        <f>Calculations!AB52</f>
        <v>33676223751315.465</v>
      </c>
      <c r="Y10" s="7">
        <f>Calculations!AC52</f>
        <v>33111131870800.613</v>
      </c>
      <c r="Z10" s="7">
        <f>Calculations!AD52</f>
        <v>32567993200032.375</v>
      </c>
      <c r="AA10" s="7">
        <f>Calculations!AE52</f>
        <v>32039490002428.563</v>
      </c>
      <c r="AB10" s="7">
        <f>Calculations!AF52</f>
        <v>31518304541406.945</v>
      </c>
    </row>
    <row r="11" spans="1:30" x14ac:dyDescent="0.25">
      <c r="A11" s="1" t="s">
        <v>173</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D11"/>
  <sheetViews>
    <sheetView workbookViewId="0"/>
  </sheetViews>
  <sheetFormatPr defaultRowHeight="15" x14ac:dyDescent="0.25"/>
  <cols>
    <col min="1" max="1" width="29.85546875" customWidth="1"/>
    <col min="2" max="28" width="13.1406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Calculations!F57</f>
        <v>1774425093499554.5</v>
      </c>
      <c r="C2" s="7">
        <f>Calculations!G57</f>
        <v>1715198585930543.3</v>
      </c>
      <c r="D2" s="7">
        <f>Calculations!H57</f>
        <v>1752514977090585</v>
      </c>
      <c r="E2" s="7">
        <f>Calculations!I57</f>
        <v>1792205567230632.3</v>
      </c>
      <c r="F2" s="7">
        <f>Calculations!J57</f>
        <v>1825609408564721.3</v>
      </c>
      <c r="G2" s="7">
        <f>Calculations!K57</f>
        <v>1850437675706306</v>
      </c>
      <c r="H2" s="7">
        <f>Calculations!L57</f>
        <v>1870788301141423.3</v>
      </c>
      <c r="I2" s="7">
        <f>Calculations!M57</f>
        <v>1888378513721363</v>
      </c>
      <c r="J2" s="7">
        <f>Calculations!N57</f>
        <v>1907014349550716.3</v>
      </c>
      <c r="K2" s="7">
        <f>Calculations!O57</f>
        <v>1924741972962033.8</v>
      </c>
      <c r="L2" s="7">
        <f>Calculations!P57</f>
        <v>1945076336760301</v>
      </c>
      <c r="M2" s="7">
        <f>Calculations!Q57</f>
        <v>1968499598478102.3</v>
      </c>
      <c r="N2" s="7">
        <f>Calculations!R57</f>
        <v>1996021605763781.8</v>
      </c>
      <c r="O2" s="7">
        <f>Calculations!S57</f>
        <v>2025798288998623.8</v>
      </c>
      <c r="P2" s="7">
        <f>Calculations!T57</f>
        <v>2054336648587387.5</v>
      </c>
      <c r="Q2" s="7">
        <f>Calculations!U57</f>
        <v>2084139350441188</v>
      </c>
      <c r="R2" s="7">
        <f>Calculations!V57</f>
        <v>2114961656925443.5</v>
      </c>
      <c r="S2" s="7">
        <f>Calculations!W57</f>
        <v>2144308219865619.5</v>
      </c>
      <c r="T2" s="7">
        <f>Calculations!X57</f>
        <v>2174188977576297.3</v>
      </c>
      <c r="U2" s="7">
        <f>Calculations!Y57</f>
        <v>2204639705658544.3</v>
      </c>
      <c r="V2" s="7">
        <f>Calculations!Z57</f>
        <v>2235221339917429</v>
      </c>
      <c r="W2" s="7">
        <f>Calculations!AA57</f>
        <v>2265903796324779</v>
      </c>
      <c r="X2" s="7">
        <f>Calculations!AB57</f>
        <v>2297052961709706</v>
      </c>
      <c r="Y2" s="7">
        <f>Calculations!AC57</f>
        <v>2328274491378612.5</v>
      </c>
      <c r="Z2" s="7">
        <f>Calculations!AD57</f>
        <v>2359787917428964.5</v>
      </c>
      <c r="AA2" s="7">
        <f>Calculations!AE57</f>
        <v>2392131500040475.5</v>
      </c>
      <c r="AB2" s="7">
        <f>Calculations!AF57</f>
        <v>2424859670363474</v>
      </c>
    </row>
    <row r="3" spans="1:30" x14ac:dyDescent="0.25">
      <c r="A3" s="1" t="s">
        <v>12</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25">
      <c r="A4" s="1" t="s">
        <v>13</v>
      </c>
      <c r="B4" s="7">
        <f>Calculations!F59</f>
        <v>494950562292560.44</v>
      </c>
      <c r="C4" s="7">
        <f>Calculations!G59</f>
        <v>499026541568849.69</v>
      </c>
      <c r="D4" s="7">
        <f>Calculations!H59</f>
        <v>502721185461021.63</v>
      </c>
      <c r="E4" s="7">
        <f>Calculations!I59</f>
        <v>505249056909252.69</v>
      </c>
      <c r="F4" s="7">
        <f>Calculations!J59</f>
        <v>506977668906338.56</v>
      </c>
      <c r="G4" s="7">
        <f>Calculations!K59</f>
        <v>508179403869505.31</v>
      </c>
      <c r="H4" s="7">
        <f>Calculations!L59</f>
        <v>508885971990609.56</v>
      </c>
      <c r="I4" s="7">
        <f>Calculations!M59</f>
        <v>508469674087266.19</v>
      </c>
      <c r="J4" s="7">
        <f>Calculations!N59</f>
        <v>506602025095118.56</v>
      </c>
      <c r="K4" s="7">
        <f>Calculations!O59</f>
        <v>504195302841415</v>
      </c>
      <c r="L4" s="7">
        <f>Calculations!P59</f>
        <v>502147962762082.06</v>
      </c>
      <c r="M4" s="7">
        <f>Calculations!Q59</f>
        <v>500791742248846.38</v>
      </c>
      <c r="N4" s="7">
        <f>Calculations!R59</f>
        <v>500163229984619.13</v>
      </c>
      <c r="O4" s="7">
        <f>Calculations!S59</f>
        <v>499980286570063.94</v>
      </c>
      <c r="P4" s="7">
        <f>Calculations!T59</f>
        <v>499958333360317.31</v>
      </c>
      <c r="Q4" s="7">
        <f>Calculations!U59</f>
        <v>500122575892495.63</v>
      </c>
      <c r="R4" s="7">
        <f>Calculations!V59</f>
        <v>500141276774872.5</v>
      </c>
      <c r="S4" s="7">
        <f>Calculations!W59</f>
        <v>499737175099166.13</v>
      </c>
      <c r="T4" s="7">
        <f>Calculations!X59</f>
        <v>499133055290212.88</v>
      </c>
      <c r="U4" s="7">
        <f>Calculations!Y59</f>
        <v>498470393588601.94</v>
      </c>
      <c r="V4" s="7">
        <f>Calculations!Z59</f>
        <v>497964656682587.19</v>
      </c>
      <c r="W4" s="7">
        <f>Calculations!AA59</f>
        <v>497510143932647.94</v>
      </c>
      <c r="X4" s="7">
        <f>Calculations!AB59</f>
        <v>496953182870557.75</v>
      </c>
      <c r="Y4" s="7">
        <f>Calculations!AC59</f>
        <v>496506800939043.06</v>
      </c>
      <c r="Z4" s="7">
        <f>Calculations!AD59</f>
        <v>496200269084432.94</v>
      </c>
      <c r="AA4" s="7">
        <f>Calculations!AE59</f>
        <v>495827877600582.88</v>
      </c>
      <c r="AB4" s="7">
        <f>Calculations!AF59</f>
        <v>495385561078280.5</v>
      </c>
    </row>
    <row r="5" spans="1:30" x14ac:dyDescent="0.25">
      <c r="A5" s="1" t="s">
        <v>14</v>
      </c>
      <c r="B5" s="7">
        <f>Calculations!F60</f>
        <v>20989707763296.363</v>
      </c>
      <c r="C5" s="7">
        <f>Calculations!G60</f>
        <v>21241763134461.262</v>
      </c>
      <c r="D5" s="7">
        <f>Calculations!H60</f>
        <v>21340959119242.289</v>
      </c>
      <c r="E5" s="7">
        <f>Calculations!I60</f>
        <v>21315753582125.797</v>
      </c>
      <c r="F5" s="7">
        <f>Calculations!J60</f>
        <v>21220623006557.109</v>
      </c>
      <c r="G5" s="7">
        <f>Calculations!K60</f>
        <v>21101099975714.398</v>
      </c>
      <c r="H5" s="7">
        <f>Calculations!L60</f>
        <v>20981576944871.691</v>
      </c>
      <c r="I5" s="7">
        <f>Calculations!M60</f>
        <v>20914091151946.891</v>
      </c>
      <c r="J5" s="7">
        <f>Calculations!N60</f>
        <v>20888885614830.406</v>
      </c>
      <c r="K5" s="7">
        <f>Calculations!O60</f>
        <v>20862866995871.449</v>
      </c>
      <c r="L5" s="7">
        <f>Calculations!P60</f>
        <v>20836035295070.023</v>
      </c>
      <c r="M5" s="7">
        <f>Calculations!Q60</f>
        <v>20803512021371.328</v>
      </c>
      <c r="N5" s="7">
        <f>Calculations!R60</f>
        <v>20777493402412.367</v>
      </c>
      <c r="O5" s="7">
        <f>Calculations!S60</f>
        <v>20744970128713.668</v>
      </c>
      <c r="P5" s="7">
        <f>Calculations!T60</f>
        <v>20718951509754.715</v>
      </c>
      <c r="Q5" s="7">
        <f>Calculations!U60</f>
        <v>20696185218165.625</v>
      </c>
      <c r="R5" s="7">
        <f>Calculations!V60</f>
        <v>20670166599206.672</v>
      </c>
      <c r="S5" s="7">
        <f>Calculations!W60</f>
        <v>20638456407350.441</v>
      </c>
      <c r="T5" s="7">
        <f>Calculations!X60</f>
        <v>20604306969966.809</v>
      </c>
      <c r="U5" s="7">
        <f>Calculations!Y60</f>
        <v>20569344450740.711</v>
      </c>
      <c r="V5" s="7">
        <f>Calculations!Z60</f>
        <v>20516494130980.328</v>
      </c>
      <c r="W5" s="7">
        <f>Calculations!AA60</f>
        <v>20491288593863.836</v>
      </c>
      <c r="X5" s="7">
        <f>Calculations!AB60</f>
        <v>20470148465959.684</v>
      </c>
      <c r="Y5" s="7">
        <f>Calculations!AC60</f>
        <v>20456326074637.742</v>
      </c>
      <c r="Z5" s="7">
        <f>Calculations!AD60</f>
        <v>20448195256213.066</v>
      </c>
      <c r="AA5" s="7">
        <f>Calculations!AE60</f>
        <v>20436812110418.52</v>
      </c>
      <c r="AB5" s="7">
        <f>Calculations!AF60</f>
        <v>20414045818829.434</v>
      </c>
    </row>
    <row r="6" spans="1:30" x14ac:dyDescent="0.25">
      <c r="A6" s="1" t="s">
        <v>16</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25">
      <c r="A7" s="1" t="s">
        <v>73</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25">
      <c r="A8" s="1" t="s">
        <v>170</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25">
      <c r="A9" s="1" t="s">
        <v>171</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25">
      <c r="A10" s="1" t="s">
        <v>172</v>
      </c>
      <c r="B10" s="7">
        <f>Calculations!F65</f>
        <v>61209614182789.602</v>
      </c>
      <c r="C10" s="7">
        <f>Calculations!G65</f>
        <v>63527710515664.203</v>
      </c>
      <c r="D10" s="7">
        <f>Calculations!H65</f>
        <v>65710835262689.227</v>
      </c>
      <c r="E10" s="7">
        <f>Calculations!I65</f>
        <v>67782567797296.188</v>
      </c>
      <c r="F10" s="7">
        <f>Calculations!J65</f>
        <v>69814459321622.266</v>
      </c>
      <c r="G10" s="7">
        <f>Calculations!K65</f>
        <v>71813827572249.641</v>
      </c>
      <c r="H10" s="7">
        <f>Calculations!L65</f>
        <v>73735953047842.625</v>
      </c>
      <c r="I10" s="7">
        <f>Calculations!M65</f>
        <v>75628807577106.766</v>
      </c>
      <c r="J10" s="7">
        <f>Calculations!N65</f>
        <v>77442793167651.563</v>
      </c>
      <c r="K10" s="7">
        <f>Calculations!O65</f>
        <v>79172218246579.766</v>
      </c>
      <c r="L10" s="7">
        <f>Calculations!P65</f>
        <v>80854484578644.859</v>
      </c>
      <c r="M10" s="7">
        <f>Calculations!Q65</f>
        <v>82595292803367.609</v>
      </c>
      <c r="N10" s="7">
        <f>Calculations!R65</f>
        <v>84443427831296.031</v>
      </c>
      <c r="O10" s="7">
        <f>Calculations!S65</f>
        <v>86373684125313.688</v>
      </c>
      <c r="P10" s="7">
        <f>Calculations!T65</f>
        <v>88353538411721.844</v>
      </c>
      <c r="Q10" s="7">
        <f>Calculations!U65</f>
        <v>90366729053671.172</v>
      </c>
      <c r="R10" s="7">
        <f>Calculations!V65</f>
        <v>92396994414312.297</v>
      </c>
      <c r="S10" s="7">
        <f>Calculations!W65</f>
        <v>94402867319679.422</v>
      </c>
      <c r="T10" s="7">
        <f>Calculations!X65</f>
        <v>96388413178984.859</v>
      </c>
      <c r="U10" s="7">
        <f>Calculations!Y65</f>
        <v>98339809600906.656</v>
      </c>
      <c r="V10" s="7">
        <f>Calculations!Z65</f>
        <v>100302589168623</v>
      </c>
      <c r="W10" s="7">
        <f>Calculations!AA65</f>
        <v>102270247227394.16</v>
      </c>
      <c r="X10" s="7">
        <f>Calculations!AB65</f>
        <v>104276120132761.27</v>
      </c>
      <c r="Y10" s="7">
        <f>Calculations!AC65</f>
        <v>106338908767101.11</v>
      </c>
      <c r="Z10" s="7">
        <f>Calculations!AD65</f>
        <v>108439912248036.89</v>
      </c>
      <c r="AA10" s="7">
        <f>Calculations!AE65</f>
        <v>110514084028171.3</v>
      </c>
      <c r="AB10" s="7">
        <f>Calculations!AF65</f>
        <v>112499629887476.73</v>
      </c>
    </row>
    <row r="11" spans="1:30" x14ac:dyDescent="0.25">
      <c r="A11" s="1" t="s">
        <v>173</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D11"/>
  <sheetViews>
    <sheetView workbookViewId="0"/>
  </sheetViews>
  <sheetFormatPr defaultRowHeight="15" x14ac:dyDescent="0.25"/>
  <cols>
    <col min="1" max="1" width="29.85546875" customWidth="1"/>
    <col min="2" max="28" width="10.285156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Calculations!F70</f>
        <v>98704189184813.391</v>
      </c>
      <c r="C2" s="7">
        <f>Calculations!G70</f>
        <v>108891415688496.72</v>
      </c>
      <c r="D2" s="7">
        <f>Calculations!H70</f>
        <v>109448992552416.41</v>
      </c>
      <c r="E2" s="7">
        <f>Calculations!I70</f>
        <v>110129935400307.63</v>
      </c>
      <c r="F2" s="7">
        <f>Calculations!J70</f>
        <v>110263768801100.95</v>
      </c>
      <c r="G2" s="7">
        <f>Calculations!K70</f>
        <v>109611050594997.17</v>
      </c>
      <c r="H2" s="7">
        <f>Calculations!L70</f>
        <v>108515523273698.7</v>
      </c>
      <c r="I2" s="7">
        <f>Calculations!M70</f>
        <v>107215320569902.05</v>
      </c>
      <c r="J2" s="7">
        <f>Calculations!N70</f>
        <v>105933809681858.66</v>
      </c>
      <c r="K2" s="7">
        <f>Calculations!O70</f>
        <v>104809870800615.22</v>
      </c>
      <c r="L2" s="7">
        <f>Calculations!P70</f>
        <v>103659576459159.72</v>
      </c>
      <c r="M2" s="7">
        <f>Calculations!Q70</f>
        <v>102862744353598.33</v>
      </c>
      <c r="N2" s="7">
        <f>Calculations!R70</f>
        <v>102367037399821.89</v>
      </c>
      <c r="O2" s="7">
        <f>Calculations!S70</f>
        <v>101925536711729.94</v>
      </c>
      <c r="P2" s="7">
        <f>Calculations!T70</f>
        <v>101317305027118.92</v>
      </c>
      <c r="Q2" s="7">
        <f>Calculations!U70</f>
        <v>100672437383631.5</v>
      </c>
      <c r="R2" s="7">
        <f>Calculations!V70</f>
        <v>99992242208370.422</v>
      </c>
      <c r="S2" s="7">
        <f>Calculations!W70</f>
        <v>99221391726706.047</v>
      </c>
      <c r="T2" s="7">
        <f>Calculations!X70</f>
        <v>98473719096575.719</v>
      </c>
      <c r="U2" s="7">
        <f>Calculations!Y70</f>
        <v>97733336274589.156</v>
      </c>
      <c r="V2" s="7">
        <f>Calculations!Z70</f>
        <v>96884914757548.781</v>
      </c>
      <c r="W2" s="7">
        <f>Calculations!AA70</f>
        <v>95987146846919.781</v>
      </c>
      <c r="X2" s="7">
        <f>Calculations!AB70</f>
        <v>95019471545373.609</v>
      </c>
      <c r="Y2" s="7">
        <f>Calculations!AC70</f>
        <v>94006375131547</v>
      </c>
      <c r="Z2" s="7">
        <f>Calculations!AD70</f>
        <v>92973652311179.469</v>
      </c>
      <c r="AA2" s="7">
        <f>Calculations!AE70</f>
        <v>92002612482797.688</v>
      </c>
      <c r="AB2" s="7">
        <f>Calculations!AF70</f>
        <v>90991759086861.5</v>
      </c>
    </row>
    <row r="3" spans="1:30" x14ac:dyDescent="0.25">
      <c r="A3" s="1" t="s">
        <v>12</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25">
      <c r="A4" s="1" t="s">
        <v>13</v>
      </c>
      <c r="B4" s="7">
        <f>Calculations!F72</f>
        <v>519242192827653.25</v>
      </c>
      <c r="C4" s="7">
        <f>Calculations!G72</f>
        <v>584425788067675.88</v>
      </c>
      <c r="D4" s="7">
        <f>Calculations!H72</f>
        <v>587222831376993.5</v>
      </c>
      <c r="E4" s="7">
        <f>Calculations!I72</f>
        <v>588192375860115</v>
      </c>
      <c r="F4" s="7">
        <f>Calculations!J72</f>
        <v>587557041042661.75</v>
      </c>
      <c r="G4" s="7">
        <f>Calculations!K72</f>
        <v>584431582530559.38</v>
      </c>
      <c r="H4" s="7">
        <f>Calculations!L72</f>
        <v>580028164575406.75</v>
      </c>
      <c r="I4" s="7">
        <f>Calculations!M72</f>
        <v>573818556464016.75</v>
      </c>
      <c r="J4" s="7">
        <f>Calculations!N72</f>
        <v>565638083299603.25</v>
      </c>
      <c r="K4" s="7">
        <f>Calculations!O72</f>
        <v>558442481907229</v>
      </c>
      <c r="L4" s="7">
        <f>Calculations!P72</f>
        <v>550808931271755.81</v>
      </c>
      <c r="M4" s="7">
        <f>Calculations!Q72</f>
        <v>544342871448231.25</v>
      </c>
      <c r="N4" s="7">
        <f>Calculations!R72</f>
        <v>538988040071237.81</v>
      </c>
      <c r="O4" s="7">
        <f>Calculations!S72</f>
        <v>534267235084594.81</v>
      </c>
      <c r="P4" s="7">
        <f>Calculations!T72</f>
        <v>529781386221970.38</v>
      </c>
      <c r="Q4" s="7">
        <f>Calculations!U72</f>
        <v>525527876629158.88</v>
      </c>
      <c r="R4" s="7">
        <f>Calculations!V72</f>
        <v>521085953533554.56</v>
      </c>
      <c r="S4" s="7">
        <f>Calculations!W72</f>
        <v>516083836719825.19</v>
      </c>
      <c r="T4" s="7">
        <f>Calculations!X72</f>
        <v>510977793410507.5</v>
      </c>
      <c r="U4" s="7">
        <f>Calculations!Y72</f>
        <v>505896423297984.31</v>
      </c>
      <c r="V4" s="7">
        <f>Calculations!Z72</f>
        <v>501102346393588.5</v>
      </c>
      <c r="W4" s="7">
        <f>Calculations!AA72</f>
        <v>496684722658463.5</v>
      </c>
      <c r="X4" s="7">
        <f>Calculations!AB72</f>
        <v>492381118999433.31</v>
      </c>
      <c r="Y4" s="7">
        <f>Calculations!AC72</f>
        <v>488212096413826.56</v>
      </c>
      <c r="Z4" s="7">
        <f>Calculations!AD72</f>
        <v>484216720796567.63</v>
      </c>
      <c r="AA4" s="7">
        <f>Calculations!AE72</f>
        <v>480317047275965.38</v>
      </c>
      <c r="AB4" s="7">
        <f>Calculations!AF72</f>
        <v>476336251274993.88</v>
      </c>
    </row>
    <row r="5" spans="1:30" x14ac:dyDescent="0.25">
      <c r="A5" s="1" t="s">
        <v>14</v>
      </c>
      <c r="B5" s="7">
        <f>Calculations!F73</f>
        <v>70988151704039.5</v>
      </c>
      <c r="C5" s="7">
        <f>Calculations!G73</f>
        <v>76813456083542.453</v>
      </c>
      <c r="D5" s="7">
        <f>Calculations!H73</f>
        <v>75942978223913.219</v>
      </c>
      <c r="E5" s="7">
        <f>Calculations!I73</f>
        <v>74678663806362.828</v>
      </c>
      <c r="F5" s="7">
        <f>Calculations!J73</f>
        <v>73209860924471.797</v>
      </c>
      <c r="G5" s="7">
        <f>Calculations!K73</f>
        <v>71702739820286.563</v>
      </c>
      <c r="H5" s="7">
        <f>Calculations!L73</f>
        <v>70220478831053.172</v>
      </c>
      <c r="I5" s="7">
        <f>Calculations!M73</f>
        <v>68917846191208.609</v>
      </c>
      <c r="J5" s="7">
        <f>Calculations!N73</f>
        <v>67772785558164</v>
      </c>
      <c r="K5" s="7">
        <f>Calculations!O73</f>
        <v>66751464745405.969</v>
      </c>
      <c r="L5" s="7">
        <f>Calculations!P73</f>
        <v>65678741439326.477</v>
      </c>
      <c r="M5" s="7">
        <f>Calculations!Q73</f>
        <v>64628261393993.359</v>
      </c>
      <c r="N5" s="7">
        <f>Calculations!R73</f>
        <v>63623576297255.734</v>
      </c>
      <c r="O5" s="7">
        <f>Calculations!S73</f>
        <v>62632536226017.969</v>
      </c>
      <c r="P5" s="7">
        <f>Calculations!T73</f>
        <v>61672524568930.625</v>
      </c>
      <c r="Q5" s="7">
        <f>Calculations!U73</f>
        <v>60739802962843.039</v>
      </c>
      <c r="R5" s="7">
        <f>Calculations!V73</f>
        <v>59814371164899.211</v>
      </c>
      <c r="S5" s="7">
        <f>Calculations!W73</f>
        <v>58896789929571.758</v>
      </c>
      <c r="T5" s="7">
        <f>Calculations!X73</f>
        <v>58005190318141.336</v>
      </c>
      <c r="U5" s="7">
        <f>Calculations!Y73</f>
        <v>57142189184813.406</v>
      </c>
      <c r="V5" s="7">
        <f>Calculations!Z73</f>
        <v>56262365417307.531</v>
      </c>
      <c r="W5" s="7">
        <f>Calculations!AA73</f>
        <v>55477869910143.281</v>
      </c>
      <c r="X5" s="7">
        <f>Calculations!AB73</f>
        <v>54719542945033.594</v>
      </c>
      <c r="Y5" s="7">
        <f>Calculations!AC73</f>
        <v>53992244394074.313</v>
      </c>
      <c r="Z5" s="7">
        <f>Calculations!AD73</f>
        <v>53285319922286.086</v>
      </c>
      <c r="AA5" s="7">
        <f>Calculations!AE73</f>
        <v>52592414312312.797</v>
      </c>
      <c r="AB5" s="7">
        <f>Calculations!AF73</f>
        <v>51884555249736.914</v>
      </c>
    </row>
    <row r="6" spans="1:30" x14ac:dyDescent="0.25">
      <c r="A6" s="1" t="s">
        <v>16</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25">
      <c r="A7" s="1" t="s">
        <v>73</v>
      </c>
      <c r="B7" s="7">
        <f>Calculations!F75</f>
        <v>66838755524973.688</v>
      </c>
      <c r="C7" s="7">
        <f>Calculations!G75</f>
        <v>68242697806200.914</v>
      </c>
      <c r="D7" s="7">
        <f>Calculations!H75</f>
        <v>65917435926495.586</v>
      </c>
      <c r="E7" s="7">
        <f>Calculations!I75</f>
        <v>64915741520278.469</v>
      </c>
      <c r="F7" s="7">
        <f>Calculations!J75</f>
        <v>64620971585849.594</v>
      </c>
      <c r="G7" s="7">
        <f>Calculations!K75</f>
        <v>64580784181980.086</v>
      </c>
      <c r="H7" s="7">
        <f>Calculations!L75</f>
        <v>64540970614425.641</v>
      </c>
      <c r="I7" s="7">
        <f>Calculations!M75</f>
        <v>64019282036752.211</v>
      </c>
      <c r="J7" s="7">
        <f>Calculations!N75</f>
        <v>63046559944952.648</v>
      </c>
      <c r="K7" s="7">
        <f>Calculations!O75</f>
        <v>62213465716829.922</v>
      </c>
      <c r="L7" s="7">
        <f>Calculations!P75</f>
        <v>61352894519549.906</v>
      </c>
      <c r="M7" s="7">
        <f>Calculations!Q75</f>
        <v>60554940905043.305</v>
      </c>
      <c r="N7" s="7">
        <f>Calculations!R75</f>
        <v>59698108070913.945</v>
      </c>
      <c r="O7" s="7">
        <f>Calculations!S75</f>
        <v>58920528535578.391</v>
      </c>
      <c r="P7" s="7">
        <f>Calculations!T75</f>
        <v>58134911519468.961</v>
      </c>
      <c r="Q7" s="7">
        <f>Calculations!U75</f>
        <v>57302378045818.828</v>
      </c>
      <c r="R7" s="7">
        <f>Calculations!V75</f>
        <v>56483302679511.047</v>
      </c>
      <c r="S7" s="7">
        <f>Calculations!W75</f>
        <v>55720302760463.039</v>
      </c>
      <c r="T7" s="7">
        <f>Calculations!X75</f>
        <v>55024406459969.234</v>
      </c>
      <c r="U7" s="7">
        <f>Calculations!Y75</f>
        <v>54383837934105.07</v>
      </c>
      <c r="V7" s="7">
        <f>Calculations!Z75</f>
        <v>53932617501821.422</v>
      </c>
      <c r="W7" s="7">
        <f>Calculations!AA75</f>
        <v>53259525216546.586</v>
      </c>
      <c r="X7" s="7">
        <f>Calculations!AB75</f>
        <v>52594470412045.648</v>
      </c>
      <c r="Y7" s="7">
        <f>Calculations!AC75</f>
        <v>51905677001538.086</v>
      </c>
      <c r="Z7" s="7">
        <f>Calculations!AD75</f>
        <v>51191649639763.625</v>
      </c>
      <c r="AA7" s="7">
        <f>Calculations!AE75</f>
        <v>50574819719906.094</v>
      </c>
      <c r="AB7" s="7">
        <f>Calculations!AF75</f>
        <v>50103412126608.922</v>
      </c>
    </row>
    <row r="8" spans="1:30" x14ac:dyDescent="0.25">
      <c r="A8" s="1" t="s">
        <v>170</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25">
      <c r="A9" s="1" t="s">
        <v>171</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25">
      <c r="A10" s="1" t="s">
        <v>172</v>
      </c>
      <c r="B10" s="7">
        <f>Calculations!F78</f>
        <v>56682370517283.25</v>
      </c>
      <c r="C10" s="7">
        <f>Calculations!G78</f>
        <v>63110672872986.313</v>
      </c>
      <c r="D10" s="7">
        <f>Calculations!H78</f>
        <v>62414963490650.039</v>
      </c>
      <c r="E10" s="7">
        <f>Calculations!I78</f>
        <v>61575140208856.148</v>
      </c>
      <c r="F10" s="7">
        <f>Calculations!J78</f>
        <v>60657745891686.234</v>
      </c>
      <c r="G10" s="7">
        <f>Calculations!K78</f>
        <v>59625770743948.836</v>
      </c>
      <c r="H10" s="7">
        <f>Calculations!L78</f>
        <v>58471738039342.664</v>
      </c>
      <c r="I10" s="7">
        <f>Calculations!M78</f>
        <v>57275835667449.203</v>
      </c>
      <c r="J10" s="7">
        <f>Calculations!N78</f>
        <v>56062923743220.273</v>
      </c>
      <c r="K10" s="7">
        <f>Calculations!O78</f>
        <v>54914872419655.148</v>
      </c>
      <c r="L10" s="7">
        <f>Calculations!P78</f>
        <v>53735418845624.539</v>
      </c>
      <c r="M10" s="7">
        <f>Calculations!Q78</f>
        <v>52653723467983.484</v>
      </c>
      <c r="N10" s="7">
        <f>Calculations!R78</f>
        <v>51690347284060.547</v>
      </c>
      <c r="O10" s="7">
        <f>Calculations!S78</f>
        <v>50828841495992.875</v>
      </c>
      <c r="P10" s="7">
        <f>Calculations!T78</f>
        <v>50033504735691.734</v>
      </c>
      <c r="Q10" s="7">
        <f>Calculations!U78</f>
        <v>49298729458431.156</v>
      </c>
      <c r="R10" s="7">
        <f>Calculations!V78</f>
        <v>48613861329231.766</v>
      </c>
      <c r="S10" s="7">
        <f>Calculations!W78</f>
        <v>47953292560511.617</v>
      </c>
      <c r="T10" s="7">
        <f>Calculations!X78</f>
        <v>47316088561483.031</v>
      </c>
      <c r="U10" s="7">
        <f>Calculations!Y78</f>
        <v>46695146442159.805</v>
      </c>
      <c r="V10" s="7">
        <f>Calculations!Z78</f>
        <v>46104298146199.305</v>
      </c>
      <c r="W10" s="7">
        <f>Calculations!AA78</f>
        <v>45546347445964.547</v>
      </c>
      <c r="X10" s="7">
        <f>Calculations!AB78</f>
        <v>45038677730106.047</v>
      </c>
      <c r="Y10" s="7">
        <f>Calculations!AC78</f>
        <v>44543905367117.297</v>
      </c>
      <c r="Z10" s="7">
        <f>Calculations!AD78</f>
        <v>44054553630697</v>
      </c>
      <c r="AA10" s="7">
        <f>Calculations!AE78</f>
        <v>43556416740872.664</v>
      </c>
      <c r="AB10" s="7">
        <f>Calculations!AF78</f>
        <v>43021456974014.414</v>
      </c>
    </row>
    <row r="11" spans="1:30" x14ac:dyDescent="0.25">
      <c r="A11" s="1" t="s">
        <v>173</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11"/>
  <sheetViews>
    <sheetView workbookViewId="0"/>
  </sheetViews>
  <sheetFormatPr defaultRowHeight="15" x14ac:dyDescent="0.25"/>
  <cols>
    <col min="1" max="1" width="29.85546875" customWidth="1"/>
    <col min="2" max="28" width="12.285156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Calculations!F83</f>
        <v>212086687444345.47</v>
      </c>
      <c r="C2" s="7">
        <f>Calculations!G83</f>
        <v>207661400064761.59</v>
      </c>
      <c r="D2" s="7">
        <f>Calculations!H83</f>
        <v>211586681372945.88</v>
      </c>
      <c r="E2" s="7">
        <f>Calculations!I83</f>
        <v>215322240751234.5</v>
      </c>
      <c r="F2" s="7">
        <f>Calculations!J83</f>
        <v>217849187322917.5</v>
      </c>
      <c r="G2" s="7">
        <f>Calculations!K83</f>
        <v>218974247713106.13</v>
      </c>
      <c r="H2" s="7">
        <f>Calculations!L83</f>
        <v>219580984052456.88</v>
      </c>
      <c r="I2" s="7">
        <f>Calculations!M83</f>
        <v>219828463693030.06</v>
      </c>
      <c r="J2" s="7">
        <f>Calculations!N83</f>
        <v>220246786529587.97</v>
      </c>
      <c r="K2" s="7">
        <f>Calculations!O83</f>
        <v>221567550230713.16</v>
      </c>
      <c r="L2" s="7">
        <f>Calculations!P83</f>
        <v>223221215170403.94</v>
      </c>
      <c r="M2" s="7">
        <f>Calculations!Q83</f>
        <v>225652085809115.19</v>
      </c>
      <c r="N2" s="7">
        <f>Calculations!R83</f>
        <v>228811376507730.94</v>
      </c>
      <c r="O2" s="7">
        <f>Calculations!S83</f>
        <v>232349363393507.69</v>
      </c>
      <c r="P2" s="7">
        <f>Calculations!T83</f>
        <v>235649964219218</v>
      </c>
      <c r="Q2" s="7">
        <f>Calculations!U83</f>
        <v>239061968266817.78</v>
      </c>
      <c r="R2" s="7">
        <f>Calculations!V83</f>
        <v>242432663401602.84</v>
      </c>
      <c r="S2" s="7">
        <f>Calculations!W83</f>
        <v>245797003319031.78</v>
      </c>
      <c r="T2" s="7">
        <f>Calculations!X83</f>
        <v>249073117866105.41</v>
      </c>
      <c r="U2" s="7">
        <f>Calculations!Y83</f>
        <v>252364933538411.72</v>
      </c>
      <c r="V2" s="7">
        <f>Calculations!Z83</f>
        <v>255592449364526.81</v>
      </c>
      <c r="W2" s="7">
        <f>Calculations!AA83</f>
        <v>258745945600259.03</v>
      </c>
      <c r="X2" s="7">
        <f>Calculations!AB83</f>
        <v>261842057961628.75</v>
      </c>
      <c r="Y2" s="7">
        <f>Calculations!AC83</f>
        <v>264918356998299.97</v>
      </c>
      <c r="Z2" s="7">
        <f>Calculations!AD83</f>
        <v>268019142313608.03</v>
      </c>
      <c r="AA2" s="7">
        <f>Calculations!AE83</f>
        <v>271210022180846.72</v>
      </c>
      <c r="AB2" s="7">
        <f>Calculations!AF83</f>
        <v>274399219784667.63</v>
      </c>
    </row>
    <row r="3" spans="1:30" x14ac:dyDescent="0.25">
      <c r="A3" s="1" t="s">
        <v>12</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25">
      <c r="A4" s="1" t="s">
        <v>13</v>
      </c>
      <c r="B4" s="7">
        <f>Calculations!F85</f>
        <v>11869116085161.498</v>
      </c>
      <c r="C4" s="7">
        <f>Calculations!G85</f>
        <v>11409110499473.811</v>
      </c>
      <c r="D4" s="7">
        <f>Calculations!H85</f>
        <v>11488737634582.693</v>
      </c>
      <c r="E4" s="7">
        <f>Calculations!I85</f>
        <v>11501261151137.375</v>
      </c>
      <c r="F4" s="7">
        <f>Calculations!J85</f>
        <v>11473597263822.553</v>
      </c>
      <c r="G4" s="7">
        <f>Calculations!K85</f>
        <v>11429484578644.863</v>
      </c>
      <c r="H4" s="7">
        <f>Calculations!L85</f>
        <v>11386680320569.902</v>
      </c>
      <c r="I4" s="7">
        <f>Calculations!M85</f>
        <v>11339390026714.158</v>
      </c>
      <c r="J4" s="7">
        <f>Calculations!N85</f>
        <v>11288922124180.359</v>
      </c>
      <c r="K4" s="7">
        <f>Calculations!O85</f>
        <v>11242566421112.279</v>
      </c>
      <c r="L4" s="7">
        <f>Calculations!P85</f>
        <v>11201444426455.111</v>
      </c>
      <c r="M4" s="7">
        <f>Calculations!Q85</f>
        <v>11179014247551.201</v>
      </c>
      <c r="N4" s="7">
        <f>Calculations!R85</f>
        <v>11177518902290.941</v>
      </c>
      <c r="O4" s="7">
        <f>Calculations!S85</f>
        <v>11190416255160.689</v>
      </c>
      <c r="P4" s="7">
        <f>Calculations!T85</f>
        <v>11208547316441.35</v>
      </c>
      <c r="Q4" s="7">
        <f>Calculations!U85</f>
        <v>11240697239536.955</v>
      </c>
      <c r="R4" s="7">
        <f>Calculations!V85</f>
        <v>11276959362098.275</v>
      </c>
      <c r="S4" s="7">
        <f>Calculations!W85</f>
        <v>11315838338865.055</v>
      </c>
      <c r="T4" s="7">
        <f>Calculations!X85</f>
        <v>11355464988261.961</v>
      </c>
      <c r="U4" s="7">
        <f>Calculations!Y85</f>
        <v>11397334655549.26</v>
      </c>
      <c r="V4" s="7">
        <f>Calculations!Z85</f>
        <v>11438643568363.961</v>
      </c>
      <c r="W4" s="7">
        <f>Calculations!AA85</f>
        <v>11476961790658.139</v>
      </c>
      <c r="X4" s="7">
        <f>Calculations!AB85</f>
        <v>11514532340322.188</v>
      </c>
      <c r="Y4" s="7">
        <f>Calculations!AC85</f>
        <v>11550233708410.912</v>
      </c>
      <c r="Z4" s="7">
        <f>Calculations!AD85</f>
        <v>11588365012547.559</v>
      </c>
      <c r="AA4" s="7">
        <f>Calculations!AE85</f>
        <v>11626122480369.139</v>
      </c>
      <c r="AB4" s="7">
        <f>Calculations!AF85</f>
        <v>11662197684772.93</v>
      </c>
    </row>
    <row r="5" spans="1:30" x14ac:dyDescent="0.25">
      <c r="A5" s="1" t="s">
        <v>14</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25">
      <c r="A6" s="1" t="s">
        <v>16</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25">
      <c r="A7" s="1" t="s">
        <v>73</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25">
      <c r="A8" s="1" t="s">
        <v>170</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25">
      <c r="A9" s="1" t="s">
        <v>171</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25">
      <c r="A10" s="1" t="s">
        <v>172</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25">
      <c r="A11" s="1" t="s">
        <v>173</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Calculations!F96</f>
        <v>35023042095037.641</v>
      </c>
      <c r="C2" s="7">
        <f>Calculations!G96</f>
        <v>34652757224965.594</v>
      </c>
      <c r="D2" s="7">
        <f>Calculations!H96</f>
        <v>34946966404921.875</v>
      </c>
      <c r="E2" s="7">
        <f>Calculations!I96</f>
        <v>35632582206751.398</v>
      </c>
      <c r="F2" s="7">
        <f>Calculations!J96</f>
        <v>36211093904314.742</v>
      </c>
      <c r="G2" s="7">
        <f>Calculations!K96</f>
        <v>36561939286003.398</v>
      </c>
      <c r="H2" s="7">
        <f>Calculations!L96</f>
        <v>36480069133004.125</v>
      </c>
      <c r="I2" s="7">
        <f>Calculations!M96</f>
        <v>36361376102970.938</v>
      </c>
      <c r="J2" s="7">
        <f>Calculations!N96</f>
        <v>36321936371731.563</v>
      </c>
      <c r="K2" s="7">
        <f>Calculations!O96</f>
        <v>36289973366793.484</v>
      </c>
      <c r="L2" s="7">
        <f>Calculations!P96</f>
        <v>36337637496964.297</v>
      </c>
      <c r="M2" s="7">
        <f>Calculations!Q96</f>
        <v>36501003966647.781</v>
      </c>
      <c r="N2" s="7">
        <f>Calculations!R96</f>
        <v>36747922852748.32</v>
      </c>
      <c r="O2" s="7">
        <f>Calculations!S96</f>
        <v>37022318708006.148</v>
      </c>
      <c r="P2" s="7">
        <f>Calculations!T96</f>
        <v>37251667287298.633</v>
      </c>
      <c r="Q2" s="7">
        <f>Calculations!U96</f>
        <v>37510922771796.32</v>
      </c>
      <c r="R2" s="7">
        <f>Calculations!V96</f>
        <v>37158955881162.469</v>
      </c>
      <c r="S2" s="7">
        <f>Calculations!W96</f>
        <v>36855026957014.484</v>
      </c>
      <c r="T2" s="7">
        <f>Calculations!X96</f>
        <v>36624930705091.883</v>
      </c>
      <c r="U2" s="7">
        <f>Calculations!Y96</f>
        <v>36475209260908.281</v>
      </c>
      <c r="V2" s="7">
        <f>Calculations!Z96</f>
        <v>36394086780539.141</v>
      </c>
      <c r="W2" s="7">
        <f>Calculations!AA96</f>
        <v>36349600259046.383</v>
      </c>
      <c r="X2" s="7">
        <f>Calculations!AB96</f>
        <v>36314085809115.195</v>
      </c>
      <c r="Y2" s="7">
        <f>Calculations!AC96</f>
        <v>36281935886019.594</v>
      </c>
      <c r="Z2" s="7">
        <f>Calculations!AD96</f>
        <v>36277262932081.281</v>
      </c>
      <c r="AA2" s="7">
        <f>Calculations!AE96</f>
        <v>36300814619930.375</v>
      </c>
      <c r="AB2" s="7">
        <f>Calculations!AF96</f>
        <v>36329973852505.461</v>
      </c>
    </row>
    <row r="3" spans="1:30" x14ac:dyDescent="0.25">
      <c r="A3" s="1" t="s">
        <v>12</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25">
      <c r="A4" s="1" t="s">
        <v>13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25">
      <c r="A5" s="1" t="s">
        <v>14</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25">
      <c r="A6" s="1" t="s">
        <v>16</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25">
      <c r="A7" s="1" t="s">
        <v>73</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25">
      <c r="A8" s="1" t="s">
        <v>170</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25">
      <c r="A9" s="1" t="s">
        <v>171</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25">
      <c r="A10" s="1" t="s">
        <v>172</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25">
      <c r="A11" s="1" t="s">
        <v>173</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5" x14ac:dyDescent="0.25"/>
  <cols>
    <col min="1" max="1" width="29.85546875" customWidth="1"/>
    <col min="2" max="26" width="9.5703125" bestFit="1" customWidth="1"/>
    <col min="27" max="27" width="10.28515625" bestFit="1" customWidth="1"/>
    <col min="28"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Calculations!F109</f>
        <v>231978517768962.97</v>
      </c>
      <c r="C2" s="7">
        <f>Calculations!G109</f>
        <v>315227752934509.81</v>
      </c>
      <c r="D2" s="7">
        <f>Calculations!H109</f>
        <v>312300801505707.13</v>
      </c>
      <c r="E2" s="7">
        <f>Calculations!I109</f>
        <v>309502262851129.19</v>
      </c>
      <c r="F2" s="7">
        <f>Calculations!J109</f>
        <v>305429503116651.81</v>
      </c>
      <c r="G2" s="7">
        <f>Calculations!K109</f>
        <v>295850627618511.63</v>
      </c>
      <c r="H2" s="7">
        <f>Calculations!L109</f>
        <v>288853465712211.25</v>
      </c>
      <c r="I2" s="7">
        <f>Calculations!M109</f>
        <v>281541159792311.06</v>
      </c>
      <c r="J2" s="7">
        <f>Calculations!N109</f>
        <v>274530726696826.03</v>
      </c>
      <c r="K2" s="7">
        <f>Calculations!O109</f>
        <v>267984972140967</v>
      </c>
      <c r="L2" s="7">
        <f>Calculations!P109</f>
        <v>262057169013910.69</v>
      </c>
      <c r="M2" s="7">
        <f>Calculations!Q109</f>
        <v>256907319258505.03</v>
      </c>
      <c r="N2" s="7">
        <f>Calculations!R109</f>
        <v>252547198718674.38</v>
      </c>
      <c r="O2" s="7">
        <f>Calculations!S109</f>
        <v>248819609223934.13</v>
      </c>
      <c r="P2" s="7">
        <f>Calculations!T109</f>
        <v>245531090481237.84</v>
      </c>
      <c r="Q2" s="7">
        <f>Calculations!U109</f>
        <v>242781643704865.59</v>
      </c>
      <c r="R2" s="7">
        <f>Calculations!V109</f>
        <v>240526969291482.03</v>
      </c>
      <c r="S2" s="7">
        <f>Calculations!W109</f>
        <v>238707066512519.28</v>
      </c>
      <c r="T2" s="7">
        <f>Calculations!X109</f>
        <v>239331373158678.09</v>
      </c>
      <c r="U2" s="7">
        <f>Calculations!Y109</f>
        <v>240330824547004.81</v>
      </c>
      <c r="V2" s="7">
        <f>Calculations!Z109</f>
        <v>241319808518509.72</v>
      </c>
      <c r="W2" s="7">
        <f>Calculations!AA109</f>
        <v>242339260149692.47</v>
      </c>
      <c r="X2" s="7">
        <f>Calculations!AB109</f>
        <v>243395160821593.97</v>
      </c>
      <c r="Y2" s="7">
        <f>Calculations!AC109</f>
        <v>244502090150501.94</v>
      </c>
      <c r="Z2" s="7">
        <f>Calculations!AD109</f>
        <v>245609954070197.53</v>
      </c>
      <c r="AA2" s="7">
        <f>Calculations!AE109</f>
        <v>246739500496166.94</v>
      </c>
      <c r="AB2" s="7">
        <f>Calculations!AF109</f>
        <v>247868112331348.69</v>
      </c>
    </row>
    <row r="3" spans="1:30" x14ac:dyDescent="0.25">
      <c r="A3" s="1" t="s">
        <v>12</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25">
      <c r="A4" s="1" t="s">
        <v>13</v>
      </c>
      <c r="B4" s="7">
        <f>Calculations!F111</f>
        <v>215571776491540.5</v>
      </c>
      <c r="C4" s="7">
        <f>Calculations!G111</f>
        <v>217719092285274.81</v>
      </c>
      <c r="D4" s="7">
        <f>Calculations!H111</f>
        <v>220220057233060.75</v>
      </c>
      <c r="E4" s="7">
        <f>Calculations!I111</f>
        <v>222394102323322.28</v>
      </c>
      <c r="F4" s="7">
        <f>Calculations!J111</f>
        <v>224545904152837.38</v>
      </c>
      <c r="G4" s="7">
        <f>Calculations!K111</f>
        <v>224916002104751.88</v>
      </c>
      <c r="H4" s="7">
        <f>Calculations!L111</f>
        <v>225164416336112.66</v>
      </c>
      <c r="I4" s="7">
        <f>Calculations!M111</f>
        <v>225242548125961.31</v>
      </c>
      <c r="J4" s="7">
        <f>Calculations!N111</f>
        <v>224953572654415.97</v>
      </c>
      <c r="K4" s="7">
        <f>Calculations!O111</f>
        <v>225033760543997.41</v>
      </c>
      <c r="L4" s="7">
        <f>Calculations!P111</f>
        <v>225546663968266.84</v>
      </c>
      <c r="M4" s="7">
        <f>Calculations!Q111</f>
        <v>226575087671011.09</v>
      </c>
      <c r="N4" s="7">
        <f>Calculations!R111</f>
        <v>227623698534768.88</v>
      </c>
      <c r="O4" s="7">
        <f>Calculations!S111</f>
        <v>228701281712944.19</v>
      </c>
      <c r="P4" s="7">
        <f>Calculations!T111</f>
        <v>229698863919695.63</v>
      </c>
      <c r="Q4" s="7">
        <f>Calculations!U111</f>
        <v>230605977738201.25</v>
      </c>
      <c r="R4" s="7">
        <f>Calculations!V111</f>
        <v>231296079575811.56</v>
      </c>
      <c r="S4" s="7">
        <f>Calculations!W111</f>
        <v>231597765482069.16</v>
      </c>
      <c r="T4" s="7">
        <f>Calculations!X111</f>
        <v>231626737796486.69</v>
      </c>
      <c r="U4" s="7">
        <f>Calculations!Y111</f>
        <v>231432342912652.81</v>
      </c>
      <c r="V4" s="7">
        <f>Calculations!Z111</f>
        <v>231142993604792.38</v>
      </c>
      <c r="W4" s="7">
        <f>Calculations!AA111</f>
        <v>230761306727110.81</v>
      </c>
      <c r="X4" s="7">
        <f>Calculations!AB111</f>
        <v>230231580668663.44</v>
      </c>
      <c r="Y4" s="7">
        <f>Calculations!AC111</f>
        <v>229684097385250.56</v>
      </c>
      <c r="Z4" s="7">
        <f>Calculations!AD111</f>
        <v>229186521249898.81</v>
      </c>
      <c r="AA4" s="7">
        <f>Calculations!AE111</f>
        <v>228701094794786.69</v>
      </c>
      <c r="AB4" s="7">
        <f>Calculations!AF111</f>
        <v>228278659758763.06</v>
      </c>
    </row>
    <row r="5" spans="1:30" x14ac:dyDescent="0.25">
      <c r="A5" s="1" t="s">
        <v>14</v>
      </c>
      <c r="B5" s="7">
        <f>Calculations!F112</f>
        <v>7529063385412.4512</v>
      </c>
      <c r="C5" s="7">
        <f>Calculations!G112</f>
        <v>7133357645915.9727</v>
      </c>
      <c r="D5" s="7">
        <f>Calculations!H112</f>
        <v>6717651663563.5059</v>
      </c>
      <c r="E5" s="7">
        <f>Calculations!I112</f>
        <v>6295029709382.3369</v>
      </c>
      <c r="F5" s="7">
        <f>Calculations!J112</f>
        <v>5897080951995.4668</v>
      </c>
      <c r="G5" s="7">
        <f>Calculations!K112</f>
        <v>5522870800615.2344</v>
      </c>
      <c r="H5" s="7">
        <f>Calculations!L112</f>
        <v>5198380879138.6709</v>
      </c>
      <c r="I5" s="7">
        <f>Calculations!M112</f>
        <v>4933517849915</v>
      </c>
      <c r="J5" s="7">
        <f>Calculations!N112</f>
        <v>4724730267951.1045</v>
      </c>
      <c r="K5" s="7">
        <f>Calculations!O112</f>
        <v>4560803043795.0293</v>
      </c>
      <c r="L5" s="7">
        <f>Calculations!P112</f>
        <v>4442670768234.4375</v>
      </c>
      <c r="M5" s="7">
        <f>Calculations!Q112</f>
        <v>4369025014166.5986</v>
      </c>
      <c r="N5" s="7">
        <f>Calculations!R112</f>
        <v>4287715615639.9253</v>
      </c>
      <c r="O5" s="7">
        <f>Calculations!S112</f>
        <v>4201733263174.9365</v>
      </c>
      <c r="P5" s="7">
        <f>Calculations!T112</f>
        <v>4114629401764.7534</v>
      </c>
      <c r="Q5" s="7">
        <f>Calculations!U112</f>
        <v>4026217113251.8413</v>
      </c>
      <c r="R5" s="7">
        <f>Calculations!V112</f>
        <v>3936309479478.6694</v>
      </c>
      <c r="S5" s="7">
        <f>Calculations!W112</f>
        <v>3843971909657.5732</v>
      </c>
      <c r="T5" s="7">
        <f>Calculations!X112</f>
        <v>3750138994576.2168</v>
      </c>
      <c r="U5" s="7">
        <f>Calculations!Y112</f>
        <v>3655558406864.7295</v>
      </c>
      <c r="V5" s="7">
        <f>Calculations!Z112</f>
        <v>3557800210475.188</v>
      </c>
      <c r="W5" s="7">
        <f>Calculations!AA112</f>
        <v>3465275722496.5596</v>
      </c>
      <c r="X5" s="7">
        <f>Calculations!AB112</f>
        <v>3374059661620.6587</v>
      </c>
      <c r="Y5" s="7">
        <f>Calculations!AC112</f>
        <v>3285834291265.2798</v>
      </c>
      <c r="Z5" s="7">
        <f>Calculations!AD112</f>
        <v>3200786529587.9546</v>
      </c>
      <c r="AA5" s="7">
        <f>Calculations!AE112</f>
        <v>3118916376588.6826</v>
      </c>
      <c r="AB5" s="7">
        <f>Calculations!AF112</f>
        <v>3039476159637.335</v>
      </c>
    </row>
    <row r="6" spans="1:30" x14ac:dyDescent="0.25">
      <c r="A6" s="1" t="s">
        <v>16</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25">
      <c r="A7" s="1" t="s">
        <v>73</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25">
      <c r="A8" s="1" t="s">
        <v>170</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25">
      <c r="A9" s="1" t="s">
        <v>171</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25">
      <c r="A10" s="1" t="s">
        <v>172</v>
      </c>
      <c r="B10" s="7">
        <f>Calculations!F117</f>
        <v>12533983971504.898</v>
      </c>
      <c r="C10" s="7">
        <f>Calculations!G117</f>
        <v>12138465150165.949</v>
      </c>
      <c r="D10" s="7">
        <f>Calculations!H117</f>
        <v>11763320407998.059</v>
      </c>
      <c r="E10" s="7">
        <f>Calculations!I117</f>
        <v>11393409374241.076</v>
      </c>
      <c r="F10" s="7">
        <f>Calculations!J117</f>
        <v>11053218327531.773</v>
      </c>
      <c r="G10" s="7">
        <f>Calculations!K117</f>
        <v>10685737229822.713</v>
      </c>
      <c r="H10" s="7">
        <f>Calculations!L117</f>
        <v>10344424674168.219</v>
      </c>
      <c r="I10" s="7">
        <f>Calculations!M117</f>
        <v>10042551849753.096</v>
      </c>
      <c r="J10" s="7">
        <f>Calculations!N117</f>
        <v>9773389702906.1758</v>
      </c>
      <c r="K10" s="7">
        <f>Calculations!O117</f>
        <v>9550209422812.2715</v>
      </c>
      <c r="L10" s="7">
        <f>Calculations!P117</f>
        <v>9368338055533.0684</v>
      </c>
      <c r="M10" s="7">
        <f>Calculations!Q117</f>
        <v>9235439245527.4023</v>
      </c>
      <c r="N10" s="7">
        <f>Calculations!R117</f>
        <v>9097119808953.291</v>
      </c>
      <c r="O10" s="7">
        <f>Calculations!S117</f>
        <v>8957678863433.9844</v>
      </c>
      <c r="P10" s="7">
        <f>Calculations!T117</f>
        <v>8820107099490.002</v>
      </c>
      <c r="Q10" s="7">
        <f>Calculations!U117</f>
        <v>8684591435278.8789</v>
      </c>
      <c r="R10" s="7">
        <f>Calculations!V117</f>
        <v>8552627216060.876</v>
      </c>
      <c r="S10" s="7">
        <f>Calculations!W117</f>
        <v>8420476078685.3408</v>
      </c>
      <c r="T10" s="7">
        <f>Calculations!X117</f>
        <v>8288511859467.3359</v>
      </c>
      <c r="U10" s="7">
        <f>Calculations!Y117</f>
        <v>8152061604468.5498</v>
      </c>
      <c r="V10" s="7">
        <f>Calculations!Z117</f>
        <v>8014863676839.6338</v>
      </c>
      <c r="W10" s="7">
        <f>Calculations!AA117</f>
        <v>7877104994738.1191</v>
      </c>
      <c r="X10" s="7">
        <f>Calculations!AB117</f>
        <v>7741776248684.5293</v>
      </c>
      <c r="Y10" s="7">
        <f>Calculations!AC117</f>
        <v>7611868129199.3848</v>
      </c>
      <c r="Z10" s="7">
        <f>Calculations!AD117</f>
        <v>7487006799967.6191</v>
      </c>
      <c r="AA10" s="7">
        <f>Calculations!AE117</f>
        <v>7365509997571.4404</v>
      </c>
      <c r="AB10" s="7">
        <f>Calculations!AF117</f>
        <v>7245695458593.0537</v>
      </c>
    </row>
    <row r="11" spans="1:30" x14ac:dyDescent="0.25">
      <c r="A11" s="1" t="s">
        <v>173</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Calculations!F122</f>
        <v>407919906500445.19</v>
      </c>
      <c r="C2" s="7">
        <f>Calculations!G122</f>
        <v>394304414069456.81</v>
      </c>
      <c r="D2" s="7">
        <f>Calculations!H122</f>
        <v>402883022909414.69</v>
      </c>
      <c r="E2" s="7">
        <f>Calculations!I122</f>
        <v>412007432769367.81</v>
      </c>
      <c r="F2" s="7">
        <f>Calculations!J122</f>
        <v>419686591435278.94</v>
      </c>
      <c r="G2" s="7">
        <f>Calculations!K122</f>
        <v>425394324293693.81</v>
      </c>
      <c r="H2" s="7">
        <f>Calculations!L122</f>
        <v>430072698858576.94</v>
      </c>
      <c r="I2" s="7">
        <f>Calculations!M122</f>
        <v>434116486278636.75</v>
      </c>
      <c r="J2" s="7">
        <f>Calculations!N122</f>
        <v>438400650449283.56</v>
      </c>
      <c r="K2" s="7">
        <f>Calculations!O122</f>
        <v>442476027037966.5</v>
      </c>
      <c r="L2" s="7">
        <f>Calculations!P122</f>
        <v>447150663239698.88</v>
      </c>
      <c r="M2" s="7">
        <f>Calculations!Q122</f>
        <v>452535401521897.5</v>
      </c>
      <c r="N2" s="7">
        <f>Calculations!R122</f>
        <v>458862394236217.88</v>
      </c>
      <c r="O2" s="7">
        <f>Calculations!S122</f>
        <v>465707711001376.19</v>
      </c>
      <c r="P2" s="7">
        <f>Calculations!T122</f>
        <v>472268351412612.31</v>
      </c>
      <c r="Q2" s="7">
        <f>Calculations!U122</f>
        <v>479119649558811.56</v>
      </c>
      <c r="R2" s="7">
        <f>Calculations!V122</f>
        <v>486205343074556.81</v>
      </c>
      <c r="S2" s="7">
        <f>Calculations!W122</f>
        <v>492951780134380.31</v>
      </c>
      <c r="T2" s="7">
        <f>Calculations!X122</f>
        <v>499821022423702.75</v>
      </c>
      <c r="U2" s="7">
        <f>Calculations!Y122</f>
        <v>506821294341455.5</v>
      </c>
      <c r="V2" s="7">
        <f>Calculations!Z122</f>
        <v>513851660082571</v>
      </c>
      <c r="W2" s="7">
        <f>Calculations!AA122</f>
        <v>520905203675220.5</v>
      </c>
      <c r="X2" s="7">
        <f>Calculations!AB122</f>
        <v>528066038290293.88</v>
      </c>
      <c r="Y2" s="7">
        <f>Calculations!AC122</f>
        <v>535243508621387.5</v>
      </c>
      <c r="Z2" s="7">
        <f>Calculations!AD122</f>
        <v>542488082571035.44</v>
      </c>
      <c r="AA2" s="7">
        <f>Calculations!AE122</f>
        <v>549923499959523.94</v>
      </c>
      <c r="AB2" s="7">
        <f>Calculations!AF122</f>
        <v>557447329636525.56</v>
      </c>
    </row>
    <row r="3" spans="1:30" x14ac:dyDescent="0.25">
      <c r="A3" s="1" t="s">
        <v>12</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25">
      <c r="A4" s="1" t="s">
        <v>13</v>
      </c>
      <c r="B4" s="7">
        <f>Calculations!F124</f>
        <v>113783437707439.48</v>
      </c>
      <c r="C4" s="7">
        <f>Calculations!G124</f>
        <v>114720458431150.33</v>
      </c>
      <c r="D4" s="7">
        <f>Calculations!H124</f>
        <v>115569814538978.38</v>
      </c>
      <c r="E4" s="7">
        <f>Calculations!I124</f>
        <v>116150943090747.19</v>
      </c>
      <c r="F4" s="7">
        <f>Calculations!J124</f>
        <v>116548331093661.45</v>
      </c>
      <c r="G4" s="7">
        <f>Calculations!K124</f>
        <v>116824596130494.63</v>
      </c>
      <c r="H4" s="7">
        <f>Calculations!L124</f>
        <v>116987028009390.42</v>
      </c>
      <c r="I4" s="7">
        <f>Calculations!M124</f>
        <v>116891325912733.73</v>
      </c>
      <c r="J4" s="7">
        <f>Calculations!N124</f>
        <v>116461974904881.39</v>
      </c>
      <c r="K4" s="7">
        <f>Calculations!O124</f>
        <v>115908697158584.95</v>
      </c>
      <c r="L4" s="7">
        <f>Calculations!P124</f>
        <v>115438037237917.91</v>
      </c>
      <c r="M4" s="7">
        <f>Calculations!Q124</f>
        <v>115126257751153.55</v>
      </c>
      <c r="N4" s="7">
        <f>Calculations!R124</f>
        <v>114981770015380.89</v>
      </c>
      <c r="O4" s="7">
        <f>Calculations!S124</f>
        <v>114939713429936.05</v>
      </c>
      <c r="P4" s="7">
        <f>Calculations!T124</f>
        <v>114934666639682.67</v>
      </c>
      <c r="Q4" s="7">
        <f>Calculations!U124</f>
        <v>114972424107504.23</v>
      </c>
      <c r="R4" s="7">
        <f>Calculations!V124</f>
        <v>114976723225127.5</v>
      </c>
      <c r="S4" s="7">
        <f>Calculations!W124</f>
        <v>114883824900833.8</v>
      </c>
      <c r="T4" s="7">
        <f>Calculations!X124</f>
        <v>114744944709787.11</v>
      </c>
      <c r="U4" s="7">
        <f>Calculations!Y124</f>
        <v>114592606411398.05</v>
      </c>
      <c r="V4" s="7">
        <f>Calculations!Z124</f>
        <v>114476343317412.77</v>
      </c>
      <c r="W4" s="7">
        <f>Calculations!AA124</f>
        <v>114371856067352.06</v>
      </c>
      <c r="X4" s="7">
        <f>Calculations!AB124</f>
        <v>114243817129442.23</v>
      </c>
      <c r="Y4" s="7">
        <f>Calculations!AC124</f>
        <v>114141199060956.84</v>
      </c>
      <c r="Z4" s="7">
        <f>Calculations!AD124</f>
        <v>114070730915567.06</v>
      </c>
      <c r="AA4" s="7">
        <f>Calculations!AE124</f>
        <v>113985122399417.14</v>
      </c>
      <c r="AB4" s="7">
        <f>Calculations!AF124</f>
        <v>113883438921719.41</v>
      </c>
    </row>
    <row r="5" spans="1:30" x14ac:dyDescent="0.25">
      <c r="A5" s="1" t="s">
        <v>14</v>
      </c>
      <c r="B5" s="7">
        <f>Calculations!F125</f>
        <v>4825292236703.6348</v>
      </c>
      <c r="C5" s="7">
        <f>Calculations!G125</f>
        <v>4883236865538.7354</v>
      </c>
      <c r="D5" s="7">
        <f>Calculations!H125</f>
        <v>4906040880757.71</v>
      </c>
      <c r="E5" s="7">
        <f>Calculations!I125</f>
        <v>4900246417874.2002</v>
      </c>
      <c r="F5" s="7">
        <f>Calculations!J125</f>
        <v>4878376993442.8877</v>
      </c>
      <c r="G5" s="7">
        <f>Calculations!K125</f>
        <v>4850900024285.5986</v>
      </c>
      <c r="H5" s="7">
        <f>Calculations!L125</f>
        <v>4823423055128.3096</v>
      </c>
      <c r="I5" s="7">
        <f>Calculations!M125</f>
        <v>4807908848053.1035</v>
      </c>
      <c r="J5" s="7">
        <f>Calculations!N125</f>
        <v>4802114385169.5938</v>
      </c>
      <c r="K5" s="7">
        <f>Calculations!O125</f>
        <v>4796133004128.5518</v>
      </c>
      <c r="L5" s="7">
        <f>Calculations!P125</f>
        <v>4789964704929.9766</v>
      </c>
      <c r="M5" s="7">
        <f>Calculations!Q125</f>
        <v>4782487978628.6729</v>
      </c>
      <c r="N5" s="7">
        <f>Calculations!R125</f>
        <v>4776506597587.6299</v>
      </c>
      <c r="O5" s="7">
        <f>Calculations!S125</f>
        <v>4769029871286.3271</v>
      </c>
      <c r="P5" s="7">
        <f>Calculations!T125</f>
        <v>4763048490245.2842</v>
      </c>
      <c r="Q5" s="7">
        <f>Calculations!U125</f>
        <v>4757814781834.3721</v>
      </c>
      <c r="R5" s="7">
        <f>Calculations!V125</f>
        <v>4751833400793.3291</v>
      </c>
      <c r="S5" s="7">
        <f>Calculations!W125</f>
        <v>4744543592649.5586</v>
      </c>
      <c r="T5" s="7">
        <f>Calculations!X125</f>
        <v>4736693030033.1895</v>
      </c>
      <c r="U5" s="7">
        <f>Calculations!Y125</f>
        <v>4728655549259.2891</v>
      </c>
      <c r="V5" s="7">
        <f>Calculations!Z125</f>
        <v>4716505869019.6709</v>
      </c>
      <c r="W5" s="7">
        <f>Calculations!AA125</f>
        <v>4710711406136.1602</v>
      </c>
      <c r="X5" s="7">
        <f>Calculations!AB125</f>
        <v>4705851534040.3145</v>
      </c>
      <c r="Y5" s="7">
        <f>Calculations!AC125</f>
        <v>4702673925362.2598</v>
      </c>
      <c r="Z5" s="7">
        <f>Calculations!AD125</f>
        <v>4700804743786.9346</v>
      </c>
      <c r="AA5" s="7">
        <f>Calculations!AE125</f>
        <v>4698187889581.4785</v>
      </c>
      <c r="AB5" s="7">
        <f>Calculations!AF125</f>
        <v>4692954181170.5654</v>
      </c>
    </row>
    <row r="6" spans="1:30" x14ac:dyDescent="0.25">
      <c r="A6" s="1" t="s">
        <v>16</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25">
      <c r="A7" s="1" t="s">
        <v>73</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25">
      <c r="A8" s="1" t="s">
        <v>170</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25">
      <c r="A9" s="1" t="s">
        <v>171</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25">
      <c r="A10" s="1" t="s">
        <v>172</v>
      </c>
      <c r="B10" s="7">
        <f>Calculations!F130</f>
        <v>14071385817210.395</v>
      </c>
      <c r="C10" s="7">
        <f>Calculations!G130</f>
        <v>14604289484335.787</v>
      </c>
      <c r="D10" s="7">
        <f>Calculations!H130</f>
        <v>15106164737310.775</v>
      </c>
      <c r="E10" s="7">
        <f>Calculations!I130</f>
        <v>15582432202703.795</v>
      </c>
      <c r="F10" s="7">
        <f>Calculations!J130</f>
        <v>16049540678377.719</v>
      </c>
      <c r="G10" s="7">
        <f>Calculations!K130</f>
        <v>16509172427750.344</v>
      </c>
      <c r="H10" s="7">
        <f>Calculations!L130</f>
        <v>16951046952157.371</v>
      </c>
      <c r="I10" s="7">
        <f>Calculations!M130</f>
        <v>17386192422893.227</v>
      </c>
      <c r="J10" s="7">
        <f>Calculations!N130</f>
        <v>17803206832348.418</v>
      </c>
      <c r="K10" s="7">
        <f>Calculations!O130</f>
        <v>18200781753420.223</v>
      </c>
      <c r="L10" s="7">
        <f>Calculations!P130</f>
        <v>18587515421355.137</v>
      </c>
      <c r="M10" s="7">
        <f>Calculations!Q130</f>
        <v>18987707196632.398</v>
      </c>
      <c r="N10" s="7">
        <f>Calculations!R130</f>
        <v>19412572168703.961</v>
      </c>
      <c r="O10" s="7">
        <f>Calculations!S130</f>
        <v>19856315874686.313</v>
      </c>
      <c r="P10" s="7">
        <f>Calculations!T130</f>
        <v>20311461588278.152</v>
      </c>
      <c r="Q10" s="7">
        <f>Calculations!U130</f>
        <v>20774270946328.828</v>
      </c>
      <c r="R10" s="7">
        <f>Calculations!V130</f>
        <v>21241005585687.688</v>
      </c>
      <c r="S10" s="7">
        <f>Calculations!W130</f>
        <v>21702132680320.57</v>
      </c>
      <c r="T10" s="7">
        <f>Calculations!X130</f>
        <v>22158586821015.141</v>
      </c>
      <c r="U10" s="7">
        <f>Calculations!Y130</f>
        <v>22607190399093.336</v>
      </c>
      <c r="V10" s="7">
        <f>Calculations!Z130</f>
        <v>23058410831376.992</v>
      </c>
      <c r="W10" s="7">
        <f>Calculations!AA130</f>
        <v>23510752772605.844</v>
      </c>
      <c r="X10" s="7">
        <f>Calculations!AB130</f>
        <v>23971879867238.727</v>
      </c>
      <c r="Y10" s="7">
        <f>Calculations!AC130</f>
        <v>24446091232898.895</v>
      </c>
      <c r="Z10" s="7">
        <f>Calculations!AD130</f>
        <v>24929087751963.086</v>
      </c>
      <c r="AA10" s="7">
        <f>Calculations!AE130</f>
        <v>25405915971828.707</v>
      </c>
      <c r="AB10" s="7">
        <f>Calculations!AF130</f>
        <v>25862370112523.273</v>
      </c>
    </row>
    <row r="11" spans="1:30" x14ac:dyDescent="0.25">
      <c r="A11" s="1" t="s">
        <v>173</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5" x14ac:dyDescent="0.25"/>
  <cols>
    <col min="1" max="1" width="29.85546875" customWidth="1"/>
    <col min="2" max="27" width="9.5703125" bestFit="1" customWidth="1"/>
    <col min="28" max="28" width="11.8554687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Calculations!F135</f>
        <v>186541000000000</v>
      </c>
      <c r="C2" s="7">
        <f>Calculations!G135</f>
        <v>197985000000000</v>
      </c>
      <c r="D2" s="7">
        <f>Calculations!H135</f>
        <v>198076000000000</v>
      </c>
      <c r="E2" s="7">
        <f>Calculations!I135</f>
        <v>199054000000000</v>
      </c>
      <c r="F2" s="7">
        <f>Calculations!J135</f>
        <v>199048000000000</v>
      </c>
      <c r="G2" s="7">
        <f>Calculations!K135</f>
        <v>197891000000000</v>
      </c>
      <c r="H2" s="7">
        <f>Calculations!L135</f>
        <v>196351000000000</v>
      </c>
      <c r="I2" s="7">
        <f>Calculations!M135</f>
        <v>194590000000000</v>
      </c>
      <c r="J2" s="7">
        <f>Calculations!N135</f>
        <v>192773000000000</v>
      </c>
      <c r="K2" s="7">
        <f>Calculations!O135</f>
        <v>190066000000000</v>
      </c>
      <c r="L2" s="7">
        <f>Calculations!P135</f>
        <v>187679000000000</v>
      </c>
      <c r="M2" s="7">
        <f>Calculations!Q135</f>
        <v>186546000000000</v>
      </c>
      <c r="N2" s="7">
        <f>Calculations!R135</f>
        <v>185712000000000</v>
      </c>
      <c r="O2" s="7">
        <f>Calculations!S135</f>
        <v>184911000000000</v>
      </c>
      <c r="P2" s="7">
        <f>Calculations!T135</f>
        <v>183733000000000</v>
      </c>
      <c r="Q2" s="7">
        <f>Calculations!U135</f>
        <v>182497000000000</v>
      </c>
      <c r="R2" s="7">
        <f>Calculations!V135</f>
        <v>181191000000000</v>
      </c>
      <c r="S2" s="7">
        <f>Calculations!W135</f>
        <v>179785000000000</v>
      </c>
      <c r="T2" s="7">
        <f>Calculations!X135</f>
        <v>178212000000000</v>
      </c>
      <c r="U2" s="7">
        <f>Calculations!Y135</f>
        <v>176566000000000</v>
      </c>
      <c r="V2" s="7">
        <f>Calculations!Z135</f>
        <v>174797000000000</v>
      </c>
      <c r="W2" s="7">
        <f>Calculations!AA135</f>
        <v>172949000000000</v>
      </c>
      <c r="X2" s="7">
        <f>Calculations!AB135</f>
        <v>171014000000000</v>
      </c>
      <c r="Y2" s="7">
        <f>Calculations!AC135</f>
        <v>169022000000000</v>
      </c>
      <c r="Z2" s="7">
        <f>Calculations!AD135</f>
        <v>166995000000000</v>
      </c>
      <c r="AA2" s="7">
        <f>Calculations!AE135</f>
        <v>165017000000000</v>
      </c>
      <c r="AB2" s="7">
        <f>Calculations!AF135</f>
        <v>163026000000000</v>
      </c>
    </row>
    <row r="3" spans="1:30" x14ac:dyDescent="0.25">
      <c r="A3" s="1" t="s">
        <v>12</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25">
      <c r="A4" s="1" t="s">
        <v>13</v>
      </c>
      <c r="B4" s="7">
        <f>Calculations!F137</f>
        <v>1537413000000000</v>
      </c>
      <c r="C4" s="7">
        <f>Calculations!G137</f>
        <v>1697475000000000</v>
      </c>
      <c r="D4" s="7">
        <f>Calculations!H137</f>
        <v>1716881000000000</v>
      </c>
      <c r="E4" s="7">
        <f>Calculations!I137</f>
        <v>1721059000000000</v>
      </c>
      <c r="F4" s="7">
        <f>Calculations!J137</f>
        <v>1717088000000000</v>
      </c>
      <c r="G4" s="7">
        <f>Calculations!K137</f>
        <v>1708489000000000</v>
      </c>
      <c r="H4" s="7">
        <f>Calculations!L137</f>
        <v>1695878000000000</v>
      </c>
      <c r="I4" s="7">
        <f>Calculations!M137</f>
        <v>1685565000000000</v>
      </c>
      <c r="J4" s="7">
        <f>Calculations!N137</f>
        <v>1671333000000000</v>
      </c>
      <c r="K4" s="7">
        <f>Calculations!O137</f>
        <v>1655639000000000</v>
      </c>
      <c r="L4" s="7">
        <f>Calculations!P137</f>
        <v>1641919000000000</v>
      </c>
      <c r="M4" s="7">
        <f>Calculations!Q137</f>
        <v>1633058000000000</v>
      </c>
      <c r="N4" s="7">
        <f>Calculations!R137</f>
        <v>1628727000000000</v>
      </c>
      <c r="O4" s="7">
        <f>Calculations!S137</f>
        <v>1626826000000000</v>
      </c>
      <c r="P4" s="7">
        <f>Calculations!T137</f>
        <v>1625526000000000</v>
      </c>
      <c r="Q4" s="7">
        <f>Calculations!U137</f>
        <v>1625330000000000</v>
      </c>
      <c r="R4" s="7">
        <f>Calculations!V137</f>
        <v>1623697000000000</v>
      </c>
      <c r="S4" s="7">
        <f>Calculations!W137</f>
        <v>1619696000000000</v>
      </c>
      <c r="T4" s="7">
        <f>Calculations!X137</f>
        <v>1614416000000000</v>
      </c>
      <c r="U4" s="7">
        <f>Calculations!Y137</f>
        <v>1608446000000000</v>
      </c>
      <c r="V4" s="7">
        <f>Calculations!Z137</f>
        <v>1603702000000000</v>
      </c>
      <c r="W4" s="7">
        <f>Calculations!AA137</f>
        <v>1599288000000000</v>
      </c>
      <c r="X4" s="7">
        <f>Calculations!AB137</f>
        <v>1593816000000000</v>
      </c>
      <c r="Y4" s="7">
        <f>Calculations!AC137</f>
        <v>1589346000000000</v>
      </c>
      <c r="Z4" s="7">
        <f>Calculations!AD137</f>
        <v>1585737000000000</v>
      </c>
      <c r="AA4" s="7">
        <f>Calculations!AE137</f>
        <v>1581855000000000</v>
      </c>
      <c r="AB4" s="7">
        <f>Calculations!AF137</f>
        <v>1577464000000000</v>
      </c>
    </row>
    <row r="5" spans="1:30" x14ac:dyDescent="0.25">
      <c r="A5" s="1" t="s">
        <v>14</v>
      </c>
      <c r="B5" s="7">
        <f>Calculations!F138</f>
        <v>69269000000000</v>
      </c>
      <c r="C5" s="7">
        <f>Calculations!G138</f>
        <v>74071000000000</v>
      </c>
      <c r="D5" s="7">
        <f>Calculations!H138</f>
        <v>73987000000000</v>
      </c>
      <c r="E5" s="7">
        <f>Calculations!I138</f>
        <v>73583000000000</v>
      </c>
      <c r="F5" s="7">
        <f>Calculations!J138</f>
        <v>72936000000000</v>
      </c>
      <c r="G5" s="7">
        <f>Calculations!K138</f>
        <v>71975000000000</v>
      </c>
      <c r="H5" s="7">
        <f>Calculations!L138</f>
        <v>70986000000000</v>
      </c>
      <c r="I5" s="7">
        <f>Calculations!M138</f>
        <v>69949000000000</v>
      </c>
      <c r="J5" s="7">
        <f>Calculations!N138</f>
        <v>68908000000000</v>
      </c>
      <c r="K5" s="7">
        <f>Calculations!O138</f>
        <v>67778000000000.008</v>
      </c>
      <c r="L5" s="7">
        <f>Calculations!P138</f>
        <v>66642000000000.008</v>
      </c>
      <c r="M5" s="7">
        <f>Calculations!Q138</f>
        <v>65496000000000</v>
      </c>
      <c r="N5" s="7">
        <f>Calculations!R138</f>
        <v>64415000000000</v>
      </c>
      <c r="O5" s="7">
        <f>Calculations!S138</f>
        <v>63297999999999.992</v>
      </c>
      <c r="P5" s="7">
        <f>Calculations!T138</f>
        <v>62220000000000</v>
      </c>
      <c r="Q5" s="7">
        <f>Calculations!U138</f>
        <v>61174000000000</v>
      </c>
      <c r="R5" s="7">
        <f>Calculations!V138</f>
        <v>60119000000000</v>
      </c>
      <c r="S5" s="7">
        <f>Calculations!W138</f>
        <v>59095000000000</v>
      </c>
      <c r="T5" s="7">
        <f>Calculations!X138</f>
        <v>58066000000000</v>
      </c>
      <c r="U5" s="7">
        <f>Calculations!Y138</f>
        <v>57049000000000</v>
      </c>
      <c r="V5" s="7">
        <f>Calculations!Z138</f>
        <v>55952000000000</v>
      </c>
      <c r="W5" s="7">
        <f>Calculations!AA138</f>
        <v>55022000000000</v>
      </c>
      <c r="X5" s="7">
        <f>Calculations!AB138</f>
        <v>54114000000000</v>
      </c>
      <c r="Y5" s="7">
        <f>Calculations!AC138</f>
        <v>53304000000000</v>
      </c>
      <c r="Z5" s="7">
        <f>Calculations!AD138</f>
        <v>52548000000000</v>
      </c>
      <c r="AA5" s="7">
        <f>Calculations!AE138</f>
        <v>51773000000000</v>
      </c>
      <c r="AB5" s="7">
        <f>Calculations!AF138</f>
        <v>50965000000000</v>
      </c>
    </row>
    <row r="6" spans="1:30" x14ac:dyDescent="0.25">
      <c r="A6" s="1" t="s">
        <v>16</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25">
      <c r="A7" s="1" t="s">
        <v>73</v>
      </c>
      <c r="B7" s="7">
        <f>Calculations!F140</f>
        <v>158104000000000</v>
      </c>
      <c r="C7" s="7">
        <f>Calculations!G140</f>
        <v>158104000000000</v>
      </c>
      <c r="D7" s="7">
        <f>Calculations!H140</f>
        <v>158104000000000</v>
      </c>
      <c r="E7" s="7">
        <f>Calculations!I140</f>
        <v>158104000000000</v>
      </c>
      <c r="F7" s="7">
        <f>Calculations!J140</f>
        <v>158104000000000</v>
      </c>
      <c r="G7" s="7">
        <f>Calculations!K140</f>
        <v>158104000000000</v>
      </c>
      <c r="H7" s="7">
        <f>Calculations!L140</f>
        <v>158104000000000</v>
      </c>
      <c r="I7" s="7">
        <f>Calculations!M140</f>
        <v>158104000000000</v>
      </c>
      <c r="J7" s="7">
        <f>Calculations!N140</f>
        <v>158104000000000</v>
      </c>
      <c r="K7" s="7">
        <f>Calculations!O140</f>
        <v>158104000000000</v>
      </c>
      <c r="L7" s="7">
        <f>Calculations!P140</f>
        <v>158104000000000</v>
      </c>
      <c r="M7" s="7">
        <f>Calculations!Q140</f>
        <v>158104000000000</v>
      </c>
      <c r="N7" s="7">
        <f>Calculations!R140</f>
        <v>158104000000000</v>
      </c>
      <c r="O7" s="7">
        <f>Calculations!S140</f>
        <v>158104000000000</v>
      </c>
      <c r="P7" s="7">
        <f>Calculations!T140</f>
        <v>158104000000000</v>
      </c>
      <c r="Q7" s="7">
        <f>Calculations!U140</f>
        <v>158104000000000</v>
      </c>
      <c r="R7" s="7">
        <f>Calculations!V140</f>
        <v>158104000000000</v>
      </c>
      <c r="S7" s="7">
        <f>Calculations!W140</f>
        <v>158104000000000</v>
      </c>
      <c r="T7" s="7">
        <f>Calculations!X140</f>
        <v>158104000000000</v>
      </c>
      <c r="U7" s="7">
        <f>Calculations!Y140</f>
        <v>158104000000000</v>
      </c>
      <c r="V7" s="7">
        <f>Calculations!Z140</f>
        <v>158104000000000</v>
      </c>
      <c r="W7" s="7">
        <f>Calculations!AA140</f>
        <v>158104000000000</v>
      </c>
      <c r="X7" s="7">
        <f>Calculations!AB140</f>
        <v>158104000000000</v>
      </c>
      <c r="Y7" s="7">
        <f>Calculations!AC140</f>
        <v>158104000000000</v>
      </c>
      <c r="Z7" s="7">
        <f>Calculations!AD140</f>
        <v>158104000000000</v>
      </c>
      <c r="AA7" s="7">
        <f>Calculations!AE140</f>
        <v>158104000000000</v>
      </c>
      <c r="AB7" s="7">
        <f>Calculations!AF140</f>
        <v>158104000000000</v>
      </c>
    </row>
    <row r="8" spans="1:30" x14ac:dyDescent="0.25">
      <c r="A8" s="1" t="s">
        <v>170</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25">
      <c r="A9" s="1" t="s">
        <v>171</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25">
      <c r="A10" s="1" t="s">
        <v>172</v>
      </c>
      <c r="B10" s="7">
        <f>Calculations!F143</f>
        <v>140943680167118.59</v>
      </c>
      <c r="C10" s="7">
        <f>Calculations!G143</f>
        <v>148541089016017.41</v>
      </c>
      <c r="D10" s="7">
        <f>Calculations!H143</f>
        <v>150407054974741.56</v>
      </c>
      <c r="E10" s="7">
        <f>Calculations!I143</f>
        <v>151543318248944.97</v>
      </c>
      <c r="F10" s="7">
        <f>Calculations!J143</f>
        <v>152935155922964.69</v>
      </c>
      <c r="G10" s="7">
        <f>Calculations!K143</f>
        <v>153335847988825.25</v>
      </c>
      <c r="H10" s="7">
        <f>Calculations!L143</f>
        <v>153903575776242.84</v>
      </c>
      <c r="I10" s="7">
        <f>Calculations!M143</f>
        <v>154569574963541.25</v>
      </c>
      <c r="J10" s="7">
        <f>Calculations!N143</f>
        <v>155252436103711.97</v>
      </c>
      <c r="K10" s="7">
        <f>Calculations!O143</f>
        <v>155776380269595.63</v>
      </c>
      <c r="L10" s="7">
        <f>Calculations!P143</f>
        <v>156401615337397.94</v>
      </c>
      <c r="M10" s="7">
        <f>Calculations!Q143</f>
        <v>156950940376940.41</v>
      </c>
      <c r="N10" s="7">
        <f>Calculations!R143</f>
        <v>157319130937215.63</v>
      </c>
      <c r="O10" s="7">
        <f>Calculations!S143</f>
        <v>157581397087550.53</v>
      </c>
      <c r="P10" s="7">
        <f>Calculations!T143</f>
        <v>157649093730521.41</v>
      </c>
      <c r="Q10" s="7">
        <f>Calculations!U143</f>
        <v>157783604766449.56</v>
      </c>
      <c r="R10" s="7">
        <f>Calculations!V143</f>
        <v>157801544173977.84</v>
      </c>
      <c r="S10" s="7">
        <f>Calculations!W143</f>
        <v>157760705277857.47</v>
      </c>
      <c r="T10" s="7">
        <f>Calculations!X143</f>
        <v>157731256839117.31</v>
      </c>
      <c r="U10" s="7">
        <f>Calculations!Y143</f>
        <v>157634229783997.44</v>
      </c>
      <c r="V10" s="7">
        <f>Calculations!Z143</f>
        <v>157501281119592.53</v>
      </c>
      <c r="W10" s="7">
        <f>Calculations!AA143</f>
        <v>157384452244752.94</v>
      </c>
      <c r="X10" s="7">
        <f>Calculations!AB143</f>
        <v>157197956885196.09</v>
      </c>
      <c r="Y10" s="7">
        <f>Calculations!AC143</f>
        <v>157063662766363.06</v>
      </c>
      <c r="Z10" s="7">
        <f>Calculations!AD143</f>
        <v>156920231279568.09</v>
      </c>
      <c r="AA10" s="7">
        <f>Calculations!AE143</f>
        <v>156796284836362.06</v>
      </c>
      <c r="AB10" s="7">
        <f>Calculations!AF143</f>
        <v>156613874259820.72</v>
      </c>
    </row>
    <row r="11" spans="1:30" x14ac:dyDescent="0.25">
      <c r="A11" s="1" t="s">
        <v>173</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Calculations!F148</f>
        <v>1317524000000000.3</v>
      </c>
      <c r="C2" s="7">
        <f>Calculations!G148</f>
        <v>1312107000000000.3</v>
      </c>
      <c r="D2" s="7">
        <f>Calculations!H148</f>
        <v>1340326999999999.8</v>
      </c>
      <c r="E2" s="7">
        <f>Calculations!I148</f>
        <v>1376103000000000</v>
      </c>
      <c r="F2" s="7">
        <f>Calculations!J148</f>
        <v>1405673000000000</v>
      </c>
      <c r="G2" s="7">
        <f>Calculations!K148</f>
        <v>1425914000000000.3</v>
      </c>
      <c r="H2" s="7">
        <f>Calculations!L148</f>
        <v>1438212000000000</v>
      </c>
      <c r="I2" s="7">
        <f>Calculations!M148</f>
        <v>1449701000000000.3</v>
      </c>
      <c r="J2" s="7">
        <f>Calculations!N148</f>
        <v>1462154000000000</v>
      </c>
      <c r="K2" s="7">
        <f>Calculations!O148</f>
        <v>1473253999999999.8</v>
      </c>
      <c r="L2" s="7">
        <f>Calculations!P148</f>
        <v>1486947000000000</v>
      </c>
      <c r="M2" s="7">
        <f>Calculations!Q148</f>
        <v>1504819000000000</v>
      </c>
      <c r="N2" s="7">
        <f>Calculations!R148</f>
        <v>1526266000000000</v>
      </c>
      <c r="O2" s="7">
        <f>Calculations!S148</f>
        <v>1548886000000000</v>
      </c>
      <c r="P2" s="7">
        <f>Calculations!T148</f>
        <v>1569200000000000</v>
      </c>
      <c r="Q2" s="7">
        <f>Calculations!U148</f>
        <v>1589879000000000</v>
      </c>
      <c r="R2" s="7">
        <f>Calculations!V148</f>
        <v>1610607000000000</v>
      </c>
      <c r="S2" s="7">
        <f>Calculations!W148</f>
        <v>1631832000000000.3</v>
      </c>
      <c r="T2" s="7">
        <f>Calculations!X148</f>
        <v>1652393000000000</v>
      </c>
      <c r="U2" s="7">
        <f>Calculations!Y148</f>
        <v>1673518000000000</v>
      </c>
      <c r="V2" s="7">
        <f>Calculations!Z148</f>
        <v>1694502000000000</v>
      </c>
      <c r="W2" s="7">
        <f>Calculations!AA148</f>
        <v>1715272999999999.8</v>
      </c>
      <c r="X2" s="7">
        <f>Calculations!AB148</f>
        <v>1735975000000000</v>
      </c>
      <c r="Y2" s="7">
        <f>Calculations!AC148</f>
        <v>1756772000000000</v>
      </c>
      <c r="Z2" s="7">
        <f>Calculations!AD148</f>
        <v>1777923000000000</v>
      </c>
      <c r="AA2" s="7">
        <f>Calculations!AE148</f>
        <v>1799659000000000</v>
      </c>
      <c r="AB2" s="7">
        <f>Calculations!AF148</f>
        <v>1821683999999999.8</v>
      </c>
    </row>
    <row r="3" spans="1:30" x14ac:dyDescent="0.25">
      <c r="A3" s="1" t="s">
        <v>12</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25">
      <c r="A4" s="1" t="s">
        <v>13</v>
      </c>
      <c r="B4" s="7">
        <f>Calculations!F150</f>
        <v>18320000000000</v>
      </c>
      <c r="C4" s="7">
        <f>Calculations!G150</f>
        <v>17620000000000</v>
      </c>
      <c r="D4" s="7">
        <f>Calculations!H150</f>
        <v>17856000000000</v>
      </c>
      <c r="E4" s="7">
        <f>Calculations!I150</f>
        <v>17985000000000</v>
      </c>
      <c r="F4" s="7">
        <f>Calculations!J150</f>
        <v>18026000000000</v>
      </c>
      <c r="G4" s="7">
        <f>Calculations!K150</f>
        <v>18042000000000</v>
      </c>
      <c r="H4" s="7">
        <f>Calculations!L150</f>
        <v>18032000000000</v>
      </c>
      <c r="I4" s="7">
        <f>Calculations!M150</f>
        <v>18032000000000</v>
      </c>
      <c r="J4" s="7">
        <f>Calculations!N150</f>
        <v>17987000000000</v>
      </c>
      <c r="K4" s="7">
        <f>Calculations!O150</f>
        <v>17929000000000</v>
      </c>
      <c r="L4" s="7">
        <f>Calculations!P150</f>
        <v>17896000000000</v>
      </c>
      <c r="M4" s="7">
        <f>Calculations!Q150</f>
        <v>17929000000000</v>
      </c>
      <c r="N4" s="7">
        <f>Calculations!R150</f>
        <v>18024000000000</v>
      </c>
      <c r="O4" s="7">
        <f>Calculations!S150</f>
        <v>18160000000000</v>
      </c>
      <c r="P4" s="7">
        <f>Calculations!T150</f>
        <v>18310000000000</v>
      </c>
      <c r="Q4" s="7">
        <f>Calculations!U150</f>
        <v>18494000000000</v>
      </c>
      <c r="R4" s="7">
        <f>Calculations!V150</f>
        <v>18663000000000</v>
      </c>
      <c r="S4" s="7">
        <f>Calculations!W150</f>
        <v>18817000000000</v>
      </c>
      <c r="T4" s="7">
        <f>Calculations!X150</f>
        <v>18945000000000</v>
      </c>
      <c r="U4" s="7">
        <f>Calculations!Y150</f>
        <v>19081000000000</v>
      </c>
      <c r="V4" s="7">
        <f>Calculations!Z150</f>
        <v>19247000000000</v>
      </c>
      <c r="W4" s="7">
        <f>Calculations!AA150</f>
        <v>19418000000000</v>
      </c>
      <c r="X4" s="7">
        <f>Calculations!AB150</f>
        <v>19581000000000</v>
      </c>
      <c r="Y4" s="7">
        <f>Calculations!AC150</f>
        <v>19763000000000</v>
      </c>
      <c r="Z4" s="7">
        <f>Calculations!AD150</f>
        <v>19966000000000</v>
      </c>
      <c r="AA4" s="7">
        <f>Calculations!AE150</f>
        <v>20156000000000</v>
      </c>
      <c r="AB4" s="7">
        <f>Calculations!AF150</f>
        <v>20358000000000</v>
      </c>
    </row>
    <row r="5" spans="1:30" x14ac:dyDescent="0.25">
      <c r="A5" s="1" t="s">
        <v>14</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25">
      <c r="A6" s="1" t="s">
        <v>16</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25">
      <c r="A7" s="1" t="s">
        <v>73</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25">
      <c r="A8" s="1" t="s">
        <v>170</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25">
      <c r="A9" s="1" t="s">
        <v>171</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25">
      <c r="A10" s="1" t="s">
        <v>172</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25">
      <c r="A11" s="1" t="s">
        <v>173</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Calculations!F161</f>
        <v>575629000000000</v>
      </c>
      <c r="C2" s="7">
        <f>Calculations!G161</f>
        <v>564073000000000</v>
      </c>
      <c r="D2" s="7">
        <f>Calculations!H161</f>
        <v>561419000000000</v>
      </c>
      <c r="E2" s="7">
        <f>Calculations!I161</f>
        <v>564836000000000</v>
      </c>
      <c r="F2" s="7">
        <f>Calculations!J161</f>
        <v>567739000000000</v>
      </c>
      <c r="G2" s="7">
        <f>Calculations!K161</f>
        <v>568038000000000</v>
      </c>
      <c r="H2" s="7">
        <f>Calculations!L161</f>
        <v>557795999999999.94</v>
      </c>
      <c r="I2" s="7">
        <f>Calculations!M161</f>
        <v>548668000000000.06</v>
      </c>
      <c r="J2" s="7">
        <f>Calculations!N161</f>
        <v>540722999999999.94</v>
      </c>
      <c r="K2" s="7">
        <f>Calculations!O161</f>
        <v>532836000000000</v>
      </c>
      <c r="L2" s="7">
        <f>Calculations!P161</f>
        <v>525787000000000</v>
      </c>
      <c r="M2" s="7">
        <f>Calculations!Q161</f>
        <v>520252000000000.06</v>
      </c>
      <c r="N2" s="7">
        <f>Calculations!R161</f>
        <v>516397000000000</v>
      </c>
      <c r="O2" s="7">
        <f>Calculations!S161</f>
        <v>513764000000000</v>
      </c>
      <c r="P2" s="7">
        <f>Calculations!T161</f>
        <v>511098000000000.06</v>
      </c>
      <c r="Q2" s="7">
        <f>Calculations!U161</f>
        <v>509139000000000</v>
      </c>
      <c r="R2" s="7">
        <f>Calculations!V161</f>
        <v>506221000000000.06</v>
      </c>
      <c r="S2" s="7">
        <f>Calculations!W161</f>
        <v>504248000000000</v>
      </c>
      <c r="T2" s="7">
        <f>Calculations!X161</f>
        <v>502663000000000</v>
      </c>
      <c r="U2" s="7">
        <f>Calculations!Y161</f>
        <v>501633000000000</v>
      </c>
      <c r="V2" s="7">
        <f>Calculations!Z161</f>
        <v>500870999999999.94</v>
      </c>
      <c r="W2" s="7">
        <f>Calculations!AA161</f>
        <v>500370000000000</v>
      </c>
      <c r="X2" s="7">
        <f>Calculations!AB161</f>
        <v>500098999999999.94</v>
      </c>
      <c r="Y2" s="7">
        <f>Calculations!AC161</f>
        <v>499308000000000</v>
      </c>
      <c r="Z2" s="7">
        <f>Calculations!AD161</f>
        <v>498756000000000</v>
      </c>
      <c r="AA2" s="7">
        <f>Calculations!AE161</f>
        <v>498499000000000</v>
      </c>
      <c r="AB2" s="7">
        <f>Calculations!AF161</f>
        <v>498199000000000</v>
      </c>
    </row>
    <row r="3" spans="1:30" x14ac:dyDescent="0.25">
      <c r="A3" s="1" t="s">
        <v>12</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25">
      <c r="A4" s="1" t="s">
        <v>13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25">
      <c r="A5" s="1" t="s">
        <v>14</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25">
      <c r="A6" s="1" t="s">
        <v>16</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25">
      <c r="A7" s="1" t="s">
        <v>73</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25">
      <c r="A8" s="1" t="s">
        <v>170</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25">
      <c r="A9" s="1" t="s">
        <v>171</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25">
      <c r="A10" s="1" t="s">
        <v>172</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25">
      <c r="A11" s="1" t="s">
        <v>173</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5" x14ac:dyDescent="0.25"/>
  <cols>
    <col min="1" max="1" width="29.85546875" customWidth="1"/>
    <col min="2" max="28" width="10.14062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7">
        <f>Calculations!F174</f>
        <v>526170000000000</v>
      </c>
      <c r="C2" s="7">
        <f>Calculations!G174</f>
        <v>527278000000000</v>
      </c>
      <c r="D2" s="7">
        <f>Calculations!H174</f>
        <v>530000000000000</v>
      </c>
      <c r="E2" s="7">
        <f>Calculations!I174</f>
        <v>535012000000000.06</v>
      </c>
      <c r="F2" s="7">
        <f>Calculations!J174</f>
        <v>538872999999999.94</v>
      </c>
      <c r="G2" s="7">
        <f>Calculations!K174</f>
        <v>540759999999999.94</v>
      </c>
      <c r="H2" s="7">
        <f>Calculations!L174</f>
        <v>540351000000000</v>
      </c>
      <c r="I2" s="7">
        <f>Calculations!M174</f>
        <v>539927000000000.06</v>
      </c>
      <c r="J2" s="7">
        <f>Calculations!N174</f>
        <v>539823000000000.06</v>
      </c>
      <c r="K2" s="7">
        <f>Calculations!O174</f>
        <v>539605000000000</v>
      </c>
      <c r="L2" s="7">
        <f>Calculations!P174</f>
        <v>540004999999999.94</v>
      </c>
      <c r="M2" s="7">
        <f>Calculations!Q174</f>
        <v>541258999999999.94</v>
      </c>
      <c r="N2" s="7">
        <f>Calculations!R174</f>
        <v>543150999999999.94</v>
      </c>
      <c r="O2" s="7">
        <f>Calculations!S174</f>
        <v>545180999999999.94</v>
      </c>
      <c r="P2" s="7">
        <f>Calculations!T174</f>
        <v>546707000000000.06</v>
      </c>
      <c r="Q2" s="7">
        <f>Calculations!U174</f>
        <v>548168000000000</v>
      </c>
      <c r="R2" s="7">
        <f>Calculations!V174</f>
        <v>549552999999999.94</v>
      </c>
      <c r="S2" s="7">
        <f>Calculations!W174</f>
        <v>551188000000000</v>
      </c>
      <c r="T2" s="7">
        <f>Calculations!X174</f>
        <v>552674000000000</v>
      </c>
      <c r="U2" s="7">
        <f>Calculations!Y174</f>
        <v>554143000000000.06</v>
      </c>
      <c r="V2" s="7">
        <f>Calculations!Z174</f>
        <v>555485999999999.94</v>
      </c>
      <c r="W2" s="7">
        <f>Calculations!AA174</f>
        <v>556705000000000</v>
      </c>
      <c r="X2" s="7">
        <f>Calculations!AB174</f>
        <v>557841999999999.94</v>
      </c>
      <c r="Y2" s="7">
        <f>Calculations!AC174</f>
        <v>558910000000000</v>
      </c>
      <c r="Z2" s="7">
        <f>Calculations!AD174</f>
        <v>559946000000000.06</v>
      </c>
      <c r="AA2" s="7">
        <f>Calculations!AE174</f>
        <v>560993000000000.06</v>
      </c>
      <c r="AB2" s="7">
        <f>Calculations!AF174</f>
        <v>562001000000000</v>
      </c>
    </row>
    <row r="3" spans="1:30" x14ac:dyDescent="0.25">
      <c r="A3" s="1" t="s">
        <v>12</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25">
      <c r="A4" s="1" t="s">
        <v>13</v>
      </c>
      <c r="B4" s="7">
        <f>Calculations!F176</f>
        <v>670828000000000</v>
      </c>
      <c r="C4" s="7">
        <f>Calculations!G176</f>
        <v>700841000000000</v>
      </c>
      <c r="D4" s="7">
        <f>Calculations!H176</f>
        <v>718170000000000</v>
      </c>
      <c r="E4" s="7">
        <f>Calculations!I176</f>
        <v>728862000000000</v>
      </c>
      <c r="F4" s="7">
        <f>Calculations!J176</f>
        <v>736700000000000</v>
      </c>
      <c r="G4" s="7">
        <f>Calculations!K176</f>
        <v>743306000000000</v>
      </c>
      <c r="H4" s="7">
        <f>Calculations!L176</f>
        <v>748634000000000</v>
      </c>
      <c r="I4" s="7">
        <f>Calculations!M176</f>
        <v>754516000000000</v>
      </c>
      <c r="J4" s="7">
        <f>Calculations!N176</f>
        <v>758667999999999.88</v>
      </c>
      <c r="K4" s="7">
        <f>Calculations!O176</f>
        <v>762484000000000</v>
      </c>
      <c r="L4" s="7">
        <f>Calculations!P176</f>
        <v>767281000000000</v>
      </c>
      <c r="M4" s="7">
        <f>Calculations!Q176</f>
        <v>774002000000000.13</v>
      </c>
      <c r="N4" s="7">
        <f>Calculations!R176</f>
        <v>782764999999999.88</v>
      </c>
      <c r="O4" s="7">
        <f>Calculations!S176</f>
        <v>792640000000000</v>
      </c>
      <c r="P4" s="7">
        <f>Calculations!T176</f>
        <v>802786000000000</v>
      </c>
      <c r="Q4" s="7">
        <f>Calculations!U176</f>
        <v>813415000000000</v>
      </c>
      <c r="R4" s="7">
        <f>Calculations!V176</f>
        <v>823282000000000.13</v>
      </c>
      <c r="S4" s="7">
        <f>Calculations!W176</f>
        <v>832217000000000</v>
      </c>
      <c r="T4" s="7">
        <f>Calculations!X176</f>
        <v>840451000000000</v>
      </c>
      <c r="U4" s="7">
        <f>Calculations!Y176</f>
        <v>848333000000000</v>
      </c>
      <c r="V4" s="7">
        <f>Calculations!Z176</f>
        <v>856749000000000</v>
      </c>
      <c r="W4" s="7">
        <f>Calculations!AA176</f>
        <v>865273000000000</v>
      </c>
      <c r="X4" s="7">
        <f>Calculations!AB176</f>
        <v>873237000000000</v>
      </c>
      <c r="Y4" s="7">
        <f>Calculations!AC176</f>
        <v>881739000000000</v>
      </c>
      <c r="Z4" s="7">
        <f>Calculations!AD176</f>
        <v>890666000000000</v>
      </c>
      <c r="AA4" s="7">
        <f>Calculations!AE176</f>
        <v>899216000000000</v>
      </c>
      <c r="AB4" s="7">
        <f>Calculations!AF176</f>
        <v>907430000000000</v>
      </c>
    </row>
    <row r="5" spans="1:30" x14ac:dyDescent="0.25">
      <c r="A5" s="1" t="s">
        <v>14</v>
      </c>
      <c r="B5" s="7">
        <f>Calculations!F177</f>
        <v>3746000000000</v>
      </c>
      <c r="C5" s="7">
        <f>Calculations!G177</f>
        <v>3811000000000</v>
      </c>
      <c r="D5" s="7">
        <f>Calculations!H177</f>
        <v>3828000000000</v>
      </c>
      <c r="E5" s="7">
        <f>Calculations!I177</f>
        <v>3833000000000</v>
      </c>
      <c r="F5" s="7">
        <f>Calculations!J177</f>
        <v>3829000000000</v>
      </c>
      <c r="G5" s="7">
        <f>Calculations!K177</f>
        <v>3819000000000</v>
      </c>
      <c r="H5" s="7">
        <f>Calculations!L177</f>
        <v>3810000000000</v>
      </c>
      <c r="I5" s="7">
        <f>Calculations!M177</f>
        <v>3796000000000</v>
      </c>
      <c r="J5" s="7">
        <f>Calculations!N177</f>
        <v>3782000000000</v>
      </c>
      <c r="K5" s="7">
        <f>Calculations!O177</f>
        <v>3765000000000</v>
      </c>
      <c r="L5" s="7">
        <f>Calculations!P177</f>
        <v>3747000000000</v>
      </c>
      <c r="M5" s="7">
        <f>Calculations!Q177</f>
        <v>3729000000000</v>
      </c>
      <c r="N5" s="7">
        <f>Calculations!R177</f>
        <v>3714000000000</v>
      </c>
      <c r="O5" s="7">
        <f>Calculations!S177</f>
        <v>3697000000000</v>
      </c>
      <c r="P5" s="7">
        <f>Calculations!T177</f>
        <v>3681000000000</v>
      </c>
      <c r="Q5" s="7">
        <f>Calculations!U177</f>
        <v>3667000000000</v>
      </c>
      <c r="R5" s="7">
        <f>Calculations!V177</f>
        <v>3652000000000</v>
      </c>
      <c r="S5" s="7">
        <f>Calculations!W177</f>
        <v>3637000000000</v>
      </c>
      <c r="T5" s="7">
        <f>Calculations!X177</f>
        <v>3621000000000</v>
      </c>
      <c r="U5" s="7">
        <f>Calculations!Y177</f>
        <v>3606000000000</v>
      </c>
      <c r="V5" s="7">
        <f>Calculations!Z177</f>
        <v>3584000000000</v>
      </c>
      <c r="W5" s="7">
        <f>Calculations!AA177</f>
        <v>3572000000000</v>
      </c>
      <c r="X5" s="7">
        <f>Calculations!AB177</f>
        <v>3561000000000</v>
      </c>
      <c r="Y5" s="7">
        <f>Calculations!AC177</f>
        <v>3556000000000</v>
      </c>
      <c r="Z5" s="7">
        <f>Calculations!AD177</f>
        <v>3553000000000</v>
      </c>
      <c r="AA5" s="7">
        <f>Calculations!AE177</f>
        <v>3548000000000</v>
      </c>
      <c r="AB5" s="7">
        <f>Calculations!AF177</f>
        <v>3540000000000</v>
      </c>
    </row>
    <row r="6" spans="1:30" x14ac:dyDescent="0.25">
      <c r="A6" s="1" t="s">
        <v>16</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25">
      <c r="A7" s="1" t="s">
        <v>73</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25">
      <c r="A8" s="1" t="s">
        <v>170</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25">
      <c r="A9" s="1" t="s">
        <v>171</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25">
      <c r="A10" s="1" t="s">
        <v>172</v>
      </c>
      <c r="B10" s="7">
        <f>Calculations!F182</f>
        <v>7622096838499.5635</v>
      </c>
      <c r="C10" s="7">
        <f>Calculations!G182</f>
        <v>7642533383375.9814</v>
      </c>
      <c r="D10" s="7">
        <f>Calculations!H182</f>
        <v>7781883390910.71</v>
      </c>
      <c r="E10" s="7">
        <f>Calculations!I182</f>
        <v>7894018167894.8398</v>
      </c>
      <c r="F10" s="7">
        <f>Calculations!J182</f>
        <v>8028802128290.9922</v>
      </c>
      <c r="G10" s="7">
        <f>Calculations!K182</f>
        <v>8136013941914.8818</v>
      </c>
      <c r="H10" s="7">
        <f>Calculations!L182</f>
        <v>8260398158897.3213</v>
      </c>
      <c r="I10" s="7">
        <f>Calculations!M182</f>
        <v>8388198638459.4863</v>
      </c>
      <c r="J10" s="7">
        <f>Calculations!N182</f>
        <v>8520994853199.0293</v>
      </c>
      <c r="K10" s="7">
        <f>Calculations!O182</f>
        <v>8653221867199.2012</v>
      </c>
      <c r="L10" s="7">
        <f>Calculations!P182</f>
        <v>8793806498442.874</v>
      </c>
      <c r="M10" s="7">
        <f>Calculations!Q182</f>
        <v>8935966420325.0703</v>
      </c>
      <c r="N10" s="7">
        <f>Calculations!R182</f>
        <v>9070608589626.9316</v>
      </c>
      <c r="O10" s="7">
        <f>Calculations!S182</f>
        <v>9203741429945.25</v>
      </c>
      <c r="P10" s="7">
        <f>Calculations!T182</f>
        <v>9326684571231.9082</v>
      </c>
      <c r="Q10" s="7">
        <f>Calculations!U182</f>
        <v>9458143634200.3242</v>
      </c>
      <c r="R10" s="7">
        <f>Calculations!V182</f>
        <v>9585842068620.0215</v>
      </c>
      <c r="S10" s="7">
        <f>Calculations!W182</f>
        <v>9709377867764.916</v>
      </c>
      <c r="T10" s="7">
        <f>Calculations!X182</f>
        <v>9836132694079.9063</v>
      </c>
      <c r="U10" s="7">
        <f>Calculations!Y182</f>
        <v>9963873733125.8184</v>
      </c>
      <c r="V10" s="7">
        <f>Calculations!Z182</f>
        <v>10088729474060.26</v>
      </c>
      <c r="W10" s="7">
        <f>Calculations!AA182</f>
        <v>10217317862277.951</v>
      </c>
      <c r="X10" s="7">
        <f>Calculations!AB182</f>
        <v>10344493559304.121</v>
      </c>
      <c r="Y10" s="7">
        <f>Calculations!AC182</f>
        <v>10477982605380.217</v>
      </c>
      <c r="Z10" s="7">
        <f>Calculations!AD182</f>
        <v>10610062832768.236</v>
      </c>
      <c r="AA10" s="7">
        <f>Calculations!AE182</f>
        <v>10745238224545.857</v>
      </c>
      <c r="AB10" s="7">
        <f>Calculations!AF182</f>
        <v>10878310897277.846</v>
      </c>
    </row>
    <row r="11" spans="1:30" x14ac:dyDescent="0.25">
      <c r="A11" s="1" t="s">
        <v>173</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5" x14ac:dyDescent="0.25"/>
  <cols>
    <col min="1" max="1" width="29.85546875" customWidth="1"/>
    <col min="2" max="28" width="9.8554687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s="92">
        <f>Calculations!F187-'Water and Waste'!J9</f>
        <v>2077766400000000</v>
      </c>
      <c r="C2" s="92">
        <f>Calculations!G187-'Water and Waste'!K9</f>
        <v>2170841000000000</v>
      </c>
      <c r="D2" s="92">
        <f>Calculations!H187-'Water and Waste'!L9</f>
        <v>2118861600000000.5</v>
      </c>
      <c r="E2" s="92">
        <f>Calculations!I187-'Water and Waste'!M9</f>
        <v>2124284200000000</v>
      </c>
      <c r="F2" s="92">
        <f>Calculations!J187-'Water and Waste'!N9</f>
        <v>2128578800000000</v>
      </c>
      <c r="G2" s="92">
        <f>Calculations!K187-'Water and Waste'!O9</f>
        <v>2182760400000000</v>
      </c>
      <c r="H2" s="92">
        <f>Calculations!L187-'Water and Waste'!P9</f>
        <v>2233504000000000</v>
      </c>
      <c r="I2" s="92">
        <f>Calculations!M187-'Water and Waste'!Q9</f>
        <v>2284095600000000</v>
      </c>
      <c r="J2" s="92">
        <f>Calculations!N187-'Water and Waste'!R9</f>
        <v>2336191200000000</v>
      </c>
      <c r="K2" s="92">
        <f>Calculations!O187-'Water and Waste'!S9</f>
        <v>2390083800000000</v>
      </c>
      <c r="L2" s="92">
        <f>Calculations!P187-'Water and Waste'!T9</f>
        <v>2446927400000000</v>
      </c>
      <c r="M2" s="92">
        <f>Calculations!Q187-'Water and Waste'!U9</f>
        <v>2507342000000000.5</v>
      </c>
      <c r="N2" s="92">
        <f>Calculations!R187-'Water and Waste'!V9</f>
        <v>2571482600000000</v>
      </c>
      <c r="O2" s="92">
        <f>Calculations!S187-'Water and Waste'!W9</f>
        <v>2638172199999999.5</v>
      </c>
      <c r="P2" s="92">
        <f>Calculations!T187-'Water and Waste'!X9</f>
        <v>2705586800000000</v>
      </c>
      <c r="Q2" s="92">
        <f>Calculations!U187-'Water and Waste'!Y9</f>
        <v>2775138400000000</v>
      </c>
      <c r="R2" s="92">
        <f>Calculations!V187-'Water and Waste'!Z9</f>
        <v>2847038000000000.5</v>
      </c>
      <c r="S2" s="92">
        <f>Calculations!W187-'Water and Waste'!AA9</f>
        <v>2921162600000000</v>
      </c>
      <c r="T2" s="92">
        <f>Calculations!X187-'Water and Waste'!AB9</f>
        <v>2997027200000000.5</v>
      </c>
      <c r="U2" s="92">
        <f>Calculations!Y187-'Water and Waste'!AC9</f>
        <v>3075078799999999.5</v>
      </c>
      <c r="V2" s="92">
        <f>Calculations!Z187-'Water and Waste'!AD9</f>
        <v>3155875400000000</v>
      </c>
      <c r="W2" s="92">
        <f>Calculations!AA187-'Water and Waste'!AE9</f>
        <v>3238745000000000</v>
      </c>
      <c r="X2" s="92">
        <f>Calculations!AB187-'Water and Waste'!AF9</f>
        <v>3323533600000000</v>
      </c>
      <c r="Y2" s="92">
        <f>Calculations!AC187-'Water and Waste'!AG9</f>
        <v>3411415200000000</v>
      </c>
      <c r="Z2" s="92">
        <f>Calculations!AD187-'Water and Waste'!AH9</f>
        <v>3502110800000000</v>
      </c>
      <c r="AA2" s="92">
        <f>Calculations!AE187-'Water and Waste'!AI9</f>
        <v>3594478400000000</v>
      </c>
      <c r="AB2" s="92">
        <f>Calculations!AF187-'Water and Waste'!AJ9</f>
        <v>3690572000000000</v>
      </c>
    </row>
    <row r="3" spans="1:30" x14ac:dyDescent="0.25">
      <c r="A3" s="1" t="s">
        <v>12</v>
      </c>
      <c r="B3" s="91">
        <f>Calculations!F188</f>
        <v>26136440000000</v>
      </c>
      <c r="C3" s="91">
        <f>Calculations!G188</f>
        <v>26448560000000</v>
      </c>
      <c r="D3" s="91">
        <f>Calculations!H188</f>
        <v>27112840000000</v>
      </c>
      <c r="E3" s="91">
        <f>Calculations!I188</f>
        <v>27633440000000.004</v>
      </c>
      <c r="F3" s="91">
        <f>Calculations!J188</f>
        <v>28203640000000.004</v>
      </c>
      <c r="G3" s="91">
        <f>Calculations!K188</f>
        <v>28660240000000</v>
      </c>
      <c r="H3" s="91">
        <f>Calculations!L188</f>
        <v>29165240000000</v>
      </c>
      <c r="I3" s="91">
        <f>Calculations!M188</f>
        <v>29673400000000.004</v>
      </c>
      <c r="J3" s="91">
        <f>Calculations!N188</f>
        <v>30196360000000</v>
      </c>
      <c r="K3" s="91">
        <f>Calculations!O188</f>
        <v>30690400000000.004</v>
      </c>
      <c r="L3" s="91">
        <f>Calculations!P188</f>
        <v>31211520000000</v>
      </c>
      <c r="M3" s="91">
        <f>Calculations!Q188</f>
        <v>31723200000000</v>
      </c>
      <c r="N3" s="91">
        <f>Calculations!R188</f>
        <v>32208720000000.004</v>
      </c>
      <c r="O3" s="91">
        <f>Calculations!S188</f>
        <v>32682680000000</v>
      </c>
      <c r="P3" s="91">
        <f>Calculations!T188</f>
        <v>33129240000000.004</v>
      </c>
      <c r="Q3" s="91">
        <f>Calculations!U188</f>
        <v>33600440000000.004</v>
      </c>
      <c r="R3" s="91">
        <f>Calculations!V188</f>
        <v>34056600000000</v>
      </c>
      <c r="S3" s="91">
        <f>Calculations!W188</f>
        <v>34490160000000</v>
      </c>
      <c r="T3" s="91">
        <f>Calculations!X188</f>
        <v>34929679999999.996</v>
      </c>
      <c r="U3" s="91">
        <f>Calculations!Y188</f>
        <v>35359640000000</v>
      </c>
      <c r="V3" s="91">
        <f>Calculations!Z188</f>
        <v>35786160000000</v>
      </c>
      <c r="W3" s="91">
        <f>Calculations!AA188</f>
        <v>36223400000000</v>
      </c>
      <c r="X3" s="91">
        <f>Calculations!AB188</f>
        <v>36652120000000</v>
      </c>
      <c r="Y3" s="91">
        <f>Calculations!AC188</f>
        <v>37095280000000</v>
      </c>
      <c r="Z3" s="91">
        <f>Calculations!AD188</f>
        <v>37541720000000</v>
      </c>
      <c r="AA3" s="91">
        <f>Calculations!AE188</f>
        <v>37990560000000</v>
      </c>
      <c r="AB3" s="91">
        <f>Calculations!AF188</f>
        <v>38428760000000</v>
      </c>
    </row>
    <row r="4" spans="1:30" x14ac:dyDescent="0.25">
      <c r="A4" s="1" t="s">
        <v>13</v>
      </c>
      <c r="B4" s="91">
        <f>Calculations!F189</f>
        <v>1200143000000000</v>
      </c>
      <c r="C4" s="91">
        <f>Calculations!G189</f>
        <v>1195241000000000</v>
      </c>
      <c r="D4" s="91">
        <f>Calculations!H189</f>
        <v>1192541000000000</v>
      </c>
      <c r="E4" s="91">
        <f>Calculations!I189</f>
        <v>1184530000000000</v>
      </c>
      <c r="F4" s="91">
        <f>Calculations!J189</f>
        <v>1172073000000000</v>
      </c>
      <c r="G4" s="91">
        <f>Calculations!K189</f>
        <v>1174134000000000</v>
      </c>
      <c r="H4" s="91">
        <f>Calculations!L189</f>
        <v>1174214000000000</v>
      </c>
      <c r="I4" s="91">
        <f>Calculations!M189</f>
        <v>1173943000000000</v>
      </c>
      <c r="J4" s="91">
        <f>Calculations!N189</f>
        <v>1170539000000000</v>
      </c>
      <c r="K4" s="91">
        <f>Calculations!O189</f>
        <v>1166400000000000</v>
      </c>
      <c r="L4" s="91">
        <f>Calculations!P189</f>
        <v>1163250000000000</v>
      </c>
      <c r="M4" s="91">
        <f>Calculations!Q189</f>
        <v>1162672000000000</v>
      </c>
      <c r="N4" s="91">
        <f>Calculations!R189</f>
        <v>1164979000000000</v>
      </c>
      <c r="O4" s="91">
        <f>Calculations!S189</f>
        <v>1168980000000000</v>
      </c>
      <c r="P4" s="91">
        <f>Calculations!T189</f>
        <v>1173669000000000</v>
      </c>
      <c r="Q4" s="91">
        <f>Calculations!U189</f>
        <v>1179099000000000</v>
      </c>
      <c r="R4" s="91">
        <f>Calculations!V189</f>
        <v>1183828000000000</v>
      </c>
      <c r="S4" s="91">
        <f>Calculations!W189</f>
        <v>1186681000000000</v>
      </c>
      <c r="T4" s="91">
        <f>Calculations!X189</f>
        <v>1188695000000000</v>
      </c>
      <c r="U4" s="91">
        <f>Calculations!Y189</f>
        <v>1190251000000000</v>
      </c>
      <c r="V4" s="91">
        <f>Calculations!Z189</f>
        <v>1192779000000000</v>
      </c>
      <c r="W4" s="91">
        <f>Calculations!AA189</f>
        <v>1195380000000000</v>
      </c>
      <c r="X4" s="91">
        <f>Calculations!AB189</f>
        <v>1197174000000000</v>
      </c>
      <c r="Y4" s="91">
        <f>Calculations!AC189</f>
        <v>1199681000000000</v>
      </c>
      <c r="Z4" s="91">
        <f>Calculations!AD189</f>
        <v>1202824000000000</v>
      </c>
      <c r="AA4" s="91">
        <f>Calculations!AE189</f>
        <v>1205542000000000</v>
      </c>
      <c r="AB4" s="91">
        <f>Calculations!AF189</f>
        <v>1207929000000000</v>
      </c>
    </row>
    <row r="5" spans="1:30" x14ac:dyDescent="0.25">
      <c r="A5" s="1" t="s">
        <v>14</v>
      </c>
      <c r="B5" s="91">
        <f>Calculations!F190</f>
        <v>235269000000000</v>
      </c>
      <c r="C5" s="91">
        <f>Calculations!G190</f>
        <v>238648000000000</v>
      </c>
      <c r="D5" s="91">
        <f>Calculations!H190</f>
        <v>242276000000000</v>
      </c>
      <c r="E5" s="91">
        <f>Calculations!I190</f>
        <v>244607000000000</v>
      </c>
      <c r="F5" s="91">
        <f>Calculations!J190</f>
        <v>246048000000000</v>
      </c>
      <c r="G5" s="91">
        <f>Calculations!K190</f>
        <v>247077000000000</v>
      </c>
      <c r="H5" s="91">
        <f>Calculations!L190</f>
        <v>248054000000000</v>
      </c>
      <c r="I5" s="91">
        <f>Calculations!M190</f>
        <v>248537000000000</v>
      </c>
      <c r="J5" s="91">
        <f>Calculations!N190</f>
        <v>248970000000000</v>
      </c>
      <c r="K5" s="91">
        <f>Calculations!O190</f>
        <v>248937000000000</v>
      </c>
      <c r="L5" s="91">
        <f>Calculations!P190</f>
        <v>248789000000000</v>
      </c>
      <c r="M5" s="91">
        <f>Calculations!Q190</f>
        <v>248491000000000</v>
      </c>
      <c r="N5" s="91">
        <f>Calculations!R190</f>
        <v>248383000000000</v>
      </c>
      <c r="O5" s="91">
        <f>Calculations!S190</f>
        <v>248080000000000</v>
      </c>
      <c r="P5" s="91">
        <f>Calculations!T190</f>
        <v>247905000000000</v>
      </c>
      <c r="Q5" s="91">
        <f>Calculations!U190</f>
        <v>247811000000000</v>
      </c>
      <c r="R5" s="91">
        <f>Calculations!V190</f>
        <v>247625000000000</v>
      </c>
      <c r="S5" s="91">
        <f>Calculations!W190</f>
        <v>247337000000000</v>
      </c>
      <c r="T5" s="91">
        <f>Calculations!X190</f>
        <v>246923000000000</v>
      </c>
      <c r="U5" s="91">
        <f>Calculations!Y190</f>
        <v>246471000000000</v>
      </c>
      <c r="V5" s="91">
        <f>Calculations!Z190</f>
        <v>245575000000000</v>
      </c>
      <c r="W5" s="91">
        <f>Calculations!AA190</f>
        <v>245337000000000</v>
      </c>
      <c r="X5" s="91">
        <f>Calculations!AB190</f>
        <v>245137000000000</v>
      </c>
      <c r="Y5" s="91">
        <f>Calculations!AC190</f>
        <v>245284000000000</v>
      </c>
      <c r="Z5" s="91">
        <f>Calculations!AD190</f>
        <v>245618000000000</v>
      </c>
      <c r="AA5" s="91">
        <f>Calculations!AE190</f>
        <v>245740000000000</v>
      </c>
      <c r="AB5" s="91">
        <f>Calculations!AF190</f>
        <v>245625000000000</v>
      </c>
    </row>
    <row r="6" spans="1:30" x14ac:dyDescent="0.25">
      <c r="A6" s="1" t="s">
        <v>16</v>
      </c>
      <c r="B6" s="91">
        <f>Calculations!F191</f>
        <v>0</v>
      </c>
      <c r="C6" s="91">
        <f>Calculations!G191</f>
        <v>0</v>
      </c>
      <c r="D6" s="91">
        <f>Calculations!H191</f>
        <v>0</v>
      </c>
      <c r="E6" s="91">
        <f>Calculations!I191</f>
        <v>0</v>
      </c>
      <c r="F6" s="91">
        <f>Calculations!J191</f>
        <v>0</v>
      </c>
      <c r="G6" s="91">
        <f>Calculations!K191</f>
        <v>0</v>
      </c>
      <c r="H6" s="91">
        <f>Calculations!L191</f>
        <v>0</v>
      </c>
      <c r="I6" s="91">
        <f>Calculations!M191</f>
        <v>0</v>
      </c>
      <c r="J6" s="91">
        <f>Calculations!N191</f>
        <v>0</v>
      </c>
      <c r="K6" s="91">
        <f>Calculations!O191</f>
        <v>0</v>
      </c>
      <c r="L6" s="91">
        <f>Calculations!P191</f>
        <v>0</v>
      </c>
      <c r="M6" s="91">
        <f>Calculations!Q191</f>
        <v>0</v>
      </c>
      <c r="N6" s="91">
        <f>Calculations!R191</f>
        <v>0</v>
      </c>
      <c r="O6" s="91">
        <f>Calculations!S191</f>
        <v>0</v>
      </c>
      <c r="P6" s="91">
        <f>Calculations!T191</f>
        <v>0</v>
      </c>
      <c r="Q6" s="91">
        <f>Calculations!U191</f>
        <v>0</v>
      </c>
      <c r="R6" s="91">
        <f>Calculations!V191</f>
        <v>0</v>
      </c>
      <c r="S6" s="91">
        <f>Calculations!W191</f>
        <v>0</v>
      </c>
      <c r="T6" s="91">
        <f>Calculations!X191</f>
        <v>0</v>
      </c>
      <c r="U6" s="91">
        <f>Calculations!Y191</f>
        <v>0</v>
      </c>
      <c r="V6" s="91">
        <f>Calculations!Z191</f>
        <v>0</v>
      </c>
      <c r="W6" s="91">
        <f>Calculations!AA191</f>
        <v>0</v>
      </c>
      <c r="X6" s="91">
        <f>Calculations!AB191</f>
        <v>0</v>
      </c>
      <c r="Y6" s="91">
        <f>Calculations!AC191</f>
        <v>0</v>
      </c>
      <c r="Z6" s="91">
        <f>Calculations!AD191</f>
        <v>0</v>
      </c>
      <c r="AA6" s="91">
        <f>Calculations!AE191</f>
        <v>0</v>
      </c>
      <c r="AB6" s="91">
        <f>Calculations!AF191</f>
        <v>0</v>
      </c>
    </row>
    <row r="7" spans="1:30" x14ac:dyDescent="0.25">
      <c r="A7" s="1" t="s">
        <v>73</v>
      </c>
      <c r="B7" s="91">
        <f>Calculations!F192</f>
        <v>0</v>
      </c>
      <c r="C7" s="91">
        <f>Calculations!G192</f>
        <v>0</v>
      </c>
      <c r="D7" s="91">
        <f>Calculations!H192</f>
        <v>0</v>
      </c>
      <c r="E7" s="91">
        <f>Calculations!I192</f>
        <v>0</v>
      </c>
      <c r="F7" s="91">
        <f>Calculations!J192</f>
        <v>0</v>
      </c>
      <c r="G7" s="91">
        <f>Calculations!K192</f>
        <v>0</v>
      </c>
      <c r="H7" s="91">
        <f>Calculations!L192</f>
        <v>0</v>
      </c>
      <c r="I7" s="91">
        <f>Calculations!M192</f>
        <v>0</v>
      </c>
      <c r="J7" s="91">
        <f>Calculations!N192</f>
        <v>0</v>
      </c>
      <c r="K7" s="91">
        <f>Calculations!O192</f>
        <v>0</v>
      </c>
      <c r="L7" s="91">
        <f>Calculations!P192</f>
        <v>0</v>
      </c>
      <c r="M7" s="91">
        <f>Calculations!Q192</f>
        <v>0</v>
      </c>
      <c r="N7" s="91">
        <f>Calculations!R192</f>
        <v>0</v>
      </c>
      <c r="O7" s="91">
        <f>Calculations!S192</f>
        <v>0</v>
      </c>
      <c r="P7" s="91">
        <f>Calculations!T192</f>
        <v>0</v>
      </c>
      <c r="Q7" s="91">
        <f>Calculations!U192</f>
        <v>0</v>
      </c>
      <c r="R7" s="91">
        <f>Calculations!V192</f>
        <v>0</v>
      </c>
      <c r="S7" s="91">
        <f>Calculations!W192</f>
        <v>0</v>
      </c>
      <c r="T7" s="91">
        <f>Calculations!X192</f>
        <v>0</v>
      </c>
      <c r="U7" s="91">
        <f>Calculations!Y192</f>
        <v>0</v>
      </c>
      <c r="V7" s="91">
        <f>Calculations!Z192</f>
        <v>0</v>
      </c>
      <c r="W7" s="91">
        <f>Calculations!AA192</f>
        <v>0</v>
      </c>
      <c r="X7" s="91">
        <f>Calculations!AB192</f>
        <v>0</v>
      </c>
      <c r="Y7" s="91">
        <f>Calculations!AC192</f>
        <v>0</v>
      </c>
      <c r="Z7" s="91">
        <f>Calculations!AD192</f>
        <v>0</v>
      </c>
      <c r="AA7" s="91">
        <f>Calculations!AE192</f>
        <v>0</v>
      </c>
      <c r="AB7" s="91">
        <f>Calculations!AF192</f>
        <v>0</v>
      </c>
    </row>
    <row r="8" spans="1:30" x14ac:dyDescent="0.25">
      <c r="A8" s="1" t="s">
        <v>170</v>
      </c>
      <c r="B8" s="91">
        <f>Calculations!F193</f>
        <v>0</v>
      </c>
      <c r="C8" s="91">
        <f>Calculations!G193</f>
        <v>0</v>
      </c>
      <c r="D8" s="91">
        <f>Calculations!H193</f>
        <v>0</v>
      </c>
      <c r="E8" s="91">
        <f>Calculations!I193</f>
        <v>0</v>
      </c>
      <c r="F8" s="91">
        <f>Calculations!J193</f>
        <v>0</v>
      </c>
      <c r="G8" s="91">
        <f>Calculations!K193</f>
        <v>0</v>
      </c>
      <c r="H8" s="91">
        <f>Calculations!L193</f>
        <v>0</v>
      </c>
      <c r="I8" s="91">
        <f>Calculations!M193</f>
        <v>0</v>
      </c>
      <c r="J8" s="91">
        <f>Calculations!N193</f>
        <v>0</v>
      </c>
      <c r="K8" s="91">
        <f>Calculations!O193</f>
        <v>0</v>
      </c>
      <c r="L8" s="91">
        <f>Calculations!P193</f>
        <v>0</v>
      </c>
      <c r="M8" s="91">
        <f>Calculations!Q193</f>
        <v>0</v>
      </c>
      <c r="N8" s="91">
        <f>Calculations!R193</f>
        <v>0</v>
      </c>
      <c r="O8" s="91">
        <f>Calculations!S193</f>
        <v>0</v>
      </c>
      <c r="P8" s="91">
        <f>Calculations!T193</f>
        <v>0</v>
      </c>
      <c r="Q8" s="91">
        <f>Calculations!U193</f>
        <v>0</v>
      </c>
      <c r="R8" s="91">
        <f>Calculations!V193</f>
        <v>0</v>
      </c>
      <c r="S8" s="91">
        <f>Calculations!W193</f>
        <v>0</v>
      </c>
      <c r="T8" s="91">
        <f>Calculations!X193</f>
        <v>0</v>
      </c>
      <c r="U8" s="91">
        <f>Calculations!Y193</f>
        <v>0</v>
      </c>
      <c r="V8" s="91">
        <f>Calculations!Z193</f>
        <v>0</v>
      </c>
      <c r="W8" s="91">
        <f>Calculations!AA193</f>
        <v>0</v>
      </c>
      <c r="X8" s="91">
        <f>Calculations!AB193</f>
        <v>0</v>
      </c>
      <c r="Y8" s="91">
        <f>Calculations!AC193</f>
        <v>0</v>
      </c>
      <c r="Z8" s="91">
        <f>Calculations!AD193</f>
        <v>0</v>
      </c>
      <c r="AA8" s="91">
        <f>Calculations!AE193</f>
        <v>0</v>
      </c>
      <c r="AB8" s="91">
        <f>Calculations!AF193</f>
        <v>0</v>
      </c>
    </row>
    <row r="9" spans="1:30" x14ac:dyDescent="0.25">
      <c r="A9" s="1" t="s">
        <v>171</v>
      </c>
      <c r="B9" s="91">
        <f>Calculations!F194</f>
        <v>0</v>
      </c>
      <c r="C9" s="91">
        <f>Calculations!G194</f>
        <v>0</v>
      </c>
      <c r="D9" s="91">
        <f>Calculations!H194</f>
        <v>0</v>
      </c>
      <c r="E9" s="91">
        <f>Calculations!I194</f>
        <v>0</v>
      </c>
      <c r="F9" s="91">
        <f>Calculations!J194</f>
        <v>0</v>
      </c>
      <c r="G9" s="91">
        <f>Calculations!K194</f>
        <v>0</v>
      </c>
      <c r="H9" s="91">
        <f>Calculations!L194</f>
        <v>0</v>
      </c>
      <c r="I9" s="91">
        <f>Calculations!M194</f>
        <v>0</v>
      </c>
      <c r="J9" s="91">
        <f>Calculations!N194</f>
        <v>0</v>
      </c>
      <c r="K9" s="91">
        <f>Calculations!O194</f>
        <v>0</v>
      </c>
      <c r="L9" s="91">
        <f>Calculations!P194</f>
        <v>0</v>
      </c>
      <c r="M9" s="91">
        <f>Calculations!Q194</f>
        <v>0</v>
      </c>
      <c r="N9" s="91">
        <f>Calculations!R194</f>
        <v>0</v>
      </c>
      <c r="O9" s="91">
        <f>Calculations!S194</f>
        <v>0</v>
      </c>
      <c r="P9" s="91">
        <f>Calculations!T194</f>
        <v>0</v>
      </c>
      <c r="Q9" s="91">
        <f>Calculations!U194</f>
        <v>0</v>
      </c>
      <c r="R9" s="91">
        <f>Calculations!V194</f>
        <v>0</v>
      </c>
      <c r="S9" s="91">
        <f>Calculations!W194</f>
        <v>0</v>
      </c>
      <c r="T9" s="91">
        <f>Calculations!X194</f>
        <v>0</v>
      </c>
      <c r="U9" s="91">
        <f>Calculations!Y194</f>
        <v>0</v>
      </c>
      <c r="V9" s="91">
        <f>Calculations!Z194</f>
        <v>0</v>
      </c>
      <c r="W9" s="91">
        <f>Calculations!AA194</f>
        <v>0</v>
      </c>
      <c r="X9" s="91">
        <f>Calculations!AB194</f>
        <v>0</v>
      </c>
      <c r="Y9" s="91">
        <f>Calculations!AC194</f>
        <v>0</v>
      </c>
      <c r="Z9" s="91">
        <f>Calculations!AD194</f>
        <v>0</v>
      </c>
      <c r="AA9" s="91">
        <f>Calculations!AE194</f>
        <v>0</v>
      </c>
      <c r="AB9" s="91">
        <f>Calculations!AF194</f>
        <v>0</v>
      </c>
    </row>
    <row r="10" spans="1:30" x14ac:dyDescent="0.25">
      <c r="A10" s="1" t="s">
        <v>172</v>
      </c>
      <c r="B10" s="91">
        <f>Calculations!F195</f>
        <v>478708782994381.69</v>
      </c>
      <c r="C10" s="91">
        <f>Calculations!G195</f>
        <v>478581817600606.5</v>
      </c>
      <c r="D10" s="91">
        <f>Calculations!H195</f>
        <v>492519221634347.75</v>
      </c>
      <c r="E10" s="91">
        <f>Calculations!I195</f>
        <v>503765223583160.19</v>
      </c>
      <c r="F10" s="91">
        <f>Calculations!J195</f>
        <v>515923401948744.31</v>
      </c>
      <c r="G10" s="91">
        <f>Calculations!K195</f>
        <v>526373898069259.81</v>
      </c>
      <c r="H10" s="91">
        <f>Calculations!L195</f>
        <v>537801786064859.88</v>
      </c>
      <c r="I10" s="91">
        <f>Calculations!M195</f>
        <v>549203826397999.31</v>
      </c>
      <c r="J10" s="91">
        <f>Calculations!N195</f>
        <v>560939209043088.94</v>
      </c>
      <c r="K10" s="91">
        <f>Calculations!O195</f>
        <v>572139997863205.25</v>
      </c>
      <c r="L10" s="91">
        <f>Calculations!P195</f>
        <v>583881058164159.13</v>
      </c>
      <c r="M10" s="91">
        <f>Calculations!Q195</f>
        <v>595469893202734.5</v>
      </c>
      <c r="N10" s="91">
        <f>Calculations!R195</f>
        <v>606619540473157.38</v>
      </c>
      <c r="O10" s="91">
        <f>Calculations!S195</f>
        <v>617599181482504.13</v>
      </c>
      <c r="P10" s="91">
        <f>Calculations!T195</f>
        <v>628125981698246.63</v>
      </c>
      <c r="Q10" s="91">
        <f>Calculations!U195</f>
        <v>639168811599350</v>
      </c>
      <c r="R10" s="91">
        <f>Calculations!V195</f>
        <v>649971013757402.13</v>
      </c>
      <c r="S10" s="91">
        <f>Calculations!W195</f>
        <v>660293756854377.5</v>
      </c>
      <c r="T10" s="91">
        <f>Calculations!X195</f>
        <v>670744930466802.63</v>
      </c>
      <c r="U10" s="91">
        <f>Calculations!Y195</f>
        <v>681033256482876.75</v>
      </c>
      <c r="V10" s="91">
        <f>Calculations!Z195</f>
        <v>691277829406347.25</v>
      </c>
      <c r="W10" s="91">
        <f>Calculations!AA195</f>
        <v>701759829892969.13</v>
      </c>
      <c r="X10" s="91">
        <f>Calculations!AB195</f>
        <v>712108429555499.63</v>
      </c>
      <c r="Y10" s="91">
        <f>Calculations!AC195</f>
        <v>722745074628256.75</v>
      </c>
      <c r="Z10" s="91">
        <f>Calculations!AD195</f>
        <v>733470985887663.75</v>
      </c>
      <c r="AA10" s="91">
        <f>Calculations!AE195</f>
        <v>744231916939092.13</v>
      </c>
      <c r="AB10" s="91">
        <f>Calculations!AF195</f>
        <v>754798054842901.38</v>
      </c>
    </row>
    <row r="11" spans="1:30" x14ac:dyDescent="0.25">
      <c r="A11" s="1" t="s">
        <v>173</v>
      </c>
      <c r="B11" s="91">
        <f>Calculations!F196</f>
        <v>0</v>
      </c>
      <c r="C11" s="91">
        <f>Calculations!G196</f>
        <v>0</v>
      </c>
      <c r="D11" s="91">
        <f>Calculations!H196</f>
        <v>0</v>
      </c>
      <c r="E11" s="91">
        <f>Calculations!I196</f>
        <v>0</v>
      </c>
      <c r="F11" s="91">
        <f>Calculations!J196</f>
        <v>0</v>
      </c>
      <c r="G11" s="91">
        <f>Calculations!K196</f>
        <v>0</v>
      </c>
      <c r="H11" s="91">
        <f>Calculations!L196</f>
        <v>0</v>
      </c>
      <c r="I11" s="91">
        <f>Calculations!M196</f>
        <v>0</v>
      </c>
      <c r="J11" s="91">
        <f>Calculations!N196</f>
        <v>0</v>
      </c>
      <c r="K11" s="91">
        <f>Calculations!O196</f>
        <v>0</v>
      </c>
      <c r="L11" s="91">
        <f>Calculations!P196</f>
        <v>0</v>
      </c>
      <c r="M11" s="91">
        <f>Calculations!Q196</f>
        <v>0</v>
      </c>
      <c r="N11" s="91">
        <f>Calculations!R196</f>
        <v>0</v>
      </c>
      <c r="O11" s="91">
        <f>Calculations!S196</f>
        <v>0</v>
      </c>
      <c r="P11" s="91">
        <f>Calculations!T196</f>
        <v>0</v>
      </c>
      <c r="Q11" s="91">
        <f>Calculations!U196</f>
        <v>0</v>
      </c>
      <c r="R11" s="91">
        <f>Calculations!V196</f>
        <v>0</v>
      </c>
      <c r="S11" s="91">
        <f>Calculations!W196</f>
        <v>0</v>
      </c>
      <c r="T11" s="91">
        <f>Calculations!X196</f>
        <v>0</v>
      </c>
      <c r="U11" s="91">
        <f>Calculations!Y196</f>
        <v>0</v>
      </c>
      <c r="V11" s="91">
        <f>Calculations!Z196</f>
        <v>0</v>
      </c>
      <c r="W11" s="91">
        <f>Calculations!AA196</f>
        <v>0</v>
      </c>
      <c r="X11" s="91">
        <f>Calculations!AB196</f>
        <v>0</v>
      </c>
      <c r="Y11" s="91">
        <f>Calculations!AC196</f>
        <v>0</v>
      </c>
      <c r="Z11" s="91">
        <f>Calculations!AD196</f>
        <v>0</v>
      </c>
      <c r="AA11" s="91">
        <f>Calculations!AE196</f>
        <v>0</v>
      </c>
      <c r="AB11" s="91">
        <f>Calculations!AF196</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D11"/>
  <sheetViews>
    <sheetView workbookViewId="0"/>
  </sheetViews>
  <sheetFormatPr defaultRowHeight="15" x14ac:dyDescent="0.25"/>
  <cols>
    <col min="1" max="1" width="29.85546875" customWidth="1"/>
    <col min="2" max="28" width="9.85546875" customWidth="1"/>
  </cols>
  <sheetData>
    <row r="1" spans="1:30" x14ac:dyDescent="0.2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s="1" t="s">
        <v>12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25">
      <c r="A4" s="1" t="s">
        <v>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25">
      <c r="A5" s="1" t="s">
        <v>14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s="1" t="s">
        <v>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s="1" t="s">
        <v>73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s="1" t="s">
        <v>170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s="1" t="s">
        <v>171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s="1" t="s">
        <v>172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25">
      <c r="A11" s="1" t="s">
        <v>173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4</vt:i4>
      </vt:variant>
    </vt:vector>
  </HeadingPairs>
  <TitlesOfParts>
    <vt:vector size="30" baseType="lpstr">
      <vt:lpstr>About</vt:lpstr>
      <vt:lpstr>Source Data&gt;</vt:lpstr>
      <vt:lpstr>RECS HC2.1</vt:lpstr>
      <vt:lpstr>Table_4._Residential_Sector_Key</vt:lpstr>
      <vt:lpstr>Table_5._Commercial_Sector_Key_</vt:lpstr>
      <vt:lpstr>Water and Waste</vt:lpstr>
      <vt:lpstr>Calcs&gt;</vt:lpstr>
      <vt:lpstr>Heat Pump DOE Rule Adjustment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2014-04-18T00:48:59Z</dcterms:created>
  <dcterms:modified xsi:type="dcterms:W3CDTF">2025-12-03T18:47:06Z</dcterms:modified>
</cp:coreProperties>
</file>